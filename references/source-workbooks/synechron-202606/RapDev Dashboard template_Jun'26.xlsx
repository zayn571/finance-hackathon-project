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10" yWindow="-9530" windowWidth="38620" windowHeight="21100" tabRatio="600" firstSheet="0" activeTab="0" autoFilterDateGrouping="1"/>
  </bookViews>
  <sheets>
    <sheet name="Slide 15 - RapDev" sheetId="1" state="visible" r:id="rId1"/>
  </sheets>
  <definedNames>
    <definedName name="\" hidden="1">{"detail",#N/A,FALSE,"mfg";"summary",#N/A,FALSE,"mfg"}</definedName>
    <definedName name="_" hidden="1">#N/A</definedName>
    <definedName name="_??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2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8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1???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2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6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" hidden="1">#NAME?</definedName>
    <definedName name="______________________________A11" hidden="1">{#N/A,#N/A,FALSE,"Umsatz 99";#N/A,#N/A,FALSE,"ER 99 "}</definedName>
    <definedName name="______________________________c" hidden="1">{"Fiesta Facer Page",#N/A,FALSE,"Q_C_S";"Fiesta Main Page",#N/A,FALSE,"V_L";"Fiesta 95BP Struct",#N/A,FALSE,"StructBP";"Fiesta Post 95BP Struct",#N/A,FALSE,"AdjStructBP"}</definedName>
    <definedName name="_____________________________A11" hidden="1">{#N/A,#N/A,FALSE,"Umsatz 99";#N/A,#N/A,FALSE,"ER 99 "}</definedName>
    <definedName name="_____________________________c" hidden="1">{"Fiesta Facer Page",#N/A,FALSE,"Q_C_S";"Fiesta Main Page",#N/A,FALSE,"V_L";"Fiesta 95BP Struct",#N/A,FALSE,"StructBP";"Fiesta Post 95BP Struct",#N/A,FALSE,"AdjStructBP"}</definedName>
    <definedName name="____________________________A11" hidden="1">{#N/A,#N/A,FALSE,"Umsatz 99";#N/A,#N/A,FALSE,"ER 99 "}</definedName>
    <definedName name="____________________________c" hidden="1">{"Fiesta Facer Page",#N/A,FALSE,"Q_C_S";"Fiesta Main Page",#N/A,FALSE,"V_L";"Fiesta 95BP Struct",#N/A,FALSE,"StructBP";"Fiesta Post 95BP Struct",#N/A,FALSE,"AdjStructBP"}</definedName>
    <definedName name="__________________________A11" hidden="1">{#N/A,#N/A,FALSE,"Umsatz 99";#N/A,#N/A,FALSE,"ER 99 "}</definedName>
    <definedName name="__________________________c" hidden="1">{"Fiesta Facer Page",#N/A,FALSE,"Q_C_S";"Fiesta Main Page",#N/A,FALSE,"V_L";"Fiesta 95BP Struct",#N/A,FALSE,"StructBP";"Fiesta Post 95BP Struct",#N/A,FALSE,"AdjStructBP"}</definedName>
    <definedName name="__________________________V2" hidden="1">{#N/A,#N/A,FALSE,"Tabl. A1";#N/A,#N/A,FALSE,"Tabl. A1 b";#N/A,#N/A,FALSE,"Tabl. A2";#N/A,#N/A,FALSE,"Tabl. A2-1";#N/A,#N/A,FALSE,"Tabl. A2-2"}</definedName>
    <definedName name="_________________________A11" hidden="1">{#N/A,#N/A,FALSE,"Umsatz 99";#N/A,#N/A,FALSE,"ER 99 "}</definedName>
    <definedName name="_________________________c" hidden="1">{"Fiesta Facer Page",#N/A,FALSE,"Q_C_S";"Fiesta Main Page",#N/A,FALSE,"V_L";"Fiesta 95BP Struct",#N/A,FALSE,"StructBP";"Fiesta Post 95BP Struct",#N/A,FALSE,"AdjStructBP"}</definedName>
    <definedName name="_______________________A11" hidden="1">{#N/A,#N/A,FALSE,"Umsatz 99";#N/A,#N/A,FALSE,"ER 99 "}</definedName>
    <definedName name="_______________________c" hidden="1">{"Fiesta Facer Page",#N/A,FALSE,"Q_C_S";"Fiesta Main Page",#N/A,FALSE,"V_L";"Fiesta 95BP Struct",#N/A,FALSE,"StructBP";"Fiesta Post 95BP Struct",#N/A,FALSE,"AdjStructBP"}</definedName>
    <definedName name="_______________________V2" hidden="1">{#N/A,#N/A,FALSE,"Tabl. A1";#N/A,#N/A,FALSE,"Tabl. A1 b";#N/A,#N/A,FALSE,"Tabl. A2";#N/A,#N/A,FALSE,"Tabl. A2-1";#N/A,#N/A,FALSE,"Tabl. A2-2"}</definedName>
    <definedName name="______________________br1" hidden="1">{"Quarter1",#N/A,FALSE,"Sheet1";"Quarter2",#N/A,FALSE,"Sheet1";"Quarter3",#N/A,FALSE,"Sheet1";"Quarter4",#N/A,FALSE,"Sheet1"}</definedName>
    <definedName name="_____________________A11" hidden="1">{#N/A,#N/A,FALSE,"Umsatz 99";#N/A,#N/A,FALSE,"ER 99 "}</definedName>
    <definedName name="___________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br1" hidden="1">{"Quarter1",#N/A,FALSE,"Sheet1";"Quarter2",#N/A,FALSE,"Sheet1";"Quarter3",#N/A,FALSE,"Sheet1";"Quarter4",#N/A,FALSE,"Sheet1"}</definedName>
    <definedName name="_____________________c" hidden="1">{"Fiesta Facer Page",#N/A,FALSE,"Q_C_S";"Fiesta Main Page",#N/A,FALSE,"V_L";"Fiesta 95BP Struct",#N/A,FALSE,"StructBP";"Fiesta Post 95BP Struct",#N/A,FALSE,"AdjStructBP"}</definedName>
    <definedName name="___________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V2" hidden="1">{#N/A,#N/A,FALSE,"Tabl. A1";#N/A,#N/A,FALSE,"Tabl. A1 b";#N/A,#N/A,FALSE,"Tabl. A2";#N/A,#N/A,FALSE,"Tabl. A2-1";#N/A,#N/A,FALSE,"Tabl. A2-2"}</definedName>
    <definedName name="____________________A11" hidden="1">{#N/A,#N/A,FALSE,"Umsatz 99";#N/A,#N/A,FALSE,"ER 99 "}</definedName>
    <definedName name="__________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br1" hidden="1">{"Quarter1",#N/A,FALSE,"Sheet1";"Quarter2",#N/A,FALSE,"Sheet1";"Quarter3",#N/A,FALSE,"Sheet1";"Quarter4",#N/A,FALSE,"Sheet1"}</definedName>
    <definedName name="____________________c" hidden="1">{"Fiesta Facer Page",#N/A,FALSE,"Q_C_S";"Fiesta Main Page",#N/A,FALSE,"V_L";"Fiesta 95BP Struct",#N/A,FALSE,"StructBP";"Fiesta Post 95BP Struct",#N/A,FALSE,"AdjStructBP"}</definedName>
    <definedName name="___________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V2" hidden="1">{#N/A,#N/A,FALSE,"Tabl. A1";#N/A,#N/A,FALSE,"Tabl. A1 b";#N/A,#N/A,FALSE,"Tabl. A2";#N/A,#N/A,FALSE,"Tabl. A2-1";#N/A,#N/A,FALSE,"Tabl. A2-2"}</definedName>
    <definedName name="___________________A11" hidden="1">{#N/A,#N/A,FALSE,"Umsatz 99";#N/A,#N/A,FALSE,"ER 99 "}</definedName>
    <definedName name="___________________br1" hidden="1">{"Quarter1",#N/A,FALSE,"Sheet1";"Quarter2",#N/A,FALSE,"Sheet1";"Quarter3",#N/A,FALSE,"Sheet1";"Quarter4",#N/A,FALSE,"Sheet1"}</definedName>
    <definedName name="___________________c" hidden="1">{"Fiesta Facer Page",#N/A,FALSE,"Q_C_S";"Fiesta Main Page",#N/A,FALSE,"V_L";"Fiesta 95BP Struct",#N/A,FALSE,"StructBP";"Fiesta Post 95BP Struct",#N/A,FALSE,"AdjStructBP"}</definedName>
    <definedName name="__________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V2" hidden="1">{#N/A,#N/A,FALSE,"Tabl. A1";#N/A,#N/A,FALSE,"Tabl. A1 b";#N/A,#N/A,FALSE,"Tabl. A2";#N/A,#N/A,FALSE,"Tabl. A2-1";#N/A,#N/A,FALSE,"Tabl. A2-2"}</definedName>
    <definedName name="__________________A11" hidden="1">{#N/A,#N/A,FALSE,"Umsatz 99";#N/A,#N/A,FALSE,"ER 99 "}</definedName>
    <definedName name="________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br1" hidden="1">{"Quarter1",#N/A,FALSE,"Sheet1";"Quarter2",#N/A,FALSE,"Sheet1";"Quarter3",#N/A,FALSE,"Sheet1";"Quarter4",#N/A,FALSE,"Sheet1"}</definedName>
    <definedName name="__________________c" hidden="1">{"Fiesta Facer Page",#N/A,FALSE,"Q_C_S";"Fiesta Main Page",#N/A,FALSE,"V_L";"Fiesta 95BP Struct",#N/A,FALSE,"StructBP";"Fiesta Post 95BP Struct",#N/A,FALSE,"AdjStructBP"}</definedName>
    <definedName name="________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V2" hidden="1">{#N/A,#N/A,FALSE,"Tabl. A1";#N/A,#N/A,FALSE,"Tabl. A1 b";#N/A,#N/A,FALSE,"Tabl. A2";#N/A,#N/A,FALSE,"Tabl. A2-1";#N/A,#N/A,FALSE,"Tabl. A2-2"}</definedName>
    <definedName name="_________________A11" hidden="1">{#N/A,#N/A,FALSE,"Umsatz 99";#N/A,#N/A,FALSE,"ER 99 "}</definedName>
    <definedName name="_______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br1" hidden="1">{"Quarter1",#N/A,FALSE,"Sheet1";"Quarter2",#N/A,FALSE,"Sheet1";"Quarter3",#N/A,FALSE,"Sheet1";"Quarter4",#N/A,FALSE,"Sheet1"}</definedName>
    <definedName name="_________________c" hidden="1">{#N/A,#N/A,FALSE,"Layout Cash Flow"}</definedName>
    <definedName name="________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y97" hidden="1">{#N/A,#N/A,FALSE,"FY97";#N/A,#N/A,FALSE,"FY98";#N/A,#N/A,FALSE,"FY99";#N/A,#N/A,FALSE,"FY00";#N/A,#N/A,FALSE,"FY01"}</definedName>
    <definedName name="_________________r" hidden="1">{"consolidated",#N/A,FALSE,"Sheet1";"cms",#N/A,FALSE,"Sheet1";"fse",#N/A,FALSE,"Sheet1"}</definedName>
    <definedName name="_________________V2" hidden="1">{#N/A,#N/A,FALSE,"Tabl. A1";#N/A,#N/A,FALSE,"Tabl. A1 b";#N/A,#N/A,FALSE,"Tabl. A2";#N/A,#N/A,FALSE,"Tabl. A2-1";#N/A,#N/A,FALSE,"Tabl. A2-2"}</definedName>
    <definedName name="_________________wrn1" hidden="1">{#N/A,#N/A,FALSE,"DCF";#N/A,#N/A,FALSE,"WACC";#N/A,#N/A,FALSE,"Sales_EBIT";#N/A,#N/A,FALSE,"Capex_Depreciation";#N/A,#N/A,FALSE,"WC";#N/A,#N/A,FALSE,"Interest";#N/A,#N/A,FALSE,"Assumptions"}</definedName>
    <definedName name="________________A11" hidden="1">{#N/A,#N/A,FALSE,"Umsatz 99";#N/A,#N/A,FALSE,"ER 99 "}</definedName>
    <definedName name="______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br1" hidden="1">{"Quarter1",#N/A,FALSE,"Sheet1";"Quarter2",#N/A,FALSE,"Sheet1";"Quarter3",#N/A,FALSE,"Sheet1";"Quarter4",#N/A,FALSE,"Sheet1"}</definedName>
    <definedName name="________________c" hidden="1">{"Fiesta Facer Page",#N/A,FALSE,"Q_C_S";"Fiesta Main Page",#N/A,FALSE,"V_L";"Fiesta 95BP Struct",#N/A,FALSE,"StructBP";"Fiesta Post 95BP Struct",#N/A,FALSE,"AdjStructBP"}</definedName>
    <definedName name="_______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V2" hidden="1">{#N/A,#N/A,FALSE,"Tabl. A1";#N/A,#N/A,FALSE,"Tabl. A1 b";#N/A,#N/A,FALSE,"Tabl. A2";#N/A,#N/A,FALSE,"Tabl. A2-1";#N/A,#N/A,FALSE,"Tabl. A2-2"}</definedName>
    <definedName name="_______________A11" hidden="1">{#N/A,#N/A,FALSE,"Umsatz 99";#N/A,#N/A,FALSE,"ER 99 "}</definedName>
    <definedName name="_____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br1" hidden="1">{"Quarter1",#N/A,FALSE,"Sheet1";"Quarter2",#N/A,FALSE,"Sheet1";"Quarter3",#N/A,FALSE,"Sheet1";"Quarter4",#N/A,FALSE,"Sheet1"}</definedName>
    <definedName name="_______________c" hidden="1">{"Fiesta Facer Page",#N/A,FALSE,"Q_C_S";"Fiesta Main Page",#N/A,FALSE,"V_L";"Fiesta 95BP Struct",#N/A,FALSE,"StructBP";"Fiesta Post 95BP Struct",#N/A,FALSE,"AdjStructBP"}</definedName>
    <definedName name="______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V2" hidden="1">{#N/A,#N/A,FALSE,"Tabl. A1";#N/A,#N/A,FALSE,"Tabl. A1 b";#N/A,#N/A,FALSE,"Tabl. A2";#N/A,#N/A,FALSE,"Tabl. A2-1";#N/A,#N/A,FALSE,"Tabl. A2-2"}</definedName>
    <definedName name="______________A11" hidden="1">{#N/A,#N/A,FALSE,"Umsatz 99";#N/A,#N/A,FALSE,"ER 99 "}</definedName>
    <definedName name="____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br1" hidden="1">{"Quarter1",#N/A,FALSE,"Sheet1";"Quarter2",#N/A,FALSE,"Sheet1";"Quarter3",#N/A,FALSE,"Sheet1";"Quarter4",#N/A,FALSE,"Sheet1"}</definedName>
    <definedName name="______________c" hidden="1">{"Fiesta Facer Page",#N/A,FALSE,"Q_C_S";"Fiesta Main Page",#N/A,FALSE,"V_L";"Fiesta 95BP Struct",#N/A,FALSE,"StructBP";"Fiesta Post 95BP Struct",#N/A,FALSE,"AdjStructBP"}</definedName>
    <definedName name="_____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V2" hidden="1">{#N/A,#N/A,FALSE,"Tabl. A1";#N/A,#N/A,FALSE,"Tabl. A1 b";#N/A,#N/A,FALSE,"Tabl. A2";#N/A,#N/A,FALSE,"Tabl. A2-1";#N/A,#N/A,FALSE,"Tabl. A2-2"}</definedName>
    <definedName name="_____________A11" hidden="1">{#N/A,#N/A,FALSE,"Umsatz 99";#N/A,#N/A,FALSE,"ER 99 "}</definedName>
    <definedName name="_____________as12" hidden="1">#REF!</definedName>
    <definedName name="___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br1" hidden="1">{"Quarter1",#N/A,FALSE,"Sheet1";"Quarter2",#N/A,FALSE,"Sheet1";"Quarter3",#N/A,FALSE,"Sheet1";"Quarter4",#N/A,FALSE,"Sheet1"}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V2" hidden="1">{#N/A,#N/A,FALSE,"Tabl. A1";#N/A,#N/A,FALSE,"Tabl. A1 b";#N/A,#N/A,FALSE,"Tabl. A2";#N/A,#N/A,FALSE,"Tabl. A2-1";#N/A,#N/A,FALSE,"Tabl. A2-2"}</definedName>
    <definedName name="____________A11" hidden="1">{#N/A,#N/A,FALSE,"Umsatz 99";#N/A,#N/A,FALSE,"ER 99 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br1" hidden="1">{"Quarter1",#N/A,FALSE,"Sheet1";"Quarter2",#N/A,FALSE,"Sheet1";"Quarter3",#N/A,FALSE,"Sheet1";"Quarter4",#N/A,FALSE,"Sheet1"}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V2" hidden="1">{#N/A,#N/A,FALSE,"Tabl. A1";#N/A,#N/A,FALSE,"Tabl. A1 b";#N/A,#N/A,FALSE,"Tabl. A2";#N/A,#N/A,FALSE,"Tabl. A2-1";#N/A,#N/A,FALSE,"Tabl. A2-2"}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11" hidden="1">{#N/A,#N/A,FALSE,"Umsatz 99";#N/A,#N/A,FALSE,"ER 99 "}</definedName>
    <definedName name="___________aaa1" hidden="1">{#N/A,#N/A,FALSE,"Model";#N/A,#N/A,FALSE,"Division"}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as12" hidden="1">#REF!</definedName>
    <definedName name="___________as25" hidden="1">#REF!</definedName>
    <definedName name="_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r1" hidden="1">{"Quarter1",#N/A,FALSE,"Sheet1";"Quarter2",#N/A,FALSE,"Sheet1";"Quarter3",#N/A,FALSE,"Sheet1";"Quarter4",#N/A,FALSE,"Sheet1"}</definedName>
    <definedName name="___________c" hidden="1">{"Fiesta Facer Page",#N/A,FALSE,"Q_C_S";"Fiesta Main Page",#N/A,FALSE,"V_L";"Fiesta 95BP Struct",#N/A,FALSE,"StructBP";"Fiesta Post 95BP Struct",#N/A,FALSE,"AdjStructBP"}</definedName>
    <definedName name="__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inv1" hidden="1">{"'CASHFLOW_REVISED'!$B$2:$F$68","'CASHFLOW_REVISED'!$B$2:$F$58"}</definedName>
    <definedName name="___________key2" hidden="1">#REF!</definedName>
    <definedName name="___________V2" hidden="1">{#N/A,#N/A,FALSE,"Tabl. A1";#N/A,#N/A,FALSE,"Tabl. A1 b";#N/A,#N/A,FALSE,"Tabl. A2";#N/A,#N/A,FALSE,"Tabl. A2-1";#N/A,#N/A,FALSE,"Tabl. A2-2"}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11" hidden="1">{#N/A,#N/A,FALSE,"Umsatz 99";#N/A,#N/A,FALSE,"ER 99 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as12" hidden="1">#REF!</definedName>
    <definedName name="__________as25" hidden="1">#REF!</definedName>
    <definedName name="__________as3" hidden="1">#REF!</definedName>
    <definedName name="_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i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r1" hidden="1">{"Quarter1",#N/A,FALSE,"Sheet1";"Quarter2",#N/A,FALSE,"Sheet1";"Quarter3",#N/A,FALSE,"Sheet1";"Quarter4",#N/A,FALSE,"Sheet1"}</definedName>
    <definedName name="__________c" hidden="1">{#N/A,#N/A,FALSE,"Layout Cash Flow"}</definedName>
    <definedName name="__________F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y97" hidden="1">{#N/A,#N/A,FALSE,"FY97";#N/A,#N/A,FALSE,"FY98";#N/A,#N/A,FALSE,"FY99";#N/A,#N/A,FALSE,"FY00";#N/A,#N/A,FALSE,"FY01"}</definedName>
    <definedName name="__________g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inv1" hidden="1">{"'CASHFLOW_REVISED'!$B$2:$F$68","'CASHFLOW_REVISED'!$B$2:$F$58"}</definedName>
    <definedName name="__________JAN05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____key2" hidden="1">#REF!</definedName>
    <definedName name="__________key3" hidden="1">#REF!</definedName>
    <definedName name="__________MAY05" hidden="1">{"bs",#N/A,FALSE,"BS";"pl",#N/A,FALSE,"PL"}</definedName>
    <definedName name="__________r" hidden="1">{"consolidated",#N/A,FALSE,"Sheet1";"cms",#N/A,FALSE,"Sheet1";"fse",#N/A,FALSE,"Sheet1"}</definedName>
    <definedName name="__________s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t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V2" hidden="1">{#N/A,#N/A,FALSE,"Tabl. A1";#N/A,#N/A,FALSE,"Tabl. A1 b";#N/A,#N/A,FALSE,"Tabl. A2";#N/A,#N/A,FALSE,"Tabl. A2-1";#N/A,#N/A,FALSE,"Tabl. A2-2"}</definedName>
    <definedName name="__________wrn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11" hidden="1">{#N/A,#N/A,FALSE,"Umsatz 99";#N/A,#N/A,FALSE,"ER 99 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s12" hidden="1">#REF!</definedName>
    <definedName name="_________as25" hidden="1">#REF!</definedName>
    <definedName name="_________as3" hidden="1">#REF!</definedName>
    <definedName name="_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i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r1" hidden="1">{"Quarter1",#N/A,FALSE,"Sheet1";"Quarter2",#N/A,FALSE,"Sheet1";"Quarter3",#N/A,FALSE,"Sheet1";"Quarter4",#N/A,FALSE,"Sheet1"}</definedName>
    <definedName name="_________c" hidden="1">{#N/A,#N/A,FALSE,"Layout Cash Flow"}</definedName>
    <definedName name="_________eva2" hidden="1">{"DCF",#N/A,FALSE,"CF"}</definedName>
    <definedName name="_________eva2_1" hidden="1">{"DCF",#N/A,FALSE,"CF"}</definedName>
    <definedName name="_________eva2_2" hidden="1">{"DCF",#N/A,FALSE,"CF"}</definedName>
    <definedName name="_________eva2_3" hidden="1">{"DCF",#N/A,FALSE,"CF"}</definedName>
    <definedName name="_________eva2_4" hidden="1">{"DCF",#N/A,FALSE,"CF"}</definedName>
    <definedName name="_________eva2_5" hidden="1">{"DCF",#N/A,FALSE,"CF"}</definedName>
    <definedName name="_________F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y97" hidden="1">{#N/A,#N/A,FALSE,"FY97";#N/A,#N/A,FALSE,"FY98";#N/A,#N/A,FALSE,"FY99";#N/A,#N/A,FALSE,"FY00";#N/A,#N/A,FALSE,"FY01"}</definedName>
    <definedName name="_________g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inv1" hidden="1">{"'CASHFLOW_REVISED'!$B$2:$F$68","'CASHFLOW_REVISED'!$B$2:$F$58"}</definedName>
    <definedName name="_________JAN05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___key2" hidden="1">#REF!</definedName>
    <definedName name="_________key3" hidden="1">#REF!</definedName>
    <definedName name="_________MAY05" hidden="1">{"bs",#N/A,FALSE,"BS";"pl",#N/A,FALSE,"PL"}</definedName>
    <definedName name="_________P2" hidden="1">{#N/A,#N/A,TRUE,"流动资产--预付";"宁夏正大会计师事务所 - 个人视面",#N/A,TRUE,"Sheet1"}</definedName>
    <definedName name="_________P4" hidden="1">{#N/A,#N/A,TRUE,"流动资产--预付";"宁夏正大会计师事务所 - 个人视面",#N/A,TRUE,"Sheet1"}</definedName>
    <definedName name="_________P5" hidden="1">{#N/A,#N/A,TRUE,"流动资产--预付";"宁夏正大会计师事务所 - 个人视面",#N/A,TRUE,"Sheet1"}</definedName>
    <definedName name="_________r" hidden="1">{"consolidated",#N/A,FALSE,"Sheet1";"cms",#N/A,FALSE,"Sheet1";"fse",#N/A,FALSE,"Sheet1"}</definedName>
    <definedName name="_________s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t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V2" hidden="1">{#N/A,#N/A,FALSE,"Tabl. A1";#N/A,#N/A,FALSE,"Tabl. A1 b";#N/A,#N/A,FALSE,"Tabl. A2";#N/A,#N/A,FALSE,"Tabl. A2-1";#N/A,#N/A,FALSE,"Tabl. A2-2"}</definedName>
    <definedName name="_________wrn1" hidden="1">{#N/A,#N/A,FALSE,"DCF";#N/A,#N/A,FALSE,"WACC";#N/A,#N/A,FALSE,"Sales_EBIT";#N/A,#N/A,FALSE,"Capex_Depreciation";#N/A,#N/A,FALSE,"WC";#N/A,#N/A,FALSE,"Interest";#N/A,#N/A,FALSE,"Assumptions"}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hidden="1">{#N/A,#N/A,FALSE,"Umsatz 99";#N/A,#N/A,FALSE,"ER 99 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s25" hidden="1">#REF!</definedName>
    <definedName name="________as3" hidden="1">#REF!</definedName>
    <definedName name="_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i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r1" hidden="1">{"Quarter1",#N/A,FALSE,"Sheet1";"Quarter2",#N/A,FALSE,"Sheet1";"Quarter3",#N/A,FALSE,"Sheet1";"Quarter4",#N/A,FALSE,"Sheet1"}</definedName>
    <definedName name="________c" hidden="1">{#N/A,#N/A,FALSE,"Layout Cash Flow"}</definedName>
    <definedName name="________eva2" hidden="1">{"DCF",#N/A,FALSE,"CF"}</definedName>
    <definedName name="________eva2_1" hidden="1">{"DCF",#N/A,FALSE,"CF"}</definedName>
    <definedName name="________eva2_2" hidden="1">{"DCF",#N/A,FALSE,"CF"}</definedName>
    <definedName name="________eva2_3" hidden="1">{"DCF",#N/A,FALSE,"CF"}</definedName>
    <definedName name="________eva2_4" hidden="1">{"DCF",#N/A,FALSE,"CF"}</definedName>
    <definedName name="________eva2_5" hidden="1">{"DCF",#N/A,FALSE,"CF"}</definedName>
    <definedName name="________F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y97" hidden="1">{#N/A,#N/A,FALSE,"FY97";#N/A,#N/A,FALSE,"FY98";#N/A,#N/A,FALSE,"FY99";#N/A,#N/A,FALSE,"FY00";#N/A,#N/A,FALSE,"FY01"}</definedName>
    <definedName name="________g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key1" hidden="1">#REF!</definedName>
    <definedName name="________key2" hidden="1">#REF!</definedName>
    <definedName name="________key3" hidden="1">#REF!</definedName>
    <definedName name="________P1" hidden="1">{#N/A,#N/A,TRUE,"流动资产--预付";"宁夏正大会计师事务所 - 个人视面",#N/A,TRUE,"Sheet1"}</definedName>
    <definedName name="________P2" hidden="1">{#N/A,#N/A,TRUE,"流动资产--预付";"宁夏正大会计师事务所 - 个人视面",#N/A,TRUE,"Sheet1"}</definedName>
    <definedName name="________P4" hidden="1">{#N/A,#N/A,TRUE,"流动资产--预付";"宁夏正大会计师事务所 - 个人视面",#N/A,TRUE,"Sheet1"}</definedName>
    <definedName name="________P5" hidden="1">{#N/A,#N/A,TRUE,"流动资产--预付";"宁夏正大会计师事务所 - 个人视面",#N/A,TRUE,"Sheet1"}</definedName>
    <definedName name="________r" hidden="1">{"consolidated",#N/A,FALSE,"Sheet1";"cms",#N/A,FALSE,"Sheet1";"fse",#N/A,FALSE,"Sheet1"}</definedName>
    <definedName name="________s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t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V2" hidden="1">{#N/A,#N/A,FALSE,"Tabl. A1";#N/A,#N/A,FALSE,"Tabl. A1 b";#N/A,#N/A,FALSE,"Tabl. A2";#N/A,#N/A,FALSE,"Tabl. A2-1";#N/A,#N/A,FALSE,"Tabl. A2-2"}</definedName>
    <definedName name="________wrn1" hidden="1">{#N/A,#N/A,FALSE,"DCF";#N/A,#N/A,FALSE,"WACC";#N/A,#N/A,FALSE,"Sales_EBIT";#N/A,#N/A,FALSE,"Capex_Depreciation";#N/A,#N/A,FALSE,"WC";#N/A,#N/A,FALSE,"Interest";#N/A,#N/A,FALSE,"Assumptions"}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1" hidden="1">{#N/A,#N/A,FALSE,"Umsatz 99";#N/A,#N/A,FALSE,"ER 99 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s12" hidden="1">#REF!</definedName>
    <definedName name="_______as25" hidden="1">#REF!</definedName>
    <definedName name="_______as3" hidden="1">#REF!</definedName>
    <definedName name="_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i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r1" hidden="1">{"Quarter1",#N/A,FALSE,"Sheet1";"Quarter2",#N/A,FALSE,"Sheet1";"Quarter3",#N/A,FALSE,"Sheet1";"Quarter4",#N/A,FALSE,"Sheet1"}</definedName>
    <definedName name="_______c" hidden="1">{#N/A,#N/A,FALSE,"Layout Cash Flow"}</definedName>
    <definedName name="_______eva2" hidden="1">{"DCF",#N/A,FALSE,"CF"}</definedName>
    <definedName name="_______eva2_1" hidden="1">{"DCF",#N/A,FALSE,"CF"}</definedName>
    <definedName name="_______eva2_2" hidden="1">{"DCF",#N/A,FALSE,"CF"}</definedName>
    <definedName name="_______eva2_3" hidden="1">{"DCF",#N/A,FALSE,"CF"}</definedName>
    <definedName name="_______eva2_4" hidden="1">{"DCF",#N/A,FALSE,"CF"}</definedName>
    <definedName name="_______eva2_5" hidden="1">{"DCF",#N/A,FALSE,"CF"}</definedName>
    <definedName name="_______F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y97" hidden="1">{#N/A,#N/A,FALSE,"FY97";#N/A,#N/A,FALSE,"FY98";#N/A,#N/A,FALSE,"FY99";#N/A,#N/A,FALSE,"FY00";#N/A,#N/A,FALSE,"FY01"}</definedName>
    <definedName name="_______g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inv1" hidden="1">{"'CASHFLOW_REVISED'!$B$2:$F$68","'CASHFLOW_REVISED'!$B$2:$F$58"}</definedName>
    <definedName name="_______JAN05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_key1" hidden="1">#REF!</definedName>
    <definedName name="_______key2" hidden="1">#REF!</definedName>
    <definedName name="_______key3" hidden="1">#REF!</definedName>
    <definedName name="_______MAY05" hidden="1">{"bs",#N/A,FALSE,"BS";"pl",#N/A,FALSE,"PL"}</definedName>
    <definedName name="_______r" hidden="1">{"consolidated",#N/A,FALSE,"Sheet1";"cms",#N/A,FALSE,"Sheet1";"fse",#N/A,FALSE,"Sheet1"}</definedName>
    <definedName name="_______s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t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V2" hidden="1">{#N/A,#N/A,FALSE,"Tabl. A1";#N/A,#N/A,FALSE,"Tabl. A1 b";#N/A,#N/A,FALSE,"Tabl. A2";#N/A,#N/A,FALSE,"Tabl. A2-1";#N/A,#N/A,FALSE,"Tabl. A2-2"}</definedName>
    <definedName name="_______wrn1" hidden="1">{#N/A,#N/A,FALSE,"DCF";#N/A,#N/A,FALSE,"WACC";#N/A,#N/A,FALSE,"Sales_EBIT";#N/A,#N/A,FALSE,"Capex_Depreciation";#N/A,#N/A,FALSE,"WC";#N/A,#N/A,FALSE,"Interest";#N/A,#N/A,FALSE,"Assumptions"}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11" hidden="1">{#N/A,#N/A,FALSE,"Umsatz 99";#N/A,#N/A,FALSE,"ER 99 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s12" hidden="1">#REF!</definedName>
    <definedName name="______as25" hidden="1">#REF!</definedName>
    <definedName name="______as3" hidden="1">#REF!</definedName>
    <definedName name="______b111" hidden="1">{#N/A,#N/A,FALSE,"Pharm";#N/A,#N/A,FALSE,"WWCM"}</definedName>
    <definedName name="______b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i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r1" hidden="1">{"Quarter1",#N/A,FALSE,"Sheet1";"Quarter2",#N/A,FALSE,"Sheet1";"Quarter3",#N/A,FALSE,"Sheet1";"Quarter4",#N/A,FALSE,"Sheet1"}</definedName>
    <definedName name="______c" hidden="1">{#N/A,#N/A,FALSE,"Layout Cash Flow"}</definedName>
    <definedName name="______eva2" hidden="1">{"DCF",#N/A,FALSE,"CF"}</definedName>
    <definedName name="______eva2_1" hidden="1">{"DCF",#N/A,FALSE,"CF"}</definedName>
    <definedName name="______eva2_2" hidden="1">{"DCF",#N/A,FALSE,"CF"}</definedName>
    <definedName name="______eva2_3" hidden="1">{"DCF",#N/A,FALSE,"CF"}</definedName>
    <definedName name="______eva2_4" hidden="1">{"DCF",#N/A,FALSE,"CF"}</definedName>
    <definedName name="______eva2_5" hidden="1">{"DCF",#N/A,FALSE,"CF"}</definedName>
    <definedName name="______F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y97" hidden="1">{#N/A,#N/A,FALSE,"FY97";#N/A,#N/A,FALSE,"FY98";#N/A,#N/A,FALSE,"FY99";#N/A,#N/A,FALSE,"FY00";#N/A,#N/A,FALSE,"FY01"}</definedName>
    <definedName name="______g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inv1" hidden="1">{"'CASHFLOW_REVISED'!$B$2:$F$68","'CASHFLOW_REVISED'!$B$2:$F$58"}</definedName>
    <definedName name="______JAN05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key1" hidden="1">#REF!</definedName>
    <definedName name="______key2" hidden="1">#REF!</definedName>
    <definedName name="______key3" hidden="1">#REF!</definedName>
    <definedName name="______MAY05" hidden="1">{"bs",#N/A,FALSE,"BS";"pl",#N/A,FALSE,"PL"}</definedName>
    <definedName name="______new1" hidden="1">{#N/A,#N/A,FALSE,"Pharm";#N/A,#N/A,FALSE,"WWCM"}</definedName>
    <definedName name="______P1" hidden="1">{#N/A,#N/A,TRUE,"流动资产--预付";"宁夏正大会计师事务所 - 个人视面",#N/A,TRUE,"Sheet1"}</definedName>
    <definedName name="______P2" hidden="1">{#N/A,#N/A,TRUE,"流动资产--预付";"宁夏正大会计师事务所 - 个人视面",#N/A,TRUE,"Sheet1"}</definedName>
    <definedName name="______P4" hidden="1">{#N/A,#N/A,TRUE,"流动资产--预付";"宁夏正大会计师事务所 - 个人视面",#N/A,TRUE,"Sheet1"}</definedName>
    <definedName name="______P5" hidden="1">{#N/A,#N/A,TRUE,"流动资产--预付";"宁夏正大会计师事务所 - 个人视面",#N/A,TRUE,"Sheet1"}</definedName>
    <definedName name="______r" hidden="1">{"consolidated",#N/A,FALSE,"Sheet1";"cms",#N/A,FALSE,"Sheet1";"fse",#N/A,FALSE,"Sheet1"}</definedName>
    <definedName name="______s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tm1" hidden="1">{#N/A,#N/A,FALSE,"Pharm";#N/A,#N/A,FALSE,"WWCM"}</definedName>
    <definedName name="______V2" hidden="1">{#N/A,#N/A,FALSE,"Tabl. A1";#N/A,#N/A,FALSE,"Tabl. A1 b";#N/A,#N/A,FALSE,"Tabl. A2";#N/A,#N/A,FALSE,"Tabl. A2-1";#N/A,#N/A,FALSE,"Tabl. A2-2"}</definedName>
    <definedName name="______wrn1" hidden="1">{#N/A,#N/A,FALSE,"DCF";#N/A,#N/A,FALSE,"WACC";#N/A,#N/A,FALSE,"Sales_EBIT";#N/A,#N/A,FALSE,"Capex_Depreciation";#N/A,#N/A,FALSE,"WC";#N/A,#N/A,FALSE,"Interest";#N/A,#N/A,FALSE,"Assumptions"}</definedName>
    <definedName name="______X2" hidden="1">{#N/A,#N/A,FALSE,"Other";#N/A,#N/A,FALSE,"Ace";#N/A,#N/A,FALSE,"Derm"}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11" hidden="1">{#N/A,#N/A,FALSE,"Umsatz 99";#N/A,#N/A,FALSE,"ER 99 "}</definedName>
    <definedName name="_____A11_1" hidden="1">{#N/A,#N/A,FALSE,"Umsatz 99";#N/A,#N/A,FALSE,"ER 99 "}</definedName>
    <definedName name="_____A11_2" hidden="1">{#N/A,#N/A,FALSE,"Umsatz 99";#N/A,#N/A,FALSE,"ER 99 "}</definedName>
    <definedName name="_____A11_3" hidden="1">{#N/A,#N/A,FALSE,"Umsatz 99";#N/A,#N/A,FALSE,"ER 99 "}</definedName>
    <definedName name="_____aaa1" hidden="1">{#N/A,#N/A,FALSE,"Model";#N/A,#N/A,FALSE,"Division"}</definedName>
    <definedName name="_____aaa1_1" hidden="1">{#N/A,#N/A,FALSE,"Model";#N/A,#N/A,FALSE,"Division"}</definedName>
    <definedName name="_____abc1" hidden="1">{"detail",#N/A,FALSE,"mfg";"summary",#N/A,FALSE,"mfg"}</definedName>
    <definedName name="_____abc2" hidden="1">{"detail",#N/A,FALSE,"mfg";"summary",#N/A,FALSE,"mfg"}</definedName>
    <definedName name="_____as12" hidden="1">#REF!</definedName>
    <definedName name="_____as25" hidden="1">#REF!</definedName>
    <definedName name="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i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r1" hidden="1">{"Quarter1",#N/A,FALSE,"Sheet1";"Quarter2",#N/A,FALSE,"Sheet1";"Quarter3",#N/A,FALSE,"Sheet1";"Quarter4",#N/A,FALSE,"Sheet1"}</definedName>
    <definedName name="_____c" hidden="1">{#N/A,#N/A,FALSE,"Layout Cash Flow"}</definedName>
    <definedName name="_____c_1" hidden="1">{"Fiesta Facer Page",#N/A,FALSE,"Q_C_S";"Fiesta Main Page",#N/A,FALSE,"V_L";"Fiesta 95BP Struct",#N/A,FALSE,"StructBP";"Fiesta Post 95BP Struct",#N/A,FALSE,"AdjStructBP"}</definedName>
    <definedName name="_____c_2" hidden="1">{"Fiesta Facer Page",#N/A,FALSE,"Q_C_S";"Fiesta Main Page",#N/A,FALSE,"V_L";"Fiesta 95BP Struct",#N/A,FALSE,"StructBP";"Fiesta Post 95BP Struct",#N/A,FALSE,"AdjStructBP"}</definedName>
    <definedName name="_____c_3" hidden="1">{"Fiesta Facer Page",#N/A,FALSE,"Q_C_S";"Fiesta Main Page",#N/A,FALSE,"V_L";"Fiesta 95BP Struct",#N/A,FALSE,"StructBP";"Fiesta Post 95BP Struct",#N/A,FALSE,"AdjStructBP"}</definedName>
    <definedName name="_____ds1" hidden="1">{"mgmt forecast",#N/A,FALSE,"Mgmt Forecast";"dcf table",#N/A,FALSE,"Mgmt Forecast";"sensitivity",#N/A,FALSE,"Mgmt Forecast";"table inputs",#N/A,FALSE,"Mgmt Forecast";"calculations",#N/A,FALSE,"Mgmt Forecast"}</definedName>
    <definedName name="_____F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y97" hidden="1">{#N/A,#N/A,FALSE,"FY97";#N/A,#N/A,FALSE,"FY98";#N/A,#N/A,FALSE,"FY99";#N/A,#N/A,FALSE,"FY00";#N/A,#N/A,FALSE,"FY01"}</definedName>
    <definedName name="_____fy97_1" hidden="1">{#N/A,#N/A,FALSE,"FY97";#N/A,#N/A,FALSE,"FY98";#N/A,#N/A,FALSE,"FY99";#N/A,#N/A,FALSE,"FY00";#N/A,#N/A,FALSE,"FY01"}</definedName>
    <definedName name="_____g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inv1" hidden="1">{"'CASHFLOW_REVISED'!$B$2:$F$68","'CASHFLOW_REVISED'!$B$2:$F$58"}</definedName>
    <definedName name="_____JAN05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key1" hidden="1">#REF!</definedName>
    <definedName name="_____key2" hidden="1">#REF!</definedName>
    <definedName name="_____key3" hidden="1">#REF!</definedName>
    <definedName name="_____MAY05" hidden="1">{"bs",#N/A,FALSE,"BS";"pl",#N/A,FALSE,"PL"}</definedName>
    <definedName name="_____mor1" hidden="1">#REF!</definedName>
    <definedName name="_____P1" hidden="1">{#N/A,#N/A,TRUE,"流动资产--预付";"宁夏正大会计师事务所 - 个人视面",#N/A,TRUE,"Sheet1"}</definedName>
    <definedName name="_____P2" hidden="1">{#N/A,#N/A,TRUE,"流动资产--预付";"宁夏正大会计师事务所 - 个人视面",#N/A,TRUE,"Sheet1"}</definedName>
    <definedName name="_____P4" hidden="1">{#N/A,#N/A,TRUE,"流动资产--预付";"宁夏正大会计师事务所 - 个人视面",#N/A,TRUE,"Sheet1"}</definedName>
    <definedName name="_____P5" hidden="1">{#N/A,#N/A,TRUE,"流动资产--预付";"宁夏正大会计师事务所 - 个人视面",#N/A,TRUE,"Sheet1"}</definedName>
    <definedName name="_____r" hidden="1">{"consolidated",#N/A,FALSE,"Sheet1";"cms",#N/A,FALSE,"Sheet1";"fse",#N/A,FALSE,"Sheet1"}</definedName>
    <definedName name="_____r_1" hidden="1">{"consolidated",#N/A,FALSE,"Sheet1";"cms",#N/A,FALSE,"Sheet1";"fse",#N/A,FALSE,"Sheet1"}</definedName>
    <definedName name="_____s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__s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t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V2" hidden="1">{#N/A,#N/A,FALSE,"Tabl. A1";#N/A,#N/A,FALSE,"Tabl. A1 b";#N/A,#N/A,FALSE,"Tabl. A2";#N/A,#N/A,FALSE,"Tabl. A2-1";#N/A,#N/A,FALSE,"Tabl. A2-2"}</definedName>
    <definedName name="_____wrn1" hidden="1">{#N/A,#N/A,FALSE,"DCF";#N/A,#N/A,FALSE,"WACC";#N/A,#N/A,FALSE,"Sales_EBIT";#N/A,#N/A,FALSE,"Capex_Depreciation";#N/A,#N/A,FALSE,"WC";#N/A,#N/A,FALSE,"Interest";#N/A,#N/A,FALSE,"Assumptions"}</definedName>
    <definedName name="_____wrn1_1" hidden="1">{#N/A,#N/A,FALSE,"DCF";#N/A,#N/A,FALSE,"WACC";#N/A,#N/A,FALSE,"Sales_EBIT";#N/A,#N/A,FALSE,"Capex_Depreciation";#N/A,#N/A,FALSE,"WC";#N/A,#N/A,FALSE,"Interest";#N/A,#N/A,FALSE,"Assumptions"}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11" hidden="1">{#N/A,#N/A,FALSE,"Umsatz 99";#N/A,#N/A,FALSE,"ER 99 "}</definedName>
    <definedName name="____A11_1" hidden="1">{#N/A,#N/A,FALSE,"Umsatz 99";#N/A,#N/A,FALSE,"ER 99 "}</definedName>
    <definedName name="____A11_2" hidden="1">{#N/A,#N/A,FALSE,"Umsatz 99";#N/A,#N/A,FALSE,"ER 99 "}</definedName>
    <definedName name="____A11_3" hidden="1">{#N/A,#N/A,FALSE,"Umsatz 99";#N/A,#N/A,FALSE,"ER 99 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aa1_1" hidden="1">{#N/A,#N/A,FALSE,"Model";#N/A,#N/A,FALSE,"Division"}</definedName>
    <definedName name="____abc1" hidden="1">{"detail",#N/A,FALSE,"mfg";"summary",#N/A,FALSE,"mfg"}</definedName>
    <definedName name="____abc2" hidden="1">{"detail",#N/A,FALSE,"mfg";"summary",#N/A,FALSE,"mfg"}</definedName>
    <definedName name="____as12" hidden="1">#REF!</definedName>
    <definedName name="____as25" hidden="1">#REF!</definedName>
    <definedName name="____as3" hidden="1">#REF!</definedName>
    <definedName name="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i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r1" hidden="1">{"Quarter1",#N/A,FALSE,"Sheet1";"Quarter2",#N/A,FALSE,"Sheet1";"Quarter3",#N/A,FALSE,"Sheet1";"Quarter4",#N/A,FALSE,"Sheet1"}</definedName>
    <definedName name="____c" hidden="1">{#N/A,#N/A,FALSE,"Layout Cash Flow"}</definedName>
    <definedName name="____c_1" hidden="1">{"Fiesta Facer Page",#N/A,FALSE,"Q_C_S";"Fiesta Main Page",#N/A,FALSE,"V_L";"Fiesta 95BP Struct",#N/A,FALSE,"StructBP";"Fiesta Post 95BP Struct",#N/A,FALSE,"AdjStructBP"}</definedName>
    <definedName name="____c_2" hidden="1">{"Fiesta Facer Page",#N/A,FALSE,"Q_C_S";"Fiesta Main Page",#N/A,FALSE,"V_L";"Fiesta 95BP Struct",#N/A,FALSE,"StructBP";"Fiesta Post 95BP Struct",#N/A,FALSE,"AdjStructBP"}</definedName>
    <definedName name="____c_3" hidden="1">{"Fiesta Facer Page",#N/A,FALSE,"Q_C_S";"Fiesta Main Page",#N/A,FALSE,"V_L";"Fiesta 95BP Struct",#N/A,FALSE,"StructBP";"Fiesta Post 95BP Struct",#N/A,FALSE,"AdjStructBP"}</definedName>
    <definedName name="____eva2" hidden="1">{"DCF",#N/A,FALSE,"CF"}</definedName>
    <definedName name="____eva2_1" hidden="1">{"DCF",#N/A,FALSE,"CF"}</definedName>
    <definedName name="____eva2_2" hidden="1">{"DCF",#N/A,FALSE,"CF"}</definedName>
    <definedName name="____eva2_3" hidden="1">{"DCF",#N/A,FALSE,"CF"}</definedName>
    <definedName name="____eva2_4" hidden="1">{"DCF",#N/A,FALSE,"CF"}</definedName>
    <definedName name="____eva2_5" hidden="1">{"DCF",#N/A,FALSE,"CF"}</definedName>
    <definedName name="____fco2" hidden="1">{#N/A,#N/A,FALSE,"gc (2)"}</definedName>
    <definedName name="____fco2_1" hidden="1">{#N/A,#N/A,FALSE,"gc (2)"}</definedName>
    <definedName name="____fco2_2" hidden="1">{#N/A,#N/A,FALSE,"gc (2)"}</definedName>
    <definedName name="____fco2_3" hidden="1">{#N/A,#N/A,FALSE,"gc (2)"}</definedName>
    <definedName name="____F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y97" hidden="1">{#N/A,#N/A,FALSE,"FY97";#N/A,#N/A,FALSE,"FY98";#N/A,#N/A,FALSE,"FY99";#N/A,#N/A,FALSE,"FY00";#N/A,#N/A,FALSE,"FY01"}</definedName>
    <definedName name="____fy97_1" hidden="1">{#N/A,#N/A,FALSE,"FY97";#N/A,#N/A,FALSE,"FY98";#N/A,#N/A,FALSE,"FY99";#N/A,#N/A,FALSE,"FY00";#N/A,#N/A,FALSE,"FY01"}</definedName>
    <definedName name="____g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Grp16" hidden="1">{#N/A,#N/A,FALSE,"PMTABB";#N/A,#N/A,FALSE,"PMTABB"}</definedName>
    <definedName name="____inv1" hidden="1">{"'CASHFLOW_REVISED'!$B$2:$F$68","'CASHFLOW_REVISED'!$B$2:$F$58"}</definedName>
    <definedName name="____JAN05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key1" hidden="1">#REF!</definedName>
    <definedName name="____key2" hidden="1">#REF!</definedName>
    <definedName name="____key3" hidden="1">#REF!</definedName>
    <definedName name="____MAY05" hidden="1">{"bs",#N/A,FALSE,"BS";"pl",#N/A,FALSE,"PL"}</definedName>
    <definedName name="____mor1" hidden="1">#REF!</definedName>
    <definedName name="____r" hidden="1">{"consolidated",#N/A,FALSE,"Sheet1";"cms",#N/A,FALSE,"Sheet1";"fse",#N/A,FALSE,"Sheet1"}</definedName>
    <definedName name="____r_1" hidden="1">{"consolidated",#N/A,FALSE,"Sheet1";"cms",#N/A,FALSE,"Sheet1";"fse",#N/A,FALSE,"Sheet1"}</definedName>
    <definedName name="____ram1" hidden="1">{#N/A,#N/A,FALSE,"gc (2)"}</definedName>
    <definedName name="____ram1_1" hidden="1">{#N/A,#N/A,FALSE,"gc (2)"}</definedName>
    <definedName name="____ram1_2" hidden="1">{#N/A,#N/A,FALSE,"gc (2)"}</definedName>
    <definedName name="____ram1_3" hidden="1">{#N/A,#N/A,FALSE,"gc (2)"}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s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sti02" hidden="1">{#N/A,#N/A,FALSE,"gc (2)"}</definedName>
    <definedName name="____sti02_1" hidden="1">{#N/A,#N/A,FALSE,"gc (2)"}</definedName>
    <definedName name="____sti02_2" hidden="1">{#N/A,#N/A,FALSE,"gc (2)"}</definedName>
    <definedName name="____sti02_3" hidden="1">{#N/A,#N/A,FALSE,"gc (2)"}</definedName>
    <definedName name="__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1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1_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1_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_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_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a1" hidden="1">{#N/A,#N/A,TRUE,"Financials";#N/A,#N/A,TRUE,"Operating Statistics";#N/A,#N/A,TRUE,"Capex &amp; Depreciation";#N/A,#N/A,TRUE,"Debt"}</definedName>
    <definedName name="____ta1_1" hidden="1">{#N/A,#N/A,TRUE,"Financials";#N/A,#N/A,TRUE,"Operating Statistics";#N/A,#N/A,TRUE,"Capex &amp; Depreciation";#N/A,#N/A,TRUE,"Debt"}</definedName>
    <definedName name="____ta1_2" hidden="1">{#N/A,#N/A,TRUE,"Financials";#N/A,#N/A,TRUE,"Operating Statistics";#N/A,#N/A,TRUE,"Capex &amp; Depreciation";#N/A,#N/A,TRUE,"Debt"}</definedName>
    <definedName name="____ta1_3" hidden="1">{#N/A,#N/A,TRUE,"Financials";#N/A,#N/A,TRUE,"Operating Statistics";#N/A,#N/A,TRUE,"Capex &amp; Depreciation";#N/A,#N/A,TRUE,"Debt"}</definedName>
    <definedName name="____tb1" hidden="1">{#N/A,#N/A,FALSE,"One Pager";#N/A,#N/A,FALSE,"Technical"}</definedName>
    <definedName name="____tb1_1" hidden="1">{#N/A,#N/A,FALSE,"One Pager";#N/A,#N/A,FALSE,"Technical"}</definedName>
    <definedName name="____tb1_2" hidden="1">{#N/A,#N/A,FALSE,"One Pager";#N/A,#N/A,FALSE,"Technical"}</definedName>
    <definedName name="____tb1_3" hidden="1">{#N/A,#N/A,FALSE,"One Pager";#N/A,#N/A,FALSE,"Technical"}</definedName>
    <definedName name="____t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V2" hidden="1">{#N/A,#N/A,FALSE,"Tabl. A1";#N/A,#N/A,FALSE,"Tabl. A1 b";#N/A,#N/A,FALSE,"Tabl. A2";#N/A,#N/A,FALSE,"Tabl. A2-1";#N/A,#N/A,FALSE,"Tabl. A2-2"}</definedName>
    <definedName name="____wrn1" hidden="1">{#N/A,#N/A,FALSE,"DCF";#N/A,#N/A,FALSE,"WACC";#N/A,#N/A,FALSE,"Sales_EBIT";#N/A,#N/A,FALSE,"Capex_Depreciation";#N/A,#N/A,FALSE,"WC";#N/A,#N/A,FALSE,"Interest";#N/A,#N/A,FALSE,"Assumptions"}</definedName>
    <definedName name="____wrn1_1" hidden="1">{#N/A,#N/A,FALSE,"DCF";#N/A,#N/A,FALSE,"WACC";#N/A,#N/A,FALSE,"Sales_EBIT";#N/A,#N/A,FALSE,"Capex_Depreciation";#N/A,#N/A,FALSE,"WC";#N/A,#N/A,FALSE,"Interest";#N/A,#N/A,FALSE,"Assumptions"}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A11" hidden="1">{#N/A,#N/A,FALSE,"Umsatz 99";#N/A,#N/A,FALSE,"ER 99 "}</definedName>
    <definedName name="___A11_1" hidden="1">{#N/A,#N/A,FALSE,"Umsatz 99";#N/A,#N/A,FALSE,"ER 99 "}</definedName>
    <definedName name="___A11_2" hidden="1">{#N/A,#N/A,FALSE,"Umsatz 99";#N/A,#N/A,FALSE,"ER 99 "}</definedName>
    <definedName name="___A11_3" hidden="1">{#N/A,#N/A,FALSE,"Umsatz 99";#N/A,#N/A,FALSE,"ER 99 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s12" hidden="1">#REF!</definedName>
    <definedName name="___as25" hidden="1">#REF!</definedName>
    <definedName name="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i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r1" hidden="1">{"Quarter1",#N/A,FALSE,"Sheet1";"Quarter2",#N/A,FALSE,"Sheet1";"Quarter3",#N/A,FALSE,"Sheet1";"Quarter4",#N/A,FALSE,"Sheet1"}</definedName>
    <definedName name="___c" hidden="1">{#N/A,#N/A,FALSE,"Layout Cash Flow"}</definedName>
    <definedName name="___c_1" hidden="1">{"Fiesta Facer Page",#N/A,FALSE,"Q_C_S";"Fiesta Main Page",#N/A,FALSE,"V_L";"Fiesta 95BP Struct",#N/A,FALSE,"StructBP";"Fiesta Post 95BP Struct",#N/A,FALSE,"AdjStructBP"}</definedName>
    <definedName name="___c_2" hidden="1">{"Fiesta Facer Page",#N/A,FALSE,"Q_C_S";"Fiesta Main Page",#N/A,FALSE,"V_L";"Fiesta 95BP Struct",#N/A,FALSE,"StructBP";"Fiesta Post 95BP Struct",#N/A,FALSE,"AdjStructBP"}</definedName>
    <definedName name="___c_3" hidden="1">{"Fiesta Facer Page",#N/A,FALSE,"Q_C_S";"Fiesta Main Page",#N/A,FALSE,"V_L";"Fiesta 95BP Struct",#N/A,FALSE,"StructBP";"Fiesta Post 95BP Struct",#N/A,FALSE,"AdjStructBP"}</definedName>
    <definedName name="___ds1" hidden="1">{"mgmt forecast",#N/A,FALSE,"Mgmt Forecast";"dcf table",#N/A,FALSE,"Mgmt Forecast";"sensitivity",#N/A,FALSE,"Mgmt Forecast";"table inputs",#N/A,FALSE,"Mgmt Forecast";"calculations",#N/A,FALSE,"Mgmt Forecast"}</definedName>
    <definedName name="___eva2" hidden="1">{"DCF",#N/A,FALSE,"CF"}</definedName>
    <definedName name="___eva2_1" hidden="1">{"DCF",#N/A,FALSE,"CF"}</definedName>
    <definedName name="___eva2_2" hidden="1">{"DCF",#N/A,FALSE,"CF"}</definedName>
    <definedName name="___eva2_3" hidden="1">{"DCF",#N/A,FALSE,"CF"}</definedName>
    <definedName name="___eva2_4" hidden="1">{"DCF",#N/A,FALSE,"CF"}</definedName>
    <definedName name="___eva2_5" hidden="1">{"DCF",#N/A,FALSE,"CF"}</definedName>
    <definedName name="___F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y97" hidden="1">{#N/A,#N/A,FALSE,"FY97";#N/A,#N/A,FALSE,"FY98";#N/A,#N/A,FALSE,"FY99";#N/A,#N/A,FALSE,"FY00";#N/A,#N/A,FALSE,"FY01"}</definedName>
    <definedName name="___gcp1">#REF!</definedName>
    <definedName name="___gcp3">#REF!</definedName>
    <definedName name="___gcp6">#REF!</definedName>
    <definedName name="___g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Grp16" hidden="1">{#N/A,#N/A,FALSE,"PMTABB";#N/A,#N/A,FALSE,"PMTABB"}</definedName>
    <definedName name="___inv1" hidden="1">{"'CASHFLOW_REVISED'!$B$2:$F$68","'CASHFLOW_REVISED'!$B$2:$F$58"}</definedName>
    <definedName name="___JAN05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key1" hidden="1">#REF!</definedName>
    <definedName name="___key2" hidden="1">#REF!</definedName>
    <definedName name="___key3" hidden="1">#REF!</definedName>
    <definedName name="___MAY05" hidden="1">{"bs",#N/A,FALSE,"BS";"pl",#N/A,FALSE,"PL"}</definedName>
    <definedName name="___mor1" hidden="1">#REF!</definedName>
    <definedName name="___P1" hidden="1">{#N/A,#N/A,TRUE,"流动资产--预付";"宁夏正大会计师事务所 - 个人视面",#N/A,TRUE,"Sheet1"}</definedName>
    <definedName name="___P2" hidden="1">{#N/A,#N/A,TRUE,"流动资产--预付";"宁夏正大会计师事务所 - 个人视面",#N/A,TRUE,"Sheet1"}</definedName>
    <definedName name="___P4" hidden="1">{#N/A,#N/A,TRUE,"流动资产--预付";"宁夏正大会计师事务所 - 个人视面",#N/A,TRUE,"Sheet1"}</definedName>
    <definedName name="___P5" hidden="1">{#N/A,#N/A,TRUE,"流动资产--预付";"宁夏正大会计师事务所 - 个人视面",#N/A,TRUE,"Sheet1"}</definedName>
    <definedName name="___r" hidden="1">{"consolidated",#N/A,FALSE,"Sheet1";"cms",#N/A,FALSE,"Sheet1";"fse",#N/A,FALSE,"Sheet1"}</definedName>
    <definedName name="___RT25" hidden="1">{#N/A,#N/A,FALSE,"Umsatz 99";#N/A,#N/A,FALSE,"ER 99 "}</definedName>
    <definedName name="___s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s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thinkcell.KgyCI.OOUqGTsDe1i0X.Q" hidden="1">#REF!</definedName>
    <definedName name="___thinkcell0kUAAAAAAAAAAAAA2kxtMA9pPki.cSaWf3KcxA" hidden="1">#REF!</definedName>
    <definedName name="___thinkcell0kUAAAAAAAAAAAAAeJUL5m943EigHOumSU9rkA" hidden="1">#REF!</definedName>
    <definedName name="___thinkcell0kUAAAAAAAAAAAAAHFVsbaFJxkixlq7ndplZAw" hidden="1">#REF!</definedName>
    <definedName name="___thinkcell0kUAAAAAAAAAAAAASy4AwZXSFkSQOHbtdwKjQw" hidden="1">#REF!</definedName>
    <definedName name="___thinkcell0kUAAAAAAAAAAAAAtpFWoS9tK0yRee6DasRKnQ" hidden="1">#REF!</definedName>
    <definedName name="___thinkcell0kUAAAAAAAAEAAAA3hMRgkuwv0ipvo_LReVktA" hidden="1">#REF!</definedName>
    <definedName name="___thinkcell0kUAAAAAAAAEAAAAhxuoHRsUGkCrKgKSgbDHLA" hidden="1">#REF!</definedName>
    <definedName name="___thinkcell11wvTEL6W0W2zDrq5o.quA" hidden="1">#REF!</definedName>
    <definedName name="___thinkcellPEYAAAAAAAANAAAA.T92tzsHJEqwr1tz4GzaJA" hidden="1">#REF!</definedName>
    <definedName name="___thinkcellPEYAAAAAAAANAAAA3ilAC.E0wkKFSxQDMcP2uw" hidden="1">#REF!</definedName>
    <definedName name="___thinkcellPEYAAAAAAAANAAAAmIlPNo2vFUic1psuK.sLJQ" hidden="1">#REF!</definedName>
    <definedName name="___thinkcellzEUAAAAAAAAAAAAANj20KXV0w0Km9vYG0iJ.8A" hidden="1">#REF!</definedName>
    <definedName name="___thinkcellzEUAAAAAAAAAAAAAYJ29Yrbr80yfXMc3_JEbrw" hidden="1">#REF!</definedName>
    <definedName name="___t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" hidden="1">#REF!</definedName>
    <definedName name="__1__123Graph_BCHART_4" hidden="1">#REF!</definedName>
    <definedName name="__123Graph_A" hidden="1">#REF!</definedName>
    <definedName name="__123Graph_ACAD" hidden="1">#REF!</definedName>
    <definedName name="__123Graph_ACAD1" hidden="1">#REF!</definedName>
    <definedName name="__123Graph_ACAD2" hidden="1">#REF!</definedName>
    <definedName name="__123Graph_ACASH95" hidden="1">#REF!</definedName>
    <definedName name="__123Graph_ACASH96" hidden="1">#REF!</definedName>
    <definedName name="__123Graph_ACASH97" hidden="1">#REF!</definedName>
    <definedName name="__123Graph_ACASH98" hidden="1">#REF!</definedName>
    <definedName name="__123Graph_ACASH99" hidden="1">#REF!</definedName>
    <definedName name="__123Graph_ACASHFLOW" hidden="1">#N/A</definedName>
    <definedName name="__123Graph_ACHART1" hidden="1">#REF!</definedName>
    <definedName name="__123Graph_ACHART2" hidden="1">#REF!</definedName>
    <definedName name="__123Graph_ACOL" hidden="1">#REF!</definedName>
    <definedName name="__123Graph_ACOL2" hidden="1">#REF!</definedName>
    <definedName name="__123Graph_ACOL3" hidden="1">#REF!</definedName>
    <definedName name="__123Graph_ACUM" hidden="1">#REF!</definedName>
    <definedName name="__123Graph_ACURRENT" hidden="1">#REF!</definedName>
    <definedName name="__123Graph_ADRIVER2" hidden="1">#N/A</definedName>
    <definedName name="__123Graph_AGR42" hidden="1">#REF!</definedName>
    <definedName name="__123Graph_AGRCOLL" hidden="1">#REF!</definedName>
    <definedName name="__123Graph_AGRDEF" hidden="1">#REF!</definedName>
    <definedName name="__123Graph_AGRQTR" hidden="1">#REF!</definedName>
    <definedName name="__123Graph_AINCOME1" hidden="1">#N/A</definedName>
    <definedName name="__123Graph_AINCOME2" hidden="1">#N/A</definedName>
    <definedName name="__123Graph_AOUTPUT" hidden="1">#REF!</definedName>
    <definedName name="__123Graph_APROB" hidden="1">#REF!</definedName>
    <definedName name="__123Graph_ASALESTREND" hidden="1">#REF!</definedName>
    <definedName name="__123Graph_B" hidden="1">#REF!</definedName>
    <definedName name="__123Graph_BCAD" hidden="1">#REF!</definedName>
    <definedName name="__123Graph_BCAD1" hidden="1">#REF!</definedName>
    <definedName name="__123Graph_BCAD2" hidden="1">#REF!</definedName>
    <definedName name="__123Graph_BCASH95" hidden="1">#REF!</definedName>
    <definedName name="__123Graph_BCASH96" hidden="1">#REF!</definedName>
    <definedName name="__123Graph_BCASH97" hidden="1">#REF!</definedName>
    <definedName name="__123Graph_BCASH98" hidden="1">#REF!</definedName>
    <definedName name="__123Graph_BCASH99" hidden="1">#REF!</definedName>
    <definedName name="__123Graph_BCASHFLOW" hidden="1">#N/A</definedName>
    <definedName name="__123Graph_BCHART1" hidden="1">#REF!</definedName>
    <definedName name="__123Graph_BCHART2" hidden="1">#REF!</definedName>
    <definedName name="__123Graph_BCOL" hidden="1">#REF!</definedName>
    <definedName name="__123Graph_BCOL2" hidden="1">#REF!</definedName>
    <definedName name="__123Graph_BCOL3" hidden="1">#REF!</definedName>
    <definedName name="__123Graph_BCUM" hidden="1">#REF!</definedName>
    <definedName name="__123Graph_BCURRENT" hidden="1">#REF!</definedName>
    <definedName name="__123Graph_BDRIVER2" hidden="1">#N/A</definedName>
    <definedName name="__123Graph_BGR42" hidden="1">#REF!</definedName>
    <definedName name="__123Graph_BGRCOLL" hidden="1">#REF!</definedName>
    <definedName name="__123Graph_BGRDEF" hidden="1">#REF!</definedName>
    <definedName name="__123Graph_BGRQTR" hidden="1">#REF!</definedName>
    <definedName name="__123Graph_BINCOME1" hidden="1">#N/A</definedName>
    <definedName name="__123Graph_BINCOME2" hidden="1">#N/A</definedName>
    <definedName name="__123Graph_C" hidden="1">#REF!</definedName>
    <definedName name="__123Graph_CCAD" hidden="1">#REF!</definedName>
    <definedName name="__123Graph_CCAD1" hidden="1">#REF!</definedName>
    <definedName name="__123Graph_CCAD2" hidden="1">#REF!</definedName>
    <definedName name="__123Graph_CCASH95" hidden="1">#REF!</definedName>
    <definedName name="__123Graph_CCASH96" hidden="1">#REF!</definedName>
    <definedName name="__123Graph_CCASH97" hidden="1">#REF!</definedName>
    <definedName name="__123Graph_CCASH98" hidden="1">#REF!</definedName>
    <definedName name="__123Graph_CCASH99" hidden="1">#REF!</definedName>
    <definedName name="__123Graph_CCHART1" hidden="1">#REF!</definedName>
    <definedName name="__123Graph_CCHART2" hidden="1">#REF!</definedName>
    <definedName name="__123Graph_CCOL" hidden="1">#REF!</definedName>
    <definedName name="__123Graph_CCOL2" hidden="1">#REF!</definedName>
    <definedName name="__123Graph_CCOL3" hidden="1">#REF!</definedName>
    <definedName name="__123Graph_CCUM" hidden="1">#REF!</definedName>
    <definedName name="__123Graph_CCURRENT" hidden="1">#REF!</definedName>
    <definedName name="__123Graph_CGR42" hidden="1">#REF!</definedName>
    <definedName name="__123Graph_CGRCOLL" hidden="1">#REF!</definedName>
    <definedName name="__123Graph_CGRDEF" hidden="1">#REF!</definedName>
    <definedName name="__123Graph_CGRQTR" hidden="1">#REF!</definedName>
    <definedName name="__123Graph_D" hidden="1">#REF!</definedName>
    <definedName name="__123Graph_DCAD" hidden="1">#REF!</definedName>
    <definedName name="__123Graph_DCAD1" hidden="1">#REF!</definedName>
    <definedName name="__123Graph_DCAD2" hidden="1">#REF!</definedName>
    <definedName name="__123Graph_DCASH95" hidden="1">#REF!</definedName>
    <definedName name="__123Graph_DCASH96" hidden="1">#REF!</definedName>
    <definedName name="__123Graph_DCASH97" hidden="1">#REF!</definedName>
    <definedName name="__123Graph_DCASH98" hidden="1">#REF!</definedName>
    <definedName name="__123Graph_DCASH99" hidden="1">#REF!</definedName>
    <definedName name="__123Graph_DCHART1" hidden="1">#REF!</definedName>
    <definedName name="__123Graph_DCHART2" hidden="1">#REF!</definedName>
    <definedName name="__123Graph_DCOL" hidden="1">#REF!</definedName>
    <definedName name="__123Graph_DCOL2" hidden="1">#REF!</definedName>
    <definedName name="__123Graph_DCOL3" hidden="1">#REF!</definedName>
    <definedName name="__123Graph_DCUM" hidden="1">#REF!</definedName>
    <definedName name="__123Graph_DCURRENT" hidden="1">#REF!</definedName>
    <definedName name="__123Graph_DOUTPUT" hidden="1">#REF!</definedName>
    <definedName name="__123Graph_E" hidden="1">#REF!</definedName>
    <definedName name="__123Graph_ECAD" hidden="1">#REF!</definedName>
    <definedName name="__123Graph_ECAD1" hidden="1">#REF!</definedName>
    <definedName name="__123Graph_ECAD2" hidden="1">#REF!</definedName>
    <definedName name="__123Graph_ECASH98" hidden="1">#REF!</definedName>
    <definedName name="__123Graph_ECASH99" hidden="1">#REF!</definedName>
    <definedName name="__123Graph_ECHART1" hidden="1">#REF!</definedName>
    <definedName name="__123Graph_ECHART2" hidden="1">#REF!</definedName>
    <definedName name="__123Graph_ECOL" hidden="1">#REF!</definedName>
    <definedName name="__123Graph_ECOL2" hidden="1">#REF!</definedName>
    <definedName name="__123Graph_ECOL3" hidden="1">#REF!</definedName>
    <definedName name="__123Graph_ECURRENT" hidden="1">#REF!</definedName>
    <definedName name="__123Graph_EOUTPUT" hidden="1">#REF!</definedName>
    <definedName name="__123Graph_F" hidden="1">#REF!</definedName>
    <definedName name="__123Graph_FCAD2" hidden="1">#REF!</definedName>
    <definedName name="__123Graph_FCHART1" hidden="1">#REF!</definedName>
    <definedName name="__123Graph_FCHART2" hidden="1">#REF!</definedName>
    <definedName name="__123Graph_FCOL3" hidden="1">#REF!</definedName>
    <definedName name="__123Graph_FCURRENT" hidden="1">#REF!</definedName>
    <definedName name="__123Graph_LBL_AOUTPUT" hidden="1">#REF!</definedName>
    <definedName name="__123Graph_LBL_ASALESTREND" hidden="1">#REF!</definedName>
    <definedName name="__123Graph_LBL_DOUTPUT" hidden="1">#REF!</definedName>
    <definedName name="__123Graph_X" hidden="1">#REF!</definedName>
    <definedName name="__123Graph_XCAD" hidden="1">#REF!</definedName>
    <definedName name="__123Graph_XCAD1" hidden="1">#REF!</definedName>
    <definedName name="__123Graph_XCAD2" hidden="1">#REF!</definedName>
    <definedName name="__123Graph_XCASH95" hidden="1">#REF!</definedName>
    <definedName name="__123Graph_XCASH96" hidden="1">#REF!</definedName>
    <definedName name="__123Graph_XCASH97" hidden="1">#REF!</definedName>
    <definedName name="__123Graph_XCASH98" hidden="1">#REF!</definedName>
    <definedName name="__123Graph_XCASH99" hidden="1">#REF!</definedName>
    <definedName name="__123Graph_XCASHFLOW" hidden="1">#N/A</definedName>
    <definedName name="__123Graph_XCHART1" hidden="1">#REF!</definedName>
    <definedName name="__123Graph_XCHART2" hidden="1">#REF!</definedName>
    <definedName name="__123Graph_XCOL" hidden="1">#REF!</definedName>
    <definedName name="__123Graph_XCOL2" hidden="1">#REF!</definedName>
    <definedName name="__123Graph_XCOL3" hidden="1">#REF!</definedName>
    <definedName name="__123Graph_XCUM" hidden="1">#REF!</definedName>
    <definedName name="__123Graph_XCURRENT" hidden="1">#REF!</definedName>
    <definedName name="__123Graph_XDRIVER2" hidden="1">#N/A</definedName>
    <definedName name="__123Graph_XGR42" hidden="1">#REF!</definedName>
    <definedName name="__123Graph_XGRCOLL" hidden="1">#REF!</definedName>
    <definedName name="__123Graph_XGRDEF" hidden="1">#REF!</definedName>
    <definedName name="__123Graph_XGRQTR" hidden="1">#REF!</definedName>
    <definedName name="__123Graph_XINCOME1" hidden="1">#N/A</definedName>
    <definedName name="__123Graph_XINCOME2" hidden="1">#N/A</definedName>
    <definedName name="__123Graph_XOUTPUT" hidden="1">#REF!</definedName>
    <definedName name="__123Graph_XPROB" hidden="1">#REF!</definedName>
    <definedName name="__123Graph_XSALESTREND" hidden="1">#REF!</definedName>
    <definedName name="__1wrn.²Ä1­Ó¤ë1_Ü20¤H." hidden="1">{#N/A,#N/A,FALSE,"²Ä1­Ó¤ë"}</definedName>
    <definedName name="__1wrn.²Ä1­Ó¤ë1_Ü20¤H._1" hidden="1">{#N/A,#N/A,FALSE,"²Ä1­Ó¤ë"}</definedName>
    <definedName name="__1wrn.²Ä1­Ó¤ë1_Ü20¤H._2" hidden="1">{#N/A,#N/A,FALSE,"²Ä1­Ó¤ë"}</definedName>
    <definedName name="__1wrn.²Ä1­Ó¤ë1_Ü20¤H._3" hidden="1">{#N/A,#N/A,FALSE,"²Ä1­Ó¤ë"}</definedName>
    <definedName name="__2__123Graph_LBL_ACHART_5" hidden="1">#REF!</definedName>
    <definedName name="__3__123Graph_LBL_BCHART_4" hidden="1">#REF!</definedName>
    <definedName name="__3wrn.²Ä1­Ó¤ë1_Ü20¤H." hidden="1">{#N/A,#N/A,FALSE,"²Ä1­Ó¤ë"}</definedName>
    <definedName name="__3wrn.²Ä1­Ó¤ë1_Ü20¤H._1" hidden="1">{#N/A,#N/A,FALSE,"²Ä1­Ó¤ë"}</definedName>
    <definedName name="__3wrn.²Ä1­Ó¤ë1_Ü20¤H._2" hidden="1">{#N/A,#N/A,FALSE,"²Ä1­Ó¤ë"}</definedName>
    <definedName name="__3wrn.²Ä1­Ó¤ë1_Ü20¤H._3" hidden="1">{#N/A,#N/A,FALSE,"²Ä1­Ó¤ë"}</definedName>
    <definedName name="__a1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2" hidden="1">{#N/A,#N/A,FALSE,"Umsatz 99";#N/A,#N/A,FALSE,"ER 99 "}</definedName>
    <definedName name="__A11_3" hidden="1">{#N/A,#N/A,FALSE,"Umsatz 99";#N/A,#N/A,FALSE,"ER 99 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{#N/A,#N/A,FALSE,"Model";#N/A,#N/A,FALSE,"Division"}</definedName>
    <definedName name="__aaa1_1" hidden="1">{#N/A,#N/A,FALSE,"Model";#N/A,#N/A,FALSE,"Division"}</definedName>
    <definedName name="__aaa12" hidden="1">{#N/A,#N/A,FALSE,"Model";#N/A,#N/A,FALSE,"Division"}</definedName>
    <definedName name="__aas1" hidden="1">{#N/A,#N/A,FALSE,"REPORT"}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p2" hidden="1">{"detail",#N/A,FALSE,"mfg";"summary",#N/A,FALSE,"mfg"}</definedName>
    <definedName name="__APW_RESTORE_DATA27__" hidden="1">#REF!</definedName>
    <definedName name="__as12" hidden="1">#REF!</definedName>
    <definedName name="__as25" hidden="1">#REF!</definedName>
    <definedName name="__as3" hidden="1">#REF!</definedName>
    <definedName name="__b111" hidden="1">{#N/A,#N/A,FALSE,"Pharm";#N/A,#N/A,FALSE,"WWCM"}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i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r1" hidden="1">{"Quarter1",#N/A,FALSE,"Sheet1";"Quarter2",#N/A,FALSE,"Sheet1";"Quarter3",#N/A,FALSE,"Sheet1";"Quarter4",#N/A,FALSE,"Sheet1"}</definedName>
    <definedName name="__c" hidden="1">{#N/A,#N/A,FALSE,"Layout Cash Flow"}</definedName>
    <definedName name="__c_1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DIM1" hidden="1">" "</definedName>
    <definedName name="__DIM2" hidden="1">" "</definedName>
    <definedName name="__DIM3" hidden="1">" "</definedName>
    <definedName name="__DIM4" hidden="1">" "</definedName>
    <definedName name="__ds1" hidden="1">{"mgmt forecast",#N/A,FALSE,"Mgmt Forecast";"dcf table",#N/A,FALSE,"Mgmt Forecast";"sensitivity",#N/A,FALSE,"Mgmt Forecast";"table inputs",#N/A,FALSE,"Mgmt Forecast";"calculations",#N/A,FALSE,"Mgmt Forecast"}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eva2" hidden="1">{"DCF",#N/A,FALSE,"CF"}</definedName>
    <definedName name="__eva2_1" hidden="1">{"DCF",#N/A,FALSE,"CF"}</definedName>
    <definedName name="__eva2_2" hidden="1">{"DCF",#N/A,FALSE,"CF"}</definedName>
    <definedName name="__eva2_3" hidden="1">{"DCF",#N/A,FALSE,"CF"}</definedName>
    <definedName name="__eva2_4" hidden="1">{"DCF",#N/A,FALSE,"CF"}</definedName>
    <definedName name="__eva2_5" hidden="1">{"DCF",#N/A,FALSE,"CF"}</definedName>
    <definedName name="__fco2" hidden="1">{#N/A,#N/A,FALSE,"gc (2)"}</definedName>
    <definedName name="__fco2_1" hidden="1">{#N/A,#N/A,FALSE,"gc (2)"}</definedName>
    <definedName name="__fco2_2" hidden="1">{#N/A,#N/A,FALSE,"gc (2)"}</definedName>
    <definedName name="__fco2_3" hidden="1">{#N/A,#N/A,FALSE,"gc (2)"}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F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2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4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5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P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y97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g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Grp16" hidden="1">{#N/A,#N/A,FALSE,"PMTABB";#N/A,#N/A,FALSE,"PMTABB"}</definedName>
    <definedName name="__IntlFixup" hidden="1">TRUE</definedName>
    <definedName name="__inv1" hidden="1">{"'CASHFLOW_REVISED'!$B$2:$F$68","'CASHFLOW_REVISED'!$B$2:$F$58"}</definedName>
    <definedName name="__JAN05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key1" hidden="1">#REF!</definedName>
    <definedName name="__key2" hidden="1">#REF!</definedName>
    <definedName name="__key3" hidden="1">#REF!</definedName>
    <definedName name="__MAY05" hidden="1">{"bs",#N/A,FALSE,"BS";"pl",#N/A,FALSE,"PL"}</definedName>
    <definedName name="__mno9" hidden="1">{"detail",#N/A,FALSE,"mfg";"summary",#N/A,FALSE,"mfg"}</definedName>
    <definedName name="__mor1" hidden="1">#REF!</definedName>
    <definedName name="__NSO2" hidden="1">{"'Sheet1'!$L$16"}</definedName>
    <definedName name="__P2" hidden="1">{#N/A,#N/A,TRUE,"流动资产--预付";"宁夏正大会计师事务所 - 个人视面",#N/A,TRUE,"Sheet1"}</definedName>
    <definedName name="__P4" hidden="1">{#N/A,#N/A,TRUE,"流动资产--预付";"宁夏正大会计师事务所 - 个人视面",#N/A,TRUE,"Sheet1"}</definedName>
    <definedName name="__P5" hidden="1">{#N/A,#N/A,TRUE,"流动资产--预付";"宁夏正大会计师事务所 - 个人视面",#N/A,TRUE,"Sheet1"}</definedName>
    <definedName name="__r" hidden="1">{"consolidated",#N/A,FALSE,"Sheet1";"cms",#N/A,FALSE,"Sheet1";"fse",#N/A,FALSE,"Sheet1"}</definedName>
    <definedName name="__r_1" hidden="1">{"consolidated",#N/A,FALSE,"Sheet1";"cms",#N/A,FALSE,"Sheet1";"fse",#N/A,FALSE,"Sheet1"}</definedName>
    <definedName name="__RA14">#REF!</definedName>
    <definedName name="__RA9">#REF!</definedName>
    <definedName name="__ram1" hidden="1">{#N/A,#N/A,FALSE,"gc (2)"}</definedName>
    <definedName name="__ram1_1" hidden="1">{#N/A,#N/A,FALSE,"gc (2)"}</definedName>
    <definedName name="__ram1_2" hidden="1">{#N/A,#N/A,FALSE,"gc (2)"}</definedName>
    <definedName name="__ram1_3" hidden="1">{#N/A,#N/A,FALSE,"gc (2)"}</definedName>
    <definedName name="__RB3">#REF!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D1">#REF!</definedName>
    <definedName name="__RE1">#REF!</definedName>
    <definedName name="__RF1">#REF!</definedName>
    <definedName name="__RG1">#REF!</definedName>
    <definedName name="__RG2">#REF!</definedName>
    <definedName name="__RI1">#REF!</definedName>
    <definedName name="__RK1">#REF!</definedName>
    <definedName name="__RL1">#REF!</definedName>
    <definedName name="__RN1">#REF!</definedName>
    <definedName name="__RO1">#REF!</definedName>
    <definedName name="__RT25" hidden="1">{#N/A,#N/A,FALSE,"Umsatz 99";#N/A,#N/A,FALSE,"ER 99 "}</definedName>
    <definedName name="__s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s34" hidden="1">{"QTD_GENERALH2",#N/A,FALSE,"QTD"}</definedName>
    <definedName name="__sd34" hidden="1">{"QTD",#N/A,FALSE,"SUM"}</definedName>
    <definedName name="__SE1">#REF!</definedName>
    <definedName name="__SG_ACC_CAT_ACCOUNT__">#REF!</definedName>
    <definedName name="__SG_ACC_CAT_TYPE__">#REF!</definedName>
    <definedName name="__s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sti02" hidden="1">{#N/A,#N/A,FALSE,"gc (2)"}</definedName>
    <definedName name="__sti02_1" hidden="1">{#N/A,#N/A,FALSE,"gc (2)"}</definedName>
    <definedName name="__sti02_2" hidden="1">{#N/A,#N/A,FALSE,"gc (2)"}</definedName>
    <definedName name="__sti02_3" hidden="1">{#N/A,#N/A,FALSE,"gc (2)"}</definedName>
    <definedName name="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_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_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_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_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a1" hidden="1">{#N/A,#N/A,TRUE,"Financials";#N/A,#N/A,TRUE,"Operating Statistics";#N/A,#N/A,TRUE,"Capex &amp; Depreciation";#N/A,#N/A,TRUE,"Debt"}</definedName>
    <definedName name="__ta1_1" hidden="1">{#N/A,#N/A,TRUE,"Financials";#N/A,#N/A,TRUE,"Operating Statistics";#N/A,#N/A,TRUE,"Capex &amp; Depreciation";#N/A,#N/A,TRUE,"Debt"}</definedName>
    <definedName name="__ta1_2" hidden="1">{#N/A,#N/A,TRUE,"Financials";#N/A,#N/A,TRUE,"Operating Statistics";#N/A,#N/A,TRUE,"Capex &amp; Depreciation";#N/A,#N/A,TRUE,"Debt"}</definedName>
    <definedName name="__ta1_3" hidden="1">{#N/A,#N/A,TRUE,"Financials";#N/A,#N/A,TRUE,"Operating Statistics";#N/A,#N/A,TRUE,"Capex &amp; Depreciation";#N/A,#N/A,TRUE,"Debt"}</definedName>
    <definedName name="__tb1" hidden="1">{#N/A,#N/A,FALSE,"One Pager";#N/A,#N/A,FALSE,"Technical"}</definedName>
    <definedName name="__tb1_1" hidden="1">{#N/A,#N/A,FALSE,"One Pager";#N/A,#N/A,FALSE,"Technical"}</definedName>
    <definedName name="__tb1_2" hidden="1">{#N/A,#N/A,FALSE,"One Pager";#N/A,#N/A,FALSE,"Technical"}</definedName>
    <definedName name="__tb1_3" hidden="1">{#N/A,#N/A,FALSE,"One Pager";#N/A,#N/A,FALSE,"Technical"}</definedName>
    <definedName name="__tm1" hidden="1">{#N/A,#N/A,FALSE,"Pharm";#N/A,#N/A,FALSE,"WWCM"}</definedName>
    <definedName name="__V2" hidden="1">{#N/A,#N/A,FALSE,"Tabl. A1";#N/A,#N/A,FALSE,"Tabl. A1 b";#N/A,#N/A,FALSE,"Tabl. A2";#N/A,#N/A,FALSE,"Tabl. A2-1";#N/A,#N/A,FALSE,"Tabl. A2-2"}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x1" hidden="1">{"detail",#N/A,FALSE,"mfg";"summary",#N/A,FALSE,"mfg"}</definedName>
    <definedName name="__X2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ClassificationMst" hidden="1">#REF!</definedName>
    <definedName name="__xlcn.LinkedTable_dimcategory" hidden="1">#REF!</definedName>
    <definedName name="__xlcn.LinkedTable_dimclassification" hidden="1">#REF!</definedName>
    <definedName name="__xlcn.LinkedTable_dimschedule" hidden="1">#REF!</definedName>
    <definedName name="__xlcn.LinkedTable_dimsubgrouping" hidden="1">#REF!</definedName>
    <definedName name="__xlcn.LinkedTable_LEDGERS" hidden="1">#REF!</definedName>
    <definedName name="__xlcn.WorksheetConnection_RevisedScheduleVIFY201213Final7thAugust.xlsxSPLIT1213" hidden="1">#REF!</definedName>
    <definedName name="__xlfn.BAHTTEXT" hidden="1">#NAME?</definedName>
    <definedName name="__xlfn.IFERROR" hidden="1">#NAME?</definedName>
    <definedName name="__xlfn.RTD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123Graph_ACHART_1" hidden="1">#REF!</definedName>
    <definedName name="_1__123Graph_AChart_10B" hidden="1">#REF!</definedName>
    <definedName name="_1__123Graph_BCHART_4" hidden="1">#REF!</definedName>
    <definedName name="_1__wrn.²Ä1­Ó¤ë1_Ü20¤H." hidden="1">{#N/A,#N/A,FALSE,"²Ä1­Ó¤ë"}</definedName>
    <definedName name="_10__123Graph_ACHART_1" hidden="1">#REF!</definedName>
    <definedName name="_10__123Graph_ACHART_13" hidden="1">#REF!</definedName>
    <definedName name="_10__123Graph_AChart_20C" hidden="1">#REF!</definedName>
    <definedName name="_10__123Graph_BCHART_3" hidden="1">#REF!</definedName>
    <definedName name="_10__123Graph_BSENS_COMPARISON" hidden="1">#REF!</definedName>
    <definedName name="_10__123Graph_CCHART_3" hidden="1">#REF!</definedName>
    <definedName name="_10__123Graph_DCHART_1" hidden="1">#REF!</definedName>
    <definedName name="_10_0_0Cwvu.GREY_A" hidden="1">#REF!</definedName>
    <definedName name="_100">#REF!</definedName>
    <definedName name="_100__123Graph_FCHART_7" hidden="1">#REF!</definedName>
    <definedName name="_101__123Graph_FCHART_8" hidden="1">#REF!</definedName>
    <definedName name="_102__123Graph_FCHART_9" hidden="1">#REF!</definedName>
    <definedName name="_103__123Graph_X_Chart_1A" hidden="1">#REF!</definedName>
    <definedName name="_104__123Graph_XChart_1" hidden="1">#REF!</definedName>
    <definedName name="_105__123Graph_XChart_2" hidden="1">#REF!</definedName>
    <definedName name="_106__123Graph_XCHART_20" hidden="1">#REF!</definedName>
    <definedName name="_107__123Graph_XCHART_21" hidden="1">#REF!</definedName>
    <definedName name="_108__123Graph_XCHART_22" hidden="1">#REF!</definedName>
    <definedName name="_109__123Graph_XCHART_23" hidden="1">#REF!</definedName>
    <definedName name="_11__123Graph_ACHART_1" hidden="1">#REF!</definedName>
    <definedName name="_11__123Graph_AChart_21C" hidden="1">#REF!</definedName>
    <definedName name="_11__123Graph_ACHART_3" hidden="1">#REF!</definedName>
    <definedName name="_11__123Graph_BSUPPLIES_BY_B_U" hidden="1">#REF!</definedName>
    <definedName name="_11__123Graph_CCHART_8" hidden="1">#REF!</definedName>
    <definedName name="_11__123Graph_DCHART_1" hidden="1">#REF!</definedName>
    <definedName name="_11__123Graph_LBL_ACHART_1" hidden="1">#REF!</definedName>
    <definedName name="_110__123Graph_XChart_3" hidden="1">#REF!</definedName>
    <definedName name="_111__123Graph_XChart_4" hidden="1">#REF!</definedName>
    <definedName name="_112__123Graph_XChart_5" hidden="1">#REF!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3__123Graph_XChart_6" hidden="1">#REF!</definedName>
    <definedName name="_12__123Graph_ACHART_14" hidden="1">#REF!</definedName>
    <definedName name="_12__123Graph_ACHART_2" hidden="1">#REF!</definedName>
    <definedName name="_12__123Graph_AChart_22C" hidden="1">#REF!</definedName>
    <definedName name="_12__123Graph_BCHART_1" hidden="1">#REF!</definedName>
    <definedName name="_12__123Graph_BCHART_111" hidden="1">#REF!</definedName>
    <definedName name="_12__123Graph_BTAX_CREDIT" hidden="1">#REF!</definedName>
    <definedName name="_12__123Graph_DCHART_1" hidden="1">#REF!</definedName>
    <definedName name="_12__123Graph_LBL_ACHART_1" hidden="1">#REF!</definedName>
    <definedName name="_12__123Graph_LBL_ACHART_3" hidden="1">#REF!</definedName>
    <definedName name="_120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">#REF!</definedName>
    <definedName name="_122">#REF!</definedName>
    <definedName name="_123Graph_A" hidden="1">#REF!</definedName>
    <definedName name="_123Graph_BINCOME2" hidden="1">#N/A</definedName>
    <definedName name="_13__123Graph_AChart_23C" hidden="1">#REF!</definedName>
    <definedName name="_13__123Graph_ACHART_3" hidden="1">#REF!</definedName>
    <definedName name="_13__123Graph_BCHART_112" hidden="1">#REF!</definedName>
    <definedName name="_13__123Graph_BCHART_3" hidden="1">#REF!</definedName>
    <definedName name="_13__123Graph_BWAGES_BY_B_U" hidden="1">#REF!</definedName>
    <definedName name="_13__123Graph_DCHART_8" hidden="1">#REF!</definedName>
    <definedName name="_13__123Graph_LBL_ACHART_3" hidden="1">#REF!</definedName>
    <definedName name="_13__123Graph_LBL_DCHART_1" hidden="1">#REF!</definedName>
    <definedName name="_13wrn.²Ä1­Ó¤ë1_Ü20¤H." hidden="1">{#N/A,#N/A,FALSE,"²Ä1­Ó¤ë"}</definedName>
    <definedName name="_14__123Graph_ACHART_2" hidden="1">#REF!</definedName>
    <definedName name="_14__123Graph_AChart_24C" hidden="1">#REF!</definedName>
    <definedName name="_14__123Graph_BCHART_1" hidden="1">#REF!</definedName>
    <definedName name="_14__123Graph_BCHART_26" hidden="1">#REF!</definedName>
    <definedName name="_14__123Graph_CCONTRACT_BY_B_U" hidden="1">#REF!</definedName>
    <definedName name="_14__123Graph_DCHART_1" hidden="1">#REF!</definedName>
    <definedName name="_14__123Graph_LBL_ACHART_3" hidden="1">#REF!</definedName>
    <definedName name="_14__123Graph_LBL_DCHART_1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5__123Graph_AChart_25C" hidden="1">#REF!</definedName>
    <definedName name="_15__123Graph_BCHART_2" hidden="1">#REF!</definedName>
    <definedName name="_15__123Graph_CQRE_S_BY_CO." hidden="1">#REF!</definedName>
    <definedName name="_15__123Graph_LBL_ACHART_1" hidden="1">#REF!</definedName>
    <definedName name="_15__123Graph_LBL_ACHART_4" hidden="1">#REF!</definedName>
    <definedName name="_150160">#REF!</definedName>
    <definedName name="_16__123Graph_AChart_26C" hidden="1">#REF!</definedName>
    <definedName name="_16__123Graph_BCHART_1" hidden="1">#REF!</definedName>
    <definedName name="_16__123Graph_BCHART_3" hidden="1">#REF!</definedName>
    <definedName name="_16__123Graph_CSENS_COMPARISON" hidden="1">#REF!</definedName>
    <definedName name="_16__123Graph_LBL_ACHART_3" hidden="1">#REF!</definedName>
    <definedName name="_16__123Graph_LBL_BCHART_3" hidden="1">#REF!</definedName>
    <definedName name="_16_0_0Cwvu.GREY_A" hidden="1">#REF!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wrn.²Ä1­Ó¤ë1_Ü20¤H." hidden="1">{#N/A,#N/A,FALSE,"²Ä1­Ó¤ë"}</definedName>
    <definedName name="_17__123Graph_AChart_27C" hidden="1">#REF!</definedName>
    <definedName name="_17__123Graph_CSUPPLIES_BY_B_U" hidden="1">#REF!</definedName>
    <definedName name="_17__123Graph_DCHART_1" hidden="1">#REF!</definedName>
    <definedName name="_17__123Graph_LBL_BCHART_4" hidden="1">#REF!</definedName>
    <definedName name="_17__123Graph_LBL_DCHART_1" hidden="1">#REF!</definedName>
    <definedName name="_17_0_0Cwvu.GREY_A" hidden="1">#REF!</definedName>
    <definedName name="_18__123Graph_AChart_2A" hidden="1">#REF!</definedName>
    <definedName name="_18__123Graph_BCHART_12" hidden="1">#REF!</definedName>
    <definedName name="_18__123Graph_CWAGES_BY_B_U" hidden="1">#REF!</definedName>
    <definedName name="_18__123Graph_DCHART_2" hidden="1">#REF!</definedName>
    <definedName name="_18__123Graph_LBL_CCHART_3" hidden="1">#REF!</definedName>
    <definedName name="_19__123Graph_AChart_3A" hidden="1">#REF!</definedName>
    <definedName name="_19__123Graph_CCHART_111" hidden="1">#REF!</definedName>
    <definedName name="_19__123Graph_DCONTRACT_BY_B_U" hidden="1">#REF!</definedName>
    <definedName name="_19__123Graph_LBL_ACHART_1" hidden="1">#REF!</definedName>
    <definedName name="_19__123Graph_XCHART_1" hidden="1">#REF!</definedName>
    <definedName name="_190">#REF!</definedName>
    <definedName name="_1wrn.²Ä1­Ó¤ë1_Ü20¤H." hidden="1">{#N/A,#N/A,FALSE,"²Ä1­Ó¤ë"}</definedName>
    <definedName name="_1wrn.²Ä1­Ó¤ë1_Ü20¤H._1" hidden="1">{#N/A,#N/A,FALSE,"²Ä1­Ó¤ë"}</definedName>
    <definedName name="_1wrn.²Ä1­Ó¤ë1_Ü20¤H._2" hidden="1">{#N/A,#N/A,FALSE,"²Ä1­Ó¤ë"}</definedName>
    <definedName name="_1wrn.²Ä1­Ó¤ë1_Ü20¤H._3" hidden="1">{#N/A,#N/A,FALSE,"²Ä1­Ó¤ë"}</definedName>
    <definedName name="_2__123Graph_ACHART_1" hidden="1">#REF!</definedName>
    <definedName name="_2__123Graph_ACHART_111" hidden="1">#REF!</definedName>
    <definedName name="_2__123Graph_AChart_11B" hidden="1">#REF!</definedName>
    <definedName name="_2__123Graph_ACHART_3" hidden="1">#REF!</definedName>
    <definedName name="_2__123Graph_ACONTRACT_BY_B_U" hidden="1">#REF!</definedName>
    <definedName name="_2__123Graph_LBL_ACHART_5" hidden="1">#REF!</definedName>
    <definedName name="_2_wrn.²Ä1­Ó¤ë1_Ü20¤H." hidden="1">{#N/A,#N/A,FALSE,"²Ä1­Ó¤ë"}</definedName>
    <definedName name="_20__123Graph_AChart_4A" hidden="1">#REF!</definedName>
    <definedName name="_20__123Graph_BCHART_13" hidden="1">#REF!</definedName>
    <definedName name="_20__123Graph_CCHART_112" hidden="1">#REF!</definedName>
    <definedName name="_20__123Graph_DQRE_S_BY_CO." hidden="1">#REF!</definedName>
    <definedName name="_20__123Graph_LBL_ACHART_2" hidden="1">#REF!</definedName>
    <definedName name="_20__123Graph_XCHART_3" hidden="1">#REF!</definedName>
    <definedName name="_20_0_0Cwvu.GREY_A" hidden="1">#REF!</definedName>
    <definedName name="_200220">#REF!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1__123Graph_AChart_5A" hidden="1">#REF!</definedName>
    <definedName name="_21__123Graph_CCHART_26" hidden="1">#REF!</definedName>
    <definedName name="_21__123Graph_DSUPPLIES_BY_B_U" hidden="1">#REF!</definedName>
    <definedName name="_21__123Graph_LBL_ACHART_3" hidden="1">#REF!</definedName>
    <definedName name="_21__123Graph_XCHART_4" hidden="1">#REF!</definedName>
    <definedName name="_22__123Graph_A_Chart_1A" hidden="1">#REF!</definedName>
    <definedName name="_22__123Graph_AChart_6A" hidden="1">#REF!</definedName>
    <definedName name="_22__123Graph_BCHART_14" hidden="1">#REF!</definedName>
    <definedName name="_22__123Graph_CCHART_30" hidden="1">#REF!</definedName>
    <definedName name="_22__123Graph_DWAGES_BY_B_U" hidden="1">#REF!</definedName>
    <definedName name="_22__123Graph_LBL_DCHART_1" hidden="1">#REF!</definedName>
    <definedName name="_22__123Graph_XCHART_8" hidden="1">#REF!</definedName>
    <definedName name="_23__123Graph_AChart_1" hidden="1">#REF!</definedName>
    <definedName name="_23__123Graph_AChart_7A" hidden="1">#REF!</definedName>
    <definedName name="_23__123Graph_ECONTRACT_BY_B_U" hidden="1">#REF!</definedName>
    <definedName name="_23__123Graph_LBL_DCHART_2" hidden="1">#REF!</definedName>
    <definedName name="_230">#REF!</definedName>
    <definedName name="_24__123Graph_ACHART_19" hidden="1">#REF!</definedName>
    <definedName name="_24__123Graph_AChart_8A" hidden="1">#REF!</definedName>
    <definedName name="_24__123Graph_BCHART_2" hidden="1">#REF!</definedName>
    <definedName name="_24__123Graph_EQRE_S_BY_CO." hidden="1">#REF!</definedName>
    <definedName name="_24__123Graph_XCHART_2" hidden="1">#REF!</definedName>
    <definedName name="_240">#REF!</definedName>
    <definedName name="_25__123Graph_AChart_2" hidden="1">#REF!</definedName>
    <definedName name="_25__123Graph_AChart_9A" hidden="1">#REF!</definedName>
    <definedName name="_25__123Graph_DCHART_112" hidden="1">#REF!</definedName>
    <definedName name="_25__123Graph_ESUPPLIES_BY_B_U" hidden="1">#REF!</definedName>
    <definedName name="_250">#REF!</definedName>
    <definedName name="_26__123Graph_ACHART_20" hidden="1">#REF!</definedName>
    <definedName name="_26__123Graph_BChart_12B" hidden="1">#REF!</definedName>
    <definedName name="_26__123Graph_CCHART_12" hidden="1">#REF!</definedName>
    <definedName name="_26__123Graph_EWAGES_BY_B_U" hidden="1">#REF!</definedName>
    <definedName name="_27__123Graph_ACHART_21" hidden="1">#REF!</definedName>
    <definedName name="_27__123Graph_BChart_13B" hidden="1">#REF!</definedName>
    <definedName name="_27__123Graph_FCONTRACT_BY_B_U" hidden="1">#REF!</definedName>
    <definedName name="_28__123Graph_ACHART_22" hidden="1">#REF!</definedName>
    <definedName name="_28__123Graph_BChart_16B" hidden="1">#REF!</definedName>
    <definedName name="_28__123Graph_CCHART_13" hidden="1">#REF!</definedName>
    <definedName name="_28__123Graph_FQRE_S_BY_CO." hidden="1">#REF!</definedName>
    <definedName name="_28__123Graph_XCHART_112" hidden="1">#REF!</definedName>
    <definedName name="_29__123Graph_ACHART_23" hidden="1">#REF!</definedName>
    <definedName name="_29__123Graph_BChart_17B" hidden="1">#REF!</definedName>
    <definedName name="_29__123Graph_FSUPPLIES_BY_B_U" hidden="1">#REF!</definedName>
    <definedName name="_2wrn.²Ä1­Ó¤ë1_Ü20¤H." hidden="1">{#N/A,#N/A,FALSE,"²Ä1­Ó¤ë"}</definedName>
    <definedName name="_2wrn.²Ä1­Ó¤ë1_Ü20¤H._1" hidden="1">{#N/A,#N/A,FALSE,"²Ä1­Ó¤ë"}</definedName>
    <definedName name="_2wrn.²Ä1­Ó¤ë1_Ü20¤H._2" hidden="1">{#N/A,#N/A,FALSE,"²Ä1­Ó¤ë"}</definedName>
    <definedName name="_2wrn.²Ä1­Ó¤ë1_Ü20¤H._3" hidden="1">{#N/A,#N/A,FALSE,"²Ä1­Ó¤ë"}</definedName>
    <definedName name="_3__123Graph_ACHART_112" hidden="1">#REF!</definedName>
    <definedName name="_3__123Graph_AChart_12B" hidden="1">#REF!</definedName>
    <definedName name="_3__123Graph_ACHART_3" hidden="1">#REF!</definedName>
    <definedName name="_3__123Graph_ACHART_4" hidden="1">#REF!</definedName>
    <definedName name="_3__123Graph_AQRE_S_BY_CO." hidden="1">#REF!</definedName>
    <definedName name="_3__123Graph_LBL_BCHART_4" hidden="1">#REF!</definedName>
    <definedName name="_30__123Graph_ACHART_24" hidden="1">#REF!</definedName>
    <definedName name="_30__123Graph_BChart_18B" hidden="1">#REF!</definedName>
    <definedName name="_30__123Graph_CCHART_14" hidden="1">#REF!</definedName>
    <definedName name="_30__123Graph_FWAGES_BY_B_U" hidden="1">#REF!</definedName>
    <definedName name="_31__123Graph_AChart_3" hidden="1">#REF!</definedName>
    <definedName name="_31__123Graph_BChart_21C" hidden="1">#REF!</definedName>
    <definedName name="_31__123Graph_XCHART_30" hidden="1">#REF!</definedName>
    <definedName name="_31__123Graph_XCONTRACT_BY_B_U" hidden="1">#REF!</definedName>
    <definedName name="_32__123Graph_AChart_4" hidden="1">#REF!</definedName>
    <definedName name="_32__123Graph_BChart_22C" hidden="1">#REF!</definedName>
    <definedName name="_32__123Graph_CCHART_2" hidden="1">#REF!</definedName>
    <definedName name="_32__123Graph_XQRE_S_BY_CO." hidden="1">#REF!</definedName>
    <definedName name="_33__123Graph_AChart_5" hidden="1">#REF!</definedName>
    <definedName name="_33__123Graph_BChart_23C" hidden="1">#REF!</definedName>
    <definedName name="_33__123Graph_XQRE_S_BY_TYPE" hidden="1">#REF!</definedName>
    <definedName name="_34__123Graph_AChart_6" hidden="1">#REF!</definedName>
    <definedName name="_34__123Graph_BChart_24C" hidden="1">#REF!</definedName>
    <definedName name="_34__123Graph_DCHART_1" hidden="1">#REF!</definedName>
    <definedName name="_34__123Graph_XSUPPLIES_BY_B_U" hidden="1">#REF!</definedName>
    <definedName name="_35__123Graph_B_Chart_1A" hidden="1">#REF!</definedName>
    <definedName name="_35__123Graph_BChart_25C" hidden="1">#REF!</definedName>
    <definedName name="_35__123Graph_XTAX_CREDIT" hidden="1">#REF!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6__123Graph_BChart_1" hidden="1">#REF!</definedName>
    <definedName name="_36__123Graph_BChart_26C" hidden="1">#REF!</definedName>
    <definedName name="_36__123Graph_XCHART_1" hidden="1">#REF!</definedName>
    <definedName name="_37__123Graph_BCHART_12" hidden="1">#REF!</definedName>
    <definedName name="_37__123Graph_BChart_27C" hidden="1">#REF!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8__123Graph_BChart_2" hidden="1">#REF!</definedName>
    <definedName name="_38__123Graph_BChart_3A" hidden="1">#REF!</definedName>
    <definedName name="_38__123Graph_XCHART_12" hidden="1">#REF!</definedName>
    <definedName name="_39__123Graph_BCHART_20" hidden="1">#REF!</definedName>
    <definedName name="_39__123Graph_BChart_4A" hidden="1">#REF!</definedName>
    <definedName name="_3wrn.²Ä1­Ó¤ë1_Ü20¤H." hidden="1">{#N/A,#N/A,FALSE,"²Ä1­Ó¤ë"}</definedName>
    <definedName name="_3wrn.²Ä1­Ó¤ë1_Ü20¤H._1" hidden="1">{#N/A,#N/A,FALSE,"²Ä1­Ó¤ë"}</definedName>
    <definedName name="_3wrn.²Ä1­Ó¤ë1_Ü20¤H._2" hidden="1">{#N/A,#N/A,FALSE,"²Ä1­Ó¤ë"}</definedName>
    <definedName name="_3wrn.²Ä1­Ó¤ë1_Ü20¤H._3" hidden="1">{#N/A,#N/A,FALSE,"²Ä1­Ó¤ë"}</definedName>
    <definedName name="_4__123Graph_AChart_13B" hidden="1">#REF!</definedName>
    <definedName name="_4__123Graph_ACHART_8" hidden="1">#REF!</definedName>
    <definedName name="_4__123Graph_ASENS_COMPARISON" hidden="1">#REF!</definedName>
    <definedName name="_4__123Graph_BCHART_1" hidden="1">#REF!</definedName>
    <definedName name="_40__123Graph_BCHART_22" hidden="1">#REF!</definedName>
    <definedName name="_40__123Graph_BChart_5A" hidden="1">#REF!</definedName>
    <definedName name="_40__123Graph_XCHART_13" hidden="1">#REF!</definedName>
    <definedName name="_41__123Graph_BChart_3" hidden="1">#REF!</definedName>
    <definedName name="_41__123Graph_BChart_6A" hidden="1">#REF!</definedName>
    <definedName name="_42__123Graph_BCHART_4" hidden="1">#REF!</definedName>
    <definedName name="_42__123Graph_BChart_7A" hidden="1">#REF!</definedName>
    <definedName name="_42__123Graph_XCHART_14" hidden="1">#REF!</definedName>
    <definedName name="_42wrn.²Ä1­Ó¤ë1_Ü20¤H." hidden="1">{#N/A,#N/A,FALSE,"²Ä1­Ó¤ë"}</definedName>
    <definedName name="_43__123Graph_BChart_8A" hidden="1">#REF!</definedName>
    <definedName name="_43__123Graph_C_Chart_1A" hidden="1">#REF!</definedName>
    <definedName name="_44__123Graph_BChart_9A" hidden="1">#REF!</definedName>
    <definedName name="_44__123Graph_CChart_1" hidden="1">#REF!</definedName>
    <definedName name="_44__123Graph_XCHART_2" hidden="1">#REF!</definedName>
    <definedName name="_45__123Graph_CCHART_10" hidden="1">#REF!</definedName>
    <definedName name="_45__123Graph_CChart_13B" hidden="1">#REF!</definedName>
    <definedName name="_45wrn.²Ä1­Ó¤ë1_Ü20¤H." hidden="1">{#N/A,#N/A,FALSE,"²Ä1­Ó¤ë"}</definedName>
    <definedName name="_46__123Graph_CCHART_11" hidden="1">#REF!</definedName>
    <definedName name="_46__123Graph_CChart_16B" hidden="1">#REF!</definedName>
    <definedName name="_47__123Graph_CCHART_12" hidden="1">#REF!</definedName>
    <definedName name="_47__123Graph_CChart_17B" hidden="1">#REF!</definedName>
    <definedName name="_48__123Graph_CCHART_13" hidden="1">#REF!</definedName>
    <definedName name="_48__123Graph_CChart_22C" hidden="1">#REF!</definedName>
    <definedName name="_49__123Graph_CCHART_14" hidden="1">#REF!</definedName>
    <definedName name="_49__123Graph_CChart_23C" hidden="1">#REF!</definedName>
    <definedName name="_49wrn.²Ä1­Ó¤ë1_Ü20¤H." hidden="1">{#N/A,#N/A,FALSE,"²Ä1­Ó¤ë"}</definedName>
    <definedName name="_4wrn.²Ä1­Ó¤ë1_Ü20¤H." hidden="1">{#N/A,#N/A,FALSE,"²Ä1­Ó¤ë"}</definedName>
    <definedName name="_4wrn.²Ä1­Ó¤ë1_Ü20¤H._1" hidden="1">{#N/A,#N/A,FALSE,"²Ä1­Ó¤ë"}</definedName>
    <definedName name="_4wrn.²Ä1­Ó¤ë1_Ü20¤H._2" hidden="1">{#N/A,#N/A,FALSE,"²Ä1­Ó¤ë"}</definedName>
    <definedName name="_4wrn.²Ä1­Ó¤ë1_Ü20¤H._3" hidden="1">{#N/A,#N/A,FALSE,"²Ä1­Ó¤ë"}</definedName>
    <definedName name="_5__123Graph_AChart_16B" hidden="1">#REF!</definedName>
    <definedName name="_5__123Graph_ACHART_26" hidden="1">#REF!</definedName>
    <definedName name="_5__123Graph_ASUPPLIES_BY_B_U" hidden="1">#REF!</definedName>
    <definedName name="_5__123Graph_BCHART_1" hidden="1">#REF!</definedName>
    <definedName name="_5__123Graph_BCHART_3" hidden="1">#REF!</definedName>
    <definedName name="_50__123Graph_CCHART_15" hidden="1">#REF!</definedName>
    <definedName name="_50__123Graph_CChart_24C" hidden="1">#REF!</definedName>
    <definedName name="_50wrn.²Ä1­Ó¤ë1_Ü20¤H." hidden="1">{#N/A,#N/A,FALSE,"²Ä1­Ó¤ë"}</definedName>
    <definedName name="_51__123Graph_CCHART_16" hidden="1">#REF!</definedName>
    <definedName name="_51__123Graph_CChart_25C" hidden="1">#REF!</definedName>
    <definedName name="_510">#REF!</definedName>
    <definedName name="_52__123Graph_CCHART_17" hidden="1">#REF!</definedName>
    <definedName name="_52__123Graph_CChart_26C" hidden="1">#REF!</definedName>
    <definedName name="_520">#REF!</definedName>
    <definedName name="_53__123Graph_CCHART_18" hidden="1">#REF!</definedName>
    <definedName name="_53__123Graph_CChart_4A" hidden="1">#REF!</definedName>
    <definedName name="_531">#REF!</definedName>
    <definedName name="_532">#REF!</definedName>
    <definedName name="_533">#REF!</definedName>
    <definedName name="_534">#REF!</definedName>
    <definedName name="_535">#REF!</definedName>
    <definedName name="_536">#REF!</definedName>
    <definedName name="_537">#REF!</definedName>
    <definedName name="_538">#REF!</definedName>
    <definedName name="_53wrn.²Ä1­Ó¤ë1_Ü20¤H." hidden="1">{#N/A,#N/A,FALSE,"²Ä1­Ó¤ë"}</definedName>
    <definedName name="_54__123Graph_CChart_3" hidden="1">#REF!</definedName>
    <definedName name="_54__123Graph_CChart_5A" hidden="1">#REF!</definedName>
    <definedName name="_55__123Graph_CCHART_4" hidden="1">#REF!</definedName>
    <definedName name="_55__123Graph_CChart_6A" hidden="1">#REF!</definedName>
    <definedName name="_56__123Graph_CCHART_6" hidden="1">#REF!</definedName>
    <definedName name="_56__123Graph_CChart_7A" hidden="1">#REF!</definedName>
    <definedName name="_57__123Graph_CCHART_7" hidden="1">#REF!</definedName>
    <definedName name="_57__123Graph_CChart_8A" hidden="1">#REF!</definedName>
    <definedName name="_58__123Graph_CCHART_8" hidden="1">#REF!</definedName>
    <definedName name="_58__123Graph_DChart_13B" hidden="1">#REF!</definedName>
    <definedName name="_59__123Graph_CCHART_9" hidden="1">#REF!</definedName>
    <definedName name="_59__123Graph_DChart_16B" hidden="1">#REF!</definedName>
    <definedName name="_5wrn.²Ä1­Ó¤ë1_Ü20¤H." hidden="1">{#N/A,#N/A,FALSE,"²Ä1­Ó¤ë"}</definedName>
    <definedName name="_6__123Graph_ACHART_1" hidden="1">#REF!</definedName>
    <definedName name="_6__123Graph_AChart_17B" hidden="1">#REF!</definedName>
    <definedName name="_6__123Graph_ATAX_CREDIT" hidden="1">#REF!</definedName>
    <definedName name="_6__123Graph_BCHART_3" hidden="1">#REF!</definedName>
    <definedName name="_6__123Graph_DCHART_1" hidden="1">#REF!</definedName>
    <definedName name="_60__123Graph_D_Chart_1A" hidden="1">#REF!</definedName>
    <definedName name="_60__123Graph_DChart_17B" hidden="1">#REF!</definedName>
    <definedName name="_60wrn.²Ä1­Ó¤ë1_Ü20¤H." hidden="1">{#N/A,#N/A,FALSE,"²Ä1­Ó¤ë"}</definedName>
    <definedName name="_61__123Graph_DCHART_10" hidden="1">#REF!</definedName>
    <definedName name="_61__123Graph_DChart_22C" hidden="1">#REF!</definedName>
    <definedName name="_62__123Graph_DCHART_11" hidden="1">#REF!</definedName>
    <definedName name="_62__123Graph_DChart_23C" hidden="1">#REF!</definedName>
    <definedName name="_63__123Graph_DCHART_12" hidden="1">#REF!</definedName>
    <definedName name="_63__123Graph_DChart_24C" hidden="1">#REF!</definedName>
    <definedName name="_64__123Graph_DCHART_13" hidden="1">#REF!</definedName>
    <definedName name="_64__123Graph_DChart_25C" hidden="1">#REF!</definedName>
    <definedName name="_65__123Graph_DCHART_14" hidden="1">#REF!</definedName>
    <definedName name="_65__123Graph_DChart_26C" hidden="1">#REF!</definedName>
    <definedName name="_66__123Graph_DCHART_15" hidden="1">#REF!</definedName>
    <definedName name="_66__123Graph_DChart_4A" hidden="1">#REF!</definedName>
    <definedName name="_67__123Graph_DCHART_16" hidden="1">#REF!</definedName>
    <definedName name="_67__123Graph_DChart_5A" hidden="1">#REF!</definedName>
    <definedName name="_68__123Graph_DCHART_17" hidden="1">#REF!</definedName>
    <definedName name="_68__123Graph_DChart_6A" hidden="1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9__123Graph_DCHART_18" hidden="1">#REF!</definedName>
    <definedName name="_69__123Graph_DChart_7A" hidden="1">#REF!</definedName>
    <definedName name="_699">#REF!</definedName>
    <definedName name="_7__123Graph_ACHART_1" hidden="1">#REF!</definedName>
    <definedName name="_7__123Graph_AChart_18B" hidden="1">#REF!</definedName>
    <definedName name="_7__123Graph_ACHART_3" hidden="1">#REF!</definedName>
    <definedName name="_7__123Graph_AWAGES_BY_B_U" hidden="1">#REF!</definedName>
    <definedName name="_7__123Graph_BCHART_4" hidden="1">#REF!</definedName>
    <definedName name="_7__123Graph_LBL_ACHART_1" hidden="1">#REF!</definedName>
    <definedName name="_70__123Graph_DCHART_4" hidden="1">#REF!</definedName>
    <definedName name="_70__123Graph_DChart_8A" hidden="1">#REF!</definedName>
    <definedName name="_71__123Graph_DCHART_6" hidden="1">#REF!</definedName>
    <definedName name="_71__123Graph_XChart_10B" hidden="1">#REF!</definedName>
    <definedName name="_72__123Graph_DCHART_7" hidden="1">#REF!</definedName>
    <definedName name="_72__123Graph_XChart_11B" hidden="1">#REF!</definedName>
    <definedName name="_73__123Graph_DCHART_8" hidden="1">#REF!</definedName>
    <definedName name="_73__123Graph_XChart_12B" hidden="1">#REF!</definedName>
    <definedName name="_74__123Graph_DCHART_9" hidden="1">#REF!</definedName>
    <definedName name="_74__123Graph_XChart_13B" hidden="1">#REF!</definedName>
    <definedName name="_75__123Graph_E_Chart_1A" hidden="1">#REF!</definedName>
    <definedName name="_75__123Graph_XChart_17B" hidden="1">#REF!</definedName>
    <definedName name="_76__123Graph_ECHART_10" hidden="1">#REF!</definedName>
    <definedName name="_76__123Graph_XChart_18B" hidden="1">#REF!</definedName>
    <definedName name="_77__123Graph_ECHART_11" hidden="1">#REF!</definedName>
    <definedName name="_77__123Graph_XChart_19C" hidden="1">#REF!</definedName>
    <definedName name="_78__123Graph_ECHART_12" hidden="1">#REF!</definedName>
    <definedName name="_78__123Graph_XChart_1A" hidden="1">#REF!</definedName>
    <definedName name="_79__123Graph_ECHART_13" hidden="1">#REF!</definedName>
    <definedName name="_79__123Graph_XChart_20C" hidden="1">#REF!</definedName>
    <definedName name="_8__123Graph_ACHART_12" hidden="1">#REF!</definedName>
    <definedName name="_8__123Graph_AChart_19C" hidden="1">#REF!</definedName>
    <definedName name="_8__123Graph_ACHART_3" hidden="1">#REF!</definedName>
    <definedName name="_8__123Graph_ACHART_30" hidden="1">#REF!</definedName>
    <definedName name="_8__123Graph_BCHART_1" hidden="1">#REF!</definedName>
    <definedName name="_8__123Graph_BCHART_8" hidden="1">#REF!</definedName>
    <definedName name="_8__123Graph_BCONTRACT_BY_B_U" hidden="1">#REF!</definedName>
    <definedName name="_8__123Graph_LBL_ACHART_3" hidden="1">#REF!</definedName>
    <definedName name="_80__123Graph_ECHART_14" hidden="1">#REF!</definedName>
    <definedName name="_80__123Graph_XChart_21C" hidden="1">#REF!</definedName>
    <definedName name="_81__123Graph_ECHART_15" hidden="1">#REF!</definedName>
    <definedName name="_81__123Graph_XChart_22C" hidden="1">#REF!</definedName>
    <definedName name="_82__123Graph_ECHART_16" hidden="1">#REF!</definedName>
    <definedName name="_82__123Graph_XChart_23C" hidden="1">#REF!</definedName>
    <definedName name="_83__123Graph_ECHART_17" hidden="1">#REF!</definedName>
    <definedName name="_83__123Graph_XChart_24C" hidden="1">#REF!</definedName>
    <definedName name="_84__123Graph_ECHART_18" hidden="1">#REF!</definedName>
    <definedName name="_84__123Graph_XChart_25C" hidden="1">#REF!</definedName>
    <definedName name="_85__123Graph_ECHART_4" hidden="1">#REF!</definedName>
    <definedName name="_85__123Graph_XChart_26C" hidden="1">#REF!</definedName>
    <definedName name="_86__123Graph_ECHART_6" hidden="1">#REF!</definedName>
    <definedName name="_86__123Graph_XChart_27C" hidden="1">#REF!</definedName>
    <definedName name="_87__123Graph_ECHART_7" hidden="1">#REF!</definedName>
    <definedName name="_87__123Graph_XChart_2A" hidden="1">#REF!</definedName>
    <definedName name="_88__123Graph_ECHART_8" hidden="1">#REF!</definedName>
    <definedName name="_88__123Graph_XChart_3A" hidden="1">#REF!</definedName>
    <definedName name="_89__123Graph_ECHART_9" hidden="1">#REF!</definedName>
    <definedName name="_89__123Graph_XChart_4A" hidden="1">#REF!</definedName>
    <definedName name="_8wrn.²Ä1­Ó¤ë1_Ü20¤H." hidden="1">{#N/A,#N/A,FALSE,"²Ä1­Ó¤ë"}</definedName>
    <definedName name="_9__123Graph_AChart_1A" hidden="1">#REF!</definedName>
    <definedName name="_9__123Graph_BCHART_1" hidden="1">#REF!</definedName>
    <definedName name="_9__123Graph_BCHART_3" hidden="1">#REF!</definedName>
    <definedName name="_9__123Graph_BQRE_S_BY_CO." hidden="1">#REF!</definedName>
    <definedName name="_9__123Graph_CCHART_1" hidden="1">#REF!</definedName>
    <definedName name="_9__123Graph_LBL_DCHART_1" hidden="1">#REF!</definedName>
    <definedName name="_90__123Graph_F_Chart_1A" hidden="1">#REF!</definedName>
    <definedName name="_90__123Graph_XChart_5A" hidden="1">#REF!</definedName>
    <definedName name="_91__123Graph_FCHART_10" hidden="1">#REF!</definedName>
    <definedName name="_91__123Graph_XChart_6A" hidden="1">#REF!</definedName>
    <definedName name="_92__123Graph_FCHART_11" hidden="1">#REF!</definedName>
    <definedName name="_92__123Graph_XChart_7A" hidden="1">#REF!</definedName>
    <definedName name="_93__123Graph_FCHART_12" hidden="1">#REF!</definedName>
    <definedName name="_93__123Graph_XChart_8A" hidden="1">#REF!</definedName>
    <definedName name="_94__123Graph_FCHART_13" hidden="1">#REF!</definedName>
    <definedName name="_94__123Graph_XChart_9A" hidden="1">#REF!</definedName>
    <definedName name="_95__123Graph_FCHART_14" hidden="1">#REF!</definedName>
    <definedName name="_96__123Graph_FCHART_15" hidden="1">#REF!</definedName>
    <definedName name="_97__123Graph_FCHART_16" hidden="1">#REF!</definedName>
    <definedName name="_98__123Graph_FCHART_4" hidden="1">#REF!</definedName>
    <definedName name="_99__123Graph_FCHART_6" hidden="1">#REF!</definedName>
    <definedName name="_a1" hidden="1">{#N/A,#N/A,FALSE,"Pharm";#N/A,#N/A,FALSE,"WWCM"}</definedName>
    <definedName name="_A11" hidden="1">{#N/A,#N/A,FALSE,"Umsatz 99";#N/A,#N/A,FALSE,"ER 99 "}</definedName>
    <definedName name="_A11_1" hidden="1">{#N/A,#N/A,FALSE,"Umsatz 99";#N/A,#N/A,FALSE,"ER 99 "}</definedName>
    <definedName name="_A11_2" hidden="1">{#N/A,#N/A,FALSE,"Umsatz 99";#N/A,#N/A,FALSE,"ER 99 "}</definedName>
    <definedName name="_A11_3" hidden="1">{#N/A,#N/A,FALSE,"Umsatz 99";#N/A,#N/A,FALSE,"ER 99 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a1" hidden="1">{#N/A,#N/A,FALSE,"Model";#N/A,#N/A,FALSE,"Division"}</definedName>
    <definedName name="_aaa1_1" hidden="1">{#N/A,#N/A,FALSE,"Model";#N/A,#N/A,FALSE,"Division"}</definedName>
    <definedName name="_aas1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S2000" hidden="1">{#N/A,#N/A,FALSE,"REPORT"}</definedName>
    <definedName name="_act1" hidden="1">{#N/A,#N/A,FALSE,"WRSUMMARY";#N/A,#N/A,FALSE,"ANNEX-1";#N/A,#N/A,FALSE,"ANNEX-2";#N/A,#N/A,FALSE,"ANNEX-3";#N/A,#N/A,FALSE,"WORKING"}</definedName>
    <definedName name="_Adj2" hidden="1">#REF!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O_XmlVersion" hidden="1">"'1'"</definedName>
    <definedName name="_as12" hidden="1">#REF!</definedName>
    <definedName name="_as3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ttracustomer" hidden="1">#REF!</definedName>
    <definedName name="_Aug23" hidden="1">#REF!</definedName>
    <definedName name="_b111" hidden="1">{#N/A,#N/A,FALSE,"Pharm";#N/A,#N/A,FALSE,"WWCM"}</definedName>
    <definedName name="_b2" hidden="1">{"PVGraph2",#N/A,FALSE,"PV Data"}</definedName>
    <definedName name="_B5.1">#REF!</definedName>
    <definedName name="_bdm.0159565675F548CFAC9AFE0868312E6C.edm" hidden="1">#REF!</definedName>
    <definedName name="_bdm.034E1E0F991B4B6B9F8C57EEB04AAB51.edm" hidden="1">#REF!</definedName>
    <definedName name="_bdm.037A0A2782364BF9B292898B3ACA463B.edm" hidden="1">#REF!</definedName>
    <definedName name="_bdm.04F1929B9E994B9A8FCC701886A7D9F5.edm" hidden="1">#REF!</definedName>
    <definedName name="_bdm.059C4A5B30E1418DB88963037F4ACF80.edm" hidden="1">#REF!</definedName>
    <definedName name="_bdm.065C3D6C76834BB69F561F098BF28E5A.edm" hidden="1">#REF!</definedName>
    <definedName name="_bdm.069E0903A0524E058DBD0D65F455B355.edm" hidden="1">#REF!</definedName>
    <definedName name="_bdm.0772C6DC55B44E698714C73833C881F2.edm" hidden="1">#REF!</definedName>
    <definedName name="_bdm.0ADDA3284CBA452C855DED9821F1277D.edm" hidden="1">#REF!</definedName>
    <definedName name="_bdm.0D130636CD7240A9B041AC9D4F7CF681.edm" hidden="1">#REF!</definedName>
    <definedName name="_bdm.0D36997B78AB466394832F21270DBFC5.edm" hidden="1">#REF!</definedName>
    <definedName name="_bdm.0D712A14359C4A95AA0003845A518E56.edm" hidden="1">#REF!</definedName>
    <definedName name="_bdm.0D8BDA418FD64CCDA5D2E15750791205.edm" hidden="1">#REF!</definedName>
    <definedName name="_bdm.0DA59F0DBB3D4768A7821788B27B6497.edm" hidden="1">#REF!</definedName>
    <definedName name="_bdm.0E3BDF6A343C4558B78CA9E9DDC99B5F.edm" hidden="1">#REF!</definedName>
    <definedName name="_bdm.12BDE4B2D2DE42EEA0850950E0360A2C.edm" hidden="1">#REF!</definedName>
    <definedName name="_bdm.13B82C2DBDA047C684687ED32513B6BD.edm" hidden="1">#REF!</definedName>
    <definedName name="_bdm.1A5DCE2E75E842F1A516ACBC0C2729D8.edm" hidden="1">#REF!</definedName>
    <definedName name="_bdm.1B5895034307447BB7E62E59C1636672.edm" hidden="1">#REF!</definedName>
    <definedName name="_bdm.1C3E29C1675C41098D4B286A703207CE.edm" hidden="1">#REF!</definedName>
    <definedName name="_bdm.1CF54423904C411ABF86A7C411D85E44.edm" hidden="1">#REF!</definedName>
    <definedName name="_bdm.1D4D1F6545914C7B89DB22DD287A5E3B.edm" hidden="1">#REF!</definedName>
    <definedName name="_bdm.2266FE05A70A475CAB56760704D94CD3.edm" hidden="1">#REF!</definedName>
    <definedName name="_bdm.268E5EF56D404DB0860D453C20DF908F.edm" hidden="1">#REF!</definedName>
    <definedName name="_bdm.275A4A934BBE4C01924D0C50AC029E7F.edm" hidden="1">#REF!</definedName>
    <definedName name="_bdm.27E28DCC9F5E45A3BDDBF091A4604B8C.edm" hidden="1">#REF!</definedName>
    <definedName name="_bdm.295D7510B4394BEA94A9F71CB868E29A.edm" hidden="1">#REF!</definedName>
    <definedName name="_bdm.2A7972DD31B84C7597448125EE511955.edm" hidden="1">#REF!</definedName>
    <definedName name="_bdm.2B1B3133D21D4D9FBCB1E6AA97A916C0.edm" hidden="1">#REF!</definedName>
    <definedName name="_bdm.2DDB2874CD704CF392A4CF5A1899B788.edm" hidden="1">#REF!</definedName>
    <definedName name="_bdm.30BEBA6853D340409952687CF7A96850.edm" hidden="1">#REF!</definedName>
    <definedName name="_bdm.37A8781564CE406BBBA912C3F309BF50.edm" hidden="1">#REF!</definedName>
    <definedName name="_bdm.3804952a5199417f8f1f12ea00f509ad.edm" hidden="1">#REF!</definedName>
    <definedName name="_bdm.387E5C4ABB4648618DED47F8ECCD406E.edm" hidden="1">#REF!</definedName>
    <definedName name="_bdm.38F6D98BD5D74FB6AD37A68FF97623D9.edm" hidden="1">#REF!</definedName>
    <definedName name="_bdm.3C4D83CF64FB49CD8C54BDD6CDC5E355.edm" hidden="1">#REF!</definedName>
    <definedName name="_bdm.3CF97D71BED94AA087F318AFD3AFEC75.edm" hidden="1">#REF!</definedName>
    <definedName name="_bdm.3E3E79B3FDD2428B952C36C9867A8DE2.edm" hidden="1">#REF!</definedName>
    <definedName name="_bdm.3EE642D27E7B4720ADB88F31A16CB458.edm" hidden="1">#REF!</definedName>
    <definedName name="_bdm.4069BAB083C448C19F2385315BE17BCB.edm" hidden="1">#REF!</definedName>
    <definedName name="_bdm.407D6E15A8424E67B3110084FCF61A79.edm" hidden="1">#REF!</definedName>
    <definedName name="_bdm.41A9B75934C64DDA945F42E62D35FE2B.edm" hidden="1">#REF!</definedName>
    <definedName name="_bdm.43697759BE8641EDBA138AADAC8852CC.edm" hidden="1">#REF!</definedName>
    <definedName name="_bdm.457106FF8266412B97CB3914F0B16337.edm" hidden="1">#REF!</definedName>
    <definedName name="_bdm.4BE8EE38FDE1417792E381632D4EF888.edm" hidden="1">#REF!</definedName>
    <definedName name="_bdm.4CBD15E1285D4089A988277F02952A5C.edm" hidden="1">#REF!</definedName>
    <definedName name="_bdm.4E169E2A35FE492BA2C769B66F4190C1.edm" hidden="1">#REF!</definedName>
    <definedName name="_bdm.501D5968171D461CAD12565D42C7AEFD.edm" hidden="1">#REF!</definedName>
    <definedName name="_bdm.508BA7EF6B7544018F5CF6E72617D332.edm" hidden="1">#REF!</definedName>
    <definedName name="_bdm.5145E2374A1143C49FA71355CDB89252.edm" hidden="1">#REF!</definedName>
    <definedName name="_bdm.53D6196F782A45278D6B904E10B26647.edm" hidden="1">#REF!</definedName>
    <definedName name="_bdm.54BFFF2784B8401E857C57952FE52379.edm" hidden="1">#REF!</definedName>
    <definedName name="_bdm.5514A08E826C4826BB37535C3FEA711C.edm" hidden="1">#REF!</definedName>
    <definedName name="_bdm.5787E2B944F04AB6950CC77BACA63CB1.edm" hidden="1">#REF!</definedName>
    <definedName name="_bdm.5B8EB81EA80A4BF9A72E8FC045439552.edm" hidden="1">#REF!</definedName>
    <definedName name="_bdm.5C2F9D3C5DBE41879B417C108CC534DD.edm" hidden="1">#REF!</definedName>
    <definedName name="_bdm.5CA2F8F941A9489DA4FED362624CADC8.edm" hidden="1">#REF!</definedName>
    <definedName name="_bdm.5E69EECCCB7B4E6592FDEE5ACBED1804.edm" hidden="1">#REF!</definedName>
    <definedName name="_bdm.5EB8BD6B2AF54BD388F3C7B0707BC492.edm" hidden="1">#REF!</definedName>
    <definedName name="_bdm.5EE7843A8FCE42B0ADBF5FBD4707C67E.edm" hidden="1">#REF!</definedName>
    <definedName name="_bdm.6132934BCD01453C9D6B1D9011936CE6.edm" hidden="1">#REF!</definedName>
    <definedName name="_bdm.65971DA3E0ED4E6A9F329266E909028E.edm" hidden="1">#REF!</definedName>
    <definedName name="_bdm.66370391718546DD8F3B3904C91F7B87.edm" hidden="1">#REF!</definedName>
    <definedName name="_bdm.69FDD2B4247A479D8F0A7BE0D9E1A184.edm" hidden="1">#REF!</definedName>
    <definedName name="_bdm.7044110D1E3D4022ADFEA5FD947BF1C5.edm" hidden="1">#REF!</definedName>
    <definedName name="_bdm.7127D50E28B44BB890B955AD83BA5035.edm" hidden="1">#REF!</definedName>
    <definedName name="_bdm.723535575C19495D88012754C838A94E.edm" hidden="1">#REF!</definedName>
    <definedName name="_bdm.7378CF0BAB204A9DA68D24DC49B8923C.edm" hidden="1">#REF!</definedName>
    <definedName name="_bdm.75808E2475624C169C08CC4D039743A1.edm" hidden="1">#REF!</definedName>
    <definedName name="_bdm.76E86265694040A194558E6D508852CA.edm" hidden="1">#REF!</definedName>
    <definedName name="_bdm.79080FA8B1DB44C2BDDC6DA897E8B8FB.edm" hidden="1">#REF!</definedName>
    <definedName name="_bdm.79F881671D434F3D9EE01949D2881E2E.edm" hidden="1">#REF!</definedName>
    <definedName name="_bdm.7AB73A9AA6454F018D9C827289C437C8.edm" hidden="1">#REF!</definedName>
    <definedName name="_bdm.7BC227E42E5F401AB3FF51EF82B729EB.edm" hidden="1">#REF!</definedName>
    <definedName name="_bdm.7D8076B30BE24BFEB14F496540816CA6.edm" hidden="1">#REF!</definedName>
    <definedName name="_bdm.7EEC3D8E756748CF9190BBD497BDB22F.edm" hidden="1">#REF!</definedName>
    <definedName name="_bdm.7F209B55CAC145B69D72234F14B304D8.edm" hidden="1">#REF!</definedName>
    <definedName name="_bdm.80340559CE674F58943D8E7EC86DBA4F.edm" hidden="1">#REF!</definedName>
    <definedName name="_bdm.822B60B824C14427AED4186AFD1C1E9D.edm" hidden="1">#REF!</definedName>
    <definedName name="_bdm.8235EE0A43104B1BA0B57EBEDE9C8348.edm" hidden="1">#REF!</definedName>
    <definedName name="_bdm.83F12F3137A94F56AD9B9D6121970638.edm" hidden="1">#REF!</definedName>
    <definedName name="_bdm.85FF2CF41DB744ABB4DC9320EF71EC4D.edm" hidden="1">#REF!</definedName>
    <definedName name="_bdm.8651990A248E440FAB630A60BAD5F6C2.edm" hidden="1">#REF!</definedName>
    <definedName name="_bdm.887ED3D623C541A2AA574C43B683326E.edm" hidden="1">#REF!</definedName>
    <definedName name="_bdm.8A9FD4CD7A264992A673B0259E908DD8.edm" hidden="1">#REF!</definedName>
    <definedName name="_bdm.8B6A3F9B66334120804DB28EE2982DEA.edm" hidden="1">#REF!</definedName>
    <definedName name="_bdm.8C8794C913E04AF690293F41730D76E0.edm" hidden="1">#REF!</definedName>
    <definedName name="_bdm.8CB6800A9BAB45F78636B9F7636F935C.edm" hidden="1">#REF!</definedName>
    <definedName name="_bdm.8D4535B5D810457FAC149BCC14766679.edm" hidden="1">#REF!</definedName>
    <definedName name="_bdm.8E283CE5A6B74CC38F899133E93E640A.edm" hidden="1">#REF!</definedName>
    <definedName name="_bdm.8E6B5D395AAB478DA06252FA5629EA73.edm" hidden="1">#REF!</definedName>
    <definedName name="_bdm.91CD4DEC29C049BD929A8110F777B566.edm" hidden="1">#REF!</definedName>
    <definedName name="_bdm.922F1B9C7D5A47F4B9CD658AD0B5E413.edm" hidden="1">#REF!</definedName>
    <definedName name="_bdm.9454227591D748CA9492E4B1CDC3AD1F.edm" hidden="1">#REF!</definedName>
    <definedName name="_bdm.9495357236BC4285BECC60C54162930E.edm" hidden="1">#REF!</definedName>
    <definedName name="_bdm.956D97D81225405FA4C8E3BCCA9FD54B.edm" hidden="1">#REF!</definedName>
    <definedName name="_bdm.97189646042F48C09827531DA43D9B7D.edm" hidden="1">#REF!</definedName>
    <definedName name="_bdm.98334DAF9DD94ECDA89791C7D9EF45DC.edm" hidden="1">#REF!</definedName>
    <definedName name="_bdm.9A0122387E2D409196DDDF9854C55F7A.edm" hidden="1">#REF!</definedName>
    <definedName name="_bdm.9A4A41F5C2C4477DBAA92EFC5B93172E.edm" hidden="1">#REF!</definedName>
    <definedName name="_bdm.9A4E9EEC56F046298BC08AADB77C7629.edm" hidden="1">#REF!</definedName>
    <definedName name="_bdm.9BA853A9C0664E929E4B0B62363D0D76.edm" hidden="1">#REF!</definedName>
    <definedName name="_bdm.9C37DC1EEF1B4AA49AA820A6AE7E12F9.edm" hidden="1">#REF!</definedName>
    <definedName name="_bdm.9CDC35CDB7B143079762F320F757C403.edm" hidden="1">#REF!</definedName>
    <definedName name="_bdm.9D48DEB1F96745119ED091BB456A2A39.edm" hidden="1">#REF!</definedName>
    <definedName name="_bdm.9D576385AB334E0F91FC7FB7CEA21807.edm" hidden="1">#REF!</definedName>
    <definedName name="_bdm.9EA6DE0CADDB4633933E62BD5A305EFC.edm" hidden="1">#REF!</definedName>
    <definedName name="_bdm.9EDF0C700C7D49D9AA129BDB38BC33CC.edm" hidden="1">#REF!</definedName>
    <definedName name="_bdm.A1E3B1A3356F42369BC14C0E3336575D.edm" hidden="1">#REF!</definedName>
    <definedName name="_bdm.A348B8ABC6D24EFCA3CC6D4AA15F95E8.edm" hidden="1">#REF!</definedName>
    <definedName name="_bdm.A8365AAC5CAC4CE886FF12CBDDE3DB8C.edm" hidden="1">#REF!</definedName>
    <definedName name="_bdm.A85AE38639FA4720870FC07DF11F7FEF.edm" hidden="1">#REF!</definedName>
    <definedName name="_bdm.A9E8F2214015449F99BBFDAC629C22DB.edm" hidden="1">#REF!</definedName>
    <definedName name="_bdm.AD9284B682C242EB8B9B344083C2F5C5.edm" hidden="1">#REF!</definedName>
    <definedName name="_bdm.ADE63A88559244DBA6492ADE6B9297B3.edm" hidden="1">#REF!</definedName>
    <definedName name="_bdm.AFAC95869980456EAD2F1CC1B5EC3745.edm" hidden="1">#REF!</definedName>
    <definedName name="_bdm.B03F1ED67E6242FDBC07FF598526345C.edm" hidden="1">#REF!</definedName>
    <definedName name="_bdm.B1A15EC2EC924D66BCF07B8EA5836E71.edm" hidden="1">#REF!</definedName>
    <definedName name="_bdm.B2B29AB6E3BC4C67BF0160E77DD6B23A.edm" hidden="1">#REF!</definedName>
    <definedName name="_bdm.B3695229C990408BAF9C02D5860BCE9D.edm" hidden="1">#REF!</definedName>
    <definedName name="_bdm.B87DBC52106441EEB5E3280BD928615C.edm" hidden="1">#REF!</definedName>
    <definedName name="_bdm.B92FB5B1B85E482CA5953DCFD52ED657.edm" hidden="1">#REF!</definedName>
    <definedName name="_bdm.BDB9018F394B4D619CA288E2B170F24A.edm" hidden="1">#REF!</definedName>
    <definedName name="_bdm.BE194B2BFE2341E9BDE275C9525381BB.edm" hidden="1">#REF!</definedName>
    <definedName name="_bdm.BF137DC2D6714B329100965D9875EAE9.edm" hidden="1">#REF!</definedName>
    <definedName name="_bdm.C00ADF368BD24FFBA3BD1E35B8C298CF.edm" hidden="1">#REF!</definedName>
    <definedName name="_bdm.C06B9394D3C14603A4FAA64B8450A8D7.edm" hidden="1">#REF!</definedName>
    <definedName name="_bdm.C0F5ADB39F4B4C2299A880C43395DBAF.edm" hidden="1">#REF!</definedName>
    <definedName name="_bdm.C265889B590E49E8A3EEAE11D18FC6CA.edm" hidden="1">#REF!</definedName>
    <definedName name="_bdm.C2F245C41CA84ABA8B5A1E1F50A76F68.edm" hidden="1">#REF!</definedName>
    <definedName name="_bdm.C7DA5031AC84427190CEF8924587F935.edm" hidden="1">#REF!</definedName>
    <definedName name="_bdm.CB0AF6019CD349CFB48A531B0EB282EB.edm" hidden="1">#REF!</definedName>
    <definedName name="_bdm.CC6A4FE4F2754F60937D78F63CF87828.edm" hidden="1">#REF!</definedName>
    <definedName name="_bdm.CC72861D14F04575ACC8E6D18197813D.edm" hidden="1">#REF!</definedName>
    <definedName name="_bdm.CD77CD035E2841D18578F0E130A93DCD.edm" hidden="1">#REF!</definedName>
    <definedName name="_bdm.CE67B0B26BF84E71A7E6A76F7A4EF958.edm" hidden="1">#REF!</definedName>
    <definedName name="_bdm.CEF31321F0E04B84823CA57428B820F8.edm" hidden="1">#REF!</definedName>
    <definedName name="_bdm.D54E9B2B2E804545BCE377201301EA34.edm" hidden="1">#REF!</definedName>
    <definedName name="_bdm.D5E561EBD92B4887A1BB5A944ECDBDFA.edm" hidden="1">#REF!</definedName>
    <definedName name="_bdm.D7916F90B9F6458AB42DAB307C44C2BB.edm" hidden="1">#REF!</definedName>
    <definedName name="_bdm.D97BFA4FC60B4719A8E0F6F92AE2CDB1.edm" hidden="1">#REF!</definedName>
    <definedName name="_bdm.D99A4E25EFB54EB1BBF3B28A0C3C2786.edm" hidden="1">#REF!</definedName>
    <definedName name="_bdm.D9E6F7E2FBDB4FF6A6D632BFBE3A1A0F.edm" hidden="1">#REF!</definedName>
    <definedName name="_bdm.DB413C89073F4F47A772B2EEC7087FC3.edm" hidden="1">#REF!</definedName>
    <definedName name="_bdm.DBDDCE6D291340DFA73C1EAB7ABAD6AE.edm" hidden="1">#REF!</definedName>
    <definedName name="_bdm.DBED0FF28B7F46BF836FE32D4DE46B03.edm" hidden="1">#REF!</definedName>
    <definedName name="_bdm.DBF8F79D2FE244698C14155A4A3CFA25.edm" hidden="1">#REF!</definedName>
    <definedName name="_bdm.DC170EB80D0D4CA8BEC2E474EDCA6D50.edm" hidden="1">#REF!</definedName>
    <definedName name="_bdm.DDD6A9109EC749AE847FFCFAA15AE1D8.edm" hidden="1">#REF!</definedName>
    <definedName name="_bdm.DEA02B8DB9594F51BA561009BFB2731A.edm" hidden="1">#REF!</definedName>
    <definedName name="_bdm.E0CE9B7D32914B12B39935B4266BB260.edm" hidden="1">#REF!</definedName>
    <definedName name="_bdm.E5D282609A0B4D0DAE1ADEA10369C019.edm" hidden="1">#REF!</definedName>
    <definedName name="_bdm.EA49C457A2A34503B627CAC73549FADD.edm" hidden="1">#REF!</definedName>
    <definedName name="_bdm.EAEC9C3D50474F6CA7AEE5FBEDB1FC8E.edm" hidden="1">#REF!</definedName>
    <definedName name="_bdm.EB8720925F8F48DD95EB245FE7C6C835.edm" hidden="1">#REF!</definedName>
    <definedName name="_bdm.EE183A83615343489AC5C085EFD94277.edm" hidden="1">#REF!</definedName>
    <definedName name="_bdm.EFEE38DA6DA242A28A76F81815AEA302.edm" hidden="1">#REF!</definedName>
    <definedName name="_bdm.F0328DFF73C04CDAB41556D11D25B0A2.edm" hidden="1">#REF!</definedName>
    <definedName name="_bdm.F24D5B5CF3D64DB7BA9B3C3D4E27102E.edm" hidden="1">#REF!</definedName>
    <definedName name="_bdm.F42A9DBD7F844D2E8A75BAAADEEBC874.edm" hidden="1">#REF!</definedName>
    <definedName name="_bdm.F65E72495B8C4DF0B546AB8B59632D7C.edm" hidden="1">#REF!</definedName>
    <definedName name="_bdm.F7AD94B8EEF74B8A983E5F2D5520C624.edm" hidden="1">#REF!</definedName>
    <definedName name="_bdm.F8A8DCEB4DD84118B520FF6070B6FAA2.edm" hidden="1">#REF!</definedName>
    <definedName name="_bdm.F9C7A8D5DDD7494AA27E536B38A481F2.edm" hidden="1">#REF!</definedName>
    <definedName name="_bdm.FAF12437308F409DA115CEA7428BCB47.edm" hidden="1">#REF!</definedName>
    <definedName name="_bdm.FB18DEB01EA64EDDBA945360BC456BA7.edm" hidden="1">#REF!</definedName>
    <definedName name="_bdm.FCD851D8A0474E928264BCCFB64B24B8.edm" hidden="1">#REF!</definedName>
    <definedName name="_bdm.FD39536475BB45D792FDFFCB29729811.edm" hidden="1">#REF!</definedName>
    <definedName name="_bdm.FE90DABDC12F47BD959986228D36E508.edm" hidden="1">#REF!</definedName>
    <definedName name="_bdm.FFD775D989AD403A8274805D96050449.edm" hidden="1">#REF!</definedName>
    <definedName name="_bdm.ToolkitBookmark.1_31_2006_7_02_43_PM.edm" hidden="1">#REF!</definedName>
    <definedName name="_bdm.ToolkitBookmark.1_31_2006_7_02_44_PM.edm" hidden="1">#REF!</definedName>
    <definedName name="_bdm.ToolkitBookmark.1_31_2006_7_02_45_PM.edm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i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r1" hidden="1">{"Quarter1",#N/A,FALSE,"Sheet1";"Quarter2",#N/A,FALSE,"Sheet1";"Quarter3",#N/A,FALSE,"Sheet1";"Quarter4",#N/A,FALSE,"Sheet1"}</definedName>
    <definedName name="_c" hidden="1">{#N/A,#N/A,FALSE,"Layout Cash Flow"}</definedName>
    <definedName name="_c_1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ashflowPAT" hidden="1">#REF!</definedName>
    <definedName name="_Ch3" hidden="1">{#N/A,#N/A,FALSE,"Carat";"VENTA",#N/A,FALSE,"05";#N/A,#N/A,FALSE,"06";"CASHFLOW",#N/A,FALSE,"05";"TAX PLAN",#N/A,FALSE,"05"}</definedName>
    <definedName name="_com" hidden="1">{"'OBT_6M_30_6'!$S$1:$AE$53"}</definedName>
    <definedName name="_d2" hidden="1">{"COMBINED",#N/A,FALSE,"BALANCE SHEET 2";"KRONE",#N/A,FALSE,"BALANCE SHEET 2";"INTERSYSTEMS",#N/A,FALSE,"BALANCE SHEET 2"}</definedName>
    <definedName name="_DATAMONTH2" hidden="1">10</definedName>
    <definedName name="_DATATYPE" hidden="1">"REA/REA"</definedName>
    <definedName name="_DATAUPDATE" hidden="1">TRUE</definedName>
    <definedName name="_DATAYEAR1" hidden="1">2010</definedName>
    <definedName name="_DATAYEAR2" hidden="1">2009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c07" hidden="1">{#N/A,#N/A,FALSE,"Staffnos &amp; cost"}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M2" hidden="1">" "</definedName>
    <definedName name="_DIM3" hidden="1">" "</definedName>
    <definedName name="_DIM4" hidden="1">" "</definedName>
    <definedName name="_Dist_Bin" hidden="1">#REF!</definedName>
    <definedName name="_Dist_Values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up1" hidden="1">{"ROCE Summ",#N/A,FALSE,"Property Management Exps"}</definedName>
    <definedName name="_dwa1" hidden="1">{#N/A,"PURCHM",FALSE,"Business Analysis";#N/A,"SPADD",FALSE,"Business Analysis"}</definedName>
    <definedName name="_eu93" hidden="1">{"Comp_of_Price_Effect",#N/A,FALSE,"QTRDPVAR"}</definedName>
    <definedName name="_eva2" hidden="1">{"DCF",#N/A,FALSE,"CF"}</definedName>
    <definedName name="_eva2_1" hidden="1">{"DCF",#N/A,FALSE,"CF"}</definedName>
    <definedName name="_eva2_2" hidden="1">{"DCF",#N/A,FALSE,"CF"}</definedName>
    <definedName name="_eva2_3" hidden="1">{"DCF",#N/A,FALSE,"CF"}</definedName>
    <definedName name="_eva2_4" hidden="1">{"DCF",#N/A,FALSE,"CF"}</definedName>
    <definedName name="_eva2_5" hidden="1">{"DCF",#N/A,FALSE,"CF"}</definedName>
    <definedName name="_FA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fa2007" hidden="1">{"PG1",#N/A,FALSE,"SSL-FIN";"PG2",#N/A,FALSE,"SSL-FIN";"PG3",#N/A,FALSE,"SSL-FIN";"PG4",#N/A,FALSE,"SSL-FIN";"PG5",#N/A,FALSE,"SSL-FIN";"PG6",#N/A,FALSE,"SSL-FIN";"PG7",#N/A,FALSE,"SSL-FIN"}</definedName>
    <definedName name="_fco2" hidden="1">{#N/A,#N/A,FALSE,"gc (2)"}</definedName>
    <definedName name="_fco2_1" hidden="1">{#N/A,#N/A,FALSE,"gc (2)"}</definedName>
    <definedName name="_fco2_2" hidden="1">{#N/A,#N/A,FALSE,"gc (2)"}</definedName>
    <definedName name="_fco2_3" hidden="1">{#N/A,#N/A,FALSE,"gc (2)"}</definedName>
    <definedName name="_ff1" hidden="1">{"Header",#N/A,TRUE,"Summary";"ProjectInfo",#N/A,TRUE,"Total Value"}</definedName>
    <definedName name="_Fill" hidden="1">#REF!</definedName>
    <definedName name="_fll" hidden="1">#REF!</definedName>
    <definedName name="_FM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1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7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g1" hidden="1">{"'August 2000'!$A$1:$J$101"}</definedName>
    <definedName name="_gcp1">#REF!</definedName>
    <definedName name="_gcp3">#REF!</definedName>
    <definedName name="_gcp6">#REF!</definedName>
    <definedName name="_g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Grp16" hidden="1">{#N/A,#N/A,FALSE,"PMTABB";#N/A,#N/A,FALSE,"PMTABB"}</definedName>
    <definedName name="_GSRATES_1" hidden="1">"CT30000120021231        "</definedName>
    <definedName name="_GSRATES_10" hidden="1">"CF3000012002123120020331"</definedName>
    <definedName name="_GSRATES_2" hidden="1">"CT30000120031231        "</definedName>
    <definedName name="_GSRATES_3" hidden="1">"CT30000120040331        "</definedName>
    <definedName name="_GSRATES_4" hidden="1">"CF3000012004033120030331"</definedName>
    <definedName name="_GSRATES_5" hidden="1">"CF3000012002093020020331"</definedName>
    <definedName name="_GSRATES_6" hidden="1">"CF3000012003123120030331"</definedName>
    <definedName name="_GSRATES_7" hidden="1">"CT300001Latest          "</definedName>
    <definedName name="_GSRATES_8" hidden="1">"CT300001Latest          "</definedName>
    <definedName name="_GSRATES_9" hidden="1">"CF3000012002123120020331"</definedName>
    <definedName name="_GSRATES_COUNT" hidden="1">10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I2" hidden="1">{"PVGraph2",#N/A,FALSE,"PV Data"}</definedName>
    <definedName name="_inv1" hidden="1">{"'CASHFLOW_REVISED'!$B$2:$F$68","'CASHFLOW_REVISED'!$B$2:$F$58"}</definedName>
    <definedName name="_it1" hidden="1">#REF!</definedName>
    <definedName name="_JAN05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jkj" hidden="1">#REF!</definedName>
    <definedName name="_jyr6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k13" hidden="1">{0,0,FALSE,0}</definedName>
    <definedName name="_k2" hidden="1">#REF!</definedName>
    <definedName name="_k8" hidden="1">{#N/A,#N/A,FALSE,"COVER1.XLS ";#N/A,#N/A,FALSE,"RACT1.XLS";#N/A,#N/A,FALSE,"RACT2.XLS";#N/A,#N/A,FALSE,"ECCMP";#N/A,#N/A,FALSE,"WELDER.XLS"}</definedName>
    <definedName name="_ke" hidden="1">#REF!</definedName>
    <definedName name="_kedar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ey8" hidden="1">#REF!</definedName>
    <definedName name="_key9" hidden="1">#REF!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tInverse_In" hidden="1">#REF!</definedName>
    <definedName name="_MatInverse_Out" hidden="1">#REF!</definedName>
    <definedName name="_MAY05" hidden="1">{"bs",#N/A,FALSE,"BS";"pl",#N/A,FALSE,"PL"}</definedName>
    <definedName name="_mno9" hidden="1">{"detail",#N/A,FALSE,"mfg";"summary",#N/A,FALSE,"mfg"}</definedName>
    <definedName name="_mor1" hidden="1">#REF!</definedName>
    <definedName name="_nam305" hidden="1">{"detail",#N/A,FALSE,"mfg";"summary",#N/A,FALSE,"mfg"}</definedName>
    <definedName name="_new" hidden="1">#REF!</definedName>
    <definedName name="_New11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New2" hidden="1">{"TOTAL",#N/A,FALSE,"A";"FISCAL94",#N/A,FALSE,"A";"FISCAL95",#N/A,FALSE,"A";"FISCAL96",#N/A,FALSE,"A";"misc page",#N/A,FALSE,"A"}</definedName>
    <definedName name="_NSO2" hidden="1">{"'Sheet1'!$L$16"}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_P2" hidden="1">{#N/A,#N/A,TRUE,"流动资产--预付";"宁夏正大会计师事务所 - 个人视面",#N/A,TRUE,"Sheet1"}</definedName>
    <definedName name="_P4" hidden="1">{#N/A,#N/A,TRUE,"流动资产--预付";"宁夏正大会计师事务所 - 个人视面",#N/A,TRUE,"Sheet1"}</definedName>
    <definedName name="_P5" hidden="1">{#N/A,#N/A,TRUE,"流动资产--预付";"宁夏正大会计师事务所 - 个人视面",#N/A,TRUE,"Sheet1"}</definedName>
    <definedName name="_Parse_In" hidden="1">#REF!</definedName>
    <definedName name="_Parse_Out" hidden="1">#REF!</definedName>
    <definedName name="_pARSE_OUT2" hidden="1">#REF!</definedName>
    <definedName name="_PERIODE" hidden="1">FALSE</definedName>
    <definedName name="_PL65" hidden="1">{"PAGE 1",#N/A,FALSE,"ES-01-XX";"PAGE 2",#N/A,FALSE,"ES-01-XX"}</definedName>
    <definedName name="_PL65_1" hidden="1">{"PAGE 1",#N/A,FALSE,"ES-01-XX";"PAGE 2",#N/A,FALSE,"ES-01-XX"}</definedName>
    <definedName name="_PL65_2" hidden="1">{"PAGE 1",#N/A,FALSE,"ES-01-XX";"PAGE 2",#N/A,FALSE,"ES-01-XX"}</definedName>
    <definedName name="_PL65_3" hidden="1">{"PAGE 1",#N/A,FALSE,"ES-01-XX";"PAGE 2",#N/A,FALSE,"ES-01-XX"}</definedName>
    <definedName name="_pp1" hidden="1">{#N/A,#N/A,FALSE,"Trends";#N/A,#N/A,FALSE,"As Reported";#N/A,#N/A,FALSE,"(un) Commited"}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2" hidden="1">{#N/A,#N/A,FALSE,"COVER1.XLS ";#N/A,#N/A,FALSE,"RACT1.XLS";#N/A,#N/A,FALSE,"RACT2.XLS";#N/A,#N/A,FALSE,"ECCMP";#N/A,#N/A,FALSE,"WELDER.XLS"}</definedName>
    <definedName name="_q234" hidden="1">#REF!</definedName>
    <definedName name="_QQQ111" hidden="1">{#N/A,#N/A,FALSE,"Staffnos &amp; cost"}</definedName>
    <definedName name="_r" hidden="1">{"consolidated",#N/A,FALSE,"Sheet1";"cms",#N/A,FALSE,"Sheet1";"fse",#N/A,FALSE,"Sheet1"}</definedName>
    <definedName name="_r_1" hidden="1">{"consolidated",#N/A,FALSE,"Sheet1";"cms",#N/A,FALSE,"Sheet1";"fse",#N/A,FALSE,"Sheet1"}</definedName>
    <definedName name="_RA1" hidden="1">{"'Jan-02'!$F$46:$F$47","'Jan-02'!$F$46:$F$47"}</definedName>
    <definedName name="_RA14">#REF!</definedName>
    <definedName name="_RA6">#REF!</definedName>
    <definedName name="_ram1" hidden="1">{#N/A,#N/A,FALSE,"gc (2)"}</definedName>
    <definedName name="_ram1_1" hidden="1">{#N/A,#N/A,FALSE,"gc (2)"}</definedName>
    <definedName name="_ram1_2" hidden="1">{#N/A,#N/A,FALSE,"gc (2)"}</definedName>
    <definedName name="_ram1_3" hidden="1">{#N/A,#N/A,FALSE,"gc (2)"}</definedName>
    <definedName name="_RB3">#REF!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portOct23" hidden="1">#REF!</definedName>
    <definedName name="_ReportSep23" hidden="1">#REF!</definedName>
    <definedName name="_ROrder1" hidden="1">0</definedName>
    <definedName name="_RT25" hidden="1">{#N/A,#N/A,FALSE,"Umsatz 99";#N/A,#N/A,FALSE,"ER 99 "}</definedName>
    <definedName name="_RX1">#REF!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amenkædTabel4h">#REF!</definedName>
    <definedName name="_sd34" hidden="1">{"QTD",#N/A,FALSE,"SUM"}</definedName>
    <definedName name="_SDL4">#REF!</definedName>
    <definedName name="_SDL6">#REF!</definedName>
    <definedName name="_SDL8">#REF!</definedName>
    <definedName name="_sen2" hidden="1">{#N/A,#N/A,FALSE,"Carat";"VENTA",#N/A,FALSE,"05";#N/A,#N/A,FALSE,"06";"CASHFLOW",#N/A,FALSE,"05";"TAX PLAN",#N/A,FALSE,"05"}</definedName>
    <definedName name="_SLD9">#REF!</definedName>
    <definedName name="_Sort" hidden="1">#REF!</definedName>
    <definedName name="_sort1" hidden="1">#REF!</definedName>
    <definedName name="_sort9" hidden="1">#REF!</definedName>
    <definedName name="_ss1" hidden="1">{"detail",#N/A,FALSE,"mfg";"summary",#N/A,FALSE,"mfg"}</definedName>
    <definedName name="_st" hidden="1">#REF!</definedName>
    <definedName name="_st9" hidden="1">#REF!</definedName>
    <definedName name="_sti02" hidden="1">{#N/A,#N/A,FALSE,"gc (2)"}</definedName>
    <definedName name="_sti02_1" hidden="1">{#N/A,#N/A,FALSE,"gc (2)"}</definedName>
    <definedName name="_sti02_2" hidden="1">{#N/A,#N/A,FALSE,"gc (2)"}</definedName>
    <definedName name="_sti02_3" hidden="1">{#N/A,#N/A,FALSE,"gc (2)"}</definedName>
    <definedName name="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_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_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_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_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a1" hidden="1">{#N/A,#N/A,TRUE,"Financials";#N/A,#N/A,TRUE,"Operating Statistics";#N/A,#N/A,TRUE,"Capex &amp; Depreciation";#N/A,#N/A,TRUE,"Debt"}</definedName>
    <definedName name="_ta1_1" hidden="1">{#N/A,#N/A,TRUE,"Financials";#N/A,#N/A,TRUE,"Operating Statistics";#N/A,#N/A,TRUE,"Capex &amp; Depreciation";#N/A,#N/A,TRUE,"Debt"}</definedName>
    <definedName name="_ta1_2" hidden="1">{#N/A,#N/A,TRUE,"Financials";#N/A,#N/A,TRUE,"Operating Statistics";#N/A,#N/A,TRUE,"Capex &amp; Depreciation";#N/A,#N/A,TRUE,"Debt"}</definedName>
    <definedName name="_ta1_3" hidden="1">{#N/A,#N/A,TRUE,"Financials";#N/A,#N/A,TRUE,"Operating Statistics";#N/A,#N/A,TRUE,"Capex &amp; Depreciation";#N/A,#N/A,TRUE,"Debt"}</definedName>
    <definedName name="_Table1_In1" hidden="1">#REF!</definedName>
    <definedName name="_Table1_in2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 hidden="1">{#N/A,#N/A,FALSE,"One Pager";#N/A,#N/A,FALSE,"Technical"}</definedName>
    <definedName name="_tb1_1" hidden="1">{#N/A,#N/A,FALSE,"One Pager";#N/A,#N/A,FALSE,"Technical"}</definedName>
    <definedName name="_tb1_2" hidden="1">{#N/A,#N/A,FALSE,"One Pager";#N/A,#N/A,FALSE,"Technical"}</definedName>
    <definedName name="_tb1_3" hidden="1">{#N/A,#N/A,FALSE,"One Pager";#N/A,#N/A,FALSE,"Technical"}</definedName>
    <definedName name="_tm1" hidden="1">{#N/A,#N/A,FALSE,"Pharm";#N/A,#N/A,FALSE,"WWCM"}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ANSLATE" hidden="1">#REF!</definedName>
    <definedName name="_UNDO_UPS_" hidden="1">#REF!</definedName>
    <definedName name="_UNDO_UPS_SEL_" hidden="1">#REF!</definedName>
    <definedName name="_UNDO31X31X_" hidden="1">#REF!</definedName>
    <definedName name="_V2" hidden="1">{#N/A,#N/A,FALSE,"Tabl. A1";#N/A,#N/A,FALSE,"Tabl. A1 b";#N/A,#N/A,FALSE,"Tabl. A2";#N/A,#N/A,FALSE,"Tabl. A2-1";#N/A,#N/A,FALSE,"Tabl. A2-2"}</definedName>
    <definedName name="_w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_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_2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_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_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_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rn071" hidden="1">{#N/A,"PURCHM",FALSE,"Business Analysis";#N/A,"SPADD",FALSE,"Business Analysis"}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213" hidden="1">{"detail",#N/A,FALSE,"mfg";"summary",#N/A,FALSE,"mfg"}</definedName>
    <definedName name="_wrn3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1" hidden="1">{"detail",#N/A,FALSE,"mfg";"summary",#N/A,FALSE,"mfg"}</definedName>
    <definedName name="_wrn651" hidden="1">{"detail",#N/A,FALSE,"mfg";"summary",#N/A,FALSE,"mfg"}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2" hidden="1">{"PVGraph2",#N/A,FALSE,"PV Data"}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WorksheetConnection_UtilizationReport1A1V84931" hidden="1">#REF!</definedName>
    <definedName name="_xx10" hidden="1">{#N/A,"PURCHM",FALSE,"Business Analysis";#N/A,"SPADD",FALSE,"Business Analysis"}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22" hidden="1">{"PVGraph2",#N/A,FALSE,"PV Data"}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_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_2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_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_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_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_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_2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_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_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_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>#REF!</definedName>
    <definedName name="A\" hidden="1">#REF!</definedName>
    <definedName name="a_1" hidden="1">{#N/A,#N/A,FALSE,"PMTABB";#N/A,#N/A,FALSE,"PMTABB"}</definedName>
    <definedName name="a_2" hidden="1">{#N/A,#N/A,FALSE,"PMTABB";#N/A,#N/A,FALSE,"PMTABB"}</definedName>
    <definedName name="a_3" hidden="1">{#N/A,#N/A,FALSE,"PMTABB";#N/A,#N/A,FALSE,"PMTABB"}</definedName>
    <definedName name="a_4" hidden="1">{#N/A,#N/A,FALSE,"PMTABB";#N/A,#N/A,FALSE,"PMTABB"}</definedName>
    <definedName name="A1_">#REF!</definedName>
    <definedName name="A11A" hidden="1">{#N/A,#N/A,FALSE,"Umsatz 99";#N/A,#N/A,FALSE,"ER 99 "}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_">#REF!</definedName>
    <definedName name="a2a" hidden="1">{"detail",#N/A,FALSE,"mfg";"summary",#N/A,FALSE,"mfg"}</definedName>
    <definedName name="aa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">#REF!</definedName>
    <definedName name="äää" hidden="1">{#N/A,#N/A,FALSE,"Umsatz 99";#N/A,#N/A,FALSE,"ER 99 "}</definedName>
    <definedName name="AAA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_2" hidden="1">{#N/A,#N/A,FALSE,"PMTABB";#N/A,#N/A,FALSE,"PMTABB"}</definedName>
    <definedName name="aaa_3" hidden="1">{#N/A,#N/A,FALSE,"PMTABB";#N/A,#N/A,FALSE,"PMTABB"}</definedName>
    <definedName name="aaa_4" hidden="1">{#N/A,#N/A,FALSE,"PMTABB";#N/A,#N/A,FALSE,"PMTABB"}</definedName>
    <definedName name="AAA_DOCTOPS" hidden="1">"AAA_SET"</definedName>
    <definedName name="AAA_duser" hidden="1">"OFF"</definedName>
    <definedName name="aaa0" hidden="1">{#N/A,#N/A,FALSE,"Aging Summary";#N/A,#N/A,FALSE,"Ratio Analysis";#N/A,#N/A,FALSE,"Test 120 Day Accts";#N/A,#N/A,FALSE,"Tickmarks"}</definedName>
    <definedName name="aaa0_1" hidden="1">{#N/A,#N/A,FALSE,"Aging Summary";#N/A,#N/A,FALSE,"Ratio Analysis";#N/A,#N/A,FALSE,"Test 120 Day Accts";#N/A,#N/A,FALSE,"Tickmarks"}</definedName>
    <definedName name="aaa0_2" hidden="1">{#N/A,#N/A,FALSE,"Aging Summary";#N/A,#N/A,FALSE,"Ratio Analysis";#N/A,#N/A,FALSE,"Test 120 Day Accts";#N/A,#N/A,FALSE,"Tickmarks"}</definedName>
    <definedName name="aaa0_3" hidden="1">{#N/A,#N/A,FALSE,"Aging Summary";#N/A,#N/A,FALSE,"Ratio Analysis";#N/A,#N/A,FALSE,"Test 120 Day Accts";#N/A,#N/A,FALSE,"Tickmarks"}</definedName>
    <definedName name="aaa0_4" hidden="1">{#N/A,#N/A,FALSE,"Aging Summary";#N/A,#N/A,FALSE,"Ratio Analysis";#N/A,#N/A,FALSE,"Test 120 Day Accts";#N/A,#N/A,FALSE,"Tickmarks"}</definedName>
    <definedName name="aaa0_5" hidden="1">{#N/A,#N/A,FALSE,"Aging Summary";#N/A,#N/A,FALSE,"Ratio Analysis";#N/A,#N/A,FALSE,"Test 120 Day Accts";#N/A,#N/A,FALSE,"Tickmarks"}</definedName>
    <definedName name="AAA1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5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7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8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 hidden="1">{#N/A,#N/A,TRUE,"index";#N/A,#N/A,TRUE,"Summary";#N/A,#N/A,TRUE,"Continuing Business";#N/A,#N/A,TRUE,"Disposals";#N/A,#N/A,TRUE,"Acquisitions";#N/A,#N/A,TRUE,"Actual &amp; Plan Reconciliation"}</definedName>
    <definedName name="aaaa_1" hidden="1">{#N/A,#N/A,FALSE,"Model";#N/A,#N/A,FALSE,"Division"}</definedName>
    <definedName name="aaaaa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a" hidden="1">{#N/A,#N/A,FALSE,"REPORT"}</definedName>
    <definedName name="aaaaaaa" hidden="1">{#N/A,#N/A,FALSE,"REPORT"}</definedName>
    <definedName name="aaaaaaaaa" hidden="1">{#N/A,"PURCHM",FALSE,"Business Analysis";#N/A,"SPADD",FALSE,"Business Analysis"}</definedName>
    <definedName name="aaaaaaaaaa" hidden="1">{#N/A,#N/A,TRUE,"BALSCH";#N/A,#N/A,TRUE,"COMICRO";#N/A,#N/A,TRUE,"CHECKS";#N/A,#N/A,TRUE,"GLASS";#N/A,#N/A,TRUE,"DEPRE";#N/A,#N/A,TRUE,"A&amp;MCUR";#N/A,#N/A,TRUE,"AGEANAlysis";#N/A,#N/A,TRUE,"CHECKS"}</definedName>
    <definedName name="aaaaaaaaaaa" hidden="1">{#N/A,#N/A,FALSE,"REPORT"}</definedName>
    <definedName name="AAAAAAAAAAAA" hidden="1">{#N/A,#N/A,FALSE,"Tabl. A1";#N/A,#N/A,FALSE,"Tabl. A1 b";#N/A,#N/A,FALSE,"Tabl. A2";#N/A,#N/A,FALSE,"Tabl. A2-1";#N/A,#N/A,FALSE,"Tabl. A2-2"}</definedName>
    <definedName name="aaaaaaaaaaaaaaa" hidden="1">{#N/A,#N/A,FALSE,"Pharm";#N/A,#N/A,FALSE,"WWCM"}</definedName>
    <definedName name="aaaaaaaaaaaaaaaa" hidden="1">{#N/A,#N/A,FALSE,"Calc";#N/A,#N/A,FALSE,"Sensitivity";#N/A,#N/A,FALSE,"LT Earn.Dil.";#N/A,#N/A,FALSE,"Dil. AVP"}</definedName>
    <definedName name="aaaaaaaaaaaaaaaaa" hidden="1">{#N/A,"PURCHM",FALSE,"Business Analysis";#N/A,"SPADD",FALSE,"Business Analysis"}</definedName>
    <definedName name="aaaaaaaaaaaaaaaaaaaaaaaaaa" hidden="1">{"detail",#N/A,FALSE,"mfg";"summary",#N/A,FALSE,"mfg"}</definedName>
    <definedName name="aaaaaaaaaaaaaaaaaaaaaaaaaaaaaaaaaaaaaaaaa" hidden="1">{"'Sch B'!$B$15:$L$17"}</definedName>
    <definedName name="aaaaab" hidden="1">{#N/A,#N/A,FALSE,"Model";#N/A,#N/A,FALSE,"Division"}</definedName>
    <definedName name="aaaaab_1" hidden="1">{#N/A,#N/A,FALSE,"Model";#N/A,#N/A,FALSE,"Division"}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b" hidden="1">{#N/A,#N/A,FALSE,"AUDIT-MWOS"}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d" hidden="1">{#N/A,#N/A,FALSE,"REPORT"}</definedName>
    <definedName name="aas" hidden="1">{#N/A,#N/A,TRUE,"constb"}</definedName>
    <definedName name="aasd" hidden="1">{#N/A,#N/A,TRUE,"BT M200 da 10x20"}</definedName>
    <definedName name="aass" hidden="1">#REF!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AZAZER" hidden="1">{#N/A,#N/A,FALSE,"Tabl. A1";#N/A,#N/A,FALSE,"Tabl. A1 b";#N/A,#N/A,FALSE,"Tabl. A2";#N/A,#N/A,FALSE,"Tabl. A2-1";#N/A,#N/A,FALSE,"Tabl. A2-2"}</definedName>
    <definedName name="ab" hidden="1">{#N/A,#N/A,FALSE,"Aging Summary";#N/A,#N/A,FALSE,"Ratio Analysis";#N/A,#N/A,FALSE,"Test 120 Day Accts";#N/A,#N/A,FALSE,"Tickmarks"}</definedName>
    <definedName name="ab_1" hidden="1">{#N/A,#N/A,FALSE,"FREE"}</definedName>
    <definedName name="ab_2" hidden="1">{#N/A,#N/A,FALSE,"FREE"}</definedName>
    <definedName name="ab_3" hidden="1">{#N/A,#N/A,FALSE,"FREE"}</definedName>
    <definedName name="ab_4" hidden="1">{#N/A,#N/A,FALSE,"FREE"}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c" hidden="1">{#N/A,#N/A,FALSE,"Aging Summary";#N/A,#N/A,FALSE,"Ratio Analysis";#N/A,#N/A,FALSE,"Test 120 Day Accts";#N/A,#N/A,FALSE,"Tickmarks"}</definedName>
    <definedName name="abc.xls" hidden="1">{"mgmt forecast",#N/A,FALSE,"Mgmt Forecast";"dcf table",#N/A,FALSE,"Mgmt Forecast";"sensitivity",#N/A,FALSE,"Mgmt Forecast";"table inputs",#N/A,FALSE,"Mgmt Forecast";"calculations",#N/A,FALSE,"Mgmt Forecast"}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{#N/A,#N/A,FALSE,"Aging Summary";#N/A,#N/A,FALSE,"Ratio Analysis";#N/A,#N/A,FALSE,"Test 120 Day Accts";#N/A,#N/A,FALSE,"Tickmarks"}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{#N/A,#N/A,FALSE,"Aging Summary";#N/A,#N/A,FALSE,"Ratio Analysis";#N/A,#N/A,FALSE,"Test 120 Day Accts";#N/A,#N/A,FALSE,"Tickmarks"}</definedName>
    <definedName name="abcdef" hidden="1">{"Cost Summary",#N/A,FALSE,"B";"Cost Detail 1",#N/A,FALSE,"C";"Cost Detail 2",#N/A,FALSE,"C"}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" hidden="1">{#N/A,#N/A,FALSE,"Tabl. FB300";#N/A,#N/A,FALSE,"Tabl. FB350";#N/A,#N/A,FALSE,"Tabl. FB400";#N/A,#N/A,FALSE,"Tabl. FB500";#N/A,#N/A,FALSE,"Tabl. FS090"}</definedName>
    <definedName name="Abrisa" hidden="1">{"FY04_Assets",#N/A,FALSE,"Fin Stmt Budget";"FY04_Liabilities",#N/A,FALSE,"Fin Stmt Budget";"FY04_Inc_Stmt",#N/A,FALSE,"Fin Stmt Budget";"FY04_SOCF",#N/A,FALSE,"Fin Stmt Budget"}</definedName>
    <definedName name="ab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c_1" hidden="1">{#N/A,#N/A,FALSE,"One Pager";#N/A,#N/A,FALSE,"Technical"}</definedName>
    <definedName name="Ac_2" hidden="1">{#N/A,#N/A,FALSE,"One Pager";#N/A,#N/A,FALSE,"Technical"}</definedName>
    <definedName name="Ac_3" hidden="1">{#N/A,#N/A,FALSE,"One Pager";#N/A,#N/A,FALSE,"Technical"}</definedName>
    <definedName name="acc_1" hidden="1">{#N/A,#N/A,FALSE,"Calc";#N/A,#N/A,FALSE,"Sensitivity";#N/A,#N/A,FALSE,"LT Earn.Dil.";#N/A,#N/A,FALSE,"Dil. AVP"}</definedName>
    <definedName name="AccessDatabase" hidden="1">"C:\SEKHAR\EXCEL FILES\Invoice Register1.mdb"</definedName>
    <definedName name="accs" hidden="1">{"detail",#N/A,FALSE,"mfg";"summary",#N/A,FALSE,"mfg"}</definedName>
    <definedName name="ACHART_1" hidden="1">#REF!</definedName>
    <definedName name="ACHART_10" hidden="1">#REF!</definedName>
    <definedName name="ACHART_11" hidden="1">#REF!</definedName>
    <definedName name="ACHART_12" hidden="1">#REF!</definedName>
    <definedName name="ACHART_13" hidden="1">#REF!</definedName>
    <definedName name="ACHART_14" hidden="1">#REF!</definedName>
    <definedName name="ACHART_15" hidden="1">#REF!</definedName>
    <definedName name="ACHART_16" hidden="1">#REF!</definedName>
    <definedName name="ACHART_17" hidden="1">#REF!</definedName>
    <definedName name="ACHART_18" hidden="1">#REF!</definedName>
    <definedName name="ACHART_19" hidden="1">#REF!</definedName>
    <definedName name="ACHART_2" hidden="1">#REF!</definedName>
    <definedName name="ACHART_20" hidden="1">#REF!</definedName>
    <definedName name="ACHART_21" hidden="1">#REF!</definedName>
    <definedName name="ACHART_22" hidden="1">#REF!</definedName>
    <definedName name="ACHART_23" hidden="1">#REF!</definedName>
    <definedName name="ACHART_24" hidden="1">#REF!</definedName>
    <definedName name="ACHART_25" hidden="1">#REF!</definedName>
    <definedName name="ACHART_26" hidden="1">#REF!</definedName>
    <definedName name="ACHART_27" hidden="1">#REF!</definedName>
    <definedName name="ACHART_28" hidden="1">#REF!</definedName>
    <definedName name="ACHART_29" hidden="1">#REF!</definedName>
    <definedName name="ACHART_3" hidden="1">#REF!</definedName>
    <definedName name="ACHART_30" hidden="1">#REF!</definedName>
    <definedName name="ACHART_31" hidden="1">#REF!</definedName>
    <definedName name="ACHART_32" hidden="1">#REF!</definedName>
    <definedName name="ACHART_33" hidden="1">#REF!</definedName>
    <definedName name="ACHART_34" hidden="1">#REF!</definedName>
    <definedName name="ACHART_35" hidden="1">#REF!</definedName>
    <definedName name="ACHART_36" hidden="1">#REF!</definedName>
    <definedName name="ACHART_37" hidden="1">#REF!</definedName>
    <definedName name="ACHART_38" hidden="1">#REF!</definedName>
    <definedName name="ACHART_39" hidden="1">#REF!</definedName>
    <definedName name="ACHART_4" hidden="1">#REF!</definedName>
    <definedName name="ACHART_40" hidden="1">#REF!</definedName>
    <definedName name="ACHART_41" hidden="1">#REF!</definedName>
    <definedName name="ACHART_42" hidden="1">#REF!</definedName>
    <definedName name="ACHART_43" hidden="1">#REF!</definedName>
    <definedName name="ACHART_44" hidden="1">#REF!</definedName>
    <definedName name="ACHART_45" hidden="1">#REF!</definedName>
    <definedName name="ACHART_46" hidden="1">#REF!</definedName>
    <definedName name="ACHART_47" hidden="1">#REF!</definedName>
    <definedName name="ACHART_48" hidden="1">#REF!</definedName>
    <definedName name="ACHART_49" hidden="1">#REF!</definedName>
    <definedName name="ACHART_5" hidden="1">#REF!</definedName>
    <definedName name="ACHART_50" hidden="1">#REF!</definedName>
    <definedName name="ACHART_51" hidden="1">#REF!</definedName>
    <definedName name="ACHART_52" hidden="1">#REF!</definedName>
    <definedName name="ACHART_53" hidden="1">#REF!</definedName>
    <definedName name="ACHART_54" hidden="1">#REF!</definedName>
    <definedName name="ACHART_55" hidden="1">#REF!</definedName>
    <definedName name="ACHART_56" hidden="1">#REF!</definedName>
    <definedName name="ACHART_57" hidden="1">#REF!</definedName>
    <definedName name="ACHART_58" hidden="1">#REF!</definedName>
    <definedName name="ACHART_59" hidden="1">#REF!</definedName>
    <definedName name="ACHART_6" hidden="1">#REF!</definedName>
    <definedName name="ACHART_60" hidden="1">#REF!</definedName>
    <definedName name="ACHART_61" hidden="1">#REF!</definedName>
    <definedName name="ACHART_62" hidden="1">#REF!</definedName>
    <definedName name="ACHART_63" hidden="1">#REF!</definedName>
    <definedName name="ACHART_64" hidden="1">#REF!</definedName>
    <definedName name="ACHART_65" hidden="1">#REF!</definedName>
    <definedName name="ACHART_66" hidden="1">#REF!</definedName>
    <definedName name="ACHART_67" hidden="1">#REF!</definedName>
    <definedName name="ACHART_68" hidden="1">#REF!</definedName>
    <definedName name="ACHART_69" hidden="1">#REF!</definedName>
    <definedName name="ACHART_7" hidden="1">#REF!</definedName>
    <definedName name="ACHART_70" hidden="1">#REF!</definedName>
    <definedName name="ACHART_71" hidden="1">#REF!</definedName>
    <definedName name="ACHART_72" hidden="1">#REF!</definedName>
    <definedName name="ACHART_73" hidden="1">#REF!</definedName>
    <definedName name="ACHART_74" hidden="1">#REF!</definedName>
    <definedName name="ACHART_75" hidden="1">#REF!</definedName>
    <definedName name="ACHART_76" hidden="1">#REF!</definedName>
    <definedName name="ACHART_77" hidden="1">#REF!</definedName>
    <definedName name="ACHART_78" hidden="1">#REF!</definedName>
    <definedName name="ACHART_79" hidden="1">#REF!</definedName>
    <definedName name="ACHART_8" hidden="1">#REF!</definedName>
    <definedName name="ACHART_80" hidden="1">#REF!</definedName>
    <definedName name="ACHART_81" hidden="1">#REF!</definedName>
    <definedName name="ACHART_82" hidden="1">{#VALUE!,#N/A,FALSE,0;#N/A,#N/A,FALSE,0;#N/A,#N/A,FALSE,0;#N/A,#N/A,FALSE,0}</definedName>
    <definedName name="ACHART_82_1" hidden="1">{#VALUE!,#N/A,FALSE,0;#N/A,#N/A,FALSE,0;#N/A,#N/A,FALSE,0;#N/A,#N/A,FALSE,0}</definedName>
    <definedName name="ACHART_82_2" hidden="1">{#VALUE!,#N/A,FALSE,0;#N/A,#N/A,FALSE,0;#N/A,#N/A,FALSE,0;#N/A,#N/A,FALSE,0}</definedName>
    <definedName name="ACHART_82_3" hidden="1">{#VALUE!,#N/A,FALSE,0;#N/A,#N/A,FALSE,0;#N/A,#N/A,FALSE,0;#N/A,#N/A,FALSE,0}</definedName>
    <definedName name="ACHART_82_4" hidden="1">{#VALUE!,#N/A,FALSE,0;#N/A,#N/A,FALSE,0;#N/A,#N/A,FALSE,0;#N/A,#N/A,FALSE,0}</definedName>
    <definedName name="ACHART_82_5" hidden="1">{#VALUE!,#N/A,FALSE,0;#N/A,#N/A,FALSE,0;#N/A,#N/A,FALSE,0;#N/A,#N/A,FALSE,0}</definedName>
    <definedName name="ACHART_9" hidden="1">#REF!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sLY1Start" hidden="1">#REF!</definedName>
    <definedName name="ActualsLYStart" hidden="1">#REF!</definedName>
    <definedName name="ActualsTYStart" hidden="1">#REF!</definedName>
    <definedName name="ACwvu.CapersView." hidden="1">#REF!</definedName>
    <definedName name="ACwvu.Japan_Capers_Ed_Pub." hidden="1">#REF!</definedName>
    <definedName name="ACwvu.KJP_CC." hidden="1">#REF!</definedName>
    <definedName name="ad_1" hidden="1">{#N/A,#N/A,FALSE,"PMTABB";#N/A,#N/A,FALSE,"PMTABB"}</definedName>
    <definedName name="ad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sd" hidden="1">{#N/A,#N/A,FALSE,"KA CH  (2)"}</definedName>
    <definedName name="adc" hidden="1">{#N/A,"PURCHM",FALSE,"Business Analysis";#N/A,"SPADD",FALSE,"Business Analysis"}</definedName>
    <definedName name="add_BO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" hidden="1">#REF!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sdysty" hidden="1">{#N/A,#N/A,FALSE,"REPORT"}</definedName>
    <definedName name="adfrs" hidden="1">{#N/A,#N/A,FALSE,"COVER.XLS";#N/A,#N/A,FALSE,"RACT1.XLS";#N/A,#N/A,FALSE,"RACT2.XLS";#N/A,#N/A,FALSE,"ECCMP";#N/A,#N/A,FALSE,"WELDER.XLS"}</definedName>
    <definedName name="adfs" hidden="1">{#N/A,#N/A,FALSE,"PMTABB";#N/A,#N/A,FALSE,"PMTABB"}</definedName>
    <definedName name="adfs_2" hidden="1">{#N/A,#N/A,FALSE,"PMTABB";#N/A,#N/A,FALSE,"PMTABB"}</definedName>
    <definedName name="adfs_3" hidden="1">{#N/A,#N/A,FALSE,"PMTABB";#N/A,#N/A,FALSE,"PMTABB"}</definedName>
    <definedName name="adfs_4" hidden="1">{#N/A,#N/A,FALSE,"PMTABB";#N/A,#N/A,FALSE,"PMTABB"}</definedName>
    <definedName name="adfsfjfjky" hidden="1">{#N/A,#N/A,FALSE,"REPORT"}</definedName>
    <definedName name="adfvad" hidden="1">{#N/A,#N/A,FALSE,"Aging Summary";#N/A,#N/A,FALSE,"Ratio Analysis";#N/A,#N/A,FALSE,"Test 120 Day Accts";#N/A,#N/A,FALSE,"Tickmarks"}</definedName>
    <definedName name="adgfgd" hidden="1">{"detail",#N/A,FALSE,"mfg";"summary",#N/A,FALSE,"mfg"}</definedName>
    <definedName name="ADJ" hidden="1">{#N/A,#N/A,FALSE,"Aging Summary";#N/A,#N/A,FALSE,"Ratio Analysis";#N/A,#N/A,FALSE,"Test 120 Day Accts";#N/A,#N/A,FALSE,"Tickmarks"}</definedName>
    <definedName name="Adriaan" hidden="1">#N/A</definedName>
    <definedName name="Adriaan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1" hidden="1">{"Totax",#N/A,FALSE,"Sheet1";#N/A,#N/A,FALSE,"Law Output"}</definedName>
    <definedName name="Adriaan11_1" hidden="1">{"Totax",#N/A,FALSE,"Sheet1";#N/A,#N/A,FALSE,"Law Output"}</definedName>
    <definedName name="Adriaan11_2" hidden="1">{"Totax",#N/A,FALSE,"Sheet1";#N/A,#N/A,FALSE,"Law Output"}</definedName>
    <definedName name="Adriaan11_3" hidden="1">{"Totax",#N/A,FALSE,"Sheet1";#N/A,#N/A,FALSE,"Law Output"}</definedName>
    <definedName name="Adriaan11_4" hidden="1">{"Totax",#N/A,FALSE,"Sheet1";#N/A,#N/A,FALSE,"Law Output"}</definedName>
    <definedName name="Adriaan11_5" hidden="1">{"Totax",#N/A,FALSE,"Sheet1";#N/A,#N/A,FALSE,"Law Output"}</definedName>
    <definedName name="Adriaan5" hidden="1">#N/A</definedName>
    <definedName name="Adriaan6" hidden="1">#N/A</definedName>
    <definedName name="Adriaan9" hidden="1">{"Totax",#N/A,FALSE,"Sheet1";#N/A,#N/A,FALSE,"Law Output"}</definedName>
    <definedName name="Adriaan9_1" hidden="1">{"Totax",#N/A,FALSE,"Sheet1";#N/A,#N/A,FALSE,"Law Output"}</definedName>
    <definedName name="Adriaan9_2" hidden="1">{"Totax",#N/A,FALSE,"Sheet1";#N/A,#N/A,FALSE,"Law Output"}</definedName>
    <definedName name="Adriaan9_3" hidden="1">{"Totax",#N/A,FALSE,"Sheet1";#N/A,#N/A,FALSE,"Law Output"}</definedName>
    <definedName name="Adriaan9_4" hidden="1">{"Totax",#N/A,FALSE,"Sheet1";#N/A,#N/A,FALSE,"Law Output"}</definedName>
    <definedName name="Adriaan9_5" hidden="1">{"Totax",#N/A,FALSE,"Sheet1";#N/A,#N/A,FALSE,"Law Output"}</definedName>
    <definedName name="ads" hidden="1">{"detail",#N/A,FALSE,"mfg";"summary",#N/A,FALSE,"mfg"}</definedName>
    <definedName name="adsasdasd" hidden="1">{#N/A,#N/A,FALSE,"AUDIT-MWOS"}</definedName>
    <definedName name="adsf" hidden="1">{"QTD",#N/A,FALSE,"SUM"}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ED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aer" hidden="1">{#N/A,#N/A,FALSE,"EW"}</definedName>
    <definedName name="aer_2" hidden="1">{#N/A,#N/A,FALSE,"EW"}</definedName>
    <definedName name="aer_3" hidden="1">{#N/A,#N/A,FALSE,"EW"}</definedName>
    <definedName name="aer_4" hidden="1">{#N/A,#N/A,FALSE,"EW"}</definedName>
    <definedName name="aew" hidden="1">{#N/A,"PURCHM",FALSE,"Business Analysis";#N/A,"SPADD",FALSE,"Business Analysis"}</definedName>
    <definedName name="afc" hidden="1">{"detail",#N/A,FALSE,"mfg";"summary",#N/A,FALSE,"mfg"}</definedName>
    <definedName name="AFDADSFDAS" hidden="1">{#N/A,#N/A,FALSE,"REPORT"}</definedName>
    <definedName name="afds" hidden="1">{"Quarter1",#N/A,FALSE,"Sheet1";"Quarter2",#N/A,FALSE,"Sheet1";"Quarter3",#N/A,FALSE,"Sheet1";"Quarter4",#N/A,FALSE,"Sheet1"}</definedName>
    <definedName name="AFECLKZE" hidden="1">{#N/A,#N/A,FALSE,"Tabl. A1";#N/A,#N/A,FALSE,"Tabl. A1 b";#N/A,#N/A,FALSE,"Tabl. A2";#N/A,#N/A,FALSE,"Tabl. A2-1";#N/A,#N/A,FALSE,"Tabl. A2-2"}</definedName>
    <definedName name="AFGGF" hidden="1">{#N/A,#N/A,FALSE,"Tabl. D1";#N/A,#N/A,FALSE,"Tabl. D1 b";#N/A,#N/A,FALSE,"Tabl. D2";#N/A,#N/A,FALSE,"Tabl. D2 b";#N/A,#N/A,FALSE,"Tabl. D3";#N/A,#N/A,FALSE,"Tabl. D4";#N/A,#N/A,FALSE,"Tabl. D5"}</definedName>
    <definedName name="africa" hidden="1">{#N/A,#N/A,FALSE,"CNS";#N/A,#N/A,FALSE,"Serz";#N/A,#N/A,FALSE,"Ace"}</definedName>
    <definedName name="AFSDF" hidden="1">{#N/A,#N/A,FALSE,"PMTABB";#N/A,#N/A,FALSE,"PMTABB"}</definedName>
    <definedName name="AFSDF_1" hidden="1">{#N/A,#N/A,FALSE,"PMTABB";#N/A,#N/A,FALSE,"PMTABB"}</definedName>
    <definedName name="AFSDF_2" hidden="1">{#N/A,#N/A,FALSE,"PMTABB";#N/A,#N/A,FALSE,"PMTABB"}</definedName>
    <definedName name="AFSDF_3" hidden="1">{#N/A,#N/A,FALSE,"PMTABB";#N/A,#N/A,FALSE,"PMTABB"}</definedName>
    <definedName name="AFSDF_4" hidden="1">{#N/A,#N/A,FALSE,"PMTABB";#N/A,#N/A,FALSE,"PMTABB"}</definedName>
    <definedName name="afsdrt" hidden="1">{#N/A,#N/A,FALSE,"Aging Summary";#N/A,#N/A,FALSE,"Ratio Analysis";#N/A,#N/A,FALSE,"Test 120 Day Accts";#N/A,#N/A,FALSE,"Tickmarks"}</definedName>
    <definedName name="afsdrt_2" hidden="1">{#N/A,#N/A,FALSE,"Aging Summary";#N/A,#N/A,FALSE,"Ratio Analysis";#N/A,#N/A,FALSE,"Test 120 Day Accts";#N/A,#N/A,FALSE,"Tickmarks"}</definedName>
    <definedName name="afsdrt_3" hidden="1">{#N/A,#N/A,FALSE,"Aging Summary";#N/A,#N/A,FALSE,"Ratio Analysis";#N/A,#N/A,FALSE,"Test 120 Day Accts";#N/A,#N/A,FALSE,"Tickmarks"}</definedName>
    <definedName name="afsdrt_4" hidden="1">{#N/A,#N/A,FALSE,"Aging Summary";#N/A,#N/A,FALSE,"Ratio Analysis";#N/A,#N/A,FALSE,"Test 120 Day Accts";#N/A,#N/A,FALSE,"Tickmarks"}</definedName>
    <definedName name="afssdrt" hidden="1">{#N/A,#N/A,FALSE,"EW"}</definedName>
    <definedName name="afssdrt_2" hidden="1">{#N/A,#N/A,FALSE,"EW"}</definedName>
    <definedName name="afssdrt_3" hidden="1">{#N/A,#N/A,FALSE,"EW"}</definedName>
    <definedName name="afssdrt_4" hidden="1">{#N/A,#N/A,FALSE,"EW"}</definedName>
    <definedName name="a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ing" hidden="1">{#N/A,#N/A,FALSE,"Aging Summary";#N/A,#N/A,FALSE,"Ratio Analysis";#N/A,#N/A,FALSE,"Test 120 Day Accts";#N/A,#N/A,FALSE,"Tickmarks"}</definedName>
    <definedName name="aging_1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ust" hidden="1">{#N/A,#N/A,FALSE,"0895";"LOWER PORTION",#N/A,FALSE,"0895"}</definedName>
    <definedName name="Agust_1" hidden="1">{#N/A,#N/A,FALSE,"0895";"LOWER PORTION",#N/A,FALSE,"0895"}</definedName>
    <definedName name="Agust_2" hidden="1">{#N/A,#N/A,FALSE,"0895";"LOWER PORTION",#N/A,FALSE,"0895"}</definedName>
    <definedName name="Agust_3" hidden="1">{#N/A,#N/A,FALSE,"0895";"LOWER PORTION",#N/A,FALSE,"0895"}</definedName>
    <definedName name="Agust_4" hidden="1">{#N/A,#N/A,FALSE,"0895";"LOWER PORTION",#N/A,FALSE,"0895"}</definedName>
    <definedName name="Agust_5" hidden="1">{#N/A,#N/A,FALSE,"0895";"LOWER PORTION",#N/A,FALSE,"0895"}</definedName>
    <definedName name="aHSAN">#REF!</definedName>
    <definedName name="ajaj\" hidden="1">{"'Sch B'!$B$15:$L$17"}</definedName>
    <definedName name="akdsf" hidden="1">#REF!</definedName>
    <definedName name="alex" hidden="1">{#N/A,#N/A,FALSE,"REPORT"}</definedName>
    <definedName name="alexan" hidden="1">{#N/A,#N/A,FALSE,"REPORT"}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it" hidden="1">{"Balance Sheet",#N/A,FALSE,"Balsheet";"Assets Schedule",#N/A,FALSE,"Balsheet";"Abstract",#N/A,FALSE,"Balsheet"}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mn" hidden="1">{#N/A,#N/A,FALSE,"Staffnos &amp; cost"}</definedName>
    <definedName name="amortis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añ" hidden="1">{"Performance Details",#N/A,FALSE,"Current Yr";"Performance Details",#N/A,FALSE,"Budget";"Performance Details",#N/A,FALSE,"Prior Year"}</definedName>
    <definedName name="anagha" hidden="1">#REF!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nd11" hidden="1">#REF!</definedName>
    <definedName name="anand12" hidden="1">#REF!</definedName>
    <definedName name="anandsd" hidden="1">#REF!</definedName>
    <definedName name="andy" hidden="1">{#N/A,#N/A,FALSE,"REPORT"}</definedName>
    <definedName name="Aneexure" hidden="1">{#N/A,#N/A,FALSE,"Staffnos &amp; cost"}</definedName>
    <definedName name="Annees">#REF!</definedName>
    <definedName name="Annexure" hidden="1">{#N/A,#N/A,FALSE,"Staffnos &amp; cost"}</definedName>
    <definedName name="annual1" hidden="1">{#N/A,#N/A,FALSE,"earnings"}</definedName>
    <definedName name="anscount" hidden="1">1</definedName>
    <definedName name="ANU" hidden="1">#REF!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phfoih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">#REF!</definedName>
    <definedName name="APR_16">#REF!</definedName>
    <definedName name="APR_17">#REF!</definedName>
    <definedName name="Apr_Head">#REF!</definedName>
    <definedName name="apty" hidden="1">{#N/A,#N/A,FALSE,"WRSUMMARY";#N/A,#N/A,FALSE,"ANNEX-1";#N/A,#N/A,FALSE,"ANNEX-2";#N/A,#N/A,FALSE,"ANNEX-3";#N/A,#N/A,FALSE,"WORKING"}</definedName>
    <definedName name="aq" hidden="1">{#N/A,#N/A,FALSE,"COMP"}</definedName>
    <definedName name="aqw" hidden="1">{#N/A,"PURCHM",FALSE,"Business Analysis";#N/A,"SPADD",FALSE,"Business Analysis"}</definedName>
    <definedName name="AR" hidden="1">{#N/A,#N/A,FALSE,"Status of Projects";#N/A,#N/A,FALSE,"CEA-TEC";#N/A,#N/A,FALSE,"U-Constr.";#N/A,#N/A,FALSE,"summary";#N/A,#N/A,FALSE,"PPP-3 yrs"}</definedName>
    <definedName name="ARC" hidden="1">{#N/A,#N/A,FALSE,"Status of Projects";#N/A,#N/A,FALSE,"CEA-TEC";#N/A,#N/A,FALSE,"U-Constr.";#N/A,#N/A,FALSE,"summary";#N/A,#N/A,FALSE,"PPP-3 yrs"}</definedName>
    <definedName name="as" hidden="1">{#N/A,#N/A,FALSE,"Aging Summary";#N/A,#N/A,FALSE,"Ratio Analysis";#N/A,#N/A,FALSE,"Test 120 Day Accts";#N/A,#N/A,FALSE,"Tickmarks"}</definedName>
    <definedName name="as_1" hidden="1">{#N/A,#N/A,FALSE,"Balance Sheet";#N/A,#N/A,FALSE,"Income Statement";#N/A,#N/A,FALSE,"Changes in Financial Position"}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hidden="1">{#N/A,#N/A,FALSE,"AUDIT-MWOS"}</definedName>
    <definedName name="asasaaaaaaaaa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asa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SASASASA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asasdas" hidden="1">{"'Sheet1'!$L$16"}</definedName>
    <definedName name="asasfafasf" hidden="1">#REF!</definedName>
    <definedName name="ASCVBN" hidden="1">{#N/A,#N/A,FALSE,"Tabl. D1";#N/A,#N/A,FALSE,"Tabl. D1 b";#N/A,#N/A,FALSE,"Tabl. D2";#N/A,#N/A,FALSE,"Tabl. D2 b";#N/A,#N/A,FALSE,"Tabl. D3";#N/A,#N/A,FALSE,"Tabl. D4";#N/A,#N/A,FALSE,"Tabl. D5"}</definedName>
    <definedName name="asd" hidden="1">{#N/A,#N/A,FALSE,"Pharm";#N/A,#N/A,FALSE,"WWCM"}</definedName>
    <definedName name="asdadsad" hidden="1">{#N/A,#N/A,FALSE,"Aging Summary";#N/A,#N/A,FALSE,"Ratio Analysis";#N/A,#N/A,FALSE,"Test 120 Day Accts";#N/A,#N/A,FALSE,"Tickmarks"}</definedName>
    <definedName name="asdadsasd" hidden="1">{#N/A,#N/A,FALSE,"AUDIT-MWOS"}</definedName>
    <definedName name="asdasdadadadasdasd" hidden="1">{#N/A,#N/A,FALSE,"Aging Summary";#N/A,#N/A,FALSE,"Ratio Analysis";#N/A,#N/A,FALSE,"Test 120 Day Accts";#N/A,#N/A,FALSE,"Tickmarks"}</definedName>
    <definedName name="asdasdadadsasd" hidden="1">#REF!</definedName>
    <definedName name="asdasdasdads" hidden="1">{#N/A,#N/A,FALSE,"Aging Summary";#N/A,#N/A,FALSE,"Ratio Analysis";#N/A,#N/A,FALSE,"Test 120 Day Accts";#N/A,#N/A,FALSE,"Tickmarks"}</definedName>
    <definedName name="ASDASF" hidden="1">{#N/A,#N/A,FALSE,"Aging Summary";#N/A,#N/A,FALSE,"Ratio Analysis";#N/A,#N/A,FALSE,"Test 120 Day Accts";#N/A,#N/A,FALSE,"Tickmarks"}</definedName>
    <definedName name="asdaweqe" hidden="1">{#N/A,#N/A,FALSE,"Status of Projects";#N/A,#N/A,FALSE,"CEA-TEC";#N/A,#N/A,FALSE,"U-Constr.";#N/A,#N/A,FALSE,"summary";#N/A,#N/A,FALSE,"PPP-3 yrs"}</definedName>
    <definedName name="asdds" hidden="1">#REF!</definedName>
    <definedName name="asdf_2" hidden="1">{#N/A,#N/A,FALSE,"PMTABB";#N/A,#N/A,FALSE,"PMTABB"}</definedName>
    <definedName name="asdf_3" hidden="1">{#N/A,#N/A,FALSE,"PMTABB";#N/A,#N/A,FALSE,"PMTABB"}</definedName>
    <definedName name="asdf_4" hidden="1">{#N/A,#N/A,FALSE,"PMTABB";#N/A,#N/A,FALSE,"PMTABB"}</definedName>
    <definedName name="asdfa" hidden="1">{#N/A,#N/A,FALSE,"Staffnos &amp; cost"}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df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s" hidden="1">#REF!</definedName>
    <definedName name="asdfg" hidden="1">{#N/A,#N/A,FALSE,"Pharm";#N/A,#N/A,FALSE,"WWCM"}</definedName>
    <definedName name="asdfkjewr" hidden="1">#REF!</definedName>
    <definedName name="asdfsdz" hidden="1">#REF!</definedName>
    <definedName name="asdgahdfhth" hidden="1">{#N/A,#N/A,FALSE,"REPORT"}</definedName>
    <definedName name="asdgayery" hidden="1">{#N/A,#N/A,FALSE,"Pharm";#N/A,#N/A,FALSE,"WWCM"}</definedName>
    <definedName name="asdgfc" hidden="1">#REF!</definedName>
    <definedName name="asdgfdytyet" hidden="1">{#N/A,#N/A,FALSE,"REPORT"}</definedName>
    <definedName name="asdgtryukuio" hidden="1">{#N/A,#N/A,FALSE,"REPORT"}</definedName>
    <definedName name="asdjasldkfj" hidden="1">{#N/A,#N/A,FALSE,"PMTABB";#N/A,#N/A,FALSE,"PMTABB"}</definedName>
    <definedName name="asdjasldkfj_1" hidden="1">{#N/A,#N/A,FALSE,"PMTABB";#N/A,#N/A,FALSE,"PMTABB"}</definedName>
    <definedName name="asdjasldkfj_2" hidden="1">{#N/A,#N/A,FALSE,"PMTABB";#N/A,#N/A,FALSE,"PMTABB"}</definedName>
    <definedName name="asdjasldkfj_3" hidden="1">{#N/A,#N/A,FALSE,"PMTABB";#N/A,#N/A,FALSE,"PMTABB"}</definedName>
    <definedName name="asdjasldkfj_4" hidden="1">{#N/A,#N/A,FALSE,"PMTABB";#N/A,#N/A,FALSE,"PMTABB"}</definedName>
    <definedName name="asdjgkl" hidden="1">{#N/A,#N/A,FALSE,"Pharm";#N/A,#N/A,FALSE,"WWCM"}</definedName>
    <definedName name="asdkjf" hidden="1">{"Quarter1",#N/A,FALSE,"Sheet1";"Quarter2",#N/A,FALSE,"Sheet1";"Quarter3",#N/A,FALSE,"Sheet1";"Quarter4",#N/A,FALSE,"Sheet1"}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 hidden="1">{#N/A,#N/A,FALSE,"ISBL"}</definedName>
    <definedName name="asdsar_2" hidden="1">{#N/A,#N/A,FALSE,"ISBL"}</definedName>
    <definedName name="asdsar_3" hidden="1">{#N/A,#N/A,FALSE,"ISBL"}</definedName>
    <definedName name="asdsar_4" hidden="1">{#N/A,#N/A,FALSE,"ISBL"}</definedName>
    <definedName name="asdse" hidden="1">{#N/A,#N/A,FALSE,"Model";#N/A,#N/A,FALSE,"Division"}</definedName>
    <definedName name="asdzfczv" hidden="1">#REF!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afafas" hidden="1">#REF!</definedName>
    <definedName name="asfafsafsaf" hidden="1">#REF!</definedName>
    <definedName name="asfasdf">#REF!</definedName>
    <definedName name="asfd" hidden="1">{#N/A,#N/A,FALSE,"Model";#N/A,#N/A,FALSE,"Division"}</definedName>
    <definedName name="asffghujyki" hidden="1">{#N/A,#N/A,FALSE,"Pharm";#N/A,#N/A,FALSE,"WWCM"}</definedName>
    <definedName name="asfg" hidden="1">{#N/A,#N/A,FALSE,"Balance Sheet";#N/A,#N/A,FALSE,"Income Statement";#N/A,#N/A,FALSE,"Changes in Financial Position"}</definedName>
    <definedName name="asfg_1" hidden="1">{#N/A,#N/A,FALSE,"Balance Sheet";#N/A,#N/A,FALSE,"Income Statement";#N/A,#N/A,FALSE,"Changes in Financial Position"}</definedName>
    <definedName name="asfsdf" hidden="1">{#N/A,#N/A,FALSE,"COMP"}</definedName>
    <definedName name="asjk" hidden="1">{"350FTSE44","COMPANIES",TRUE}</definedName>
    <definedName name="asqq" hidden="1">{"Performance Details",#N/A,FALSE,"Current Yr";"Performance Details",#N/A,FALSE,"Budget";"Performance Details",#N/A,FALSE,"Prior Year"}</definedName>
    <definedName name="ass" hidden="1">{#N/A,#N/A,FALSE,"Balance Sheet";#N/A,#N/A,FALSE,"Income Statement";#N/A,#N/A,FALSE,"Changes in Financial Position"}</definedName>
    <definedName name="ass_1" hidden="1">{#N/A,#N/A,FALSE,"Balance Sheet";#N/A,#N/A,FALSE,"Income Statement";#N/A,#N/A,FALSE,"Changes in Financial Position"}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T" hidden="1">{#N/A,#N/A,FALSE,"COVER.XLS";#N/A,#N/A,FALSE,"RACT1.XLS";#N/A,#N/A,FALSE,"RACT2.XLS";#N/A,#N/A,FALSE,"ECCMP";#N/A,#N/A,FALSE,"WELDER.XLS"}</definedName>
    <definedName name="asw.xls" hidden="1">{"mgmt forecast",#N/A,FALSE,"Mgmt Forecast";"dcf table",#N/A,FALSE,"Mgmt Forecast";"sensitivity",#N/A,FALSE,"Mgmt Forecast";"table inputs",#N/A,FALSE,"Mgmt Forecast";"calculations",#N/A,FALSE,"Mgmt Forecast"}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sx.xls" hidden="1">{"mgmt forecast",#N/A,FALSE,"Mgmt Forecast";"dcf table",#N/A,FALSE,"Mgmt Forecast";"sensitivity",#N/A,FALSE,"Mgmt Forecast";"table inputs",#N/A,FALSE,"Mgmt Forecast";"calculations",#N/A,FALSE,"Mgmt Forecast"}</definedName>
    <definedName name="Athree" hidden="1">#REF!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tra" hidden="1">#REF!</definedName>
    <definedName name="Audit_Exemption___NI">#REF!</definedName>
    <definedName name="Audit_materiality">#REF!</definedName>
    <definedName name="AUG_16">#REF!</definedName>
    <definedName name="Aug_17">#REF!</definedName>
    <definedName name="August" hidden="1">{"TOP PORTION",#N/A,FALSE,"0895"}</definedName>
    <definedName name="August_1" hidden="1">{"TOP PORTION",#N/A,FALSE,"0895"}</definedName>
    <definedName name="August_2" hidden="1">{"TOP PORTION",#N/A,FALSE,"0895"}</definedName>
    <definedName name="August_3" hidden="1">{"TOP PORTION",#N/A,FALSE,"0895"}</definedName>
    <definedName name="August_4" hidden="1">{"TOP PORTION",#N/A,FALSE,"0895"}</definedName>
    <definedName name="August_5" hidden="1">{"TOP PORTION",#N/A,FALSE,"0895"}</definedName>
    <definedName name="AUTHOR2_ae77d93637504bb493aacc6fbd0c6ba5">#REF!</definedName>
    <definedName name="AUTHOR2_c3cfe7708a114a96a4cc68a425ea5dea">#REF!</definedName>
    <definedName name="AUTHOR2_e83144466d9b4d179a9af81d89644609">#REF!</definedName>
    <definedName name="av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gSellPr" hidden="1">#REF!,#REF!,#REF!,#REF!,#REF!,#REF!,#REF!,#REF!</definedName>
    <definedName name="avv" hidden="1">{#N/A,#N/A,TRUE,"index";#N/A,#N/A,TRUE,"Summary";#N/A,#N/A,TRUE,"Continuing Business";#N/A,#N/A,TRUE,"Disposals";#N/A,#N/A,TRUE,"Acquisitions";#N/A,#N/A,TRUE,"Actual &amp; Plan Reconciliation"}</definedName>
    <definedName name="aw" hidden="1">{#N/A,#N/A,FALSE,"COMP"}</definedName>
    <definedName name="aw4wb" hidden="1">{#N/A,#N/A,FALSE,"ISBL"}</definedName>
    <definedName name="aw4wb_2" hidden="1">{#N/A,#N/A,FALSE,"ISBL"}</definedName>
    <definedName name="aw4wb_3" hidden="1">{#N/A,#N/A,FALSE,"ISBL"}</definedName>
    <definedName name="aw4wb_4" hidden="1">{#N/A,#N/A,FALSE,"ISBL"}</definedName>
    <definedName name="awe" hidden="1">{#N/A,#N/A,FALSE,"PGW"}</definedName>
    <definedName name="awe_2" hidden="1">{#N/A,#N/A,FALSE,"PGW"}</definedName>
    <definedName name="awe_3" hidden="1">{#N/A,#N/A,FALSE,"PGW"}</definedName>
    <definedName name="awe_4" hidden="1">{#N/A,#N/A,FALSE,"PGW"}</definedName>
    <definedName name="aweaw3" hidden="1">{#N/A,#N/A,FALSE,"OSBL"}</definedName>
    <definedName name="aweaw3_2" hidden="1">{#N/A,#N/A,FALSE,"OSBL"}</definedName>
    <definedName name="aweaw3_3" hidden="1">{#N/A,#N/A,FALSE,"OSBL"}</definedName>
    <definedName name="aweaw3_4" hidden="1">{#N/A,#N/A,FALSE,"OSBL"}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X" hidden="1">{#N/A,#N/A,FALSE,"Pharm";#N/A,#N/A,FALSE,"WWCM"}</definedName>
    <definedName name="AXCHUT" hidden="1">{#N/A,#N/A,FALSE,"Tabl. H1";#N/A,#N/A,FALSE,"Tabl. H2"}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AZXC" hidden="1">{#N/A,#N/A,FALSE,"Tabl. H1";#N/A,#N/A,FALSE,"Tabl. H2"}</definedName>
    <definedName name="b" hidden="1">{#N/A,#N/A,TRUE,"index";#N/A,#N/A,TRUE,"Summary";#N/A,#N/A,TRUE,"Continuing Business";#N/A,#N/A,TRUE,"Disposals";#N/A,#N/A,TRUE,"Acquisitions";#N/A,#N/A,TRUE,"Actual &amp; Plan Reconciliation"}</definedName>
    <definedName name="b_1" hidden="1">{#N/A,#N/A,FALSE,"PMTABB";#N/A,#N/A,FALSE,"PMTABB"}</definedName>
    <definedName name="b_2" hidden="1">{#N/A,#N/A,FALSE,"PMTABB";#N/A,#N/A,FALSE,"PMTABB"}</definedName>
    <definedName name="b_3" hidden="1">{#N/A,#N/A,FALSE,"PMTABB";#N/A,#N/A,FALSE,"PMTABB"}</definedName>
    <definedName name="b_4" hidden="1">{#N/A,#N/A,FALSE,"PMTABB";#N/A,#N/A,FALSE,"PMTABB"}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LANCE" hidden="1">#REF!</definedName>
    <definedName name="balancecompar" comment="balance comparative temps réel">#REF!</definedName>
    <definedName name="balancetr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Payments">#REF!</definedName>
    <definedName name="BankPayments_Books">#REF!</definedName>
    <definedName name="BankPayments_FixedAssets">#REF!</definedName>
    <definedName name="BankPayments_Insurance">#REF!</definedName>
    <definedName name="BankPayments_Motor">#REF!</definedName>
    <definedName name="BankPayments_Stationery">#REF!</definedName>
    <definedName name="BankPayments_Telephone">#REF!</definedName>
    <definedName name="BankPayments_Total">#REF!</definedName>
    <definedName name="BankPayments_VAT">#REF!</definedName>
    <definedName name="BankPayments_WheawillSudworth">#REF!</definedName>
    <definedName name="BankPayments_WS">#REF!</definedName>
    <definedName name="BankReceipts">#REF!</definedName>
    <definedName name="BankReceipts_NetSales">#REF!</definedName>
    <definedName name="BankReceipts_Total">#REF!</definedName>
    <definedName name="BankReceipts_VAT">#REF!</definedName>
    <definedName name="base1" hidden="1">#REF!</definedName>
    <definedName name="BaseData_1" hidden="1">{#N/A,#N/A,FALSE,"Cash Flows";#N/A,#N/A,FALSE,"Fixed Assets";#N/A,#N/A,FALSE,"Balance Sheet";#N/A,#N/A,FALSE,"P &amp; L"}</definedName>
    <definedName name="Bases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bb" hidden="1">{"histincome",#N/A,FALSE,"hyfins";"closing balance",#N/A,FALSE,"hyfins"}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{"histincome",#N/A,FALSE,"hyfins";"closing balance",#N/A,FALSE,"hyfins"}</definedName>
    <definedName name="bbbb" hidden="1">{#N/A,#N/A,FALSE,"REPORT"}</definedName>
    <definedName name="bbbbb" hidden="1">{"consolidated",#N/A,FALSE,"Sheet1";"cms",#N/A,FALSE,"Sheet1";"fse",#N/A,FALSE,"Sheet1"}</definedName>
    <definedName name="bbbbb_1" hidden="1">{"consolidated",#N/A,FALSE,"Sheet1";"cms",#N/A,FALSE,"Sheet1";"fse",#N/A,FALSE,"Sheet1"}</definedName>
    <definedName name="BBBBBB" hidden="1">{#N/A,#N/A,FALSE,"REPORT"}</definedName>
    <definedName name="bbbbbbb" hidden="1">{"detail",#N/A,FALSE,"mfg";"summary",#N/A,FALSE,"mfg"}</definedName>
    <definedName name="BBBBBBBBB" hidden="1">{#N/A,#N/A,FALSE,"REPORT"}</definedName>
    <definedName name="bbbbbbbbbb" hidden="1">{"detail",#N/A,FALSE,"mfg";"summary",#N/A,FALSE,"mfg"}</definedName>
    <definedName name="bbbbbbbbbbbb" hidden="1">{#N/A,#N/A,FALSE,"Status of Projects";#N/A,#N/A,FALSE,"CEA-TEC";#N/A,#N/A,FALSE,"U-Constr.";#N/A,#N/A,FALSE,"summary";#N/A,#N/A,FALSE,"PPP-3 yrs"}</definedName>
    <definedName name="bbbbbbbbbbbbb" hidden="1">{#N/A,#N/A,FALSE,"Pharm";#N/A,#N/A,FALSE,"WWCM"}</definedName>
    <definedName name="bbbbbbbbbbbbbb" hidden="1">{#N/A,#N/A,FALSE,"Status of Projects";#N/A,#N/A,FALSE,"CEA-TEC";#N/A,#N/A,FALSE,"U-Constr.";#N/A,#N/A,FALSE,"summary";#N/A,#N/A,FALSE,"PPP-3 yrs"}</definedName>
    <definedName name="bbbbbbbbbbbbbbbbbbbb" hidden="1">{"detail",#N/A,FALSE,"mfg";"summary",#N/A,FALSE,"mfg"}</definedName>
    <definedName name="BBD" hidden="1">{#N/A,#N/A,FALSE,"PRJCTED QTRLY QTY's"}</definedName>
    <definedName name="bbn" hidden="1">{#N/A,#N/A,TRUE,"index";#N/A,#N/A,TRUE,"Summary";#N/A,#N/A,TRUE,"Continuing Business";#N/A,#N/A,TRUE,"Disposals";#N/A,#N/A,TRUE,"Acquisitions";#N/A,#N/A,TRUE,"Actual &amp; Plan Reconciliation"}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t" hidden="1">{#N/A,#N/A,FALSE,"DI 2 YEAR MASTER SCHEDULE"}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c_1" hidden="1">{#N/A,#N/A,FALSE,"One Pager";#N/A,#N/A,FALSE,"Technical"}</definedName>
    <definedName name="bc_2" hidden="1">{#N/A,#N/A,FALSE,"One Pager";#N/A,#N/A,FALSE,"Technical"}</definedName>
    <definedName name="bc_3" hidden="1">{#N/A,#N/A,FALSE,"One Pager";#N/A,#N/A,FALSE,"Technical"}</definedName>
    <definedName name="bc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CJKWNJ" hidden="1">#REF!</definedName>
    <definedName name="BCONCERN" hidden="1">FALSE</definedName>
    <definedName name="bct" hidden="1">{#N/A,#N/A,FALSE,"WRSUMMARY";#N/A,#N/A,FALSE,"ANNEX-1";#N/A,#N/A,FALSE,"ANNEX-2";#N/A,#N/A,FALSE,"ANNEX-3";#N/A,#N/A,FALSE,"WORKING"}</definedName>
    <definedName name="BD" hidden="1">#REF!</definedName>
    <definedName name="BE" hidden="1">#REF!</definedName>
    <definedName name="BF" hidden="1">#REF!</definedName>
    <definedName name="bfdas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bfdas2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BG" hidden="1">#REF!</definedName>
    <definedName name="BG_Del" hidden="1">15</definedName>
    <definedName name="BG_Ins" hidden="1">4</definedName>
    <definedName name="BG_Mod" hidden="1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h" hidden="1">{"histincome",#N/A,FALSE,"hyfins";"closing balance",#N/A,FALSE,"hyfins"}</definedName>
    <definedName name="bgh_1" hidden="1">{"histincome",#N/A,FALSE,"hyfins";"closing balance",#N/A,FALSE,"hyfins"}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QKJBKCBBKBJK" hidden="1">#REF!</definedName>
    <definedName name="bil" hidden="1">{#N/A,#N/A,FALSE,"Tabl. D1";#N/A,#N/A,FALSE,"Tabl. D1 b";#N/A,#N/A,FALSE,"Tabl. D2";#N/A,#N/A,FALSE,"Tabl. D2 b";#N/A,#N/A,FALSE,"Tabl. D3";#N/A,#N/A,FALSE,"Tabl. D4";#N/A,#N/A,FALSE,"Tabl. D5"}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J" hidden="1">#REF!</definedName>
    <definedName name="bjcdbw" hidden="1">{"'August 2000'!$A$1:$J$101"}</definedName>
    <definedName name="BJHGU" hidden="1">{#N/A,#N/A,TRUE,"流动资产--预付";"宁夏正大会计师事务所 - 个人视面",#N/A,TRUE,"Sheet1"}</definedName>
    <definedName name="bjhgv" hidden="1">{#N/A,#N/A,TRUE,"流动资产--预付";"宁夏正大会计师事务所 - 个人视面",#N/A,TRUE,"Sheet1"}</definedName>
    <definedName name="BKBEJ" hidden="1">#REF!</definedName>
    <definedName name="bkls" hidden="1">{#N/A,"PURCHM",FALSE,"Business Analysis";#N/A,"SPADD",FALSE,"Business Analysis"}</definedName>
    <definedName name="BKQJNJBD" hidden="1">#REF!</definedName>
    <definedName name="BKQWBJB" hidden="1">#REF!</definedName>
    <definedName name="BKQWBJHKH" hidden="1">#REF!</definedName>
    <definedName name="blabla" hidden="1">{#N/A,#N/A,FALSE,"Tabl. H1";#N/A,#N/A,FALSE,"Tabl. H2"}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10" hidden="1">#REF!</definedName>
    <definedName name="BLPH1000000001" hidden="1">#REF!</definedName>
    <definedName name="BLPH1000000002" hidden="1">#REF!</definedName>
    <definedName name="BLPH1000000003" hidden="1">#REF!</definedName>
    <definedName name="BLPH1000000004" hidden="1">#REF!</definedName>
    <definedName name="BLPH1000000005" hidden="1">#REF!</definedName>
    <definedName name="BLPH1000000006" hidden="1">#REF!</definedName>
    <definedName name="BLPH1000000007" hidden="1">#REF!</definedName>
    <definedName name="BLPH1000000008" hidden="1">#REF!</definedName>
    <definedName name="BLPH1000000009" hidden="1">#REF!</definedName>
    <definedName name="BLPH1000000010" hidden="1">#REF!</definedName>
    <definedName name="BLPH1000000029" hidden="1">#REF!</definedName>
    <definedName name="BLPH1000000030" hidden="1">#REF!</definedName>
    <definedName name="BLPH1000000031" hidden="1">#REF!</definedName>
    <definedName name="BLPH1000000032" hidden="1">#REF!</definedName>
    <definedName name="BLPH1000000033" hidden="1">#REF!</definedName>
    <definedName name="BLPH1000000034" hidden="1">#REF!</definedName>
    <definedName name="BLPH1000000035" hidden="1">#REF!</definedName>
    <definedName name="BLPH1000000036" hidden="1">#REF!</definedName>
    <definedName name="BLPH1000000037" hidden="1">#REF!</definedName>
    <definedName name="BLPH1000000038" hidden="1">#REF!</definedName>
    <definedName name="BLPH1000000039" hidden="1">#REF!</definedName>
    <definedName name="BLPH1000000040" hidden="1">#REF!</definedName>
    <definedName name="BLPH1000000041" hidden="1">#REF!</definedName>
    <definedName name="BLPH1000000042" hidden="1">#REF!</definedName>
    <definedName name="BLPH1000000043" hidden="1">#REF!</definedName>
    <definedName name="BLPH1000000044" hidden="1">#REF!</definedName>
    <definedName name="BLPH1000000045" hidden="1">#REF!</definedName>
    <definedName name="BLPH7" hidden="1">#REF!</definedName>
    <definedName name="BLPH8" hidden="1">#REF!</definedName>
    <definedName name="BLPH9" hidden="1">#REF!</definedName>
    <definedName name="bmbnmn" hidden="1">{#N/A,#N/A,FALSE,"KA CH  (2)"}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" hidden="1">{#N/A,#N/A,FALSE,"INPUTS";#N/A,#N/A,FALSE,"PROFORMA BSHEET";#N/A,#N/A,FALSE,"COMBINED";#N/A,#N/A,FALSE,"ACQUIROR";#N/A,#N/A,FALSE,"TARGET 1";#N/A,#N/A,FALSE,"TARGET 2";#N/A,#N/A,FALSE,"HIGH YIELD";#N/A,#N/A,FALSE,"OVERFUND"}</definedName>
    <definedName name="bnnn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e" hidden="1">{"FTSE44","COMPANIES",TRUE}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QJHKQ" hidden="1">#REF!</definedName>
    <definedName name="br" hidden="1">{"NETCIRC",#N/A,FALSE,"Net CIrc";"NETCIRCMON",#N/A,FALSE,"Net CIrc"}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BS_AC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sdfdsmfbmdsbgm" hidden="1">{#N/A,#N/A,FALSE,"Aging Summary";#N/A,#N/A,FALSE,"Ratio Analysis";#N/A,#N/A,FALSE,"Test 120 Day Accts";#N/A,#N/A,FALSE,"Tickmarks"}</definedName>
    <definedName name="BSGROUP" hidden="1">{"'Sch B'!$B$15:$L$17"}</definedName>
    <definedName name="BSSCH" hidden="1">{"'Sch B'!$B$15:$L$17"}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TOI" hidden="1">{#N/A,#N/A,FALSE,"Tabl. FB300";#N/A,#N/A,FALSE,"Tabl. FB350";#N/A,#N/A,FALSE,"Tabl. FB400";#N/A,#N/A,FALSE,"Tabl. FB500";#N/A,#N/A,FALSE,"Tabl. FS090"}</definedName>
    <definedName name="bty" hidden="1">{#N/A,#N/A,FALSE,"PGW"}</definedName>
    <definedName name="bty_2" hidden="1">{#N/A,#N/A,FALSE,"PGW"}</definedName>
    <definedName name="bty_3" hidden="1">{#N/A,#N/A,FALSE,"PGW"}</definedName>
    <definedName name="bty_4" hidden="1">{#N/A,#N/A,FALSE,"PGW"}</definedName>
    <definedName name="BudAcc">#REF!</definedName>
    <definedName name="Budget_Table">#REF!</definedName>
    <definedName name="BUDGETNAME" hidden="1">2003</definedName>
    <definedName name="BUDGETPERIOD" hidden="1">"01-10-2011..30-09-2012"</definedName>
    <definedName name="BudgetStart" hidden="1">#REF!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" hidden="1">{#N/A,#N/A,FALSE,"COMP"}</definedName>
    <definedName name="bull" hidden="1">{"detail",#N/A,FALSE,"mfg";"summary",#N/A,FALSE,"mfg"}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QKBNJL" hidden="1">#REF!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tton_1">"FA_REGISTER_BGBB_Furniture_List"</definedName>
    <definedName name="bv" hidden="1">{#N/A,#N/A,FALSE,"COMP"}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wgh" hidden="1">{#N/A,#N/A,FALSE,"OSBL"}</definedName>
    <definedName name="bwgh_1" hidden="1">{#N/A,#N/A,FALSE,"OSBL"}</definedName>
    <definedName name="bwgh_2" hidden="1">{#N/A,#N/A,FALSE,"OSBL"}</definedName>
    <definedName name="bwgh_3" hidden="1">{#N/A,#N/A,FALSE,"OSBL"}</definedName>
    <definedName name="bwgh_4" hidden="1">{#N/A,#N/A,FALSE,"OSBL"}</definedName>
    <definedName name="bwrhrt" hidden="1">{#N/A,#N/A,FALSE,"PGW"}</definedName>
    <definedName name="bwrhrt_1" hidden="1">{#N/A,#N/A,FALSE,"PGW"}</definedName>
    <definedName name="bwrhrt_2" hidden="1">{#N/A,#N/A,FALSE,"PGW"}</definedName>
    <definedName name="bwrhrt_3" hidden="1">{#N/A,#N/A,FALSE,"PGW"}</definedName>
    <definedName name="bwrhrt_4" hidden="1">{#N/A,#N/A,FALSE,"PGW"}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bal" comment="chiffre d'affaire de la balance en temps réel">#REF!</definedName>
    <definedName name="caa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adc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lendarYear">#REF!</definedName>
    <definedName name="calros" hidden="1">#REF!</definedName>
    <definedName name="camposBD">OFFSET(#REF!,0,0,COUNTA(#REF!),1)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SpendingExcludesSanFu" hidden="1">{"detail",#N/A,FALSE,"mfg";"summary",#N/A,FALSE,"mfg"}</definedName>
    <definedName name="cAPTIAL2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SCSAC" hidden="1">{#N/A,#N/A,FALSE,"TOWNSHIP"}</definedName>
    <definedName name="CASCSAC_1" hidden="1">{#N/A,#N/A,FALSE,"TOWNSHIP"}</definedName>
    <definedName name="CASCSAC_2" hidden="1">{#N/A,#N/A,FALSE,"TOWNSHIP"}</definedName>
    <definedName name="CASCSAC_3" hidden="1">{#N/A,#N/A,FALSE,"TOWNSHIP"}</definedName>
    <definedName name="CASCSAC_4" hidden="1">{#N/A,#N/A,FALSE,"TOWNSHIP"}</definedName>
    <definedName name="Cash_netting">#REF!</definedName>
    <definedName name="CashflowgraphJan11" hidden="1">{"Revenue",#N/A,FALSE,"Revenue"}</definedName>
    <definedName name="Categorias">OFFSET(#REF!, 0, 0, COUNTA(#REF!) - 1)</definedName>
    <definedName name="categories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QKJ" hidden="1">#REF!</definedName>
    <definedName name="cbu" hidden="1">{#N/A,#N/A,FALSE,"COVER.XLS";#N/A,#N/A,FALSE,"RACT1.XLS";#N/A,#N/A,FALSE,"RACT2.XLS";#N/A,#N/A,FALSE,"ECCMP";#N/A,#N/A,FALSE,"WELDER.XLS"}</definedName>
    <definedName name="CBWorkbookPriority" hidden="1">-1300027392</definedName>
    <definedName name="ccc" hidden="1">{#N/A,#N/A,FALSE,"Calc";#N/A,#N/A,FALSE,"Sensitivity";#N/A,#N/A,FALSE,"LT Earn.Dil.";#N/A,#N/A,FALSE,"Dil. AVP"}</definedName>
    <definedName name="ccc_1" hidden="1">{#N/A,#N/A,FALSE,"Calc";#N/A,#N/A,FALSE,"Sensitivity";#N/A,#N/A,FALSE,"LT Earn.Dil.";#N/A,#N/A,FALSE,"Dil. AVP"}</definedName>
    <definedName name="ccc_2" hidden="1">{#N/A,#N/A,FALSE,"OSBL"}</definedName>
    <definedName name="ccc_3" hidden="1">{#N/A,#N/A,FALSE,"OSBL"}</definedName>
    <definedName name="ccc_4" hidden="1">{#N/A,#N/A,FALSE,"OSBL"}</definedName>
    <definedName name="cccc" hidden="1">{#N/A,#N/A,FALSE,"Layout Cash Flow"}</definedName>
    <definedName name="cccc_1" hidden="1">{#N/A,#N/A,FALSE,"Layout Cash Flow"}</definedName>
    <definedName name="ccccc" hidden="1">{#N/A,#N/A,FALSE,"Layout Cash Flow"}</definedName>
    <definedName name="ccccc_1" hidden="1">{#N/A,#N/A,FALSE,"Layout Cash Flow"}</definedName>
    <definedName name="cccccc">#REF!</definedName>
    <definedName name="ccf" hidden="1">{"YD PRS",#N/A,FALSE,"YTD"}</definedName>
    <definedName name="cd" hidden="1">{#N/A,#N/A,FALSE,"COMP"}</definedName>
    <definedName name="cdds" hidden="1">{"detail",#N/A,FALSE,"mfg";"summary",#N/A,FALSE,"mfg"}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s" hidden="1">{"detail",#N/A,FALSE,"mfg";"summary",#N/A,FALSE,"mfg"}</definedName>
    <definedName name="cdu" hidden="1">{#N/A,#N/A,FALSE,"COVER.XLS";#N/A,#N/A,FALSE,"RACT1.XLS";#N/A,#N/A,FALSE,"RACT2.XLS";#N/A,#N/A,FALSE,"ECCMP";#N/A,#N/A,FALSE,"WELDER.XLS"}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ine" hidden="1">{#N/A,#N/A,FALSE,"Tabl. G1";#N/A,#N/A,FALSE,"Tabl. G2"}</definedName>
    <definedName name="cew" hidden="1">{"ICD Details",#N/A,FALSE,"Current Yr";"ICD Details",#N/A,FALSE,"Budget";"ICD Details",#N/A,FALSE,"Prior Year"}</definedName>
    <definedName name="CF_1" hidden="1">{"TOTAL",#N/A,FALSE,"A";"FISCAL94",#N/A,FALSE,"A";"FISCAL95",#N/A,FALSE,"A";"FISCAL96",#N/A,FALSE,"A";"misc page",#N/A,FALSE,"A"}</definedName>
    <definedName name="CF_2" hidden="1">{"TOTAL",#N/A,FALSE,"A";"FISCAL94",#N/A,FALSE,"A";"FISCAL95",#N/A,FALSE,"A";"FISCAL96",#N/A,FALSE,"A";"misc page",#N/A,FALSE,"A"}</definedName>
    <definedName name="CF_3" hidden="1">{"TOTAL",#N/A,FALSE,"A";"FISCAL94",#N/A,FALSE,"A";"FISCAL95",#N/A,FALSE,"A";"FISCAL96",#N/A,FALSE,"A";"misc page",#N/A,FALSE,"A"}</definedName>
    <definedName name="cf_dcpl_daspl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cfcc">#REF!</definedName>
    <definedName name="cfef" hidden="1">{#N/A,#N/A,FALSE,"Admin";#N/A,#N/A,FALSE,"Other"}</definedName>
    <definedName name="c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g" hidden="1">{"Act_vs_Budget",#N/A,FALSE,"QTRDPVAR";"Act_vs_Prior_Year",#N/A,FALSE,"QTRDPVAR"}</definedName>
    <definedName name="cfs" hidden="1">{"YD LOUISIANA",#N/A,FALSE,"YTD"}</definedName>
    <definedName name="C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GF" hidden="1">{#N/A,#N/A,FALSE,"TOWNSHIP"}</definedName>
    <definedName name="CGFGFGF" hidden="1">{#N/A,#N/A,FALSE,"FREE"}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vg" hidden="1">{#N/A,#N/A,FALSE,"FREE"}</definedName>
    <definedName name="cgvg_2" hidden="1">{#N/A,#N/A,FALSE,"FREE"}</definedName>
    <definedName name="cgvg_3" hidden="1">{#N/A,#N/A,FALSE,"FREE"}</definedName>
    <definedName name="cgvg_4" hidden="1">{#N/A,#N/A,FALSE,"FREE"}</definedName>
    <definedName name="Cha" hidden="1">{#N/A,#N/A,FALSE,"gc (2)"}</definedName>
    <definedName name="Cha_1" hidden="1">{#N/A,#N/A,FALSE,"gc (2)"}</definedName>
    <definedName name="Cha_2" hidden="1">{#N/A,#N/A,FALSE,"gc (2)"}</definedName>
    <definedName name="Cha_3" hidden="1">{#N/A,#N/A,FALSE,"gc (2)"}</definedName>
    <definedName name="chargers" hidden="1">{"PAGE 1",#N/A,FALSE,"ES-01-XX";"PAGE 2",#N/A,FALSE,"ES-01-XX"}</definedName>
    <definedName name="chargers_1" hidden="1">{"PAGE 1",#N/A,FALSE,"ES-01-XX";"PAGE 2",#N/A,FALSE,"ES-01-XX"}</definedName>
    <definedName name="chargers_2" hidden="1">{"PAGE 1",#N/A,FALSE,"ES-01-XX";"PAGE 2",#N/A,FALSE,"ES-01-XX"}</definedName>
    <definedName name="chargers_3" hidden="1">{"PAGE 1",#N/A,FALSE,"ES-01-XX";"PAGE 2",#N/A,FALSE,"ES-01-XX"}</definedName>
    <definedName name="Chart2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two" hidden="1">{#N/A,#N/A,FALSE,"Carat";"VENTA",#N/A,FALSE,"05";#N/A,#N/A,FALSE,"06";"CASHFLOW",#N/A,FALSE,"05";"TAX PLAN",#N/A,FALSE,"05"}</definedName>
    <definedName name="chayan" hidden="1">#REF!</definedName>
    <definedName name="Checks">#REF!</definedName>
    <definedName name="chgcvhgvvg" hidden="1">#REF!</definedName>
    <definedName name="CHHANELS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HANELS_1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HANELS_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osie" hidden="1">{#N/A,#N/A,FALSE,"Pharm";#N/A,#N/A,FALSE,"WWCM"}</definedName>
    <definedName name="CIAO" hidden="1">{"'OBT_6M_30_6'!$S$1:$AE$53"}</definedName>
    <definedName name="CIQWBGuid" hidden="1">"25b41cb3-9595-472b-8ee2-ca377755a25c"</definedName>
    <definedName name="CIQWBGuid_1" hidden="1">"Master Financial &amp; Tax DD - IRL- FHO f.xlsx"</definedName>
    <definedName name="circ">#REF!</definedName>
    <definedName name="citi" hidden="1">{#N/A,#N/A,FALSE,"Staffnos &amp; cost"}</definedName>
    <definedName name="CJAKNJKNJ" hidden="1">#REF!</definedName>
    <definedName name="cjawerre" hidden="1">#REF!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JKNJENQJKN" hidden="1">#REF!</definedName>
    <definedName name="Client_name">#REF!</definedName>
    <definedName name="ClientFraudQuestionnaireLandingSite">#REF!</definedName>
    <definedName name="ClosingBalance">#REF!</definedName>
    <definedName name="cma" hidden="1">#REF!</definedName>
    <definedName name="cname_1">#REF!</definedName>
    <definedName name="CNJQKBJK" hidden="1">#REF!</definedName>
    <definedName name="CNQJKBJ" hidden="1">#REF!</definedName>
    <definedName name="CNQJKNJK" hidden="1">#REF!</definedName>
    <definedName name="COGstandard" hidden="1">{#N/A,#N/A,FALSE,"Pharm";#N/A,#N/A,FALSE,"WWCM"}</definedName>
    <definedName name="Colourcodes">#REF!</definedName>
    <definedName name="Combination">#REF!</definedName>
    <definedName name="Communications_UncorrectedMisstatements">#REF!</definedName>
    <definedName name="Company">#REF!</definedName>
    <definedName name="Company_Name" hidden="1">#REF!</definedName>
    <definedName name="Company1">#REF!</definedName>
    <definedName name="Company2">#REF!</definedName>
    <definedName name="Company3">#REF!</definedName>
    <definedName name="CompanyName">#REF!</definedName>
    <definedName name="CompanyName2" hidden="1">#REF!</definedName>
    <definedName name="Comparative_Period" hidden="1">#REF!</definedName>
    <definedName name="Comparative_period_end">#REF!</definedName>
    <definedName name="CompRange1Main" hidden="1">#REF!</definedName>
    <definedName name="CompRange2Main" hidden="1">#REF!</definedName>
    <definedName name="CompYear" hidden="1">#REF!</definedName>
    <definedName name="c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crete">#REF!</definedName>
    <definedName name="conf_balamended" hidden="1">{#N/A,#N/A,FALSE,"PMTABB";#N/A,#N/A,FALSE,"PMTABB"}</definedName>
    <definedName name="conf_balamended_1" hidden="1">{#N/A,#N/A,FALSE,"PMTABB";#N/A,#N/A,FALSE,"PMTABB"}</definedName>
    <definedName name="conf_balamended_2" hidden="1">{#N/A,#N/A,FALSE,"PMTABB";#N/A,#N/A,FALSE,"PMTABB"}</definedName>
    <definedName name="conf_balamended_3" hidden="1">{#N/A,#N/A,FALSE,"PMTABB";#N/A,#N/A,FALSE,"PMTABB"}</definedName>
    <definedName name="conf_balamended_4" hidden="1">{#N/A,#N/A,FALSE,"PMTABB";#N/A,#N/A,FALSE,"PMTABB"}</definedName>
    <definedName name="Confused" hidden="1">#REF!</definedName>
    <definedName name="Conso" hidden="1">{"mgmt forecast",#N/A,FALSE,"Mgmt Forecast";"dcf table",#N/A,FALSE,"Mgmt Forecast";"sensitivity",#N/A,FALSE,"Mgmt Forecast";"table inputs",#N/A,FALSE,"Mgmt Forecast";"calculations",#N/A,FALSE,"Mgmt Forecast"}</definedName>
    <definedName name="Consolidation">#REF!</definedName>
    <definedName name="Consolidation1">#REF!</definedName>
    <definedName name="Consolidation2">#REF!</definedName>
    <definedName name="Consolidation3">#REF!</definedName>
    <definedName name="Contractor">#REF!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1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py" hidden="1">{"TOP PORTION",#N/A,FALSE,"0895"}</definedName>
    <definedName name="copy_1" hidden="1">{"TOP PORTION",#N/A,FALSE,"0895"}</definedName>
    <definedName name="copy_2" hidden="1">{"TOP PORTION",#N/A,FALSE,"0895"}</definedName>
    <definedName name="copy_3" hidden="1">{"TOP PORTION",#N/A,FALSE,"0895"}</definedName>
    <definedName name="copy_4" hidden="1">{"TOP PORTION",#N/A,FALSE,"0895"}</definedName>
    <definedName name="copy_5" hidden="1">{"TOP PORTION",#N/A,FALSE,"0895"}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pyWord" hidden="1">#REF!</definedName>
    <definedName name="CountAChildrenswear" hidden="1">#REF!</definedName>
    <definedName name="CountAChildrenswearx" hidden="1">#REF!</definedName>
    <definedName name="CountACommunicationTech" hidden="1">#REF!</definedName>
    <definedName name="CountACommunicationTechx" hidden="1">#REF!</definedName>
    <definedName name="CountACookingDining" hidden="1">#REF!</definedName>
    <definedName name="CountACookingDiningx" hidden="1">#REF!</definedName>
    <definedName name="CountAEHT" hidden="1">#REF!</definedName>
    <definedName name="CountAElectricals" hidden="1">#REF!</definedName>
    <definedName name="CountAElectricalsx" hidden="1">#REF!</definedName>
    <definedName name="CountAFashion" hidden="1">#REF!</definedName>
    <definedName name="CountAFurniture" hidden="1">#REF!</definedName>
    <definedName name="CountAFurniturex" hidden="1">#REF!</definedName>
    <definedName name="CountAHome" hidden="1">#REF!</definedName>
    <definedName name="CountAHomeAccsGifts" hidden="1">#REF!</definedName>
    <definedName name="CountAHomeAccsGiftsx" hidden="1">#REF!</definedName>
    <definedName name="CountAMenswearSports" hidden="1">#REF!</definedName>
    <definedName name="CountAMenswearSportsx" hidden="1">#REF!</definedName>
    <definedName name="CountAOddments" hidden="1">#REF!</definedName>
    <definedName name="CountAOddmentsx" hidden="1">#REF!</definedName>
    <definedName name="CountATextilesCarpets" hidden="1">#REF!</definedName>
    <definedName name="CountATextilesCarpetsx" hidden="1">#REF!</definedName>
    <definedName name="CountAToysNurseryHaby" hidden="1">#REF!</definedName>
    <definedName name="CountAToysNurseryHabyx" hidden="1">#REF!</definedName>
    <definedName name="CountAWomensAccsBeauty" hidden="1">#REF!</definedName>
    <definedName name="CountAWomensAccsBeautyx" hidden="1">#REF!</definedName>
    <definedName name="CountAWomenswear" hidden="1">#REF!</definedName>
    <definedName name="CountAWomenswearx" hidden="1">#REF!</definedName>
    <definedName name="CountBudChildrenswear" hidden="1">#REF!</definedName>
    <definedName name="CountBudChildrenswearx" hidden="1">#REF!</definedName>
    <definedName name="CountBudCommunicationTech" hidden="1">#REF!</definedName>
    <definedName name="CountBudCommunicationTechx" hidden="1">#REF!</definedName>
    <definedName name="CountBudCookingDining" hidden="1">#REF!</definedName>
    <definedName name="CountBudCookingDiningx" hidden="1">#REF!</definedName>
    <definedName name="CountBudEHT" hidden="1">#REF!</definedName>
    <definedName name="CountBudElectricals" hidden="1">#REF!</definedName>
    <definedName name="CountBudElectricalsx" hidden="1">#REF!</definedName>
    <definedName name="CountBudFashion" hidden="1">#REF!</definedName>
    <definedName name="CountBudFurniture" hidden="1">#REF!</definedName>
    <definedName name="CountBudFurniturex" hidden="1">#REF!</definedName>
    <definedName name="CountBudHome" hidden="1">#REF!</definedName>
    <definedName name="CountBudHomeAccsGifts" hidden="1">#REF!</definedName>
    <definedName name="CountBudHomeAccsGiftsx" hidden="1">#REF!</definedName>
    <definedName name="CountBudMenswearSports" hidden="1">#REF!</definedName>
    <definedName name="CountBudMenswearSportsx" hidden="1">#REF!</definedName>
    <definedName name="CountBudOddments" hidden="1">#REF!</definedName>
    <definedName name="CountBudOddmentsx" hidden="1">#REF!</definedName>
    <definedName name="CountBudTextilesCarpets" hidden="1">#REF!</definedName>
    <definedName name="CountBudTextilesCarpetsx" hidden="1">#REF!</definedName>
    <definedName name="CountBudToysNurseryHaby" hidden="1">#REF!</definedName>
    <definedName name="CountBudToysNurseryHabyx" hidden="1">#REF!</definedName>
    <definedName name="CountBudWomensAccsBeauty" hidden="1">#REF!</definedName>
    <definedName name="CountBudWomensAccsBeautyx" hidden="1">#REF!</definedName>
    <definedName name="CountBudWomenswear" hidden="1">#REF!</definedName>
    <definedName name="CountBudWomenswearx" hidden="1">#REF!</definedName>
    <definedName name="CountDBud" hidden="1">#REF!</definedName>
    <definedName name="CountDLY" hidden="1">#REF!</definedName>
    <definedName name="CountDLY1" hidden="1">#REF!</definedName>
    <definedName name="CountDTY" hidden="1">#REF!</definedName>
    <definedName name="CountLY1Childrenswear" hidden="1">#REF!</definedName>
    <definedName name="CountLY1Childrenswearx" hidden="1">#REF!</definedName>
    <definedName name="CountLY1CommunicationTech" hidden="1">#REF!</definedName>
    <definedName name="CountLY1CommunicationTechx" hidden="1">#REF!</definedName>
    <definedName name="CountLY1CookingDining" hidden="1">#REF!</definedName>
    <definedName name="CountLY1CookingDiningx" hidden="1">#REF!</definedName>
    <definedName name="CountLY1EHT" hidden="1">#REF!</definedName>
    <definedName name="CountLY1Electricals" hidden="1">#REF!</definedName>
    <definedName name="CountLY1Electricalsx" hidden="1">#REF!</definedName>
    <definedName name="CountLY1Fashion" hidden="1">#REF!</definedName>
    <definedName name="CountLY1Furniture" hidden="1">#REF!</definedName>
    <definedName name="CountLY1Furniturex" hidden="1">#REF!</definedName>
    <definedName name="CountLY1Home" hidden="1">#REF!</definedName>
    <definedName name="CountLY1HomeAccsGifts" hidden="1">#REF!</definedName>
    <definedName name="CountLY1HomeAccsGiftsx" hidden="1">#REF!</definedName>
    <definedName name="CountLY1MenswearSports" hidden="1">#REF!</definedName>
    <definedName name="CountLY1MenswearSportsx" hidden="1">#REF!</definedName>
    <definedName name="CountLY1Oddments" hidden="1">#REF!</definedName>
    <definedName name="CountLY1Oddmentsx" hidden="1">#REF!</definedName>
    <definedName name="CountLY1TextilesCarpets" hidden="1">#REF!</definedName>
    <definedName name="CountLY1TextilesCarpetsx" hidden="1">#REF!</definedName>
    <definedName name="CountLY1ToysNurseryHaby" hidden="1">#REF!</definedName>
    <definedName name="CountLY1ToysNurseryHabyx" hidden="1">#REF!</definedName>
    <definedName name="CountLY1WomensAccsBeauty" hidden="1">#REF!</definedName>
    <definedName name="CountLY1WomensAccsBeautyx" hidden="1">#REF!</definedName>
    <definedName name="CountLY1Womenswear" hidden="1">#REF!</definedName>
    <definedName name="CountLY1Womenswearx" hidden="1">#REF!</definedName>
    <definedName name="CountLYChildrenswear" hidden="1">#REF!</definedName>
    <definedName name="CountLYChildrenswearx" hidden="1">#REF!</definedName>
    <definedName name="CountLYCommunicationTech" hidden="1">#REF!</definedName>
    <definedName name="CountLYCommunicationTechx" hidden="1">#REF!</definedName>
    <definedName name="CountLYCookingDining" hidden="1">#REF!</definedName>
    <definedName name="CountLYCookingDiningx" hidden="1">#REF!</definedName>
    <definedName name="CountLYEHT" hidden="1">#REF!</definedName>
    <definedName name="CountLYElectricals" hidden="1">#REF!</definedName>
    <definedName name="CountLYElectricalsx" hidden="1">#REF!</definedName>
    <definedName name="CountLYFashion" hidden="1">#REF!</definedName>
    <definedName name="CountLYFurniture" hidden="1">#REF!</definedName>
    <definedName name="CountLYFurniturex" hidden="1">#REF!</definedName>
    <definedName name="CountLYHome" hidden="1">#REF!</definedName>
    <definedName name="CountLYHomeAccsGifts" hidden="1">#REF!</definedName>
    <definedName name="CountLYHomeAccsGiftsx" hidden="1">#REF!</definedName>
    <definedName name="CountLYMenswearSports" hidden="1">#REF!</definedName>
    <definedName name="CountLYMenswearSportsx" hidden="1">#REF!</definedName>
    <definedName name="CountLYOddments" hidden="1">#REF!</definedName>
    <definedName name="CountLYOddmentsx" hidden="1">#REF!</definedName>
    <definedName name="CountLYTextilesCarpets" hidden="1">#REF!</definedName>
    <definedName name="CountLYTextilesCarpetsx" hidden="1">#REF!</definedName>
    <definedName name="CountLYToysNurseryHaby" hidden="1">#REF!</definedName>
    <definedName name="CountLYToysNurseryHabyx" hidden="1">#REF!</definedName>
    <definedName name="CountLYWomensAccsBeauty" hidden="1">#REF!</definedName>
    <definedName name="CountLYWomensAccsBeautyx" hidden="1">#REF!</definedName>
    <definedName name="CountLYWomenswear" hidden="1">#REF!</definedName>
    <definedName name="CountLYWomenswearx" hidden="1">#REF!</definedName>
    <definedName name="COUNTRY">#REF!</definedName>
    <definedName name="Cover" hidden="1">{#N/A,#N/A,FALSE,"Proj P&amp;L";#N/A,#N/A,FALSE,"WorkCap";#N/A,#N/A,FALSE,"Proj BS";#N/A,#N/A,FALSE,"CashRec"}</definedName>
    <definedName name="Cover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QBBKJH" hidden="1">#REF!</definedName>
    <definedName name="CQKLBJKW" hidden="1">#REF!</definedName>
    <definedName name="CQNJKBJKBCA" hidden="1">#REF!</definedName>
    <definedName name="Creditors" hidden="1">{#N/A,#N/A,TRUE,"Sheet1";#N/A,#N/A,TRUE,"Nov-1995"}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TN" hidden="1">{#N/A,#N/A,TRUE,"Sheet1";#N/A,#N/A,TRUE,"Nov-1995"}</definedName>
    <definedName name="cu102.ShareScalingFactor" hidden="1">1000000</definedName>
    <definedName name="cu103.EmployeeScalingFactor" hidden="1">1000</definedName>
    <definedName name="cu107.DPSSymbol" hidden="1">"Rs"</definedName>
    <definedName name="cu107.EPSSymbol" hidden="1">"Rs"</definedName>
    <definedName name="cu71.ScalingFactor" hidden="1">1000000</definedName>
    <definedName name="Cumulative_Budget">#REF!</definedName>
    <definedName name="Cumulative_Forecast">#REF!</definedName>
    <definedName name="Cumulative_Nom_Acc_Table">#REF!</definedName>
    <definedName name="CURRENCIES">OFFSET(#REF!,0,0,#REF!,1)</definedName>
    <definedName name="Currency">#REF!</definedName>
    <definedName name="Currency1">#REF!</definedName>
    <definedName name="Currency2">#REF!</definedName>
    <definedName name="Currency3">#REF!</definedName>
    <definedName name="CURRENCYVALUE" hidden="1">100</definedName>
    <definedName name="CURRENCYVALUE2" hidden="1">100</definedName>
    <definedName name="Current_Period" hidden="1">#REF!</definedName>
    <definedName name="CurrYear" hidden="1">#REF!</definedName>
    <definedName name="CURVE" hidden="1">{#N/A,#N/A,FALSE,"COVER1.XLS ";#N/A,#N/A,FALSE,"RACT1.XLS";#N/A,#N/A,FALSE,"RACT2.XLS";#N/A,#N/A,FALSE,"ECCMP";#N/A,#N/A,FALSE,"WELDER.XLS"}</definedName>
    <definedName name="Customers_1" hidden="1">{#N/A,#N/A,FALSE,"1996";#N/A,#N/A,FALSE,"1995";#N/A,#N/A,FALSE,"1994"}</definedName>
    <definedName name="CUTDATE" hidden="1">38352</definedName>
    <definedName name="cv" hidden="1">{#N/A,#N/A,FALSE,"EW"}</definedName>
    <definedName name="cv_2" hidden="1">{#N/A,#N/A,FALSE,"EW"}</definedName>
    <definedName name="cv_3" hidden="1">{#N/A,#N/A,FALSE,"EW"}</definedName>
    <definedName name="cv_4" hidden="1">{#N/A,#N/A,FALSE,"EW"}</definedName>
    <definedName name="CVAE" comment="montant de la cvae calculé sur la feuille de travail ad hoc">#REF!</definedName>
    <definedName name="cvb" hidden="1">{"detail",#N/A,FALSE,"mfg";"summary",#N/A,FALSE,"mfg"}</definedName>
    <definedName name="cvb.xls" hidden="1">{"mgmt forecast",#N/A,FALSE,"Mgmt Forecast";"dcf table",#N/A,FALSE,"Mgmt Forecast";"sensitivity",#N/A,FALSE,"Mgmt Forecast";"table inputs",#N/A,FALSE,"Mgmt Forecast";"calculations",#N/A,FALSE,"Mgmt Forecast"}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h" hidden="1">{#N/A,#N/A,FALSE,"TOWNSHIP"}</definedName>
    <definedName name="cvh_2" hidden="1">{#N/A,#N/A,FALSE,"TOWNSHIP"}</definedName>
    <definedName name="cvh_3" hidden="1">{#N/A,#N/A,FALSE,"TOWNSHIP"}</definedName>
    <definedName name="cvh_4" hidden="1">{#N/A,#N/A,FALSE,"TOWNSHIP"}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IPINVST">#REF!</definedName>
    <definedName name="cwlUNEW" hidden="1">#REF!</definedName>
    <definedName name="Cwvu.CapersView." hidden="1">#REF!</definedName>
    <definedName name="Cwvu.GREY_ALL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X" hidden="1">{#N/A,#N/A,FALSE,"PGW"}</definedName>
    <definedName name="CX_1" hidden="1">{#N/A,#N/A,FALSE,"PGW"}</definedName>
    <definedName name="CX_2" hidden="1">{#N/A,#N/A,FALSE,"PGW"}</definedName>
    <definedName name="CX_3" hidden="1">{#N/A,#N/A,FALSE,"PGW"}</definedName>
    <definedName name="CX_4" hidden="1">{#N/A,#N/A,FALSE,"PGW"}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v" hidden="1">#REF!</definedName>
    <definedName name="CY" hidden="1">{#N/A,#N/A,TRUE,"Sheet1";#N/A,#N/A,TRUE,"Nov-1995"}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>#REF!</definedName>
    <definedName name="d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a" hidden="1">{#N/A,#N/A,TRUE,"constb"}</definedName>
    <definedName name="da_1" hidden="1">{#N/A,#N/A,FALSE,"Aging Summary";#N/A,#N/A,FALSE,"Ratio Analysis";#N/A,#N/A,FALSE,"Test 120 Day Accts";#N/A,#N/A,FALSE,"Tickmarks"}</definedName>
    <definedName name="DAD" hidden="1">{#N/A,#N/A,FALSE,"REPORT"}</definedName>
    <definedName name="DADF" hidden="1">{#N/A,#N/A,FALSE,"REPORT"}</definedName>
    <definedName name="dagbladen_inc_services" hidden="1">{#N/A,#N/A,FALSE,"Aging Summary";#N/A,#N/A,FALSE,"Ratio Analysis";#N/A,#N/A,FALSE,"Test 120 Day Accts";#N/A,#N/A,FALSE,"Tickmarks"}</definedName>
    <definedName name="dakfkjafgkeaj" hidden="1">{#N/A,#N/A,FALSE,"Pharm";#N/A,#N/A,FALSE,"WWCM"}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>#REF!</definedName>
    <definedName name="DATA_01" hidden="1">#REF!</definedName>
    <definedName name="DATA_04" hidden="1">#REF!</definedName>
    <definedName name="DATA_05" hidden="1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2">#REF!</definedName>
    <definedName name="_xlnm.Database">#REF!</definedName>
    <definedName name="Datas">#REF!</definedName>
    <definedName name="date">#REF!</definedName>
    <definedName name="Date_Table">#REF!</definedName>
    <definedName name="datecompar" comment="date de la balance comparative en temps réel">#REF!</definedName>
    <definedName name="DateRangeCompMain" hidden="1">#REF!</definedName>
    <definedName name="DateRangePrice" hidden="1">OFFSET(#REF!,5,0,COUNTA(#REF!)-COUNTA(#REF!),1)</definedName>
    <definedName name="DateRangePriceMain" hidden="1">#REF!</definedName>
    <definedName name="DATESITU">#REF!</definedName>
    <definedName name="days">#REF!</definedName>
    <definedName name="Days_366_dep0304" hidden="1">{#N/A,#N/A,FALSE,"Sheet7"}</definedName>
    <definedName name="db_USD_total">#REF!</definedName>
    <definedName name="dbbk" hidden="1">#REF!</definedName>
    <definedName name="dbed" hidden="1">{"histincome",#N/A,FALSE,"hyfins";"closing balance",#N/A,FALSE,"hyfins"}</definedName>
    <definedName name="dbed_1" hidden="1">{"histincome",#N/A,FALSE,"hyfins";"closing balance",#N/A,FALSE,"hyfins"}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wdc" hidden="1">{#N/A,#N/A,FALSE,"FY97";#N/A,#N/A,FALSE,"FY98";#N/A,#N/A,FALSE,"FY99";#N/A,#N/A,FALSE,"FY00";#N/A,#N/A,FALSE,"FY01"}</definedName>
    <definedName name="dd_1" hidden="1">{#N/A,"Good",TRUE,"Sheet1";#N/A,"Normal",TRUE,"Sheet1";#N/A,"Bad",TRUE,"Sheet1"}</definedName>
    <definedName name="dd_2" hidden="1">{#N/A,"Good",TRUE,"Sheet1";#N/A,"Normal",TRUE,"Sheet1";#N/A,"Bad",TRUE,"Sheet1"}</definedName>
    <definedName name="dd_3" hidden="1">{#N/A,"Good",TRUE,"Sheet1";#N/A,"Normal",TRUE,"Sheet1";#N/A,"Bad",TRUE,"Sheet1"}</definedName>
    <definedName name="ddaadf" hidden="1">{"Fiesta Facer Page",#N/A,FALSE,"Q_C_S";"Fiesta Main Page",#N/A,FALSE,"V_L";"Fiesta 95BP Struct",#N/A,FALSE,"StructBP";"Fiesta Post 95BP Struct",#N/A,FALSE,"AdjStructBP"}</definedName>
    <definedName name="ddd" hidden="1">{"histincome",#N/A,FALSE,"hyfins";"closing balance",#N/A,FALSE,"hyfins"}</definedName>
    <definedName name="ddd_1" hidden="1">{"histincome",#N/A,FALSE,"hyfins";"closing balance",#N/A,FALSE,"hyfins"}</definedName>
    <definedName name="ddD_2" hidden="1">{#N/A,#N/A,FALSE,"PMTABB";#N/A,#N/A,FALSE,"PMTABB"}</definedName>
    <definedName name="ddD_3" hidden="1">{#N/A,#N/A,FALSE,"PMTABB";#N/A,#N/A,FALSE,"PMTABB"}</definedName>
    <definedName name="ddD_4" hidden="1">{#N/A,#N/A,FALSE,"PMTABB";#N/A,#N/A,FALSE,"PMTABB"}</definedName>
    <definedName name="dddaz" hidden="1">{#N/A,#N/A,FALSE,"Pharm";#N/A,#N/A,FALSE,"WWCM"}</definedName>
    <definedName name="dddb" hidden="1">{#N/A,#N/A,FALSE,"AUDIT-MWOS"}</definedName>
    <definedName name="ddddd" hidden="1">{#N/A,#N/A,FALSE,"COVER1.XLS ";#N/A,#N/A,FALSE,"RACT1.XLS";#N/A,#N/A,FALSE,"RACT2.XLS";#N/A,#N/A,FALSE,"ECCMP";#N/A,#N/A,FALSE,"WELDER.XLS"}</definedName>
    <definedName name="dddddd" hidden="1">{#N/A,#N/A,FALSE,"Pharm";#N/A,#N/A,FALSE,"WWCM"}</definedName>
    <definedName name="ddddddd" hidden="1">{#N/A,#N/A,FALSE,"COVER1.XLS ";#N/A,#N/A,FALSE,"RACT1.XLS";#N/A,#N/A,FALSE,"RACT2.XLS";#N/A,#N/A,FALSE,"ECCMP";#N/A,#N/A,FALSE,"WELDER.XLS"}</definedName>
    <definedName name="dddddddd" hidden="1">#REF!</definedName>
    <definedName name="dddddddd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ddddd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ee_1" hidden="1">{#N/A,#N/A,FALSE,"Finanzbedarsrechnung"}</definedName>
    <definedName name="ddf" hidden="1">{#N/A,#N/A,FALSE,"KA CH  (2)"}</definedName>
    <definedName name="DDSDS" hidden="1">{#N/A,#N/A,FALSE,"PMTABB";#N/A,#N/A,FALSE,"PMTABB"}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De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e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bbie" hidden="1">{"FY03_Assets",#N/A,FALSE,"Fin Stmt Budget";"FY03_Liabilities",#N/A,FALSE,"Fin Stmt Budget";"FY03_Inc_Stmt",#N/A,FALSE,"Fin Stmt Budget";"FY03_SOCF",#N/A,FALSE,"Fin Stmt Budget"}</definedName>
    <definedName name="Debtors" hidden="1">{#N/A,#N/A,TRUE,"Sheet1";#N/A,#N/A,TRUE,"Nov-1995"}</definedName>
    <definedName name="Debtors1" hidden="1">{#N/A,#N/A,TRUE,"Sheet1";#N/A,#N/A,TRUE,"Nov-1995"}</definedName>
    <definedName name="Debtr" hidden="1">{#N/A,#N/A,FALSE,"FREE"}</definedName>
    <definedName name="DEC" hidden="1">{"REP1",#N/A,FALSE,"HSSA-LOG"}</definedName>
    <definedName name="Dec_09" hidden="1">{#N/A,#N/A,FALSE,"Cash Flows";#N/A,#N/A,FALSE,"Fixed Assets";#N/A,#N/A,FALSE,"Balance Sheet";#N/A,#N/A,FALSE,"P &amp; L"}</definedName>
    <definedName name="DEC_16">#REF!</definedName>
    <definedName name="decb" hidden="1">{"REP1",#N/A,FALSE,"HSSA-LOG"}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ICIT" comment="résultat fiscal déficitaire (if any)">#REF!</definedName>
    <definedName name="DEFICITITA">#REF!</definedName>
    <definedName name="DEFICITLUX">#REF!</definedName>
    <definedName name="DEFICITSER">#REF!</definedName>
    <definedName name="DEFICITSER2">#REF!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ereciation" hidden="1">{"'Furniture&amp; O.E'!$A$4:$D$27"}</definedName>
    <definedName name="DepnReson" hidden="1">#REF!</definedName>
    <definedName name="DepSumry" hidden="1">{#N/A,#N/A,FALSE,"Sheet7"}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R" hidden="1">{#N/A,#N/A,FALSE,"Status of Projects";#N/A,#N/A,FALSE,"CEA-TEC";#N/A,#N/A,FALSE,"U-Constr.";#N/A,#N/A,FALSE,"summary";#N/A,#N/A,FALSE,"PPP-3 yrs"}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ert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devc" hidden="1">{"TOTTEXAS",#N/A,FALSE,"CM"}</definedName>
    <definedName name="dex" comment="début d'exercice">#REF!</definedName>
    <definedName name="DEZLFEZKLHF" hidden="1">{#N/A,#N/A,FALSE,"Pharm";#N/A,#N/A,FALSE,"WWCM"}</definedName>
    <definedName name="df" hidden="1">{#N/A,#N/A,FALSE,"PGW"}</definedName>
    <definedName name="df_2" hidden="1">{#N/A,#N/A,FALSE,"PGW"}</definedName>
    <definedName name="df_3" hidden="1">{#N/A,#N/A,FALSE,"PGW"}</definedName>
    <definedName name="df_4" hidden="1">{#N/A,#N/A,FALSE,"PGW"}</definedName>
    <definedName name="dfamfl" hidden="1">#REF!</definedName>
    <definedName name="dfd" hidden="1">{#N/A,#N/A,FALSE,"ASIA"}</definedName>
    <definedName name="DFDD" hidden="1">{#N/A,#N/A,FALSE,"REPORT"}</definedName>
    <definedName name="DFF" hidden="1">{#N/A,#N/A,FALSE,"COVER1.XLS ";#N/A,#N/A,FALSE,"RACT1.XLS";#N/A,#N/A,FALSE,"RACT2.XLS";#N/A,#N/A,FALSE,"ECCMP";#N/A,#N/A,FALSE,"WELDER.XLS"}</definedName>
    <definedName name="dffe" hidden="1">{"P and L",#N/A,FALSE,"Financial Output";"Cashflow",#N/A,FALSE,"Financial Output";"Balance Sheet",#N/A,FALSE,"Financial Output"}</definedName>
    <definedName name="dfg" hidden="1">{#N/A,#N/A,FALSE,"gc (2)"}</definedName>
    <definedName name="dfg_1" hidden="1">{#N/A,#N/A,FALSE,"gc (2)"}</definedName>
    <definedName name="dfg_2" hidden="1">{#N/A,#N/A,FALSE,"gc (2)"}</definedName>
    <definedName name="dfg_3" hidden="1">{#N/A,#N/A,FALSE,"gc (2)"}</definedName>
    <definedName name="dfgdfg" hidden="1">{#N/A,#N/A,FALSE,"PMTABB";#N/A,#N/A,FALSE,"PMTABB"}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" hidden="1">{#N/A,#N/A,FALSE,"gc (2)"}</definedName>
    <definedName name="dfgg_1" hidden="1">{#N/A,#N/A,FALSE,"gc (2)"}</definedName>
    <definedName name="dfgg_2" hidden="1">{#N/A,#N/A,FALSE,"gc (2)"}</definedName>
    <definedName name="dfgg_3" hidden="1">{#N/A,#N/A,FALSE,"gc (2)"}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hfd" hidden="1">{#N/A,#N/A,FALSE,"PMTABB";#N/A,#N/A,FALSE,"PMTABB"}</definedName>
    <definedName name="dfghfd_2" hidden="1">{#N/A,#N/A,FALSE,"PMTABB";#N/A,#N/A,FALSE,"PMTABB"}</definedName>
    <definedName name="dfghfd_3" hidden="1">{#N/A,#N/A,FALSE,"PMTABB";#N/A,#N/A,FALSE,"PMTABB"}</definedName>
    <definedName name="dfghfd_4" hidden="1">{#N/A,#N/A,FALSE,"PMTABB";#N/A,#N/A,FALSE,"PMTABB"}</definedName>
    <definedName name="DFGHJK" hidden="1">8</definedName>
    <definedName name="DFHGH" hidden="1">{#N/A,#N/A,FALSE,"PGW"}</definedName>
    <definedName name="DFHGH_1" hidden="1">{#N/A,#N/A,FALSE,"PGW"}</definedName>
    <definedName name="DFHGH_2" hidden="1">{#N/A,#N/A,FALSE,"PGW"}</definedName>
    <definedName name="DFHGH_3" hidden="1">{#N/A,#N/A,FALSE,"PGW"}</definedName>
    <definedName name="DFHGH_4" hidden="1">{#N/A,#N/A,FALSE,"PGW"}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t4">#REF!</definedName>
    <definedName name="dflt7">#REF!</definedName>
    <definedName name="dfr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#REF!</definedName>
    <definedName name="dfs.xlx" hidden="1">{"mgmt forecast",#N/A,FALSE,"Mgmt Forecast";"dcf table",#N/A,FALSE,"Mgmt Forecast";"sensitivity",#N/A,FALSE,"Mgmt Forecast";"table inputs",#N/A,FALSE,"Mgmt Forecast";"calculations",#N/A,FALSE,"Mgmt Forecast"}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gdg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fgfd" hidden="1">{#N/A,#N/A,FALSE,"COVER.XLS";#N/A,#N/A,FALSE,"RACT1.XLS";#N/A,#N/A,FALSE,"RACT2.XLS";#N/A,#N/A,FALSE,"ECCMP";#N/A,#N/A,FALSE,"WELDER.XLS"}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iasCategorias">#REF!</definedName>
    <definedName name="Dignesh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mac" hidden="1">{#N/A,#N/A,FALSE,"Tabl. D1";#N/A,#N/A,FALSE,"Tabl. D1 b";#N/A,#N/A,FALSE,"Tabl. D2";#N/A,#N/A,FALSE,"Tabl. D2 b";#N/A,#N/A,FALSE,"Tabl. D3";#N/A,#N/A,FALSE,"Tabl. D4";#N/A,#N/A,FALSE,"Tabl. D5"}</definedName>
    <definedName name="dir" hidden="1">{#N/A,#N/A,FALSE,"COMP"}</definedName>
    <definedName name="Discount" hidden="1">#REF!</definedName>
    <definedName name="DiscountValue">#REF!</definedName>
    <definedName name="disp_tax">#REF!</definedName>
    <definedName name="Div_Loop">#REF!</definedName>
    <definedName name="divyadivya" hidden="1">{"Fiesta Facer Page",#N/A,FALSE,"Q_C_S";"Fiesta Main Page",#N/A,FALSE,"V_L";"Fiesta 95BP Struct",#N/A,FALSE,"StructBP";"Fiesta Post 95BP Struct",#N/A,FALSE,"AdjStructBP"}</definedName>
    <definedName name="divyamalik" hidden="1">{#N/A,#N/A,FALSE,"Umsatz 99";#N/A,#N/A,FALSE,"ER 99 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j" hidden="1">#REF!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hidden="1">{#N/A,#N/A,FALSE,"Other";#N/A,#N/A,FALSE,"Ace";#N/A,#N/A,FALSE,"Derm"}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d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Dmalik" hidden="1">{#N/A,#N/A,FALSE,"Umsatz 99";#N/A,#N/A,FALSE,"ER 99 "}</definedName>
    <definedName name="Documentos">OFFSET(#REF!,0,0,COUNTA(#REF!),1)</definedName>
    <definedName name="dps" hidden="1">{"mgmt forecast",#N/A,FALSE,"Mgmt Forecast";"dcf table",#N/A,FALSE,"Mgmt Forecast";"sensitivity",#N/A,FALSE,"Mgmt Forecast";"table inputs",#N/A,FALSE,"Mgmt Forecast";"calculations",#N/A,FALSE,"Mgmt Forecast"}</definedName>
    <definedName name="dq" hidden="1">{"Comp_of_Price_Effect",#N/A,FALSE,"QTRDPVAR"}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es" hidden="1">{"'April 24'!$J$11"}</definedName>
    <definedName name="Dropdown">#REF!</definedName>
    <definedName name="Dropdown1">#REF!</definedName>
    <definedName name="drw" hidden="1">{"PAGE 1",#N/A,FALSE,"COS";"PAGE 2",#N/A,FALSE,"COS";"PAGE 3",#N/A,FALSE,"COS"}</definedName>
    <definedName name="ds" hidden="1">{"mgmt forecast",#N/A,FALSE,"Mgmt Forecast";"dcf table",#N/A,FALSE,"Mgmt Forecast";"sensitivity",#N/A,FALSE,"Mgmt Forecast";"table inputs",#N/A,FALSE,"Mgmt Forecast";"calculations",#N/A,FALSE,"Mgmt Forecast"}</definedName>
    <definedName name="dsa" hidden="1">#REF!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d2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dafgsa" hidden="1">{"Performance Details",#N/A,FALSE,"Current Yr";"Performance Details",#N/A,FALSE,"Budget";"Performance Details",#N/A,FALSE,"Prior Year"}</definedName>
    <definedName name="dsdfdafd" hidden="1">{#N/A,#N/A,FALSE,"Tabl. A1";#N/A,#N/A,FALSE,"Tabl. A1 b";#N/A,#N/A,FALSE,"Tabl. A2";#N/A,#N/A,FALSE,"Tabl. A2-1";#N/A,#N/A,FALSE,"Tabl. A2-2"}</definedName>
    <definedName name="dsdfsdf" hidden="1">{"FTSE44","COMPANIES",TRUE}</definedName>
    <definedName name="dsdsds" hidden="1">{#N/A,#N/A,TRUE,"Sheet1";#N/A,#N/A,TRUE,"Nov-1995"}</definedName>
    <definedName name="dse" hidden="1">{"YTDACT",#N/A,FALSE,"YTD Cum";"YTDBUD",#N/A,FALSE,"YTD Cum";"YTDPRIOR",#N/A,FALSE,"YTD Cum"}</definedName>
    <definedName name="dsfgdfklhglkdflkglkjh" hidden="1">{#N/A,#N/A,FALSE,"PMTABB";#N/A,#N/A,FALSE,"PMTABB"}</definedName>
    <definedName name="DSFSDFSDF" hidden="1">{#N/A,#N/A,FALSE,"COVER.XLS";#N/A,#N/A,FALSE,"RACT1.XLS";#N/A,#N/A,FALSE,"RACT2.XLS";#N/A,#N/A,FALSE,"ECCMP";#N/A,#N/A,FALSE,"WELDER.XLS"}</definedName>
    <definedName name="dsfsf" hidden="1">{"detail",#N/A,FALSE,"mfg";"summary",#N/A,FALSE,"mfg"}</definedName>
    <definedName name="dsfsffss" hidden="1">{#N/A,#N/A,FALSE,"Pharm";#N/A,#N/A,FALSE,"WWCM"}</definedName>
    <definedName name="dsg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s" hidden="1">{#N/A,#N/A,FALSE,"ACQ_GRAPHS";#N/A,#N/A,FALSE,"T_1 GRAPHS";#N/A,#N/A,FALSE,"T_2 GRAPHS";#N/A,#N/A,FALSE,"COMB_GRAPHS"}</definedName>
    <definedName name="dss_1" hidden="1">{#N/A,#N/A,FALSE,"ACQ_GRAPHS";#N/A,#N/A,FALSE,"T_1 GRAPHS";#N/A,#N/A,FALSE,"T_2 GRAPHS";#N/A,#N/A,FALSE,"COMB_GRAPHS"}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X" hidden="1">{"'Bsheet BIS'!$A$1:$F$43"}</definedName>
    <definedName name="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urrie" hidden="1">{#N/A,#N/A,TRUE,"Sheet1";#N/A,#N/A,TRUE,"Nov-1995"}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E">#REF!</definedName>
    <definedName name="e_1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e_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e12ert" hidden="1">#REF!</definedName>
    <definedName name="eaf" hidden="1">#REF!</definedName>
    <definedName name="East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A" hidden="1">{#N/A,#N/A,FALSE,"P&amp;L";#N/A,#N/A,FALSE,"BS";#N/A,#N/A,FALSE,"SPLIT";#N/A,#N/A,FALSE,"RATIOS";#N/A,#N/A,FALSE,"TURN ";#N/A,#N/A,FALSE,"%s"}</definedName>
    <definedName name="EBITARevised" hidden="1">{#N/A,#N/A,FALSE,"P&amp;L";#N/A,#N/A,FALSE,"BS";#N/A,#N/A,FALSE,"SPLIT";#N/A,#N/A,FALSE,"RATIOS";#N/A,#N/A,FALSE,"TURN ";#N/A,#N/A,FALSE,"%s"}</definedName>
    <definedName name="e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D" hidden="1">{#N/A,#N/A,FALSE,"PMTABB";#N/A,#N/A,FALSE,"PMTABB"}</definedName>
    <definedName name="Editable" hidden="1">#REF!,#REF!,#REF!,#REF!</definedName>
    <definedName name="ee" hidden="1">{#N/A,#N/A,TRUE,"index";#N/A,#N/A,TRUE,"Summary";#N/A,#N/A,TRUE,"Continuing Business";#N/A,#N/A,TRUE,"Disposals";#N/A,#N/A,TRUE,"Acquisitions";#N/A,#N/A,TRUE,"Actual &amp; Plan Reconciliation"}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hidden="1">{#N/A,#N/A,FALSE,"Income State.";#N/A,#N/A,FALSE,"B-S"}</definedName>
    <definedName name="eee_2" hidden="1">{#N/A,#N/A,FALSE,"Income State.";#N/A,#N/A,FALSE,"B-S"}</definedName>
    <definedName name="eee_3" hidden="1">{#N/A,#N/A,FALSE,"Income State.";#N/A,#N/A,FALSE,"B-S"}</definedName>
    <definedName name="eee_4" hidden="1">{#N/A,#N/A,FALSE,"Income State.";#N/A,#N/A,FALSE,"B-S"}</definedName>
    <definedName name="eee_5" hidden="1">{#N/A,#N/A,FALSE,"Income State.";#N/A,#N/A,FALSE,"B-S"}</definedName>
    <definedName name="eeee" hidden="1">{"YD LAPO2",#N/A,FALSE,"YTD"}</definedName>
    <definedName name="eeeeee" hidden="1">{"YD OTHER",#N/A,FALSE,"YTD"}</definedName>
    <definedName name="eeeeeee" hidden="1">{"YD LPH2",#N/A,FALSE,"YTD"}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#REF!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erer" hidden="1">{"mgmt forecast",#N/A,FALSE,"Mgmt Forecast";"dcf table",#N/A,FALSE,"Mgmt Forecast";"sensitivity",#N/A,FALSE,"Mgmt Forecast";"table inputs",#N/A,FALSE,"Mgmt Forecast";"calculations",#N/A,FALSE,"Mgmt Forecast"}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re2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#REF!</definedName>
    <definedName name="eings" hidden="1">{#N/A,"PURCHM",FALSE,"Business Analysis";#N/A,"SPADD",FALSE,"Business Analysis"}</definedName>
    <definedName name="ejkfgkjze" hidden="1">{#N/A,#N/A,FALSE,"Pharm";#N/A,#N/A,FALSE,"WWCM"}</definedName>
    <definedName name="ejl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2" hidden="1">{#N/A,#N/A,TRUE,"Sheet1";#N/A,#N/A,TRUE,"Nov-1995"}</definedName>
    <definedName name="emily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pty" hidden="1">#REF!</definedName>
    <definedName name="Empty1" hidden="1">#REF!</definedName>
    <definedName name="Empty2" hidden="1">#REF!</definedName>
    <definedName name="Encabezados">OFFSET(#REF!,0,0,COUNTA(#REF!),1)</definedName>
    <definedName name="END_YEAR">#REF!</definedName>
    <definedName name="ENDDATE" hidden="1">" "</definedName>
    <definedName name="ENG_BI_EXE_NAME" hidden="1">"BICORE.EXE"</definedName>
    <definedName name="ENG_BI_EXEC_CMD_ARGS" hidden="1">"03304607807808310008509207808203605007003304907412708906908707207908410406808007306906510210112613412307207108509008406906505404906213212409512111510612309712010606807509206908609107008306509209605404805505504704905704705209705705209209206106104808107"</definedName>
    <definedName name="ENG_BI_EXEC_CMD_ARGS_2" hidden="1">"00840580520690730880920860720840570571261241001121181101181061251010720710680660880650800840710701041021171341240961171141091230971251100680700900840700860610690760730850761261231041131151101181011211010770750800690880840880830820720660830760890660770"</definedName>
    <definedName name="ENG_BI_EXEC_CMD_ARGS_3" hidden="1">"67054052064049061060059058060055063059050060054049058064049060061060054057060056055059053061053068058052058064057053063050056061059058055053059061055060055054061064049061065059053059056060061057063054056066066050057059060050062052063061057068058050053"</definedName>
    <definedName name="ENG_BI_EXEC_CMD_ARGS_4" hidden="1">"064058055129123099117117107115106099085066079076067083073069070110110129128080083072069086074068089072083065086084062054125"</definedName>
    <definedName name="ENG_BI_GEN_LIC" hidden="1">"0"</definedName>
    <definedName name="ENG_BI_GEN_LIC_WS" hidden="1">"False"</definedName>
    <definedName name="ENG_BI_LBI" hidden="1">"XC4Y7F32UL"</definedName>
    <definedName name="ENG_BI_REPOS_FILE" hidden="1">"\\10.0.10.3\90w\SMI\alchemex.svd"</definedName>
    <definedName name="ENG_BI_REPOS_PATH" hidden="1">"\\10.0.10.3\90w\SMI"</definedName>
    <definedName name="ENG_BI_TLA" hidden="1">"14;68;33;63;164;195;174;55;228;108;103;161;108;41;21;256;109;125;198;209;219;240;202;127;237;87;41;213;266;191;71;213"</definedName>
    <definedName name="Entertainment">#REF!</definedName>
    <definedName name="Entity">#REF!</definedName>
    <definedName name="Entity_Name">#REF!</definedName>
    <definedName name="eoflsru" hidden="1">{"QTD",#N/A,FALSE,"SUM"}</definedName>
    <definedName name="eoil" hidden="1">{"detail",#N/A,FALSE,"mfg";"summary",#N/A,FALSE,"mfg"}</definedName>
    <definedName name="EOLsupplyLC" hidden="1">{#N/A,#N/A,FALSE,"PMTABB";#N/A,#N/A,FALSE,"PMTABB"}</definedName>
    <definedName name="EOLsupplyLC_2" hidden="1">{#N/A,#N/A,FALSE,"PMTABB";#N/A,#N/A,FALSE,"PMTABB"}</definedName>
    <definedName name="EOLsupplyLC_3" hidden="1">{#N/A,#N/A,FALSE,"PMTABB";#N/A,#N/A,FALSE,"PMTABB"}</definedName>
    <definedName name="EOLsupplyLC_4" hidden="1">{#N/A,#N/A,FALSE,"PMTABB";#N/A,#N/A,FALSE,"PMTABB"}</definedName>
    <definedName name="EPMWorkbookOptions_1" hidden="1">"dgEAAB|LCAAAAAAABACFkMEKgkAQhu9B77DsPVcLOoTaoS5BYhRU10lHXdJZ2d3aHj8pLKpD12||f4b5w/mtqdkVtZGKIh54PmdImcollRG/2GIUTPk8Hg7Cg9Lnk1LntLWdaliXIzO7GRnxytp2JoRzznMTT|lSjH0/EMdkvcsqbGAkyVigDPkrlf9P8e4qY|EWC42mSiltkeICaoOh|IQPb1Ej6CVYSGkHV|zNb/xw|182WlnMLOa9/Tv49F3"</definedName>
    <definedName name="EPMWorkbookOptions_2" hidden="1">"OxBOtzB60hFONCeryveGHd9WJr|7iO45h/1l2AQAA"</definedName>
    <definedName name="eqa.xls" hidden="1">{"mgmt forecast",#N/A,FALSE,"Mgmt Forecast";"dcf table",#N/A,FALSE,"Mgmt Forecast";"sensitivity",#N/A,FALSE,"Mgmt Forecast";"table inputs",#N/A,FALSE,"Mgmt Forecast";"calculations",#N/A,FALSE,"Mgmt Forecast"}</definedName>
    <definedName name="er" hidden="1">{#N/A,#N/A,FALSE,"Umsatz 99";#N/A,#N/A,FALSE,"ER 99 "}</definedName>
    <definedName name="erd" hidden="1">{#N/A,#N/A,FALSE,"Pharm";#N/A,#N/A,FALSE,"WWCM"}</definedName>
    <definedName name="erd.xls" hidden="1">{"mgmt forecast",#N/A,FALSE,"Mgmt Forecast";"dcf table",#N/A,FALSE,"Mgmt Forecast";"sensitivity",#N/A,FALSE,"Mgmt Forecast";"table inputs",#N/A,FALSE,"Mgmt Forecast";"calculations",#N/A,FALSE,"Mgmt Forecast"}</definedName>
    <definedName name="erefafg" hidden="1">{#N/A,#N/A,FALSE,"Aging Summary";#N/A,#N/A,FALSE,"Ratio Analysis";#N/A,#N/A,FALSE,"Test 120 Day Accts";#N/A,#N/A,FALSE,"Tickmarks"}</definedName>
    <definedName name="erer" hidden="1">{#N/A,#N/A,FALSE,"Aging Summary";#N/A,#N/A,FALSE,"Ratio Analysis";#N/A,#N/A,FALSE,"Test 120 Day Accts";#N/A,#N/A,FALSE,"Tickmarks"}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r.g." hidden="1">{#N/A,#N/A,FALSE,"KA CH  (2)"}</definedName>
    <definedName name="errr.g" hidden="1">{#N/A,#N/A,FALSE,"KA CH  (2)"}</definedName>
    <definedName name="errrrrrrr" hidden="1">{#N/A,#N/A,FALSE,"Status of Projects";#N/A,#N/A,FALSE,"CEA-TEC";#N/A,#N/A,FALSE,"U-Constr.";#N/A,#N/A,FALSE,"summary";#N/A,#N/A,FALSE,"PPP-3 yrs"}</definedName>
    <definedName name="erryeyetyuu" hidden="1">{#N/A,#N/A,FALSE,"Pharm";#N/A,#N/A,FALSE,"WWCM"}</definedName>
    <definedName name="ert" hidden="1">{#N/A,#N/A,FALSE,"Umsatz 99";#N/A,#N/A,FALSE,"ER 99 "}</definedName>
    <definedName name="ert.xls" hidden="1">{"mgmt forecast",#N/A,FALSE,"Mgmt Forecast";"dcf table",#N/A,FALSE,"Mgmt Forecast";"sensitivity",#N/A,FALSE,"Mgmt Forecast";"table inputs",#N/A,FALSE,"Mgmt Forecast";"calculations",#N/A,FALSE,"Mgmt Forecast"}</definedName>
    <definedName name="ERTFDSG" hidden="1">{#N/A,#N/A,FALSE,"PGW"}</definedName>
    <definedName name="ERTFDSG_1" hidden="1">{#N/A,#N/A,FALSE,"PGW"}</definedName>
    <definedName name="ERTFDSG_2" hidden="1">{#N/A,#N/A,FALSE,"PGW"}</definedName>
    <definedName name="ERTFDSG_3" hidden="1">{#N/A,#N/A,FALSE,"PGW"}</definedName>
    <definedName name="ERTFDSG_4" hidden="1">{#N/A,#N/A,FALSE,"PGW"}</definedName>
    <definedName name="ertr" hidden="1">{#N/A,#N/A,FALSE,"Umsatz 99";#N/A,#N/A,FALSE,"ER 99 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.xls" hidden="1">{"mgmt forecast",#N/A,FALSE,"Mgmt Forecast";"dcf table",#N/A,FALSE,"Mgmt Forecast";"sensitivity",#N/A,FALSE,"Mgmt Forecast";"table inputs",#N/A,FALSE,"Mgmt Forecast";"calculations",#N/A,FALSE,"Mgmt Forecast"}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f" hidden="1">#REF!</definedName>
    <definedName name="esnrc14c1" hidden="1">#REF!</definedName>
    <definedName name="esnrc14c1_values" hidden="1">{"FTSE44","COMPANIES",TRUE}</definedName>
    <definedName name="esnrc6c1_values" hidden="1">{"350FTSE44","COMPANIES",TRUE}</definedName>
    <definedName name="ESSAI" hidden="1">{#N/A,#N/A,FALSE,"Pharm";#N/A,#N/A,FALSE,"WWCM"}</definedName>
    <definedName name="Essar" hidden="1">{#N/A,#N/A,FALSE,"PMTABB";#N/A,#N/A,FALSE,"PMTABB"}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c" hidden="1">#REF!</definedName>
    <definedName name="etet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v.Calculation" hidden="1">-4105</definedName>
    <definedName name="ev.Initialized" hidden="1">FALSE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38582.3603935185</definedName>
    <definedName name="EV__LOCKEDCVW__FINANCE" hidden="1">"NONFLOW_F,actual,UKGAAP,id,VALIDATION,gbp,2013.aug,YTD,"</definedName>
    <definedName name="EV__LOCKEDCVW__INTERCO" hidden="1">"ACTUAL,UKGAAP,fei,PL1100,ALL,LC,2014.apr,YTD,"</definedName>
    <definedName name="EV__LOCKEDCVW__RATE" hidden="1">"ACTUAL,GBP,AVG,GLOBAL,2008.TOTAL,YTD,"</definedName>
    <definedName name="EV__LOCKEDCVW__SBU" hidden="1">"ACTUAL,UKGAAP,ULTRA,LC,SBU11000,Sales,2008.TOTAL,YTD,"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V__WSINFO__" hidden="1">"ULTRA"</definedName>
    <definedName name="EVA" hidden="1">{"DCF",#N/A,FALSE,"CF"}</definedName>
    <definedName name="EVA_1" hidden="1">{"DCF",#N/A,FALSE,"CF"}</definedName>
    <definedName name="EVA_2" hidden="1">{"DCF",#N/A,FALSE,"CF"}</definedName>
    <definedName name="EVA_3" hidden="1">{"DCF",#N/A,FALSE,"CF"}</definedName>
    <definedName name="EVA_4" hidden="1">{"DCF",#N/A,FALSE,"CF"}</definedName>
    <definedName name="EVA_5" hidden="1">{"DCF",#N/A,FALSE,"CF"}</definedName>
    <definedName name="events1">#REF!</definedName>
    <definedName name="ew" hidden="1">{"summary1",#N/A,TRUE,"Comps";"summary2",#N/A,TRUE,"Comps";"summary3",#N/A,TRUE,"Comps"}</definedName>
    <definedName name="ewaw" hidden="1">{"Act_vs_Budget",#N/A,FALSE,"QTRDPVAR";"Act_vs_Prior_Year",#N/A,FALSE,"QTRDPVAR"}</definedName>
    <definedName name="ewcw" hidden="1">{#N/A,#N/A,FALSE,"Aging Summary";#N/A,#N/A,FALSE,"Ratio Analysis";#N/A,#N/A,FALSE,"Test 120 Day Accts";#N/A,#N/A,FALSE,"Tickmarks"}</definedName>
    <definedName name="ewdwqd" hidden="1">{#N/A,"PURCHM",FALSE,"Business Analysis";#N/A,"SPADD",FALSE,"Business Analysis"}</definedName>
    <definedName name="ewf" hidden="1">{"'Edit'!$A$1:$V$2277"}</definedName>
    <definedName name="EWFASD" hidden="1">{#N/A,#N/A,TRUE,"RM-June"}</definedName>
    <definedName name="ewgw" hidden="1">{#N/A,#N/A,FALSE,"Admin";#N/A,#N/A,FALSE,"Other"}</definedName>
    <definedName name="EWIncrease">#REF!</definedName>
    <definedName name="ewo.xls" hidden="1">{"mgmt forecast",#N/A,FALSE,"Mgmt Forecast";"dcf table",#N/A,FALSE,"Mgmt Forecast";"sensitivity",#N/A,FALSE,"Mgmt Forecast";"table inputs",#N/A,FALSE,"Mgmt Forecast";"calculations",#N/A,FALSE,"Mgmt Forecast"}</definedName>
    <definedName name="ewq" hidden="1">{"oct_res_comm",#N/A,FALSE,"VarToBud"}</definedName>
    <definedName name="ewq.xls" hidden="1">{"mgmt forecast",#N/A,FALSE,"Mgmt Forecast";"dcf table",#N/A,FALSE,"Mgmt Forecast";"sensitivity",#N/A,FALSE,"Mgmt Forecast";"table inputs",#N/A,FALSE,"Mgmt Forecast";"calculations",#N/A,FALSE,"Mgmt Forecast"}</definedName>
    <definedName name="ewrwq" hidden="1">{#N/A,#N/A,FALSE,"Staffnos &amp; cost"}</definedName>
    <definedName name="ewv" hidden="1">{"Page1",#N/A,FALSE,"OpExJanvsBud";"Page2",#N/A,FALSE,"OpExJanvsBud"}</definedName>
    <definedName name="ewwe" hidden="1">{#N/A,#N/A,FALSE,"REPORT"}</definedName>
    <definedName name="EX_NIDEMC" hidden="1">#REF!</definedName>
    <definedName name="ExactAddinConnection" hidden="1">"500"</definedName>
    <definedName name="ExactAddinConnection.500" hidden="1">"macola01;500;cmonro;1"</definedName>
    <definedName name="ExactlyOneYear" hidden="1">#REF!</definedName>
    <definedName name="Excep06" hidden="1">{#N/A,#N/A,TRUE,"P&amp;L";#N/A,#N/A,TRUE,"note 1";#N/A,#N/A,TRUE,"note 2";#N/A,#N/A,TRUE,"note 3";#N/A,#N/A,TRUE,"note 4"}</definedName>
    <definedName name="Excep06_1" hidden="1">{#N/A,#N/A,TRUE,"P&amp;L";#N/A,#N/A,TRUE,"note 1";#N/A,#N/A,TRUE,"note 2";#N/A,#N/A,TRUE,"note 3";#N/A,#N/A,TRUE,"note 4"}</definedName>
    <definedName name="Excep06_2" hidden="1">{#N/A,#N/A,TRUE,"P&amp;L";#N/A,#N/A,TRUE,"note 1";#N/A,#N/A,TRUE,"note 2";#N/A,#N/A,TRUE,"note 3";#N/A,#N/A,TRUE,"note 4"}</definedName>
    <definedName name="Excep06_3" hidden="1">{#N/A,#N/A,TRUE,"P&amp;L";#N/A,#N/A,TRUE,"note 1";#N/A,#N/A,TRUE,"note 2";#N/A,#N/A,TRUE,"note 3";#N/A,#N/A,TRUE,"note 4"}</definedName>
    <definedName name="Excep06_4" hidden="1">{#N/A,#N/A,TRUE,"P&amp;L";#N/A,#N/A,TRUE,"note 1";#N/A,#N/A,TRUE,"note 2";#N/A,#N/A,TRUE,"note 3";#N/A,#N/A,TRUE,"note 4"}</definedName>
    <definedName name="Excep06_5" hidden="1">{#N/A,#N/A,TRUE,"P&amp;L";#N/A,#N/A,TRUE,"note 1";#N/A,#N/A,TRUE,"note 2";#N/A,#N/A,TRUE,"note 3";#N/A,#N/A,TRUE,"note 4"}</definedName>
    <definedName name="EXERCICE" comment="exercice (année) du dossier">#REF!</definedName>
    <definedName name="exgratiafinal" hidden="1">#REF!</definedName>
    <definedName name="EXHT" hidden="1">15</definedName>
    <definedName name="exp">#REF!</definedName>
    <definedName name="ExpAcc">#REF!</definedName>
    <definedName name="Expenses">#REF!</definedName>
    <definedName name="Expenses_Books">#REF!</definedName>
    <definedName name="Expenses_FixedAssets">#REF!</definedName>
    <definedName name="Expenses_Motor">#REF!</definedName>
    <definedName name="Expenses_Other">#REF!</definedName>
    <definedName name="Expenses_Stationery">#REF!</definedName>
    <definedName name="Expenses_Telephone">#REF!</definedName>
    <definedName name="Expenses_Total">#REF!</definedName>
    <definedName name="Expenses_Travel">#REF!</definedName>
    <definedName name="Expenses_VAT">#REF!</definedName>
    <definedName name="Expenses1">#REF!</definedName>
    <definedName name="eydsr" hidden="1">{#N/A,"PURCHM",FALSE,"Business Analysis";#N/A,"SPADD",FALSE,"Business Analysis"}</definedName>
    <definedName name="f">#REF!</definedName>
    <definedName name="f.ffff" hidden="1">{#N/A,#N/A,FALSE,"Umsatz 99";#N/A,#N/A,FALSE,"ER 99 "}</definedName>
    <definedName name="f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A">#REF!</definedName>
    <definedName name="FA_SCHEDULE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lcs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fasdfsdfsegds" hidden="1">{#N/A,#N/A,FALSE,"PMTABB";#N/A,#N/A,FALSE,"PMTABB"}</definedName>
    <definedName name="FC_1" hidden="1">{#N/A,#N/A,FALSE,"gc (2)"}</definedName>
    <definedName name="FC_2" hidden="1">{#N/A,#N/A,FALSE,"gc (2)"}</definedName>
    <definedName name="FC_3" hidden="1">{#N/A,#N/A,FALSE,"gc (2)"}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ode" hidden="1">#REF!</definedName>
    <definedName name="fcuk" hidden="1">{"by departments",#N/A,TRUE,"FORECAST";"cap_headcount",#N/A,TRUE,"FORECAST";"summary",#N/A,TRUE,"FORECAST"}</definedName>
    <definedName name="fcuk_1" hidden="1">{"by departments",#N/A,TRUE,"FORECAST";"cap_headcount",#N/A,TRUE,"FORECAST";"summary",#N/A,TRUE,"FORECAST"}</definedName>
    <definedName name="fd" hidden="1">{"ProjectInput",#N/A,FALSE,"INPUT-AREA"}</definedName>
    <definedName name="fd_1" hidden="1">{"ProjectInput",#N/A,FALSE,"INPUT-AREA"}</definedName>
    <definedName name="fd_2" hidden="1">{"ProjectInput",#N/A,FALSE,"INPUT-AREA"}</definedName>
    <definedName name="fd_3" hidden="1">{"ProjectInput",#N/A,FALSE,"INPUT-AREA"}</definedName>
    <definedName name="fd_4" hidden="1">{"ProjectInput",#N/A,FALSE,"INPUT-AREA"}</definedName>
    <definedName name="fd_5" hidden="1">{"ProjectInput",#N/A,FALSE,"INPUT-AREA"}</definedName>
    <definedName name="fdb.xls" hidden="1">{"mgmt forecast",#N/A,FALSE,"Mgmt Forecast";"dcf table",#N/A,FALSE,"Mgmt Forecast";"sensitivity",#N/A,FALSE,"Mgmt Forecast";"table inputs",#N/A,FALSE,"Mgmt Forecast";"calculations",#N/A,FALSE,"Mgmt Forecast"}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hidden="1">{#N/A,#N/A,FALSE,"COVER.XLS";#N/A,#N/A,FALSE,"RACT1.XLS";#N/A,#N/A,FALSE,"RACT2.XLS";#N/A,#N/A,FALSE,"ECCMP";#N/A,#N/A,FALSE,"WELDER.XLS"}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sf" hidden="1">#REF!</definedName>
    <definedName name="FDQ" hidden="1">{"detail",#N/A,FALSE,"mfg";"summary",#N/A,FALSE,"mfg"}</definedName>
    <definedName name="fds" hidden="1">{#N/A,#N/A,FALSE,"Pharm";#N/A,#N/A,FALSE,"WWCM"}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f" hidden="1">{#N/A,#N/A,FALSE,"Model";#N/A,#N/A,FALSE,"Division"}</definedName>
    <definedName name="fdskj" hidden="1">{#N/A,#N/A,FALSE,"Model";#N/A,#N/A,FALSE,"Division"}</definedName>
    <definedName name="fdskj_1" hidden="1">{#N/A,#N/A,FALSE,"Model";#N/A,#N/A,FALSE,"Division"}</definedName>
    <definedName name="fdss" hidden="1">{#N/A,#N/A,FALSE,"Scenario PivotTable"}</definedName>
    <definedName name="fe" hidden="1">{#N/A,#N/A,FALSE,"Layout GuV"}</definedName>
    <definedName name="fe_1" hidden="1">{#N/A,#N/A,FALSE,"Layout GuV"}</definedName>
    <definedName name="fe_2" hidden="1">{#N/A,#N/A,FALSE,"PMTABB";#N/A,#N/A,FALSE,"PMTABB"}</definedName>
    <definedName name="fe_3" hidden="1">{#N/A,#N/A,FALSE,"PMTABB";#N/A,#N/A,FALSE,"PMTABB"}</definedName>
    <definedName name="fe_4" hidden="1">{#N/A,#N/A,FALSE,"PMTABB";#N/A,#N/A,FALSE,"PMTABB"}</definedName>
    <definedName name="FEB_17">#REF!</definedName>
    <definedName name="fec" hidden="1">#REF!</definedName>
    <definedName name="FechaInicio">#REF!</definedName>
    <definedName name="fef" hidden="1">{#N/A,#N/A,FALSE,"COVER.XLS";#N/A,#N/A,FALSE,"RACT1.XLS";#N/A,#N/A,FALSE,"RACT2.XLS";#N/A,#N/A,FALSE,"ECCMP";#N/A,#N/A,FALSE,"WELDER.XLS"}</definedName>
    <definedName name="fer" hidden="1">{#N/A,#N/A,FALSE,"Layout GuV"}</definedName>
    <definedName name="fe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ret" hidden="1">{#N/A,#N/A,FALSE,"FREE"}</definedName>
    <definedName name="feret_1" hidden="1">{#N/A,#N/A,FALSE,"FREE"}</definedName>
    <definedName name="feret_2" hidden="1">{#N/A,#N/A,FALSE,"FREE"}</definedName>
    <definedName name="feret_3" hidden="1">{#N/A,#N/A,FALSE,"FREE"}</definedName>
    <definedName name="feret_4" hidden="1">{#N/A,#N/A,FALSE,"FREE"}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" hidden="1">{#N/A,#N/A,FALSE,"PMTABB";#N/A,#N/A,FALSE,"PMTABB"}</definedName>
    <definedName name="few_1" hidden="1">{#N/A,#N/A,FALSE,"PMTABB";#N/A,#N/A,FALSE,"PMTABB"}</definedName>
    <definedName name="few_2" hidden="1">{#N/A,#N/A,FALSE,"PMTABB";#N/A,#N/A,FALSE,"PMTABB"}</definedName>
    <definedName name="few_3" hidden="1">{#N/A,#N/A,FALSE,"PMTABB";#N/A,#N/A,FALSE,"PMTABB"}</definedName>
    <definedName name="few_4" hidden="1">{#N/A,#N/A,FALSE,"PMTABB";#N/A,#N/A,FALSE,"PMTABB"}</definedName>
    <definedName name="fewq" hidden="1">{"Comp_of_Price_Effect",#N/A,FALSE,"QTRDPVAR"}</definedName>
    <definedName name="fewt" hidden="1">{#N/A,#N/A,FALSE,"EW"}</definedName>
    <definedName name="fewt_1" hidden="1">{#N/A,#N/A,FALSE,"EW"}</definedName>
    <definedName name="fewt_2" hidden="1">{#N/A,#N/A,FALSE,"EW"}</definedName>
    <definedName name="fewt_3" hidden="1">{#N/A,#N/A,FALSE,"EW"}</definedName>
    <definedName name="fewt_4" hidden="1">{#N/A,#N/A,FALSE,"EW"}</definedName>
    <definedName name="fex" comment="fin d'exercice">#REF!</definedName>
    <definedName name="ff" hidden="1">{#N/A,#N/A,TRUE,"index";#N/A,#N/A,TRUE,"Summary";#N/A,#N/A,TRUE,"Continuing Business";#N/A,#N/A,TRUE,"Disposals";#N/A,#N/A,TRUE,"Acquisitions";#N/A,#N/A,TRUE,"Actual &amp; Plan Reconciliation"}</definedName>
    <definedName name="ff_1" hidden="1">{#N/A,#N/A,FALSE,"gc (2)"}</definedName>
    <definedName name="ff_2" hidden="1">{#N/A,#N/A,FALSE,"gc (2)"}</definedName>
    <definedName name="ff_3" hidden="1">{#N/A,#N/A,FALSE,"gc (2)"}</definedName>
    <definedName name="ffd" hidden="1">#REF!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f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ffffff" hidden="1">{#N/A,#N/A,FALSE,"Pharm";#N/A,#N/A,FALSE,"WWCM"}</definedName>
    <definedName name="ffffffff" hidden="1">{#N/A,#N/A,FALSE,"COVER.XLS";#N/A,#N/A,FALSE,"RACT1.XLS";#N/A,#N/A,FALSE,"RACT2.XLS";#N/A,#N/A,FALSE,"ECCMP";#N/A,#N/A,FALSE,"WELDER.XLS"}</definedName>
    <definedName name="fffffffff" hidden="1">{#N/A,#N/A,FALSE,"COVER1.XLS ";#N/A,#N/A,FALSE,"RACT1.XLS";#N/A,#N/A,FALSE,"RACT2.XLS";#N/A,#N/A,FALSE,"ECCMP";#N/A,#N/A,FALSE,"WELDER.XLS"}</definedName>
    <definedName name="fffffffffffffff" hidden="1">{#N/A,#N/A,FALSE,"Status of Projects";#N/A,#N/A,FALSE,"CEA-TEC";#N/A,#N/A,FALSE,"U-Constr.";#N/A,#N/A,FALSE,"summary";#N/A,#N/A,FALSE,"PPP-3 yrs"}</definedName>
    <definedName name="ffy" hidden="1">{#N/A,#N/A,FALSE,"FY97";#N/A,#N/A,FALSE,"FY98";#N/A,#N/A,FALSE,"FY99";#N/A,#N/A,FALSE,"FY00";#N/A,#N/A,FALSE,"FY01"}</definedName>
    <definedName name="ffy_1" hidden="1">{#N/A,#N/A,FALSE,"FY97";#N/A,#N/A,FALSE,"FY98";#N/A,#N/A,FALSE,"FY99";#N/A,#N/A,FALSE,"FY00";#N/A,#N/A,FALSE,"FY01"}</definedName>
    <definedName name="fgd.xls" hidden="1">{"mgmt forecast",#N/A,FALSE,"Mgmt Forecast";"dcf table",#N/A,FALSE,"Mgmt Forecast";"sensitivity",#N/A,FALSE,"Mgmt Forecast";"table inputs",#N/A,FALSE,"Mgmt Forecast";"calculations",#N/A,FALSE,"Mgmt Forecast"}</definedName>
    <definedName name="fgds" hidden="1">#REF!</definedName>
    <definedName name="fgf" hidden="1">{#N/A,#N/A,FALSE,"Umsatz 99";#N/A,#N/A,FALSE,"ER 99 "}</definedName>
    <definedName name="fgfg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fgfgf" hidden="1">{#N/A,#N/A,FALSE,"Umsatz 99";#N/A,#N/A,FALSE,"ER 99 "}</definedName>
    <definedName name="fgfgfgf" hidden="1">{"mgmt forecast",#N/A,FALSE,"Mgmt Forecast";"dcf table",#N/A,FALSE,"Mgmt Forecast";"sensitivity",#N/A,FALSE,"Mgmt Forecast";"table inputs",#N/A,FALSE,"Mgmt Forecast";"calculations",#N/A,FALSE,"Mgmt Forecast"}</definedName>
    <definedName name="fgfx" hidden="1">{#N/A,#N/A,FALSE,"Umsatz 99";#N/A,#N/A,FALSE,"ER 99 "}</definedName>
    <definedName name="fgh" hidden="1">#REF!</definedName>
    <definedName name="fgh_1" hidden="1">{"office ltcg",#N/A,FALSE,"gain01";"IT LTCG",#N/A,FALSE,"gain01"}</definedName>
    <definedName name="fgh_2" hidden="1">{"office ltcg",#N/A,FALSE,"gain01";"IT LTCG",#N/A,FALSE,"gain01"}</definedName>
    <definedName name="fgh_3" hidden="1">{"office ltcg",#N/A,FALSE,"gain01";"IT LTCG",#N/A,FALSE,"gain01"}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{#N/A,#N/A,FALSE,"PGW"}</definedName>
    <definedName name="FGHFH_1" hidden="1">{#N/A,#N/A,FALSE,"PGW"}</definedName>
    <definedName name="FGHFH_2" hidden="1">{#N/A,#N/A,FALSE,"PGW"}</definedName>
    <definedName name="FGHFH_3" hidden="1">{#N/A,#N/A,FALSE,"PGW"}</definedName>
    <definedName name="FGHFH_4" hidden="1">{#N/A,#N/A,FALSE,"PGW"}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sd" hidden="1">{"PAGE 1",#N/A,FALSE,"COS Excluding Geismar";"PAGE 2",#N/A,FALSE,"COS Excluding Geismar";"PAGE 3",#N/A,FALSE,"COS Excluding Geismar"}</definedName>
    <definedName name="fgsfdgfgfdsg">#REF!</definedName>
    <definedName name="fgsg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x" hidden="1">#REF!</definedName>
    <definedName name="fh" hidden="1">{#N/A,#N/A,FALSE,"KA CH  (2)"}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liales">#REF!</definedName>
    <definedName name="FilialesNomCommercial">#REF!</definedName>
    <definedName name="fill" hidden="1">#REF!</definedName>
    <definedName name="filna" hidden="1">{"'OBT_6M_30_6'!$S$1:$AE$53"}</definedName>
    <definedName name="Fin" hidden="1">{#N/A,#N/A,TRUE,"Financials";#N/A,#N/A,TRUE,"Operating Statistics";#N/A,#N/A,TRUE,"Capex &amp; Depreciation";#N/A,#N/A,TRUE,"Debt"}</definedName>
    <definedName name="Fin_1" hidden="1">{#N/A,#N/A,TRUE,"Financials";#N/A,#N/A,TRUE,"Operating Statistics";#N/A,#N/A,TRUE,"Capex &amp; Depreciation";#N/A,#N/A,TRUE,"Debt"}</definedName>
    <definedName name="Fin_2" hidden="1">{#N/A,#N/A,TRUE,"Financials";#N/A,#N/A,TRUE,"Operating Statistics";#N/A,#N/A,TRUE,"Capex &amp; Depreciation";#N/A,#N/A,TRUE,"Debt"}</definedName>
    <definedName name="Fin_3" hidden="1">{#N/A,#N/A,TRUE,"Financials";#N/A,#N/A,TRUE,"Operating Statistics";#N/A,#N/A,TRUE,"Capex &amp; Depreciation";#N/A,#N/A,TRUE,"Debt"}</definedName>
    <definedName name="Fin_exp_" hidden="1">{#N/A,#N/A,FALSE,"Scenario PivotTable"}</definedName>
    <definedName name="Fin_Exp_Bud" hidden="1">{#N/A,#N/A,FALSE,"Scenario PivotTable"}</definedName>
    <definedName name="Fin_Exp_Bud_07" hidden="1">{#N/A,#N/A,FALSE,"Scenario PivotTable"}</definedName>
    <definedName name="Fin_exp_Bud08" hidden="1">{#N/A,#N/A,FALSE,"Scenario PivotTable"}</definedName>
    <definedName name="Financial_Year">#REF!</definedName>
    <definedName name="fixed" hidden="1">#REF!</definedName>
    <definedName name="FixedAssets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jalkf">#REF!</definedName>
    <definedName name="FJEZK" hidden="1">{#N/A,#N/A,FALSE,"Pharm";#N/A,#N/A,FALSE,"WWCM"}</definedName>
    <definedName name="fjiojfsaPf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flash" hidden="1">#REF!</definedName>
    <definedName name="FM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a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O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ss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sss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NN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oid">#REF!</definedName>
    <definedName name="FordelteFælles">#REF!</definedName>
    <definedName name="FordelteFællesJuni">#REF!</definedName>
    <definedName name="Forecast_table">#REF!</definedName>
    <definedName name="form3cd" hidden="1">#REF!</definedName>
    <definedName name="formulasResultado">#REF!</definedName>
    <definedName name="FOX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FraudCommunication">#REF!</definedName>
    <definedName name="fre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qer" hidden="1">{#N/A,#N/A,FALSE,"OSBL"}</definedName>
    <definedName name="frty" hidden="1">{"PRS",#N/A,FALSE,"CM"}</definedName>
    <definedName name="FSDFDS" hidden="1">{#N/A,#N/A,FALSE,"PMTABB";#N/A,#N/A,FALSE,"PMTABB"}</definedName>
    <definedName name="fsfs" hidden="1">{#N/A,#N/A,FALSE,"Calc";#N/A,#N/A,FALSE,"Sensitivity";#N/A,#N/A,FALSE,"LT Earn.Dil.";#N/A,#N/A,FALSE,"Dil. AVP"}</definedName>
    <definedName name="fsfs_1" hidden="1">{#N/A,#N/A,FALSE,"Calc";#N/A,#N/A,FALSE,"Sensitivity";#N/A,#N/A,FALSE,"LT Earn.Dil.";#N/A,#N/A,FALSE,"Dil. AVP"}</definedName>
    <definedName name="fss">Main.SAPF4Help()</definedName>
    <definedName name="fuck" hidden="1">{"by departments",#N/A,TRUE,"FORECAST";"cap_headcount",#N/A,TRUE,"FORECAST";"summary",#N/A,TRUE,"FORECAST"}</definedName>
    <definedName name="fuck_1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unciones_Activos_Fijos">#REF!</definedName>
    <definedName name="Funciones_Catalogo">#REF!</definedName>
    <definedName name="Funciones_Componente">#REF!</definedName>
    <definedName name="Funciones_Devolucion">#REF!</definedName>
    <definedName name="Funciones_Empresa">#REF!</definedName>
    <definedName name="Funciones_Fechas_Periodos">#REF!</definedName>
    <definedName name="Funciones_Movimientos">#REF!</definedName>
    <definedName name="Funciones_Polizas">#REF!</definedName>
    <definedName name="Funciones_Saldos">#REF!</definedName>
    <definedName name="Funciones_Tablas">#REF!</definedName>
    <definedName name="Fund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urnitureFixture" hidden="1">{#N/A,#N/A,FALSE,"AR2";#N/A,#N/A,FALSE,"SUM"}</definedName>
    <definedName name="FVG" hidden="1">{#N/A,#N/A,FALSE,"Pharm";#N/A,#N/A,FALSE,"WWCM"}</definedName>
    <definedName name="fwef_1" hidden="1">{#N/A,#N/A,FALSE,"OSBL"}</definedName>
    <definedName name="fwef_2" hidden="1">{#N/A,#N/A,FALSE,"OSBL"}</definedName>
    <definedName name="fwef_3" hidden="1">{#N/A,#N/A,FALSE,"OSBL"}</definedName>
    <definedName name="fwef_4" hidden="1">{#N/A,#N/A,FALSE,"OSBL"}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wrtergfre" hidden="1">10001</definedName>
    <definedName name="FYE_Mults">#REF!,#REF!,#REF!,#REF!,#REF!,#REF!,#REF!,#REF!,#REF!,#REF!,#REF!</definedName>
    <definedName name="G" hidden="1">#REF!</definedName>
    <definedName name="gasdgsa" hidden="1">#REF!</definedName>
    <definedName name="gcab1">#REF!</definedName>
    <definedName name="gcp">#REF!</definedName>
    <definedName name="gdeg" hidden="1">#REF!</definedName>
    <definedName name="GDF" hidden="1">{#N/A,#N/A,FALSE,"COMP"}</definedName>
    <definedName name="GDFA" hidden="1">{#N/A,#N/A,FALSE,"COMP"}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gd" hidden="1">{#N/A,#N/A,FALSE,"Calc";#N/A,#N/A,FALSE,"Sensitivity";#N/A,#N/A,FALSE,"LT Earn.Dil.";#N/A,#N/A,FALSE,"Dil. AVP"}</definedName>
    <definedName name="gdgd_1" hidden="1">{#N/A,#N/A,FALSE,"Calc";#N/A,#N/A,FALSE,"Sensitivity";#N/A,#N/A,FALSE,"LT Earn.Dil.";#N/A,#N/A,FALSE,"Dil. AVP"}</definedName>
    <definedName name="gds" hidden="1">#REF!</definedName>
    <definedName name="ge" hidden="1">{#N/A,#N/A,FALSE,"EW"}</definedName>
    <definedName name="ge_1" hidden="1">{#N/A,#N/A,FALSE,"EW"}</definedName>
    <definedName name="ge_2" hidden="1">{#N/A,#N/A,FALSE,"EW"}</definedName>
    <definedName name="ge_3" hidden="1">{#N/A,#N/A,FALSE,"EW"}</definedName>
    <definedName name="ge_4" hidden="1">{#N/A,#N/A,FALSE,"EW"}</definedName>
    <definedName name="gee" hidden="1">{#N/A,#N/A,FALSE,"COVER1.XLS ";#N/A,#N/A,FALSE,"RACT1.XLS";#N/A,#N/A,FALSE,"RACT2.XLS";#N/A,#N/A,FALSE,"ECCMP";#N/A,#N/A,FALSE,"WELDER.XLS"}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#REF!</definedName>
    <definedName name="Geography_Calc_E_Input">#REF!</definedName>
    <definedName name="georges" hidden="1">{#N/A,#N/A,FALSE,"Tabl. FB300";#N/A,#N/A,FALSE,"Tabl. FB350";#N/A,#N/A,FALSE,"Tabl. FB400";#N/A,#N/A,FALSE,"Tabl. FB500";#N/A,#N/A,FALSE,"Tabl. FS090"}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{#N/A,#N/A,FALSE,"KA CH  (2)"}</definedName>
    <definedName name="gfd" hidden="1">{#N/A,"PURCHM",FALSE,"Business Analysis";#N/A,"SPADD",FALSE,"Business Analysis"}</definedName>
    <definedName name="gfdgfg" hidden="1">#REF!</definedName>
    <definedName name="gfdjhjh" hidden="1">{#N/A,#N/A,FALSE,"Pharm";#N/A,#N/A,FALSE,"WWCM"}</definedName>
    <definedName name="gfds" hidden="1">{"oct_res_comm",#N/A,FALSE,"VarToBud"}</definedName>
    <definedName name="gfdstgvc" hidden="1">#REF!</definedName>
    <definedName name="gfdtregf" hidden="1">#REF!</definedName>
    <definedName name="gfgffgf" hidden="1">{"mgmt forecast",#N/A,FALSE,"Mgmt Forecast";"dcf table",#N/A,FALSE,"Mgmt Forecast";"sensitivity",#N/A,FALSE,"Mgmt Forecast";"table inputs",#N/A,FALSE,"Mgmt Forecast";"calculations",#N/A,FALSE,"Mgmt Forecast"}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{#N/A,#N/A,FALSE,"PMTABB";#N/A,#N/A,FALSE,"PMTABB"}</definedName>
    <definedName name="gfh_2" hidden="1">{#N/A,#N/A,FALSE,"PMTABB";#N/A,#N/A,FALSE,"PMTABB"}</definedName>
    <definedName name="gfh_3" hidden="1">{#N/A,#N/A,FALSE,"PMTABB";#N/A,#N/A,FALSE,"PMTABB"}</definedName>
    <definedName name="gfh_4" hidden="1">{#N/A,#N/A,FALSE,"PMTABB";#N/A,#N/A,FALSE,"PMTABB"}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NFGJH" hidden="1">{#N/A,#N/A,FALSE,"TOWNSHIP"}</definedName>
    <definedName name="GFNFGJH_1" hidden="1">{#N/A,#N/A,FALSE,"TOWNSHIP"}</definedName>
    <definedName name="GFNFGJH_2" hidden="1">{#N/A,#N/A,FALSE,"TOWNSHIP"}</definedName>
    <definedName name="GFNFGJH_3" hidden="1">{#N/A,#N/A,FALSE,"TOWNSHIP"}</definedName>
    <definedName name="GFNFGJH_4" hidden="1">{#N/A,#N/A,FALSE,"TOWNSHIP"}</definedName>
    <definedName name="gfrr" hidden="1">{#N/A,#N/A,FALSE,"Umsatz 99";#N/A,#N/A,FALSE,"ER 99 "}</definedName>
    <definedName name="gfsd" hidden="1">{"consolidated",#N/A,FALSE,"Sheet1";"cms",#N/A,FALSE,"Sheet1";"fse",#N/A,FALSE,"Sheet1"}</definedName>
    <definedName name="gfsd_1" hidden="1">{"consolidated",#N/A,FALSE,"Sheet1";"cms",#N/A,FALSE,"Sheet1";"fse",#N/A,FALSE,"Sheet1"}</definedName>
    <definedName name="gg" hidden="1">{#N/A,#N/A,TRUE,"index";#N/A,#N/A,TRUE,"Summary";#N/A,#N/A,TRUE,"Continuing Business";#N/A,#N/A,TRUE,"Disposals";#N/A,#N/A,TRUE,"Acquisitions";#N/A,#N/A,TRUE,"Actual &amp; Plan Reconciliation"}</definedName>
    <definedName name="GGF" hidden="1">{#N/A,#N/A,FALSE,"SUMMARY";#N/A,#N/A,FALSE,"SUMMARY"}</definedName>
    <definedName name="ggg" hidden="1">{"'CASHFLOW_REVISED'!$B$2:$F$68","'CASHFLOW_REVISED'!$B$2:$F$58"}</definedName>
    <definedName name="gggg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gggggggggg" hidden="1">{#N/A,#N/A,FALSE,"Status of Projects";#N/A,#N/A,FALSE,"CEA-TEC";#N/A,#N/A,FALSE,"U-Constr.";#N/A,#N/A,FALSE,"summary";#N/A,#N/A,FALSE,"PPP-3 yrs"}</definedName>
    <definedName name="ghf.xls" hidden="1">{"mgmt forecast",#N/A,FALSE,"Mgmt Forecast";"dcf table",#N/A,FALSE,"Mgmt Forecast";"sensitivity",#N/A,FALSE,"Mgmt Forecast";"table inputs",#N/A,FALSE,"Mgmt Forecast";"calculations",#N/A,FALSE,"Mgmt Forecast"}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" hidden="1">#REF!</definedName>
    <definedName name="ghh" hidden="1">{#N/A,#N/A,FALSE,"KA CH  (2)"}</definedName>
    <definedName name="ghi" hidden="1">{#N/A,#N/A,FALSE,"Tabl. FB300";#N/A,#N/A,FALSE,"Tabl. FB350";#N/A,#N/A,FALSE,"Tabl. FB400";#N/A,#N/A,FALSE,"Tabl. FB500";#N/A,#N/A,FALSE,"Tabl. FS090"}</definedName>
    <definedName name="ghj" hidden="1">{#N/A,#N/A,FALSE,"gc (2)"}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_1" hidden="1">{#N/A,#N/A,FALSE,"gc (2)"}</definedName>
    <definedName name="ghj_2" hidden="1">{#N/A,#N/A,FALSE,"gc (2)"}</definedName>
    <definedName name="ghj_3" hidden="1">{#N/A,#N/A,FALSE,"gc (2)"}</definedName>
    <definedName name="ghjggjh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hidden="1">{#N/A,#N/A,FALSE,"FREE"}</definedName>
    <definedName name="GHJTI_1" hidden="1">{#N/A,#N/A,FALSE,"FREE"}</definedName>
    <definedName name="GHJTI_2" hidden="1">{#N/A,#N/A,FALSE,"FREE"}</definedName>
    <definedName name="GHJTI_3" hidden="1">{#N/A,#N/A,FALSE,"FREE"}</definedName>
    <definedName name="GHJTI_4" hidden="1">{#N/A,#N/A,FALSE,"FREE"}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ifd" hidden="1">{#N/A,"PURCHM",FALSE,"Business Analysis";#N/A,"SPADD",FALSE,"Business Analysis"}</definedName>
    <definedName name="gii" hidden="1">{"'OBT_6M_30_6'!$S$1:$AE$53"}</definedName>
    <definedName name="gjh" hidden="1">{#N/A,#N/A,FALSE,"Umsatz 99";#N/A,#N/A,FALSE,"ER 99 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ygj" hidden="1">{#N/A,#N/A,FALSE,"COMP"}</definedName>
    <definedName name="gk0901int" hidden="1">{#N/A,#N/A,FALSE,"PMTABB";#N/A,#N/A,FALSE,"PMTABB"}</definedName>
    <definedName name="gk0901int_1" hidden="1">{#N/A,#N/A,FALSE,"PMTABB";#N/A,#N/A,FALSE,"PMTABB"}</definedName>
    <definedName name="gk0901int_2" hidden="1">{#N/A,#N/A,FALSE,"PMTABB";#N/A,#N/A,FALSE,"PMTABB"}</definedName>
    <definedName name="gk0901int_3" hidden="1">{#N/A,#N/A,FALSE,"PMTABB";#N/A,#N/A,FALSE,"PMTABB"}</definedName>
    <definedName name="gk0901int_4" hidden="1">{#N/A,#N/A,FALSE,"PMTABB";#N/A,#N/A,FALSE,"PMTABB"}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lic" hidden="1">{#N/A,#N/A,FALSE,"MISC"}</definedName>
    <definedName name="Global1" hidden="1">{#N/A,#N/A,FALSE,"Pharm";#N/A,#N/A,FALSE,"WWCM"}</definedName>
    <definedName name="gltr" comment="écritures du grand livre en temps réel remonté par powerpivot">#REF!</definedName>
    <definedName name="gods" hidden="1">{"consolidated",#N/A,FALSE,"Sheet1";"cms",#N/A,FALSE,"Sheet1";"fse",#N/A,FALSE,"Sheet1"}</definedName>
    <definedName name="gods_1" hidden="1">{"consolidated",#N/A,FALSE,"Sheet1";"cms",#N/A,FALSE,"Sheet1";"fse",#N/A,FALSE,"Sheet1"}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hidden="1">{#N/A,#N/A,FALSE,"PMTABB";#N/A,#N/A,FALSE,"PMTABB"}</definedName>
    <definedName name="gqarefg_1" hidden="1">{#N/A,#N/A,FALSE,"PMTABB";#N/A,#N/A,FALSE,"PMTABB"}</definedName>
    <definedName name="gqarefg_2" hidden="1">{#N/A,#N/A,FALSE,"PMTABB";#N/A,#N/A,FALSE,"PMTABB"}</definedName>
    <definedName name="gqarefg_3" hidden="1">{#N/A,#N/A,FALSE,"PMTABB";#N/A,#N/A,FALSE,"PMTABB"}</definedName>
    <definedName name="gqarefg_4" hidden="1">{#N/A,#N/A,FALSE,"PMTABB";#N/A,#N/A,FALSE,"PMTABB"}</definedName>
    <definedName name="gr" hidden="1">{#N/A,#N/A,FALSE,"SUMMARY";#N/A,#N/A,FALSE,"SUMMARY"}</definedName>
    <definedName name="gr_1" hidden="1">{#N/A,#N/A,FALSE,"SUMMARY";#N/A,#N/A,FALSE,"SUMMARY"}</definedName>
    <definedName name="gr_2" hidden="1">{#N/A,#N/A,FALSE,"SUMMARY";#N/A,#N/A,FALSE,"SUMMARY"}</definedName>
    <definedName name="gr_3" hidden="1">{#N/A,#N/A,FALSE,"SUMMARY";#N/A,#N/A,FALSE,"SUMMARY"}</definedName>
    <definedName name="gr_4" hidden="1">{#N/A,#N/A,FALSE,"SUMMARY";#N/A,#N/A,FALSE,"SUMMARY"}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bincome2" hidden="1">#N/A</definedName>
    <definedName name="Graph_Xdriver" hidden="1">#N/A</definedName>
    <definedName name="GraphPage" hidden="1">#REF!</definedName>
    <definedName name="grggd" hidden="1">#REF!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up">#REF!</definedName>
    <definedName name="Group_No.">#REF!</definedName>
    <definedName name="groupings" hidden="1">{"'Sch B'!$B$15:$L$17"}</definedName>
    <definedName name="Grp16_2" hidden="1">{#N/A,#N/A,FALSE,"PMTABB";#N/A,#N/A,FALSE,"PMTABB"}</definedName>
    <definedName name="Grp16_3" hidden="1">{#N/A,#N/A,FALSE,"PMTABB";#N/A,#N/A,FALSE,"PMTABB"}</definedName>
    <definedName name="Grp16_4" hidden="1">{#N/A,#N/A,FALSE,"PMTABB";#N/A,#N/A,FALSE,"PMTABB"}</definedName>
    <definedName name="Grp16_5" hidden="1">{#N/A,#N/A,FALSE,"PMTABB";#N/A,#N/A,FALSE,"PMTABB"}</definedName>
    <definedName name="Grp16_6" hidden="1">{#N/A,#N/A,FALSE,"PMTABB";#N/A,#N/A,FALSE,"PMTABB"}</definedName>
    <definedName name="Grp16_7" hidden="1">{#N/A,#N/A,FALSE,"PMTABB";#N/A,#N/A,FALSE,"PMTABB"}</definedName>
    <definedName name="grt" hidden="1">{"FTSE44","COMPANIES",TRUE}</definedName>
    <definedName name="g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AFA" hidden="1">#REF!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y" hidden="1">{"QTD_PACKAGE",#N/A,FALSE,"QTD"}</definedName>
    <definedName name="GUILLAU" hidden="1">{#N/A,#N/A,FALSE,"Tabl. D1";#N/A,#N/A,FALSE,"Tabl. D1 b";#N/A,#N/A,FALSE,"Tabl. D2";#N/A,#N/A,FALSE,"Tabl. D2 b";#N/A,#N/A,FALSE,"Tabl. D3";#N/A,#N/A,FALSE,"Tabl. D4";#N/A,#N/A,FALSE,"Tabl. D5"}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wergwr" hidden="1">{#N/A,#N/A,FALSE,"ISBL"}</definedName>
    <definedName name="gwergwr_1" hidden="1">{#N/A,#N/A,FALSE,"ISBL"}</definedName>
    <definedName name="gwergwr_2" hidden="1">{#N/A,#N/A,FALSE,"ISBL"}</definedName>
    <definedName name="gwergwr_3" hidden="1">{#N/A,#N/A,FALSE,"ISBL"}</definedName>
    <definedName name="gwergwr_4" hidden="1">{#N/A,#N/A,FALSE,"ISBL"}</definedName>
    <definedName name="H">#REF!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a" hidden="1">{"Reader",#N/A,FALSE,"Summary";"Reader",#N/A,FALSE,"Buildup";"Reader",#N/A,FALSE,"Financials";"Reader",#N/A,FALSE,"Debt &amp; Other"}</definedName>
    <definedName name="hap" hidden="1">{#N/A,#N/A,FALSE,"COVER1.XLS ";#N/A,#N/A,FALSE,"RACT1.XLS";#N/A,#N/A,FALSE,"RACT2.XLS";#N/A,#N/A,FALSE,"ECCMP";#N/A,#N/A,FALSE,"WELDER.XLS"}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DC" hidden="1">{#N/A,#N/A,FALSE,"Staffnos &amp; cost"}</definedName>
    <definedName name="hdf" hidden="1">{#N/A,#N/A,FALSE,"Staffnos &amp; cost"}</definedName>
    <definedName name="hdfc" hidden="1">{#N/A,#N/A,FALSE,"Staffnos &amp; cost"}</definedName>
    <definedName name="Header1" hidden="1">IF(COUNTA(#REF!)=0,0,INDEX(#REF!,MATCH(ROW(#REF!),#REF!,TRUE)))+1</definedName>
    <definedName name="Header2" hidden="1">#N/A</definedName>
    <definedName name="Header3" hidden="1">#REF!-1 &amp; "." &amp; MAX(1,COUNTA(INDEX(#REF!,MATCH(#REF!-1,#REF!,FALSE)):#REF!))</definedName>
    <definedName name="Headroom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Heads">#REF!</definedName>
    <definedName name="HEKIE?." hidden="1">{#N/A,#N/A,FALSE,"Tabl. FB300";#N/A,#N/A,FALSE,"Tabl. FB350";#N/A,#N/A,FALSE,"Tabl. FB400";#N/A,#N/A,FALSE,"Tabl. FB500";#N/A,#N/A,FALSE,"Tabl. FS090"}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hidden="1">{"'August 2000'!$A$1:$J$101"}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" hidden="1">{"detail",#N/A,FALSE,"mfg";"summary",#N/A,FALSE,"mfg"}</definedName>
    <definedName name="HFGJM" hidden="1">{#N/A,#N/A,FALSE,"PGW"}</definedName>
    <definedName name="HFGJM_1" hidden="1">{#N/A,#N/A,FALSE,"PGW"}</definedName>
    <definedName name="HFGJM_2" hidden="1">{#N/A,#N/A,FALSE,"PGW"}</definedName>
    <definedName name="HFGJM_3" hidden="1">{#N/A,#N/A,FALSE,"PGW"}</definedName>
    <definedName name="HFGJM_4" hidden="1">{#N/A,#N/A,FALSE,"PGW"}</definedName>
    <definedName name="HFinGraph" hidden="1">{#N/A,#N/A,FALSE,"Pharm";#N/A,#N/A,FALSE,"WWCM"}</definedName>
    <definedName name="hfjkerhk" hidden="1">3</definedName>
    <definedName name="HFUJYT" hidden="1">{#N/A,#N/A,FALSE,"PMTABB";#N/A,#N/A,FALSE,"PMTABB"}</definedName>
    <definedName name="HFUJYT_1" hidden="1">{#N/A,#N/A,FALSE,"PMTABB";#N/A,#N/A,FALSE,"PMTABB"}</definedName>
    <definedName name="HFUJYT_2" hidden="1">{#N/A,#N/A,FALSE,"PMTABB";#N/A,#N/A,FALSE,"PMTABB"}</definedName>
    <definedName name="HFUJYT_3" hidden="1">{#N/A,#N/A,FALSE,"PMTABB";#N/A,#N/A,FALSE,"PMTABB"}</definedName>
    <definedName name="HFUJYT_4" hidden="1">{#N/A,#N/A,FALSE,"PMTABB";#N/A,#N/A,FALSE,"PMTABB"}</definedName>
    <definedName name="hg" hidden="1">{"detail",#N/A,FALSE,"mfg";"summary",#N/A,FALSE,"mfg"}</definedName>
    <definedName name="hgfd" hidden="1">#REF!</definedName>
    <definedName name="hgfdxr" hidden="1">#REF!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kh" hidden="1">{#N/A,#N/A,FALSE,"Aging Summary";#N/A,#N/A,FALSE,"Ratio Analysis";#N/A,#N/A,FALSE,"Test 120 Day Accts";#N/A,#N/A,FALSE,"Tickmarks"}</definedName>
    <definedName name="HGMYGJ" hidden="1">{#N/A,#N/A,FALSE,"OSBL"}</definedName>
    <definedName name="HGMYGJ_1" hidden="1">{#N/A,#N/A,FALSE,"OSBL"}</definedName>
    <definedName name="HGMYGJ_2" hidden="1">{#N/A,#N/A,FALSE,"OSBL"}</definedName>
    <definedName name="HGMYGJ_3" hidden="1">{#N/A,#N/A,FALSE,"OSBL"}</definedName>
    <definedName name="HGMYGJ_4" hidden="1">{#N/A,#N/A,FALSE,"OSBL"}</definedName>
    <definedName name="hgwr" hidden="1">{#N/A,#N/A,FALSE,"PGW"}</definedName>
    <definedName name="hgwr_1" hidden="1">{#N/A,#N/A,FALSE,"PGW"}</definedName>
    <definedName name="hgwr_2" hidden="1">{#N/A,#N/A,FALSE,"PGW"}</definedName>
    <definedName name="hgwr_3" hidden="1">{#N/A,#N/A,FALSE,"PGW"}</definedName>
    <definedName name="hgwr_4" hidden="1">{#N/A,#N/A,FALSE,"PGW"}</definedName>
    <definedName name="HH">#REF!</definedName>
    <definedName name="hh.k" hidden="1">{#N/A,#N/A,FALSE,"KA CH  (2)"}</definedName>
    <definedName name="hh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HHHH">#REF!</definedName>
    <definedName name="hhhhhhhhhhhhhhhh" hidden="1">{#N/A,#N/A,FALSE,"Status of Projects";#N/A,#N/A,FALSE,"CEA-TEC";#N/A,#N/A,FALSE,"U-Constr.";#N/A,#N/A,FALSE,"summary";#N/A,#N/A,FALSE,"PPP-3 yrs"}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bh" hidden="1">{#N/A,#N/A,FALSE,"Pharm";#N/A,#N/A,FALSE,"WWCM"}</definedName>
    <definedName name="HiddenRows" hidden="1">#REF!</definedName>
    <definedName name="hig" hidden="1">{#N/A,#N/A,FALSE,"COMICRO";#N/A,#N/A,FALSE,"BALSCH";#N/A,#N/A,FALSE,"GLASS";#N/A,#N/A,FALSE,"DEPRE";#N/A,#N/A,FALSE,"A&amp;MCUR";#N/A,#N/A,FALSE,"AGEANAlysis";#N/A,#N/A,FALSE,"CHECKS";#N/A,#N/A,FALSE,"CHECKS"}</definedName>
    <definedName name="High" hidden="1">{#N/A,#N/A,FALSE,"Pharm";#N/A,#N/A,FALSE,"WWCM"}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dfhask" hidden="1">{#N/A,#N/A,TRUE,"index";#N/A,#N/A,TRUE,"Summary";#N/A,#N/A,TRUE,"Continuing Business";#N/A,#N/A,TRUE,"Disposals";#N/A,#N/A,TRUE,"Acquisitions";#N/A,#N/A,TRUE,"Actual &amp; Plan Reconciliation"}</definedName>
    <definedName name="hjghhgyg" hidden="1">{"Polymers Details",#N/A,FALSE,"Current Yr";"Polymer Details",#N/A,FALSE,"Budget";"Polymer Details",#N/A,FALSE,"Prior Year"}</definedName>
    <definedName name="hjghjgj" hidden="1">{#N/A,#N/A,FALSE,"מאזן בוחן";"כל_מאזן_בוחן",#N/A,FALSE,"מאזן בוחן"}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gjhghgj">#REF!</definedName>
    <definedName name="hjhjffukfuk" hidden="1">{#N/A,#N/A,FALSE,"Pharm";#N/A,#N/A,FALSE,"WWCM"}</definedName>
    <definedName name="hjhjfkfukywrte" hidden="1">{#N/A,#N/A,FALSE,"Pharm";#N/A,#N/A,FALSE,"WWCM"}</definedName>
    <definedName name="hjhka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fh_control" hidden="1">{"'August 2000'!$A$1:$J$101"}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KA" hidden="1">#REF!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lp" hidden="1">#REF!</definedName>
    <definedName name="HMG" hidden="1">{#N/A,#N/A,FALSE,"REPORT"}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" hidden="1">{#N/A,#N/A,FALSE,"PRJCTED MNTHLY QTY's"}</definedName>
    <definedName name="hong" hidden="1">{#N/A,#N/A,TRUE,"流动资产--预付";"宁夏正大会计师事务所 - 个人视面",#N/A,TRUE,"Sheet1"}</definedName>
    <definedName name="HOPIP" hidden="1">{#N/A,#N/A,FALSE,"PMTABB";#N/A,#N/A,FALSE,"PMTABB"}</definedName>
    <definedName name="HOPIP_1" hidden="1">{#N/A,#N/A,FALSE,"PMTABB";#N/A,#N/A,FALSE,"PMTABB"}</definedName>
    <definedName name="HOPIP_2" hidden="1">{#N/A,#N/A,FALSE,"PMTABB";#N/A,#N/A,FALSE,"PMTABB"}</definedName>
    <definedName name="HOPIP_3" hidden="1">{#N/A,#N/A,FALSE,"PMTABB";#N/A,#N/A,FALSE,"PMTABB"}</definedName>
    <definedName name="HOPIP_4" hidden="1">{#N/A,#N/A,FALSE,"PMTABB";#N/A,#N/A,FALSE,"PMTABB"}</definedName>
    <definedName name="hre" hidden="1">{#N/A,#N/A,FALSE,"TOWNSHIP"}</definedName>
    <definedName name="hre_1" hidden="1">{#N/A,#N/A,FALSE,"TOWNSHIP"}</definedName>
    <definedName name="hre_2" hidden="1">{#N/A,#N/A,FALSE,"TOWNSHIP"}</definedName>
    <definedName name="hre_3" hidden="1">{#N/A,#N/A,FALSE,"TOWNSHIP"}</definedName>
    <definedName name="hre_4" hidden="1">{#N/A,#N/A,FALSE,"TOWNSHIP"}</definedName>
    <definedName name="hshhr" hidden="1">{#N/A,#N/A,TRUE,"Staffnos &amp; cost"}</definedName>
    <definedName name="htd" hidden="1">#REF!</definedName>
    <definedName name="HTML_CodePage" hidden="1">1252</definedName>
    <definedName name="HTML_Control" hidden="1">{"'Sch B'!$B$15:$L$17"}</definedName>
    <definedName name="HTML_control1" hidden="1">{"'August 2000'!$A$1:$J$101"}</definedName>
    <definedName name="HTML_Description" hidden="1">""</definedName>
    <definedName name="HTML_Email" hidden="1">""</definedName>
    <definedName name="HTML_Header" hidden="1">"Sch B"</definedName>
    <definedName name="HTML_LastUpdate" hidden="1">"8/2/00"</definedName>
    <definedName name="HTML_LineAfter" hidden="1">FALSE</definedName>
    <definedName name="HTML_LineBefore" hidden="1">FALSE</definedName>
    <definedName name="HTML_Name" hidden="1">"praveen"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"C:\Varma &amp; Varma\Statutory Audit 31.03.2000\MyHTML.htm"</definedName>
    <definedName name="HTML_PathFileMac" hidden="1">"Macintosh HD:HomePageStuff:New_Home_Page:datafile:ctryprem.html"</definedName>
    <definedName name="HTML_PathTemplate" hidden="1">"C:\infac\pricewth\Aug99\Page06e.htm"</definedName>
    <definedName name="HTML_Title" hidden="1">"Statutory Audit for the Year ended 31"</definedName>
    <definedName name="HTML1_1" hidden="1">"'[mitforum.xls]Sales Plan'!$A$1"</definedName>
    <definedName name="HTML1_10" hidden="1">""</definedName>
    <definedName name="HTML1_11" hidden="1">1</definedName>
    <definedName name="HTML1_12" hidden="1">"MyHTML.htm"</definedName>
    <definedName name="HTML1_2" hidden="1">1</definedName>
    <definedName name="HTML1_3" hidden="1">"$50K Entrepreneurship Competition Sales Plan"</definedName>
    <definedName name="HTML1_4" hidden="1">"Sales Plan"</definedName>
    <definedName name="HTML1_5" hidden="1">"Sales Plan model authored by Charlie Tillett of Frontier Software"</definedName>
    <definedName name="HTML1_6" hidden="1">-4146</definedName>
    <definedName name="HTML1_7" hidden="1">-4146</definedName>
    <definedName name="HTML1_8" hidden="1">"4/4/97"</definedName>
    <definedName name="HTML1_9" hidden="1">"$50K Entrepreneurship Competition"</definedName>
    <definedName name="HTML1_Control" hidden="1">{"'PS-SOTM'!$A$1","'PS-SOTM'!$A$2:$M$30","'PS-SOTM'!$A$31:$A$38"}</definedName>
    <definedName name="HTML2_1" hidden="1">"'[mitforum.xls]Sales Plan'!$A$1:$P$32"</definedName>
    <definedName name="HTML2_10" hidden="1">""</definedName>
    <definedName name="HTML2_11" hidden="1">1</definedName>
    <definedName name="HTML2_12" hidden="1">"C:\My Documents\salesplan.html"</definedName>
    <definedName name="HTML2_2" hidden="1">1</definedName>
    <definedName name="HTML2_3" hidden="1">"Sales Plan"</definedName>
    <definedName name="HTML2_4" hidden="1">"Sales Plan"</definedName>
    <definedName name="HTML2_5" hidden="1">"Sales Plan model by Charlie Tillett of Frontier Software
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"[mitforum.xls]Headcount!$A$1:$P$54"</definedName>
    <definedName name="HTML3_10" hidden="1">""</definedName>
    <definedName name="HTML3_11" hidden="1">1</definedName>
    <definedName name="HTML3_12" hidden="1">"C:\My Documents\HiringPlan.html"</definedName>
    <definedName name="HTML3_2" hidden="1">1</definedName>
    <definedName name="HTML3_3" hidden="1">"Hiring Plan"</definedName>
    <definedName name="HTML3_4" hidden="1">"Hiring Plan"</definedName>
    <definedName name="HTML3_5" hidden="1">"Sales Plan model by Charlie Tillett of Frontier Software
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"'[mitforum.xls]Other Expenses'!$A$1:$P$23"</definedName>
    <definedName name="HTML4_10" hidden="1">""</definedName>
    <definedName name="HTML4_11" hidden="1">1</definedName>
    <definedName name="HTML4_12" hidden="1">"C:\My Documents\NonSalary.html"</definedName>
    <definedName name="HTML4_2" hidden="1">1</definedName>
    <definedName name="HTML4_3" hidden="1">"Non-Salary Expenses"</definedName>
    <definedName name="HTML4_4" hidden="1">"Non-Salary Expenses"</definedName>
    <definedName name="HTML4_5" hidden="1">"Financial model by Charlie Tillett of Frontier Software (charlie@frontier.com)
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"'[mitforum.xls]Income Statement'!$A$1:$Q$19"</definedName>
    <definedName name="HTML5_10" hidden="1">""</definedName>
    <definedName name="HTML5_11" hidden="1">1</definedName>
    <definedName name="HTML5_12" hidden="1">"C:\My Documents\IncomeStat.html"</definedName>
    <definedName name="HTML5_2" hidden="1">1</definedName>
    <definedName name="HTML5_3" hidden="1">"Income Statement"</definedName>
    <definedName name="HTML5_4" hidden="1">"Income Statement"</definedName>
    <definedName name="HTML5_5" hidden="1">"Financial model by Charlie Tillett of Frontier Software (charlie@frontier.com)"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"'[mitforum.xls]Balance Sheet &amp; Cash Flow'!$A$1:$O$22"</definedName>
    <definedName name="HTML6_10" hidden="1">""</definedName>
    <definedName name="HTML6_11" hidden="1">1</definedName>
    <definedName name="HTML6_12" hidden="1">"C:\My Documents\CashFlow.htm"</definedName>
    <definedName name="HTML6_2" hidden="1">1</definedName>
    <definedName name="HTML6_3" hidden="1">"Balance Sheet &amp; Cash Flow"</definedName>
    <definedName name="HTML6_4" hidden="1">"Balance Sheet &amp; Cash Flow"</definedName>
    <definedName name="HTML6_5" hidden="1">"Financial model by Charlie Tillett of Frontier Software (charlie@frontier.com)"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"'[mitforum.xls]Double Entry Primer'!$A$1:$X$17"</definedName>
    <definedName name="HTML7_10" hidden="1">""</definedName>
    <definedName name="HTML7_11" hidden="1">1</definedName>
    <definedName name="HTML7_12" hidden="1">"C:\My Documents\DoubleEntry.htm"</definedName>
    <definedName name="HTML7_2" hidden="1">1</definedName>
    <definedName name="HTML7_3" hidden="1">"Double Entry Primer"</definedName>
    <definedName name="HTML7_4" hidden="1">"Double Entry Primer"</definedName>
    <definedName name="HTML7_5" hidden="1">"Financial model by Charlie Tillett of Frontier Software (charlie@frontier.com)"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ntrol" hidden="1">{"'Edit'!$A$1:$V$2277"}</definedName>
    <definedName name="HTMLCount" hidden="1">7</definedName>
    <definedName name="htyuityuiotio" hidden="1">{#N/A,#N/A,FALSE,"REPORT"}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y" hidden="1">{"'Sheet1'!$L$16"}</definedName>
    <definedName name="hw" hidden="1">{#N/A,#N/A,FALSE,"SUMMARY";#N/A,#N/A,FALSE,"SUMMARY"}</definedName>
    <definedName name="hw_1" hidden="1">{#N/A,#N/A,FALSE,"SUMMARY";#N/A,#N/A,FALSE,"SUMMARY"}</definedName>
    <definedName name="hw_2" hidden="1">{#N/A,#N/A,FALSE,"SUMMARY";#N/A,#N/A,FALSE,"SUMMARY"}</definedName>
    <definedName name="hw_3" hidden="1">{#N/A,#N/A,FALSE,"SUMMARY";#N/A,#N/A,FALSE,"SUMMARY"}</definedName>
    <definedName name="hw_4" hidden="1">{#N/A,#N/A,FALSE,"SUMMARY";#N/A,#N/A,FALSE,"SUMMARY"}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d" hidden="1">{#N/A,#N/A,FALSE,"COMP"}</definedName>
    <definedName name="Hypertention" hidden="1">{#N/A,#N/A,FALSE,"Pharm";#N/A,#N/A,FALSE,"WWCM"}</definedName>
    <definedName name="hypo" hidden="1">{#N/A,#N/A,FALSE,"Pharm";#N/A,#N/A,FALSE,"WWCM"}</definedName>
    <definedName name="i" hidden="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iajsdfj" hidden="1">#REF!</definedName>
    <definedName name="Iannexure" hidden="1">{#N/A,#N/A,FALSE,"Sheet7"}</definedName>
    <definedName name="ibnjks" hidden="1">{"detail",#N/A,FALSE,"mfg";"summary",#N/A,FALSE,"mfg"}</definedName>
    <definedName name="IC">#REF!</definedName>
    <definedName name="icb.xls" hidden="1">{"mgmt forecast",#N/A,FALSE,"Mgmt Forecast";"dcf table",#N/A,FALSE,"Mgmt Forecast";"sensitivity",#N/A,FALSE,"Mgmt Forecast";"table inputs",#N/A,FALSE,"Mgmt Forecast";"calculations",#N/A,FALSE,"Mgmt Forecast"}</definedName>
    <definedName name="ID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_1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_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bi" hidden="1">{#N/A,#N/A,TRUE,"Staffnos &amp; cost"}</definedName>
    <definedName name="IDCategorias">OFFSET(#REF!, 0, 0, COUNTA(#REF!) - 1)</definedName>
    <definedName name="IDFINAL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FINAL_1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FINAL_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iot" hidden="1">{"dep. full detail",#N/A,FALSE,"annex";"3cd annex",#N/A,FALSE,"annex";"co. dep.",#N/A,FALSE,"annex"}</definedName>
    <definedName name="idiot_1" hidden="1">{"dep. full detail",#N/A,FALSE,"annex";"3cd annex",#N/A,FALSE,"annex";"co. dep.",#N/A,FALSE,"annex"}</definedName>
    <definedName name="idiot_2" hidden="1">{"dep. full detail",#N/A,FALSE,"annex";"3cd annex",#N/A,FALSE,"annex";"co. dep.",#N/A,FALSE,"annex"}</definedName>
    <definedName name="idiot_3" hidden="1">{"dep. full detail",#N/A,FALSE,"annex";"3cd annex",#N/A,FALSE,"annex";"co. dep.",#N/A,FALSE,"annex"}</definedName>
    <definedName name="IDReference" hidden="1">"A1"</definedName>
    <definedName name="IDT" hidden="1">{#N/A,#N/A,FALSE,"Umsatz 99";#N/A,#N/A,FALSE,"ER 99 "}</definedName>
    <definedName name="ihb" hidden="1">{#N/A,#N/A,FALSE,"Tabl. D1";#N/A,#N/A,FALSE,"Tabl. D1 b";#N/A,#N/A,FALSE,"Tabl. D2";#N/A,#N/A,FALSE,"Tabl. D2 b";#N/A,#N/A,FALSE,"Tabl. D3";#N/A,#N/A,FALSE,"Tabl. D4";#N/A,#N/A,FALSE,"Tabl. D5"}</definedName>
    <definedName name="ihu.xls" hidden="1">{"mgmt forecast",#N/A,FALSE,"Mgmt Forecast";"dcf table",#N/A,FALSE,"Mgmt Forecast";"sensitivity",#N/A,FALSE,"Mgmt Forecast";"table inputs",#N/A,FALSE,"Mgmt Forecast";"calculations",#N/A,FALSE,"Mgmt Forecast"}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_control" hidden="1">{"'August 2000'!$A$1:$J$101"}</definedName>
    <definedName name="iii" hidden="1">#REF!</definedName>
    <definedName name="III_control" hidden="1">{"'August 2000'!$A$1:$J$101"}</definedName>
    <definedName name="iiiii" hidden="1">{#N/A,#N/A,FALSE,"Calc";#N/A,#N/A,FALSE,"Sensitivity";#N/A,#N/A,FALSE,"LT Earn.Dil.";#N/A,#N/A,FALSE,"Dil. AVP"}</definedName>
    <definedName name="iiiii_1" hidden="1">{#N/A,#N/A,FALSE,"Calc";#N/A,#N/A,FALSE,"Sensitivity";#N/A,#N/A,FALSE,"LT Earn.Dil.";#N/A,#N/A,FALSE,"Dil. AVP"}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m_control" hidden="1">{"'August 2000'!$A$1:$J$101"}</definedName>
    <definedName name="In" hidden="1">{#N/A,#N/A,FALSE,"gc (2)"}</definedName>
    <definedName name="In_1" hidden="1">{#N/A,#N/A,FALSE,"gc (2)"}</definedName>
    <definedName name="In_2" hidden="1">{#N/A,#N/A,FALSE,"gc (2)"}</definedName>
    <definedName name="In_3" hidden="1">{#N/A,#N/A,FALSE,"gc (2)"}</definedName>
    <definedName name="inc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ncurr" hidden="1">{#N/A,#N/A,FALSE,"gc (2)"}</definedName>
    <definedName name="Incurr_1" hidden="1">{#N/A,#N/A,FALSE,"gc (2)"}</definedName>
    <definedName name="Incurr_2" hidden="1">{#N/A,#N/A,FALSE,"gc (2)"}</definedName>
    <definedName name="Incurr_3" hidden="1">{#N/A,#N/A,FALSE,"gc (2)"}</definedName>
    <definedName name="iNDEX">#REF!</definedName>
    <definedName name="IndexA15">#REF!</definedName>
    <definedName name="indexb5">#REF!</definedName>
    <definedName name="indexq">#REF!</definedName>
    <definedName name="indexs">#REF!</definedName>
    <definedName name="India_Combination">#REF!</definedName>
    <definedName name="India_Entity_Name">#REF!</definedName>
    <definedName name="India_Inter_co.">#REF!</definedName>
    <definedName name="INDLÆS">#REF!</definedName>
    <definedName name="INFO_BI_EXE_NAME" hidden="1">"BICORE.EXE"</definedName>
    <definedName name="INFO_EXE_SERVER_PATH" hidden="1">"C:\Program Files\Sage Software\SMI\BICORE.EXE"</definedName>
    <definedName name="INFO_INSTANCE_ID" hidden="1">"0"</definedName>
    <definedName name="INFO_INSTANCE_NAME" hidden="1">"Purchases Sales Credits_20141124_17_19_51_1919.xls"</definedName>
    <definedName name="INFO_REPORT_CODE" hidden="1">""</definedName>
    <definedName name="INFO_REPORT_ID" hidden="1">"3"</definedName>
    <definedName name="INFO_REPORT_NAME" hidden="1">"Purchases Sales Credits"</definedName>
    <definedName name="INFO_RUN_USER" hidden="1">""</definedName>
    <definedName name="INFO_RUN_WORKSTATION" hidden="1">"HARSHAD-XP"</definedName>
    <definedName name="ingjks" hidden="1">{"detail",#N/A,FALSE,"mfg";"summary",#N/A,FALSE,"mfg"}</definedName>
    <definedName name="iniske" hidden="1">{"detail",#N/A,FALSE,"mfg";"summary",#N/A,FALSE,"mfg"}</definedName>
    <definedName name="inksl" hidden="1">{"detail",#N/A,FALSE,"mfg";"summary",#N/A,FALSE,"mfg"}</definedName>
    <definedName name="Input">#REF!</definedName>
    <definedName name="Input_Sheet_List_range">#REF!</definedName>
    <definedName name="Inputs">#REF!</definedName>
    <definedName name="InputVAT">#REF!</definedName>
    <definedName name="INS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Cap" hidden="1">#REF!,#REF!,#REF!,#REF!,#REF!,#REF!,#REF!,#REF!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ructions1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ter_Co._Name">#REF!</definedName>
    <definedName name="inventories" hidden="1">{#N/A,#N/A,FALSE,"INPUTS";#N/A,#N/A,FALSE,"PROFORMA BSHEET";#N/A,#N/A,FALSE,"COMBINED";#N/A,#N/A,FALSE,"ACQUIROR";#N/A,#N/A,FALSE,"TARGET 1";#N/A,#N/A,FALSE,"TARGET 2";#N/A,#N/A,FALSE,"HIGH YIELD";#N/A,#N/A,FALSE,"OVERFUND"}</definedName>
    <definedName name="Inventory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k.xls" hidden="1">{"mgmt forecast",#N/A,FALSE,"Mgmt Forecast";"dcf table",#N/A,FALSE,"Mgmt Forecast";"sensitivity",#N/A,FALSE,"Mgmt Forecast";"table inputs",#N/A,FALSE,"Mgmt Forecast";"calculations",#N/A,FALSE,"Mgmt Forecast"}</definedName>
    <definedName name="iop" hidden="1">{#N/A,"PURCHM",FALSE,"Business Analysis";#N/A,"SPADD",FALSE,"Business Analysis"}</definedName>
    <definedName name="IP" hidden="1">{#N/A,#N/A,FALSE,"Pharm";#N/A,#N/A,FALSE,"WWCM"}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ING_STANDARD" hidden="1">"c4539"</definedName>
    <definedName name="IQ_ACCOUNTING_STANDARD_CIQ" hidden="1">"c5092"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ALYST_DET_EST_REUT" hidden="1">"c12135"</definedName>
    <definedName name="IQ_ANALYST_NON_PER_DET_EST_REUT" hidden="1">"c12758"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REUT" hidden="1">"c5477"</definedName>
    <definedName name="IQ_BV_SHARE_DET_EST_CURRENCY_REUT" hidden="1">"c12524"</definedName>
    <definedName name="IQ_BV_SHARE_DET_EST_DATE_REUT" hidden="1">"c12281"</definedName>
    <definedName name="IQ_BV_SHARE_DET_EST_INCL_REUT" hidden="1">"c12407"</definedName>
    <definedName name="IQ_BV_SHARE_DET_EST_ORIGIN_REUT" hidden="1">"c12649"</definedName>
    <definedName name="IQ_BV_SHARE_DET_EST_REUT" hidden="1">"c12139"</definedName>
    <definedName name="IQ_BV_SHARE_EST" hidden="1">"c3541"</definedName>
    <definedName name="IQ_BV_SHARE_EST_CIQ" hidden="1">"c3800"</definedName>
    <definedName name="IQ_BV_SHARE_EST_REUT" hidden="1">"c5439"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REUT" hidden="1">"c5474"</definedName>
    <definedName name="IQ_CAPEX_BNK" hidden="1">"c110"</definedName>
    <definedName name="IQ_CAPEX_BR" hidden="1">"c111"</definedName>
    <definedName name="IQ_CAPEX_DET_EST_CURRENCY_REUT" hidden="1">"c12525"</definedName>
    <definedName name="IQ_CAPEX_DET_EST_DATE_REUT" hidden="1">"c12282"</definedName>
    <definedName name="IQ_CAPEX_DET_EST_INCL_REUT" hidden="1">"c12408"</definedName>
    <definedName name="IQ_CAPEX_DET_EST_ORIGIN_REUT" hidden="1">"c12768"</definedName>
    <definedName name="IQ_CAPEX_DET_EST_REUT" hidden="1">"c12140"</definedName>
    <definedName name="IQ_CAPEX_EST" hidden="1">"c3523"</definedName>
    <definedName name="IQ_CAPEX_EST_CIQ" hidden="1">"c3807"</definedName>
    <definedName name="IQ_CAPEX_EST_REUT" hidden="1">"c3969"</definedName>
    <definedName name="IQ_CAPEX_FIN" hidden="1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GUIDANCE" hidden="1">"c4180"</definedName>
    <definedName name="IQ_CAPEX_HIGH_GUIDANCE_CIQ" hidden="1">"c4592"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NUM_EST" hidden="1">"c3521"</definedName>
    <definedName name="IQ_CAPEX_NUM_EST_CIQ" hidden="1">"c3811"</definedName>
    <definedName name="IQ_CAPEX_NUM_EST_REUT" hidden="1">"c3973"</definedName>
    <definedName name="IQ_CAPEX_PCT_REV" hidden="1">"c19144"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ACQUIRE_CF_1" hidden="1">"c116"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REUT" hidden="1">"c5463"</definedName>
    <definedName name="IQ_CFPS_DET_EST_CURRENCY_REUT" hidden="1">"c12526"</definedName>
    <definedName name="IQ_CFPS_DET_EST_DATE_REUT" hidden="1">"c12283"</definedName>
    <definedName name="IQ_CFPS_DET_EST_INCL_REUT" hidden="1">"c12409"</definedName>
    <definedName name="IQ_CFPS_DET_EST_ORIGIN_REUT" hidden="1">"c12651"</definedName>
    <definedName name="IQ_CFPS_DET_EST_REUT" hidden="1">"c12141"</definedName>
    <definedName name="IQ_CFPS_DET_EST_REUT_CURRENCY_CURRENCY_REUT" hidden="1">"c12526"</definedName>
    <definedName name="IQ_CFPS_EST" hidden="1">"c1667"</definedName>
    <definedName name="IQ_CFPS_EST_CIQ" hidden="1">"c3675"</definedName>
    <definedName name="IQ_CFPS_EST_REUT" hidden="1">"c3844"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EST_REUT" hidden="1">"c3847"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NUM_EST" hidden="1">"c1671"</definedName>
    <definedName name="IQ_CFPS_NUM_EST_CIQ" hidden="1">"c3679"</definedName>
    <definedName name="IQ_CFPS_NUM_EST_REUT" hidden="1">"c3848"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NI_FOREIGN_FFIEC" hidden="1">"c15396"</definedName>
    <definedName name="IQ_CONSTITUENTS" hidden="1">"c19169"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DET_EST_REUT" hidden="1">"c12137"</definedName>
    <definedName name="IQ_CONTRIB_ID_NON_PER_DET_EST_REUT" hidden="1">"c13827"</definedName>
    <definedName name="IQ_CONTRIB_NAME_DET_EST_REUT" hidden="1">"c12138"</definedName>
    <definedName name="IQ_CONTRIB_NAME_NON_PER_DET_EST_REUT" hidden="1">"c12763"</definedName>
    <definedName name="IQ_CONTRIB_REC_DET_EST_DATE_REUT" hidden="1">"c12285"</definedName>
    <definedName name="IQ_CONTRIB_REC_DET_EST_ORIGIN_REUT" hidden="1">"c12653"</definedName>
    <definedName name="IQ_CONTRIB_REC_DET_EST_REUT" hidden="1">"c12143"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FERRED_TAXES_TOTAL" hidden="1">"c19142"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G_SUB_VIDEO_SUB" hidden="1">"c15788"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REUT" hidden="1">"c5464"</definedName>
    <definedName name="IQ_DPS_DET_EST_CURRENCY_REUT" hidden="1">"c12527"</definedName>
    <definedName name="IQ_DPS_DET_EST_DATE_REUT" hidden="1">"c12286"</definedName>
    <definedName name="IQ_DPS_DET_EST_INCL_REUT" hidden="1">"c12410"</definedName>
    <definedName name="IQ_DPS_DET_EST_ORIGIN_REUT" hidden="1">"c12654"</definedName>
    <definedName name="IQ_DPS_DET_EST_REUT" hidden="1">"c12144"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REUT" hidden="1">"c3851"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EST_REUT" hidden="1">"c3853"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EST_REUT" hidden="1">"c3854"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NUM_EST" hidden="1">"c1678"</definedName>
    <definedName name="IQ_DPS_NUM_EST_CIQ" hidden="1">"c3686"</definedName>
    <definedName name="IQ_DPS_NUM_EST_REUT" hidden="1">"c3855"</definedName>
    <definedName name="IQ_DPS_STDDEV_EST" hidden="1">"c1679"</definedName>
    <definedName name="IQ_DPS_STDDEV_EST_CIQ" hidden="1">"c3687"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REUT" hidden="1">"c5465"</definedName>
    <definedName name="IQ_EBIT_DET_EST_CURRENCY_REUT" hidden="1">"c12528"</definedName>
    <definedName name="IQ_EBIT_DET_EST_DATE_REUT" hidden="1">"c12287"</definedName>
    <definedName name="IQ_EBIT_DET_EST_INCL_REUT" hidden="1">"c12411"</definedName>
    <definedName name="IQ_EBIT_DET_EST_ORIGIN_REUT" hidden="1">"c12655"</definedName>
    <definedName name="IQ_EBIT_DET_EST_REUT" hidden="1">"c12145"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GUIDANCE" hidden="1">"c4172"</definedName>
    <definedName name="IQ_EBIT_HIGH_GUIDANCE_CIQ" hidden="1">"c4584"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GUIDANCE" hidden="1">"c4212"</definedName>
    <definedName name="IQ_EBIT_LOW_GUIDANCE_CIQ" hidden="1">"c4624"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NUM_EST" hidden="1">"c1685"</definedName>
    <definedName name="IQ_EBIT_NUM_EST_CIQ" hidden="1">"c4678"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_CURRENCY_REUT" hidden="1">"c12529"</definedName>
    <definedName name="IQ_EBITDA_DET_EST_DATE_REUT" hidden="1">"c12288"</definedName>
    <definedName name="IQ_EBITDA_DET_EST_INCL_REUT" hidden="1">"c12412"</definedName>
    <definedName name="IQ_EBITDA_DET_EST_ORIGIN_REUT" hidden="1">"c12656"</definedName>
    <definedName name="IQ_EBITDA_DET_EST_REUT" hidden="1">"c12146"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GUIDANCE_CIQ" hidden="1">"c4859"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HIGH_GUIDANCE_CIQ" hidden="1">"c4582"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LOW_GUIDANCE_CIQ" hidden="1">"c4622"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ITLEMENT_DET_EST_REUT" hidden="1">"c12136"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DET_EST_CURRENCY_REUT" hidden="1">"c13584"</definedName>
    <definedName name="IQ_EPS_DET_EST_DATE_REUT" hidden="1">"c13576"</definedName>
    <definedName name="IQ_EPS_DET_EST_INCL_REUT" hidden="1">"c13588"</definedName>
    <definedName name="IQ_EPS_DET_EST_ORIGIN_REUT" hidden="1">"c13580"</definedName>
    <definedName name="IQ_EPS_DET_EST_REUT" hidden="1">"c13572"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_CURRENCY_REUT" hidden="1">"c12533"</definedName>
    <definedName name="IQ_EPS_GW_DET_EST_DATE_REUT" hidden="1">"c12292"</definedName>
    <definedName name="IQ_EPS_GW_DET_EST_INCL_REUT" hidden="1">"c12416"</definedName>
    <definedName name="IQ_EPS_GW_DET_EST_ORIGIN_REUT" hidden="1">"c12660"</definedName>
    <definedName name="IQ_EPS_GW_DET_EST_REUT" hidden="1">"c12150"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DET_EST_CURRENCY_REUT" hidden="1">"c12535"</definedName>
    <definedName name="IQ_EPS_NORM_DET_EST_DATE_REUT" hidden="1">"c12294"</definedName>
    <definedName name="IQ_EPS_NORM_DET_EST_INCL_REUT" hidden="1">"c12418"</definedName>
    <definedName name="IQ_EPS_NORM_DET_EST_ORIGIN_REUT" hidden="1">"c12662"</definedName>
    <definedName name="IQ_EPS_NORM_DET_EST_REUT" hidden="1">"c12152"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DET_EST_CURRENCY_REUT" hidden="1">"c12534"</definedName>
    <definedName name="IQ_EPS_REPORTED_DET_EST_DATE_REUT" hidden="1">"c12293"</definedName>
    <definedName name="IQ_EPS_REPORTED_DET_EST_INCL_REUT" hidden="1">"c12417"</definedName>
    <definedName name="IQ_EPS_REPORTED_DET_EST_ORIGIN_REUT" hidden="1">"c12661"</definedName>
    <definedName name="IQ_EPS_REPORTED_DET_EST_REUT" hidden="1">"c12151"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REUT" hidden="1">"c3843"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AV_SHARE_REUT" hidden="1">"c5616"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DIFF_REUT" hidden="1">"c3894"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"c3721"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REUT" hidden="1">"c3874"</definedName>
    <definedName name="IQ_EST_FFO_GROWTH_2YR" hidden="1">"c1771"</definedName>
    <definedName name="IQ_EST_FFO_GROWTH_2YR_CIQ" hidden="1">"c3706"</definedName>
    <definedName name="IQ_EST_FFO_GROWTH_2YR_REUT" hidden="1">"c3875"</definedName>
    <definedName name="IQ_EST_FFO_GROWTH_Q_1YR" hidden="1">"c1772"</definedName>
    <definedName name="IQ_EST_FFO_GROWTH_Q_1YR_CIQ" hidden="1">"c3707"</definedName>
    <definedName name="IQ_EST_FFO_GROWTH_Q_1YR_REUT" hidden="1">"c3876"</definedName>
    <definedName name="IQ_EST_FFO_SEQ_GROWTH_Q" hidden="1">"c1773"</definedName>
    <definedName name="IQ_EST_FFO_SEQ_GROWTH_Q_CIQ" hidden="1">"c3708"</definedName>
    <definedName name="IQ_EST_FFO_SEQ_GROWTH_Q_REUT" hidden="1">"c3877"</definedName>
    <definedName name="IQ_EST_FFO_SHARE_DIFF" hidden="1">"c4444"</definedName>
    <definedName name="IQ_EST_FFO_SHARE_DIFF_CIQ" hidden="1">"c4969"</definedName>
    <definedName name="IQ_EST_FFO_SHARE_DIFF_REUT" hidden="1">"c3890"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"c4982"</definedName>
    <definedName name="IQ_EST_FFO_SHARE_SURPRISE_PERCENT_REUT" hidden="1">"c3891"</definedName>
    <definedName name="IQ_EST_FFO_SURPRISE_PERCENT" hidden="1">"c1870"</definedName>
    <definedName name="IQ_EST_FFO_SURPRISE_PERCENT_CIQ" hidden="1">"c3722"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I_DIFF" hidden="1">"c1885"</definedName>
    <definedName name="IQ_EST_NI_DIFF_CIQ" hidden="1">"c4755"</definedName>
    <definedName name="IQ_EST_NI_DIFF_REUT" hidden="1">"c5423"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EMAIL" hidden="1">"c19162"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"zwj561"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"c3668"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CIQ" hidden="1">"c4970"</definedName>
    <definedName name="IQ_FFO_SHARE_EST_DET_EST_CURRENCY_REUT" hidden="1">"c12536"</definedName>
    <definedName name="IQ_FFO_SHARE_EST_DET_EST_DATE_REUT" hidden="1">"c12295"</definedName>
    <definedName name="IQ_FFO_SHARE_EST_DET_EST_INCL_REUT" hidden="1">"c12419"</definedName>
    <definedName name="IQ_FFO_SHARE_EST_DET_EST_ORIGIN_REUT" hidden="1">"c12724"</definedName>
    <definedName name="IQ_FFO_SHARE_EST_DET_EST_REUT" hidden="1">"c12153"</definedName>
    <definedName name="IQ_FFO_SHARE_EST_REUT" hidden="1">"c3837"</definedName>
    <definedName name="IQ_FFO_SHARE_GUIDANCE" hidden="1">"c4447"</definedName>
    <definedName name="IQ_FFO_SHARE_GUIDANCE_CIQ" hidden="1">"c4976"</definedName>
    <definedName name="IQ_FFO_SHARE_HIGH_EST" hidden="1">"c4448"</definedName>
    <definedName name="IQ_FFO_SHARE_HIGH_EST_CIQ" hidden="1">"c4977"</definedName>
    <definedName name="IQ_FFO_SHARE_HIGH_EST_REUT" hidden="1">"c3839"</definedName>
    <definedName name="IQ_FFO_SHARE_HIGH_GUIDANCE" hidden="1">"c4203"</definedName>
    <definedName name="IQ_FFO_SHARE_HIGH_GUIDANCE_CIQ" hidden="1">"c4615"</definedName>
    <definedName name="IQ_FFO_SHARE_LOW_EST" hidden="1">"c4449"</definedName>
    <definedName name="IQ_FFO_SHARE_LOW_EST_CIQ" hidden="1">"c4978"</definedName>
    <definedName name="IQ_FFO_SHARE_LOW_EST_REUT" hidden="1">"c3840"</definedName>
    <definedName name="IQ_FFO_SHARE_LOW_GUIDANCE" hidden="1">"c4243"</definedName>
    <definedName name="IQ_FFO_SHARE_LOW_GUIDANCE_CIQ" hidden="1">"c4655"</definedName>
    <definedName name="IQ_FFO_SHARE_MEDIAN_EST" hidden="1">"c4450"</definedName>
    <definedName name="IQ_FFO_SHARE_MEDIAN_EST_CIQ" hidden="1">"c4979"</definedName>
    <definedName name="IQ_FFO_SHARE_MEDIAN_EST_REUT" hidden="1">"c3838"</definedName>
    <definedName name="IQ_FFO_SHARE_NUM_EST" hidden="1">"c4451"</definedName>
    <definedName name="IQ_FFO_SHARE_NUM_EST_CIQ" hidden="1">"c4980"</definedName>
    <definedName name="IQ_FFO_SHARE_NUM_EST_REUT" hidden="1">"c3841"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"c4981"</definedName>
    <definedName name="IQ_FFO_SHARE_STDDEV_EST_REUT" hidden="1">"c3842"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ND_PRIMARY_ADVISOR" hidden="1">"c19091"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ED_LOANS" hidden="1">"c15250"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GIBLES_NET" hidden="1">"c1407"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_DATE_REUT" hidden="1">"c12296"</definedName>
    <definedName name="IQ_LT_GROWTH_DET_EST_INCL_REUT" hidden="1">"c12420"</definedName>
    <definedName name="IQ_LT_GROWTH_DET_EST_ORIGIN_REUT" hidden="1">"c12728"</definedName>
    <definedName name="IQ_LT_GROWTH_DET_EST_REUT" hidden="1">"c12154"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ONEY_MARKET_DEPOSIT_ACCOUNTS_FDIC" hidden="1">"c6553"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TUAL_FUND_LIST" hidden="1">"c19092"</definedName>
    <definedName name="IQ_NAMES_REVISION_DATE_" hidden="1">43079.6445717593</definedName>
    <definedName name="IQ_NAMES_REVISION_DATE__1" hidden="1">43079.2001851852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CIQ" hidden="1">"c12038"</definedName>
    <definedName name="IQ_NAV_SHARE_ACT_OR_EST_REUT" hidden="1">"c5623"</definedName>
    <definedName name="IQ_NAV_SHARE_DET_EST_CURRENCY_REUT" hidden="1">"c12538"</definedName>
    <definedName name="IQ_NAV_SHARE_DET_EST_DATE_REUT" hidden="1">"c12297"</definedName>
    <definedName name="IQ_NAV_SHARE_DET_EST_INCL_REUT" hidden="1">"c12421"</definedName>
    <definedName name="IQ_NAV_SHARE_DET_EST_ORIGIN_REUT" hidden="1">"c12665"</definedName>
    <definedName name="IQ_NAV_SHARE_DET_EST_REUT" hidden="1">"c12155"</definedName>
    <definedName name="IQ_NAV_SHARE_EST" hidden="1">"c5609"</definedName>
    <definedName name="IQ_NAV_SHARE_EST_CIQ" hidden="1">"c12032"</definedName>
    <definedName name="IQ_NAV_SHARE_EST_REUT" hidden="1">"c5617"</definedName>
    <definedName name="IQ_NAV_SHARE_HIGH_EST" hidden="1">"c5612"</definedName>
    <definedName name="IQ_NAV_SHARE_HIGH_EST_CIQ" hidden="1">"c12035"</definedName>
    <definedName name="IQ_NAV_SHARE_HIGH_EST_REUT" hidden="1">"c5620"</definedName>
    <definedName name="IQ_NAV_SHARE_LOW_EST" hidden="1">"c5613"</definedName>
    <definedName name="IQ_NAV_SHARE_LOW_EST_CIQ" hidden="1">"c12036"</definedName>
    <definedName name="IQ_NAV_SHARE_LOW_EST_REUT" hidden="1">"c5621"</definedName>
    <definedName name="IQ_NAV_SHARE_MEDIAN_EST" hidden="1">"c5610"</definedName>
    <definedName name="IQ_NAV_SHARE_MEDIAN_EST_CIQ" hidden="1">"c12033"</definedName>
    <definedName name="IQ_NAV_SHARE_MEDIAN_EST_REUT" hidden="1">"c5618"</definedName>
    <definedName name="IQ_NAV_SHARE_NUM_EST" hidden="1">"c5614"</definedName>
    <definedName name="IQ_NAV_SHARE_NUM_EST_CIQ" hidden="1">"c12037"</definedName>
    <definedName name="IQ_NAV_SHARE_NUM_EST_REUT" hidden="1">"c5622"</definedName>
    <definedName name="IQ_NAV_SHARE_STDDEV_EST" hidden="1">"c5611"</definedName>
    <definedName name="IQ_NAV_SHARE_STDDEV_EST_CIQ" hidden="1">"c12034"</definedName>
    <definedName name="IQ_NAV_SHARE_STDDEV_EST_REUT" hidden="1">"c5619"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REUT" hidden="1">"c5473"</definedName>
    <definedName name="IQ_NET_DEBT_DET_EST_CURRENCY_REUT" hidden="1">"c12539"</definedName>
    <definedName name="IQ_NET_DEBT_DET_EST_DATE_REUT" hidden="1">"c12298"</definedName>
    <definedName name="IQ_NET_DEBT_DET_EST_INCL_REUT" hidden="1">"c12422"</definedName>
    <definedName name="IQ_NET_DEBT_DET_EST_ORIGIN_REUT" hidden="1">"c12666"</definedName>
    <definedName name="IQ_NET_DEBT_DET_EST_REUT" hidden="1">"c12156"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GUIDANCE" hidden="1">"c4181"</definedName>
    <definedName name="IQ_NET_DEBT_HIGH_GUIDANCE_CIQ" hidden="1">"c4593"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EARNED" hidden="1">"c2734"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_CURRENCY_REUT" hidden="1">"c12540"</definedName>
    <definedName name="IQ_NI_DET_EST_DATE_REUT" hidden="1">"c12299"</definedName>
    <definedName name="IQ_NI_DET_EST_INCL_REUT" hidden="1">"c12423"</definedName>
    <definedName name="IQ_NI_DET_EST_ORIGIN_REUT" hidden="1">"c12667"</definedName>
    <definedName name="IQ_NI_DET_EST_REUT" hidden="1">"c12157"</definedName>
    <definedName name="IQ_NI_EST" hidden="1">"c1716"</definedName>
    <definedName name="IQ_NI_EST_CIQ" hidden="1">"c4702"</definedName>
    <definedName name="IQ_NI_EST_REUT" hidden="1">"c5368"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DET_EST_CURRENCY_REUT" hidden="1">"c12541"</definedName>
    <definedName name="IQ_NI_GW_DET_EST_DATE_REUT" hidden="1">"c12300"</definedName>
    <definedName name="IQ_NI_GW_DET_EST_INCL_REUT" hidden="1">"c12424"</definedName>
    <definedName name="IQ_NI_GW_DET_EST_ORIGIN_REUT" hidden="1">"c12668"</definedName>
    <definedName name="IQ_NI_GW_DET_EST_REUT" hidden="1">"c12158"</definedName>
    <definedName name="IQ_NI_GW_EST" hidden="1">"c1723"</definedName>
    <definedName name="IQ_NI_GW_EST_CIQ" hidden="1">"c4709"</definedName>
    <definedName name="IQ_NI_GW_EST_REUT" hidden="1">"c5375"</definedName>
    <definedName name="IQ_NI_GW_GUIDANCE" hidden="1">"c4471"</definedName>
    <definedName name="IQ_NI_GW_GUIDANCE_CIQ" hidden="1">"c5009"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GUIDANCE" hidden="1">"c4178"</definedName>
    <definedName name="IQ_NI_GW_HIGH_GUIDANCE_CIQ" hidden="1">"c4590"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GUIDANCE" hidden="1">"c4218"</definedName>
    <definedName name="IQ_NI_GW_LOW_GUIDANCE_CIQ" hidden="1">"c4630"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NUM_EST" hidden="1">"c1727"</definedName>
    <definedName name="IQ_NI_GW_NUM_EST_CIQ" hidden="1">"c4713"</definedName>
    <definedName name="IQ_NI_GW_NUM_EST_REUT" hidden="1">"c5379"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HIGH_EST" hidden="1">"c1718"</definedName>
    <definedName name="IQ_NI_HIGH_EST_CIQ" hidden="1">"c4704"</definedName>
    <definedName name="IQ_NI_HIGH_EST_REUT" hidden="1">"c5370"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EST_REUT" hidden="1">"c5371"</definedName>
    <definedName name="IQ_NI_LOW_GUIDANCE" hidden="1">"c4216"</definedName>
    <definedName name="IQ_NI_LOW_GUIDANCE_CIQ" hidden="1">"c4628"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REPORTED_DET_EST_CURRENCY_REUT" hidden="1">"c12542"</definedName>
    <definedName name="IQ_NI_REPORTED_DET_EST_DATE_REUT" hidden="1">"c12301"</definedName>
    <definedName name="IQ_NI_REPORTED_DET_EST_INCL_REUT" hidden="1">"c12425"</definedName>
    <definedName name="IQ_NI_REPORTED_DET_EST_ORIGIN_REUT" hidden="1">"c12669"</definedName>
    <definedName name="IQ_NI_REPORTED_DET_EST_REUT" hidden="1">"c12159"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BR" hidden="1">"c850"</definedName>
    <definedName name="IQ_OPER_INC_DET_EST_CURRENCY_REUT" hidden="1">"c12543"</definedName>
    <definedName name="IQ_OPER_INC_DET_EST_DATE_REUT" hidden="1">"c12302"</definedName>
    <definedName name="IQ_OPER_INC_DET_EST_INCL_REUT" hidden="1">"c12426"</definedName>
    <definedName name="IQ_OPER_INC_DET_EST_ORIGIN_REUT" hidden="1">"c12670"</definedName>
    <definedName name="IQ_OPER_INC_DET_EST_REUT" hidden="1">"c12160"</definedName>
    <definedName name="IQ_OPER_INC_EST" hidden="1">"c1688"</definedName>
    <definedName name="IQ_OPER_INC_EST_CIQ" hidden="1">"c12010"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1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REUT" hidden="1">"c15238"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DET_EST_CURRENCY_REUT" hidden="1">"c12531"</definedName>
    <definedName name="IQ_PRETAX_GW_INC_DET_EST_DATE_REUT" hidden="1">"c12290"</definedName>
    <definedName name="IQ_PRETAX_GW_INC_DET_EST_INCL_REUT" hidden="1">"c12414"</definedName>
    <definedName name="IQ_PRETAX_GW_INC_DET_EST_ORIGIN_REUT" hidden="1">"c12658"</definedName>
    <definedName name="IQ_PRETAX_GW_INC_DET_EST_REUT" hidden="1">"c12148"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_CURRENCY_REUT" hidden="1">"c12530"</definedName>
    <definedName name="IQ_PRETAX_INC_DET_EST_DATE_REUT" hidden="1">"c12289"</definedName>
    <definedName name="IQ_PRETAX_INC_DET_EST_INCL_REUT" hidden="1">"c12413"</definedName>
    <definedName name="IQ_PRETAX_INC_DET_EST_ORIGIN_REUT" hidden="1">"c12657"</definedName>
    <definedName name="IQ_PRETAX_INC_DET_EST_REUT" hidden="1">"c12147"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REPORT_INC_DET_EST_CURRENCY_REUT" hidden="1">"c12532"</definedName>
    <definedName name="IQ_PRETAX_REPORT_INC_DET_EST_DATE_REUT" hidden="1">"c12291"</definedName>
    <definedName name="IQ_PRETAX_REPORT_INC_DET_EST_INCL_REUT" hidden="1">"c12415"</definedName>
    <definedName name="IQ_PRETAX_REPORT_INC_DET_EST_ORIGIN_REUT" hidden="1">"c12769"</definedName>
    <definedName name="IQ_PRETAX_REPORT_INC_DET_EST_REUT" hidden="1">"c12149"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PO" hidden="1">"c19133"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DET_EST_DATE_REUT" hidden="1">"c12304"</definedName>
    <definedName name="IQ_RETURN_ASSETS_DET_EST_INCL_REUT" hidden="1">"c12428"</definedName>
    <definedName name="IQ_RETURN_ASSETS_DET_EST_ORIGIN_REUT" hidden="1">"c12672"</definedName>
    <definedName name="IQ_RETURN_ASSETS_DET_EST_REUT" hidden="1">"c12162"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DET_EST_DATE_REUT" hidden="1">"c12305"</definedName>
    <definedName name="IQ_RETURN_EQUITY_DET_EST_INCL_REUT" hidden="1">"c12429"</definedName>
    <definedName name="IQ_RETURN_EQUITY_DET_EST_ORIGIN_REUT" hidden="1">"c12673"</definedName>
    <definedName name="IQ_RETURN_EQUITY_DET_EST_REUT" hidden="1">"c12163"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_CURRENCY_REUT" hidden="1">"c12544"</definedName>
    <definedName name="IQ_REV_DET_EST_DATE_REUT" hidden="1">"c12303"</definedName>
    <definedName name="IQ_REV_DET_EST_INCL_REUT" hidden="1">"c12427"</definedName>
    <definedName name="IQ_REV_DET_EST_ORIGIN_REUT" hidden="1">"c12671"</definedName>
    <definedName name="IQ_REV_DET_EST_REUT" hidden="1">"c12161"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GUIDANCE_CIQ" hidden="1">"c5057"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HIGH_GUIDANCE_CIQ" hidden="1">"c4581"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RSE_REPO" hidden="1">"c19131"</definedName>
    <definedName name="IQ_REVISION_DATE_" hidden="1">39349.4412268518</definedName>
    <definedName name="IQ_REVISION_DATE__1" hidden="1">39737.3888773148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OTHER_NONFARM_NONRES_NON_ACCRUAL_FFIEC" hidden="1">"c15462"</definedName>
    <definedName name="IQ_SEC_OWNER_NONFARM_NONRES_NON_ACCRUAL_FFIEC" hidden="1">"c15461"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CONSOL_JV_DEBT" hidden="1">"c19139"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_REC_DET_EST_DATE_REUT" hidden="1">"c12307"</definedName>
    <definedName name="IQ_STAND_REC_DET_EST_ORIGIN_REUT" hidden="1">"c12675"</definedName>
    <definedName name="IQ_STAND_REC_DET_EST_REUT" hidden="1">"c12165"</definedName>
    <definedName name="IQ_STAND_REC_NUM_DET_EST_DATE_REUT" hidden="1">"c12306"</definedName>
    <definedName name="IQ_STAND_REC_NUM_DET_EST_ORIGIN_REUT" hidden="1">"c12674"</definedName>
    <definedName name="IQ_STAND_REC_NUM_DET_EST_REUT" hidden="1">"c12164"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S_VIDEO" hidden="1">"c2857"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DET_EST_CURRENCY_REUT" hidden="1">"c12547"</definedName>
    <definedName name="IQ_TARGET_PRICE_DET_EST_DATE_REUT" hidden="1">"c12308"</definedName>
    <definedName name="IQ_TARGET_PRICE_DET_EST_INCL_REUT" hidden="1">"c12430"</definedName>
    <definedName name="IQ_TARGET_PRICE_DET_EST_ORIGIN_REUT" hidden="1">"c12731"</definedName>
    <definedName name="IQ_TARGET_PRICE_DET_EST_REUT" hidden="1">"c12166"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BV_SHARE_REPORTED" hidden="1">"c19140"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EST_CIQ" hidden="1">"c5079"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STDDEV_EST" hidden="1">"c4531"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EQUITY_SUBTOTAL_AP" hidden="1">"c8989"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XDIV_DATE_1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RA10" hidden="1">"$A$11:$A$262"</definedName>
    <definedName name="IQRA38" hidden="1">"$A$39:$A$48"</definedName>
    <definedName name="IQRA5" hidden="1">"$A$6:$A$20"</definedName>
    <definedName name="IQRA6" hidden="1">"$A$7:$A$21"</definedName>
    <definedName name="IQRA60" hidden="1">"$A$61:$A$75"</definedName>
    <definedName name="IQRA7" hidden="1">"$A$8:$A$21"</definedName>
    <definedName name="IQRA8" hidden="1">"$A$9:$A$19"</definedName>
    <definedName name="IQRAA15" hidden="1">"$AA$16:$AA$1047"</definedName>
    <definedName name="IQRAA17" hidden="1">"$AA$18:$AA$1059"</definedName>
    <definedName name="IQRAA64" hidden="1">"$AA$65:$AA$129"</definedName>
    <definedName name="IQRAA7" hidden="1">"$AA$8:$AA$261"</definedName>
    <definedName name="IQRAB17" hidden="1">"$AB$18:$AB$1059"</definedName>
    <definedName name="IQRAB7" hidden="1">"$AB$8:$AB$261"</definedName>
    <definedName name="IQRAC12" hidden="1">"$AC$13:$AC$261"</definedName>
    <definedName name="IQRAC64" hidden="1">"$AC$65:$AC$129"</definedName>
    <definedName name="IQRAC92" hidden="1">"$AC$93:$AC$157"</definedName>
    <definedName name="IQRAC93" hidden="1">"$AC$94:$AC$158"</definedName>
    <definedName name="IQRAC95" hidden="1">"$AC$96:$AC$160"</definedName>
    <definedName name="IQRAD7" hidden="1">"$AD$8:$AD$109"</definedName>
    <definedName name="IQRAE64" hidden="1">"$AE$65:$AE$125"</definedName>
    <definedName name="IQRAF64" hidden="1">"$AF$65:$AF$126"</definedName>
    <definedName name="IQRAF7" hidden="1">"$AF$8:$AF$762"</definedName>
    <definedName name="IQRAF92" hidden="1">"$AF$93:$AF$154"</definedName>
    <definedName name="IQRAF93" hidden="1">"$AF$94:$AF$155"</definedName>
    <definedName name="IQRAF95" hidden="1">"$AF$96:$AF$159"</definedName>
    <definedName name="IQRAG64" hidden="1">"$AG$65:$AG$127"</definedName>
    <definedName name="IQRAG7" hidden="1">"$AG$8:$AG$762"</definedName>
    <definedName name="IQRAH7" hidden="1">"$AH$8:$AH$762"</definedName>
    <definedName name="IQRAI64" hidden="1">"$AI$65:$AI$128"</definedName>
    <definedName name="IQRAI92" hidden="1">"$AI$93:$AI$156"</definedName>
    <definedName name="IQRAI93" hidden="1">"$AI$94:$AI$157"</definedName>
    <definedName name="IQRAI95" hidden="1">"$AI$96:$AI$157"</definedName>
    <definedName name="IQRAJ12" hidden="1">"$AJ$13:$AJ$87"</definedName>
    <definedName name="IQRAK11" hidden="1">"$AK$12:$AK$39"</definedName>
    <definedName name="IQRAK64" hidden="1">"$AK$65:$AK$128"</definedName>
    <definedName name="IQRAK7" hidden="1">"$AK$8:$AK$261"</definedName>
    <definedName name="IQRAL64" hidden="1">"$AL$65:$AL$129"</definedName>
    <definedName name="IQRAL92" hidden="1">"$AL$93:$AL$157"</definedName>
    <definedName name="IQRAL93" hidden="1">"$AL$94:$AL$158"</definedName>
    <definedName name="IQRAL95" hidden="1">"$AL$96:$AL$160"</definedName>
    <definedName name="IQRAM64" hidden="1">"$AM$65:$AM$125"</definedName>
    <definedName name="IQRANRG27" hidden="1">#REF!</definedName>
    <definedName name="IQRANRG28" hidden="1">#REF!</definedName>
    <definedName name="IQRAO11" hidden="1">"$AO$12:$AO$73"</definedName>
    <definedName name="IQRAO64" hidden="1">"$AO$65:$AO$129"</definedName>
    <definedName name="IQRAO92" hidden="1">"$AO$93:$AO$157"</definedName>
    <definedName name="IQRAO93" hidden="1">"$AO$94:$AO$158"</definedName>
    <definedName name="IQRAO95" hidden="1">"$AO$96:$AO$160"</definedName>
    <definedName name="IQRAQ64" hidden="1">"$AQ$65:$AQ$128"</definedName>
    <definedName name="IQRAR64" hidden="1">"$AR$65:$AR$125"</definedName>
    <definedName name="IQRAR8" hidden="1">"$AR$9:$AR$31"</definedName>
    <definedName name="IQRAR92" hidden="1">"$AR$93:$AR$153"</definedName>
    <definedName name="IQRAR93" hidden="1">"$AR$94:$AR$154"</definedName>
    <definedName name="IQRAR95" hidden="1">"$AR$96:$AR$160"</definedName>
    <definedName name="IQRAS11" hidden="1">"$AS$12:$AS$76"</definedName>
    <definedName name="IQRAS64" hidden="1">"$AS$65:$AS$103"</definedName>
    <definedName name="IQRAU64" hidden="1">"$AU$65:$AU$127"</definedName>
    <definedName name="IQRAU92" hidden="1">"$AU$93:$AU$155"</definedName>
    <definedName name="IQRAU93" hidden="1">"$AU$94:$AU$156"</definedName>
    <definedName name="IQRAU95" hidden="1">"$AU$96:$AU$157"</definedName>
    <definedName name="IQRAW11" hidden="1">"$AW$12:$AW$76"</definedName>
    <definedName name="IQRAX64" hidden="1">"$AX$65:$AX$127"</definedName>
    <definedName name="IQRAX92" hidden="1">"$AX$93:$AX$155"</definedName>
    <definedName name="IQRAX93" hidden="1">"$AX$94:$AX$156"</definedName>
    <definedName name="IQRAX95" hidden="1">"$AX$96:$AX$159"</definedName>
    <definedName name="IQRAY8" hidden="1">"$AY$9:$AY$72"</definedName>
    <definedName name="IQRB10" hidden="1">"$B$11:$B$763"</definedName>
    <definedName name="IQRB102" hidden="1">"$B$11:$B$340"</definedName>
    <definedName name="IQRB11" hidden="1">"$B$12:$B$146"</definedName>
    <definedName name="IQRB111" hidden="1">"$B$112:$B$361"</definedName>
    <definedName name="IQRB12" hidden="1">"$B$13:$B$769"</definedName>
    <definedName name="IQRB13" hidden="1">"$B$14:$B$183"</definedName>
    <definedName name="IQRB137" hidden="1">"$B$138:$B$180"</definedName>
    <definedName name="IQRB139" hidden="1">"$B$140:$B$182"</definedName>
    <definedName name="IQRB14" hidden="1">"$B$15:$B$34"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" hidden="1">"$B$3:$B$256"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29" hidden="1">"$B$30:$B$145"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380" hidden="1">"$B$381:$B$441"</definedName>
    <definedName name="IQRB451" hidden="1">"$B$452:$B$512"</definedName>
    <definedName name="IQRB461" hidden="1">"$B$462:$B$522"</definedName>
    <definedName name="IQRB48" hidden="1">"$B$49:$B$296"</definedName>
    <definedName name="IQRB5" hidden="1">"$B$6:$B$20"</definedName>
    <definedName name="IQRB6" hidden="1">"$B$7:$B$21"</definedName>
    <definedName name="IQRB7" hidden="1">"$B$8:$B$1204"</definedName>
    <definedName name="IQRB8" hidden="1">"$B$9:$B$19"</definedName>
    <definedName name="IQRB9" hidden="1">"$B$10:$B$53"</definedName>
    <definedName name="IQRBA11" hidden="1">"$BA$12:$BA$75"</definedName>
    <definedName name="IQRBA64" hidden="1">"$BA$65:$BA$128"</definedName>
    <definedName name="IQRBA92" hidden="1">"$BA$93:$BA$156"</definedName>
    <definedName name="IQRBA93" hidden="1">"$BA$94:$BA$157"</definedName>
    <definedName name="IQRBA95" hidden="1">"$BA$96:$BA$158"</definedName>
    <definedName name="IQRBD64" hidden="1">"$BD$65:$BD$125"</definedName>
    <definedName name="IQRBD92" hidden="1">"$BD$93:$BD$153"</definedName>
    <definedName name="IQRBD93" hidden="1">"$BD$94:$BD$154"</definedName>
    <definedName name="IQRBD95" hidden="1">"$BD$96:$BD$158"</definedName>
    <definedName name="IQRBE11" hidden="1">"$BE$12:$BE$73"</definedName>
    <definedName name="IQRBETACCISRW16" hidden="1">#REF!</definedName>
    <definedName name="IQRBetaDATASHEETB17" hidden="1">#REF!</definedName>
    <definedName name="IQRBF8" hidden="1">"$BF$9:$BF$133"</definedName>
    <definedName name="IQRBG64" hidden="1">"$BG$65:$BG$127"</definedName>
    <definedName name="IQRBG92" hidden="1">"$BG$93:$BG$155"</definedName>
    <definedName name="IQRBG93" hidden="1">"$BG$94:$BG$156"</definedName>
    <definedName name="IQRBG95" hidden="1">"$BG$96:$BG$156"</definedName>
    <definedName name="IQRBI11" hidden="1">"$BI$12:$BI$76"</definedName>
    <definedName name="IQRBJ64" hidden="1">"$BJ$65:$BJ$128"</definedName>
    <definedName name="IQRBJ92" hidden="1">"$BJ$93:$BJ$156"</definedName>
    <definedName name="IQRBJ93" hidden="1">"$BJ$94:$BJ$157"</definedName>
    <definedName name="IQRBJ95" hidden="1">"$BJ$96:$BJ$158"</definedName>
    <definedName name="IQRBL8" hidden="1">"$BL$9:$BL$260"</definedName>
    <definedName name="IQRBM11" hidden="1">"$BM$12:$BM$76"</definedName>
    <definedName name="IQRBM64" hidden="1">"$BM$65:$BM$103"</definedName>
    <definedName name="IQRBM92" hidden="1">"$BM$93:$BM$131"</definedName>
    <definedName name="IQRBM93" hidden="1">"$BM$94:$BM$132"</definedName>
    <definedName name="IQRBM95" hidden="1">"$BM$96:$BM$159"</definedName>
    <definedName name="IQRBP95" hidden="1">"$BP$96:$BP$159"</definedName>
    <definedName name="IQRBQ11" hidden="1">"$BQ$12:$BQ$76"</definedName>
    <definedName name="IQRBQ5" hidden="1">"$BQ$6:$BQ$21"</definedName>
    <definedName name="IQRBS95" hidden="1">"$BS$96:$BS$157"</definedName>
    <definedName name="IQRBU11" hidden="1">"$BU$12:$BU$73"</definedName>
    <definedName name="IQRBuyinAB102" hidden="1">#REF!</definedName>
    <definedName name="IQRBuyinAE102" hidden="1">#REF!</definedName>
    <definedName name="IQRBuyinAH102" hidden="1">#REF!</definedName>
    <definedName name="IQRBuyinAK102" hidden="1">#REF!</definedName>
    <definedName name="IQRBuyinAN102" hidden="1">#REF!</definedName>
    <definedName name="IQRBuyinAQ102" hidden="1">#REF!</definedName>
    <definedName name="IQRBuyinAT102" hidden="1">#REF!</definedName>
    <definedName name="IQRBuyinAW102" hidden="1">#REF!</definedName>
    <definedName name="IQRBuyinAZ102" hidden="1">#REF!</definedName>
    <definedName name="IQRBuyinBC102" hidden="1">#REF!</definedName>
    <definedName name="IQRBuyinBF102" hidden="1">#REF!</definedName>
    <definedName name="IQRBuyinBI102" hidden="1">#REF!</definedName>
    <definedName name="IQRBuyinBL102" hidden="1">#REF!</definedName>
    <definedName name="IQRBuyinBO102" hidden="1">#REF!</definedName>
    <definedName name="IQRBuyinBR102" hidden="1">#REF!</definedName>
    <definedName name="IQRBuyinBU102" hidden="1">#REF!</definedName>
    <definedName name="IQRBuyinBX102" hidden="1">#REF!</definedName>
    <definedName name="IQRBuyinCA102" hidden="1">#REF!</definedName>
    <definedName name="IQRBuyinCD102" hidden="1">#REF!</definedName>
    <definedName name="IQRBuyinCG102" hidden="1">#REF!</definedName>
    <definedName name="IQRBuyinCJ102" hidden="1">#REF!</definedName>
    <definedName name="IQRBuyinCM102" hidden="1">#REF!</definedName>
    <definedName name="IQRBuyinCP102" hidden="1">#REF!</definedName>
    <definedName name="IQRBuyinCS102" hidden="1">#REF!</definedName>
    <definedName name="IQRBuyinCV102" hidden="1">#REF!</definedName>
    <definedName name="IQRBuyinCY102" hidden="1">#REF!</definedName>
    <definedName name="IQRBuyinD102" hidden="1">#REF!</definedName>
    <definedName name="IQRBuyinG102" hidden="1">#REF!</definedName>
    <definedName name="IQRBuyinJ102" hidden="1">#REF!</definedName>
    <definedName name="IQRBuyinM102" hidden="1">#REF!</definedName>
    <definedName name="IQRBuyinP102" hidden="1">#REF!</definedName>
    <definedName name="IQRBuyinS102" hidden="1">#REF!</definedName>
    <definedName name="IQRBuyinV102" hidden="1">#REF!</definedName>
    <definedName name="IQRBuyinY102" hidden="1">#REF!</definedName>
    <definedName name="IQRBV95" hidden="1">"$BV$96:$BV$159"</definedName>
    <definedName name="IQRBY11" hidden="1">"$BY$12:$BY$75"</definedName>
    <definedName name="IQRBY95" hidden="1">"$BY$96:$BY$160"</definedName>
    <definedName name="IQRC10" hidden="1">"$C$11:$C$763"</definedName>
    <definedName name="IQRC11" hidden="1">"$C$12:$C$266"</definedName>
    <definedName name="IQRC111" hidden="1">"$C$112:$C$361"</definedName>
    <definedName name="IQRC12" hidden="1">"$C$13:$C$22"</definedName>
    <definedName name="IQRC13" hidden="1">"$C$14:$C$1049"</definedName>
    <definedName name="IQRC137" hidden="1">"$C$138:$C$180"</definedName>
    <definedName name="IQRC139" hidden="1">"$C$140:$C$182"</definedName>
    <definedName name="IQRC14" hidden="1">"$C$15:$C$521"</definedName>
    <definedName name="IQRC15" hidden="1">"$C$16:$C$20"</definedName>
    <definedName name="IQRC18" hidden="1">"$C$19:$C$272"</definedName>
    <definedName name="IQRC2" hidden="1">"$C$3:$C$256"</definedName>
    <definedName name="IQRC24" hidden="1">"$C$25:$C$29"</definedName>
    <definedName name="IQRC29" hidden="1">"$D$29:$I$29"</definedName>
    <definedName name="IQRC374" hidden="1">"$C$375:$C$435"</definedName>
    <definedName name="IQRC376" hidden="1">"$C$377:$C$436"</definedName>
    <definedName name="IQRC380" hidden="1">"$C$381:$C$441"</definedName>
    <definedName name="IQRC451" hidden="1">"$C$452:$C$512"</definedName>
    <definedName name="IQRC461" hidden="1">"$C$462:$C$522"</definedName>
    <definedName name="IQRC5" hidden="1">"$C$6:$C$20"</definedName>
    <definedName name="IQRC6" hidden="1">"$C$7:$C$21"</definedName>
    <definedName name="IQRC61" hidden="1">"$C$62:$C$68"</definedName>
    <definedName name="IQRC7" hidden="1">"$C$8:$C$262"</definedName>
    <definedName name="IQRC8" hidden="1">"$C$9:$C$19"</definedName>
    <definedName name="IQRCB95" hidden="1">"$CB$96:$CB$160"</definedName>
    <definedName name="IQRCC11" hidden="1">"$CC$12:$CC$74"</definedName>
    <definedName name="IQRCE95" hidden="1">"$CE$96:$CE$157"</definedName>
    <definedName name="IQRCG11" hidden="1">"$CG$12:$CG$74"</definedName>
    <definedName name="IQRCH95" hidden="1">"$CH$96:$CH$160"</definedName>
    <definedName name="IQRCK11" hidden="1">"$CK$12:$CK$72"</definedName>
    <definedName name="IQRCK95" hidden="1">"$CK$96:$CK$160"</definedName>
    <definedName name="IQRCN95" hidden="1">"$CN$96:$CN$158"</definedName>
    <definedName name="IQRCO11" hidden="1">"$CO$12:$CO$74"</definedName>
    <definedName name="IQRCompaniesH100">#REF!</definedName>
    <definedName name="IQRCompaniesH101">#REF!</definedName>
    <definedName name="IQRCompaniesH102">#REF!</definedName>
    <definedName name="IQRCompaniesH103">#REF!</definedName>
    <definedName name="IQRCompaniesH104">#REF!</definedName>
    <definedName name="IQRCompaniesH105">#REF!</definedName>
    <definedName name="IQRCompaniesH106">#REF!</definedName>
    <definedName name="IQRCompaniesH107">#REF!</definedName>
    <definedName name="IQRCompaniesH108">#REF!</definedName>
    <definedName name="IQRCompaniesH109">#REF!</definedName>
    <definedName name="IQRCompaniesH110">#REF!</definedName>
    <definedName name="IQRCompaniesH111">#REF!</definedName>
    <definedName name="IQRCompaniesH112">#REF!</definedName>
    <definedName name="IQRCompaniesH113">#REF!</definedName>
    <definedName name="IQRCompaniesH114">#REF!</definedName>
    <definedName name="IQRCompaniesH115">#REF!</definedName>
    <definedName name="IQRCompaniesH116">#REF!</definedName>
    <definedName name="IQRCompaniesH117">#REF!</definedName>
    <definedName name="IQRCompaniesH118">#REF!</definedName>
    <definedName name="IQRCompaniesH119">#REF!</definedName>
    <definedName name="IQRCompaniesH12">#REF!</definedName>
    <definedName name="IQRCompaniesH120">#REF!</definedName>
    <definedName name="IQRCompaniesH121">#REF!</definedName>
    <definedName name="IQRCompaniesH122">#REF!</definedName>
    <definedName name="IQRCompaniesH123">#REF!</definedName>
    <definedName name="IQRCompaniesH124">#REF!</definedName>
    <definedName name="IQRCompaniesH125">#REF!</definedName>
    <definedName name="IQRCompaniesH127">#REF!</definedName>
    <definedName name="IQRCompaniesH128">#REF!</definedName>
    <definedName name="IQRCompaniesH129">#REF!</definedName>
    <definedName name="IQRCompaniesH13">#REF!</definedName>
    <definedName name="IQRCompaniesH130">#REF!</definedName>
    <definedName name="IQRCompaniesH131">#REF!</definedName>
    <definedName name="IQRCompaniesH132">#REF!</definedName>
    <definedName name="IQRCompaniesH133">#REF!</definedName>
    <definedName name="IQRCompaniesH134">#REF!</definedName>
    <definedName name="IQRCompaniesH135">#REF!</definedName>
    <definedName name="IQRCompaniesH136">#REF!</definedName>
    <definedName name="IQRCompaniesH137">#REF!</definedName>
    <definedName name="IQRCompaniesH138">#REF!</definedName>
    <definedName name="IQRCompaniesH139">#REF!</definedName>
    <definedName name="IQRCompaniesH14">#REF!</definedName>
    <definedName name="IQRCompaniesH140">#REF!</definedName>
    <definedName name="IQRCompaniesH141">#REF!</definedName>
    <definedName name="IQRCompaniesH142">#REF!</definedName>
    <definedName name="IQRCompaniesH143">#REF!</definedName>
    <definedName name="IQRCompaniesH144">#REF!</definedName>
    <definedName name="IQRCompaniesH145">#REF!</definedName>
    <definedName name="IQRCompaniesH146">#REF!</definedName>
    <definedName name="IQRCompaniesH147">#REF!</definedName>
    <definedName name="IQRCompaniesH148">#REF!</definedName>
    <definedName name="IQRCompaniesH149">#REF!</definedName>
    <definedName name="IQRCompaniesH15">#REF!</definedName>
    <definedName name="IQRCompaniesH150">#REF!</definedName>
    <definedName name="IQRCompaniesH151">#REF!</definedName>
    <definedName name="IQRCompaniesH152">#REF!</definedName>
    <definedName name="IQRCompaniesH153">#REF!</definedName>
    <definedName name="IQRCompaniesH154">#REF!</definedName>
    <definedName name="IQRCompaniesH155">#REF!</definedName>
    <definedName name="IQRCompaniesH156">#REF!</definedName>
    <definedName name="IQRCompaniesH157">#REF!</definedName>
    <definedName name="IQRCompaniesH158">#REF!</definedName>
    <definedName name="IQRCompaniesH159">#REF!</definedName>
    <definedName name="IQRCompaniesH16">#REF!</definedName>
    <definedName name="IQRCompaniesH160">#REF!</definedName>
    <definedName name="IQRCompaniesH161">#REF!</definedName>
    <definedName name="IQRCompaniesH162">#REF!</definedName>
    <definedName name="IQRCompaniesH17">#REF!</definedName>
    <definedName name="IQRCompaniesH18">#REF!</definedName>
    <definedName name="IQRCompaniesH19">#REF!</definedName>
    <definedName name="IQRCompaniesH20">#REF!</definedName>
    <definedName name="IQRCompaniesH21">#REF!</definedName>
    <definedName name="IQRCompaniesH22">#REF!</definedName>
    <definedName name="IQRCompaniesH23">#REF!</definedName>
    <definedName name="IQRCompaniesH24">#REF!</definedName>
    <definedName name="IQRCompaniesH25">#REF!</definedName>
    <definedName name="IQRCompaniesH26">#REF!</definedName>
    <definedName name="IQRCompaniesH27">#REF!</definedName>
    <definedName name="IQRCompaniesH28">#REF!</definedName>
    <definedName name="IQRCompaniesH29">#REF!</definedName>
    <definedName name="IQRCompaniesH30">#REF!</definedName>
    <definedName name="IQRCompaniesH31">#REF!</definedName>
    <definedName name="IQRCompaniesH32">#REF!</definedName>
    <definedName name="IQRCompaniesH33">#REF!</definedName>
    <definedName name="IQRCompaniesH34">#REF!</definedName>
    <definedName name="IQRCompaniesH35">#REF!</definedName>
    <definedName name="IQRCompaniesH36">#REF!</definedName>
    <definedName name="IQRCompaniesH37">#REF!</definedName>
    <definedName name="IQRCompaniesH38">#REF!</definedName>
    <definedName name="IQRCompaniesH39">#REF!</definedName>
    <definedName name="IQRCompaniesH40">#REF!</definedName>
    <definedName name="IQRCompaniesH41">#REF!</definedName>
    <definedName name="IQRCompaniesH42">#REF!</definedName>
    <definedName name="IQRCompaniesH43">#REF!</definedName>
    <definedName name="IQRCompaniesH44">#REF!</definedName>
    <definedName name="IQRCompaniesH45">#REF!</definedName>
    <definedName name="IQRCompaniesH46">#REF!</definedName>
    <definedName name="IQRCompaniesH47">#REF!</definedName>
    <definedName name="IQRCompaniesH48">#REF!</definedName>
    <definedName name="IQRCompaniesH49">#REF!</definedName>
    <definedName name="IQRCompaniesH50">#REF!</definedName>
    <definedName name="IQRCompaniesH51">#REF!</definedName>
    <definedName name="IQRCompaniesH52">#REF!</definedName>
    <definedName name="IQRCompaniesH53">#REF!</definedName>
    <definedName name="IQRCompaniesH54">#REF!</definedName>
    <definedName name="IQRCompaniesH55">#REF!</definedName>
    <definedName name="IQRCompaniesH56">#REF!</definedName>
    <definedName name="IQRCompaniesH57">#REF!</definedName>
    <definedName name="IQRCompaniesH58">#REF!</definedName>
    <definedName name="IQRCompaniesH59">#REF!</definedName>
    <definedName name="IQRCompaniesH60">#REF!</definedName>
    <definedName name="IQRCompaniesH61">#REF!</definedName>
    <definedName name="IQRCompaniesH62">#REF!</definedName>
    <definedName name="IQRCompaniesH63">#REF!</definedName>
    <definedName name="IQRCompaniesH64">#REF!</definedName>
    <definedName name="IQRCompaniesH65">#REF!</definedName>
    <definedName name="IQRCompaniesH66">#REF!</definedName>
    <definedName name="IQRCompaniesH67">#REF!</definedName>
    <definedName name="IQRCompaniesH68">#REF!</definedName>
    <definedName name="IQRCompaniesH69">#REF!</definedName>
    <definedName name="IQRCompaniesH70">#REF!</definedName>
    <definedName name="IQRCompaniesH71">#REF!</definedName>
    <definedName name="IQRCompaniesH72">#REF!</definedName>
    <definedName name="IQRCompaniesH73">#REF!</definedName>
    <definedName name="IQRCompaniesH74">#REF!</definedName>
    <definedName name="IQRCompaniesH75">#REF!</definedName>
    <definedName name="IQRCompaniesH76">#REF!</definedName>
    <definedName name="IQRCompaniesH77">#REF!</definedName>
    <definedName name="IQRCompaniesH78">#REF!</definedName>
    <definedName name="IQRCompaniesH79">#REF!</definedName>
    <definedName name="IQRCompaniesH80">#REF!</definedName>
    <definedName name="IQRCompaniesH81">#REF!</definedName>
    <definedName name="IQRCompaniesH82">#REF!</definedName>
    <definedName name="IQRCompaniesH83">#REF!</definedName>
    <definedName name="IQRCompaniesH84">#REF!</definedName>
    <definedName name="IQRCompaniesH85">#REF!</definedName>
    <definedName name="IQRCompaniesH86">#REF!</definedName>
    <definedName name="IQRCompaniesH87">#REF!</definedName>
    <definedName name="IQRCompaniesH88">#REF!</definedName>
    <definedName name="IQRCompaniesH89">#REF!</definedName>
    <definedName name="IQRCompaniesH90">#REF!</definedName>
    <definedName name="IQRCompaniesH91">#REF!</definedName>
    <definedName name="IQRCompaniesH92">#REF!</definedName>
    <definedName name="IQRCompaniesH93">#REF!</definedName>
    <definedName name="IQRCompaniesH94">#REF!</definedName>
    <definedName name="IQRCompaniesH95">#REF!</definedName>
    <definedName name="IQRCompaniesH96">#REF!</definedName>
    <definedName name="IQRCompaniesH97">#REF!</definedName>
    <definedName name="IQRCompaniesH98">#REF!</definedName>
    <definedName name="IQRCompaniesH99">#REF!</definedName>
    <definedName name="IQRCompaniesN100">#REF!</definedName>
    <definedName name="IQRCompaniesN101">#REF!</definedName>
    <definedName name="IQRCompaniesN102">#REF!</definedName>
    <definedName name="IQRCompaniesN103">#REF!</definedName>
    <definedName name="IQRCompaniesN104">#REF!</definedName>
    <definedName name="IQRCompaniesN105">#REF!</definedName>
    <definedName name="IQRCompaniesN106">#REF!</definedName>
    <definedName name="IQRCompaniesN107">#REF!</definedName>
    <definedName name="IQRCompaniesN108">#REF!</definedName>
    <definedName name="IQRCompaniesN109">#REF!</definedName>
    <definedName name="IQRCompaniesN110">#REF!</definedName>
    <definedName name="IQRCompaniesN111">#REF!</definedName>
    <definedName name="IQRCompaniesN112">#REF!</definedName>
    <definedName name="IQRCompaniesN113">#REF!</definedName>
    <definedName name="IQRCompaniesN114">#REF!</definedName>
    <definedName name="IQRCompaniesN115">#REF!</definedName>
    <definedName name="IQRCompaniesN116">#REF!</definedName>
    <definedName name="IQRCompaniesN117">#REF!</definedName>
    <definedName name="IQRCompaniesN118">#REF!</definedName>
    <definedName name="IQRCompaniesN119">#REF!</definedName>
    <definedName name="IQRCompaniesN12">#REF!</definedName>
    <definedName name="IQRCompaniesN120">#REF!</definedName>
    <definedName name="IQRCompaniesN121">#REF!</definedName>
    <definedName name="IQRCompaniesN122">#REF!</definedName>
    <definedName name="IQRCompaniesN123">#REF!</definedName>
    <definedName name="IQRCompaniesN124">#REF!</definedName>
    <definedName name="IQRCompaniesN125">#REF!</definedName>
    <definedName name="IQRCompaniesN127">#REF!</definedName>
    <definedName name="IQRCompaniesN128">#REF!</definedName>
    <definedName name="IQRCompaniesN129">#REF!</definedName>
    <definedName name="IQRCompaniesN13">#REF!</definedName>
    <definedName name="IQRCompaniesN130">#REF!</definedName>
    <definedName name="IQRCompaniesN131">#REF!</definedName>
    <definedName name="IQRCompaniesN132">#REF!</definedName>
    <definedName name="IQRCompaniesN133">#REF!</definedName>
    <definedName name="IQRCompaniesN134">#REF!</definedName>
    <definedName name="IQRCompaniesN135">#REF!</definedName>
    <definedName name="IQRCompaniesN136">#REF!</definedName>
    <definedName name="IQRCompaniesN137">#REF!</definedName>
    <definedName name="IQRCompaniesN138">#REF!</definedName>
    <definedName name="IQRCompaniesN139">#REF!</definedName>
    <definedName name="IQRCompaniesN14">#REF!</definedName>
    <definedName name="IQRCompaniesN140">#REF!</definedName>
    <definedName name="IQRCompaniesN141">#REF!</definedName>
    <definedName name="IQRCompaniesN142">#REF!</definedName>
    <definedName name="IQRCompaniesN143">#REF!</definedName>
    <definedName name="IQRCompaniesN144">#REF!</definedName>
    <definedName name="IQRCompaniesN145">#REF!</definedName>
    <definedName name="IQRCompaniesN146">#REF!</definedName>
    <definedName name="IQRCompaniesN147">#REF!</definedName>
    <definedName name="IQRCompaniesN148">#REF!</definedName>
    <definedName name="IQRCompaniesN149">#REF!</definedName>
    <definedName name="IQRCompaniesN15">#REF!</definedName>
    <definedName name="IQRCompaniesN150">#REF!</definedName>
    <definedName name="IQRCompaniesN151">#REF!</definedName>
    <definedName name="IQRCompaniesN152">#REF!</definedName>
    <definedName name="IQRCompaniesN153">#REF!</definedName>
    <definedName name="IQRCompaniesN154">#REF!</definedName>
    <definedName name="IQRCompaniesN155">#REF!</definedName>
    <definedName name="IQRCompaniesN156">#REF!</definedName>
    <definedName name="IQRCompaniesN157">#REF!</definedName>
    <definedName name="IQRCompaniesN158">#REF!</definedName>
    <definedName name="IQRCompaniesN159">#REF!</definedName>
    <definedName name="IQRCompaniesN16">#REF!</definedName>
    <definedName name="IQRCompaniesN160">#REF!</definedName>
    <definedName name="IQRCompaniesN161">#REF!</definedName>
    <definedName name="IQRCompaniesN162">#REF!</definedName>
    <definedName name="IQRCompaniesN17">#REF!</definedName>
    <definedName name="IQRCompaniesN18">#REF!</definedName>
    <definedName name="IQRCompaniesN19">#REF!</definedName>
    <definedName name="IQRCompaniesN20">#REF!</definedName>
    <definedName name="IQRCompaniesN21">#REF!</definedName>
    <definedName name="IQRCompaniesN22">#REF!</definedName>
    <definedName name="IQRCompaniesN23">#REF!</definedName>
    <definedName name="IQRCompaniesN24">#REF!</definedName>
    <definedName name="IQRCompaniesN25">#REF!</definedName>
    <definedName name="IQRCompaniesN26">#REF!</definedName>
    <definedName name="IQRCompaniesN27">#REF!</definedName>
    <definedName name="IQRCompaniesN28">#REF!</definedName>
    <definedName name="IQRCompaniesN29">#REF!</definedName>
    <definedName name="IQRCompaniesN30">#REF!</definedName>
    <definedName name="IQRCompaniesN31">#REF!</definedName>
    <definedName name="IQRCompaniesN32">#REF!</definedName>
    <definedName name="IQRCompaniesN33">#REF!</definedName>
    <definedName name="IQRCompaniesN34">#REF!</definedName>
    <definedName name="IQRCompaniesN35">#REF!</definedName>
    <definedName name="IQRCompaniesN36">#REF!</definedName>
    <definedName name="IQRCompaniesN37">#REF!</definedName>
    <definedName name="IQRCompaniesN38">#REF!</definedName>
    <definedName name="IQRCompaniesN39">#REF!</definedName>
    <definedName name="IQRCompaniesN40">#REF!</definedName>
    <definedName name="IQRCompaniesN41">#REF!</definedName>
    <definedName name="IQRCompaniesN42">#REF!</definedName>
    <definedName name="IQRCompaniesN43">#REF!</definedName>
    <definedName name="IQRCompaniesN44">#REF!</definedName>
    <definedName name="IQRCompaniesN45">#REF!</definedName>
    <definedName name="IQRCompaniesN46">#REF!</definedName>
    <definedName name="IQRCompaniesN47">#REF!</definedName>
    <definedName name="IQRCompaniesN48">#REF!</definedName>
    <definedName name="IQRCompaniesN49">#REF!</definedName>
    <definedName name="IQRCompaniesN50">#REF!</definedName>
    <definedName name="IQRCompaniesN51">#REF!</definedName>
    <definedName name="IQRCompaniesN52">#REF!</definedName>
    <definedName name="IQRCompaniesN53">#REF!</definedName>
    <definedName name="IQRCompaniesN54">#REF!</definedName>
    <definedName name="IQRCompaniesN55">#REF!</definedName>
    <definedName name="IQRCompaniesN56">#REF!</definedName>
    <definedName name="IQRCompaniesN57">#REF!</definedName>
    <definedName name="IQRCompaniesN58">#REF!</definedName>
    <definedName name="IQRCompaniesN59">#REF!</definedName>
    <definedName name="IQRCompaniesN60">#REF!</definedName>
    <definedName name="IQRCompaniesN61">#REF!</definedName>
    <definedName name="IQRCompaniesN62">#REF!</definedName>
    <definedName name="IQRCompaniesN63">#REF!</definedName>
    <definedName name="IQRCompaniesN64">#REF!</definedName>
    <definedName name="IQRCompaniesN65">#REF!</definedName>
    <definedName name="IQRCompaniesN66">#REF!</definedName>
    <definedName name="IQRCompaniesN67">#REF!</definedName>
    <definedName name="IQRCompaniesN68">#REF!</definedName>
    <definedName name="IQRCompaniesN69">#REF!</definedName>
    <definedName name="IQRCompaniesN70">#REF!</definedName>
    <definedName name="IQRCompaniesN71">#REF!</definedName>
    <definedName name="IQRCompaniesN72">#REF!</definedName>
    <definedName name="IQRCompaniesN73">#REF!</definedName>
    <definedName name="IQRCompaniesN74">#REF!</definedName>
    <definedName name="IQRCompaniesN75">#REF!</definedName>
    <definedName name="IQRCompaniesN76">#REF!</definedName>
    <definedName name="IQRCompaniesN77">#REF!</definedName>
    <definedName name="IQRCompaniesN78">#REF!</definedName>
    <definedName name="IQRCompaniesN79">#REF!</definedName>
    <definedName name="IQRCompaniesN80">#REF!</definedName>
    <definedName name="IQRCompaniesN81">#REF!</definedName>
    <definedName name="IQRCompaniesN82">#REF!</definedName>
    <definedName name="IQRCompaniesN83">#REF!</definedName>
    <definedName name="IQRCompaniesN84">#REF!</definedName>
    <definedName name="IQRCompaniesN85">#REF!</definedName>
    <definedName name="IQRCompaniesN86">#REF!</definedName>
    <definedName name="IQRCompaniesN87">#REF!</definedName>
    <definedName name="IQRCompaniesN88">#REF!</definedName>
    <definedName name="IQRCompaniesN89">#REF!</definedName>
    <definedName name="IQRCompaniesN90">#REF!</definedName>
    <definedName name="IQRCompaniesN91">#REF!</definedName>
    <definedName name="IQRCompaniesN92">#REF!</definedName>
    <definedName name="IQRCompaniesN93">#REF!</definedName>
    <definedName name="IQRCompaniesN94">#REF!</definedName>
    <definedName name="IQRCompaniesN95">#REF!</definedName>
    <definedName name="IQRCompaniesN96">#REF!</definedName>
    <definedName name="IQRCompaniesN97">#REF!</definedName>
    <definedName name="IQRCompaniesN98">#REF!</definedName>
    <definedName name="IQRCompaniesN99">#REF!</definedName>
    <definedName name="IQRCQ95" hidden="1">"$CQ$96:$CQ$158"</definedName>
    <definedName name="IQRCS11" hidden="1">"$CS$12:$CS$75"</definedName>
    <definedName name="IQRCT95" hidden="1">"$CT$96:$CT$160"</definedName>
    <definedName name="IQRCW11" hidden="1">"$CW$12:$CW$75"</definedName>
    <definedName name="IQRCW95" hidden="1">"$CW$96:$CW$160"</definedName>
    <definedName name="IQRCZ95" hidden="1">"$CZ$96:$CZ$159"</definedName>
    <definedName name="IQRD10" hidden="1">"$D$11:$D$1794"</definedName>
    <definedName name="IQRD100" hidden="1">"$D$101:$D$606"</definedName>
    <definedName name="IQRD101" hidden="1">"$D$102:$D$607"</definedName>
    <definedName name="IQRD11" hidden="1">"$E$11:$J$11"</definedName>
    <definedName name="IQRD12" hidden="1">"$D$13:$D$22"</definedName>
    <definedName name="IQRD13" hidden="1">"$D$14:$D$1049"</definedName>
    <definedName name="IQRD137" hidden="1">"$D$138:$D$180"</definedName>
    <definedName name="IQRD14" hidden="1">"$D$15:$D$1061"</definedName>
    <definedName name="IQRD15" hidden="1">"$D$16:$D$17"</definedName>
    <definedName name="IQRD16" hidden="1">"$D$17:$D$779"</definedName>
    <definedName name="IQRD18" hidden="1">"$D$19:$D$41"</definedName>
    <definedName name="IQRD19" hidden="1">"$D$20:$D$102"</definedName>
    <definedName name="IQRD22" hidden="1">"$D$23:$D$772"</definedName>
    <definedName name="IQRD23" hidden="1">"$D$24:$D$1033"</definedName>
    <definedName name="IQRD28" hidden="1">"$D$29:$D$778"</definedName>
    <definedName name="IQRD29" hidden="1">"$D$30:$D$785"</definedName>
    <definedName name="IQRD34" hidden="1">"$D$35:$D$1294"</definedName>
    <definedName name="IQRD374" hidden="1">"$D$375:$D$435"</definedName>
    <definedName name="IQRD38" hidden="1">"$D$39:$D$1316"</definedName>
    <definedName name="IQRD380" hidden="1">"$D$381:$D$441"</definedName>
    <definedName name="IQRD39" hidden="1">"$D$40:$D$545"</definedName>
    <definedName name="IQRD41" hidden="1">"$D$42:$D$798"</definedName>
    <definedName name="IQRD42" hidden="1">"$D$43"</definedName>
    <definedName name="IQRD43" hidden="1">"$D$44:$D$1303"</definedName>
    <definedName name="IQRD44" hidden="1">"$D$45:$D$1322"</definedName>
    <definedName name="IQRD45" hidden="1">"$D$46:$D$808"</definedName>
    <definedName name="IQRD451" hidden="1">"$D$452:$D$512"</definedName>
    <definedName name="IQRD461" hidden="1">"$D$462:$D$522"</definedName>
    <definedName name="IQRD5" hidden="1">"$E$5:$K$5"</definedName>
    <definedName name="IQRD50" hidden="1">"$D$51:$D$1166"</definedName>
    <definedName name="IQRD52" hidden="1">"$D$53:$D$810"</definedName>
    <definedName name="IQRD53" hidden="1">"$D$54:$D$808"</definedName>
    <definedName name="IQRD62" hidden="1">"$D$63:$D$568"</definedName>
    <definedName name="IQRD64" hidden="1">"$D$65:$D$317"</definedName>
    <definedName name="IQRD67" hidden="1">"$D$68:$D$819"</definedName>
    <definedName name="IQRD68" hidden="1">"$D$69:$D$821"</definedName>
    <definedName name="IQRD8" hidden="1">"$D$9:$D$19"</definedName>
    <definedName name="IQRD9" hidden="1">"$D$10:$D$1756"</definedName>
    <definedName name="IQRD91" hidden="1">"$D$92:$D$606"</definedName>
    <definedName name="IQRD92" hidden="1">"$D$93:$D$608"</definedName>
    <definedName name="IQRDA11" hidden="1">"$DA$12:$DA$73"</definedName>
    <definedName name="IQRDATAC13" hidden="1">#REF!</definedName>
    <definedName name="IQRDE11" hidden="1">"$DE$12:$DE$75"</definedName>
    <definedName name="IQRDI11" hidden="1">"$DI$12:$DI$76"</definedName>
    <definedName name="IQRDM11" hidden="1">"$DM$12:$DM$76"</definedName>
    <definedName name="IQRDQ11" hidden="1">"$DQ$12:$DQ$73"</definedName>
    <definedName name="IQRDU11" hidden="1">"$DU$12:$DU$76"</definedName>
    <definedName name="IQRDY11" hidden="1">"$DY$12:$DY$76"</definedName>
    <definedName name="IQRE10" hidden="1">"$E$11:$E$21"</definedName>
    <definedName name="IQRE100" hidden="1">"$E$101:$E$354"</definedName>
    <definedName name="IQRE15" hidden="1">"$E$16:$E$1137"</definedName>
    <definedName name="IQRE30" hidden="1">"$E$31:$E$786"</definedName>
    <definedName name="IQRE38" hidden="1">"$E$39:$E$292"</definedName>
    <definedName name="IQRE50" hidden="1">"$E$51:$E$806"</definedName>
    <definedName name="IQRE64" hidden="1">"$E$65:$E$119"</definedName>
    <definedName name="IQRE8" hidden="1">"$E$9:$E$19"</definedName>
    <definedName name="IQRE87" hidden="1">"$E$88:$E$339"</definedName>
    <definedName name="IQRE92" hidden="1">"$E$93:$E$148"</definedName>
    <definedName name="IQRE93" hidden="1">"$E$94:$E$149"</definedName>
    <definedName name="IQRE94" hidden="1">"$E$95:$E$346"</definedName>
    <definedName name="IQRE95" hidden="1">"$E$96:$E$209"</definedName>
    <definedName name="IQREC11" hidden="1">"$EC$12:$EC$388"</definedName>
    <definedName name="IQREG11" hidden="1">"$EG$12:$EG$76"</definedName>
    <definedName name="IQREK11" hidden="1">"$EK$12:$EK$225"</definedName>
    <definedName name="IQRESsharepriceD17" hidden="1">#REF!</definedName>
    <definedName name="IQREV11" hidden="1">"$EV$12:$EV$665"</definedName>
    <definedName name="IQRExchangeratioanalysisB10" hidden="1">#REF!</definedName>
    <definedName name="IQRExchangeratioanalysisC10" hidden="1">#REF!</definedName>
    <definedName name="IQRF100" hidden="1">"$F$101:$F$354"</definedName>
    <definedName name="IQRF15" hidden="1">"$F$16:$F$1062"</definedName>
    <definedName name="IQRF87" hidden="1">"$F$88:$F$339"</definedName>
    <definedName name="IQRF94" hidden="1">"$F$95:$F$346"</definedName>
    <definedName name="IQRG100" hidden="1">"$G$101:$G$354"</definedName>
    <definedName name="IQRG15" hidden="1">"$G$16:$G$1047"</definedName>
    <definedName name="IQRG64" hidden="1">"$G$65:$G$127"</definedName>
    <definedName name="IQRG87" hidden="1">"$G$88:$G$339"</definedName>
    <definedName name="IQRG94" hidden="1">"$G$95:$G$346"</definedName>
    <definedName name="IQRH10" hidden="1">"$H$11:$H$21"</definedName>
    <definedName name="IQRH12" hidden="1">"$H$13:$H$182"</definedName>
    <definedName name="IQRH15" hidden="1">"$H$16:$H$1047"</definedName>
    <definedName name="IQRH64" hidden="1">"$H$65:$H$127"</definedName>
    <definedName name="IQRH92" hidden="1">"$H$93:$H$155"</definedName>
    <definedName name="IQRH93" hidden="1">"$H$94:$H$156"</definedName>
    <definedName name="IQRH95" hidden="1">"$H$96:$H$159"</definedName>
    <definedName name="IQRHCDATAC13" hidden="1">#REF!</definedName>
    <definedName name="IQRI64" hidden="1">"$I$65:$I$128"</definedName>
    <definedName name="IQRI7" hidden="1">"$I$8:$I$258"</definedName>
    <definedName name="IQRJ18" hidden="1">"$J$19:$J$270"</definedName>
    <definedName name="IQRK15" hidden="1">"$K$16:$K$33"</definedName>
    <definedName name="IQRK18" hidden="1">"$K$19:$K$270"</definedName>
    <definedName name="IQRK64" hidden="1">"$K$65:$K$128"</definedName>
    <definedName name="IQRK92" hidden="1">"$K$93:$K$156"</definedName>
    <definedName name="IQRK93" hidden="1">"$K$94:$K$157"</definedName>
    <definedName name="IQRK95" hidden="1">"$K$96:$K$158"</definedName>
    <definedName name="IQRL18" hidden="1">"$L$19:$L$270"</definedName>
    <definedName name="IQRL6" hidden="1">"$L$7:$L$259"</definedName>
    <definedName name="IQRL7" hidden="1">"$L$8:$L$259"</definedName>
    <definedName name="IQRL8" hidden="1">"$L$9:$L$261"</definedName>
    <definedName name="IQRM6" hidden="1">"$M$7:$M$28"</definedName>
    <definedName name="IQRM64" hidden="1">"$M$65:$M$317"</definedName>
    <definedName name="IQRM8" hidden="1">"$M$9:$M$19"</definedName>
    <definedName name="IQRN20" hidden="1">"$N$21:$N$526"</definedName>
    <definedName name="IQRN24" hidden="1">"$N$25:$N$277"</definedName>
    <definedName name="IQRN38" hidden="1">"$N$39:$N$56"</definedName>
    <definedName name="IQRN6" hidden="1">"$N$7:$N$68"</definedName>
    <definedName name="IQRN64" hidden="1">"$N$65:$N$317"</definedName>
    <definedName name="IQRN8" hidden="1">"$N$9:$N$19"</definedName>
    <definedName name="IQRN92" hidden="1">"$N$93:$N$157"</definedName>
    <definedName name="IQRN93" hidden="1">"$N$94:$N$158"</definedName>
    <definedName name="IQRN95" hidden="1">"$N$96:$N$160"</definedName>
    <definedName name="IQRO12" hidden="1">"$O$13:$O$261"</definedName>
    <definedName name="IQRO6" hidden="1">"$O$7:$O$28"</definedName>
    <definedName name="IQRO64" hidden="1">"$O$65:$O$126"</definedName>
    <definedName name="IQRP18" hidden="1">"$P$19:$P$270"</definedName>
    <definedName name="IQRP6" hidden="1">"$P$7:$P$28"</definedName>
    <definedName name="IQRP7" hidden="1">"$P$8:$P$260"</definedName>
    <definedName name="IQRP8" hidden="1">"$P$9:$P$35"</definedName>
    <definedName name="IQRPeopleH12">#REF!</definedName>
    <definedName name="IQRPeopleH13">#REF!</definedName>
    <definedName name="IQRPeopleH14">#REF!</definedName>
    <definedName name="IQRPeopleH15">#REF!</definedName>
    <definedName name="IQRPeopleN12">#REF!</definedName>
    <definedName name="IQRPeopleN13">#REF!</definedName>
    <definedName name="IQRPeopleN14">#REF!</definedName>
    <definedName name="IQRPeopleN15">#REF!</definedName>
    <definedName name="IQRQ15" hidden="1">"$Q$16:$Q$1047"</definedName>
    <definedName name="IQRQ64" hidden="1">"$Q$65:$Q$129"</definedName>
    <definedName name="IQRQ8" hidden="1">"$Q$9:$Q$35"</definedName>
    <definedName name="IQRQ92" hidden="1">"$Q$93:$Q$157"</definedName>
    <definedName name="IQRQ93" hidden="1">"$Q$94:$Q$158"</definedName>
    <definedName name="IQRQ95" hidden="1">"$Q$96:$Q$160"</definedName>
    <definedName name="IQRR15" hidden="1">"$R$16:$R$1047"</definedName>
    <definedName name="IQRR8" hidden="1">"$R$9:$R$19"</definedName>
    <definedName name="IQRRevenuesD24" hidden="1">#REF!</definedName>
    <definedName name="IQRRightmoveBrokerE26" hidden="1">#REF!</definedName>
    <definedName name="IQRS11" hidden="1">"$S$12:$S$138"</definedName>
    <definedName name="IQRS15" hidden="1">"$S$16:$S$1047"</definedName>
    <definedName name="IQRS64" hidden="1">"$S$65:$S$129"</definedName>
    <definedName name="IQRShareholdersE14" hidden="1">#REF!</definedName>
    <definedName name="IQRShareholdersF13" hidden="1">#REF!</definedName>
    <definedName name="IQRSharePrice2U5" hidden="1">#REF!</definedName>
    <definedName name="IQRSharePriceD10" hidden="1">#REF!</definedName>
    <definedName name="IQRSharepriceD18" hidden="1">#REF!</definedName>
    <definedName name="IQRSharepriceD34" hidden="1">#REF!</definedName>
    <definedName name="IQRSharepriceD55" hidden="1">#REF!</definedName>
    <definedName name="IQRSharepricedev2D41" hidden="1">#REF!</definedName>
    <definedName name="IQRSharepricedevD41" hidden="1">#REF!</definedName>
    <definedName name="IQRSharepriceK18" hidden="1">#REF!</definedName>
    <definedName name="IQRSharepricesD20" hidden="1">#REF!</definedName>
    <definedName name="IQRSharePriceU5" hidden="1">#REF!</definedName>
    <definedName name="IQRSharePriceU8" hidden="1">#REF!</definedName>
    <definedName name="IQRSharePriceU9" hidden="1">#REF!</definedName>
    <definedName name="IQRSharePriceV9" hidden="1">#REF!</definedName>
    <definedName name="IQRSharePriceW9" hidden="1">#REF!</definedName>
    <definedName name="IQRSheet108D17" hidden="1">#REF!</definedName>
    <definedName name="IQRSheet108D18" hidden="1">#REF!</definedName>
    <definedName name="IQRSheet108K18" hidden="1">#REF!</definedName>
    <definedName name="IQRSheet1D18" hidden="1">#REF!</definedName>
    <definedName name="IQRSheet1D23" hidden="1">#REF!</definedName>
    <definedName name="IQRSheet1D24" hidden="1">#REF!</definedName>
    <definedName name="IQRT15" hidden="1">"$T$16:$T$1051"</definedName>
    <definedName name="IQRT6" hidden="1">"$T$7:$T$97"</definedName>
    <definedName name="IQRT64" hidden="1">"$T$65:$T$126"</definedName>
    <definedName name="IQRT92" hidden="1">"$T$93:$T$154"</definedName>
    <definedName name="IQRT93" hidden="1">"$T$94:$T$155"</definedName>
    <definedName name="IQRT95" hidden="1">"$T$96:$T$159"</definedName>
    <definedName name="IQRU15" hidden="1">"$U$16:$U$1051"</definedName>
    <definedName name="IQRU64" hidden="1">"$U$65:$U$129"</definedName>
    <definedName name="IQRU8" hidden="1">"$U$9:$U$35"</definedName>
    <definedName name="IQRV12" hidden="1">"$V$13:$V$262"</definedName>
    <definedName name="IQRV15" hidden="1">"$V$16:$V$1062"</definedName>
    <definedName name="IQRV39" hidden="1">"$V$40"</definedName>
    <definedName name="IQRValuationD24" hidden="1">#REF!</definedName>
    <definedName name="IQRVolumeU10" hidden="1">#REF!</definedName>
    <definedName name="IQRVolumeU5" hidden="1">#REF!</definedName>
    <definedName name="IQRVolumeU6" hidden="1">#REF!</definedName>
    <definedName name="IQRVolumeU7" hidden="1">#REF!</definedName>
    <definedName name="IQRVolumeV10" hidden="1">#REF!</definedName>
    <definedName name="IQRVolumeW10" hidden="1">#REF!</definedName>
    <definedName name="IQRW15" hidden="1">"$W$16:$W$1062"</definedName>
    <definedName name="IQRW64" hidden="1">"$W$65:$W$128"</definedName>
    <definedName name="IQRW7" hidden="1">"$W$8:$W$259"</definedName>
    <definedName name="IQRW92" hidden="1">"$W$93:$W$156"</definedName>
    <definedName name="IQRW93" hidden="1">"$W$94:$W$157"</definedName>
    <definedName name="IQRW95" hidden="1">"$W$96:$W$157"</definedName>
    <definedName name="IQRX15" hidden="1">"$X$16:$X$1062"</definedName>
    <definedName name="IQRY15" hidden="1">"$Y$16:$Y$1062"</definedName>
    <definedName name="IQRY64" hidden="1">"$Y$65:$Y$128"</definedName>
    <definedName name="IQRZ15" hidden="1">"$Z$16:$Z$1047"</definedName>
    <definedName name="IQRZ64" hidden="1">"$Z$65:$Z$129"</definedName>
    <definedName name="IQRZ92" hidden="1">"$Z$93:$Z$157"</definedName>
    <definedName name="IQRZ93" hidden="1">"$Z$94:$Z$158"</definedName>
    <definedName name="IQRZ95" hidden="1">"$Z$96:$Z$160"</definedName>
    <definedName name="Ir_Inicio">#REF!</definedName>
    <definedName name="Irbe" hidden="1">{#N/A,#N/A,FALSE,"Pharm";#N/A,#N/A,FALSE,"WWCM"}</definedName>
    <definedName name="IsColHidden" hidden="1">FALSE</definedName>
    <definedName name="IsLTMColHidden" hidden="1">FALSE</definedName>
    <definedName name="Issue" hidden="1">"BL7FKFTY6NDALOTZZF8PFRAS6"</definedName>
    <definedName name="ium.xls" hidden="1">{"mgmt forecast",#N/A,FALSE,"Mgmt Forecast";"dcf table",#N/A,FALSE,"Mgmt Forecast";"sensitivity",#N/A,FALSE,"Mgmt Forecast";"table inputs",#N/A,FALSE,"Mgmt Forecast";"calculations",#N/A,FALSE,"Mgmt Forecast"}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y" hidden="1">{"AS REP",#N/A,FALSE,"EEFSNAP2";"PROP",#N/A,FALSE,"EEFSNAP2";"RISKS",#N/A,FALSE,"EEFSNAP2";"VIEW ALL",#N/A,FALSE,"EEFSNAP2"}</definedName>
    <definedName name="j" hidden="1">#REF!</definedName>
    <definedName name="ja_1" hidden="1">{"ProjectInput",#N/A,FALSE,"INPUT-AREA"}</definedName>
    <definedName name="ja_2" hidden="1">{"ProjectInput",#N/A,FALSE,"INPUT-AREA"}</definedName>
    <definedName name="ja_3" hidden="1">{"ProjectInput",#N/A,FALSE,"INPUT-AREA"}</definedName>
    <definedName name="ja_4" hidden="1">{"ProjectInput",#N/A,FALSE,"INPUT-AREA"}</definedName>
    <definedName name="ja_5" hidden="1">{"ProjectInput",#N/A,FALSE,"INPUT-AREA"}</definedName>
    <definedName name="Jai" hidden="1">{"'August 2000'!$A$1:$J$101"}</definedName>
    <definedName name="jala" hidden="1">#REF!</definedName>
    <definedName name="JAN" hidden="1">{"REP1",#N/A,FALSE,"HSSA-LOG"}</definedName>
    <definedName name="JAN_17">#REF!</definedName>
    <definedName name="jann" hidden="1">{"REP1",#N/A,FALSE,"HSSA-LOG"}</definedName>
    <definedName name="JANV" hidden="1">{#N/A,#N/A,FALSE,"Tabl. H1";#N/A,#N/A,FALSE,"Tabl. H2"}</definedName>
    <definedName name="Jay" hidden="1">{#N/A,#N/A,FALSE,"gc (2)"}</definedName>
    <definedName name="Jay_1" hidden="1">{#N/A,#N/A,FALSE,"gc (2)"}</definedName>
    <definedName name="Jay_2" hidden="1">{#N/A,#N/A,FALSE,"gc (2)"}</definedName>
    <definedName name="Jay_3" hidden="1">{#N/A,#N/A,FALSE,"gc (2)"}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udi" hidden="1">{#N/A,#N/A,FALSE,"Tabl. A1";#N/A,#N/A,FALSE,"Tabl. A1 b";#N/A,#N/A,FALSE,"Tabl. A2";#N/A,#N/A,FALSE,"Tabl. A2-1";#N/A,#N/A,FALSE,"Tabl. A2-2"}</definedName>
    <definedName name="jfdsir" hidden="1">{"YTD",#N/A,FALSE,"SUM"}</definedName>
    <definedName name="jfjfj_control" hidden="1">{"'August 2000'!$A$1:$J$101"}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gj" hidden="1">{#N/A,#N/A,FALSE,"COVER.XLS";#N/A,#N/A,FALSE,"RACT1.XLS";#N/A,#N/A,FALSE,"RACT2.XLS";#N/A,#N/A,FALSE,"ECCMP";#N/A,#N/A,FALSE,"WELDER.XLS"}</definedName>
    <definedName name="jhfjhfhjf" hidden="1">{#N/A,#N/A,FALSE,"PMTABB";#N/A,#N/A,FALSE,"PMTABB"}</definedName>
    <definedName name="jhgf" hidden="1">{"Commentary",#N/A,FALSE,"May"}</definedName>
    <definedName name="JHGFDS" hidden="1">{#N/A,#N/A,FALSE,"Tabl. G1";#N/A,#N/A,FALSE,"Tabl. G2"}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jj">#REF!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_control" hidden="1">{"'August 2000'!$A$1:$J$101"}</definedName>
    <definedName name="j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j" hidden="1">{#N/A,#N/A,FALSE,"Staffnos &amp; cost"}</definedName>
    <definedName name="jjjjjjjjjjjjjjjjjjjjj">#REF!</definedName>
    <definedName name="jjkj" hidden="1">{#N/A,#N/A,FALSE,"Staffnos &amp; cost"}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CWNLN" hidden="1">#REF!</definedName>
    <definedName name="jkiu" hidden="1">{#N/A,"PURCHM",FALSE,"Business Analysis";#N/A,"SPADD",FALSE,"Business Analysis"}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j" hidden="1">{"TOTAL",#N/A,FALSE,"A";"FISCAL94",#N/A,FALSE,"A";"FISCAL95",#N/A,FALSE,"A";"FISCAL96",#N/A,FALSE,"A";"misc page",#N/A,FALSE,"A"}</definedName>
    <definedName name="jklj_1" hidden="1">{"TOTAL",#N/A,FALSE,"A";"FISCAL94",#N/A,FALSE,"A";"FISCAL95",#N/A,FALSE,"A";"FISCAL96",#N/A,FALSE,"A";"misc page",#N/A,FALSE,"A"}</definedName>
    <definedName name="jklj_2" hidden="1">{"TOTAL",#N/A,FALSE,"A";"FISCAL94",#N/A,FALSE,"A";"FISCAL95",#N/A,FALSE,"A";"FISCAL96",#N/A,FALSE,"A";"misc page",#N/A,FALSE,"A"}</definedName>
    <definedName name="jklj_3" hidden="1">{"TOTAL",#N/A,FALSE,"A";"FISCAL94",#N/A,FALSE,"A";"FISCAL95",#N/A,FALSE,"A";"FISCAL96",#N/A,FALSE,"A";"misc page",#N/A,FALSE,"A"}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CBNJK" hidden="1">#REF!</definedName>
    <definedName name="jkwsd" hidden="1">{"detail",#N/A,FALSE,"mfg";"summary",#N/A,FALSE,"mfg"}</definedName>
    <definedName name="JLKFJKGSJ" hidden="1">{#N/A,#N/A,TRUE,"流动资产--预付";"宁夏正大会计师事务所 - 个人视面",#N/A,TRUE,"Sheet1"}</definedName>
    <definedName name="jnbid" hidden="1">{"detail",#N/A,FALSE,"mfg";"summary",#N/A,FALSE,"mfg"}</definedName>
    <definedName name="Joe" hidden="1">{"FY04_Assets",#N/A,FALSE,"Fin Stmt Budget";"FY04_Liabilities",#N/A,FALSE,"Fin Stmt Budget";"FY04_Inc_Stmt",#N/A,FALSE,"Fin Stmt Budget";"FY04_SOCF",#N/A,FALSE,"Fin Stmt Budget"}</definedName>
    <definedName name="jomn" hidden="1">{"pro_view",#N/A,FALSE,"EEFSNAP2";"rep_view",#N/A,FALSE,"EEFSNAP2"}</definedName>
    <definedName name="jöuiuiuzi" hidden="1">{#N/A,#N/A,FALSE,"Umsatz 99";#N/A,#N/A,FALSE,"ER 99 "}</definedName>
    <definedName name="JQWKBKBJ" hidden="1">#REF!</definedName>
    <definedName name="JQWKNJNKDS" hidden="1">#REF!</definedName>
    <definedName name="JRN" hidden="1">{#N/A,#N/A,FALSE,"Tabl. FB300";#N/A,#N/A,FALSE,"Tabl. FB350";#N/A,#N/A,FALSE,"Tabl. FB400";#N/A,#N/A,FALSE,"Tabl. FB500";#N/A,#N/A,FALSE,"Tabl. FS090"}</definedName>
    <definedName name="jslxkkd" hidden="1">{#N/A,#N/A,FALSE,"One Pager";#N/A,#N/A,FALSE,"Technical"}</definedName>
    <definedName name="ju" hidden="1">{"PRINTREP",#N/A,FALSE,"Sheet1"}</definedName>
    <definedName name="judy" hidden="1">{#N/A,#N/A,FALSE,"Pharm";#N/A,#N/A,FALSE,"WWCM"}</definedName>
    <definedName name="judy1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16">#REF!</definedName>
    <definedName name="JUL_17">#REF!</definedName>
    <definedName name="july" hidden="1">#REF!</definedName>
    <definedName name="Jun">#REF!</definedName>
    <definedName name="JUN_16">#REF!</definedName>
    <definedName name="JUN_17">#REF!</definedName>
    <definedName name="Jun_Head">#REF!</definedName>
    <definedName name="JUNE05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K_Start_DQ_GL">#REF!</definedName>
    <definedName name="K_Start_DQ_VAT">#REF!</definedName>
    <definedName name="kamal" hidden="1">{#N/A,#N/A,FALSE,"Staffnos &amp; cost"}</definedName>
    <definedName name="KAPIL" hidden="1">{#N/A,#N/A,FALSE,"Aging Summary";#N/A,#N/A,FALSE,"Ratio Analysis";#N/A,#N/A,FALSE,"Test 120 Day Accts";#N/A,#N/A,FALSE,"Tickmarks"}</definedName>
    <definedName name="kay" hidden="1">#REF!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cuf_1" hidden="1">{"SUMMARY",#N/A,TRUE,"SUMMARY";"compare",#N/A,TRUE,"Vs. Bus Plan";"ratios",#N/A,TRUE,"Ratios";"REVENUE",#N/A,TRUE,"Revenue";"expenses",#N/A,TRUE,"1996 budget";"payroll",#N/A,TRUE,"Payroll"}</definedName>
    <definedName name="key" hidden="1">#REF!</definedName>
    <definedName name="KeyCustom1">#REF!</definedName>
    <definedName name="KeyCustom2">#REF!</definedName>
    <definedName name="KeyPersonal">#REF!</definedName>
    <definedName name="KeySick">#REF!</definedName>
    <definedName name="KeyVacation">#REF!</definedName>
    <definedName name="Keyy22" hidden="1">#REF!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ksz" hidden="1">{#N/A,#N/A,FALSE,"Aging Summary";#N/A,#N/A,FALSE,"Ratio Analysis";#N/A,#N/A,FALSE,"Test 120 Day Accts";#N/A,#N/A,FALSE,"Tickmarks"}</definedName>
    <definedName name="k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l.xls" hidden="1">{"mgmt forecast",#N/A,FALSE,"Mgmt Forecast";"dcf table",#N/A,FALSE,"Mgmt Forecast";"sensitivity",#N/A,FALSE,"Mgmt Forecast";"table inputs",#N/A,FALSE,"Mgmt Forecast";"calculations",#N/A,FALSE,"Mgmt Forecast"}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{#N/A,#N/A,FALSE,"Admin";#N/A,#N/A,FALSE,"Other"}</definedName>
    <definedName name="kjds" hidden="1">#REF!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{#N/A,#N/A,FALSE,"Tabl. FB300";#N/A,#N/A,FALSE,"Tabl. FB350";#N/A,#N/A,FALSE,"Tabl. FB400";#N/A,#N/A,FALSE,"Tabl. FB500";#N/A,#N/A,FALSE,"Tabl. FS090"}</definedName>
    <definedName name="kjhg" hidden="1">{"ICD Details",#N/A,FALSE,"Current Yr";"ICD Details",#N/A,FALSE,"Budget";"ICD Details",#N/A,FALSE,"Prior Year"}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lj">#REF!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 hidden="1">{#N/A,#N/A,FALSE,"Staffnos &amp; cost"}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k.llll" hidden="1">{#N/A,#N/A,FALSE,"Umsatz 99";#N/A,#N/A,FALSE,"ER 99 "}</definedName>
    <definedName name="kl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D" hidden="1">{#N/A,#N/A,FALSE,"Tabl. A1";#N/A,#N/A,FALSE,"Tabl. A1 b";#N/A,#N/A,FALSE,"Tabl. A2";#N/A,#N/A,FALSE,"Tabl. A2-1";#N/A,#N/A,FALSE,"Tabl. A2-2"}</definedName>
    <definedName name="KLE" hidden="1">{#N/A,#N/A,FALSE,"Tabl. H1";#N/A,#N/A,FALSE,"Tabl. H2"}</definedName>
    <definedName name="klj.xls" hidden="1">{"mgmt forecast",#N/A,FALSE,"Mgmt Forecast";"dcf table",#N/A,FALSE,"Mgmt Forecast";"sensitivity",#N/A,FALSE,"Mgmt Forecast";"table inputs",#N/A,FALSE,"Mgmt Forecast";"calculations",#N/A,FALSE,"Mgmt Forecast"}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{#N/A,#N/A,FALSE,"OSBL"}</definedName>
    <definedName name="KLKK_1" hidden="1">{#N/A,#N/A,FALSE,"OSBL"}</definedName>
    <definedName name="KLKK_2" hidden="1">{#N/A,#N/A,FALSE,"OSBL"}</definedName>
    <definedName name="KLKK_3" hidden="1">{#N/A,#N/A,FALSE,"OSBL"}</definedName>
    <definedName name="KLKK_4" hidden="1">{#N/A,#N/A,FALSE,"OSBL"}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m" hidden="1">{"pro_view",#N/A,FALSE,"EEFSNAP2";"rep_view",#N/A,FALSE,"EEFSNAP2"}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l" hidden="1">{#N/A,#N/A,FALSE,"Staffnos &amp; cost"}</definedName>
    <definedName name="kou" hidden="1">{"detail",#N/A,FALSE,"mfg";"summary",#N/A,FALSE,"mfg"}</definedName>
    <definedName name="KPI" hidden="1">{"'OBT_6M_30_6'!$S$1:$AE$53"}</definedName>
    <definedName name="kpmg10" hidden="1">#REF!</definedName>
    <definedName name="kpmg11" hidden="1">#REF!</definedName>
    <definedName name="kpmg12" hidden="1">#REF!</definedName>
    <definedName name="kpmg13" hidden="1">#REF!</definedName>
    <definedName name="kpmg16" hidden="1">#REF!</definedName>
    <definedName name="kpmg6" hidden="1">#REF!</definedName>
    <definedName name="kpmg7" hidden="1">#REF!</definedName>
    <definedName name="kpmg9" hidden="1">#REF!</definedName>
    <definedName name="kpmh8" hidden="1">#REF!</definedName>
    <definedName name="kr" hidden="1">{#N/A,#N/A,FALSE,"AUDIT-MWOS"}</definedName>
    <definedName name="ks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lkjkjlkjd" hidden="1">{#N/A,#N/A,FALSE,"REPORT"}</definedName>
    <definedName name="KUULSD" hidden="1">{#N/A,#N/A,FALSE,"COMP"}</definedName>
    <definedName name="kv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kyd.CounterLimitCell.01." hidden="1">"x"</definedName>
    <definedName name="kyd.Dim.01." hidden="1">"local:Company"</definedName>
    <definedName name="kyd.ElementList.01." hidden="1">#REF!</definedName>
    <definedName name="kyd.ElementType.01." hidden="1">3</definedName>
    <definedName name="kyd.ItemType.01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"FormatReport"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3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"*"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L_BS_Categories">#REF!</definedName>
    <definedName name="l_BS_Cats">OFFSET(#REF!,0,0,#REF!+#REF!+#REF!+#REF!+#REF!,1)</definedName>
    <definedName name="l_case">#REF!</definedName>
    <definedName name="l_cash_interest">#REF!</definedName>
    <definedName name="L_Company">OFFSET(#REF!,0,0,#REF!,1)</definedName>
    <definedName name="l_currency">#REF!</definedName>
    <definedName name="l_dcf_cagr_in">#REF!</definedName>
    <definedName name="l_dcf_capex_in">#REF!</definedName>
    <definedName name="l_dcf_da_in">#REF!</definedName>
    <definedName name="l_dcf_ebitda_in">#REF!</definedName>
    <definedName name="l_dcf_tax_in">#REF!</definedName>
    <definedName name="l_debt_roll">#REF!</definedName>
    <definedName name="L_Entities">OFFSET(#REF!,0,0,#REF!,1)</definedName>
    <definedName name="l_margin_sensitivity">#REF!</definedName>
    <definedName name="l_min_cash">#REF!</definedName>
    <definedName name="L_Months">#REF!</definedName>
    <definedName name="L_Nominals">OFFSET(#REF!,0,0,#REF!,1)</definedName>
    <definedName name="l_nwc_plug">#REF!</definedName>
    <definedName name="l_opt">#REF!</definedName>
    <definedName name="L_PL_Categories">#REF!</definedName>
    <definedName name="l_PL_Cats">OFFSET(#REF!,0,0,#REF!+#REF!+#REF!+#REF!+#REF!+#REF!,1)</definedName>
    <definedName name="l_plug">#REF!</definedName>
    <definedName name="l_relever">#REF!</definedName>
    <definedName name="L_SheetNames">#REF!</definedName>
    <definedName name="l_tax_sensitivity">#REF!</definedName>
    <definedName name="l_waso_plug">#REF!</definedName>
    <definedName name="lan" hidden="1">{#N/A,#N/A,TRUE,"BT M200 da 10x20"}</definedName>
    <definedName name="LC_2" hidden="1">{#N/A,#N/A,FALSE,"PMTABB";#N/A,#N/A,FALSE,"PMTABB"}</definedName>
    <definedName name="LC_3" hidden="1">{#N/A,#N/A,FALSE,"PMTABB";#N/A,#N/A,FALSE,"PMTABB"}</definedName>
    <definedName name="LC_4" hidden="1">{#N/A,#N/A,FALSE,"PMTABB";#N/A,#N/A,FALSE,"PMTABB"}</definedName>
    <definedName name="lcase">#REF!</definedName>
    <definedName name="ldgkjsld" hidden="1">#REF!</definedName>
    <definedName name="ldkeir" hidden="1">{#N/A,"PURCHM",FALSE,"Business Analysis";#N/A,"SPADD",FALSE,"Business Analysis"}</definedName>
    <definedName name="ldskfjsl" hidden="1">{#N/A,#N/A,FALSE,"Model";#N/A,#N/A,FALSE,"Division"}</definedName>
    <definedName name="le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e" hidden="1">{#N/A,#N/A,FALSE,"Pharm";#N/A,#N/A,FALSE,"WWCM"}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lhhj" hidden="1">{"SCB BG EXT",#N/A,FALSE,"ADVANCEBG-EXT.D"}</definedName>
    <definedName name="lhol">#REF!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mcount" hidden="1">1</definedName>
    <definedName name="limey" hidden="1">{#N/A,#N/A,FALSE,"Calc";#N/A,#N/A,FALSE,"Sensitivity";#N/A,#N/A,FALSE,"LT Earn.Dil.";#N/A,#N/A,FALSE,"Dil. AVP"}</definedName>
    <definedName name="limey_1" hidden="1">{#N/A,#N/A,FALSE,"Calc";#N/A,#N/A,FALSE,"Sensitivity";#N/A,#N/A,FALSE,"LT Earn.Dil.";#N/A,#N/A,FALSE,"Dil. AVP"}</definedName>
    <definedName name="ListOffset" hidden="1">4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LJJ" hidden="1">{#N/A,#N/A,FALSE,"FREE"}</definedName>
    <definedName name="LJLJJ_1" hidden="1">{#N/A,#N/A,FALSE,"FREE"}</definedName>
    <definedName name="LJLJJ_2" hidden="1">{#N/A,#N/A,FALSE,"FREE"}</definedName>
    <definedName name="LJLJJ_3" hidden="1">{#N/A,#N/A,FALSE,"FREE"}</definedName>
    <definedName name="LJLJJ_4" hidden="1">{#N/A,#N/A,FALSE,"FREE"}</definedName>
    <definedName name="lk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lkajsdl" hidden="1">{0,0,0,0;0,0,0,0;0,0,0,0}</definedName>
    <definedName name="LKG" hidden="1">{#N/A,#N/A,FALSE,"Tabl. G1";#N/A,#N/A,FALSE,"Tabl. G2"}</definedName>
    <definedName name="lkj" hidden="1">{"detail",#N/A,FALSE,"mfg";"summary",#N/A,FALSE,"mfg"}</definedName>
    <definedName name="lkj.xlx" hidden="1">{"mgmt forecast",#N/A,FALSE,"Mgmt Forecast";"dcf table",#N/A,FALSE,"Mgmt Forecast";"sensitivity",#N/A,FALSE,"Mgmt Forecast";"table inputs",#N/A,FALSE,"Mgmt Forecast";"calculations",#N/A,FALSE,"Mgmt Forecast"}</definedName>
    <definedName name="lkjlkj" hidden="1">{"Final",#N/A,FALSE,"Feb-96"}</definedName>
    <definedName name="lkjlkj_1" hidden="1">{"Final",#N/A,FALSE,"Feb-96"}</definedName>
    <definedName name="l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_control" hidden="1">{"'August 2000'!$A$1:$J$101"}</definedName>
    <definedName name="LLL" hidden="1">{#N/A,#N/A,FALSE,"ACQ_GRAPHS";#N/A,#N/A,FALSE,"T_1 GRAPHS";#N/A,#N/A,FALSE,"T_2 GRAPHS";#N/A,#N/A,FALSE,"COMB_GRAPHS"}</definedName>
    <definedName name="LLL_1" hidden="1">{#N/A,#N/A,FALSE,"ACQ_GRAPHS";#N/A,#N/A,FALSE,"T_1 GRAPHS";#N/A,#N/A,FALSE,"T_2 GRAPHS";#N/A,#N/A,FALSE,"COMB_GRAPHS"}</definedName>
    <definedName name="llllll" hidden="1">{"detail",#N/A,FALSE,"mfg";"summary",#N/A,FALSE,"mfg"}</definedName>
    <definedName name="LLLLLLLL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lllo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lp" hidden="1">{"YD LPH2",#N/A,FALSE,"YTD"}</definedName>
    <definedName name="lmn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AN" hidden="1">{#N/A,#N/A,FALSE,"Income State.";#N/A,#N/A,FALSE,"B-S"}</definedName>
    <definedName name="LOAN_1" hidden="1">{#N/A,#N/A,FALSE,"Income State.";#N/A,#N/A,FALSE,"B-S"}</definedName>
    <definedName name="LOAN_2" hidden="1">{#N/A,#N/A,FALSE,"Income State.";#N/A,#N/A,FALSE,"B-S"}</definedName>
    <definedName name="LOAN_3" hidden="1">{#N/A,#N/A,FALSE,"Income State.";#N/A,#N/A,FALSE,"B-S"}</definedName>
    <definedName name="LOAN_4" hidden="1">{#N/A,#N/A,FALSE,"Income State.";#N/A,#N/A,FALSE,"B-S"}</definedName>
    <definedName name="LOAN_5" hidden="1">{#N/A,#N/A,FALSE,"Income State.";#N/A,#N/A,FALSE,"B-S"}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ationExistin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ocationExisting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op" hidden="1">{"detail",#N/A,FALSE,"mfg";"summary",#N/A,FALSE,"mfg"}</definedName>
    <definedName name="love" hidden="1">{"PAGE 1",#N/A,FALSE,"ES-01-XX";"PAGE 2",#N/A,FALSE,"ES-01-XX"}</definedName>
    <definedName name="love_1" hidden="1">{"PAGE 1",#N/A,FALSE,"ES-01-XX";"PAGE 2",#N/A,FALSE,"ES-01-XX"}</definedName>
    <definedName name="love_2" hidden="1">{"PAGE 1",#N/A,FALSE,"ES-01-XX";"PAGE 2",#N/A,FALSE,"ES-01-XX"}</definedName>
    <definedName name="love_3" hidden="1">{"PAGE 1",#N/A,FALSE,"ES-01-XX";"PAGE 2",#N/A,FALSE,"ES-01-XX"}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T_g">#REF!</definedName>
    <definedName name="LtDebtDmy" hidden="1">#REF!,#REF!,#REF!,#REF!,#REF!</definedName>
    <definedName name="LTTCWGRelatedParties">#REF!</definedName>
    <definedName name="lundi" hidden="1">{#N/A,#N/A,FALSE,"Tabl. G1";#N/A,#N/A,FALSE,"Tabl. G2"}</definedName>
    <definedName name="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case">#REF!</definedName>
    <definedName name="M_PlaceofPath" hidden="1">"\\SNYCEQT0100\HOME\LZURLO\DATA\TELMEX\Models\tmx_vdf.xls"</definedName>
    <definedName name="ma" hidden="1">{#N/A,#N/A,FALSE,"Staffnos &amp; cost"}</definedName>
    <definedName name="macro2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macro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macro4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macro6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maji" hidden="1">{"detail",#N/A,FALSE,"mfg";"summary",#N/A,FALSE,"mfg"}</definedName>
    <definedName name="Manisana" hidden="1">{"mgmt forecast",#N/A,FALSE,"Mgmt Forecast";"dcf table",#N/A,FALSE,"Mgmt Forecast";"sensitivity",#N/A,FALSE,"Mgmt Forecast";"table inputs",#N/A,FALSE,"Mgmt Forecast";"calculations",#N/A,FALSE,"Mgmt Forecast"}</definedName>
    <definedName name="MAR" hidden="1">#REF!</definedName>
    <definedName name="MAR_17">#REF!</definedName>
    <definedName name="MarCorporateTax">#REF!</definedName>
    <definedName name="mardi" hidden="1">{#N/A,#N/A,FALSE,"Tabl. H1";#N/A,#N/A,FALSE,"Tabl. H2"}</definedName>
    <definedName name="Materials" hidden="1">{#N/A,#N/A,TRUE,"Sheet1";#N/A,#N/A,TRUE,"Nov-1995"}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y">#REF!</definedName>
    <definedName name="MAY_16">#REF!</definedName>
    <definedName name="MAY_17">#REF!</definedName>
    <definedName name="May_Head">#REF!</definedName>
    <definedName name="mb_inputLocation" hidden="1">#REF!</definedName>
    <definedName name="mb_outputlocation" hidden="1">#REF!</definedName>
    <definedName name="MCBDB" hidden="1">{#N/A,#N/A,FALSE,"mpph1";#N/A,#N/A,FALSE,"mpmseb";#N/A,#N/A,FALSE,"mpph2"}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mberList">#REF!</definedName>
    <definedName name="memg" hidden="1">#REF!</definedName>
    <definedName name="MEWarning" hidden="1">1</definedName>
    <definedName name="mfoew" hidden="1">{#N/A,"PURCHM",FALSE,"Business Analysis";#N/A,"SPADD",FALSE,"Business Analysis"}</definedName>
    <definedName name="MHGMGH" hidden="1">{#N/A,#N/A,FALSE,"ISBL"}</definedName>
    <definedName name="MHGMGH_1" hidden="1">{#N/A,#N/A,FALSE,"ISBL"}</definedName>
    <definedName name="MHGMGH_2" hidden="1">{#N/A,#N/A,FALSE,"ISBL"}</definedName>
    <definedName name="MHGMGH_3" hidden="1">{#N/A,#N/A,FALSE,"ISBL"}</definedName>
    <definedName name="MHGMGH_4" hidden="1">{#N/A,#N/A,FALSE,"ISBL"}</definedName>
    <definedName name="MICHELE" hidden="1">{#N/A,#N/A,FALSE,"Tabl. FB300";#N/A,#N/A,FALSE,"Tabl. FB350";#N/A,#N/A,FALSE,"Tabl. FB400";#N/A,#N/A,FALSE,"Tabl. FB500";#N/A,#N/A,FALSE,"Tabl. FS090"}</definedName>
    <definedName name="Midwest" hidden="1">{"FY02_Assets",#N/A,FALSE,"Fin Stmt Budget";"FY02_Liabilities",#N/A,FALSE,"Fin Stmt Budget";"FY02_Inc_Stmt",#N/A,FALSE,"Fin Stmt Budget";"FY02_SOCF",#N/A,FALSE,"Fin Stmt Budget"}</definedName>
    <definedName name="mike" hidden="1">#REF!</definedName>
    <definedName name="mina" hidden="1">{#N/A,#N/A,FALSE,"REPORT"}</definedName>
    <definedName name="misgroup" hidden="1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k" hidden="1">#REF!</definedName>
    <definedName name="mkl" hidden="1">{"pro_view",#N/A,FALSE,"EEFSNAP2";"rep_view",#N/A,FALSE,"EEFSNAP2"}</definedName>
    <definedName name="MLKJH" hidden="1">{#N/A,#N/A,FALSE,"Tabl. G1";#N/A,#N/A,FALSE,"Tabl. G2"}</definedName>
    <definedName name="mlw" hidden="1">{#N/A,#N/A,FALSE,"Pharm";#N/A,#N/A,FALSE,"WWCM"}</definedName>
    <definedName name="mm" hidden="1">{#N/A,#N/A,FALSE,"Sheet7"}</definedName>
    <definedName name="mma" hidden="1">{#N/A,#N/A,FALSE,"Sheet7"}</definedName>
    <definedName name="mmk" hidden="1">{"Pg1",#N/A,FALSE,"OpExYTDvsBud";"Pg2",#N/A,FALSE,"OpExYTDvsBud"}</definedName>
    <definedName name="mmm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mmmm" hidden="1">{"'OBT_6M_30_6'!$S$1:$AE$53"}</definedName>
    <definedName name="mmmmm" hidden="1">{#N/A,#N/A,FALSE,"Calc";#N/A,#N/A,FALSE,"Sensitivity";#N/A,#N/A,FALSE,"LT Earn.Dil.";#N/A,#N/A,FALSE,"Dil. AVP"}</definedName>
    <definedName name="mmmmm_1" hidden="1">{#N/A,#N/A,FALSE,"Calc";#N/A,#N/A,FALSE,"Sensitivity";#N/A,#N/A,FALSE,"LT Earn.Dil.";#N/A,#N/A,FALSE,"Dil. AVP"}</definedName>
    <definedName name="mmp" hidden="1">{"detail",#N/A,FALSE,"mfg";"summary",#N/A,FALSE,"mfg"}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no" hidden="1">{#N/A,#N/A,FALSE,"Tabl. H1";#N/A,#N/A,FALSE,"Tabl. H2"}</definedName>
    <definedName name="mobisoc" hidden="1">{#N/A,#N/A,FALSE,"Staffnos &amp; cost"}</definedName>
    <definedName name="Model_status">#REF!</definedName>
    <definedName name="Mois">#REF!</definedName>
    <definedName name="Mois_seul">#REF!</definedName>
    <definedName name="mokp" hidden="1">{"QTD_LPO2N2",#N/A,FALSE,"QTD"}</definedName>
    <definedName name="Montant">#REF!</definedName>
    <definedName name="Month">#REF!</definedName>
    <definedName name="Month1">#REF!</definedName>
    <definedName name="monthly" hidden="1">{#N/A,#N/A,FALSE,"Status of Projects";#N/A,#N/A,FALSE,"CEA-TEC";#N/A,#N/A,FALSE,"U-Constr.";#N/A,#N/A,FALSE,"summary";#N/A,#N/A,FALSE,"PPP-3 yrs"}</definedName>
    <definedName name="Months">#REF!</definedName>
    <definedName name="MONTHVAT" hidden="1">TRUE</definedName>
    <definedName name="MoreThanOne" hidden="1">#REF!</definedName>
    <definedName name="MoreThanOneMember" hidden="1">#REF!</definedName>
    <definedName name="MotoDiscount">#REF!</definedName>
    <definedName name="mqg" hidden="1">{#N/A,#N/A,FALSE,"Tabl. H1";#N/A,#N/A,FALSE,"Tabl. H2"}</definedName>
    <definedName name="mtk" hidden="1">{#N/A,#N/A,FALSE,"Tabl. FB300";#N/A,#N/A,FALSE,"Tabl. FB350";#N/A,#N/A,FALSE,"Tabl. FB400";#N/A,#N/A,FALSE,"Tabl. FB500";#N/A,#N/A,FALSE,"Tabl. FS090"}</definedName>
    <definedName name="mtrk" hidden="1">{#N/A,#N/A,FALSE,"Tabl. FB300";#N/A,#N/A,FALSE,"Tabl. FB350";#N/A,#N/A,FALSE,"Tabl. FB400";#N/A,#N/A,FALSE,"Tabl. FB500";#N/A,#N/A,FALSE,"Tabl. FS090"}</definedName>
    <definedName name="mucwip" hidden="1">{#N/A,#N/A,TRUE,"RM-June"}</definedName>
    <definedName name="MUL_DT" hidden="1">{#N/A,#N/A,FALSE,"COMP"}</definedName>
    <definedName name="Mullio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um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MURTH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mw" hidden="1">{#N/A,#N/A,FALSE,"Pharm";#N/A,#N/A,FALSE,"WWCM"}</definedName>
    <definedName name="mYearStart" hidden="1">#REF!</definedName>
    <definedName name="MYUJTG" hidden="1">{#N/A,#N/A,FALSE,"EW"}</definedName>
    <definedName name="MYUJTG_1" hidden="1">{#N/A,#N/A,FALSE,"EW"}</definedName>
    <definedName name="MYUJTG_2" hidden="1">{#N/A,#N/A,FALSE,"EW"}</definedName>
    <definedName name="MYUJTG_3" hidden="1">{#N/A,#N/A,FALSE,"EW"}</definedName>
    <definedName name="MYUJTG_4" hidden="1">{#N/A,#N/A,FALSE,"EW"}</definedName>
    <definedName name="mzb" hidden="1">{#N/A,#N/A,FALSE,"Tabl. D1";#N/A,#N/A,FALSE,"Tabl. D1 b";#N/A,#N/A,FALSE,"Tabl. D2";#N/A,#N/A,FALSE,"Tabl. D2 b";#N/A,#N/A,FALSE,"Tabl. D3";#N/A,#N/A,FALSE,"Tabl. D4";#N/A,#N/A,FALSE,"Tabl. D5"}</definedName>
    <definedName name="N_1" hidden="1">{"by departments",#N/A,TRUE,"FORECAST";"cap_headcount",#N/A,TRUE,"FORECAST";"summary",#N/A,TRUE,"FORECAST"}</definedName>
    <definedName name="NAJWNL" hidden="1">#REF!</definedName>
    <definedName name="nam90ng" hidden="1">{"detail",#N/A,FALSE,"mfg";"summary",#N/A,FALSE,"mfg"}</definedName>
    <definedName name="nam9njk" hidden="1">{"detail",#N/A,FALSE,"mfg";"summary",#N/A,FALSE,"mfg"}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mpally" hidden="1">#REF!</definedName>
    <definedName name="Nation" hidden="1">{#N/A,#N/A,FALSE,"Index Data"}</definedName>
    <definedName name="Nationality" hidden="1">{#N/A,#N/A,FALSE,"Index Data"}</definedName>
    <definedName name="navneet" hidden="1">{"'Sheet3'!$A$1:$B$30"}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gh" hidden="1">{#N/A,#N/A,FALSE,"PMTABB";#N/A,#N/A,FALSE,"PMTABB"}</definedName>
    <definedName name="nbvgh_2" hidden="1">{#N/A,#N/A,FALSE,"PMTABB";#N/A,#N/A,FALSE,"PMTABB"}</definedName>
    <definedName name="nbvgh_3" hidden="1">{#N/A,#N/A,FALSE,"PMTABB";#N/A,#N/A,FALSE,"PMTABB"}</definedName>
    <definedName name="nbvgh_4" hidden="1">{#N/A,#N/A,FALSE,"PMTABB";#N/A,#N/A,FALSE,"PMTABB"}</definedName>
    <definedName name="NCJQKBHBHK" hidden="1">#REF!</definedName>
    <definedName name="nclientkey1" hidden="1">#REF!</definedName>
    <definedName name="nclientsort" hidden="1">#REF!</definedName>
    <definedName name="NCQJKBJK" hidden="1">#REF!</definedName>
    <definedName name="NCWJK" hidden="1">#REF!</definedName>
    <definedName name="New" hidden="1">{"detail",#N/A,FALSE,"mfg";"summary",#N/A,FALSE,"mfg"}</definedName>
    <definedName name="newnewnew" hidden="1">{#N/A,#N/A,FALSE,"Pharm";#N/A,#N/A,FALSE,"WWCM"}</definedName>
    <definedName name="Newone" hidden="1">{#N/A,#N/A,FALSE,"COMP"}</definedName>
    <definedName name="NewPlant" hidden="1">{"ROCE Summ",#N/A,FALSE,"Property Management Exps"}</definedName>
    <definedName name="newwrn.full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newwrn.quarterly" hidden="1">{"Calenquart",#N/A,FALSE,"Remedy-model";"fiscquarter",#N/A,FALSE,"Remedy-model"}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GFHFG" hidden="1">{#N/A,#N/A,FALSE,"PGW"}</definedName>
    <definedName name="NGFHFG_1" hidden="1">{#N/A,#N/A,FALSE,"PGW"}</definedName>
    <definedName name="NGFHFG_2" hidden="1">{#N/A,#N/A,FALSE,"PGW"}</definedName>
    <definedName name="NGFHFG_3" hidden="1">{#N/A,#N/A,FALSE,"PGW"}</definedName>
    <definedName name="NGFHFG_4" hidden="1">{#N/A,#N/A,FALSE,"PGW"}</definedName>
    <definedName name="nh" hidden="1">{"AS REP",#N/A,FALSE,"EEFSNAP2";"PROP",#N/A,FALSE,"EEFSNAP2";"RISKS",#N/A,FALSE,"EEFSNAP2";"VIEW ALL",#N/A,FALSE,"EEFSNAP2"}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 hidden="1">{"detail",#N/A,FALSE,"mfg";"summary",#N/A,FALSE,"mfg"}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l_1" hidden="1">{#N/A,#N/A,FALSE,"Aging Summary";#N/A,#N/A,FALSE,"Ratio Analysis";#N/A,#N/A,FALSE,"Test 120 Day Accts";#N/A,#N/A,FALSE,"Tickmarks"}</definedName>
    <definedName name="nit" hidden="1">{#N/A,#N/A,FALSE,"Tabl. D1";#N/A,#N/A,FALSE,"Tabl. D1 b";#N/A,#N/A,FALSE,"Tabl. D2";#N/A,#N/A,FALSE,"Tabl. D2 b";#N/A,#N/A,FALSE,"Tabl. D3";#N/A,#N/A,FALSE,"Tabl. D4";#N/A,#N/A,FALSE,"Tabl. D5"}</definedName>
    <definedName name="Nitin" hidden="1">#REF!</definedName>
    <definedName name="nitru" hidden="1">{#N/A,#N/A,FALSE,"Tabl. G1";#N/A,#N/A,FALSE,"Tabl. G2"}</definedName>
    <definedName name="NIWN" hidden="1">#REF!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hihu" hidden="1">#REF!</definedName>
    <definedName name="njis76" hidden="1">{"detail",#N/A,FALSE,"mfg";"summary",#N/A,FALSE,"mfg"}</definedName>
    <definedName name="njkjsh" hidden="1">{"detail",#N/A,FALSE,"mfg";"summary",#N/A,FALSE,"mfg"}</definedName>
    <definedName name="NJKQCNJK" hidden="1">#REF!</definedName>
    <definedName name="NJKWCNL" hidden="1">#REF!</definedName>
    <definedName name="NJWKCNK" hidden="1">#REF!</definedName>
    <definedName name="NJWKNJKNJK" hidden="1">#REF!</definedName>
    <definedName name="nkmi9c" hidden="1">{#N/A,"PURCHM",FALSE,"Business Analysis";#N/A,"SPADD",FALSE,"Business Analysis"}</definedName>
    <definedName name="NKQEBJKWE" hidden="1">#REF!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e" hidden="1">#REF!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 hidden="1">#REF!</definedName>
    <definedName name="nnh" hidden="1">{"Pa1",#N/A,FALSE,"OpExYTDvsPY";"Pa2",#N/A,FALSE,"OpExYTDvsPY"}</definedName>
    <definedName name="nnnb" hidden="1">{"consolidated",#N/A,FALSE,"Sheet1";"cms",#N/A,FALSE,"Sheet1";"fse",#N/A,FALSE,"Sheet1"}</definedName>
    <definedName name="nnnb_1" hidden="1">{"consolidated",#N/A,FALSE,"Sheet1";"cms",#N/A,FALSE,"Sheet1";"fse",#N/A,FALSE,"Sheet1"}</definedName>
    <definedName name="nnnnnnnnnn" hidden="1">{#N/A,#N/A,FALSE,"Status of Projects";#N/A,#N/A,FALSE,"CEA-TEC";#N/A,#N/A,FALSE,"U-Constr.";#N/A,#N/A,FALSE,"summary";#N/A,#N/A,FALSE,"PPP-3 yrs"}</definedName>
    <definedName name="nnnnnnnnnnnnnnnnnnnnnnnnnnnnnnn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NOAH" hidden="1">{#N/A,#N/A,FALSE,"Quarterly";#N/A,#N/A,FALSE,"Quarterly Other";#N/A,#N/A,FALSE,"Prod Rev";#N/A,#N/A,FALSE,"Balance Sheet Tracking";#N/A,#N/A,FALSE,"Annual";#N/A,#N/A,FALSE,"Balance Sheet"}</definedName>
    <definedName name="noidea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te">#REF!</definedName>
    <definedName name="notes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uv" hidden="1">{#N/A,#N/A,FALSE,"Pharm";#N/A,#N/A,FALSE,"WWCM"}</definedName>
    <definedName name="NOV_16">#REF!</definedName>
    <definedName name="ñp" hidden="1">{#N/A,"PURCHM",FALSE,"Business Analysis";#N/A,"SPADD",FALSE,"Business Analysis"}</definedName>
    <definedName name="NQJKBK" hidden="1">#REF!</definedName>
    <definedName name="NTZI" hidden="1">{#N/A,#N/A,FALSE,"מאזן בוחן";"כל_מאזן_בוחן",#N/A,FALSE,"מאזן בוחן"}</definedName>
    <definedName name="nuijh467" hidden="1">{"detail",#N/A,FALSE,"mfg";"summary",#N/A,FALSE,"mfg"}</definedName>
    <definedName name="Num_dp">#REF!</definedName>
    <definedName name="NUMBERFACTOR" hidden="1">1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"V2002-04-30"</definedName>
    <definedName name="NvsAutoDrillOk">"VN"</definedName>
    <definedName name="NvsElapsedTime">0.000182407413376495</definedName>
    <definedName name="NvsEndTime">37399.777778588</definedName>
    <definedName name="NvsInstSpec">"%"</definedName>
    <definedName name="NvsLayoutType">"M3"</definedName>
    <definedName name="NvsNplSpec">"%,X,RNF..,CNF.."</definedName>
    <definedName name="NvsPanelEffdt">"V1900-01-01"</definedName>
    <definedName name="NvsPanelSetid">"VPCSGR"</definedName>
    <definedName name="NvsReqBU">"VPCSGR"</definedName>
    <definedName name="NvsReqBUOnly">"VY"</definedName>
    <definedName name="NvsTransLed">"VN"</definedName>
    <definedName name="NvsTreeASD">"V2002-04-30"</definedName>
    <definedName name="NvsValTbl.ACCOUNT">"GL_ACCOUNT_TBL"</definedName>
    <definedName name="NvsValTbl.CURRENCY_CD">"CURRENCY_CD_TBL"</definedName>
    <definedName name="NvsValTbl.PRODUCT">"PRODUCT_TBL"</definedName>
    <definedName name="NWCJLNJ" hidden="1">#REF!</definedName>
    <definedName name="NWJCKNJK" hidden="1">#REF!</definedName>
    <definedName name="NWJKLNJ" hidden="1">#REF!</definedName>
    <definedName name="NWKJNKJK" hidden="1">#REF!</definedName>
    <definedName name="o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beetee" hidden="1">{#N/A,#N/A,TRUE,"Sheet1";#N/A,#N/A,TRUE,"Nov-1995"}</definedName>
    <definedName name="OCT" hidden="1">{#N/A,#N/A,FALSE,"Tabl. G1";#N/A,#N/A,FALSE,"Tabl. G2"}</definedName>
    <definedName name="OCT_16">#REF!</definedName>
    <definedName name="Offering">#REF!</definedName>
    <definedName name="Offshore" hidden="1">#REF!</definedName>
    <definedName name="ogkvsfj" hidden="1">{#N/A,#N/A,FALSE,"Model";#N/A,#N/A,FALSE,"Division"}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k" hidden="1">{"TOTAL",#N/A,FALSE,"A";"FISCAL94",#N/A,FALSE,"A";"FISCAL95",#N/A,FALSE,"A";"FISCAL96",#N/A,FALSE,"A";"misc page",#N/A,FALSE,"A"}</definedName>
    <definedName name="oink_1" hidden="1">{"TOTAL",#N/A,FALSE,"A";"FISCAL94",#N/A,FALSE,"A";"FISCAL95",#N/A,FALSE,"A";"FISCAL96",#N/A,FALSE,"A";"misc page",#N/A,FALSE,"A"}</definedName>
    <definedName name="oink_2" hidden="1">{"TOTAL",#N/A,FALSE,"A";"FISCAL94",#N/A,FALSE,"A";"FISCAL95",#N/A,FALSE,"A";"FISCAL96",#N/A,FALSE,"A";"misc page",#N/A,FALSE,"A"}</definedName>
    <definedName name="oink_3" hidden="1">{"TOTAL",#N/A,FALSE,"A";"FISCAL94",#N/A,FALSE,"A";"FISCAL95",#N/A,FALSE,"A";"FISCAL96",#N/A,FALSE,"A";"misc page",#N/A,FALSE,"A"}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lm.xls" hidden="1">{"mgmt forecast",#N/A,FALSE,"Mgmt Forecast";"dcf table",#N/A,FALSE,"Mgmt Forecast";"sensitivity",#N/A,FALSE,"Mgmt Forecast";"table inputs",#N/A,FALSE,"Mgmt Forecast";"calculations",#N/A,FALSE,"Mgmt Forecast"}</definedName>
    <definedName name="om" hidden="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on" hidden="1">{"overview",#N/A,FALSE,"summary";"net assets",#N/A,FALSE,"summary";"asset turnover",#N/A,FALSE,"summary";"orona",#N/A,FALSE,"summary"}</definedName>
    <definedName name="onj" hidden="1">{"Pa1",#N/A,FALSE,"OpExYTDvsPY";"Pa2",#N/A,FALSE,"OpExYTDvsPY"}</definedName>
    <definedName name="oo" hidden="1">{"Header",#N/A,TRUE,"Summary";"ProjectInfo",#N/A,TRUE,"Total Value"}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ooooo" hidden="1">{#N/A,#N/A,FALSE,"Calc";#N/A,#N/A,FALSE,"Sensitivity";#N/A,#N/A,FALSE,"LT Earn.Dil.";#N/A,#N/A,FALSE,"Dil. AVP"}</definedName>
    <definedName name="ooooo_1" hidden="1">{#N/A,#N/A,FALSE,"Calc";#N/A,#N/A,FALSE,"Sensitivity";#N/A,#N/A,FALSE,"LT Earn.Dil.";#N/A,#N/A,FALSE,"Dil. AVP"}</definedName>
    <definedName name="oooooooo" hidden="1">{#N/A,#N/A,FALSE,"Umsatz 99";#N/A,#N/A,FALSE,"ER 99 "}</definedName>
    <definedName name="Opening_Balances">#REF!</definedName>
    <definedName name="OpeningBalance">#REF!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q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opq.xls" hidden="1">{"mgmt forecast",#N/A,FALSE,"Mgmt Forecast";"dcf table",#N/A,FALSE,"Mgmt Forecast";"sensitivity",#N/A,FALSE,"Mgmt Forecast";"table inputs",#N/A,FALSE,"Mgmt Forecast";"calculations",#N/A,FALSE,"Mgmt Forecast"}</definedName>
    <definedName name="Orders" hidden="1">{#N/A,#N/A,TRUE,"Additions to Fixed Assets";#N/A,#N/A,TRUE,"Capital WIP"}</definedName>
    <definedName name="OrderTable" hidden="1">#REF!</definedName>
    <definedName name="Or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rg_7_Drop" hidden="1">#REF!</definedName>
    <definedName name="o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ther33" hidden="1">{#N/A,#N/A,FALSE,"Pharm";#N/A,#N/A,FALSE,"WWCM"}</definedName>
    <definedName name="othermar" hidden="1">{#N/A,#N/A,FALSE,"Pharm";#N/A,#N/A,FALSE,"WWCM"}</definedName>
    <definedName name="Others" hidden="1">{#N/A,#N/A,FALSE,"COVER1.XLS ";#N/A,#N/A,FALSE,"RACT1.XLS";#N/A,#N/A,FALSE,"RACT2.XLS";#N/A,#N/A,FALSE,"ECCMP";#N/A,#N/A,FALSE,"WELDER.XLS"}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put_graph1" hidden="1">#REF!</definedName>
    <definedName name="output_graph2" hidden="1">#REF!</definedName>
    <definedName name="output_graph3" hidden="1">#REF!</definedName>
    <definedName name="output_praph4" hidden="1">#REF!</definedName>
    <definedName name="OutputVAT">#REF!</definedName>
    <definedName name="owmkib" hidden="1">{"detail",#N/A,FALSE,"mfg";"summary",#N/A,FALSE,"mfg"}</definedName>
    <definedName name="P?HG" hidden="1">{#N/A,#N/A,FALSE,"Tabl. D1";#N/A,#N/A,FALSE,"Tabl. D1 b";#N/A,#N/A,FALSE,"Tabl. D2";#N/A,#N/A,FALSE,"Tabl. D2 b";#N/A,#N/A,FALSE,"Tabl. D3";#N/A,#N/A,FALSE,"Tabl. D4";#N/A,#N/A,FALSE,"Tabl. D5"}</definedName>
    <definedName name="p_case">#REF!</definedName>
    <definedName name="p_cash_interest">#REF!</definedName>
    <definedName name="p_currency">#REF!</definedName>
    <definedName name="p_dcf_cagr_in">#REF!</definedName>
    <definedName name="p_dcf_cagr_range">#REF!</definedName>
    <definedName name="p_dcf_capex_in">#REF!</definedName>
    <definedName name="p_dcf_capex_range">#REF!</definedName>
    <definedName name="p_dcf_da_in">#REF!</definedName>
    <definedName name="p_dcf_da_range">#REF!</definedName>
    <definedName name="p_dcf_ebitda_in">#REF!</definedName>
    <definedName name="p_dcf_ebitda_range">#REF!</definedName>
    <definedName name="p_dcf_tax_in">#REF!</definedName>
    <definedName name="p_dcf_tax_range">#REF!</definedName>
    <definedName name="p_debt_roll">#REF!</definedName>
    <definedName name="P_M_to_be_capitalised">#REF!</definedName>
    <definedName name="p_min_cash">#REF!</definedName>
    <definedName name="p_nwc_plug">#REF!</definedName>
    <definedName name="p_opt">#REF!</definedName>
    <definedName name="p_plug">#REF!</definedName>
    <definedName name="p_relever">#REF!</definedName>
    <definedName name="p_waso_plug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khak" hidden="1">{#N/A,#N/A,FALSE,"PMTABB";#N/A,#N/A,FALSE,"PMTABB"}</definedName>
    <definedName name="Pal_Workbook_GUID" hidden="1">"NDG7SRIEJUSBNTHFCUXE217E"</definedName>
    <definedName name="pallav" hidden="1">{#N/A,#N/A,FALSE,"PMTABB";#N/A,#N/A,FALSE,"PMTABB"}</definedName>
    <definedName name="parametrage">#REF!</definedName>
    <definedName name="Parametres">#REF!</definedName>
    <definedName name="parse" hidden="1">#REF!</definedName>
    <definedName name="Passages" hidden="1">{#N/A,#N/A,FALSE,"Tabl. A1";#N/A,#N/A,FALSE,"Tabl. A1 b";#N/A,#N/A,FALSE,"Tabl. A2";#N/A,#N/A,FALSE,"Tabl. A2-1";#N/A,#N/A,FALSE,"Tabl. A2-2"}</definedName>
    <definedName name="password" hidden="1">{#N/A,#N/A,FALSE,"WRSUMMARY";#N/A,#N/A,FALSE,"ANNEX-1";#N/A,#N/A,FALSE,"ANNEX-2";#N/A,#N/A,FALSE,"ANNEX-3";#N/A,#N/A,FALSE,"WORKING"}</definedName>
    <definedName name="pc" comment="plan comptable">#REF!</definedName>
    <definedName name="PCA" hidden="1">"BL7FKFTY6NDALOTZZF8PFRAS6"</definedName>
    <definedName name="pcase">#REF!</definedName>
    <definedName name="pd" hidden="1">{"detail",#N/A,FALSE,"mfg";"summary",#N/A,FALSE,"mfg"}</definedName>
    <definedName name="Pechous" hidden="1">{"FY01_Assets",#N/A,FALSE,"Fin Stmt Budget";"FY01_Liabilities",#N/A,FALSE,"Fin Stmt Budget";"FY01_Inc_Stmt",#N/A,FALSE,"Fin Stmt Budget";"FY01_SOCF",#N/A,FALSE,"Fin Stmt Budget"}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cent">"Debtcost"</definedName>
    <definedName name="PercentIncrease">#REF!</definedName>
    <definedName name="Performance_materiality">#REF!</definedName>
    <definedName name="period.FlowColsToAdd">#REF!</definedName>
    <definedName name="Period_end">#REF!</definedName>
    <definedName name="Period_Table">#REF!</definedName>
    <definedName name="PeriodEndDate">#REF!</definedName>
    <definedName name="PF" hidden="1">{#N/A,#N/A,FALSE,"COVER.XLS";#N/A,#N/A,FALSE,"RACT1.XLS";#N/A,#N/A,FALSE,"RACT2.XLS";#N/A,#N/A,FALSE,"ECCMP";#N/A,#N/A,FALSE,"WELDER.XLS"}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a" hidden="1">{#N/A,#N/A,FALSE,"Sales Graph";#N/A,#N/A,FALSE,"PSBM";#N/A,#N/A,FALSE,"BUC Graph";#N/A,#N/A,FALSE,"P&amp;L - YTD"}</definedName>
    <definedName name="pi" hidden="1">{"oct_res_comm",#N/A,FALSE,"VarToBud"}</definedName>
    <definedName name="PietjePuk" hidden="1">#N/A</definedName>
    <definedName name="PILAR" hidden="1">{"detail",#N/A,FALSE,"mfg";"summary",#N/A,FALSE,"mfg"}</definedName>
    <definedName name="pilk" hidden="1">{"YD LPH2",#N/A,FALSE,"YTD"}</definedName>
    <definedName name="Pipeline17">#REF!</definedName>
    <definedName name="Pipeline18">#REF!</definedName>
    <definedName name="PivotTable7.doc" hidden="1">#REF!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L_Group">#REF!</definedName>
    <definedName name="PL_Month">#REF!</definedName>
    <definedName name="PL_Sub_Group">#REF!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Cepi" hidden="1">{#N/A,#N/A,FALSE,"REPORT"}</definedName>
    <definedName name="PLProcef" hidden="1">{#N/A,#N/A,FALSE,"REPORT"}</definedName>
    <definedName name="PLSCH" hidden="1">{"'Sch B'!$B$15:$L$17"}</definedName>
    <definedName name="PLTaxol" hidden="1">{#N/A,#N/A,FALSE,"REPORT"}</definedName>
    <definedName name="ply" hidden="1">#REF!</definedName>
    <definedName name="plywood" hidden="1">#REF!</definedName>
    <definedName name="pmc" hidden="1">{#N/A,#N/A,FALSE,"PMTABB";#N/A,#N/A,FALSE,"PMTABB"}</definedName>
    <definedName name="pmc_2" hidden="1">{#N/A,#N/A,FALSE,"PMTABB";#N/A,#N/A,FALSE,"PMTABB"}</definedName>
    <definedName name="pmc_3" hidden="1">{#N/A,#N/A,FALSE,"PMTABB";#N/A,#N/A,FALSE,"PMTABB"}</definedName>
    <definedName name="pmc_4" hidden="1">{#N/A,#N/A,FALSE,"PMTABB";#N/A,#N/A,FALSE,"PMTABB"}</definedName>
    <definedName name="pmcf" hidden="1">{#N/A,#N/A,FALSE,"PMTABB";#N/A,#N/A,FALSE,"PMTABB"}</definedName>
    <definedName name="pmcf_2" hidden="1">{#N/A,#N/A,FALSE,"PMTABB";#N/A,#N/A,FALSE,"PMTABB"}</definedName>
    <definedName name="pmcf_3" hidden="1">{#N/A,#N/A,FALSE,"PMTABB";#N/A,#N/A,FALSE,"PMTABB"}</definedName>
    <definedName name="pmcf_4" hidden="1">{#N/A,#N/A,FALSE,"PMTABB";#N/A,#N/A,FALSE,"PMTABB"}</definedName>
    <definedName name="Pnl" hidden="1">{#N/A,#N/A,FALSE,"Pharm";#N/A,#N/A,FALSE,"WWCM"}</definedName>
    <definedName name="pnsji5" hidden="1">{#N/A,"PURCHM",FALSE,"Business Analysis";#N/A,"SPADD",FALSE,"Business Analysis"}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.xls" hidden="1">{"mgmt forecast",#N/A,FALSE,"Mgmt Forecast";"dcf table",#N/A,FALSE,"Mgmt Forecast";"sensitivity",#N/A,FALSE,"Mgmt Forecast";"table inputs",#N/A,FALSE,"Mgmt Forecast";"calculations",#N/A,FALSE,"Mgmt Forecast"}</definedName>
    <definedName name="poiu" hidden="1">{"Performance Details",#N/A,FALSE,"Current Yr";"Performance Details",#N/A,FALSE,"Budget";"Performance Details",#N/A,FALSE,"Prior Year"}</definedName>
    <definedName name="POK?ZEFIFVXVW" hidden="1">{#N/A,#N/A,FALSE,"Tabl. H1";#N/A,#N/A,FALSE,"Tabl. H2"}</definedName>
    <definedName name="pokj" hidden="1">{"QTD_LOUISIANA",#N/A,FALSE,"QTD"}</definedName>
    <definedName name="pol.xls" hidden="1">{"mgmt forecast",#N/A,FALSE,"Mgmt Forecast";"dcf table",#N/A,FALSE,"Mgmt Forecast";"sensitivity",#N/A,FALSE,"Mgmt Forecast";"table inputs",#N/A,FALSE,"Mgmt Forecast";"calculations",#N/A,FALSE,"Mgmt Forecast"}</definedName>
    <definedName name="POO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oo" hidden="1">{#N/A,#N/A,TRUE,"index";#N/A,#N/A,TRUE,"Summary";#N/A,#N/A,TRUE,"Continuing Business";#N/A,#N/A,TRUE,"Disposals";#N/A,#N/A,TRUE,"Acquisitions";#N/A,#N/A,TRUE,"Actual &amp; Plan Reconciliation"}</definedName>
    <definedName name="PopCache_FA_MASS_ADDITIONS_AMORTIZE_NBV_FLAG" hidden="1">#REF!</definedName>
    <definedName name="PopCache_FA_MASS_ADDITIONS_ASSET_TYPE" hidden="1">#REF!</definedName>
    <definedName name="PopCache_FA_MASS_ADDITIONS_DEPRECIATE_FLAG" hidden="1">#REF!</definedName>
    <definedName name="PopCache_FA_MASS_ADDITIONS_IN_USE_FLAG" hidden="1">#REF!</definedName>
    <definedName name="PopCache_FA_MASS_ADDITIONS_INVENTORIAL" hidden="1">#REF!</definedName>
    <definedName name="PopCache_FA_MASS_ADDITIONS_NEW_USED" hidden="1">#REF!</definedName>
    <definedName name="PopCache_FA_MASS_ADDITIONS_OWNED_LEASED" hidden="1">#REF!</definedName>
    <definedName name="PopCache_FA_MASS_ADDITIONS_PROPERTY_1245_1250_CODE" hidden="1">#REF!</definedName>
    <definedName name="PopCache_FA_MASS_ADDITIONS_PROPERTY_TYPE_CODE" hidden="1">#REF!</definedName>
    <definedName name="PopCache_FA_MASS_ADDITIONS_SHORT_FISCAL_YEAR_FLAG" hidden="1">#REF!</definedName>
    <definedName name="PopCache_GL_INTERFACE_REFERENCE7" hidden="1">#REF!</definedName>
    <definedName name="port29" hidden="1">{#N/A,#N/A,FALSE,"Pharm";#N/A,#N/A,FALSE,"WWCM"}</definedName>
    <definedName name="poWERDETAIL" hidden="1">#REF!</definedName>
    <definedName name="powq" hidden="1">{#N/A,"PURCHM",FALSE,"Business Analysis";#N/A,"SPADD",FALSE,"Business Analysis"}</definedName>
    <definedName name="pp" hidden="1">{#N/A,#N/A,FALSE,"Calc";#N/A,#N/A,FALSE,"Sensitivity";#N/A,#N/A,FALSE,"LT Earn.Dil.";#N/A,#N/A,FALSE,"Dil. AVP"}</definedName>
    <definedName name="pp_1" hidden="1">{#N/A,#N/A,FALSE,"Calc";#N/A,#N/A,FALSE,"Sensitivity";#N/A,#N/A,FALSE,"LT Earn.Dil.";#N/A,#N/A,FALSE,"Dil. AVP"}</definedName>
    <definedName name="ppl" hidden="1">{#N/A,#N/A,FALSE,"gc (2)"}</definedName>
    <definedName name="ppl_1" hidden="1">{#N/A,#N/A,FALSE,"gc (2)"}</definedName>
    <definedName name="ppl_2" hidden="1">{#N/A,#N/A,FALSE,"gc (2)"}</definedName>
    <definedName name="ppl_3" hidden="1">{#N/A,#N/A,FALSE,"gc (2)"}</definedName>
    <definedName name="ppo" hidden="1">{"YD LOUISIANA",#N/A,FALSE,"YTD"}</definedName>
    <definedName name="ppp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PPPP" hidden="1">{#N/A,#N/A,FALSE,"ISBL"}</definedName>
    <definedName name="PPPP_1" hidden="1">{#N/A,#N/A,FALSE,"ISBL"}</definedName>
    <definedName name="PPPP_2" hidden="1">{#N/A,#N/A,FALSE,"ISBL"}</definedName>
    <definedName name="PPPP_3" hidden="1">{#N/A,#N/A,FALSE,"ISBL"}</definedName>
    <definedName name="PPPP_4" hidden="1">{#N/A,#N/A,FALSE,"ISBL"}</definedName>
    <definedName name="pqmjuz" hidden="1">{"detail",#N/A,FALSE,"mfg";"summary",#N/A,FALSE,"mfg"}</definedName>
    <definedName name="pqr" hidden="1">{#N/A,#N/A,FALSE,"Tabl. A1";#N/A,#N/A,FALSE,"Tabl. A1 b";#N/A,#N/A,FALSE,"Tabl. A2";#N/A,#N/A,FALSE,"Tabl. A2-1";#N/A,#N/A,FALSE,"Tabl. A2-2"}</definedName>
    <definedName name="PR00BG01" hidden="1">{#N/A,#N/A,FALSE,"Tabl. D1";#N/A,#N/A,FALSE,"Tabl. D1 b";#N/A,#N/A,FALSE,"Tabl. D2";#N/A,#N/A,FALSE,"Tabl. D2 b";#N/A,#N/A,FALSE,"Tabl. D3";#N/A,#N/A,FALSE,"Tabl. D4";#N/A,#N/A,FALSE,"Tabl. D5"}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shanth" hidden="1">{#N/A,#N/A,FALSE,"COMP"}</definedName>
    <definedName name="pratik">#REF!</definedName>
    <definedName name="Prd_Exp_Bud_07" hidden="1">{"ROCE Summ",#N/A,FALSE,"Property Management Exps"}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n.GRINT.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pro_exp_bud08" hidden="1">{"ROCE Summ",#N/A,FALSE,"Property Management Exps"}</definedName>
    <definedName name="Procef" hidden="1">{#N/A,#N/A,FALSE,"Pharm";#N/A,#N/A,FALSE,"WWCM"}</definedName>
    <definedName name="process" hidden="1">{#N/A,#N/A,FALSE,"PMTABB";#N/A,#N/A,FALSE,"PMTABB"}</definedName>
    <definedName name="prod" hidden="1">{#N/A,#N/A,FALSE,"Pharm";#N/A,#N/A,FALSE,"WWCM"}</definedName>
    <definedName name="Prod_4_Drop" hidden="1">#REF!</definedName>
    <definedName name="ProdForm" hidden="1">#REF!</definedName>
    <definedName name="ProdForm1" hidden="1">#REF!</definedName>
    <definedName name="Prof" hidden="1">#REF!</definedName>
    <definedName name="profit" hidden="1">{#N/A,"Good",TRUE,"Sheet1";#N/A,"Normal",TRUE,"Sheet1";#N/A,"Bad",TRUE,"Sheet1"}</definedName>
    <definedName name="profit_1" hidden="1">{#N/A,"Good",TRUE,"Sheet1";#N/A,"Normal",TRUE,"Sheet1";#N/A,"Bad",TRUE,"Sheet1"}</definedName>
    <definedName name="profit_2" hidden="1">{#N/A,"Good",TRUE,"Sheet1";#N/A,"Normal",TRUE,"Sheet1";#N/A,"Bad",TRUE,"Sheet1"}</definedName>
    <definedName name="profit_3" hidden="1">{#N/A,"Good",TRUE,"Sheet1";#N/A,"Normal",TRUE,"Sheet1";#N/A,"Bad",TRUE,"Sheet1"}</definedName>
    <definedName name="Proj_Exp_Bud_07" hidden="1">{#N/A,#N/A,FALSE,"Scenario PivotTable"}</definedName>
    <definedName name="project">#REF!</definedName>
    <definedName name="Project_title">#REF!</definedName>
    <definedName name="Projection">#REF!</definedName>
    <definedName name="ProjectName">{"BU Name or Client/Project Name"}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sion2" hidden="1">{"plansummary",#N/A,FALSE,"PlanSummary";"sales",#N/A,FALSE,"Sales Rec";"productivity",#N/A,FALSE,"Productivity Rec";"capitalspending",#N/A,FALSE,"Capital Spending"}</definedName>
    <definedName name="prueba" hidden="1">#REF!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TD_12">#REF!</definedName>
    <definedName name="PUB_FileID" hidden="1">"L10004026.xls"</definedName>
    <definedName name="PUB_UserID" hidden="1">"MAYERX"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PZO" hidden="1">{#N/A,#N/A,FALSE,"Tabl. D1";#N/A,#N/A,FALSE,"Tabl. D1 b";#N/A,#N/A,FALSE,"Tabl. D2";#N/A,#N/A,FALSE,"Tabl. D2 b";#N/A,#N/A,FALSE,"Tabl. D3";#N/A,#N/A,FALSE,"Tabl. D4";#N/A,#N/A,FALSE,"Tabl. D5"}</definedName>
    <definedName name="q" hidden="1">{#N/A,#N/A,FALSE,"Sheet7"}</definedName>
    <definedName name="Q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1PFT" hidden="1">#REF!</definedName>
    <definedName name="qaaaa" hidden="1">{"detail",#N/A,FALSE,"mfg";"summary",#N/A,FALSE,"mfg"}</definedName>
    <definedName name="qaz" hidden="1">{#N/A,#N/A,FALSE,"Pharm";#N/A,#N/A,FALSE,"WWCM"}</definedName>
    <definedName name="QBKJBJKBQ" hidden="1">#REF!</definedName>
    <definedName name="QBUBUJKQ" hidden="1">#REF!</definedName>
    <definedName name="QC" hidden="1">{"'Sheet1'!$A$4386:$N$4591"}</definedName>
    <definedName name="QDNJKBHK" hidden="1">#REF!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tweyu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gfqerg" hidden="1">{#N/A,#N/A,FALSE,"PMTABB";#N/A,#N/A,FALSE,"PMTABB"}</definedName>
    <definedName name="qgfqerg_1" hidden="1">{#N/A,#N/A,FALSE,"PMTABB";#N/A,#N/A,FALSE,"PMTABB"}</definedName>
    <definedName name="qgfqerg_2" hidden="1">{#N/A,#N/A,FALSE,"PMTABB";#N/A,#N/A,FALSE,"PMTABB"}</definedName>
    <definedName name="qgfqerg_3" hidden="1">{#N/A,#N/A,FALSE,"PMTABB";#N/A,#N/A,FALSE,"PMTABB"}</definedName>
    <definedName name="qgfqerg_4" hidden="1">{#N/A,#N/A,FALSE,"PMTABB";#N/A,#N/A,FALSE,"PMTABB"}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p" hidden="1">{"overview",#N/A,FALSE,"summary";"net assets",#N/A,FALSE,"summary";"asset turnover",#N/A,FALSE,"summary";"orona",#N/A,FALSE,"summary"}</definedName>
    <definedName name="qq" hidden="1">{"Header",#N/A,TRUE,"Summary";"ProjectInfo",#N/A,TRUE,"Total Value"}</definedName>
    <definedName name="QQ_1" hidden="1">{#N/A,#N/A,FALSE,"PMTABB";#N/A,#N/A,FALSE,"PMTABB"}</definedName>
    <definedName name="QQ_2" hidden="1">{#N/A,#N/A,FALSE,"PMTABB";#N/A,#N/A,FALSE,"PMTABB"}</definedName>
    <definedName name="QQ_3" hidden="1">{#N/A,#N/A,FALSE,"PMTABB";#N/A,#N/A,FALSE,"PMTABB"}</definedName>
    <definedName name="QQ_4" hidden="1">{#N/A,#N/A,FALSE,"PMTABB";#N/A,#N/A,FALSE,"PMTABB"}</definedName>
    <definedName name="qqkkkkk" hidden="1">{#N/A,"PURCHM",FALSE,"Business Analysis";#N/A,"SPADD",FALSE,"Business Analysis"}</definedName>
    <definedName name="qqq" hidden="1">{#N/A,#N/A,FALSE,"Sheet7"}</definedName>
    <definedName name="QQQ_1" hidden="1">{#N/A,#N/A,FALSE,"PMTABB";#N/A,#N/A,FALSE,"PMTABB"}</definedName>
    <definedName name="QQQ_2" hidden="1">{#N/A,#N/A,FALSE,"PMTABB";#N/A,#N/A,FALSE,"PMTABB"}</definedName>
    <definedName name="QQQ_3" hidden="1">{#N/A,#N/A,FALSE,"PMTABB";#N/A,#N/A,FALSE,"PMTABB"}</definedName>
    <definedName name="QQQ_4" hidden="1">{#N/A,#N/A,FALSE,"PMTABB";#N/A,#N/A,FALSE,"PMTABB"}</definedName>
    <definedName name="qqqaa" hidden="1">{"detail",#N/A,FALSE,"mfg";"summary",#N/A,FALSE,"mfg"}</definedName>
    <definedName name="QQQQ" hidden="1">{#N/A,#N/A,FALSE,"EW"}</definedName>
    <definedName name="QQQQ_1" hidden="1">{#N/A,#N/A,FALSE,"EW"}</definedName>
    <definedName name="QQQQ_2" hidden="1">{#N/A,#N/A,FALSE,"EW"}</definedName>
    <definedName name="QQQQ_3" hidden="1">{#N/A,#N/A,FALSE,"EW"}</definedName>
    <definedName name="QQQQ_4" hidden="1">{#N/A,#N/A,FALSE,"EW"}</definedName>
    <definedName name="QQQQ121848" hidden="1">{#N/A,#N/A,FALSE,"Staffnos &amp; cost"}</definedName>
    <definedName name="qqqqq" hidden="1">{#N/A,"PURCHM",FALSE,"Business Analysis";#N/A,"SPADD",FALSE,"Business Analysis"}</definedName>
    <definedName name="qqqqqq" hidden="1">{"QTD_PRS",#N/A,FALSE,"QTD"}</definedName>
    <definedName name="qqqqqqqqqq" hidden="1">{"pro_view",#N/A,FALSE,"EEFSNAP2";"rep_view",#N/A,FALSE,"EEFSNAP2"}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hidden="1">{"detail",#N/A,FALSE,"mfg";"summary",#N/A,FALSE,"mfg"}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wtweryey" hidden="1">{#N/A,#N/A,FALSE,"REPORT"}</definedName>
    <definedName name="qr" hidden="1">{"detail",#N/A,FALSE,"mfg";"summary",#N/A,FALSE,"mfg"}</definedName>
    <definedName name="Q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sss" hidden="1">{#N/A,"PURCHM",FALSE,"Business Analysis";#N/A,"SPADD",FALSE,"Business Analysis"}</definedName>
    <definedName name="qt" hidden="1">{"'Sheet1'!$L$16"}</definedName>
    <definedName name="qtt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uarters">#REF!</definedName>
    <definedName name="QUATERVAT" hidden="1">FALSE</definedName>
    <definedName name="quDate_DT" hidden="1">#REF!</definedName>
    <definedName name="Query_Invoice_Per_Customer_Grouped">#REF!</definedName>
    <definedName name="quMon_MON" hidden="1">#REF!</definedName>
    <definedName name="qw">#REF!</definedName>
    <definedName name="qwa.xls" hidden="1">{"mgmt forecast",#N/A,FALSE,"Mgmt Forecast";"dcf table",#N/A,FALSE,"Mgmt Forecast";"sensitivity",#N/A,FALSE,"Mgmt Forecast";"table inputs",#N/A,FALSE,"Mgmt Forecast";"calculations",#N/A,FALSE,"Mgmt Forecast"}</definedName>
    <definedName name="qwdsads" hidden="1">#REF!</definedName>
    <definedName name="qw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.xls" hidden="1">{"mgmt forecast",#N/A,FALSE,"Mgmt Forecast";"dcf table",#N/A,FALSE,"Mgmt Forecast";"sensitivity",#N/A,FALSE,"Mgmt Forecast";"table inputs",#N/A,FALSE,"Mgmt Forecast";"calculations",#N/A,FALSE,"Mgmt Forecast"}</definedName>
    <definedName name="qwef" hidden="1">{#N/A,#N/A,FALSE,"EW"}</definedName>
    <definedName name="qwef_1" hidden="1">{#N/A,#N/A,FALSE,"EW"}</definedName>
    <definedName name="qwef_2" hidden="1">{#N/A,#N/A,FALSE,"EW"}</definedName>
    <definedName name="qwef_3" hidden="1">{#N/A,#N/A,FALSE,"EW"}</definedName>
    <definedName name="qwef_4" hidden="1">{#N/A,#N/A,FALSE,"EW"}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#REF!</definedName>
    <definedName name="QWER_1" hidden="1">{#N/A,#N/A,FALSE,"SUMMARY";#N/A,#N/A,FALSE,"SUMMARY"}</definedName>
    <definedName name="QWER_2" hidden="1">{#N/A,#N/A,FALSE,"SUMMARY";#N/A,#N/A,FALSE,"SUMMARY"}</definedName>
    <definedName name="QWER_3" hidden="1">{#N/A,#N/A,FALSE,"SUMMARY";#N/A,#N/A,FALSE,"SUMMARY"}</definedName>
    <definedName name="QWER_4" hidden="1">{#N/A,#N/A,FALSE,"SUMMARY";#N/A,#N/A,FALSE,"SUMMARY"}</definedName>
    <definedName name="qwertqry" hidden="1">{#N/A,#N/A,FALSE,"REPORT"}</definedName>
    <definedName name="qwetqryetytu" hidden="1">{#N/A,#N/A,FALSE,"Pharm";#N/A,#N/A,FALSE,"WWCM"}</definedName>
    <definedName name="qwqe" hidden="1">{#N/A,#N/A,TRUE,"index";#N/A,#N/A,TRUE,"Summary";#N/A,#N/A,TRUE,"Continuing Business";#N/A,#N/A,TRUE,"Disposals";#N/A,#N/A,TRUE,"Acquisitions";#N/A,#N/A,TRUE,"Actual &amp; Plan Reconciliation"}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z" hidden="1">{"QTD_HYCO",#N/A,FALSE,"QTD"}</definedName>
    <definedName name="QXC" hidden="1">{#N/A,#N/A,FALSE,"Tabl. H1";#N/A,#N/A,FALSE,"Tabl. H2"}</definedName>
    <definedName name="R_2" hidden="1">{#N/A,#N/A,FALSE,"Minors";#N/A,#N/A,FALSE,"96CAPREV"}</definedName>
    <definedName name="r_bal">#REF!</definedName>
    <definedName name="R10.1">#REF!</definedName>
    <definedName name="RA10.1">#REF!</definedName>
    <definedName name="RA10.3">#REF!</definedName>
    <definedName name="rad" hidden="1">{"PACKAGE",#N/A,FALSE,"CM"}</definedName>
    <definedName name="Rakesh" hidden="1">#REF!</definedName>
    <definedName name="ram" hidden="1">{"dep. full detail",#N/A,FALSE,"annex";"3cd annex",#N/A,FALSE,"annex";"co. dep.",#N/A,FALSE,"annex"}</definedName>
    <definedName name="ram_1" hidden="1">{"dep. full detail",#N/A,FALSE,"annex";"3cd annex",#N/A,FALSE,"annex";"co. dep.",#N/A,FALSE,"annex"}</definedName>
    <definedName name="ram_2" hidden="1">{"dep. full detail",#N/A,FALSE,"annex";"3cd annex",#N/A,FALSE,"annex";"co. dep.",#N/A,FALSE,"annex"}</definedName>
    <definedName name="ram_3" hidden="1">{"dep. full detail",#N/A,FALSE,"annex";"3cd annex",#N/A,FALSE,"annex";"co. dep.",#N/A,FALSE,"annex"}</definedName>
    <definedName name="rama" hidden="1">{"'August 2000'!$A$1:$J$101"}</definedName>
    <definedName name="Range1">#REF!</definedName>
    <definedName name="Range2">#REF!</definedName>
    <definedName name="Range3">#REF!</definedName>
    <definedName name="Range4">#REF!</definedName>
    <definedName name="Range5">#REF!</definedName>
    <definedName name="Range6">#REF!</definedName>
    <definedName name="Range7">#REF!</definedName>
    <definedName name="Range99">#REF!</definedName>
    <definedName name="RangoCompleto">#REF!,#REF!,#REF!,#REF!,#REF!,#REF!,#REF!,#REF!,#REF!,#REF!,#REF!,#REF!</definedName>
    <definedName name="RangoMensual">#REF!,#REF!,#REF!,#REF!,#REF!,#REF!,#REF!,#REF!,#REF!,#REF!,#REF!,#REF!</definedName>
    <definedName name="Rate_Card">#REF!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_1" hidden="1">{#N/A,#N/A,FALSE,"Aging Summary";#N/A,#N/A,FALSE,"Ratio Analysis";#N/A,#N/A,FALSE,"Test 120 Day Accts";#N/A,#N/A,FALSE,"Tickmarks"}</definedName>
    <definedName name="RB1.1">#REF!</definedName>
    <definedName name="RB1.3">#REF!</definedName>
    <definedName name="RB4a">#REF!</definedName>
    <definedName name="RB4b">#REF!</definedName>
    <definedName name="RBG" hidden="1">{#N/A,#N/A,FALSE,"Tabl. D1";#N/A,#N/A,FALSE,"Tabl. D1 b";#N/A,#N/A,FALSE,"Tabl. D2";#N/A,#N/A,FALSE,"Tabl. D2 b";#N/A,#N/A,FALSE,"Tabl. D3";#N/A,#N/A,FALSE,"Tabl. D4";#N/A,#N/A,FALSE,"Tabl. D5"}</definedName>
    <definedName name="rbudget" hidden="1">{#N/A,#N/A,FALSE,"Scenario PivotTable"}</definedName>
    <definedName name="RCArea" hidden="1">#REF!</definedName>
    <definedName name="rd" hidden="1">{"oct_res_comm",#N/A,FALSE,"VarToBud"}</definedName>
    <definedName name="rdd.xls" hidden="1">{"mgmt forecast",#N/A,FALSE,"Mgmt Forecast";"dcf table",#N/A,FALSE,"Mgmt Forecast";"sensitivity",#N/A,FALSE,"Mgmt Forecast";"table inputs",#N/A,FALSE,"Mgmt Forecast";"calculations",#N/A,FALSE,"Mgmt Forecast"}</definedName>
    <definedName name="rdfred" hidden="1">#REF!</definedName>
    <definedName name="rdx" hidden="1">{"oct_res_comm",#N/A,FALSE,"VarToBud"}</definedName>
    <definedName name="re" hidden="1">{"Print One Page",#N/A,FALSE,"SumReport"}</definedName>
    <definedName name="RE_CF_bank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co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1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11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ns" hidden="1">{#N/A,#N/A,FALSE,"COMP"}</definedName>
    <definedName name="red.xls" hidden="1">{"mgmt forecast",#N/A,FALSE,"Mgmt Forecast";"dcf table",#N/A,FALSE,"Mgmt Forecast";"sensitivity",#N/A,FALSE,"Mgmt Forecast";"table inputs",#N/A,FALSE,"Mgmt Forecast";"calculations",#N/A,FALSE,"Mgmt Forecast"}</definedName>
    <definedName name="redo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do_2" hidden="1">{#N/A,#N/A,FALSE,"ACQ_GRAPHS";#N/A,#N/A,FALSE,"T_1 GRAPHS";#N/A,#N/A,FALSE,"T_2 GRAPHS";#N/A,#N/A,FALSE,"COMB_GRAPHS"}</definedName>
    <definedName name="redo_3" hidden="1">{#N/A,#N/A,FALSE,"ACQ_GRAPHS";#N/A,#N/A,FALSE,"T_1 GRAPHS";#N/A,#N/A,FALSE,"T_2 GRAPHS";#N/A,#N/A,FALSE,"COMB_GRAPHS"}</definedName>
    <definedName name="redo_4" hidden="1">{#N/A,#N/A,FALSE,"ACQ_GRAPHS";#N/A,#N/A,FALSE,"T_1 GRAPHS";#N/A,#N/A,FALSE,"T_2 GRAPHS";#N/A,#N/A,FALSE,"COMB_GRAPHS"}</definedName>
    <definedName name="redo_5" hidden="1">{#N/A,#N/A,FALSE,"ACQ_GRAPHS";#N/A,#N/A,FALSE,"T_1 GRAPHS";#N/A,#N/A,FALSE,"T_2 GRAPHS";#N/A,#N/A,FALSE,"COMB_GRAPHS"}</definedName>
    <definedName name="REF" hidden="1">{#N/A,#N/A,FALSE,"COMP"}</definedName>
    <definedName name="ref.xls" hidden="1">{"mgmt forecast",#N/A,FALSE,"Mgmt Forecast";"dcf table",#N/A,FALSE,"Mgmt Forecast";"sensitivity",#N/A,FALSE,"Mgmt Forecast";"table inputs",#N/A,FALSE,"Mgmt Forecast";"calculations",#N/A,FALSE,"Mgmt Forecast"}</definedName>
    <definedName name="refill" hidden="1">#REF!</definedName>
    <definedName name="reggie" hidden="1">{#N/A,#N/A,FALSE,"Pharm";#N/A,#N/A,FALSE,"WWCM"}</definedName>
    <definedName name="region10" hidden="1">#REF!</definedName>
    <definedName name="Reglas">OFFSET(#REF!,0,0,COUNTA(#REF!),1)</definedName>
    <definedName name="ReglasDatos">OFFSET(#REF!,0,0,COUNTA(#REF!),1)</definedName>
    <definedName name="related" hidden="1">{#N/A,#N/A,FALSE,"PMTABB";#N/A,#N/A,FALSE,"PMTABB"}</definedName>
    <definedName name="relatedparty">#REF!</definedName>
    <definedName name="Release_Date">#REF!</definedName>
    <definedName name="rem.xls" hidden="1">{"mgmt forecast",#N/A,FALSE,"Mgmt Forecast";"dcf table",#N/A,FALSE,"Mgmt Forecast";"sensitivity",#N/A,FALSE,"Mgmt Forecast";"table inputs",#N/A,FALSE,"Mgmt Forecast";"calculations",#N/A,FALSE,"Mgmt Forecast"}</definedName>
    <definedName name="rembrute">#REF!</definedName>
    <definedName name="Repairs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airs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airs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airs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ort">#REF!</definedName>
    <definedName name="Report_Version_3">"A1"</definedName>
    <definedName name="reporting" hidden="1">{#N/A,#N/A,FALSE,"Tabl. FB300";#N/A,#N/A,FALSE,"Tabl. FB350";#N/A,#N/A,FALSE,"Tabl. FB400";#N/A,#N/A,FALSE,"Tabl. FB500";#N/A,#N/A,FALSE,"Tabl. FS090"}</definedName>
    <definedName name="reps" hidden="1">{"FY03_Assets",#N/A,FALSE,"Fin Stmt Budget";"FY03_Liabilities",#N/A,FALSE,"Fin Stmt Budget";"FY03_Inc_Stmt",#N/A,FALSE,"Fin Stmt Budget";"FY03_SOCF",#N/A,FALSE,"Fin Stmt Budget"}</definedName>
    <definedName name="res_sum" hidden="1">{#N/A,#N/A,FALSE,"COVER1.XLS ";#N/A,#N/A,FALSE,"RACT1.XLS";#N/A,#N/A,FALSE,"RACT2.XLS";#N/A,#N/A,FALSE,"ECCMP";#N/A,#N/A,FALSE,"WELDER.XLS"}</definedName>
    <definedName name="resp." hidden="1">{#N/A,#N/A,FALSE,"Pharm";#N/A,#N/A,FALSE,"WWCM"}</definedName>
    <definedName name="result" hidden="1">{#N/A,#N/A,FALSE,"Tabl. G1";#N/A,#N/A,FALSE,"Tabl. G2"}</definedName>
    <definedName name="ret.xls" hidden="1">{"mgmt forecast",#N/A,FALSE,"Mgmt Forecast";"dcf table",#N/A,FALSE,"Mgmt Forecast";"sensitivity",#N/A,FALSE,"Mgmt Forecast";"table inputs",#N/A,FALSE,"Mgmt Forecast";"calculations",#N/A,FALSE,"Mgmt Forecast"}</definedName>
    <definedName name="reu" hidden="1">{#N/A,#N/A,FALSE,"gc (2)"}</definedName>
    <definedName name="reu_1" hidden="1">{#N/A,#N/A,FALSE,"gc (2)"}</definedName>
    <definedName name="reu_2" hidden="1">{#N/A,#N/A,FALSE,"gc (2)"}</definedName>
    <definedName name="reu_3" hidden="1">{#N/A,#N/A,FALSE,"gc (2)"}</definedName>
    <definedName name="review" hidden="1">{"'Sch B'!$B$15:$L$17"}</definedName>
    <definedName name="Revised" hidden="1">{#N/A,#N/A,FALSE,"0895";"LOWER PORTION",#N/A,FALSE,"0895"}</definedName>
    <definedName name="Revised_1" hidden="1">{#N/A,#N/A,FALSE,"0895";"LOWER PORTION",#N/A,FALSE,"0895"}</definedName>
    <definedName name="Revised_2" hidden="1">{#N/A,#N/A,FALSE,"0895";"LOWER PORTION",#N/A,FALSE,"0895"}</definedName>
    <definedName name="Revised_3" hidden="1">{#N/A,#N/A,FALSE,"0895";"LOWER PORTION",#N/A,FALSE,"0895"}</definedName>
    <definedName name="Revised_4" hidden="1">{#N/A,#N/A,FALSE,"0895";"LOWER PORTION",#N/A,FALSE,"0895"}</definedName>
    <definedName name="Revised_5" hidden="1">{#N/A,#N/A,FALSE,"0895";"LOWER PORTION",#N/A,FALSE,"0895"}</definedName>
    <definedName name="rew.xls" hidden="1">{"mgmt forecast",#N/A,FALSE,"Mgmt Forecast";"dcf table",#N/A,FALSE,"Mgmt Forecast";"sensitivity",#N/A,FALSE,"Mgmt Forecast";"table inputs",#N/A,FALSE,"Mgmt Forecast";"calculations",#N/A,FALSE,"Mgmt Forecast"}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ya" hidden="1">{"office ltcg",#N/A,FALSE,"gain01";"IT LTCG",#N/A,FALSE,"gain01"}</definedName>
    <definedName name="reya_1" hidden="1">{"office ltcg",#N/A,FALSE,"gain01";"IT LTCG",#N/A,FALSE,"gain01"}</definedName>
    <definedName name="reya_2" hidden="1">{"office ltcg",#N/A,FALSE,"gain01";"IT LTCG",#N/A,FALSE,"gain01"}</definedName>
    <definedName name="reya_3" hidden="1">{"office ltcg",#N/A,FALSE,"gain01";"IT LTCG",#N/A,FALSE,"gain01"}</definedName>
    <definedName name="rf2e" hidden="1">{#N/A,#N/A,FALSE,"Pharm";#N/A,#N/A,FALSE,"WWCM"}</definedName>
    <definedName name="rfb" hidden="1">{#N/A,#N/A,FALSE,"Proj P&amp;L";#N/A,#N/A,FALSE,"WorkCap";#N/A,#N/A,FALSE,"Proj BS";#N/A,#N/A,FALSE,"CashRec"}</definedName>
    <definedName name="rfdddf" hidden="1">#REF!</definedName>
    <definedName name="rfewrf" hidden="1">#REF!</definedName>
    <definedName name="rfv.bs1" hidden="1">{"bs",#N/A,FALSE,"BS";"pl",#N/A,FALSE,"PL"}</definedName>
    <definedName name="R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fd" hidden="1">#REF!</definedName>
    <definedName name="RGNL" hidden="1">#REF!</definedName>
    <definedName name="rh" hidden="1">{#N/A,#N/A,FALSE,"FREE"}</definedName>
    <definedName name="rhw" hidden="1">{#N/A,#N/A,FALSE,"FREE"}</definedName>
    <definedName name="rhw_1" hidden="1">{#N/A,#N/A,FALSE,"FREE"}</definedName>
    <definedName name="rhw_2" hidden="1">{#N/A,#N/A,FALSE,"FREE"}</definedName>
    <definedName name="rhw_3" hidden="1">{#N/A,#N/A,FALSE,"FREE"}</definedName>
    <definedName name="rhw_4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derPL" hidden="1">{#N/A,#N/A,FALSE,"Layout Cash Flow"}</definedName>
    <definedName name="RiderPL..fy97" hidden="1">{#N/A,#N/A,FALSE,"FY97";#N/A,#N/A,FALSE,"FY98";#N/A,#N/A,FALSE,"FY99";#N/A,#N/A,FALSE,"FY00";#N/A,#N/A,FALSE,"FY01"}</definedName>
    <definedName name="RiderPL..r" hidden="1">{"consolidated",#N/A,FALSE,"Sheet1";"cms",#N/A,FALSE,"Sheet1";"fse",#N/A,FALSE,"Sheet1"}</definedName>
    <definedName name="RiderPL.c" hidden="1">{#N/A,#N/A,FALSE,"Layout Cash Flow"}</definedName>
    <definedName name="RiderPL.r" hidden="1">{"consolidated",#N/A,FALSE,"Sheet1";"cms",#N/A,FALSE,"Sheet1";"fse",#N/A,FALSE,"Sheet1"}</definedName>
    <definedName name="RiderPL.wrn1" hidden="1">{#N/A,#N/A,FALSE,"DCF";#N/A,#N/A,FALSE,"WACC";#N/A,#N/A,FALSE,"Sales_EBIT";#N/A,#N/A,FALSE,"Capex_Depreciation";#N/A,#N/A,FALSE,"WC";#N/A,#N/A,FALSE,"Interest";#N/A,#N/A,FALSE,"Assumptions"}</definedName>
    <definedName name="RiderPLc" hidden="1">{#N/A,#N/A,FALSE,"Layout Cash Flow"}</definedName>
    <definedName name="riderPLcc" hidden="1">{#N/A,#N/A,FALSE,"Layout Cash Flow"}</definedName>
    <definedName name="RiderPLfy.97" hidden="1">{#N/A,#N/A,FALSE,"FY97";#N/A,#N/A,FALSE,"FY98";#N/A,#N/A,FALSE,"FY99";#N/A,#N/A,FALSE,"FY00";#N/A,#N/A,FALSE,"FY01"}</definedName>
    <definedName name="RiderPLfy97" hidden="1">{#N/A,#N/A,FALSE,"FY97";#N/A,#N/A,FALSE,"FY98";#N/A,#N/A,FALSE,"FY99";#N/A,#N/A,FALSE,"FY00";#N/A,#N/A,FALSE,"FY01"}</definedName>
    <definedName name="RiderPLr" hidden="1">{"consolidated",#N/A,FALSE,"Sheet1";"cms",#N/A,FALSE,"Sheet1";"fse",#N/A,FALSE,"Sheet1"}</definedName>
    <definedName name="RiderPLwrn1" hidden="1">{#N/A,#N/A,FALSE,"DCF";#N/A,#N/A,FALSE,"WACC";#N/A,#N/A,FALSE,"Sales_EBIT";#N/A,#N/A,FALSE,"Capex_Depreciation";#N/A,#N/A,FALSE,"WC";#N/A,#N/A,FALSE,"Interest";#N/A,#N/A,FALSE,"Assumptions"}</definedName>
    <definedName name="ripal" hidden="1">{#N/A,#N/A,FALSE,"gc (2)"}</definedName>
    <definedName name="ripal_1" hidden="1">{#N/A,#N/A,FALSE,"gc (2)"}</definedName>
    <definedName name="ripal_2" hidden="1">{#N/A,#N/A,FALSE,"gc (2)"}</definedName>
    <definedName name="ripal_3" hidden="1">{#N/A,#N/A,FALSE,"gc (2)"}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SwapState" hidden="1">FALSE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ks" hidden="1">{"Print One Page",#N/A,FALSE,"SumReport"}</definedName>
    <definedName name="rl" hidden="1">{#N/A,#N/A,FALSE,"AUDIT-MWOS"}</definedName>
    <definedName name="roadblock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Robert2" hidden="1">{"DCF",#N/A,FALSE,"CF"}</definedName>
    <definedName name="Robert2_1" hidden="1">{"DCF",#N/A,FALSE,"CF"}</definedName>
    <definedName name="Robert2_2" hidden="1">{"DCF",#N/A,FALSE,"CF"}</definedName>
    <definedName name="Robert2_3" hidden="1">{"DCF",#N/A,FALSE,"CF"}</definedName>
    <definedName name="Robert2_4" hidden="1">{"DCF",#N/A,FALSE,"CF"}</definedName>
    <definedName name="Robert2_5" hidden="1">{"DCF",#N/A,FALSE,"CF"}</definedName>
    <definedName name="robson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rohig" hidden="1">{#N/A,#N/A,TRUE,"Staffnos &amp; cost"}</definedName>
    <definedName name="rohitahuja12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oles">#REF!</definedName>
    <definedName name="Roles_Table">#REF!</definedName>
    <definedName name="RON" hidden="1">{#N/A,#N/A,TRUE,"index";#N/A,#N/A,TRUE,"Summary";#N/A,#N/A,TRUE,"Continuing Business";#N/A,#N/A,TRUE,"Disposals";#N/A,#N/A,TRUE,"Acquisitions";#N/A,#N/A,TRUE,"Actual &amp; Plan Reconciliation"}</definedName>
    <definedName name="ronn" hidden="1">{#N/A,#N/A,TRUE,"index";#N/A,#N/A,TRUE,"Summary";#N/A,#N/A,TRUE,"Continuing Business";#N/A,#N/A,TRUE,"Disposals";#N/A,#N/A,TRUE,"Acquisitions";#N/A,#N/A,TRUE,"Actual &amp; Plan Reconciliation"}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n.bsall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rrr" hidden="1">{#N/A,"PURCHM",FALSE,"Business Analysis";#N/A,"SPADD",FALSE,"Business Analysis"}</definedName>
    <definedName name="rrrr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rrrr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sac" hidden="1">{"PAGE 1",#N/A,FALSE,"COS Excluding Geismar";"PAGE 2",#N/A,FALSE,"COS Excluding Geismar";"PAGE 3",#N/A,FALSE,"COS Excluding Geismar"}</definedName>
    <definedName name="rsde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sem" hidden="1">{#N/A,#N/A,FALSE,"1996";#N/A,#N/A,FALSE,"1995";#N/A,#N/A,FALSE,"1994"}</definedName>
    <definedName name="rsem_1" hidden="1">{#N/A,#N/A,FALSE,"1996";#N/A,#N/A,FALSE,"1995";#N/A,#N/A,FALSE,"1994"}</definedName>
    <definedName name="rst.xls" hidden="1">{"mgmt forecast",#N/A,FALSE,"Mgmt Forecast";"dcf table",#N/A,FALSE,"Mgmt Forecast";"sensitivity",#N/A,FALSE,"Mgmt Forecast";"table inputs",#N/A,FALSE,"Mgmt Forecast";"calculations",#N/A,FALSE,"Mgmt Forecast"}</definedName>
    <definedName name="rt" hidden="1">{"detail",#N/A,FALSE,"mfg";"summary",#N/A,FALSE,"mfg"}</definedName>
    <definedName name="RTA" hidden="1">{#N/A,#N/A,FALSE,"Tabl. G1";#N/A,#N/A,FALSE,"Tabl. G2"}</definedName>
    <definedName name="rtds" hidden="1">{"ICD Details",#N/A,FALSE,"Current Yr";"ICD Details",#N/A,FALSE,"Budget";"ICD Details",#N/A,FALSE,"Prior Year"}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hidden="1">{#N/A,#N/A,FALSE,"PMTABB";#N/A,#N/A,FALSE,"PMTABB"}</definedName>
    <definedName name="rtgh" hidden="1">{#N/A,#N/A,TRUE,"Sheet1";#N/A,#N/A,TRUE,"Sheet2";#N/A,#N/A,TRUE,"Sheet3";#N/A,#N/A,TRUE,"Sheet4";#N/A,#N/A,TRUE,"Sheet5";#N/A,#N/A,TRUE,"Sheet6";#N/A,#N/A,TRUE,"Sheet7"}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y" hidden="1">{"ICD Details",#N/A,FALSE,"Current Yr";"ICD Details",#N/A,FALSE,"Budget";"ICD Details",#N/A,FALSE,"Prior Year"}</definedName>
    <definedName name="RTYU" hidden="1">{#N/A,#N/A,FALSE,"PGW"}</definedName>
    <definedName name="RTYU_1" hidden="1">{#N/A,#N/A,FALSE,"PGW"}</definedName>
    <definedName name="RTYU_2" hidden="1">{#N/A,#N/A,FALSE,"PGW"}</definedName>
    <definedName name="RTYU_3" hidden="1">{#N/A,#N/A,FALSE,"PGW"}</definedName>
    <definedName name="RTYU_4" hidden="1">{#N/A,#N/A,FALSE,"PGW"}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{#N/A,#N/A,FALSE,"COVER1.XLS ";#N/A,#N/A,FALSE,"RACT1.XLS";#N/A,#N/A,FALSE,"RACT2.XLS";#N/A,#N/A,FALSE,"ECCMP";#N/A,#N/A,FALSE,"WELDER.XLS"}</definedName>
    <definedName name="rwe.xls" hidden="1">{"mgmt forecast",#N/A,FALSE,"Mgmt Forecast";"dcf table",#N/A,FALSE,"Mgmt Forecast";"sensitivity",#N/A,FALSE,"Mgmt Forecast";"table inputs",#N/A,FALSE,"Mgmt Forecast";"calculations",#N/A,FALSE,"Mgmt Forecast"}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e" hidden="1">{#N/A,#N/A,FALSE,"COVER1.XLS ";#N/A,#N/A,FALSE,"RACT1.XLS";#N/A,#N/A,FALSE,"RACT2.XLS";#N/A,#N/A,FALSE,"ECCMP";#N/A,#N/A,FALSE,"WELDER.XLS"}</definedName>
    <definedName name="rwert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hidden="1">{#N/A,#N/A,FALSE,"PGW"}</definedName>
    <definedName name="rwh_1" hidden="1">{#N/A,#N/A,FALSE,"PGW"}</definedName>
    <definedName name="rwh_2" hidden="1">{#N/A,#N/A,FALSE,"PGW"}</definedName>
    <definedName name="rwh_3" hidden="1">{#N/A,#N/A,FALSE,"PGW"}</definedName>
    <definedName name="rwh_4" hidden="1">{#N/A,#N/A,FALSE,"PGW"}</definedName>
    <definedName name="rwhwr" hidden="1">{#N/A,#N/A,FALSE,"PGW"}</definedName>
    <definedName name="rwhwr_1" hidden="1">{#N/A,#N/A,FALSE,"PGW"}</definedName>
    <definedName name="rwhwr_2" hidden="1">{#N/A,#N/A,FALSE,"PGW"}</definedName>
    <definedName name="rwhwr_3" hidden="1">{#N/A,#N/A,FALSE,"PGW"}</definedName>
    <definedName name="rwhwr_4" hidden="1">{#N/A,#N/A,FALSE,"PGW"}</definedName>
    <definedName name="rwsz" hidden="1">{"Commentary",#N/A,FALSE,"May"}</definedName>
    <definedName name="Rwvu.A." hidden="1">#N/A</definedName>
    <definedName name="Rwvu.CapersView." hidden="1">#REF!</definedName>
    <definedName name="Rwvu.Japan_Capers_Ed_Pub." hidden="1">#REF!</definedName>
    <definedName name="Rwvu.KJP_CC." hidden="1">#REF!</definedName>
    <definedName name="Rwvu.otr." hidden="1">#REF!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s">#REF!</definedName>
    <definedName name="s?">Main.SAPF4Help()</definedName>
    <definedName name="s_2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s_3" hidden="1">{#N/A,#N/A,FALSE,"EW"}</definedName>
    <definedName name="s_4" hidden="1">{#N/A,#N/A,FALSE,"EW"}</definedName>
    <definedName name="S3a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sa" hidden="1">{#N/A,#N/A,FALSE,"COMP"}</definedName>
    <definedName name="saa" hidden="1">41083.7121412037</definedName>
    <definedName name="sad" hidden="1">{#N/A,#N/A,FALSE,"COMP"}</definedName>
    <definedName name="sadg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sadgg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sadgtdrt" hidden="1">{#N/A,#N/A,FALSE,"PMTABB";#N/A,#N/A,FALSE,"PMTABB"}</definedName>
    <definedName name="sadgtdrt_2" hidden="1">{#N/A,#N/A,FALSE,"PMTABB";#N/A,#N/A,FALSE,"PMTABB"}</definedName>
    <definedName name="sadgtdrt_3" hidden="1">{#N/A,#N/A,FALSE,"PMTABB";#N/A,#N/A,FALSE,"PMTABB"}</definedName>
    <definedName name="sadgtdrt_4" hidden="1">{#N/A,#N/A,FALSE,"PMTABB";#N/A,#N/A,FALSE,"PMTABB"}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G" hidden="1">#REF!</definedName>
    <definedName name="sal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lespp" hidden="1">{"detail",#N/A,FALSE,"mfg";"summary",#N/A,FALSE,"mfg"}</definedName>
    <definedName name="SaleUnit" hidden="1">#REF!,#REF!,#REF!,#REF!,#REF!,#REF!,#REF!,#REF!</definedName>
    <definedName name="SaleValue" hidden="1">#REF!,#REF!,#REF!,#REF!,#REF!,#REF!,#REF!,#REF!</definedName>
    <definedName name="sally" hidden="1">{#N/A,#N/A,FALSE,"Pharm";#N/A,#N/A,FALSE,"WWCM"}</definedName>
    <definedName name="samedi" hidden="1">{#N/A,#N/A,FALSE,"Tabl. A1";#N/A,#N/A,FALSE,"Tabl. A1 b";#N/A,#N/A,FALSE,"Tabl. A2";#N/A,#N/A,FALSE,"Tabl. A2-1";#N/A,#N/A,FALSE,"Tabl. A2-2"}</definedName>
    <definedName name="sanju" hidden="1">{"office ltcg",#N/A,FALSE,"gain01";"IT LTCG",#N/A,FALSE,"gain01"}</definedName>
    <definedName name="sanju_1" hidden="1">{"office ltcg",#N/A,FALSE,"gain01";"IT LTCG",#N/A,FALSE,"gain01"}</definedName>
    <definedName name="sanju_2" hidden="1">{"office ltcg",#N/A,FALSE,"gain01";"IT LTCG",#N/A,FALSE,"gain01"}</definedName>
    <definedName name="sanju_3" hidden="1">{"office ltcg",#N/A,FALSE,"gain01";"IT LTCG",#N/A,FALSE,"gain01"}</definedName>
    <definedName name="SAP?">Main.SAPF4Help()</definedName>
    <definedName name="SAPBEXbbsBack" hidden="1">"xSAPtemp2167.xls"</definedName>
    <definedName name="SAPBEXdnldView" hidden="1">"49C24381248ZCKL2T40WCRB4Q"</definedName>
    <definedName name="SAPBEXhrIndnt" hidden="1">1</definedName>
    <definedName name="SAPBEXrevision" hidden="1">1</definedName>
    <definedName name="SAPBEXsysID" hidden="1">"PSB"</definedName>
    <definedName name="SAPBEXwbID" hidden="1">"4KYLUNLJM1HQ19HNJ5RL13449"</definedName>
    <definedName name="SAPFuncF4Help" hidden="1">Main.SAPF4Help()</definedName>
    <definedName name="SAPsysID" hidden="1">"708C5W7SBKP804JT78WJ0JNKI"</definedName>
    <definedName name="SAPwbID" hidden="1">"ARS"</definedName>
    <definedName name="Sara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hidden="1">{#N/A,#N/A,TRUE,"10 Yr Hold";#N/A,#N/A,TRUE,"7 Yr Hold";#N/A,#N/A,TRUE,"5 Yr Hold";#N/A,#N/A,TRUE,"3 Yr Hold"}</definedName>
    <definedName name="saryder" hidden="1">{#N/A,#N/A,FALSE,"PGW"}</definedName>
    <definedName name="saryder_1" hidden="1">{#N/A,#N/A,FALSE,"PGW"}</definedName>
    <definedName name="saryder_2" hidden="1">{#N/A,#N/A,FALSE,"PGW"}</definedName>
    <definedName name="saryder_3" hidden="1">{#N/A,#N/A,FALSE,"PGW"}</definedName>
    <definedName name="saryder_4" hidden="1">{#N/A,#N/A,FALSE,"PGW"}</definedName>
    <definedName name="sas" hidden="1">{"detail",#N/A,FALSE,"mfg";"summary",#N/A,FALSE,"mfg"}</definedName>
    <definedName name="sasasasa" hidden="1">{#N/A,#N/A,FALSE,"Status of Projects";#N/A,#N/A,FALSE,"CEA-TEC";#N/A,#N/A,FALSE,"U-Constr.";#N/A,#N/A,FALSE,"summary";#N/A,#N/A,FALSE,"PPP-3 yrs"}</definedName>
    <definedName name="sassassa" hidden="1">#REF!</definedName>
    <definedName name="sassss" hidden="1">#REF!</definedName>
    <definedName name="sasssssss" hidden="1">#REF!</definedName>
    <definedName name="ScaleChargeFigure">#REF!</definedName>
    <definedName name="ScaleChg">#REF!</definedName>
    <definedName name="ScaleChgVAT">#REF!</definedName>
    <definedName name="SCG" hidden="1">{#N/A,#N/A,FALSE,"Tabl. D1";#N/A,#N/A,FALSE,"Tabl. D1 b";#N/A,#N/A,FALSE,"Tabl. D2";#N/A,#N/A,FALSE,"Tabl. D2 b";#N/A,#N/A,FALSE,"Tabl. D3";#N/A,#N/A,FALSE,"Tabl. D4";#N/A,#N/A,FALSE,"Tabl. D5"}</definedName>
    <definedName name="sch" hidden="1">#REF!</definedName>
    <definedName name="Sch3Fixed" hidden="1">#REF!</definedName>
    <definedName name="score" hidden="1">{"detail",#N/A,FALSE,"mfg";"summary",#N/A,FALSE,"mfg"}</definedName>
    <definedName name="scorecardfy00" hidden="1">{"Comp_of_Price_Effect",#N/A,FALSE,"QTRDPVAR"}</definedName>
    <definedName name="S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AF" hidden="1">{#N/A,#N/A,FALSE,"Aging Summary";#N/A,#N/A,FALSE,"Ratio Analysis";#N/A,#N/A,FALSE,"Test 120 Day Accts";#N/A,#N/A,FALSE,"Tickmarks"}</definedName>
    <definedName name="sdafa" hidden="1">#REF!</definedName>
    <definedName name="sdafgs" hidden="1">{#N/A,#N/A,FALSE,"Pharm";#N/A,#N/A,FALSE,"WWCM"}</definedName>
    <definedName name="sdasdad" hidden="1">{#N/A,#N/A,FALSE,"Aging Summary";#N/A,#N/A,FALSE,"Ratio Analysis";#N/A,#N/A,FALSE,"Test 120 Day Accts";#N/A,#N/A,FALSE,"Tickmarks"}</definedName>
    <definedName name="sdaw">#REF!</definedName>
    <definedName name="sdbbsdkbfgbsdk.fj" hidden="1">{#N/A,#N/A,FALSE,"PMTABB";#N/A,#N/A,FALSE,"PMTABB"}</definedName>
    <definedName name="sde.xls" hidden="1">{"mgmt forecast",#N/A,FALSE,"Mgmt Forecast";"dcf table",#N/A,FALSE,"Mgmt Forecast";"sensitivity",#N/A,FALSE,"Mgmt Forecast";"table inputs",#N/A,FALSE,"Mgmt Forecast";"calculations",#N/A,FALSE,"Mgmt Forecast"}</definedName>
    <definedName name="sdes" hidden="1">{"PACKAGE",#N/A,FALSE,"CM"}</definedName>
    <definedName name="SDF" hidden="1">{#N/A,#N/A,FALSE,"Proj P&amp;L";#N/A,#N/A,FALSE,"WorkCap";#N/A,#N/A,FALSE,"Proj BS";#N/A,#N/A,FALSE,"CashRec"}</definedName>
    <definedName name="sdf.xls" hidden="1">{"mgmt forecast",#N/A,FALSE,"Mgmt Forecast";"dcf table",#N/A,FALSE,"Mgmt Forecast";"sensitivity",#N/A,FALSE,"Mgmt Forecast";"table inputs",#N/A,FALSE,"Mgmt Forecast";"calculations",#N/A,FALSE,"Mgmt Forecast"}</definedName>
    <definedName name="sdfag" hidden="1">{#N/A,#N/A,FALSE,"FREE"}</definedName>
    <definedName name="sdfag_2" hidden="1">{#N/A,#N/A,FALSE,"FREE"}</definedName>
    <definedName name="sdfag_3" hidden="1">{#N/A,#N/A,FALSE,"FREE"}</definedName>
    <definedName name="sdfag_4" hidden="1">{#N/A,#N/A,FALSE,"FREE"}</definedName>
    <definedName name="sdfdsf" hidden="1">{#N/A,#N/A,FALSE,"KA CH  (2)"}</definedName>
    <definedName name="sdfgsdfg" hidden="1">#REF!</definedName>
    <definedName name="SDFGSFGSB" hidden="1">{#N/A,#N/A,FALSE,"17MAY";#N/A,#N/A,FALSE,"24MAY"}</definedName>
    <definedName name="SDFGSFGSFG" hidden="1">{#N/A,#N/A,FALSE,"COVER1.XLS ";#N/A,#N/A,FALSE,"RACT1.XLS";#N/A,#N/A,FALSE,"RACT2.XLS";#N/A,#N/A,FALSE,"ECCMP";#N/A,#N/A,FALSE,"WELDER.XLS"}</definedName>
    <definedName name="SDFGSFGSS" hidden="1">{#N/A,#N/A,FALSE,"COVER.XLS";#N/A,#N/A,FALSE,"RACT1.XLS";#N/A,#N/A,FALSE,"RACT2.XLS";#N/A,#N/A,FALSE,"ECCMP";#N/A,#N/A,FALSE,"WELDER.XLS"}</definedName>
    <definedName name="SDFGSGF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h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G_1" hidden="1">{"Agg Output",#N/A,FALSE,"Operational Drivers Output";"NW Output",#N/A,FALSE,"Operational Drivers Output";"South Output",#N/A,FALSE,"Operational Drivers Output";"Central Output",#N/A,FALSE,"Operational Drivers Output"}</definedName>
    <definedName name="sdfs" hidden="1">{#N/A,#N/A,TRUE,"index";#N/A,#N/A,TRUE,"Summary";#N/A,#N/A,TRUE,"Continuing Business";#N/A,#N/A,TRUE,"Disposals";#N/A,#N/A,TRUE,"Acquisitions";#N/A,#N/A,TRUE,"Actual &amp; Plan Reconciliation"}</definedName>
    <definedName name="SDFSFSF" hidden="1">{#N/A,#N/A,FALSE,"COVER.XLS";#N/A,#N/A,FALSE,"RACT1.XLS";#N/A,#N/A,FALSE,"RACT2.XLS";#N/A,#N/A,FALSE,"ECCMP";#N/A,#N/A,FALSE,"WELDER.XLS"}</definedName>
    <definedName name="sdfskdfskdf" hidden="1">{#N/A,#N/A,FALSE,"TOWNSHIP"}</definedName>
    <definedName name="sdfskdfskdf_1" hidden="1">{#N/A,#N/A,FALSE,"TOWNSHIP"}</definedName>
    <definedName name="sdfskdfskdf_2" hidden="1">{#N/A,#N/A,FALSE,"TOWNSHIP"}</definedName>
    <definedName name="sdfskdfskdf_3" hidden="1">{#N/A,#N/A,FALSE,"TOWNSHIP"}</definedName>
    <definedName name="sdfskdfskdf_4" hidden="1">{#N/A,#N/A,FALSE,"TOWNSHIP"}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" hidden="1">{#N/A,#N/A,FALSE,"TOWNSHIP"}</definedName>
    <definedName name="sdg_2" hidden="1">{#N/A,#N/A,FALSE,"TOWNSHIP"}</definedName>
    <definedName name="sdg_3" hidden="1">{#N/A,#N/A,FALSE,"TOWNSHIP"}</definedName>
    <definedName name="sdg_4" hidden="1">{#N/A,#N/A,FALSE,"TOWNSHIP"}</definedName>
    <definedName name="sdgagf" hidden="1">{#N/A,#N/A,FALSE,"Pharm";#N/A,#N/A,FALSE,"WWCM"}</definedName>
    <definedName name="sdgh" hidden="1">{"qty and inventory value",#N/A,FALSE,"MPartners";"general ledger entries",#N/A,FALSE,"MPartners"}</definedName>
    <definedName name="sdgsdfg" hidden="1">#REF!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lgjse" hidden="1">#REF!</definedName>
    <definedName name="sdlgkjewgpo" hidden="1">#REF!</definedName>
    <definedName name="sdlkgjs" hidden="1">#REF!</definedName>
    <definedName name="sdrf" hidden="1">{#N/A,#N/A,FALSE,"FREE"}</definedName>
    <definedName name="sdrf_2" hidden="1">{#N/A,#N/A,FALSE,"FREE"}</definedName>
    <definedName name="sdrf_3" hidden="1">{#N/A,#N/A,FALSE,"FREE"}</definedName>
    <definedName name="sdrf_4" hidden="1">{#N/A,#N/A,FALSE,"FREE"}</definedName>
    <definedName name="sds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sdsadasd" hidden="1">{#N/A,#N/A,FALSE,"Pharm";#N/A,#N/A,FALSE,"WWCM"}</definedName>
    <definedName name="sdsd" hidden="1">{#N/A,#N/A,FALSE,"REPORT"}</definedName>
    <definedName name="sdsdafeaf" hidden="1">#REF!</definedName>
    <definedName name="sdsd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ufw" hidden="1">#REF!</definedName>
    <definedName name="sdvcx" hidden="1">#REF!</definedName>
    <definedName name="sea" hidden="1">{"oct_res_comm",#N/A,FALSE,"VarToBud"}</definedName>
    <definedName name="Sec_0708" hidden="1">{"histincome",#N/A,FALSE,"hyfins";"closing balance",#N/A,FALSE,"hyfins"}</definedName>
    <definedName name="SegmentBudget" hidden="1">{"oct_res_comm",#N/A,FALSE,"VarToBud"}</definedName>
    <definedName name="sencount" hidden="1">1</definedName>
    <definedName name="Sens2" hidden="1">{#N/A,#N/A,FALSE,"Carat";"VENTA",#N/A,FALSE,"05";#N/A,#N/A,FALSE,"06";"CASHFLOW",#N/A,FALSE,"05";"TAX PLAN",#N/A,FALSE,"05"}</definedName>
    <definedName name="senst" hidden="1">{#N/A,#N/A,FALSE,"Carat";"VENTA",#N/A,FALSE,"05";#N/A,#N/A,FALSE,"06";"CASHFLOW",#N/A,FALSE,"05";"TAX PLAN",#N/A,FALSE,"05"}</definedName>
    <definedName name="SEP_16">#REF!</definedName>
    <definedName name="Serbian" hidden="1">{"detail",#N/A,FALSE,"mfg";"summary",#N/A,FALSE,"mfg"}</definedName>
    <definedName name="ses">Main.SAPF4Help()</definedName>
    <definedName name="sety" hidden="1">{"LAPO2N2",#N/A,FALSE,"CM"}</definedName>
    <definedName name="sf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azgzrg" hidden="1">{"'Distinta'!$A$1:$I$277"}</definedName>
    <definedName name="sfd" hidden="1">#REF!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SF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irect" hidden="1">{#N/A,#N/A,FALSE,"REPORT"}</definedName>
    <definedName name="sfdw">#REF!</definedName>
    <definedName name="SFF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hidden="1">{#N/A,#N/A,FALSE,"COVER1.XLS ";#N/A,#N/A,FALSE,"RACT1.XLS";#N/A,#N/A,FALSE,"RACT2.XLS";#N/A,#N/A,FALSE,"ECCMP";#N/A,#N/A,FALSE,"WELDER.XLS"}</definedName>
    <definedName name="SFGSFGS" hidden="1">{#N/A,#N/A,FALSE,"COVER1.XLS ";#N/A,#N/A,FALSE,"RACT1.XLS";#N/A,#N/A,FALSE,"RACT2.XLS";#N/A,#N/A,FALSE,"ECCMP";#N/A,#N/A,FALSE,"WELDER.XLS"}</definedName>
    <definedName name="SFGSFGSFGSG" hidden="1">{#N/A,#N/A,FALSE,"COVER.XLS";#N/A,#N/A,FALSE,"RACT1.XLS";#N/A,#N/A,FALSE,"RACT2.XLS";#N/A,#N/A,FALSE,"ECCMP";#N/A,#N/A,FALSE,"WELDER.XLS"}</definedName>
    <definedName name="SFGSFGSG" hidden="1">{#N/A,#N/A,FALSE,"COVER.XLS";#N/A,#N/A,FALSE,"RACT1.XLS";#N/A,#N/A,FALSE,"RACT2.XLS";#N/A,#N/A,FALSE,"ECCMP";#N/A,#N/A,FALSE,"WELDER.XLS"}</definedName>
    <definedName name="SFGSFGSG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hidden="1">{#N/A,#N/A,FALSE,"COVER1.XLS ";#N/A,#N/A,FALSE,"RACT1.XLS";#N/A,#N/A,FALSE,"RACT2.XLS";#N/A,#N/A,FALSE,"ECCMP";#N/A,#N/A,FALSE,"WELDER.XLS"}</definedName>
    <definedName name="SFGSFSFG" hidden="1">{#N/A,#N/A,FALSE,"COVER1.XLS ";#N/A,#N/A,FALSE,"RACT1.XLS";#N/A,#N/A,FALSE,"RACT2.XLS";#N/A,#N/A,FALSE,"ECCMP";#N/A,#N/A,FALSE,"WELDER.XLS"}</definedName>
    <definedName name="SFGS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hidden="1">{#N/A,#N/A,FALSE,"COVER1.XLS ";#N/A,#N/A,FALSE,"RACT1.XLS";#N/A,#N/A,FALSE,"RACT2.XLS";#N/A,#N/A,FALSE,"ECCMP";#N/A,#N/A,FALSE,"WELDER.XLS"}</definedName>
    <definedName name="SFGSSFG" hidden="1">{#N/A,#N/A,FALSE,"COVER.XLS";#N/A,#N/A,FALSE,"RACT1.XLS";#N/A,#N/A,FALSE,"RACT2.XLS";#N/A,#N/A,FALSE,"ECCMP";#N/A,#N/A,FALSE,"WELDER.XLS"}</definedName>
    <definedName name="sfgv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jdhlgh">#REF!</definedName>
    <definedName name="sfjewgj" hidden="1">{#N/A,#N/A,FALSE,"Model";#N/A,#N/A,FALSE,"Division"}</definedName>
    <definedName name="sfq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sd">#REF!</definedName>
    <definedName name="sfsf" hidden="1">{#N/A,#N/A,FALSE,"Calc";#N/A,#N/A,FALSE,"Sensitivity";#N/A,#N/A,FALSE,"LT Earn.Dil.";#N/A,#N/A,FALSE,"Dil. AVP"}</definedName>
    <definedName name="sfsf_1" hidden="1">{#N/A,#N/A,FALSE,"Calc";#N/A,#N/A,FALSE,"Sensitivity";#N/A,#N/A,FALSE,"LT Earn.Dil.";#N/A,#N/A,FALSE,"Dil. AVP"}</definedName>
    <definedName name="SFSFFS" hidden="1">{#N/A,#N/A,FALSE,"COVER.XLS";#N/A,#N/A,FALSE,"RACT1.XLS";#N/A,#N/A,FALSE,"RACT2.XLS";#N/A,#N/A,FALSE,"ECCMP";#N/A,#N/A,FALSE,"WELDER.XLS"}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d" hidden="1">{#N/A,#N/A,FALSE,"Calc";#N/A,#N/A,FALSE,"Sensitivity";#N/A,#N/A,FALSE,"LT Earn.Dil.";#N/A,#N/A,FALSE,"Dil. AVP"}</definedName>
    <definedName name="sgd_1" hidden="1">{#N/A,#N/A,FALSE,"Calc";#N/A,#N/A,FALSE,"Sensitivity";#N/A,#N/A,FALSE,"LT Earn.Dil.";#N/A,#N/A,FALSE,"Dil. AVP"}</definedName>
    <definedName name="sgddfg" hidden="1">{#N/A,#N/A,FALSE,"PMTABB";#N/A,#N/A,FALSE,"PMTABB"}</definedName>
    <definedName name="sgddfg_2" hidden="1">{#N/A,#N/A,FALSE,"PMTABB";#N/A,#N/A,FALSE,"PMTABB"}</definedName>
    <definedName name="sgddfg_3" hidden="1">{#N/A,#N/A,FALSE,"PMTABB";#N/A,#N/A,FALSE,"PMTABB"}</definedName>
    <definedName name="sgddfg_4" hidden="1">{#N/A,#N/A,FALSE,"PMTABB";#N/A,#N/A,FALSE,"PMTABB"}</definedName>
    <definedName name="sgdg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SGS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HEET" hidden="1">{"REP1",#N/A,FALSE,"HSSA-LOG"}</definedName>
    <definedName name="shet1" hidden="1">#REF!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j" hidden="1">#REF!</definedName>
    <definedName name="short" hidden="1">{#N/A,#N/A,FALSE,"COVER1.XLS ";#N/A,#N/A,FALSE,"RACT1.XLS";#N/A,#N/A,FALSE,"RACT2.XLS";#N/A,#N/A,FALSE,"ECCMP";#N/A,#N/A,FALSE,"WELDER.XLS"}</definedName>
    <definedName name="Shortage" hidden="1">{#N/A,#N/A,TRUE,"Sheet1";#N/A,#N/A,TRUE,"Nov-1995"}</definedName>
    <definedName name="Siara_abs" hidden="1">#REF!</definedName>
    <definedName name="sldfkj" hidden="1">{#N/A,#N/A,FALSE,"Model";#N/A,#N/A,FALSE,"Division"}</definedName>
    <definedName name="slfjslfj" hidden="1">{#N/A,#N/A,FALSE,"Model";#N/A,#N/A,FALSE,"Division"}</definedName>
    <definedName name="smk" hidden="1">{"QTD_GENERALH2",#N/A,FALSE,"QTD"}</definedName>
    <definedName name="societe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hs1" hidden="1">0.15</definedName>
    <definedName name="solver_scl" hidden="1">0</definedName>
    <definedName name="solver_sho" hidden="1">0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0.6</definedName>
    <definedName name="Sompther" hidden="1">{#N/A,#N/A,FALSE,"Aging Summary";#N/A,#N/A,FALSE,"Ratio Analysis";#N/A,#N/A,FALSE,"Test 120 Day Accts";#N/A,#N/A,FALSE,"Tickmarks"}</definedName>
    <definedName name="sort2" hidden="1">#REF!</definedName>
    <definedName name="sort5" hidden="1">#REF!</definedName>
    <definedName name="Sortt" hidden="1">#REF!</definedName>
    <definedName name="Source">#REF!</definedName>
    <definedName name="spares" hidden="1">#REF!</definedName>
    <definedName name="SPC">#REF!</definedName>
    <definedName name="SpecialPrice" hidden="1">#REF!</definedName>
    <definedName name="spot">#REF!</definedName>
    <definedName name="spread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ev" hidden="1">{#N/A,#N/A,FALSE,"P&amp;L";#N/A,#N/A,FALSE,"BS";#N/A,#N/A,FALSE,"SPLIT";#N/A,#N/A,FALSE,"RATIOS";#N/A,#N/A,FALSE,"TURN ";#N/A,#N/A,FALSE,"%s"}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s" hidden="1">{#N/A,#N/A,FALSE,"Calc";#N/A,#N/A,FALSE,"Sensitivity";#N/A,#N/A,FALSE,"LT Earn.Dil.";#N/A,#N/A,FALSE,"Dil. AVP"}</definedName>
    <definedName name="ss_1" hidden="1">{#N/A,#N/A,FALSE,"Calc";#N/A,#N/A,FALSE,"Sensitivity";#N/A,#N/A,FALSE,"LT Earn.Dil.";#N/A,#N/A,FALSE,"Dil. AVP"}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sa" hidden="1">{#N/A,#N/A,FALSE,"FREE"}</definedName>
    <definedName name="ssdsa_2" hidden="1">{#N/A,#N/A,FALSE,"FREE"}</definedName>
    <definedName name="ssdsa_3" hidden="1">{#N/A,#N/A,FALSE,"FREE"}</definedName>
    <definedName name="ssdsa_4" hidden="1">{#N/A,#N/A,FALSE,"FREE"}</definedName>
    <definedName name="sse" hidden="1">{"YD GENERALH2",#N/A,FALSE,"YTD"}</definedName>
    <definedName name="SSFGSFG" hidden="1">{#N/A,#N/A,FALSE,"COVER.XLS";#N/A,#N/A,FALSE,"RACT1.XLS";#N/A,#N/A,FALSE,"RACT2.XLS";#N/A,#N/A,FALSE,"ECCMP";#N/A,#N/A,FALSE,"WELDER.XLS"}</definedName>
    <definedName name="SSSDFGSD" hidden="1">{#N/A,#N/A,FALSE,"COVER1.XLS ";#N/A,#N/A,FALSE,"RACT1.XLS";#N/A,#N/A,FALSE,"RACT2.XLS";#N/A,#N/A,FALSE,"ECCMP";#N/A,#N/A,FALSE,"WELDER.XLS"}</definedName>
    <definedName name="SSSDFGSG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s" hidden="1">{"divisions",#N/A,TRUE,"Drivers";"PandL_Ratios",#N/A,TRUE,"P&amp;L"}</definedName>
    <definedName name="ssss_1" hidden="1">{"divisions",#N/A,TRUE,"Drivers";"PandL_Ratios",#N/A,TRUE,"P&amp;L"}</definedName>
    <definedName name="ssss_2" hidden="1">{"divisions",#N/A,TRUE,"Drivers";"PandL_Ratios",#N/A,TRUE,"P&amp;L"}</definedName>
    <definedName name="ssss_3" hidden="1">{"divisions",#N/A,TRUE,"Drivers";"PandL_Ratios",#N/A,TRUE,"P&amp;L"}</definedName>
    <definedName name="ssss_4" hidden="1">{"divisions",#N/A,TRUE,"Drivers";"PandL_Ratios",#N/A,TRUE,"P&amp;L"}</definedName>
    <definedName name="ssss_5" hidden="1">{"divisions",#N/A,TRUE,"Drivers";"PandL_Ratios",#N/A,TRUE,"P&amp;L"}</definedName>
    <definedName name="SSSSD" hidden="1">{#N/A,#N/A,FALSE,"COVER1.XLS ";#N/A,#N/A,FALSE,"RACT1.XLS";#N/A,#N/A,FALSE,"RACT2.XLS";#N/A,#N/A,FALSE,"ECCMP";#N/A,#N/A,FALSE,"WELDER.XLS"}</definedName>
    <definedName name="sssss" hidden="1">{#N/A,#N/A,FALSE,"Calc";#N/A,#N/A,FALSE,"Sensitivity";#N/A,#N/A,FALSE,"LT Earn.Dil.";#N/A,#N/A,FALSE,"Dil. AVP"}</definedName>
    <definedName name="sssss_1" hidden="1">{"divisions",#N/A,TRUE,"Drivers";"PandL_Ratios",#N/A,TRUE,"P&amp;L"}</definedName>
    <definedName name="sssss_2" hidden="1">{"divisions",#N/A,TRUE,"Drivers";"PandL_Ratios",#N/A,TRUE,"P&amp;L"}</definedName>
    <definedName name="sssss_3" hidden="1">{"divisions",#N/A,TRUE,"Drivers";"PandL_Ratios",#N/A,TRUE,"P&amp;L"}</definedName>
    <definedName name="sssss_4" hidden="1">{"divisions",#N/A,TRUE,"Drivers";"PandL_Ratios",#N/A,TRUE,"P&amp;L"}</definedName>
    <definedName name="sssss_5" hidden="1">{"divisions",#N/A,TRUE,"Drivers";"PandL_Ratios",#N/A,TRUE,"P&amp;L"}</definedName>
    <definedName name="sssssssd" hidden="1">42867.2150115741</definedName>
    <definedName name="sssssssssssss">#REF!</definedName>
    <definedName name="SSSSSSSSSSSSSSS" hidden="1">{#N/A,#N/A,FALSE,"17MAY";#N/A,#N/A,FALSE,"24MAY"}</definedName>
    <definedName name="sssssssssssssssss" hidden="1">{#N/A,#N/A,FALSE,"Status of Projects";#N/A,#N/A,FALSE,"CEA-TEC";#N/A,#N/A,FALSE,"U-Constr.";#N/A,#N/A,FALSE,"summary";#N/A,#N/A,FALSE,"PPP-3 yrs"}</definedName>
    <definedName name="SSSSSSSSSSSSSSSSS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wwww" hidden="1">{#N/A,"PURCHM",FALSE,"Business Analysis";#N/A,"SPADD",FALSE,"Business Analysis"}</definedName>
    <definedName name="Staff_Independence_Confirmation___Optional">#REF!</definedName>
    <definedName name="Staril" hidden="1">{#N/A,#N/A,FALSE,"REPORT"}</definedName>
    <definedName name="START_YEAR">#REF!</definedName>
    <definedName name="STARTDATE" hidden="1">" "</definedName>
    <definedName name="StatementBalanceAndUnclearedTransactions">#REF!</definedName>
    <definedName name="StatusList">#REF!</definedName>
    <definedName name="StDebtDmy" hidden="1">#REF!,#REF!,#REF!,#REF!,#REF!</definedName>
    <definedName name="stdone">#REF!</definedName>
    <definedName name="stdtwo">#REF!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02" hidden="1">{#N/A,#N/A,FALSE,"gc (2)"}</definedName>
    <definedName name="stock02_1" hidden="1">{#N/A,#N/A,FALSE,"gc (2)"}</definedName>
    <definedName name="stock02_2" hidden="1">{#N/A,#N/A,FALSE,"gc (2)"}</definedName>
    <definedName name="stock02_3" hidden="1">{#N/A,#N/A,FALSE,"gc (2)"}</definedName>
    <definedName name="stockason30.6.99" hidden="1">{#N/A,#N/A,TRUE,"Sheet1";#N/A,#N/A,TRUE,"Nov-1995"}</definedName>
    <definedName name="StratPlanAP" hidden="1">{#N/A,#N/A,FALSE,"Pharm";#N/A,#N/A,FALSE,"WWCM"}</definedName>
    <definedName name="stre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SttII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stu" hidden="1">{#N/A,#N/A,FALSE,"Tabl. D1";#N/A,#N/A,FALSE,"Tabl. D1 b";#N/A,#N/A,FALSE,"Tabl. D2";#N/A,#N/A,FALSE,"Tabl. D2 b";#N/A,#N/A,FALSE,"Tabl. D3";#N/A,#N/A,FALSE,"Tabl. D4";#N/A,#N/A,FALSE,"Tabl. D5"}</definedName>
    <definedName name="stuff" hidden="1">{"TOTAL",#N/A,FALSE,"A";"FISCAL94",#N/A,FALSE,"A";"FISCAL95",#N/A,FALSE,"A";"FISCAL96",#N/A,FALSE,"A";"misc page",#N/A,FALSE,"A"}</definedName>
    <definedName name="stuff_1" hidden="1">{"TOTAL",#N/A,FALSE,"A";"FISCAL94",#N/A,FALSE,"A";"FISCAL95",#N/A,FALSE,"A";"FISCAL96",#N/A,FALSE,"A";"misc page",#N/A,FALSE,"A"}</definedName>
    <definedName name="stuff_2" hidden="1">{"TOTAL",#N/A,FALSE,"A";"FISCAL94",#N/A,FALSE,"A";"FISCAL95",#N/A,FALSE,"A";"FISCAL96",#N/A,FALSE,"A";"misc page",#N/A,FALSE,"A"}</definedName>
    <definedName name="stuff_3" hidden="1">{"TOTAL",#N/A,FALSE,"A";"FISCAL94",#N/A,FALSE,"A";"FISCAL95",#N/A,FALSE,"A";"FISCAL96",#N/A,FALSE,"A";"misc page",#N/A,FALSE,"A"}</definedName>
    <definedName name="Sub_Group">#REF!</definedName>
    <definedName name="Sudhir" hidden="1">{#N/A,#N/A,FALSE,"Status of Projects";#N/A,#N/A,FALSE,"CEA-TEC";#N/A,#N/A,FALSE,"U-Constr.";#N/A,#N/A,FALSE,"summary";#N/A,#N/A,FALSE,"PPP-3 yrs"}</definedName>
    <definedName name="sumit" hidden="1">{#N/A,#N/A,FALSE,"Tabl. FB300";#N/A,#N/A,FALSE,"Tabl. FB350";#N/A,#N/A,FALSE,"Tabl. FB400";#N/A,#N/A,FALSE,"Tabl. FB500";#N/A,#N/A,FALSE,"Tabl. FS090"}</definedName>
    <definedName name="SUMMARY1" hidden="1">#REF!</definedName>
    <definedName name="sumtijdschriften" hidden="1">{#N/A,#N/A,FALSE,"Aging Summary";#N/A,#N/A,FALSE,"Ratio Analysis";#N/A,#N/A,FALSE,"Test 120 Day Accts";#N/A,#N/A,FALSE,"Tickmarks"}</definedName>
    <definedName name="sunil" hidden="1">#REF!</definedName>
    <definedName name="SUNNI" hidden="1">{#N/A,#N/A,FALSE,"Staffnos &amp; cost"}</definedName>
    <definedName name="Sup_exp_Bud" hidden="1">{#N/A,#N/A,FALSE,"Scenario PivotTable"}</definedName>
    <definedName name="Sup_Exp_Bud_07" hidden="1">{#N/A,#N/A,FALSE,"Scenario PivotTable"}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y" hidden="1">{#N/A,#N/A,FALSE,"PMTABB";#N/A,#N/A,FALSE,"PMTABB"}</definedName>
    <definedName name="supply_2" hidden="1">{#N/A,#N/A,FALSE,"PMTABB";#N/A,#N/A,FALSE,"PMTABB"}</definedName>
    <definedName name="supply_3" hidden="1">{#N/A,#N/A,FALSE,"PMTABB";#N/A,#N/A,FALSE,"PMTABB"}</definedName>
    <definedName name="supply_4" hidden="1">{#N/A,#N/A,FALSE,"PMTABB";#N/A,#N/A,FALSE,"PMTABB"}</definedName>
    <definedName name="Supporting" hidden="1">{#N/A,#N/A,TRUE,"Sheet1";#N/A,#N/A,TRUE,"Nov-1995"}</definedName>
    <definedName name="supppymt" hidden="1">{#N/A,#N/A,TRUE,"Sheet1";#N/A,#N/A,TRUE,"Nov-1995"}</definedName>
    <definedName name="Susan" hidden="1">{#N/A,#N/A,FALSE,"Revised cover";#N/A,#N/A,FALSE,"Trends";"main view",#N/A,FALSE,"As Reported";#N/A,#N/A,FALSE,"delegations";#N/A,#N/A,FALSE,"(un) Commited"}</definedName>
    <definedName name="SV_AUTO_CONN_CATALOG" hidden="1">"aeu"</definedName>
    <definedName name="SV_AUTO_CONN_SERVER" hidden="1">"\\10.0.10.3\90W\440MAS90EES\MAS90"</definedName>
    <definedName name="SV_ENCPT_AUTO_CONN_PASSWORD" hidden="1">"083096084083070071067085085046071081077"</definedName>
    <definedName name="SV_ENCPT_AUTO_CONN_USER" hidden="1">"095094088070084071072074078069"</definedName>
    <definedName name="SV_ENCPT_LOGON_PWD" hidden="1">"078104085088070"</definedName>
    <definedName name="SV_ENCPT_LOGON_USER" hidden="1">"095094088070084084080096087083073084"</definedName>
    <definedName name="sw" hidden="1">{#N/A,"PURCHM",FALSE,"Business Analysis";#N/A,"SPADD",FALSE,"Business Analysis"}</definedName>
    <definedName name="Sw_Ahm">#REF!</definedName>
    <definedName name="Sw_Ban">#REF!</definedName>
    <definedName name="Sw_Bar">#REF!</definedName>
    <definedName name="Sw_Che">#REF!</definedName>
    <definedName name="Sw_Del">#REF!</definedName>
    <definedName name="Sw_Gur">#REF!</definedName>
    <definedName name="Sw_Hyd">#REF!</definedName>
    <definedName name="Sw_Mum1">#REF!</definedName>
    <definedName name="Sw_Mum2">#REF!</definedName>
    <definedName name="Sw_Pun">#REF!</definedName>
    <definedName name="Sw_Sur">#REF!</definedName>
    <definedName name="Sw_Viz">#REF!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FSDF" hidden="1">{#N/A,#N/A,FALSE,"COMP"}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rgwrbefvyhi" hidden="1">#REF!</definedName>
    <definedName name="Swvu.CapersView." hidden="1">#REF!</definedName>
    <definedName name="Swvu.Japan_Capers_Ed_Pub." hidden="1">#REF!</definedName>
    <definedName name="Swvu.KJP_CC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hidden="1">{#N/A,#N/A,FALSE,"PGW"}</definedName>
    <definedName name="sxcg_2" hidden="1">{#N/A,#N/A,FALSE,"PGW"}</definedName>
    <definedName name="sxcg_3" hidden="1">{#N/A,#N/A,FALSE,"PGW"}</definedName>
    <definedName name="sxcg_4" hidden="1">{#N/A,#N/A,FALSE,"PGW"}</definedName>
    <definedName name="synergy_fx">#REF!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T_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T_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T_Filter_Range_TB">OFFSET(#REF!,0,0,#REF!+2,1)</definedName>
    <definedName name="t_Nominals">OFFSET(#REF!,0,0,#REF!,1)</definedName>
    <definedName name="TA" hidden="1">{#N/A,#N/A,TRUE,"Financials";#N/A,#N/A,TRUE,"Operating Statistics";#N/A,#N/A,TRUE,"Capex &amp; Depreciation";#N/A,#N/A,TRUE,"Debt"}</definedName>
    <definedName name="TA_1" hidden="1">{#N/A,#N/A,TRUE,"Financials";#N/A,#N/A,TRUE,"Operating Statistics";#N/A,#N/A,TRUE,"Capex &amp; Depreciation";#N/A,#N/A,TRUE,"Debt"}</definedName>
    <definedName name="TA_2" hidden="1">{#N/A,#N/A,TRUE,"Financials";#N/A,#N/A,TRUE,"Operating Statistics";#N/A,#N/A,TRUE,"Capex &amp; Depreciation";#N/A,#N/A,TRUE,"Debt"}</definedName>
    <definedName name="TA_3" hidden="1">{#N/A,#N/A,TRUE,"Financials";#N/A,#N/A,TRUE,"Operating Statistics";#N/A,#N/A,TRUE,"Capex &amp; Depreciation";#N/A,#N/A,TRUE,"Debt"}</definedName>
    <definedName name="tabl" hidden="1">{#N/A,#N/A,FALSE,"Tabl. H1";#N/A,#N/A,FALSE,"Tabl. H2"}</definedName>
    <definedName name="TablaD">#REF!</definedName>
    <definedName name="tableau" hidden="1">{#N/A,#N/A,FALSE,"Tabl. A1";#N/A,#N/A,FALSE,"Tabl. A1 b";#N/A,#N/A,FALSE,"Tabl. A2";#N/A,#N/A,FALSE,"Tabl. A2-1";#N/A,#N/A,FALSE,"Tabl. A2-2"}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nmoy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taxol" hidden="1">{#N/A,#N/A,FALSE,"Pharm";#N/A,#N/A,FALSE,"WWCM"}</definedName>
    <definedName name="TB">OFFSET(#REF!,0,0,COUNTA(#REF!),16)</definedName>
    <definedName name="TB_1" hidden="1">{#N/A,#N/A,FALSE,"One Pager";#N/A,#N/A,FALSE,"Technical"}</definedName>
    <definedName name="TB_2" hidden="1">{#N/A,#N/A,FALSE,"One Pager";#N/A,#N/A,FALSE,"Technical"}</definedName>
    <definedName name="TB_3" hidden="1">{#N/A,#N/A,FALSE,"One Pager";#N/A,#N/A,FALSE,"Technical"}</definedName>
    <definedName name="tbb" hidden="1">#REF!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g" hidden="1">{#N/A,#N/A,FALSE,"Tabl. G1";#N/A,#N/A,FALSE,"Tabl. G2"}</definedName>
    <definedName name="TBinfoma" hidden="1">#REF!</definedName>
    <definedName name="tbl_ProdInfo" hidden="1">#REF!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dc" hidden="1">{"'April 24'!$J$11"}</definedName>
    <definedName name="tdfhfg" hidden="1">{#N/A,#N/A,TRUE,"RM-June"}</definedName>
    <definedName name="TED">#REF!</definedName>
    <definedName name="tel" hidden="1">{"DCF",#N/A,FALSE,"CF"}</definedName>
    <definedName name="tel_1" hidden="1">{"DCF",#N/A,FALSE,"CF"}</definedName>
    <definedName name="tel_2" hidden="1">{"DCF",#N/A,FALSE,"CF"}</definedName>
    <definedName name="tel_3" hidden="1">{"DCF",#N/A,FALSE,"CF"}</definedName>
    <definedName name="tel_4" hidden="1">{"DCF",#N/A,FALSE,"CF"}</definedName>
    <definedName name="tel_5" hidden="1">{"DCF",#N/A,FALSE,"CF"}</definedName>
    <definedName name="Tem" hidden="1">{#N/A,#N/A,FALSE,"Pharm";#N/A,#N/A,FALSE,"WWCM"}</definedName>
    <definedName name="Tema_2">#REF!</definedName>
    <definedName name="Tema_3">#REF!</definedName>
    <definedName name="Tema_4">#REF!</definedName>
    <definedName name="Tema_5">#REF!</definedName>
    <definedName name="Tema_6">#REF!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.xls" hidden="1">{"mgmt forecast",#N/A,FALSE,"Mgmt Forecast";"dcf table",#N/A,FALSE,"Mgmt Forecast";"sensitivity",#N/A,FALSE,"Mgmt Forecast";"table inputs",#N/A,FALSE,"Mgmt Forecast";"calculations",#N/A,FALSE,"Mgmt Forecast"}</definedName>
    <definedName name="terc" hidden="1">{"YD GENERALH2",#N/A,FALSE,"YTD"}</definedName>
    <definedName name="terms" hidden="1">{"mgmt forecast",#N/A,FALSE,"Mgmt Forecast";"dcf table",#N/A,FALSE,"Mgmt Forecast";"sensitivity",#N/A,FALSE,"Mgmt Forecast";"table inputs",#N/A,FALSE,"Mgmt Forecast";"calculations",#N/A,FALSE,"Mgmt Forecast"}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E" hidden="1">{"Print One Page",#N/A,FALSE,"SumReport"}</definedName>
    <definedName name="tete" hidden="1">{#N/A,#N/A,FALSE,"Calc";#N/A,#N/A,FALSE,"Sensitivity";#N/A,#N/A,FALSE,"LT Earn.Dil.";#N/A,#N/A,FALSE,"Dil. AVP"}</definedName>
    <definedName name="tete_1" hidden="1">{#N/A,#N/A,FALSE,"Calc";#N/A,#N/A,FALSE,"Sensitivity";#N/A,#N/A,FALSE,"LT Earn.Dil.";#N/A,#N/A,FALSE,"Dil. AVP"}</definedName>
    <definedName name="text1" hidden="1">{"'Sheet1'!$L$16"}</definedName>
    <definedName name="TextRefCopyRangeCount" hidden="1">8</definedName>
    <definedName name="TextRefCopyRangeCount_1" hidden="1">1</definedName>
    <definedName name="tf" hidden="1">{"Performance Details",#N/A,FALSE,"Current Yr";"Performance Details",#N/A,FALSE,"Budget";"Performance Details",#N/A,FALSE,"Prior Year"}</definedName>
    <definedName name="tft" hidden="1">{#N/A,#N/A,TRUE,"constb"}</definedName>
    <definedName name="TGHG" hidden="1">{#N/A,#N/A,FALSE,"SUMMARY";#N/A,#N/A,FALSE,"SUMMARY"}</definedName>
    <definedName name="TGHG_1" hidden="1">{#N/A,#N/A,FALSE,"SUMMARY";#N/A,#N/A,FALSE,"SUMMARY"}</definedName>
    <definedName name="TGHG_2" hidden="1">{#N/A,#N/A,FALSE,"SUMMARY";#N/A,#N/A,FALSE,"SUMMARY"}</definedName>
    <definedName name="TGHG_3" hidden="1">{#N/A,#N/A,FALSE,"SUMMARY";#N/A,#N/A,FALSE,"SUMMARY"}</definedName>
    <definedName name="TGHG_4" hidden="1">{#N/A,#N/A,FALSE,"SUMMARY";#N/A,#N/A,FALSE,"SUMMARY"}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e" hidden="1">{#N/A,#N/A,FALSE,"gc (2)"}</definedName>
    <definedName name="the_1" hidden="1">{#N/A,#N/A,FALSE,"gc (2)"}</definedName>
    <definedName name="the_2" hidden="1">{#N/A,#N/A,FALSE,"gc (2)"}</definedName>
    <definedName name="the_3" hidden="1">{#N/A,#N/A,FALSE,"gc (2)"}</definedName>
    <definedName name="Theatre" hidden="1">#REF!</definedName>
    <definedName name="Thiagarajan" hidden="1">{"'Sheet1'!$A$4386:$N$4591"}</definedName>
    <definedName name="thierry" hidden="1">{"Totax",#N/A,FALSE,"Sheet1";#N/A,#N/A,FALSE,"Law Output"}</definedName>
    <definedName name="thierry_1" hidden="1">{"Totax",#N/A,FALSE,"Sheet1";#N/A,#N/A,FALSE,"Law Output"}</definedName>
    <definedName name="thierry_2" hidden="1">{"Totax",#N/A,FALSE,"Sheet1";#N/A,#N/A,FALSE,"Law Output"}</definedName>
    <definedName name="thierry_3" hidden="1">{"Totax",#N/A,FALSE,"Sheet1";#N/A,#N/A,FALSE,"Law Output"}</definedName>
    <definedName name="thierry_4" hidden="1">{"Totax",#N/A,FALSE,"Sheet1";#N/A,#N/A,FALSE,"Law Output"}</definedName>
    <definedName name="thierry_5" hidden="1">{"Totax",#N/A,FALSE,"Sheet1";#N/A,#N/A,FALSE,"Law Output"}</definedName>
    <definedName name="this.is.annoying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THNEN" hidden="1">{#N/A,#N/A,FALSE,"Tabl. FB300";#N/A,#N/A,FALSE,"Tabl. FB350";#N/A,#N/A,FALSE,"Tabl. FB400";#N/A,#N/A,FALSE,"Tabl. FB500";#N/A,#N/A,FALSE,"Tabl. FS090"}</definedName>
    <definedName name="three" hidden="1">#REF!</definedName>
    <definedName name="thth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TH_2" hidden="1">{#N/A,#N/A,FALSE,"TOWNSHIP"}</definedName>
    <definedName name="THTH_3" hidden="1">{#N/A,#N/A,FALSE,"TOWNSHIP"}</definedName>
    <definedName name="THTH_4" hidden="1">{#N/A,#N/A,FALSE,"TOWNSHIP"}</definedName>
    <definedName name="TiposDeposito">OFFSET(#REF!,0,0,COUNTA(#REF!),1)</definedName>
    <definedName name="Titel">#REF!</definedName>
    <definedName name="tl" hidden="1">{"Commentary",#N/A,FALSE,"May"}</definedName>
    <definedName name="TLs">#REF!</definedName>
    <definedName name="tm" hidden="1">{"ICD Details",#N/A,FALSE,"Current Yr";"ICD Details",#N/A,FALSE,"Budget";"ICD Details",#N/A,FALSE,"Prior Year"}</definedName>
    <definedName name="TM1REBUILDOPTION">1</definedName>
    <definedName name="tmkk_control" hidden="1">{"'August 2000'!$A$1:$J$101"}</definedName>
    <definedName name="TML_control" hidden="1">{"'August 2000'!$A$1:$J$101"}</definedName>
    <definedName name="tmp" hidden="1">{#N/A,#N/A,FALSE,"earnings"}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lerance">#REF!</definedName>
    <definedName name="top_customers">#REF!</definedName>
    <definedName name="TOPFBTDEC0506" hidden="1">{#N/A,#N/A,FALSE,"PMTABB";#N/A,#N/A,FALSE,"PMTABB"}</definedName>
    <definedName name="TOPFBTDEC0506_1" hidden="1">{#N/A,#N/A,FALSE,"PMTABB";#N/A,#N/A,FALSE,"PMTABB"}</definedName>
    <definedName name="trb.xls" hidden="1">{"mgmt forecast",#N/A,FALSE,"Mgmt Forecast";"dcf table",#N/A,FALSE,"Mgmt Forecast";"sensitivity",#N/A,FALSE,"Mgmt Forecast";"table inputs",#N/A,FALSE,"Mgmt Forecast";"calculations",#N/A,FALSE,"Mgmt Forecast"}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dfg" hidden="1">#REF!</definedName>
    <definedName name="tre" hidden="1">{"pro_view",#N/A,FALSE,"EEFSNAP2";"rep_view",#N/A,FALSE,"EEFSNAP2"}</definedName>
    <definedName name="tre.xls" hidden="1">{"mgmt forecast",#N/A,FALSE,"Mgmt Forecast";"dcf table",#N/A,FALSE,"Mgmt Forecast";"sensitivity",#N/A,FALSE,"Mgmt Forecast";"table inputs",#N/A,FALSE,"Mgmt Forecast";"calculations",#N/A,FALSE,"Mgmt Forecast"}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stresa" hidden="1">#REF!</definedName>
    <definedName name="trt.xls" hidden="1">{"mgmt forecast",#N/A,FALSE,"Mgmt Forecast";"dcf table",#N/A,FALSE,"Mgmt Forecast";"sensitivity",#N/A,FALSE,"Mgmt Forecast";"table inputs",#N/A,FALSE,"Mgmt Forecast";"calculations",#N/A,FALSE,"Mgmt Forecast"}</definedName>
    <definedName name="TR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y.xls" hidden="1">{"mgmt forecast",#N/A,FALSE,"Mgmt Forecast";"dcf table",#N/A,FALSE,"Mgmt Forecast";"sensitivity",#N/A,FALSE,"Mgmt Forecast";"table inputs",#N/A,FALSE,"Mgmt Forecast";"calculations",#N/A,FALSE,"Mgmt Forecast"}</definedName>
    <definedName name="tryeuyit" hidden="1">{#N/A,#N/A,FALSE,"Pharm";#N/A,#N/A,FALSE,"WWCM"}</definedName>
    <definedName name="tsarf" hidden="1">7</definedName>
    <definedName name="tt" hidden="1">{"Header",#N/A,TRUE,"Summary";"ProjectInfo",#N/A,TRUE,"Total Value"}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_1" hidden="1">{#N/A,#N/A,TRUE,"Financials";#N/A,#N/A,TRUE,"Operating Statistics";#N/A,#N/A,TRUE,"Capex &amp; Depreciation";#N/A,#N/A,TRUE,"Debt"}</definedName>
    <definedName name="TT_2" hidden="1">{#N/A,#N/A,TRUE,"Financials";#N/A,#N/A,TRUE,"Operating Statistics";#N/A,#N/A,TRUE,"Capex &amp; Depreciation";#N/A,#N/A,TRUE,"Debt"}</definedName>
    <definedName name="TT_3" hidden="1">{#N/A,#N/A,TRUE,"Financials";#N/A,#N/A,TRUE,"Operating Statistics";#N/A,#N/A,TRUE,"Capex &amp; Depreciation";#N/A,#N/A,TRUE,"Debt"}</definedName>
    <definedName name="TTT" hidden="1">{#N/A,#N/A,FALSE,"Staffnos &amp; cost"}</definedName>
    <definedName name="ttthtr" hidden="1">{#N/A,#N/A,FALSE,"TOWNSHIP"}</definedName>
    <definedName name="ttthtr_1" hidden="1">{#N/A,#N/A,FALSE,"TOWNSHIP"}</definedName>
    <definedName name="ttthtr_2" hidden="1">{#N/A,#N/A,FALSE,"TOWNSHIP"}</definedName>
    <definedName name="ttthtr_3" hidden="1">{#N/A,#N/A,FALSE,"TOWNSHIP"}</definedName>
    <definedName name="ttthtr_4" hidden="1">{#N/A,#N/A,FALSE,"TOWNSHIP"}</definedName>
    <definedName name="tttt" hidden="1">{"Reader",#N/A,FALSE,"Summary";"Reader",#N/A,FALSE,"Buildup";"Reader",#N/A,FALSE,"Financials";"Reader",#N/A,FALSE,"Debt &amp; Other"}</definedName>
    <definedName name="tttttt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tttttttttt" hidden="1">{#N/A,#N/A,FALSE,"Status of Projects";#N/A,#N/A,FALSE,"CEA-TEC";#N/A,#N/A,FALSE,"U-Constr.";#N/A,#N/A,FALSE,"summary";#N/A,#N/A,FALSE,"PPP-3 yrs"}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rd" hidden="1">{"detail",#N/A,FALSE,"mfg";"summary",#N/A,FALSE,"mfg"}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SLI" hidden="1">{#N/A,#N/A,FALSE,"Status of Projects";#N/A,#N/A,FALSE,"CEA-TEC";#N/A,#N/A,FALSE,"U-Constr.";#N/A,#N/A,FALSE,"summary";#N/A,#N/A,FALSE,"PPP-3 yrs"}</definedName>
    <definedName name="tyff" hidden="1">{#N/A,#N/A,FALSE,"PGW"}</definedName>
    <definedName name="tyff_2" hidden="1">{#N/A,#N/A,FALSE,"PGW"}</definedName>
    <definedName name="tyff_3" hidden="1">{#N/A,#N/A,FALSE,"PGW"}</definedName>
    <definedName name="tyff_4" hidden="1">{#N/A,#N/A,FALSE,"PGW"}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tytyi" hidden="1">{#N/A,#N/A,FALSE,"Pharm";#N/A,#N/A,FALSE,"WWCM"}</definedName>
    <definedName name="tyyufkjkhjd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awil" hidden="1">#REF!</definedName>
    <definedName name="UDAY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ugf.xls" hidden="1">{"mgmt forecast",#N/A,FALSE,"Mgmt Forecast";"dcf table",#N/A,FALSE,"Mgmt Forecast";"sensitivity",#N/A,FALSE,"Mgmt Forecast";"table inputs",#N/A,FALSE,"Mgmt Forecast";"calculations",#N/A,FALSE,"Mgmt Forecast"}</definedName>
    <definedName name="uh" hidden="1">{"detail",#N/A,FALSE,"mfg";"summary",#N/A,FALSE,"mfg"}</definedName>
    <definedName name="uhg.xls" hidden="1">{"mgmt forecast",#N/A,FALSE,"Mgmt Forecast";"dcf table",#N/A,FALSE,"Mgmt Forecast";"sensitivity",#N/A,FALSE,"Mgmt Forecast";"table inputs",#N/A,FALSE,"Mgmt Forecast";"calculations",#N/A,FALSE,"Mgmt Forecast"}</definedName>
    <definedName name="UHJ" hidden="1">{#N/A,#N/A,FALSE,"Tabl. FB300";#N/A,#N/A,FALSE,"Tabl. FB350";#N/A,#N/A,FALSE,"Tabl. FB400";#N/A,#N/A,FALSE,"Tabl. FB500";#N/A,#N/A,FALSE,"Tabl. FS090"}</definedName>
    <definedName name="uiim" hidden="1">{"Pg1",#N/A,FALSE,"OpExYTDvsBud";"Pg2",#N/A,FALSE,"OpExYTDvsBud"}</definedName>
    <definedName name="uijj" hidden="1">#REF!</definedName>
    <definedName name="uil.xlx" hidden="1">{"mgmt forecast",#N/A,FALSE,"Mgmt Forecast";"dcf table",#N/A,FALSE,"Mgmt Forecast";"sensitivity",#N/A,FALSE,"Mgmt Forecast";"table inputs",#N/A,FALSE,"Mgmt Forecast";"calculations",#N/A,FALSE,"Mgmt Forecast"}</definedName>
    <definedName name="uim.xls" hidden="1">{"mgmt forecast",#N/A,FALSE,"Mgmt Forecast";"dcf table",#N/A,FALSE,"Mgmt Forecast";"sensitivity",#N/A,FALSE,"Mgmt Forecast";"table inputs",#N/A,FALSE,"Mgmt Forecast";"calculations",#N/A,FALSE,"Mgmt Forecast"}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nique_ID">#REF!</definedName>
    <definedName name="Unit" hidden="1">{#N/A,#N/A,FALSE,"Pharm";#N/A,#N/A,FALSE,"WWCM"}</definedName>
    <definedName name="Units">#REF!</definedName>
    <definedName name="Unternehmen">#REF!</definedName>
    <definedName name="UOPU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SEQUANTITY" hidden="1">FALSE</definedName>
    <definedName name="Using_the_Work_of_An_Auditors_Expert">#REF!</definedName>
    <definedName name="ut" hidden="1">{#N/A,"PURCHM",FALSE,"Business Analysis";#N/A,"SPADD",FALSE,"Business Analysis"}</definedName>
    <definedName name="utg" hidden="1">{#N/A,#N/A,FALSE,"Tabl. H1";#N/A,#N/A,FALSE,"Tabl. H2"}</definedName>
    <definedName name="UtilCap" hidden="1">#REF!,#REF!,#REF!,#REF!,#REF!,#REF!,#REF!,#REF!</definedName>
    <definedName name="UtilProd" hidden="1">#REF!,#REF!,#REF!,#REF!,#REF!,#REF!,#REF!,#REF!</definedName>
    <definedName name="uu" hidden="1">{"Header",#N/A,TRUE,"Summary";"ProjectInfo",#N/A,TRUE,"Total Value"}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_1" hidden="1">{#N/A,#N/A,FALSE,"gc (2)"}</definedName>
    <definedName name="uu_2" hidden="1">{#N/A,#N/A,FALSE,"gc (2)"}</definedName>
    <definedName name="uu_3" hidden="1">{#N/A,#N/A,FALSE,"gc (2)"}</definedName>
    <definedName name="UU_control" hidden="1">{"'August 2000'!$A$1:$J$101"}</definedName>
    <definedName name="UUJNN?JNJ" hidden="1">{#N/A,#N/A,FALSE,"Tabl. G1";#N/A,#N/A,FALSE,"Tabl. G2"}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YYYYYYYY" hidden="1">{#N/A,#N/A,FALSE,"Tabl. A1";#N/A,#N/A,FALSE,"Tabl. A1 b";#N/A,#N/A,FALSE,"Tabl. A2";#N/A,#N/A,FALSE,"Tabl. A2-1";#N/A,#N/A,FALSE,"Tabl. A2-2"}</definedName>
    <definedName name="UYB" hidden="1">{#N/A,#N/A,FALSE,"Tabl. A1";#N/A,#N/A,FALSE,"Tabl. A1 b";#N/A,#N/A,FALSE,"Tabl. A2";#N/A,#N/A,FALSE,"Tabl. A2-1";#N/A,#N/A,FALSE,"Tabl. A2-2"}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_Currency">#REF!</definedName>
    <definedName name="v_CurrentMonth">#REF!</definedName>
    <definedName name="v_Debtors_Mth_os">#REF!</definedName>
    <definedName name="v_Map_Error">#REF!</definedName>
    <definedName name="v_PLVar">#REF!</definedName>
    <definedName name="v_StartYear">#REF!</definedName>
    <definedName name="v_View_BS">#REF!</definedName>
    <definedName name="v_View_BS_Month">#REF!</definedName>
    <definedName name="v_View_PL">#REF!</definedName>
    <definedName name="v_View_PL_month">#REF!</definedName>
    <definedName name="va">#REF!</definedName>
    <definedName name="va_sage" comment="valeur ajoutée intégrée via l'état sage">#REF!</definedName>
    <definedName name="Vacancies" hidden="1">{#N/A,#N/A,FALSE,"Index Data"}</definedName>
    <definedName name="vaenkl" hidden="1">#REF!</definedName>
    <definedName name="Vail" hidden="1">{"PVGraph2",#N/A,FALSE,"PV Data"}</definedName>
    <definedName name="val" hidden="1">{#N/A,#N/A,FALSE,"Valuation Assumptions";#N/A,#N/A,FALSE,"Summary";#N/A,#N/A,FALSE,"DCF";#N/A,#N/A,FALSE,"Valuation";#N/A,#N/A,FALSE,"WACC";#N/A,#N/A,FALSE,"UBVH";#N/A,#N/A,FALSE,"Free Cash Flow"}</definedName>
    <definedName name="val_1" hidden="1">{#N/A,#N/A,FALSE,"Valuation Assumptions";#N/A,#N/A,FALSE,"Summary";#N/A,#N/A,FALSE,"DCF";#N/A,#N/A,FALSE,"Valuation";#N/A,#N/A,FALSE,"WACC";#N/A,#N/A,FALSE,"UBVH";#N/A,#N/A,FALSE,"Free Cash Flow"}</definedName>
    <definedName name="val_assumpts_save">#REF!</definedName>
    <definedName name="val_disc_rate">#REF!</definedName>
    <definedName name="val_summary_save">#REF!</definedName>
    <definedName name="value">#REF!</definedName>
    <definedName name="value_2008">#REF!</definedName>
    <definedName name="Value_Tofias_2009">#REF!</definedName>
    <definedName name="VAT_Registration">#REF!</definedName>
    <definedName name="VATMAY99" hidden="1">{#N/A,#N/A,FALSE,"AR2";#N/A,#N/A,FALSE,"SUM"}</definedName>
    <definedName name="VBDE" hidden="1">{"AUDIT-MWOS WITH POS 7.11.98",#N/A,FALSE,"AUDIT-MWOS"}</definedName>
    <definedName name="vbhj" hidden="1">{#N/A,"PURCHM",FALSE,"Business Analysis";#N/A,"SPADD",FALSE,"Business Analysis"}</definedName>
    <definedName name="vbn" hidden="1">{#N/A,#N/A,FALSE,"COVER.XLS";#N/A,#N/A,FALSE,"RACT1.XLS";#N/A,#N/A,FALSE,"RACT2.XLS";#N/A,#N/A,FALSE,"ECCMP";#N/A,#N/A,FALSE,"WELDER.XLS"}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_disposal_impact">#REF!</definedName>
    <definedName name="vc_mult">#REF!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ONSOLID" hidden="1">TRUE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zxc" hidden="1">#REF!</definedName>
    <definedName name="vetnex_pl_food" hidden="1">{#N/A,#N/A,TRUE,"Staffnos &amp; cost"}</definedName>
    <definedName name="VEXPORT" hidden="1">TRUE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cd" hidden="1">{"QTD",#N/A,FALSE,"SUM"}</definedName>
    <definedName name="vfhy" hidden="1">{"GENERALH2",#N/A,FALSE,"CM"}</definedName>
    <definedName name="vgf" hidden="1">{"GENERALH2",#N/A,FALSE,"CM"}</definedName>
    <definedName name="vija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VIPIN" hidden="1">{#N/A,#N/A,TRUE,"Staffnos &amp; cost"}</definedName>
    <definedName name="vk" hidden="1">#REF!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EJNJK" hidden="1">#REF!</definedName>
    <definedName name="vnla" hidden="1">#REF!</definedName>
    <definedName name="vo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S" hidden="1">{#N/A,#N/A,FALSE,"Staffnos &amp; cost"}</definedName>
    <definedName name="vsd" hidden="1">#REF!</definedName>
    <definedName name="VSKR" hidden="1">{"REP1",#N/A,FALSE,"HSSA-LOG"}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{"Header",#N/A,TRUE,"Summary";"ProjectInfo",#N/A,TRUE,"Total Value"}</definedName>
    <definedName name="VV_II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VVV" hidden="1">{"SCB BG EXT",#N/A,FALSE,"ADVANCEBG-EXT.D"}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ss_2" hidden="1">{#N/A,#N/A,FALSE,"TOWNSHIP"}</definedName>
    <definedName name="vvv.ss_3" hidden="1">{#N/A,#N/A,FALSE,"TOWNSHIP"}</definedName>
    <definedName name="vvv.ss_4" hidden="1">{#N/A,#N/A,FALSE,"TOWNSHIP"}</definedName>
    <definedName name="vvv.xxx" hidden="1">{#N/A,#N/A,FALSE,"SUMMARY";#N/A,#N/A,FALSE,"SUMMARY"}</definedName>
    <definedName name="vvv.xxx_2" hidden="1">{#N/A,#N/A,FALSE,"SUMMARY";#N/A,#N/A,FALSE,"SUMMARY"}</definedName>
    <definedName name="vvv.xxx_3" hidden="1">{#N/A,#N/A,FALSE,"SUMMARY";#N/A,#N/A,FALSE,"SUMMARY"}</definedName>
    <definedName name="vvv.xxx_4" hidden="1">{#N/A,#N/A,FALSE,"SUMMARY";#N/A,#N/A,FALSE,"SUMMARY"}</definedName>
    <definedName name="VVVV" hidden="1">{"REP1",#N/A,FALSE,"HSSA-LOG"}</definedName>
    <definedName name="VVVVDV" hidden="1">{"SCB BG EXT",#N/A,FALSE,"ADVANCEBG-EXT.D"}</definedName>
    <definedName name="vvvvv" hidden="1">{#N/A,#N/A,FALSE,"COVER.XLS";#N/A,#N/A,FALSE,"RACT1.XLS";#N/A,#N/A,FALSE,"RACT2.XLS";#N/A,#N/A,FALSE,"ECCMP";#N/A,#N/A,FALSE,"WELDER.XLS"}</definedName>
    <definedName name="vvvvvvvvvv" hidden="1">{"net assets",#N/A,FALSE,"summary";"asset turnover",#N/A,FALSE,"summary";"orona",#N/A,FALSE,"summary"}</definedName>
    <definedName name="vwx" hidden="1">{#N/A,#N/A,FALSE,"Tabl. FB300";#N/A,#N/A,FALSE,"Tabl. FB350";#N/A,#N/A,FALSE,"Tabl. FB400";#N/A,#N/A,FALSE,"Tabl. FB500";#N/A,#N/A,FALSE,"Tabl. FS090"}</definedName>
    <definedName name="vz" hidden="1">{"detail",#N/A,FALSE,"mfg";"summary",#N/A,FALSE,"mfg"}</definedName>
    <definedName name="w">#REF!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2" hidden="1">{#N/A,#N/A,FALSE,"Minors";#N/A,#N/A,FALSE,"96CAPREV"}</definedName>
    <definedName name="w_bso">#REF!</definedName>
    <definedName name="w_currentprice">#REF!</definedName>
    <definedName name="W_opt">#REF!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3r3" hidden="1">{#N/A,#N/A,FALSE,"Aging Summary";#N/A,#N/A,FALSE,"Ratio Analysis";#N/A,#N/A,FALSE,"Test 120 Day Accts";#N/A,#N/A,FALSE,"Tickmarks"}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lkYTDBudNEW" hidden="1">{"FIXVARIANCE",#N/A,FALSE,"COSTPHSE";"SOURCING",#N/A,FALSE,"COSTPHSE"}</definedName>
    <definedName name="wan" hidden="1">{"COMBINED",#N/A,FALSE,"BALANCE SHEET 2";"KRONE",#N/A,FALSE,"BALANCE SHEET 2";"INTERSYSTEMS",#N/A,FALSE,"BALANCE SHEET 2"}</definedName>
    <definedName name="wan_2" hidden="1">{"COMBINED",#N/A,FALSE,"BALANCE SHEET 2";"KRONE",#N/A,FALSE,"BALANCE SHEET 2";"INTERSYSTEMS",#N/A,FALSE,"BALANCE SHEET 2"}</definedName>
    <definedName name="wang" hidden="1">{#N/A,#N/A,TRUE,"流动资产--预付";"宁夏正大会计师事务所 - 个人视面",#N/A,TRUE,"Sheet1"}</definedName>
    <definedName name="warn.ALL.94.2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arn.something" hidden="1">{"CY",#N/A,FALSE,"FORECAST";"PAYROLL",#N/A,FALSE,"FORECAST";"REC",#N/A,FALSE,"FORECAST";"SALES",#N/A,FALSE,"FORECAST"}</definedName>
    <definedName name="was" hidden="1">{#N/A,#N/A,FALSE,"Sales Graph";#N/A,#N/A,FALSE,"BUC Graph";#N/A,#N/A,FALSE,"P&amp;L - YTD"}</definedName>
    <definedName name="waw" hidden="1">{#N/A,#N/A,FALSE,"ASIA"}</definedName>
    <definedName name="wb" hidden="1">{#N/A,#N/A,FALSE,"Pharm";#N/A,#N/A,FALSE,"WWCM"}</definedName>
    <definedName name="wcy" hidden="1">{"YD PRS",#N/A,FALSE,"YTD"}</definedName>
    <definedName name="WDESAX" hidden="1">{#N/A,#N/A,FALSE,"SUMMARY";#N/A,#N/A,FALSE,"SUMMARY"}</definedName>
    <definedName name="WDESAX_1" hidden="1">{#N/A,#N/A,FALSE,"SUMMARY";#N/A,#N/A,FALSE,"SUMMARY"}</definedName>
    <definedName name="WDESAX_2" hidden="1">{#N/A,#N/A,FALSE,"SUMMARY";#N/A,#N/A,FALSE,"SUMMARY"}</definedName>
    <definedName name="WDESAX_3" hidden="1">{#N/A,#N/A,FALSE,"SUMMARY";#N/A,#N/A,FALSE,"SUMMARY"}</definedName>
    <definedName name="WDESAX_4" hidden="1">{#N/A,#N/A,FALSE,"SUMMARY";#N/A,#N/A,FALSE,"SUMMARY"}</definedName>
    <definedName name="wdmdlw" hidden="1">{#N/A,#N/A,FALSE,"Aging Summary";#N/A,#N/A,FALSE,"Ratio Analysis";#N/A,#N/A,FALSE,"Test 120 Day Accts";#N/A,#N/A,FALSE,"Tickmarks"}</definedName>
    <definedName name="wdmdlw_1" hidden="1">{#N/A,#N/A,FALSE,"Aging Summary";#N/A,#N/A,FALSE,"Ratio Analysis";#N/A,#N/A,FALSE,"Test 120 Day Accts";#N/A,#N/A,FALSE,"Tickmarks"}</definedName>
    <definedName name="wdsws" hidden="1">#REF!</definedName>
    <definedName name="WDSX" hidden="1">{#N/A,#N/A,FALSE,"PGW"}</definedName>
    <definedName name="WDSX_1" hidden="1">{#N/A,#N/A,FALSE,"PGW"}</definedName>
    <definedName name="WDSX_2" hidden="1">{#N/A,#N/A,FALSE,"PGW"}</definedName>
    <definedName name="WDSX_3" hidden="1">{#N/A,#N/A,FALSE,"PGW"}</definedName>
    <definedName name="WDSX_4" hidden="1">{#N/A,#N/A,FALSE,"PGW"}</definedName>
    <definedName name="WDWD" hidden="1">{#N/A,#N/A,FALSE,"PGW"}</definedName>
    <definedName name="we" hidden="1">{#N/A,#N/A,FALSE,"Pharm";#N/A,#N/A,FALSE,"WWCM"}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{#N/A,#N/A,FALSE,"Inputs - Prices &amp; Forecasts"}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hselkurs_EUR_CHF">#REF!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DWQDX" hidden="1">{#N/A,#N/A,FALSE,"OSBL"}</definedName>
    <definedName name="WEDWQDX_1" hidden="1">{#N/A,#N/A,FALSE,"OSBL"}</definedName>
    <definedName name="WEDWQDX_2" hidden="1">{#N/A,#N/A,FALSE,"OSBL"}</definedName>
    <definedName name="WEDWQDX_3" hidden="1">{#N/A,#N/A,FALSE,"OSBL"}</definedName>
    <definedName name="WEDWQDX_4" hidden="1">{#N/A,#N/A,FALSE,"OSBL"}</definedName>
    <definedName name="wee" hidden="1">{#N/A,#N/A,FALSE,"KA CH  (2)"}</definedName>
    <definedName name="weg" hidden="1">{#N/A,#N/A,TRUE,"P&amp;L";#N/A,#N/A,TRUE,"note 1";#N/A,#N/A,TRUE,"note 2";#N/A,#N/A,TRUE,"note 3";#N/A,#N/A,TRUE,"note 4"}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q" hidden="1">#REF!</definedName>
    <definedName name="weq.xls" hidden="1">{"mgmt forecast",#N/A,FALSE,"Mgmt Forecast";"dcf table",#N/A,FALSE,"Mgmt Forecast";"sensitivity",#N/A,FALSE,"Mgmt Forecast";"table inputs",#N/A,FALSE,"Mgmt Forecast";"calculations",#N/A,FALSE,"Mgmt Forecast"}</definedName>
    <definedName name="wer" hidden="1">{#N/A,#N/A,FALSE,"Staffnos &amp; cost"}</definedName>
    <definedName name="wer.g" hidden="1">{#N/A,#N/A,FALSE,"KA CH  (2)"}</definedName>
    <definedName name="wer.xls" hidden="1">{"mgmt forecast",#N/A,FALSE,"Mgmt Forecast";"dcf table",#N/A,FALSE,"Mgmt Forecast";"sensitivity",#N/A,FALSE,"Mgmt Forecast";"table inputs",#N/A,FALSE,"Mgmt Forecast";"calculations",#N/A,FALSE,"Mgmt Forecast"}</definedName>
    <definedName name="WERFWEFWE" hidden="1">#REF!</definedName>
    <definedName name="werrr" hidden="1">{#N/A,#N/A,FALSE,"Pharm";#N/A,#N/A,FALSE,"WWCM"}</definedName>
    <definedName name="wer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w" hidden="1">#REF!</definedName>
    <definedName name="wewe" hidden="1">{"LOUISIANA",#N/A,FALSE,"CM"}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ew" hidden="1">{"'Jan-02'!$F$46:$F$47","'Jan-02'!$F$46:$F$47"}</definedName>
    <definedName name="wgbwt" hidden="1">{#N/A,#N/A,FALSE,"ISBL"}</definedName>
    <definedName name="wgbwt_1" hidden="1">{#N/A,#N/A,FALSE,"ISBL"}</definedName>
    <definedName name="wgbwt_2" hidden="1">{#N/A,#N/A,FALSE,"ISBL"}</definedName>
    <definedName name="wgbwt_3" hidden="1">{#N/A,#N/A,FALSE,"ISBL"}</definedName>
    <definedName name="wgbwt_4" hidden="1">{#N/A,#N/A,FALSE,"ISBL"}</definedName>
    <definedName name="wgn.bsall.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WIFKCNWL" hidden="1">#REF!</definedName>
    <definedName name="WIP" hidden="1">{#N/A,#N/A,TRUE,"Sheet1";#N/A,#N/A,TRUE,"Nov-1995"}</definedName>
    <definedName name="WIPCY" hidden="1">{#N/A,#N/A,TRUE,"Sheet1";#N/A,#N/A,TRUE,"Nov-1995"}</definedName>
    <definedName name="wnn" hidden="1">{#N/A,#N/A,TRUE,"流动资产--预付";"宁夏正大会计师事务所 - 个人视面",#N/A,TRUE,"Sheet1"}</definedName>
    <definedName name="woi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rkofExpertLandingSite">#REF!</definedName>
    <definedName name="WPL18Q1">#REF!</definedName>
    <definedName name="WPL18Q2">#REF!</definedName>
    <definedName name="WPL18Q3">#REF!</definedName>
    <definedName name="WPL18Q4">#REF!</definedName>
    <definedName name="WPLine17">#REF!</definedName>
    <definedName name="WPLine18">#REF!</definedName>
    <definedName name="WPLQ1">#REF!</definedName>
    <definedName name="WPLQ2">#REF!</definedName>
    <definedName name="WPLQ3ç">#REF!</definedName>
    <definedName name="WPLQ4">#REF!</definedName>
    <definedName name="wq" hidden="1">{"PRS",#N/A,FALSE,"CM"}</definedName>
    <definedName name="wqa" hidden="1">{#N/A,"PURCHM",FALSE,"Business Analysis";#N/A,"SPADD",FALSE,"Business Analysis"}</definedName>
    <definedName name="wqa.xls" hidden="1">{"mgmt forecast",#N/A,FALSE,"Mgmt Forecast";"dcf table",#N/A,FALSE,"Mgmt Forecast";"sensitivity",#N/A,FALSE,"Mgmt Forecast";"table inputs",#N/A,FALSE,"Mgmt Forecast";"calculations",#N/A,FALSE,"Mgmt Forecast"}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AW" hidden="1">{#N/A,#N/A,FALSE,"ISBL"}</definedName>
    <definedName name="WQDAW_1" hidden="1">{#N/A,#N/A,FALSE,"ISBL"}</definedName>
    <definedName name="WQDAW_2" hidden="1">{#N/A,#N/A,FALSE,"ISBL"}</definedName>
    <definedName name="WQDAW_3" hidden="1">{#N/A,#N/A,FALSE,"ISBL"}</definedName>
    <definedName name="WQDAW_4" hidden="1">{#N/A,#N/A,FALSE,"ISBL"}</definedName>
    <definedName name="WQDSA" hidden="1">{#N/A,#N/A,FALSE,"PGW"}</definedName>
    <definedName name="WQDSA_1" hidden="1">{#N/A,#N/A,FALSE,"PGW"}</definedName>
    <definedName name="WQDSA_2" hidden="1">{#N/A,#N/A,FALSE,"PGW"}</definedName>
    <definedName name="WQDSA_3" hidden="1">{#N/A,#N/A,FALSE,"PGW"}</definedName>
    <definedName name="WQDSA_4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FAS_1" hidden="1">{#N/A,#N/A,FALSE,"FREE"}</definedName>
    <definedName name="WQEFAS_2" hidden="1">{#N/A,#N/A,FALSE,"FREE"}</definedName>
    <definedName name="WQEFAS_3" hidden="1">{#N/A,#N/A,FALSE,"FREE"}</definedName>
    <definedName name="WQEFAS_4" hidden="1">{#N/A,#N/A,FALSE,"FREE"}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hidden="1">{"BA detail",#N/A,FALSE,"Q3YTD "}</definedName>
    <definedName name="wqx" hidden="1">{"Comp_of_Price_Effect",#N/A,FALSE,"QTRDPVAR"}</definedName>
    <definedName name="wr" hidden="1">{#N/A,#N/A,FALSE,"COMP"}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_1" hidden="1">{#N/A,#N/A,FALSE,"INPUTS";#N/A,#N/A,FALSE,"PROFORMA BSHEET";#N/A,#N/A,FALSE,"COMBINED";#N/A,#N/A,FALSE,"HIGH YIELD";#N/A,#N/A,FALSE,"COMB_GRAPHS"}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I" hidden="1">{#N/A,#N/A,FALSE,"COMP"}</definedName>
    <definedName name="Wrl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m.pucspaddq2" hidden="1">{#N/A,"PURCHM",FALSE,"Business Analysis";#N/A,"SPADD",FALSE,"Business Analysis"}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{#N/A,#N/A,TRUE,"?????";#N/A,#N/A,TRUE,"??????"}</definedName>
    <definedName name="wrn.????94.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wrn.??94??." hidden="1">{#N/A,#N/A,TRUE,"?????";#N/A,#N/A,TRUE,"??????";#N/A,#N/A,TRUE,"??";#N/A,#N/A,TRUE,"???";#N/A,#N/A,TRUE,"1? ????";#N/A,#N/A,TRUE,"2? ??";#N/A,#N/A,TRUE,"2??? ????";#N/A,#N/A,TRUE,"3(1)? ????";#N/A,#N/A,TRUE,"3(1) ?1 ????";#N/A,#N/A,TRUE,"3(1) ?2 ????";#N/A,#N/A,TRUE,"3(1) ?3 ????";#N/A,#N/A,TRUE,"3(1)?7 ????";#N/A,#N/A,TRUE,"3(3)?(?) ????";#N/A,#N/A,TRUE,"4? ????";#N/A,#N/A,TRUE,"5? ???";#N/A,#N/A,TRUE,"5?2 ???(?)";#N/A,#N/A,TRUE,"5?2 ???(?)";#N/A,#N/A,TRUE,"6? ????";#N/A,#N/A,TRUE,"6? ??(?)";#N/A,#N/A,TRUE,"6? ??(?)";#N/A,#N/A,TRUE,"6-1? ????";#N/A,#N/A,TRUE,"6-2(7)? ????";#N/A,#N/A,TRUE,"6-3? ??";#N/A,#N/A,TRUE,"6-3(3)? ??";#N/A,#N/A,TRUE,"6-3(4)? ??";#N/A,#N/A,TRUE,"6-4? ??(?)";#N/A,#N/A,TRUE,"6-4? ??(?)";#N/A,#N/A,TRUE,"?????";#N/A,#N/A,TRUE,"6-6(3)? ??(??)";#N/A,#N/A,TRUE,"6-6?(??) ?????";#N/A,#N/A,TRUE,"6-10? ????";#N/A,#N/A,TRUE,"6-11? ?????";#N/A,#N/A,TRUE,"6-12? ????";#N/A,#N/A,TRUE,"6-13? ???";#N/A,#N/A,TRUE,"??1";#N/A,#N/A,TRUE,"??2";#N/A,#N/A,TRUE,"8? ?????";#N/A,#N/A,TRUE,"9? ???(?)";#N/A,#N/A,TRUE,"9? ???(?)";#N/A,#N/A,TRUE,"10(3)? ????";#N/A,#N/A,TRUE,"10(3)? ??";#N/A,#N/A,TRUE,"10(4)? ????";#N/A,#N/A,TRUE,"14(1)? ? ??";#N/A,#N/A,TRUE,"59? ????";#N/A,#N/A,TRUE,"?? BS";#N/A,#N/A,TRUE,"?? PL";#N/A,#N/A,TRUE,"??RE";#N/A,#N/A,TRUE,"?8? ????";#N/A,#N/A,TRUE,"?????";#N/A,#N/A,TRUE,"????";#N/A,#N/A,TRUE,"????";#N/A,#N/A,TRUE,"???????";#N/A,#N/A,TRUE,"??????";#N/A,#N/A,TRUE,"????";#N/A,#N/A,TRUE,"offshore";#N/A,#N/A,TRUE,"???????"}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._1" hidden="1">{#N/A,#N/A,FALSE,"Calc";#N/A,#N/A,FALSE,"Sensitivity";#N/A,#N/A,FALSE,"LT Earn.Dil.";#N/A,#N/A,FALSE,"Dil. AVP"}</definedName>
    <definedName name="wrn.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77" hidden="1">{"NHS97",#N/A,FALSE,"NHS96 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6DecAct.">#REF!</definedName>
    <definedName name="wrn.1997." hidden="1">{"NHS97",#N/A,FALSE,"NHS96 "}</definedName>
    <definedName name="wrn.1abc." hidden="1">{#N/A,#N/A,FALSE,"Sheet7"}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2" hidden="1">{#N/A,#N/A,FALSE,"17MAY";#N/A,#N/A,FALSE,"24MAY"}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" hidden="1">{"NHS97",#N/A,FALSE,"NHS96 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abc." hidden="1">{#N/A,#N/A,FALSE,"Sheet7"}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hidden="1">{#N/A,#N/A,FALSE,"REPORT"}</definedName>
    <definedName name="wrn.99999" hidden="1">{#N/A,#N/A,FALSE,"REPORT"}</definedName>
    <definedName name="wrn.A4BSSCH." hidden="1">{"BSSCHA4",#N/A,FALSE,"sch bs"}</definedName>
    <definedName name="wrn.A4PL." hidden="1">{"a4p&amp;L",#N/A,FALSE,"tr &amp; pl"}</definedName>
    <definedName name="wrn.AA." hidden="1">{#N/A,#N/A,FALSE,"PMTABB";#N/A,#N/A,FALSE,"PMTABB"}</definedName>
    <definedName name="wrn.AA._1" hidden="1">{#N/A,#N/A,FALSE,"PMTABB";#N/A,#N/A,FALSE,"PMTABB"}</definedName>
    <definedName name="wrn.AA._2" hidden="1">{#N/A,#N/A,FALSE,"PMTABB";#N/A,#N/A,FALSE,"PMTABB"}</definedName>
    <definedName name="wrn.AA._3" hidden="1">{#N/A,#N/A,FALSE,"PMTABB";#N/A,#N/A,FALSE,"PMTABB"}</definedName>
    <definedName name="wrn.AA._4" hidden="1">{#N/A,#N/A,FALSE,"PMTABB";#N/A,#N/A,FALSE,"PMTABB"}</definedName>
    <definedName name="wrn.aaa" hidden="1">{#N/A,#N/A,FALSE,"Pharm";#N/A,#N/A,FALSE,"WWCM"}</definedName>
    <definedName name="wrn.aaaaaaa" hidden="1">{#N/A,#N/A,FALSE,"Pharm";#N/A,#N/A,FALSE,"WWCM"}</definedName>
    <definedName name="wrn.abc." hidden="1">{#N/A,#N/A,FALSE,"Sheet7"}</definedName>
    <definedName name="wrn.abcd." hidden="1">{#N/A,#N/A,TRUE,"Sheet1";#N/A,#N/A,TRUE,"Nov-1995"}</definedName>
    <definedName name="wrn.Accounting._.Schedules." hidden="1">{#N/A,#N/A,TRUE,"Additions to Fixed Assets";#N/A,#N/A,TRUE,"Fixed Assets Sale"}</definedName>
    <definedName name="wrn.Accounts." hidden="1">{"turnover",#N/A,FALSE;"profits",#N/A,FALSE;"cash",#N/A,FALSE}</definedName>
    <definedName name="wrn.Accounts._1" hidden="1">{"turnover",#N/A,FALSE;"profits",#N/A,FALSE;"cash",#N/A,FALSE}</definedName>
    <definedName name="wrn.ACHESON94TAXRETURN." hidden="1">{#N/A,#N/A,FALSE,"?????";#N/A,#N/A,FALSE,"??????";#N/A,#N/A,FALSE,"??";#N/A,#N/A,FALSE,"???";#N/A,#N/A,FALSE,"1? ????";#N/A,#N/A,FALSE,"1-2? ?????";#N/A,#N/A,FALSE,"2? ??";#N/A,#N/A,FALSE,"3(1)? ????";#N/A,#N/A,FALSE,"??????";#N/A,#N/A,FALSE,"3(1)?7 ????";#N/A,#N/A,FALSE,"3(3)?(?) ????";#N/A,#N/A,FALSE,"5? ???";#N/A,#N/A,FALSE,"6? ????";#N/A,#N/A,FALSE,"6? ??(?)";#N/A,#N/A,FALSE,"6? ??(?)";#N/A,#N/A,FALSE,"6-1? ????";#N/A,#N/A,FALSE,"6-3? ??";#N/A,#N/A,FALSE,"6-3(4)? ??";#N/A,#N/A,FALSE,"6-4? ??(?)";#N/A,#N/A,FALSE,"6-4? ??(?)";#N/A,#N/A,FALSE,"6-6?(??) ?????";#N/A,#N/A,FALSE,"6-10? ????";#N/A,#N/A,FALSE,"6-11? ?????";#N/A,#N/A,FALSE,"6-12? ????";#N/A,#N/A,FALSE,"6-14? ?????";#N/A,#N/A,FALSE,"9? ???(?)";#N/A,#N/A,FALSE,"9? ???(?)";#N/A,#N/A,FALSE,"10(3)? ????";#N/A,#N/A,FALSE,"10(3)? ??";#N/A,#N/A,FALSE,"10(4)? ????";#N/A,#N/A,FALSE,"10(4)? ????";#N/A,#N/A,FALSE,"12? ????";#N/A,#N/A,FALSE,"14(1)? ? ??";#N/A,#N/A,FALSE,"59? ????";#N/A,#N/A,FALSE,"?? BS";#N/A,#N/A,FALSE,"?? PL";#N/A,#N/A,FALSE,"????";#N/A,#N/A,FALSE,"??RE"}</definedName>
    <definedName name="wrn.Actuals." hidden="1">{#N/A,#N/A,FALSE,"TUN";#N/A,#N/A,FALSE,"TOK";#N/A,#N/A,FALSE,"SIN";#N/A,#N/A,FALSE,"SYD";#N/A,#N/A,FALSE,"SEO";#N/A,#N/A,FALSE,"ROM";#N/A,#N/A,FALSE,"PAR";#N/A,#N/A,FALSE,"MUN";#N/A,#N/A,FALSE,"MAD";#N/A,#N/A,FALSE,"LON";#N/A,#N/A,FALSE,"JOH";#N/A,#N/A,FALSE,"HON";#N/A,#N/A,FALSE,"HAM";#N/A,#N/A,FALSE,"DUB";#N/A,#N/A,FALSE,"BRU";#N/A,#N/A,FALSE,"AMS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ministrators._.Data." hidden="1">{"Data Input Sheet 1",#N/A,FALSE,"Data Input - Sheet 1";"Plot Data Sheet 1",#N/A,FALSE,"Plot Data - Sheet 1";"Data Input Sheet 2",#N/A,FALSE,"Data Input - Sheet 2";"Plot Data Sheet 2",#N/A,FALSE,"Plot Data - Sheet 2"}</definedName>
    <definedName name="wrn.Administrators._.Data._1" hidden="1">{"Data Input Sheet 1",#N/A,FALSE,"Data Input - Sheet 1";"Plot Data Sheet 1",#N/A,FALSE,"Plot Data - Sheet 1";"Data Input Sheet 2",#N/A,FALSE,"Data Input - Sheet 2";"Plot Data Sheet 2",#N/A,FALSE,"Plot Data - Sheet 2"}</definedName>
    <definedName name="wrn.Administrators._.Data._2" hidden="1">{"Data Input Sheet 1",#N/A,FALSE,"Data Input - Sheet 1";"Plot Data Sheet 1",#N/A,FALSE,"Plot Data - Sheet 1";"Data Input Sheet 2",#N/A,FALSE,"Data Input - Sheet 2";"Plot Data Sheet 2",#N/A,FALSE,"Plot Data - Sheet 2"}</definedName>
    <definedName name="wrn.Administrators._.Data._3" hidden="1">{"Data Input Sheet 1",#N/A,FALSE,"Data Input - Sheet 1";"Plot Data Sheet 1",#N/A,FALSE,"Plot Data - Sheet 1";"Data Input Sheet 2",#N/A,FALSE,"Data Input - Sheet 2";"Plot Data Sheet 2",#N/A,FALSE,"Plot Data - Sheet 2"}</definedName>
    <definedName name="wrn.ADVANCE._.BG._.SOC." hidden="1">{"SOC ADV BG EXT",#N/A,FALSE,"ADVANCEBG-EXT.D"}</definedName>
    <definedName name="wrn.ADVANCE._.BG.HSBC." hidden="1">{"HSBC ADV BG EXT",#N/A,FALSE,"ADVANCEBG-EXT.D"}</definedName>
    <definedName name="wrn.ADVANCE._.BG.SCB." hidden="1">{"SCB BG EXT",#N/A,FALSE,"ADVANCEBG-EXT.D"}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3._.years." hidden="1">{#N/A,#N/A,FALSE,"Worldwide FY00";#N/A,#N/A,FALSE,"Worldwide FY01";#N/A,#N/A,FALSE,"Worldwide FY02"}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{"p&amp;l",#N/A,TRUE,"BPLN5YR3";"cashflow",#N/A,TRUE,"BPLN5YR3";"Balance Sheet",#N/A,TRUE,"BPLN5YR3"}</definedName>
    <definedName name="wrn.All._.sheets." hidden="1">{#N/A,"TCHEM",FALSE,"BSHIST.XLS";#N/A,"NONDV",FALSE,"BSHIST.XLS";#N/A,"POLY",FALSE,"BSHIST.XLS";#N/A,"PVOH",FALSE,"BSHIST.XLS";#N/A,"ACET",FALSE,"BSHIST.XLS";#N/A,"EMUL",FALSE,"BSHIST.XLS";#N/A,"ICD",FALSE,"BSHIST.XLS";#N/A,"DMU",FALSE,"BSHIST.XLS";#N/A,"METHYL",FALSE,"BSHIST.XLS";#N/A,"HIGHER",FALSE,"BSHIST.XLS";#N/A,"AMM",FALSE,"BSHIST.XLS";#N/A,"CVT",FALSE,"BSHIST.XLS";#N/A,"MEOH",FALSE,"BSHIST.XLS";#N/A,"SPEC",FALSE,"BSHIST.XLS";#N/A,"DERIV",FALSE,"BSHIST.XLS";#N/A,"PINTER",FALSE,"BSHIST.XLS";#N/A,"NEWVEN",FALSE,"BSHIST.XLS";#N/A,"PURPER",FALSE,"BSHIST.XLS";#N/A,"PURADD",FALSE,"BSHIST.XLS";#N/A,"PURSPP",FALSE,"BSHIST.XLS";#N/A,"CTGIND",FALSE,"BSHIST.XLS";#N/A,"ANCHOR",FALSE,"BSHIST.XLS";#N/A,"SPADD",FALSE,"BSHIST.XLS"}</definedName>
    <definedName name="wrn.all._.slides." hidden="1">{#N/A,#N/A,FALSE,"Trends";#N/A,#N/A,FALSE,"As Reported";#N/A,#N/A,FALSE,"(un) Commited"}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_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_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2" hidden="1">{"COMBINED",#N/A,FALSE,"BALANCE SHEET";"KRONE",#N/A,FALSE,"BALANCE SHEET";"PENNTECH",#N/A,FALSE,"BALANCE SHEET";"INTERSYSTEMS",#N/A,FALSE,"BALANCE SHEET";"COMBINED",#N/A,FALSE,"USCASH";"KRONE",#N/A,FALSE,"USCASH";"PENNTECH",#N/A,FALSE,"USCASH";"INTERSYSTEMS",#N/A,FALSE,"USCASH"}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nnex." hidden="1">{"orders",#N/A,FALSE,"Orders &amp; Annexures";"to",#N/A,FALSE,"Orders &amp; Annexures";"exp",#N/A,FALSE,"Orders &amp; Annexures";"gp",#N/A,FALSE,"Orders &amp; Annexures";"oh dep",#N/A,FALSE,"Orders &amp; Annexures";"taxdep",#N/A,FALSE,"Orders &amp; Annexures";"tax",#N/A,FALSE,"Orders &amp; Annexures";"cp",#N/A,FALSE,"Orders &amp; Annexures"}</definedName>
    <definedName name="wrn.annual" hidden="1">{#N/A,#N/A,FALSE,"earnings"}</definedName>
    <definedName name="wrn.Annual._.Income._.Statement." hidden="1">{#N/A,#N/A,FALSE,"earnings"}</definedName>
    <definedName name="wrn.Annual._.revenue._.model." hidden="1">{#N/A,#N/A,FALSE,"earnings"}</definedName>
    <definedName name="wrn.ANZ._.Report." hidden="1">{#N/A,#N/A,FALSE,"Balance Sheets";#N/A,#N/A,FALSE,"96 Conservative";#N/A,#N/A,FALSE,"96 Possible"}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._.Book." hidden="1">{#N/A,#N/A,FALSE,"Model Assumptions"}</definedName>
    <definedName name="wrn.Assumption._.Book._1" hidden="1">{#N/A,#N/A,FALSE,"Model Assumptions"}</definedName>
    <definedName name="wrn.Assumption._.Book._2" hidden="1">{#N/A,#N/A,FALSE,"Model Assumptions"}</definedName>
    <definedName name="wrn.Assumption._.Book._3" hidden="1">{#N/A,#N/A,FALSE,"Model Assumptions"}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ck._.Page." hidden="1">{"Back Page",#N/A,FALSE,"Front and Back"}</definedName>
    <definedName name="wrn.Back._.Page._1" hidden="1">{"Back Page",#N/A,FALSE,"Front and Back"}</definedName>
    <definedName name="wrn.backup." hidden="1">{"financials",#N/A,FALSE,"BASIC";"interest",#N/A,FALSE,"BASIC";"leasing and financing",#N/A,FALSE,"BASIC";"returns back up",#N/A,FALSE,"BASIC"}</definedName>
    <definedName name="wrn.backup._1" hidden="1">{"financials",#N/A,FALSE,"BASIC";"interest",#N/A,FALSE,"BASIC";"leasing and financing",#N/A,FALSE,"BASIC";"returns back up",#N/A,FALSE,"BASIC"}</definedName>
    <definedName name="wrn.backup._2" hidden="1">{"financials",#N/A,FALSE,"BASIC";"interest",#N/A,FALSE,"BASIC";"leasing and financing",#N/A,FALSE,"BASIC";"returns back up",#N/A,FALSE,"BASIC"}</definedName>
    <definedName name="wrn.backup._3" hidden="1">{"financials",#N/A,FALSE,"BASIC";"interest",#N/A,FALSE,"BASIC";"leasing and financing",#N/A,FALSE,"BASIC";"returns back up",#N/A,FALSE,"BASIC"}</definedName>
    <definedName name="wrn.balance._.sheet." hidden="1">{"Balance Sheet",#N/A,FALSE,"BPLN5YR3"}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sheet." hidden="1">{"ICDANDNONDIV",#N/A,FALSE,"BSALLNOW.XLS";"polyandpurperf",#N/A,FALSE,"BSALLNOW.XLS"}</definedName>
    <definedName name="wrn.balsheets." hidden="1">{"grpbs",#N/A,FALSE,"Group";"habs",#N/A,FALSE,"Group";"bs",#N/A,FALSE,"MetalSys";"bs",#N/A,FALSE,"Display";"bs",#N/A,FALSE,"Hcliffe"}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._.model._1" hidden="1">{"banks",#N/A,FALSE,"BASIC"}</definedName>
    <definedName name="wrn.bank._.model._2" hidden="1">{"banks",#N/A,FALSE,"BASIC"}</definedName>
    <definedName name="wrn.bank._.model._3" hidden="1">{"banks",#N/A,FALSE,"BASIC"}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gungsbilanz._1" hidden="1">{#N/A,#N/A,FALSE,"Mittelherkunft";#N/A,#N/A,FALSE,"Mittelverwendung"}</definedName>
    <definedName name="wrn.Bilanz." hidden="1">{#N/A,#N/A,FALSE,"Layout Aktiva";#N/A,#N/A,FALSE,"Layout Passiva"}</definedName>
    <definedName name="wrn.Bilanz._1" hidden="1">{#N/A,#N/A,FALSE,"Layout Aktiva";#N/A,#N/A,FALSE,"Layout Passiva"}</definedName>
    <definedName name="wrn.BL94TAXRETURN." hidden="1">{#N/A,#N/A,FALSE,"?????";#N/A,#N/A,FALSE,"??????";#N/A,#N/A,FALSE,"10(2)? ????";#N/A,#N/A,FALSE,"??";#N/A,#N/A,FALSE,"???";#N/A,#N/A,FALSE,"1? ????";#N/A,#N/A,FALSE,"2? ??";#N/A,#N/A,FALSE,"2??? ????";#N/A,#N/A,FALSE,"3(1)? ????";#N/A,#N/A,FALSE,"3(1) ?1 ????";#N/A,#N/A,FALSE,"??????";#N/A,#N/A,FALSE,"3(1)?7 ????";#N/A,#N/A,FALSE,"3(3)?(?) ????";#N/A,#N/A,FALSE,"5? ???";#N/A,#N/A,FALSE,"6? ????";#N/A,#N/A,FALSE,"6? ??(?)";#N/A,#N/A,FALSE,"6? ??(?)";#N/A,#N/A,FALSE,"??????";#N/A,#N/A,FALSE,"6-1? ????";#N/A,#N/A,FALSE,"6-2(2)? ????";#N/A,#N/A,FALSE,"6-2(4)? ????";#N/A,#N/A,FALSE,"6-2(12)? ????";#N/A,#N/A,FALSE,"6-3? ??";#N/A,#N/A,FALSE,"6-3(3)? ??";#N/A,#N/A,FALSE,"6-3(4)? ??";#N/A,#N/A,FALSE,"6-4? ??(?)";#N/A,#N/A,FALSE,"6-4? ??(?)";#N/A,#N/A,FALSE,"6-5? ??(?)";#N/A,#N/A,FALSE,"6-5? ??(?)";#N/A,#N/A,FALSE,"6-6?(??) ?????";#N/A,#N/A,FALSE,"????";#N/A,#N/A,FALSE,"6-10? ????";#N/A,#N/A,FALSE,"6-11? ?????";#N/A,#N/A,FALSE,"6-12? ????";#N/A,#N/A,FALSE,"6-13? ???";#N/A,#N/A,FALSE,"6-14? ?????";#N/A,#N/A,FALSE,"8? ?????";#N/A,#N/A,FALSE,"9? ???(?)";#N/A,#N/A,FALSE,"9? ???(?)";#N/A,#N/A,FALSE,"10(3)? ????";#N/A,#N/A,FALSE,"10(3)? ??";#N/A,#N/A,FALSE,"10(4)? ????";#N/A,#N/A,FALSE,"10(4)? ????";#N/A,#N/A,FALSE,"12? ????";#N/A,#N/A,FALSE,"14(1)? ? ??";#N/A,#N/A,FALSE,"59? ????";#N/A,#N/A,FALSE,"?? BS";#N/A,#N/A,FALSE,"?? PL";#N/A,#N/A,FALSE,"????";#N/A,#N/A,FALSE,"??RE";#N/A,#N/A,FALSE,"60? ? ????";#N/A,#N/A,FALSE,"60? ? ????";#N/A,#N/A,FALSE,"??";#N/A,#N/A,FALSE,"???";#N/A,#N/A,FALSE,"1? ????";#N/A,#N/A,FALSE,"1? ????";#N/A,#N/A,FALSE,"1? ????";#N/A,#N/A,FALSE,"1-2? ?????";#N/A,#N/A,FALSE,"2? ??";#N/A,#N/A,FALSE,"2??? ????";#N/A,#N/A,FALSE,"3(1)? ????";#N/A,#N/A,FALSE,"3(1) ?1 ????";#N/A,#N/A,FALSE,"3(1) ?2 ????";#N/A,#N/A,FALSE,"3(1) ?3 ????";#N/A,#N/A,FALSE,"3(1) ?4 ????";#N/A,#N/A,FALSE,"3? ??????";#N/A,#N/A,FALSE,"3(1)?7 ????";#N/A,#N/A,FALSE,"3(3)?(?) ????";#N/A,#N/A,FALSE,"5? ???";#N/A,#N/A,FALSE,"6? ????";#N/A,#N/A,FALSE,"6? ??(?)";#N/A,#N/A,FALSE,"6-1? ????";#N/A,#N/A,FALSE,"6-1? ????";#N/A,#N/A,FALSE,"6-3? ??";#N/A,#N/A,FALSE,"6-3(3)? ??";#N/A,#N/A,FALSE,"6-3(4)? ??";#N/A,#N/A,FALSE,"6-4? ??(?)";#N/A,#N/A,FALSE,"6-4? ??(?)";#N/A,#N/A,FALSE,"6-5? ??(?)";#N/A,#N/A,FALSE,"6-5? ??(?)";#N/A,#N/A,FALSE,"6-6?(??) ?????";#N/A,#N/A,FALSE,"6-10? ????";#N/A,#N/A,FALSE,"6-11? ?????";#N/A,#N/A,FALSE,"6-12? ????";#N/A,#N/A,FALSE,"9? ???(?)";#N/A,#N/A,FALSE,"9? ???(?)";#N/A,#N/A,FALSE,"10(2)? ????";#N/A,#N/A,FALSE,"10(3)? ??";#N/A,#N/A,FALSE,"10(3)? ????";#N/A,#N/A,FALSE,"10(4)? ????";#N/A,#N/A,FALSE,"14(1)? ? ??";#N/A,#N/A,FALSE,"59? ????";#N/A,#N/A,FALSE,"60? ? ????";#N/A,#N/A,FALSE,"60? ? ????";#N/A,#N/A,FALSE,"?? BS";#N/A,#N/A,FALSE,"?? PL";#N/A,#N/A,FALSE,"????";#N/A,#N/A,FALSE,"??RE";#N/A,#N/A,FALSE,"??RE"}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 hidden="1">{#N/A,#N/A,TRUE,"5yr-Cons";#N/A,#N/A,TRUE,"5yr grcons"}</definedName>
    <definedName name="wrn.Book." hidden="1">{"EVA",#N/A,FALSE,"SMT2";#N/A,#N/A,FALSE,"Summary";#N/A,#N/A,FALSE,"Graphs";#N/A,#N/A,FALSE,"4 Panel"}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" hidden="1">{"led",#N/A,FALSE,"BRANCH";"bal",#N/A,FALSE,"BRANCH";#N/A,#N/A,FALSE,"Misc_JEs"}</definedName>
    <definedName name="wrn.Branch._.detailed._.expenses." hidden="1">{#N/A,#N/A,FALSE,"NW Area Mgr";#N/A,#N/A,FALSE,"Nine West";#N/A,#N/A,FALSE,"Bertie";#N/A,#N/A,FALSE,"SSG Outlet";#N/A,#N/A,FALSE,"Conc Area Mgr";#N/A,#N/A,FALSE,"Allders";#N/A,#N/A,FALSE,"Beatties";#N/A,#N/A,FALSE,"Bentalls";#N/A,#N/A,FALSE,"B Thomas";#N/A,#N/A,FALSE,"Debenhams";#N/A,#N/A,FALSE,"De Gruchy";#N/A,#N/A,FALSE,"Denners";#N/A,#N/A,FALSE,"Fenwick";#N/A,#N/A,FALSE,"HoF";#N/A,#N/A,FALSE,"Jarrolds";#N/A,#N/A,FALSE,"McEwans";#N/A,#N/A,FALSE,"Top Shop";#N/A,#N/A,FALSE,"Selfridges";#N/A,#N/A,FALSE,"PaT Area Mgr";#N/A,#N/A,FALSE,"Pied A Terre";#N/A,#N/A,FALSE,"Wholesale";#N/A,#N/A,FALSE,"Chelsea Cobbler"}</definedName>
    <definedName name="wrn.Brief." hidden="1">{#N/A,#N/A,TRUE,"Summary";#N/A,#N/A,TRUE,"Balance Sheet";#N/A,#N/A,TRUE,"P &amp; L";#N/A,#N/A,TRUE,"Fixed Assets";#N/A,#N/A,TRUE,"Cash Flows"}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._.Std." hidden="1">{"UK Balance Sheet",#N/A,FALSE,"B SHEET"}</definedName>
    <definedName name="wrn.bs1." hidden="1">{"bs",#N/A,FALSE,"BS";"pl",#N/A,FALSE,"PL"}</definedName>
    <definedName name="wrn.bs2" hidden="1">{"bs",#N/A,FALSE,"BS";"pl",#N/A,FALSE,"PL"}</definedName>
    <definedName name="wrn.BSA4." hidden="1">{"A4BS",#N/A,FALSE,"bs"}</definedName>
    <definedName name="wrn.bsall." hidden="1">{"pg1",#N/A,FALSE,"BSALLNOW.XLS";"pg2",#N/A,FALSE,"BSALLNOW.XLS";"pg3",#N/A,FALSE,"BSALLNOW.XLS"}</definedName>
    <definedName name="wrn.budget." hidden="1">{#N/A,#N/A,FALSE,"BUDIC";#N/A,#N/A,FALSE,"BUDVAR";#N/A,#N/A,FALSE,"BUD"}</definedName>
    <definedName name="wrn.BUDGET97." hidden="1">{"FIXVARIANCE",#N/A,FALSE,"COSTPHSE";"SOURCING",#N/A,FALSE,"COSTPHSE"}</definedName>
    <definedName name="wrn.capA4." hidden="1">{"capA4",#N/A,FALSE,"capt"}</definedName>
    <definedName name="wrn.CapersPlotter." hidden="1">{#N/A,#N/A,FALSE,"DI 2 YEAR MASTER SCHEDULE"}</definedName>
    <definedName name="wrn.CAPITAL." hidden="1">{#N/A,#N/A,FALSE,"Minors";#N/A,#N/A,FALSE,"96CAPREV"}</definedName>
    <definedName name="wrn.CAPITAL2" hidden="1">{#N/A,#N/A,FALSE,"Minors";#N/A,#N/A,FALSE,"96CAPREV"}</definedName>
    <definedName name="wrn.Cardiovasculars." hidden="1">{#N/A,#N/A,FALSE,"Card";#N/A,#N/A,FALSE,"Prav";#N/A,#N/A,FALSE,"Irbe";#N/A,#N/A,FALSE,"Plavix";#N/A,#N/A,FALSE,"Capt";#N/A,#N/A,FALSE,"Fosi"}</definedName>
    <definedName name="wrn.Cash._.Flow." hidden="1">{#N/A,#N/A,FALSE,"Layout Cash Flow"}</definedName>
    <definedName name="wrn.Cash._.Flow._1" hidden="1">{#N/A,#N/A,FALSE,"Layout Cash Flow"}</definedName>
    <definedName name="wrn.cashflow." hidden="1">{"cashflow",#N/A,FALSE,"BPLN5YR3"}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ment.">#REF!</definedName>
    <definedName name="wrn.Central._.Nervous._.System." hidden="1">{#N/A,#N/A,FALSE,"CNS";#N/A,#N/A,FALSE,"Serz";#N/A,#N/A,FALSE,"Ace"}</definedName>
    <definedName name="wrn.cg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hemicals." hidden="1">{"PnL",#N/A,FALSE,"Chem P&amp;L";"Responsibility",#N/A,FALSE,"Chem P&amp;L";"Cost Control",#N/A,FALSE,"Chem P&amp;L"}</definedName>
    <definedName name="wrn.c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C94TAX." hidden="1">{#N/A,#N/A,FALSE,"?????";#N/A,#N/A,FALSE,"??????";#N/A,#N/A,FALSE,"??";#N/A,#N/A,FALSE,"???";#N/A,#N/A,FALSE,"1? ????";#N/A,#N/A,FALSE,"2? ??";#N/A,#N/A,FALSE,"3(3)?(?) ????";#N/A,#N/A,FALSE,"6? ????";#N/A,#N/A,FALSE,"6? ??(?)";#N/A,#N/A,FALSE,"6? ??(?)";#N/A,#N/A,FALSE,"6? ??(?)";#N/A,#N/A,FALSE,"6-1? ????";#N/A,#N/A,FALSE,"6-3? ??";#N/A,#N/A,FALSE,"6-4? ??(?)";#N/A,#N/A,FALSE,"6-4? ??(?)";#N/A,#N/A,FALSE,"????";#N/A,#N/A,FALSE,"6-6(3)? ??(??)";#N/A,#N/A,FALSE,"???????";#N/A,#N/A,FALSE,"6-6?(??) ?????";#N/A,#N/A,FALSE,"6-10? ????";#N/A,#N/A,FALSE,"6-11? ?????";#N/A,#N/A,FALSE,"6-12? ????";#N/A,#N/A,FALSE,"9? ???(?)";#N/A,#N/A,FALSE,"9? ???(?)";#N/A,#N/A,FALSE,"10(4)? ????";#N/A,#N/A,FALSE,"59? ????"}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a." hidden="1">{#N/A,#N/A,FALSE,"99-2000 Actuals";#N/A,#N/A,FALSE,"2000-01";#N/A,#N/A,FALSE,"2001-02 Projec";#N/A,#N/A,FALSE,"2002-03 Projec";#N/A,#N/A,FALSE,"Total";#N/A,#N/A,FALSE,"backup";#N/A,#N/A,FALSE,"Divisions"}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MBINED.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BINED._2" hidden="1">{#N/A,#N/A,FALSE,"INPUTS";#N/A,#N/A,FALSE,"PROFORMA BSHEET";#N/A,#N/A,FALSE,"COMBINED";#N/A,#N/A,FALSE,"HIGH YIELD";#N/A,#N/A,FALSE,"COMB_GRAPHS"}</definedName>
    <definedName name="wrn.COMBINED._3" hidden="1">{#N/A,#N/A,FALSE,"INPUTS";#N/A,#N/A,FALSE,"PROFORMA BSHEET";#N/A,#N/A,FALSE,"COMBINED";#N/A,#N/A,FALSE,"HIGH YIELD";#N/A,#N/A,FALSE,"COMB_GRAPHS"}</definedName>
    <definedName name="wrn.COMBINED._4" hidden="1">{#N/A,#N/A,FALSE,"INPUTS";#N/A,#N/A,FALSE,"PROFORMA BSHEET";#N/A,#N/A,FALSE,"COMBINED";#N/A,#N/A,FALSE,"HIGH YIELD";#N/A,#N/A,FALSE,"COMB_GRAPHS"}</definedName>
    <definedName name="wrn.COMBINED._5" hidden="1">{#N/A,#N/A,FALSE,"INPUTS";#N/A,#N/A,FALSE,"PROFORMA BSHEET";#N/A,#N/A,FALSE,"COMBINED";#N/A,#N/A,FALSE,"HIGH YIELD";#N/A,#N/A,FALSE,"COMB_GRAPHS"}</definedName>
    <definedName name="wrn.COMPCO." hidden="1">{"Page1",#N/A,FALSE,"CompCo";"Page2",#N/A,FALSE,"CompCo"}</definedName>
    <definedName name="wrn.COMPCO._1" hidden="1">{"Page1",#N/A,FALSE,"CompCo";"Page2",#N/A,FALSE,"CompCo"}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{#N/A,#N/A,FALSE,"SMT1";#N/A,#N/A,FALSE,"SMT2";#N/A,#N/A,FALSE,"Summary";#N/A,#N/A,FALSE,"Graphs";#N/A,#N/A,FALSE,"4 Panel"}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crete.">#REF!</definedName>
    <definedName name="wrn.consol.">#REF!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Sum._.Div." hidden="1">{#N/A,#N/A,FALSE,"UK CONSOL GB£";#N/A,#N/A,FALSE,"Summary UK";#N/A,#N/A,FALSE,"SSG Div";#N/A,#N/A,FALSE,"Nine West Div";#N/A,#N/A,FALSE,"PaT Div"}</definedName>
    <definedName name="wrn.Consolidated." hidden="1">{"PnL",#N/A,FALSE,"Total P&amp;L";"Cost Control",#N/A,FALSE,"Total P&amp;L"}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A94TAXRETURN." hidden="1">{#N/A,#N/A,FALSE,"?????";#N/A,#N/A,FALSE,"??????";#N/A,#N/A,FALSE,"??";#N/A,#N/A,FALSE,"???";#N/A,#N/A,FALSE,"1? ????";#N/A,#N/A,FALSE,"1-2? ?????";#N/A,#N/A,FALSE,"2? ??";#N/A,#N/A,FALSE,"2??? ????";#N/A,#N/A,FALSE,"3(1)?7 ????";#N/A,#N/A,FALSE,"3(3)?(?) ????";#N/A,#N/A,FALSE,"5? ???";#N/A,#N/A,FALSE,"5?2 ???(?)";#N/A,#N/A,FALSE,"6? ????";#N/A,#N/A,FALSE,"6? ??(?)";#N/A,#N/A,FALSE,"6? ??(?)";#N/A,#N/A,FALSE,"6-1? ????";#N/A,#N/A,FALSE,"6-3? ??";#N/A,#N/A,FALSE,"6-3(3)? ??";#N/A,#N/A,FALSE,"6-3(4)? ??";#N/A,#N/A,FALSE,"6-4? ??(?)";#N/A,#N/A,FALSE,"6-4? ??(?)";#N/A,#N/A,FALSE,"6-5? ??(?)";#N/A,#N/A,FALSE,"6-5? ??(?)";#N/A,#N/A,FALSE,"????";#N/A,#N/A,FALSE,"6-6(3)? ??(??)";#N/A,#N/A,FALSE,"6-6?(??) ?????";#N/A,#N/A,FALSE,"6-7? ????(?)";#N/A,#N/A,FALSE,"6-7? ???(?)";#N/A,#N/A,FALSE,"6-10? ????";#N/A,#N/A,FALSE,"6-11? ?????";#N/A,#N/A,FALSE,"6-12? ????";#N/A,#N/A,FALSE,"6-13? ???";#N/A,#N/A,FALSE,"6-14? ?????";#N/A,#N/A,FALSE,"8? ?????";#N/A,#N/A,FALSE,"9? ???(?)";#N/A,#N/A,FALSE,"9? ???(?)";#N/A,#N/A,FALSE,"10(2)? ????";#N/A,#N/A,FALSE,"10(3)? ????";#N/A,#N/A,FALSE,"10(3)? ??";#N/A,#N/A,FALSE,"10(4)? ????";#N/A,#N/A,FALSE,"14(1)? ? ??";#N/A,#N/A,FALSE,"59? ????";#N/A,#N/A,FALSE,"?? BS";#N/A,#N/A,FALSE,"?? PL";#N/A,#N/A,FALSE,"??RE"}</definedName>
    <definedName name="wrn.COST._.OF._.SALES." hidden="1">{"COST OF SALES",#N/A,FALSE,"C.O.SALES"}</definedName>
    <definedName name="wrn.Cost._.Summary." hidden="1">{"Cost Summary",#N/A,FALSE,"B";"Cost Detail 1",#N/A,FALSE,"C";"Cost Detail 2",#N/A,FALSE,"C"}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Input." hidden="1">{"Data Input Sheet 1",#N/A,FALSE,"Data Input - Sheet 1";"Data Input Sheet 2",#N/A,FALSE,"Data Input - Sheet 2"}</definedName>
    <definedName name="wrn.Data._.Input._1" hidden="1">{"Data Input Sheet 1",#N/A,FALSE,"Data Input - Sheet 1";"Data Input Sheet 2",#N/A,FALSE,"Data Input - Sheet 2"}</definedName>
    <definedName name="wrn.Data._.Input._2" hidden="1">{"Data Input Sheet 1",#N/A,FALSE,"Data Input - Sheet 1";"Data Input Sheet 2",#N/A,FALSE,"Data Input - Sheet 2"}</definedName>
    <definedName name="wrn.Data._.Input._3" hidden="1">{"Data Input Sheet 1",#N/A,FALSE,"Data Input - Sheet 1";"Data Input Sheet 2",#N/A,FALSE,"Data Input - Sheet 2"}</definedName>
    <definedName name="wrn.datapak." hidden="1">{#N/A,#N/A,FALSE,"Status of Projects";#N/A,#N/A,FALSE,"CEA-TEC";#N/A,#N/A,FALSE,"U-Constr.";#N/A,#N/A,FALSE,"summary";#N/A,#N/A,FALSE,"PPP-3 yrs"}</definedName>
    <definedName name="wrn.David." hidden="1">{#N/A,#N/A,FALSE,"UK Consol Short";#N/A,#N/A,FALSE,"Summary UK - Short"}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hidden="1">{"DCF",#N/A,FALSE,"CF"}</definedName>
    <definedName name="wrn.DCF._2" hidden="1">{"DCF",#N/A,FALSE,"CF"}</definedName>
    <definedName name="wrn.DCF._3" hidden="1">{"DCF",#N/A,FALSE,"CF"}</definedName>
    <definedName name="wrn.DCF._4" hidden="1">{"DCF",#N/A,FALSE,"CF"}</definedName>
    <definedName name="wrn.DCF._5" hidden="1">{"DCF",#N/A,FALSE,"CF"}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p." hidden="1">{"dep. full detail",#N/A,FALSE,"annex";"3cd annex",#N/A,FALSE,"annex";"co. dep.",#N/A,FALSE,"annex"}</definedName>
    <definedName name="wrn.dep._1" hidden="1">{"dep. full detail",#N/A,FALSE,"annex";"3cd annex",#N/A,FALSE,"annex";"co. dep.",#N/A,FALSE,"annex"}</definedName>
    <definedName name="wrn.dep._2" hidden="1">{"dep. full detail",#N/A,FALSE,"annex";"3cd annex",#N/A,FALSE,"annex";"co. dep.",#N/A,FALSE,"annex"}</definedName>
    <definedName name="wrn.dep._3" hidden="1">{"dep. full detail",#N/A,FALSE,"annex";"3cd annex",#N/A,FALSE,"annex";"co. dep.",#N/A,FALSE,"annex"}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ARTMENTS.2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R." hidden="1">{#N/A,#N/A,FALSE,"DEPR"}</definedName>
    <definedName name="wrn.depschA4." hidden="1">{"A4depsch",#N/A,FALSE,"fa&amp;dep"}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._1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_Projection." hidden="1">{#N/A,#N/A,FALSE,"Detail YTD"}</definedName>
    <definedName name="wrn.Detailed._.P._.and._.L." hidden="1">{"P and L Detail Page 1",#N/A,FALSE,"Data";"P and L Detail Page 2",#N/A,FALSE,"Data"}</definedName>
    <definedName name="wrn.Detailed._.P._.and._.L._1" hidden="1">{"P and L Detail Page 1",#N/A,FALSE,"Data";"P and L Detail Page 2",#N/A,FALSE,"Data"}</definedName>
    <definedName name="wrn.devdeal." hidden="1">{"top",#N/A,TRUE,"Detail";"next",#N/A,TRUE,"Detail";"then",#N/A,TRUE,"Detail";"and",#N/A,TRUE,"Detail";"inaddition",#N/A,TRUE,"Detail";"finally",#N/A,TRUE,"Detail"}</definedName>
    <definedName name="wrn.Display." hidden="1">{"pl",#N/A,FALSE,"Display";"cf",#N/A,FALSE,"Display";"pi",#N/A,FALSE,"Display";"top10",#N/A,FALSE,"Display";"compcon",#N/A,FALSE,"Display"}</definedName>
    <definedName name="wrn.document.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n." hidden="1">{#N/A,#N/A,FALSE,"UK Consol Short";#N/A,#N/A,FALSE,"Summary UK - Short"}</definedName>
    <definedName name="wrn.Draft." hidden="1">{"Draft",#N/A,FALSE,"Feb-96"}</definedName>
    <definedName name="wrn.Draft._.Financials.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hidden="1">{"Draft",#N/A,FALSE,"Feb-96"}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G." hidden="1">{#N/A,#N/A,FALSE,"BRU";#N/A,#N/A,FALSE,"MAD";#N/A,#N/A,FALSE,"MUN";#N/A,#N/A,FALSE,"SEO";#N/A,#N/A,FALSE,"TOK"}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dutainment._.Priority._.List." hidden="1">{#N/A,#N/A,FALSE,"DI 2 YEAR MASTER SCHEDULE"}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laborate." hidden="1">{#N/A,#N/A,FALSE,"Cash Flows";#N/A,#N/A,FALSE,"Fixed Assets";#N/A,#N/A,FALSE,"Balance Sheet";#N/A,#N/A,FALSE,"P &amp; 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{#N/A,#N/A,FALSE,"Quarterly";#N/A,#N/A,FALSE,"Quarterly Other";#N/A,#N/A,FALSE,"Prod Rev";#N/A,#N/A,FALSE,"Balance Sheet Tracking";#N/A,#N/A,FALSE,"Annual";#N/A,#N/A,FALSE,"Balance Sheet"}</definedName>
    <definedName name="wrn.EW." hidden="1">{#N/A,#N/A,FALSE,"EW"}</definedName>
    <definedName name="wrn.EW._1" hidden="1">{#N/A,#N/A,FALSE,"EW"}</definedName>
    <definedName name="wrn.EW._2" hidden="1">{#N/A,#N/A,FALSE,"EW"}</definedName>
    <definedName name="wrn.EW._3" hidden="1">{#N/A,#N/A,FALSE,"EW"}</definedName>
    <definedName name="wrn.EW._4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hibits." hidden="1">{#N/A,#N/A,FALSE,"IS";#N/A,#N/A,FALSE,"BS";#N/A,#N/A,FALSE,"RMA";#N/A,#N/A,FALSE,"INCOME";#N/A,#N/A,FALSE,"DCF";#N/A,#N/A,FALSE,"MARKET"}</definedName>
    <definedName name="wrn.Facilities." hidden="1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CB." hidden="1">{"FCB_ALL",#N/A,FALSE,"FCB"}</definedName>
    <definedName name="wrn.FCB._1" hidden="1">{"FCB_ALL",#N/A,FALSE,"FCB"}</definedName>
    <definedName name="wrn.fcb2" hidden="1">{"FCB_ALL",#N/A,FALSE,"FCB"}</definedName>
    <definedName name="wrn.fcb2_1" hidden="1">{"FCB_ALL",#N/A,FALSE,"FCB"}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CIAL._.STATEMENTS.2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wrn.Final." hidden="1">{"Final",#N/A,FALSE,"Feb-96"}</definedName>
    <definedName name="wrn.Final._.Financials.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1" hidden="1">{"Final",#N/A,FALSE,"Feb-96"}</definedName>
    <definedName name="wrn.Financial._.Output." hidden="1">{"P and L",#N/A,FALSE,"Financial Output";"Cashflow",#N/A,FALSE,"Financial Output";"Balance Sheet",#N/A,FALSE,"Financial Output"}</definedName>
    <definedName name="wrn.Financial._.Output._1" hidden="1">{"P and L",#N/A,FALSE,"Financial Output";"Cashflow",#N/A,FALSE,"Financial Output";"Balance Sheet",#N/A,FALSE,"Financial Output"}</definedName>
    <definedName name="wrn.Financial._.Report." hidden="1">{#N/A,#N/A,TRUE,"P&amp;L";#N/A,#N/A,TRUE,"note 1";#N/A,#N/A,TRUE,"note 2";#N/A,#N/A,TRUE,"note 3";#N/A,#N/A,TRUE,"note 4"}</definedName>
    <definedName name="wrn.Financial._.Report._1" hidden="1">{#N/A,#N/A,TRUE,"P&amp;L";#N/A,#N/A,TRUE,"note 1";#N/A,#N/A,TRUE,"note 2";#N/A,#N/A,TRUE,"note 3";#N/A,#N/A,TRUE,"note 4"}</definedName>
    <definedName name="wrn.Financial._.Report._2" hidden="1">{#N/A,#N/A,TRUE,"P&amp;L";#N/A,#N/A,TRUE,"note 1";#N/A,#N/A,TRUE,"note 2";#N/A,#N/A,TRUE,"note 3";#N/A,#N/A,TRUE,"note 4"}</definedName>
    <definedName name="wrn.Financial._.Report._3" hidden="1">{#N/A,#N/A,TRUE,"P&amp;L";#N/A,#N/A,TRUE,"note 1";#N/A,#N/A,TRUE,"note 2";#N/A,#N/A,TRUE,"note 3";#N/A,#N/A,TRUE,"note 4"}</definedName>
    <definedName name="wrn.Financial._.Report._4" hidden="1">{#N/A,#N/A,TRUE,"P&amp;L";#N/A,#N/A,TRUE,"note 1";#N/A,#N/A,TRUE,"note 2";#N/A,#N/A,TRUE,"note 3";#N/A,#N/A,TRUE,"note 4"}</definedName>
    <definedName name="wrn.Financial._.Report._5" hidden="1">{#N/A,#N/A,TRUE,"P&amp;L";#N/A,#N/A,TRUE,"note 1";#N/A,#N/A,TRUE,"note 2";#N/A,#N/A,TRUE,"note 3";#N/A,#N/A,TRUE,"note 4"}</definedName>
    <definedName name="wrn.Financial._.Statements." hidden="1">{"Assumptions",#N/A,FALSE,"Assm";"Contribution Chart 0",#N/A,FALSE,"Rev contribution";"Contribution Chart 1",#N/A,FALSE,"Rev contribution";"Contribution Chart 2",#N/A,FALSE,"Rev contribution";"Projected Profitability",#N/A,FALSE,"Profitability";"Projected Cashflows",#N/A,FALSE,"Profitability";"Projected Balance Sheet",#N/A,FALSE,"Profitability";"Capex",#N/A,FALSE,"Model-Capex";"Debt Service Analysis",#N/A,FALSE,"Debt Service Analysis"}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MAR._.01." hidden="1">{"PG1",#N/A,FALSE,"SSL-FIN";"PG2",#N/A,FALSE,"SSL-FIN";"PG3",#N/A,FALSE,"SSL-FIN";"PG4",#N/A,FALSE,"SSL-FIN";"PG5",#N/A,FALSE,"SSL-FIN";"PG6",#N/A,FALSE,"SSL-FIN";"PG7",#N/A,FALSE,"SSL-FIN"}</definedName>
    <definedName name="wrn.Finanzbedarfsrechnung." hidden="1">{#N/A,#N/A,FALSE,"Finanzbedarfsrechnung"}</definedName>
    <definedName name="wrn.Finanzbedarfsrechnung._1" hidden="1">{#N/A,#N/A,FALSE,"Finanzbedarfsrechnung"}</definedName>
    <definedName name="wrn.fireproof.">#REF!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_1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ve._.Year._.Record._1" hidden="1">{"Five Year Record",#N/A,FALSE,"Front and Back"}</definedName>
    <definedName name="wrn.FORECAST." hidden="1">{"COMBINED",#N/A,FALSE,"BALANCE SHEET 2";"KRONE",#N/A,FALSE,"BALANCE SHEET 2";"INTERSYSTEMS",#N/A,FALSE,"BALANCE SHEET 2"}</definedName>
    <definedName name="wrn.FORECAST.2" hidden="1">{"COMBINED",#N/A,FALSE,"BALANCE SHEET 2";"KRONE",#N/A,FALSE,"BALANCE SHEET 2";"INTERSYSTEMS",#N/A,FALSE,"BALANCE SHEET 2"}</definedName>
    <definedName name="wrn.FORM1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REE." hidden="1">{#N/A,#N/A,FALSE,"FREE"}</definedName>
    <definedName name="wrn.FREE._1" hidden="1">{#N/A,#N/A,FALSE,"FREE"}</definedName>
    <definedName name="wrn.FREE._2" hidden="1">{#N/A,#N/A,FALSE,"FREE"}</definedName>
    <definedName name="wrn.FREE._3" hidden="1">{#N/A,#N/A,FALSE,"FREE"}</definedName>
    <definedName name="wrn.FREE._4" hidden="1">{#N/A,#N/A,FALSE,"FREE"}</definedName>
    <definedName name="wrn.Front._.Page." hidden="1">{"Front Page",#N/A,FALSE,"Front and Back"}</definedName>
    <definedName name="wrn.Front._.Page._1" hidden="1">{"Front Page",#N/A,FALSE,"Front and Back"}</definedName>
    <definedName name="wrn.Ful._.Set." hidden="1">{"Bsheet",#N/A,FALSE,"Details";"P&amp;L",#N/A,FALSE,"Details";"Schedule",#N/A,FALSE,"Details";"Details",#N/A,FALSE,"Details"}</definedName>
    <definedName name="wrn.full." hidden="1">{#N/A,#N/A,FALSE,"Cover";#N/A,#N/A,FALSE,"Outputs";#N/A,#N/A,FALSE,"Control (In)";#N/A,#N/A,FALSE,"Tesco";#N/A,#N/A,FALSE,"Sainsbury";#N/A,#N/A,FALSE,"Carrefour";#N/A,#N/A,FALSE,"Co D";#N/A,#N/A,FALSE,"Co E";#N/A,#N/A,FALSE,"Co F";#N/A,#N/A,FALSE,"Co G";#N/A,#N/A,FALSE,"Co H";#N/A,#N/A,FALSE,"Co I";#N/A,#N/A,FALSE,"Co J";#N/A,#N/A,FALSE,"Co K";#N/A,#N/A,FALSE,"Co L";#N/A,#N/A,FALSE,"Co M";#N/A,#N/A,FALSE,"Co N";#N/A,#N/A,FALSE,"Co O"}</definedName>
    <definedName name="wrn.Full._.Financials." hidden="1">{#N/A,#N/A,TRUE,"Financials";#N/A,#N/A,TRUE,"Operating Statistics";#N/A,#N/A,TRUE,"Capex &amp; Depreciation";#N/A,#N/A,TRUE,"Debt"}</definedName>
    <definedName name="wrn.Full._.Financials._1" hidden="1">{#N/A,#N/A,TRUE,"Financials";#N/A,#N/A,TRUE,"Operating Statistics";#N/A,#N/A,TRUE,"Capex &amp; Depreciation";#N/A,#N/A,TRUE,"Debt"}</definedName>
    <definedName name="wrn.Full._.Financials._2" hidden="1">{#N/A,#N/A,TRUE,"Financials";#N/A,#N/A,TRUE,"Operating Statistics";#N/A,#N/A,TRUE,"Capex &amp; Depreciation";#N/A,#N/A,TRUE,"Debt"}</definedName>
    <definedName name="wrn.Full._.Financials._3" hidden="1">{#N/A,#N/A,TRUE,"Financials";#N/A,#N/A,TRUE,"Operating Statistics";#N/A,#N/A,TRUE,"Capex &amp; Depreciation";#N/A,#N/A,TRUE,"Debt"}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Full._.Report._1" hidden="1">{#N/A,#N/A,TRUE,"Income Statement";#N/A,#N/A,TRUE,"Gas Assumptions";#N/A,#N/A,TRUE,"DCF";#N/A,#N/A,TRUE,"Depreciation Matrix";#N/A,#N/A,TRUE,"Matrix";#N/A,#N/A,TRUE,"Matrix_Perpetuity"}</definedName>
    <definedName name="wrn.full._.report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1" hidden="1">{"divisions",#N/A,TRUE,"Drivers";"PandL_Ratios",#N/A,TRUE,"P&amp;L"}</definedName>
    <definedName name="wrn.FULL._2" hidden="1">{"divisions",#N/A,TRUE,"Drivers";"PandL_Ratios",#N/A,TRUE,"P&amp;L"}</definedName>
    <definedName name="wrn.FULL._3" hidden="1">{"divisions",#N/A,TRUE,"Drivers";"PandL_Ratios",#N/A,TRUE,"P&amp;L"}</definedName>
    <definedName name="wrn.FULL._4" hidden="1">{"divisions",#N/A,TRUE,"Drivers";"PandL_Ratios",#N/A,TRUE,"P&amp;L"}</definedName>
    <definedName name="wrn.FULL._5" hidden="1">{"divisions",#N/A,TRUE,"Drivers";"PandL_Ratios",#N/A,TRUE,"P&amp;L"}</definedName>
    <definedName name="wrn.full.fin.1" hidden="1">{#N/A,#N/A,TRUE,"Financials";#N/A,#N/A,TRUE,"Operating Statistics";#N/A,#N/A,TRUE,"Capex &amp; Depreciation";#N/A,#N/A,TRUE,"Debt"}</definedName>
    <definedName name="wrn.full.fin.1_1" hidden="1">{#N/A,#N/A,TRUE,"Financials";#N/A,#N/A,TRUE,"Operating Statistics";#N/A,#N/A,TRUE,"Capex &amp; Depreciation";#N/A,#N/A,TRUE,"Debt"}</definedName>
    <definedName name="wrn.full.fin.1_2" hidden="1">{#N/A,#N/A,TRUE,"Financials";#N/A,#N/A,TRUE,"Operating Statistics";#N/A,#N/A,TRUE,"Capex &amp; Depreciation";#N/A,#N/A,TRUE,"Debt"}</definedName>
    <definedName name="wrn.full.fin.1_3" hidden="1">{#N/A,#N/A,TRUE,"Financials";#N/A,#N/A,TRUE,"Operating Statistics";#N/A,#N/A,TRUE,"Capex &amp; Depreciation";#N/A,#N/A,TRUE,"Debt"}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G.C.P.L.." hidden="1">{#N/A,#N/A,FALSE,"gc (2)"}</definedName>
    <definedName name="wrn.G.C.P.L.._1" hidden="1">{#N/A,#N/A,FALSE,"gc (2)"}</definedName>
    <definedName name="wrn.G.C.P.L.._2" hidden="1">{#N/A,#N/A,FALSE,"gc (2)"}</definedName>
    <definedName name="wrn.G.C.P.L.._3" hidden="1">{#N/A,#N/A,FALSE,"gc (2)"}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ographic._.Trends." hidden="1">{"Geographic P1",#N/A,FALSE,"Division &amp; Geog"}</definedName>
    <definedName name="wrn.Geographic._.Trends._1" hidden="1">{"Geographic P1",#N/A,FALSE,"Division &amp; Geog"}</definedName>
    <definedName name="wrn.GL." hidden="1">{#N/A,#N/A,FALSE,"TB"}</definedName>
    <definedName name="wrn.GRAPHS." hidden="1">{#N/A,#N/A,FALSE,"ACQ_GRAPHS";#N/A,#N/A,FALSE,"T_1 GRAPHS";#N/A,#N/A,FALSE,"T_2 GRAPHS";#N/A,#N/A,FALSE,"COMB_GRAPHS"}</definedName>
    <definedName name="wrn.GRAPHS._1" hidden="1">{#N/A,#N/A,FALSE,"ACQ_GRAPHS";#N/A,#N/A,FALSE,"T_1 GRAPHS";#N/A,#N/A,FALSE,"T_2 GRAPHS";#N/A,#N/A,FALSE,"COMB_GRAPHS"}</definedName>
    <definedName name="wrn.GRAPHS._2" hidden="1">{#N/A,#N/A,FALSE,"ACQ_GRAPHS";#N/A,#N/A,FALSE,"T_1 GRAPHS";#N/A,#N/A,FALSE,"T_2 GRAPHS";#N/A,#N/A,FALSE,"COMB_GRAPHS"}</definedName>
    <definedName name="wrn.GRAPHS._3" hidden="1">{#N/A,#N/A,FALSE,"ACQ_GRAPHS";#N/A,#N/A,FALSE,"T_1 GRAPHS";#N/A,#N/A,FALSE,"T_2 GRAPHS";#N/A,#N/A,FALSE,"COMB_GRAPHS"}</definedName>
    <definedName name="wrn.GRAPHS._4" hidden="1">{#N/A,#N/A,FALSE,"ACQ_GRAPHS";#N/A,#N/A,FALSE,"T_1 GRAPHS";#N/A,#N/A,FALSE,"T_2 GRAPHS";#N/A,#N/A,FALSE,"COMB_GRAPHS"}</definedName>
    <definedName name="wrn.GRAPHS._5" hidden="1">{#N/A,#N/A,FALSE,"ACQ_GRAPHS";#N/A,#N/A,FALSE,"T_1 GRAPHS";#N/A,#N/A,FALSE,"T_2 GRAPHS";#N/A,#N/A,FALSE,"COMB_GRAPHS"}</definedName>
    <definedName name="wrn.GROUP." hidden="1">{"grppl",#N/A,FALSE,"Group";"grpbs",#N/A,FALSE,"Group";"grpcf",#N/A,FALSE,"Group"}</definedName>
    <definedName name="wrn.Guidelines." hidden="1">{"Guidelines",#N/A,FALSE,"Guidelines"}</definedName>
    <definedName name="wrn.Guidelines._1" hidden="1">{"Guidelines",#N/A,FALSE,"Guidelines"}</definedName>
    <definedName name="wrn.Guidelines._2" hidden="1">{"Guidelines",#N/A,FALSE,"Guidelines"}</definedName>
    <definedName name="wrn.Guidelines._3" hidden="1">{"Guidelines",#N/A,FALSE,"Guidelines"}</definedName>
    <definedName name="wrn.GuV." hidden="1">{#N/A,#N/A,FALSE,"Layout GuV"}</definedName>
    <definedName name="wrn.GuV._1" hidden="1">{#N/A,#N/A,FALSE,"Layout GuV"}</definedName>
    <definedName name="wrn.Hartcliffe." hidden="1">{"pl",#N/A,FALSE,"Hcliffe";"cf",#N/A,FALSE,"Hcliffe";"pi",#N/A,FALSE,"Hcliffe";"top10",#N/A,FALSE,"Hcliffe";"compcon",#N/A,FALSE,"Hcliffe"}</definedName>
    <definedName name="wrn.Headoff." hidden="1">{"empnos",#N/A,FALSE,"Headoff"}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ont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IFF94TAX." hidden="1">{#N/A,#N/A,FALSE,"?????";#N/A,#N/A,FALSE,"??????";#N/A,#N/A,FALSE,"??";#N/A,#N/A,FALSE,"???";#N/A,#N/A,FALSE,"1? ????";#N/A,#N/A,FALSE,"2? ??";#N/A,#N/A,FALSE,"3(3)?(?) ????";#N/A,#N/A,FALSE,"6? ????";#N/A,#N/A,FALSE,"6? ??(?)";#N/A,#N/A,FALSE,"6? ??(?)";#N/A,#N/A,FALSE,"6-1? ????";#N/A,#N/A,FALSE,"6-3? ??";#N/A,#N/A,FALSE,"6-4? ??(?)";#N/A,#N/A,FALSE,"6-4? ??(?)";#N/A,#N/A,FALSE,"6-5 ? ??";#N/A,#N/A,FALSE,"6-5? ??";#N/A,#N/A,FALSE,"????";#N/A,#N/A,FALSE,"???????";#N/A,#N/A,FALSE,"6-6?(??) ?????";#N/A,#N/A,FALSE,"6-11? ?????";#N/A,#N/A,FALSE,"6-12? ????";#N/A,#N/A,FALSE,"9? ???(?)";#N/A,#N/A,FALSE,"9? ???(?)";#N/A,#N/A,FALSE,"10(3)? ????";#N/A,#N/A,FALSE,"10(4)? ????";#N/A,#N/A,FALSE,"12? ????";#N/A,#N/A,FALSE,"14(1) ????(?)";#N/A,#N/A,FALSE,"59? ????";#N/A,#N/A,FALSE,"????";#N/A,#N/A,FALSE,"?? BS";#N/A,#N/A,FALSE,"??RE";#N/A,#N/A,FALSE,"?? PL"}</definedName>
    <definedName name="wrn.IGRONICbasicdata." hidden="1">{"IGRONIC2",#N/A,FALSE,"IG fixed RONIC";"IGRONIC1",#N/A,FALSE,"IG fixed RONIC"}</definedName>
    <definedName name="wrn.IGRONICbasicdata2" hidden="1">{"IGRONIC2",#N/A,FALSE,"IG fixed RONIC";"IGRONIC1",#N/A,FALSE,"IG fixed RONIC"}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hidden="1">{"income statement",#N/A,FALSE,"ATLAS-A"}</definedName>
    <definedName name="wrn.income._.statement._1" hidden="1">{"income statement",#N/A,FALSE,"ATLAS-A"}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ONESIA._.OUTLKOOK." hidden="1">{#N/A,#N/A,FALSE,"ASIA"}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sheet_ProjectInput." hidden="1">{"ProjectInput",#N/A,FALSE,"INPUT-AREA"}</definedName>
    <definedName name="wrn.Inputsheet_ProjectInput._1" hidden="1">{"ProjectInput",#N/A,FALSE,"INPUT-AREA"}</definedName>
    <definedName name="wrn.Inputsheet_ProjectInput._2" hidden="1">{"ProjectInput",#N/A,FALSE,"INPUT-AREA"}</definedName>
    <definedName name="wrn.Inputsheet_ProjectInput._3" hidden="1">{"ProjectInput",#N/A,FALSE,"INPUT-AREA"}</definedName>
    <definedName name="wrn.Inputsheet_ProjectInput._4" hidden="1">{"ProjectInput",#N/A,FALSE,"INPUT-AREA"}</definedName>
    <definedName name="wrn.Inputsheet_ProjectInput._5" hidden="1">{"ProjectInput",#N/A,FALSE,"INPUT-AREA"}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po." hidden="1">{"assumptions",#N/A,FALSE,"Scenario 1";"valuation",#N/A,FALSE,"Scenario 1"}</definedName>
    <definedName name="wrn.IPO._.Valuation." hidden="1">{"assumptions",#N/A,FALSE,"Scenario 1";"valuation",#N/A,FALSE,"Scenario 1"}</definedName>
    <definedName name="wrn.IS._.BS." hidden="1">{#N/A,#N/A,FALSE,"Income State.";#N/A,#N/A,FALSE,"B-S"}</definedName>
    <definedName name="wrn.IS._.BS._1" hidden="1">{#N/A,#N/A,FALSE,"Income State.";#N/A,#N/A,FALSE,"B-S"}</definedName>
    <definedName name="wrn.IS._.BS._2" hidden="1">{#N/A,#N/A,FALSE,"Income State.";#N/A,#N/A,FALSE,"B-S"}</definedName>
    <definedName name="wrn.IS._.BS._3" hidden="1">{#N/A,#N/A,FALSE,"Income State.";#N/A,#N/A,FALSE,"B-S"}</definedName>
    <definedName name="wrn.IS._.BS._4" hidden="1">{#N/A,#N/A,FALSE,"Income State.";#N/A,#N/A,FALSE,"B-S"}</definedName>
    <definedName name="wrn.IS._.BS._5" hidden="1">{#N/A,#N/A,FALSE,"Income State.";#N/A,#N/A,FALSE,"B-S"}</definedName>
    <definedName name="wrn.ISBL." hidden="1">{#N/A,#N/A,FALSE,"ISBL"}</definedName>
    <definedName name="wrn.ISBL._1" hidden="1">{#N/A,#N/A,FALSE,"ISBL"}</definedName>
    <definedName name="wrn.ISBL._2" hidden="1">{#N/A,#N/A,FALSE,"ISBL"}</definedName>
    <definedName name="wrn.ISBL._3" hidden="1">{#N/A,#N/A,FALSE,"ISBL"}</definedName>
    <definedName name="wrn.ISBL._4" hidden="1">{#N/A,#N/A,FALSE,"ISBL"}</definedName>
    <definedName name="wrn.ISRAEL." hidden="1">{#N/A,#N/A,FALSE,"TECH CENTRE RXDU66";#N/A,#N/A,FALSE,"ASU VAAX66";#N/A,#N/A,FALSE,"TCM VAKX66"}</definedName>
    <definedName name="wrn.JANI._.REBATES." hidden="1">{"TOTAL",#N/A,FALSE,"A";"FISCAL94",#N/A,FALSE,"A";"FISCAL95",#N/A,FALSE,"A";"FISCAL96",#N/A,FALSE,"A";"misc page",#N/A,FALSE,"A"}</definedName>
    <definedName name="wrn.JANI._.REBATES._1" hidden="1">{"TOTAL",#N/A,FALSE,"A";"FISCAL94",#N/A,FALSE,"A";"FISCAL95",#N/A,FALSE,"A";"FISCAL96",#N/A,FALSE,"A";"misc page",#N/A,FALSE,"A"}</definedName>
    <definedName name="wrn.JANI._.REBATES._2" hidden="1">{"TOTAL",#N/A,FALSE,"A";"FISCAL94",#N/A,FALSE,"A";"FISCAL95",#N/A,FALSE,"A";"FISCAL96",#N/A,FALSE,"A";"misc page",#N/A,FALSE,"A"}</definedName>
    <definedName name="wrn.JANI._.REBATES._3" hidden="1">{"TOTAL",#N/A,FALSE,"A";"FISCAL94",#N/A,FALSE,"A";"FISCAL95",#N/A,FALSE,"A";"FISCAL96",#N/A,FALSE,"A";"misc page",#N/A,FALSE,"A"}</definedName>
    <definedName name="wrn.Japan_Capers_Ed._.Pub." hidden="1">{"Japan_Capers_Ed_Pub",#N/A,FALSE,"DI 2 YEAR MASTER SCHEDULE"}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ohn." hidden="1">{#N/A,#N/A,FALSE,"UK Consol Short"}</definedName>
    <definedName name="wrn.Julie." hidden="1">{#N/A,#N/A,FALSE,"UK Consol Short"}</definedName>
    <definedName name="wrn.Justin." hidden="1">{#N/A,#N/A,FALSE,"UK Consol Short"}</definedName>
    <definedName name="wrn.JV." hidden="1">{#N/A,#N/A,TRUE,"JV-LD";#N/A,#N/A,TRUE,"JV-BON";#N/A,#N/A,TRUE,"JV-PG";#N/A,#N/A,TRUE,"JV-PV"}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BO._.Summary." hidden="1">{"LBO Summary",#N/A,FALSE,"Summary"}</definedName>
    <definedName name="wrn.LD." hidden="1">{#N/A,#N/A,TRUE,"LD-HTED";#N/A,#N/A,TRUE,"LD-PVSE";#N/A,#N/A,TRUE,"LD-SBU3";#N/A,#N/A,TRUE,"LD-R&amp;C";#N/A,#N/A,TRUE,"LD-PPED";#N/A,#N/A,TRUE,"LD-INTL";#N/A,#N/A,TRUE,"BON-R&amp;C"}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c." hidden="1">{#N/A,#N/A,FALSE,"Annexure 1";#N/A,#N/A,FALSE,"Annexure 2";#N/A,#N/A,FALSE,"Annexure 3";#N/A,#N/A,FALSE,"Annexure 4";#N/A,#N/A,FALSE,"Annexure 6";#N/A,#N/A,FALSE,"Annexure 7";#N/A,#N/A,FALSE,"Annexure 8";#N/A,#N/A,FALSE,"Annexure 9"}</definedName>
    <definedName name="wrn.LJD._.Review._.1." hidden="1">{"LJD 1",#N/A,FALSE,"Master";"LJD 2",#N/A,FALSE,"Sheet2";"LJD 3",#N/A,FALSE,"Sheet1";"LJD 4",#N/A,FALSE,"Sheet3";"LJD 5",#N/A,FALSE,"Sheet4"}</definedName>
    <definedName name="wrn.LOWER._.PORTION." hidden="1">{#N/A,#N/A,FALSE,"0895";"LOWER PORTION",#N/A,FALSE,"0895"}</definedName>
    <definedName name="wrn.LOWER._.PORTION._1" hidden="1">{#N/A,#N/A,FALSE,"0895";"LOWER PORTION",#N/A,FALSE,"0895"}</definedName>
    <definedName name="wrn.LOWER._.PORTION._2" hidden="1">{#N/A,#N/A,FALSE,"0895";"LOWER PORTION",#N/A,FALSE,"0895"}</definedName>
    <definedName name="wrn.LOWER._.PORTION._3" hidden="1">{#N/A,#N/A,FALSE,"0895";"LOWER PORTION",#N/A,FALSE,"0895"}</definedName>
    <definedName name="wrn.LOWER._.PORTION._4" hidden="1">{#N/A,#N/A,FALSE,"0895";"LOWER PORTION",#N/A,FALSE,"0895"}</definedName>
    <definedName name="wrn.LOWER._.PORTION._5" hidden="1">{#N/A,#N/A,FALSE,"0895";"LOWER PORTION",#N/A,FALSE,"0895"}</definedName>
    <definedName name="wrn.LPNL." hidden="1">{"LPNL1",#N/A,FALSE,"EntitiesWithReclasses";"LPNL2",#N/A,FALSE,"EntitiesWithReclasses";"LPNL3",#N/A,FALSE,"EntitiesWithReclasses"}</definedName>
    <definedName name="wrn.LTCG." hidden="1">{"office ltcg",#N/A,FALSE,"gain01";"IT LTCG",#N/A,FALSE,"gain01"}</definedName>
    <definedName name="wrn.LTCG._1" hidden="1">{"office ltcg",#N/A,FALSE,"gain01";"IT LTCG",#N/A,FALSE,"gain01"}</definedName>
    <definedName name="wrn.LTCG._2" hidden="1">{"office ltcg",#N/A,FALSE,"gain01";"IT LTCG",#N/A,FALSE,"gain01"}</definedName>
    <definedName name="wrn.LTCG._3" hidden="1">{"office ltcg",#N/A,FALSE,"gain01";"IT LTCG",#N/A,FALSE,"gain01"}</definedName>
    <definedName name="wrn.m_cash." hidden="1">{"cash_marc",#N/A,FALSE,"dec95cr.xls"}</definedName>
    <definedName name="wrn.MAIN." hidden="1">{#N/A,#N/A,FALSE,"CF DXB";#N/A,#N/A,FALSE,"Mn St. Ind.";#N/A,#N/A,FALSE,"CF IND"}</definedName>
    <definedName name="wrn.man._.accs." hidden="1">{#N/A,#N/A,FALSE,"P&amp;L";#N/A,#N/A,FALSE,"BS";#N/A,#N/A,FALSE,"SPLIT";#N/A,#N/A,FALSE,"RATIOS";#N/A,#N/A,FALSE,"TURN ";#N/A,#N/A,FALSE,"%s"}</definedName>
    <definedName name="wrn.MANAGEMENT._.COSTS." hidden="1">{"MANAGEMENT COSTS",#N/A,FALSE,"C.CENTRE"}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f." hidden="1">{"manpl",#N/A,FALSE,"MANUF";"mancf",#N/A,FALSE,"MANUF";"manpi",#N/A,FALSE,"MANUF"}</definedName>
    <definedName name="wrn.MARK98FULL.1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et._.Values." hidden="1">{#N/A,#N/A,TRUE,"10 Yr Hold";#N/A,#N/A,TRUE,"7 Yr Hold";#N/A,#N/A,TRUE,"5 Yr Hold";#N/A,#N/A,TRUE,"3 Yr Hold"}</definedName>
    <definedName name="wrn.MARKF98FULL.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F98FULL.1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F98H.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wrn.MARKF98P.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wrn.masonry.">#REF!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XINDIA." hidden="1">{"cincome",#N/A,FALSE,"Consolidated";"cbs",#N/A,FALSE,"Consolidated";"ccflow",#N/A,FALSE,"Consolidated";"htcincome",#N/A,FALSE,"Healthcare";"htcrevenue",#N/A,FALSE,"Healthcare";"htcproject",#N/A,FALSE,"Healthcare";"phincome",#N/A,FALSE,"Pharma";"boppincome",#N/A,FALSE,"BOPP";"foilincome",#N/A,FALSE,"FOIL";"corpincome",#N/A,FALSE,"Corporate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tal._.Systems." hidden="1">{"pl",#N/A,FALSE,"MetalSys";"cf",#N/A,FALSE,"MetalSys";"pi",#N/A,FALSE,"MetalSys";"top10",#N/A,FALSE,"MetalSys";"compcon",#N/A,FALSE,"MetalSys"}</definedName>
    <definedName name="wrn.MF._.commentary._.on._.variance." hidden="1">{"Commentary",#N/A,FALSE,"May"}</definedName>
    <definedName name="wrn.MF._.with._.BA._.detail." hidden="1">{"BA detail",#N/A,FALSE,"Q3YTD "}</definedName>
    <definedName name="wrn.MISC." hidden="1">{#N/A,#N/A,FALSE,"MISC"}</definedName>
    <definedName name="wrn.MNGT." hidden="1">{#N/A,#N/A,TRUE,"KOCH P&amp;L";#N/A,#N/A,TRUE,"sumpl";#N/A,#N/A,TRUE,"2000";#N/A,#N/A,TRUE,"2001";#N/A,#N/A,TRUE,"2002";#N/A,#N/A,TRUE,"2003 ";#N/A,#N/A,TRUE,"brg comm";#N/A,#N/A,TRUE,"lsm comm"}</definedName>
    <definedName name="wrn.Model." hidden="1">{"toc",#N/A,FALSE,"toc";"cover1",#N/A,FALSE,"Cover";"consol1",#N/A,FALSE,"Consol";"Acq1",#N/A,FALSE,"Acquiror";"T_Consol1",#N/A,FALSE,"Target_Consol";"Primary1",#N/A,FALSE,"Primary";"Secondary2",#N/A,FALSE,"Secondary";"Sterile1",#N/A,FALSE,"Sterile";"Deprec1",#N/A,FALSE,"Deprec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hidden="1">{"basic",#N/A,FALSE,"BASIC"}</definedName>
    <definedName name="wrn.model._2" hidden="1">{"basic",#N/A,FALSE,"BASIC"}</definedName>
    <definedName name="wrn.model._3" hidden="1">{"basic",#N/A,FALSE,"BASIC"}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NACCFS." hidden="1">{"NACCFS",#N/A,FALSE,"NACC";"NACC Assumptions",#N/A,FALSE,"NACC";#N/A,#N/A,FALSE,"NACC PPE"}</definedName>
    <definedName name="wrn.NET._.CIRCULATION." hidden="1">{"NETCIRC",#N/A,FALSE,"Net CIrc";"NETCIRCMON",#N/A,FALSE,"Net CIrc"}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o." hidden="1">{#N/A,#N/A,TRUE,"Cover";#N/A,#N/A,TRUE,"Transaction Summary";#N/A,#N/A,TRUE,"Earnings Impact";#N/A,#N/A,TRUE,"accretion dilution"}</definedName>
    <definedName name="wrn.Non._.Div._.Balance._.Sheet." hidden="1">{#N/A,"NONDV",FALSE,"BSHIST.XLS"}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oct_res_comm." hidden="1">{"oct_res_comm",#N/A,FALSE,"VarToBud"}</definedName>
    <definedName name="wrn.Oncology." hidden="1">{#N/A,#N/A,FALSE,"Onco";#N/A,#N/A,FALSE,"Taxol";#N/A,#N/A,FALSE,"UFT";#N/A,#N/A,FALSE,"Carb"}</definedName>
    <definedName name="wrn.one" hidden="1">{"page1",#N/A,FALSE,"A";"page2",#N/A,FALSE,"A"}</definedName>
    <definedName name="wrn.one." hidden="1">{"page1",#N/A,FALSE,"A";"page2",#N/A,FALSE,"A"}</definedName>
    <definedName name="wrn.One._.page._.Summary." hidden="1">{"Print One Page",#N/A,FALSE,"SumReport"}</definedName>
    <definedName name="wrn.One._.Pager._.plus._.Technicals." hidden="1">{#N/A,#N/A,FALSE,"One Pager";#N/A,#N/A,FALSE,"Technical"}</definedName>
    <definedName name="wrn.One._.Pager._.plus._.Technicals._1" hidden="1">{#N/A,#N/A,FALSE,"One Pager";#N/A,#N/A,FALSE,"Technical"}</definedName>
    <definedName name="wrn.One._.Pager._.plus._.Technicals._2" hidden="1">{#N/A,#N/A,FALSE,"One Pager";#N/A,#N/A,FALSE,"Technical"}</definedName>
    <definedName name="wrn.One._.Pager._.plus._.Technicals._3" hidden="1">{#N/A,#N/A,FALSE,"One Pager";#N/A,#N/A,FALSE,"Technical"}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BL." hidden="1">{#N/A,#N/A,FALSE,"OSBL"}</definedName>
    <definedName name="wrn.OSBL._1" hidden="1">{#N/A,#N/A,FALSE,"OSBL"}</definedName>
    <definedName name="wrn.OSBL._2" hidden="1">{#N/A,#N/A,FALSE,"OSBL"}</definedName>
    <definedName name="wrn.OSBL._3" hidden="1">{#N/A,#N/A,FALSE,"OSBL"}</definedName>
    <definedName name="wrn.OSBL._4" hidden="1">{#N/A,#N/A,FALSE,"OSBL"}</definedName>
    <definedName name="wrn.OTC._.Market._.Report." hidden="1">{#N/A,#N/A,FALSE,"Sales Graph";#N/A,#N/A,FALSE,"BUC Graph";#N/A,#N/A,FALSE,"P&amp;L - YTD"}</definedName>
    <definedName name="wrn.other.">#REF!</definedName>
    <definedName name="wrn.OTHER._.ADMIN._.COSTS." hidden="1">{"OTHER ADMIN COSTS",#N/A,FALSE,"C.CENTRE"}</definedName>
    <definedName name="wrn.Other._.Pharm." hidden="1">{#N/A,#N/A,FALSE,"Other";#N/A,#N/A,FALSE,"Ace";#N/A,#N/A,FALSE,"Derm"}</definedName>
    <definedName name="wrn.OTHER._.REVENUE." hidden="1">{"OTHER REVENUE",#N/A,FALSE,"OTHERS"}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s." hidden="1">{#N/A,#N/A,FALSE,"Outputs"}</definedName>
    <definedName name="wrn.p" hidden="1">{#N/A,#N/A,FALSE,"1";#N/A,#N/A,FALSE,"2";#N/A,#N/A,FALSE,"16 - 17";#N/A,#N/A,FALSE,"18 - 19";#N/A,#N/A,FALSE,"26";#N/A,#N/A,FALSE,"27";#N/A,#N/A,FALSE,"28"}</definedName>
    <definedName name="wrn.Pack._.Report." hidden="1">{#N/A,#N/A,FALSE,"UK CONSOL GB£";#N/A,#N/A,FALSE,"UK Consol Short";#N/A,#N/A,FALSE,"Summary UK";#N/A,#N/A,FALSE,"Summary UK - Short"}</definedName>
    <definedName name="wrn.Pages._.1._.to._.8." hidden="1">{#N/A,#N/A,FALSE,"UK CONSOL GB£";#N/A,#N/A,FALSE,"UK CONSOL NOV00"}</definedName>
    <definedName name="wrn.PAIM._.TAX._.PRO." hidden="1">{#N/A,#N/A,FALSE,"??";#N/A,#N/A,FALSE,"???";#N/A,#N/A,FALSE,"1? ????";#N/A,#N/A,FALSE,"2? ??";#N/A,#N/A,FALSE,"3(3)?(?) ????";#N/A,#N/A,FALSE,"6? ????";#N/A,#N/A,FALSE,"6? ??(?)";#N/A,#N/A,FALSE,"6? ??(?)";#N/A,#N/A,FALSE,"6-1? ????";#N/A,#N/A,FALSE,"6-3? ??";#N/A,#N/A,FALSE,"6-3(3)? ??";#N/A,#N/A,FALSE,"6-3(4)? ??";#N/A,#N/A,FALSE,"6-4? ??(?)";#N/A,#N/A,FALSE,"6-4? ??(?)";#N/A,#N/A,FALSE,"6-5? ??(?)";#N/A,#N/A,FALSE,"6-5? ??(?)";#N/A,#N/A,FALSE,"6-6?(??) ?????";#N/A,#N/A,FALSE,"6-11? ?????";#N/A,#N/A,FALSE,"6-12? ????";#N/A,#N/A,FALSE,"9? ???(?)";#N/A,#N/A,FALSE,"9? ???(?)";#N/A,#N/A,FALSE,"10(3)? ????";#N/A,#N/A,FALSE,"10(3)? ??";#N/A,#N/A,FALSE,"10(4)? ????";#N/A,#N/A,FALSE,"?? BS";#N/A,#N/A,FALSE,"?? PL";#N/A,#N/A,FALSE,"??RE"}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trick." hidden="1">{#N/A,#N/A,FALSE,"UK CONSOL GB£";#N/A,#N/A,FALSE,"Summary UK";#N/A,#N/A,FALSE,"SSG Div";#N/A,#N/A,FALSE,"Nine West Div";#N/A,#N/A,FALSE,"PaT Div";#N/A,#N/A,FALSE,"SSG Outlet Summary"}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hidden="1">{"Performance Details",#N/A,FALSE,"Current Yr";"Performance Details",#N/A,FALSE,"Budget";"Performance Details",#N/A,FALSE,"Prior Year"}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G." hidden="1">{#N/A,#N/A,TRUE,"PG-HTED";#N/A,#N/A,TRUE,"PG-PVSE";#N/A,#N/A,TRUE,"PG-SBU3";#N/A,#N/A,TRUE,"PG-R&amp;C";#N/A,#N/A,TRUE,"PG-PPED"}</definedName>
    <definedName name="wrn.PGW." hidden="1">{#N/A,#N/A,FALSE,"PGW"}</definedName>
    <definedName name="wrn.PGW._1" hidden="1">{#N/A,#N/A,FALSE,"PGW"}</definedName>
    <definedName name="wrn.PGW._2" hidden="1">{#N/A,#N/A,FALSE,"PGW"}</definedName>
    <definedName name="wrn.PGW._3" hidden="1">{#N/A,#N/A,FALSE,"PGW"}</definedName>
    <definedName name="wrn.PGW._4" hidden="1">{#N/A,#N/A,FALSE,"PGW"}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hidden="1">{"20 Years",#N/A,FALSE,"P&amp;Ls";"2001",#N/A,FALSE,"P&amp;Ls"}</definedName>
    <definedName name="wrn.PL." hidden="1">{"20 Years",#N/A,FALSE,"P&amp;Ls";"2001",#N/A,FALSE,"P&amp;Ls"}</definedName>
    <definedName name="wrn.PLFORECAST." hidden="1">{"CY",#N/A,FALSE,"FORECAST";"PAYROLL",#N/A,FALSE,"FORECAST";"REC",#N/A,FALSE,"FORECAST";"SALES",#N/A,FALSE,"FORECAST"}</definedName>
    <definedName name="wrn.PLSCHA4." hidden="1">{"A4PLSCH",#N/A,FALSE,"sch pl"}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p97schedules." hidden="1">{"plansummary",#N/A,FALSE,"PlanSummary";"sales",#N/A,FALSE,"Sales Rec";"productivity",#N/A,FALSE,"Productivity Rec";"capitalspending",#N/A,FALSE,"Capital Spending"}</definedName>
    <definedName name="wrn.ppp" hidden="1">{#N/A,#N/A,FALSE,"1";#N/A,#N/A,FALSE,"2";#N/A,#N/A,FALSE,"16 - 17";#N/A,#N/A,FALSE,"18 - 19";#N/A,#N/A,FALSE,"26";#N/A,#N/A,FALSE,"27";#N/A,#N/A,FALSE,"28"}</definedName>
    <definedName name="wrn.pqr" hidden="1">{#N/A,#N/A,FALSE,"Sheet7"}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i." hidden="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wrn.Price_Effect." hidden="1">{"Comp_of_Price_Effect",#N/A,FALSE,"QTRDPVAR"}</definedName>
    <definedName name="wrn.prin2._.all." hidden="1">{#N/A,#N/A,FALSE,"Pharm";#N/A,#N/A,FALSE,"WWCM"}</definedName>
    <definedName name="wrn.prin3" hidden="1">{#N/A,#N/A,FALSE,"Pharm";#N/A,#N/A,FALSE,"WWCM"}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3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3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1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_3" hidden="1">{"vi1",#N/A,FALSE,"Financial Statements";"vi2",#N/A,FALSE,"Financial Statements";#N/A,#N/A,FALSE,"DCF"}</definedName>
    <definedName name="wrn.Print._4" hidden="1">{"vi1",#N/A,FALSE,"Financial Statements";"vi2",#N/A,FALSE,"Financial Statements";#N/A,#N/A,FALSE,"DCF"}</definedName>
    <definedName name="wrn.Print._5" hidden="1">{"vi1",#N/A,FALSE,"Financial Statements";"vi2",#N/A,FALSE,"Financial Statements";#N/A,#N/A,FALSE,"DCF"}</definedName>
    <definedName name="wrn.print._all1." hidden="1">{#N/A,#N/A,FALSE,"Pharm";#N/A,#N/A,FALSE,"WWCM"}</definedName>
    <definedName name="wrn.print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Index." hidden="1">{"Index",#N/A,FALSE,"Index"}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" hidden="1">{#N/A,#N/A,FALSE,"Pharm";#N/A,#N/A,FALSE,"WWCM"}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ll.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REP." hidden="1">{"PRINTREP",#N/A,FALSE,"Sheet1"}</definedName>
    <definedName name="wrn.PRINTREP._1" hidden="1">{"PRINTREP",#N/A,FALSE,"Sheet1"}</definedName>
    <definedName name="wrn.Printsmalls." hidden="1">{"Printsmall",#N/A,FALSE,"Balance Sheet"}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kt." hidden="1">{#N/A,#N/A,FALSE,"Zeitaufnahmen"}</definedName>
    <definedName name="wrn.Profile." hidden="1">{"Profile",#N/A,FALSE,"BXS"}</definedName>
    <definedName name="wrn.profit._.and._.loss." hidden="1">{"p&amp;l",#N/A,FALSE,"BPLN5YR3"}</definedName>
    <definedName name="wrn.PROFIT._.LOSS._.AC." hidden="1">{"PROFIT LOSS AC",#N/A,FALSE,"P&amp;L FY97"}</definedName>
    <definedName name="wrn.Profitability." hidden="1">{#N/A,"Good",TRUE,"Sheet1";#N/A,"Normal",TRUE,"Sheet1";#N/A,"Bad",TRUE,"Sheet1"}</definedName>
    <definedName name="wrn.Profitability._1" hidden="1">{#N/A,"Good",TRUE,"Sheet1";#N/A,"Normal",TRUE,"Sheet1";#N/A,"Bad",TRUE,"Sheet1"}</definedName>
    <definedName name="wrn.Profitability._2" hidden="1">{#N/A,"Good",TRUE,"Sheet1";#N/A,"Normal",TRUE,"Sheet1";#N/A,"Bad",TRUE,"Sheet1"}</definedName>
    <definedName name="wrn.Profitability._3" hidden="1">{#N/A,"Good",TRUE,"Sheet1";#N/A,"Normal",TRUE,"Sheet1";#N/A,"Bad",TRUE,"Sheet1"}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ject._.Summary." hidden="1">{"Summary",#N/A,FALSE,"MICMULT";"Income Statement",#N/A,FALSE,"MICMULT";"Cash Flows",#N/A,FALSE,"MICMULT"}</definedName>
    <definedName name="wrn.Projected._.Statements." hidden="1">{#N/A,#N/A,FALSE,"Proj P&amp;L";#N/A,#N/A,FALSE,"WorkCap";#N/A,#N/A,FALSE,"Proj BS";#N/A,#N/A,FALSE,"CashRec"}</definedName>
    <definedName name="wrn.pror" hidden="1">{#N/A,#N/A,FALSE,"Pharm";#N/A,#N/A,FALSE,"WWCM"}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rchase._.register." hidden="1">{#N/A,#N/A,TRUE,"RM-June"}</definedName>
    <definedName name="wrn.PV." hidden="1">{#N/A,#N/A,TRUE,"PV-HTED";#N/A,#N/A,TRUE,"PV-PVSE";#N/A,#N/A,TRUE,"PV-R&amp;C";#N/A,#N/A,TRUE,"PV-PPED"}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uality._.KPIs." hidden="1">{#N/A,#N/A,TRUE,"Quality KPIs"}</definedName>
    <definedName name="wrn.quarterly." hidden="1">{"Calenquart",#N/A,FALSE,"Remedy-model";"fiscquarter",#N/A,FALSE,"Remedy-model"}</definedName>
    <definedName name="wrn.Quarterly._.Income._.Statement." hidden="1">{#N/A,#N/A,FALSE,"earnings"}</definedName>
    <definedName name="wrn.Quarterly._.revenue._.model." hidden="1">{#N/A,#N/A,FALSE,"earnings"}</definedName>
    <definedName name="wrn.Range._.Values." hidden="1">{"page1",#N/A,FALSE,"Range Value - Incl Reclasses";"page2",#N/A,FALSE,"Range Value - Incl Reclasses";"page3",#N/A,FALSE,"Range Value - Incl Reclasses"}</definedName>
    <definedName name="wrn.RCC.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ader." hidden="1">{"Reader",#N/A,FALSE,"Summary";"Reader",#N/A,FALSE,"Buildup";"Reader",#N/A,FALSE,"Financials";"Reader",#N/A,FALSE,"Debt &amp; Other"}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P._.AUDIT._.MWOS._.4.5.98." hidden="1">{"AUDIT-MWOS WITH POS 7.11.98",#N/A,FALSE,"AUDIT-MWOS"}</definedName>
    <definedName name="wrn.REP1." hidden="1">{"REP1",#N/A,FALSE,"HSSA-LOG"}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._.1." hidden="1">{"All Years",#N/A,FALSE,"All Years";"1998",#N/A,FALSE,"1998 Roney";"1999",#N/A,FALSE,"1999 Roney";"Q3 99",#N/A,FALSE,"YTDQ3-1999 Roney";"Q4 99",#N/A,FALSE,"Q4 1999 Forecast";"2000",#N/A,FALSE,"2000 Roney"}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7.11.98." hidden="1">{#N/A,#N/A,FALSE,"AUDIT-MWOS"}</definedName>
    <definedName name="wrn.Report._.Card.">#REF!</definedName>
    <definedName name="wrn.Report_PR_1." hidden="1">{"PR1","pr1",TRUE,"Sch PR-1"}</definedName>
    <definedName name="wrn.report1" hidden="1">{#N/A,#N/A,FALSE,"COVER.XLS";#N/A,#N/A,FALSE,"RACT1.XLS";#N/A,#N/A,FALSE,"RACT2.XLS";#N/A,#N/A,FALSE,"ECCMP";#N/A,#N/A,FALSE,"WELDER.XLS"}</definedName>
    <definedName name="wrn.Report1." hidden="1">{#N/A,#N/A,FALSE,"IS";#N/A,#N/A,FALSE,"BS";#N/A,#N/A,FALSE,"CF";#N/A,#N/A,FALSE,"CE";#N/A,#N/A,FALSE,"Depr";#N/A,#N/A,FALSE,"APAL"}</definedName>
    <definedName name="wrn.Report1._1" hidden="1">{#N/A,#N/A,FALSE,"IS";#N/A,#N/A,FALSE,"BS";#N/A,#N/A,FALSE,"CF";#N/A,#N/A,FALSE,"CE";#N/A,#N/A,FALSE,"Depr";#N/A,#N/A,FALSE,"APAL"}</definedName>
    <definedName name="wrn.ReportCard.">#REF!</definedName>
    <definedName name="wrn.Reports." hidden="1">{"Print1",#N/A,TRUE,"Projected Balance Sheets";"Print2",#N/A,TRUE,"Projected Income Statements";"Print3",#N/A,TRUE,"Projected Cash Flow Statements";"Print4",#N/A,TRUE,"Projected Revenue Detail"}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MEN." hidden="1">{#N/A,#N/A,FALSE,"Carat";"VENTA",#N/A,FALSE,"05";#N/A,#N/A,FALSE,"06";"CASHFLOW",#N/A,FALSE,"05";"TAX PLAN",#N/A,FALSE,"05"}</definedName>
    <definedName name="wrn.Retail." hidden="1">{"pl",#N/A,FALSE,"Retail";"cf",#N/A,FALSE,"Retail";"pi",#N/A,FALSE,"Retail";"top10",#N/A,FALSE,"Retail";"compcon",#N/A,FALSE,"Retail"}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OCE._.breakup._.Summary." hidden="1">{"ROCE Summ",#N/A,FALSE,"Property Management Exps"}</definedName>
    <definedName name="wrn.ROUGH." hidden="1">{#N/A,#N/A,FALSE,"ROA";#N/A,#N/A,FALSE,"ROI";#N/A,#N/A,FALSE,"EBIT";#N/A,#N/A,FALSE,"MULT X"}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tCard.">#REF!</definedName>
    <definedName name="wrn.rptexhibits." hidden="1">{#N/A,#N/A,FALSE,"BS";#N/A,#N/A,FALSE,"IS";#N/A,#N/A,FALSE,"RMA ";#N/A,#N/A,FALSE,"ADJ IS";#N/A,#N/A,FALSE,"DCF"}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A94TAX." hidden="1">{#N/A,#N/A,TRUE,"??";#N/A,#N/A,TRUE,"???";#N/A,#N/A,TRUE,"1? ????";#N/A,#N/A,TRUE,"2? ??";#N/A,#N/A,TRUE,"3(1) ?3 ????";#N/A,#N/A,TRUE,"??????";#N/A,#N/A,TRUE,"?8? ????";#N/A,#N/A,TRUE,"3(1)?7 ????";#N/A,#N/A,TRUE,"3(3)?(?) ????";#N/A,#N/A,TRUE,"6? ????";#N/A,#N/A,TRUE,"6? ??(?)";#N/A,#N/A,TRUE,"6? ??(?)";#N/A,#N/A,TRUE,"6-1? ????";#N/A,#N/A,TRUE,"6-2(4)?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?????";#N/A,#N/A,TRUE,"6-10? ????";#N/A,#N/A,TRUE,"6-11? ?????";#N/A,#N/A,TRUE,"6-12? ????";#N/A,#N/A,TRUE,"6-13? ???";#N/A,#N/A,TRUE,"6-14? ?????";#N/A,#N/A,TRUE,"8? ?????";#N/A,#N/A,TRUE,"9? ???(?)";#N/A,#N/A,TRUE,"9? ???(?)";#N/A,#N/A,TRUE,"10(3)? ????";#N/A,#N/A,TRUE,"10(3)? ??";#N/A,#N/A,TRUE,"10(4)? ????";#N/A,#N/A,TRUE,"14(1)? ? ??";#N/A,#N/A,TRUE,"?? BS";#N/A,#N/A,TRUE,"?? PL";#N/A,#N/A,TRUE,"????";#N/A,#N/A,TRUE,"??RE"}</definedName>
    <definedName name="wrn.saasimple." hidden="1">{#N/A,#N/A,FALSE,"1? ????";#N/A,#N/A,FALSE,"2? ??";#N/A,#N/A,FALSE,"3(1)?7 ????";#N/A,#N/A,FALSE,"6? ????";#N/A,#N/A,FALSE,"6? ??(?)";#N/A,#N/A,FALSE,"6? ??(?)";#N/A,#N/A,FALSE,"6-1? ????";#N/A,#N/A,FALSE,"6-3(4)? ??";#N/A,#N/A,FALSE,"6-3? ??";#N/A,#N/A,FALSE,"6-3(3)? ??";#N/A,#N/A,FALSE,"6-3(4)? ??";#N/A,#N/A,FALSE,"6-4? ??(?)";#N/A,#N/A,FALSE,"6-4? ??(?)";#N/A,#N/A,FALSE,"6-5? ??(?)";#N/A,#N/A,FALSE,"6-5? ??(?)";#N/A,#N/A,FALSE,"6-11? ?????";#N/A,#N/A,FALSE,"6-13? ???";#N/A,#N/A,FALSE,"8? ?????";#N/A,#N/A,FALSE,"9? ???(?)";#N/A,#N/A,FALSE,"9? ???(?)";#N/A,#N/A,FALSE,"10(3)? ????";#N/A,#N/A,FALSE,"10(3)? ??";#N/A,#N/A,FALSE,"?? PL";#N/A,#N/A,FALSE,"10(4)? ????";#N/A,#N/A,FALSE,"14(1)? ? ??"}</definedName>
    <definedName name="wrn.sales." hidden="1">{"sales",#N/A,FALSE,"Sales";"sales existing",#N/A,FALSE,"Sales";"sales rd1",#N/A,FALSE,"Sales";"sales rd2",#N/A,FALSE,"Sales"}</definedName>
    <definedName name="wrn.sales._1" hidden="1">{"sales",#N/A,FALSE,"Sales";"sales existing",#N/A,FALSE,"Sales";"sales rd1",#N/A,FALSE,"Sales";"sales rd2",#N/A,FALSE,"Sales"}</definedName>
    <definedName name="wrn.sap.">#REF!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hidden="1">{#N/A,#N/A,FALSE,"SCHEDULE"}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" hidden="1">{#N/A,#N/A,TRUE,"Additions to Fixed Assets";#N/A,#N/A,TRUE,"Capital WIP"}</definedName>
    <definedName name="wrn.SCHEDULES." hidden="1">{#N/A,#N/A,TRUE,"Additions to Fixed Assets";#N/A,#N/A,TRUE,"Capital WIP"}</definedName>
    <definedName name="wrn.Short." hidden="1">{"Revenue",#N/A,FALSE,"Revenue"}</definedName>
    <definedName name="wrn.Short._.Reports." hidden="1">{#N/A,#N/A,FALSE,"UK Consol Short";#N/A,#N/A,FALSE,"Summary UK - Short"}</definedName>
    <definedName name="wrn.SL." hidden="1">{#N/A,#N/A,FALSE,"TB"}</definedName>
    <definedName name="wrn.SLUS." hidden="1">{#N/A,#N/A,FALSE,"TB"}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PEC._.GAS._.CYLS." hidden="1">{"SPEC GAS CYLS",#N/A,FALSE,"SPEC GAS"}</definedName>
    <definedName name="wrn.Staff._.cost1998." hidden="1">{#N/A,#N/A,TRUE,"Staffnos &amp; cost"}</definedName>
    <definedName name="wrn.Staffcost." hidden="1">{#N/A,#N/A,FALSE,"Staffnos &amp; cost"}</definedName>
    <definedName name="wrn.STAMPA_BD." hidden="1">{#N/A,#N/A,FALSE,"TOTAL";#N/A,#N/A,FALSE,"FND";#N/A,#N/A,FALSE,"FSD";#N/A,#N/A,FALSE,"OND";#N/A,#N/A,FALSE,"WTD";#N/A,#N/A,FALSE,"MND";#N/A,#N/A,FALSE,"MSD";#N/A,#N/A,FALSE,"MPD";#N/A,#N/A,FALSE,"ISD";#N/A,#N/A,FALSE,"ESD";#N/A,#N/A,FALSE,"OTH";#N/A,#N/A,FALSE,"PSD";#N/A,#N/A,FALSE,"ELIM";#N/A,#N/A,FALSE,"CHART_YTD";#N/A,#N/A,FALSE,"CHART_MONTH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f." hidden="1">{#N/A,#N/A,FALSE,"UK CONSOL GB£";#N/A,#N/A,FALSE,"UK Consol Short";#N/A,#N/A,FALSE,"Summary UK";#N/A,#N/A,FALSE,"Summary UK - Short"}</definedName>
    <definedName name="wrn.stef._.budget." hidden="1">{#N/A,#N/A,FALSE,"CONC TOT";#N/A,#N/A,FALSE,"ALLDERS";#N/A,#N/A,FALSE,"BEATTIES";#N/A,#N/A,FALSE,"BENTALLS";#N/A,#N/A,FALSE,"BT";#N/A,#N/A,FALSE,"DEBENHAMS";#N/A,#N/A,FALSE,"DE GRUCHY";#N/A,#N/A,FALSE,"DENNERS";#N/A,#N/A,FALSE,"FENWICK";#N/A,#N/A,FALSE,"HoF";#N/A,#N/A,FALSE,"JARROLD";#N/A,#N/A,FALSE,"McEWANS";#N/A,#N/A,FALSE,"SELFRIDGES";#N/A,#N/A,FALSE,"BURTONS";#N/A,#N/A,FALSE,"NEW HOF";#N/A,#N/A,FALSE,"NEW DEB";#N/A,#N/A,FALSE,"DIVISIONAL"}</definedName>
    <definedName name="wrn.Stef._.Budgets." hidden="1">{#N/A,#N/A,FALSE,"TOTAL";#N/A,#N/A,FALSE,"PAT RETAIL";#N/A,#N/A,FALSE,"PAT OUTLETS";#N/A,#N/A,FALSE,"2100 DIV";#N/A,#N/A,FALSE,"2101 SLOANE ST";#N/A,#N/A,FALSE,"2104 19 SMS";#N/A,#N/A,FALSE,"2105 PRINCES SQ";#N/A,#N/A,FALSE,"2106 33G KINGS ";#N/A,#N/A,FALSE,"2107 JAMES ST";#N/A,#N/A,FALSE,"2108 HAMPSTEAD";#N/A,#N/A,FALSE,"2109 HIGH ST K";#N/A,#N/A,FALSE,"2116 NEAL ST";#N/A,#N/A,FALSE,"2117 BRIGHTON";#N/A,#N/A,FALSE,"2122 BRENT X";#N/A,#N/A,FALSE,"2123 LEEDS";#N/A,#N/A,FALSE,"2124 WINDSOR";#N/A,#N/A,FALSE,"2125 BLUEWATER";#N/A,#N/A,FALSE,"2126 RICHMOND";#N/A,#N/A,FALSE,"2128 BIRMINGHAM";#N/A,#N/A,FALSE,"2141 NOTTINGHAM";#N/A,#N/A,FALSE,"2132 HOF GLASGO";#N/A,#N/A,FALSE,"2133 HOF M'TER";#N/A,#N/A,FALSE,"2134 SELFRIDGES";#N/A,#N/A,FALSE,"2135 HOF B'HAM";#N/A,#N/A,FALSE,"2136 HOF M CLTH";#N/A,#N/A,FALSE,"2137 D J CLTH";#N/A,#N/A,FALSE,"2138 HOF G CLTH";#N/A,#N/A,FALSE,"2139 HNICHOLS";#N/A,#N/A,FALSE,"2250 D&amp;J";#N/A,#N/A,FALSE,"2119 SWINDON";#N/A,#N/A,FALSE,"2127 CHESHIRE O";#N/A,#N/A,FALSE,"2140 YORK O"}</definedName>
    <definedName name="wrn.Stef._.Short._.Report." hidden="1">{#N/A,#N/A,FALSE,"UK Consol Short";#N/A,#N/A,FALSE,"UK CONSOL GB£";#N/A,#N/A,FALSE,"Summary UK - Short";#N/A,#N/A,FALSE,"Summary UK"}</definedName>
    <definedName name="wrn.SUBSYJV." hidden="1">{"mnylincome",#N/A,FALSE,"MNYL";"mnylbs",#N/A,FALSE,"MNYL";"mnylcflow1",#N/A,FALSE,"MNYL";"ateevincome",#N/A,FALSE,"Ateev";"ateevbs",#N/A,FALSE,"Ateev";"ateevcflow",#N/A,FALSE,"Ateev";"comsatincome",#N/A,FALSE,"Comsat";"comsatbs",#N/A,FALSE,"Comsat";"comsatcflow",#N/A,FALSE,"Comsat";"avnetincome",#N/A,FALSE,"Avnet";"avnetbs",#N/A,FALSE,"Avnet";"anetcflow",#N/A,FALSE,"Avnet";"hsbincome",#N/A,FALSE,"Healthscribe";"hsbbs",#N/A,FALSE,"Healthscribe";"hsbcflow",#N/A,FALSE,"Healthscribe";"nasiaincome",#N/A,FALSE,"Neeman India";"nasiabs",#N/A,FALSE,"Neeman India";"nasiacflow1",#N/A,FALSE,"Neeman India";"nincincome",#N/A,FALSE,"Neeman USA";"nincbs",#N/A,FALSE,"Neeman USA";"ninccflow",#N/A,FALSE,"Neeman USA";"icicincome",#N/A,FALSE,"ICIC";"icicbs",#N/A,FALSE,"ICIC";"iciccflow",#N/A,FALSE,"ICIC"}</definedName>
    <definedName name="wrn.Sum._.Uk._.and._.Divs." hidden="1">{#N/A,#N/A,FALSE,"Summary UK";#N/A,#N/A,FALSE,"SSG Div";#N/A,#N/A,FALSE,"Nine West Div";#N/A,#N/A,FALSE,"PaT Div"}</definedName>
    <definedName name="wrn.summ1" hidden="1">{#N/A,#N/A,FALSE,"COVER1.XLS ";#N/A,#N/A,FALSE,"RACT1.XLS";#N/A,#N/A,FALSE,"RACT2.XLS";#N/A,#N/A,FALSE,"ECCMP";#N/A,#N/A,FALSE,"WELDER.XLS"}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{#N/A,#N/A,FALSE,"SUMMARY";#N/A,#N/A,FALSE,"SUMMARY"}</definedName>
    <definedName name="wrn.summary._1" hidden="1">{"financials",#N/A,FALSE,"BASIC"}</definedName>
    <definedName name="wrn.summary._2" hidden="1">{"financials",#N/A,FALSE,"BASIC"}</definedName>
    <definedName name="wrn.summary._3" hidden="1">{"financials",#N/A,FALSE,"BASIC"}</definedName>
    <definedName name="wrn.SUMMARY._4" hidden="1">{#N/A,#N/A,FALSE,"SUMMARY";#N/A,#N/A,FALSE,"SUMMARY"}</definedName>
    <definedName name="wrn.SummaryReport." hidden="1">{"Header",#N/A,TRUE,"Summary";"ProjectInfo",#N/A,TRUE,"Total Value"}</definedName>
    <definedName name="wrn.t_cash." hidden="1">{"cash_tes",#N/A,FALSE,"dec95cr.xls"}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n.Target._.Summary." hidden="1">{"SUMMARY",#N/A,FALSE,"Sheet1"}</definedName>
    <definedName name="wrn.TB." hidden="1">{#N/A,#N/A,FALSE,"TB"}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{"test2",#N/A,TRUE,"Prices"}</definedName>
    <definedName name="wrn.test._1" hidden="1">{"test2",#N/A,TRUE,"Prices"}</definedName>
    <definedName name="wrn.TOP._.PORTION." hidden="1">{"TOP PORTION",#N/A,FALSE,"0895"}</definedName>
    <definedName name="wrn.TOP._.PORTION._1" hidden="1">{"TOP PORTION",#N/A,FALSE,"0895"}</definedName>
    <definedName name="wrn.TOP._.PORTION._2" hidden="1">{"TOP PORTION",#N/A,FALSE,"0895"}</definedName>
    <definedName name="wrn.TOP._.PORTION._3" hidden="1">{"TOP PORTION",#N/A,FALSE,"0895"}</definedName>
    <definedName name="wrn.TOP._.PORTION._4" hidden="1">{"TOP PORTION",#N/A,FALSE,"0895"}</definedName>
    <definedName name="wrn.TOP._.PORTION._5" hidden="1">{"TOP PORTION",#N/A,FALSE,"0895"}</definedName>
    <definedName name="wrn.Top._.Ten._.Summary." hidden="1">{#N/A,#N/A,FALSE,"Summary"}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>#REF!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package." hidden="1">{"BORROWING BASE CERTIFICATE",#N/A,TRUE,"BBC";"INVENTORY AND RESERVES",#N/A,TRUE,"INV";"XAGE",#N/A,TRUE,"INEL AR";"INELG AR SUMMARY",#N/A,TRUE,"INEL AR";"misc",#N/A,TRUE,"INEL AR";"VITALE AR",#N/A,TRUE,"INEL AR";"demand loans",#N/A,TRUE,"INEL AR"}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_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_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_3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r." hidden="1">{"Totax",#N/A,FALSE,"Sheet1";#N/A,#N/A,FALSE,"Law Output"}</definedName>
    <definedName name="wrn.Totar._1" hidden="1">{"Totax",#N/A,FALSE,"Sheet1";#N/A,#N/A,FALSE,"Law Output"}</definedName>
    <definedName name="wrn.Totar._2" hidden="1">{"Totax",#N/A,FALSE,"Sheet1";#N/A,#N/A,FALSE,"Law Output"}</definedName>
    <definedName name="wrn.Totar._3" hidden="1">{"Totax",#N/A,FALSE,"Sheet1";#N/A,#N/A,FALSE,"Law Output"}</definedName>
    <definedName name="wrn.Totar._4" hidden="1">{"Totax",#N/A,FALSE,"Sheet1";#N/A,#N/A,FALSE,"Law Output"}</definedName>
    <definedName name="wrn.Totar._5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WNSHIP." hidden="1">{#N/A,#N/A,FALSE,"TOWNSHIP"}</definedName>
    <definedName name="wrn.TOWNSHIP._1" hidden="1">{#N/A,#N/A,FALSE,"TOWNSHIP"}</definedName>
    <definedName name="wrn.TOWNSHIP._2" hidden="1">{#N/A,#N/A,FALSE,"TOWNSHIP"}</definedName>
    <definedName name="wrn.TOWNSHIP._3" hidden="1">{#N/A,#N/A,FALSE,"TOWNSHIP"}</definedName>
    <definedName name="wrn.TOWNSHIP._4" hidden="1">{#N/A,#N/A,FALSE,"TOWNSHIP"}</definedName>
    <definedName name="wrn.TRANSPORT._.COSTS." hidden="1">{"TRANSPORT COSTS",#N/A,FALSE,"C.CENTRE"}</definedName>
    <definedName name="wrn.TRAVELLING." hidden="1">{#N/A,#N/A,FALSE,"Sheet3"}</definedName>
    <definedName name="wrn.TRAVELLING._1" hidden="1">{#N/A,#N/A,FALSE,"Sheet3"}</definedName>
    <definedName name="wrn.Trial._.Balance." hidden="1">{#N/A,#N/A,TRUE,"constb"}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UNIONGAS94TAXRETURN." hidden="1">{#N/A,#N/A,FALSE,"?????";#N/A,#N/A,FALSE,"??????";#N/A,#N/A,FALSE,"??";#N/A,#N/A,FALSE,"???";#N/A,#N/A,FALSE,"1? ????";#N/A,#N/A,FALSE,"1-2? ?????";#N/A,#N/A,FALSE,"2? ??";#N/A,#N/A,FALSE,"2??? ????";#N/A,#N/A,FALSE,"3(1)? ????";#N/A,#N/A,FALSE,"3(1) ?3 ????";#N/A,#N/A,FALSE,"3? ??????";#N/A,#N/A,FALSE,"?8? ????";#N/A,#N/A,FALSE,"3(1)?7 ????";#N/A,#N/A,FALSE,"3(3)?(?) ????";#N/A,#N/A,FALSE,"5? ???";#N/A,#N/A,FALSE,"5?2 ???(?)";#N/A,#N/A,FALSE,"6? ????";#N/A,#N/A,FALSE,"6? ??(?)";#N/A,#N/A,FALSE,"6? ??(?)";#N/A,#N/A,FALSE,"6-1? ????";#N/A,#N/A,FALSE,"6-3? ??";#N/A,#N/A,FALSE,"6-3(4)? ??";#N/A,#N/A,FALSE,"6-4? ??(?)";#N/A,#N/A,FALSE,"6-4? ??(?)";#N/A,#N/A,FALSE,"6-5? ??(?)";#N/A,#N/A,FALSE,"6-6?(??) ?????";#N/A,#N/A,FALSE,"6-7? ????(?)";#N/A,#N/A,FALSE,"6-7? ???(?)";#N/A,#N/A,FALSE,"6-10? ????";#N/A,#N/A,FALSE,"6-11? ?????";#N/A,#N/A,FALSE,"6-12? ????";#N/A,#N/A,FALSE,"6-13? ???";#N/A,#N/A,FALSE,"6-14? ?????";#N/A,#N/A,FALSE,"8? ?????";#N/A,#N/A,FALSE,"9? ???(?)";#N/A,#N/A,FALSE,"9? ???(?)";#N/A,#N/A,FALSE,"10(3)? ????";#N/A,#N/A,FALSE,"10(3)? ??";#N/A,#N/A,FALSE,"10(4)? ????";#N/A,#N/A,FALSE,"14(1)? ? ??";#N/A,#N/A,FALSE,"59? ????";#N/A,#N/A,FALSE,"60? ? ????";#N/A,#N/A,FALSE,"60? ? ????";#N/A,#N/A,FALSE,"?? BS";#N/A,#N/A,FALSE,"?? PL";#N/A,#N/A,FALSE,"????";#N/A,#N/A,FALSE,"??RE"}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S._.Flash._.Report." hidden="1">{#N/A,#N/A,FALSE,"IS GBP";#N/A,#N/A,FALSE,"IS USD";"US Balance Sheet",#N/A,FALSE,"B SHEET";"UK Balance Sheet",#N/A,FALSE,"B SHEET"}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_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_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_3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ALUATION._2" hidden="1">{#N/A,#N/A,FALSE,"Valuation Assumptions";#N/A,#N/A,FALSE,"Summary";#N/A,#N/A,FALSE,"DCF";#N/A,#N/A,FALSE,"Valuation";#N/A,#N/A,FALSE,"WACC";#N/A,#N/A,FALSE,"UBVH";#N/A,#N/A,FALSE,"Free Cash Flow"}</definedName>
    <definedName name="wrn.VALUATION._3" hidden="1">{#N/A,#N/A,FALSE,"Valuation Assumptions";#N/A,#N/A,FALSE,"Summary";#N/A,#N/A,FALSE,"DCF";#N/A,#N/A,FALSE,"Valuation";#N/A,#N/A,FALSE,"WACC";#N/A,#N/A,FALSE,"UBVH";#N/A,#N/A,FALSE,"Free Cash Flow"}</definedName>
    <definedName name="wrn.VALUATION._4" hidden="1">{#N/A,#N/A,FALSE,"Valuation Assumptions";#N/A,#N/A,FALSE,"Summary";#N/A,#N/A,FALSE,"DCF";#N/A,#N/A,FALSE,"Valuation";#N/A,#N/A,FALSE,"WACC";#N/A,#N/A,FALSE,"UBVH";#N/A,#N/A,FALSE,"Free Cash Flow"}</definedName>
    <definedName name="wrn.VALUATION._5" hidden="1">{#N/A,#N/A,FALSE,"Valuation Assumptions";#N/A,#N/A,FALSE,"Summary";#N/A,#N/A,FALSE,"DCF";#N/A,#N/A,FALSE,"Valuation";#N/A,#N/A,FALSE,"WACC";#N/A,#N/A,FALSE,"UBVH";#N/A,#N/A,FALSE,"Free Cash Flow"}</definedName>
    <definedName name="wrn.Variance." hidden="1">{"Act_vs_Budget",#N/A,FALSE,"QTRDPVAR";"Act_vs_Prior_Year",#N/A,FALSE,"QTRDPVAR"}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d." hidden="1">{#N/A,#N/A,TRUE,"BT M200 da 10x20"}</definedName>
    <definedName name="wrn.vermiculite.">#REF!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_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_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_3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ater.">#REF!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EKLY." hidden="1">{#N/A,#N/A,FALSE,"WRSUMMARY";#N/A,#N/A,FALSE,"ANNEX-1";#N/A,#N/A,FALSE,"ANNEX-2";#N/A,#N/A,FALSE,"ANNEX-3";#N/A,#N/A,FALSE,"WORKING"}</definedName>
    <definedName name="wrn.weeks._.1._.to._.52." hidden="1">{"Quarter1",#N/A,FALSE,"Sheet1";"Quarter2",#N/A,FALSE,"Sheet1";"Quarter3",#N/A,FALSE,"Sheet1";"Quarter4",#N/A,FALSE,"Sheet1"}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xrates._1" hidden="1">{#N/A,#N/A,FALSE,"1996";#N/A,#N/A,FALSE,"1995";#N/A,#N/A,FALSE,"1994"}</definedName>
    <definedName name="wrn.YTD." hidden="1">{"YTD",#N/A,FALSE,"SUM"}</definedName>
    <definedName name="wrn.YTD._.PACKAGE." hidden="1">{"YD PACKAGE",#N/A,FALSE,"YTD"}</definedName>
    <definedName name="wrn.YTD._.PRS." hidden="1">{"YD PRS",#N/A,FALSE,"YTD"}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ㄐ." hidden="1">{"O",#N/A,FALSE,"91.04開發申請"}</definedName>
    <definedName name="wrn.간단한세무조정계산서." hidden="1">{#N/A,#N/A,TRUE,"일반적사항";#N/A,#N/A,TRUE,"주요재무자료"}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玩." hidden="1">{"P",#N/A,FALSE,"91.04開發申請"}</definedName>
    <definedName name="wrn.银川起重机总厂评估报告." hidden="1">{#N/A,#N/A,TRUE,"流动资产--预付";"宁夏正大会计师事务所 - 个人视面",#N/A,TRUE,"Sheet1"}</definedName>
    <definedName name="wrn.開發表全部." hidden="1">{"開發表全部",#N/A,TRUE,"土開法"}</definedName>
    <definedName name="wrn1.abc" hidden="1">{#N/A,#N/A,FALSE,"Sheet7"}</definedName>
    <definedName name="wrn1.brief" hidden="1">{#N/A,#N/A,TRUE,"Summary";#N/A,#N/A,TRUE,"Balance Sheet";#N/A,#N/A,TRUE,"P &amp; L";#N/A,#N/A,TRUE,"Fixed Assets";#N/A,#N/A,TRUE,"Cash Flows"}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datapak" hidden="1">{#N/A,#N/A,FALSE,"Status of Projects";#N/A,#N/A,FALSE,"CEA-TEC";#N/A,#N/A,FALSE,"U-Constr.";#N/A,#N/A,FALSE,"summary";#N/A,#N/A,FALSE,"PPP-3 yrs"}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RINT." hidden="1">{"DOWNLOAD",#N/A,FALSE,"GLDownload";"UPLOAD",#N/A,FALSE,"GLUpload"}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2.ALL.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a.prod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R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wer" hidden="1">{#N/A,#N/A,FALSE,"Umsatz 99";#N/A,#N/A,FALSE,"ER 99 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t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twertwt" hidden="1">{"'August 2000'!$A$1:$J$101"}</definedName>
    <definedName name="wv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otr.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otr._1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otr._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{#N/A,#N/A,FALSE,"INPUTS";#N/A,#N/A,FALSE,"PROFORMA BSHEET";#N/A,#N/A,FALSE,"COMBINED";#N/A,#N/A,FALSE,"ACQUIROR";#N/A,#N/A,FALSE,"TARGET 1";#N/A,#N/A,FALSE,"TARGET 2";#N/A,#N/A,FALSE,"HIGH YIELD";#N/A,#N/A,FALSE,"OVERFUND"}</definedName>
    <definedName name="ww_1" hidden="1">{#N/A,#N/A,FALSE,"INPUTS";#N/A,#N/A,FALSE,"PROFORMA BSHEET";#N/A,#N/A,FALSE,"COMBINED";#N/A,#N/A,FALSE,"ACQUIROR";#N/A,#N/A,FALSE,"TARGET 1";#N/A,#N/A,FALSE,"TARGET 2";#N/A,#N/A,FALSE,"HIGH YIELD";#N/A,#N/A,FALSE,"OVERFUND"}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q" hidden="1">{#N/A,#N/A,FALSE,"Aging Summary";#N/A,#N/A,FALSE,"Ratio Analysis";#N/A,#N/A,FALSE,"Test 120 Day Accts";#N/A,#N/A,FALSE,"Tickmarks"}</definedName>
    <definedName name="wwt" hidden="1">{"YD LAPO2",#N/A,FALSE,"YTD"}</definedName>
    <definedName name="www" hidden="1">{"divisions",#N/A,TRUE,"Drivers";"PandL_Ratios",#N/A,TRUE,"P&amp;L"}</definedName>
    <definedName name="www_1" hidden="1">{"divisions",#N/A,TRUE,"Drivers";"PandL_Ratios",#N/A,TRUE,"P&amp;L"}</definedName>
    <definedName name="www_2" hidden="1">{"divisions",#N/A,TRUE,"Drivers";"PandL_Ratios",#N/A,TRUE,"P&amp;L"}</definedName>
    <definedName name="www_3" hidden="1">{"divisions",#N/A,TRUE,"Drivers";"PandL_Ratios",#N/A,TRUE,"P&amp;L"}</definedName>
    <definedName name="www_4" hidden="1">{"divisions",#N/A,TRUE,"Drivers";"PandL_Ratios",#N/A,TRUE,"P&amp;L"}</definedName>
    <definedName name="www_5" hidden="1">{"divisions",#N/A,TRUE,"Drivers";"PandL_Ratios",#N/A,TRUE,"P&amp;L"}</definedName>
    <definedName name="wwww" hidden="1">{"NETCIRC",#N/A,FALSE,"Net CIrc";"NETCIRCMON",#N/A,FALSE,"Net CIrc"}</definedName>
    <definedName name="wwwwww" hidden="1">{#N/A,#N/A,FALSE,"earnings"}</definedName>
    <definedName name="wwwwwwwww" hidden="1">{"YTD",#N/A,FALSE,"SUM"}</definedName>
    <definedName name="wwwwwwwwwww" hidden="1">{"YD PACKAGE",#N/A,FALSE,"YTD"}</definedName>
    <definedName name="wwwwwwwwwwwww" hidden="1">{#N/A,#N/A,FALSE,"Status of Projects";#N/A,#N/A,FALSE,"CEA-TEC";#N/A,#N/A,FALSE,"U-Constr.";#N/A,#N/A,FALSE,"summary";#N/A,#N/A,FALSE,"PPP-3 yrs"}</definedName>
    <definedName name="wwwwwwwwwwwwww" hidden="1">{"detail",#N/A,FALSE,"mfg";"summary",#N/A,FALSE,"mfg"}</definedName>
    <definedName name="wx" hidden="1">{#N/A,#N/A,FALSE,"Pharm";#N/A,#N/A,FALSE,"WWCM"}</definedName>
    <definedName name="x">#REF!</definedName>
    <definedName name="x.what" hidden="1">{#N/A,#N/A,FALSE,"Minors";#N/A,#N/A,FALSE,"96CAPREV"}</definedName>
    <definedName name="x_1" hidden="1">{#N/A,#N/A,FALSE,"FY97";#N/A,#N/A,FALSE,"FY98";#N/A,#N/A,FALSE,"FY99";#N/A,#N/A,FALSE,"FY00";#N/A,#N/A,FALSE,"FY01"}</definedName>
    <definedName name="x_PL_Month">#REF!</definedName>
    <definedName name="X_VAT_Return">#REF!</definedName>
    <definedName name="xa_1" hidden="1">{#N/A,#N/A,FALSE,"Aging Summary";#N/A,#N/A,FALSE,"Ratio Analysis";#N/A,#N/A,FALSE,"Test 120 Day Accts";#N/A,#N/A,FALSE,"Tickmarks"}</definedName>
    <definedName name="xcft" hidden="1">{#N/A,#N/A,FALSE,"PGW"}</definedName>
    <definedName name="xcft_2" hidden="1">{#N/A,#N/A,FALSE,"PGW"}</definedName>
    <definedName name="xcft_3" hidden="1">{#N/A,#N/A,FALSE,"PGW"}</definedName>
    <definedName name="xcft_4" hidden="1">{#N/A,#N/A,FALSE,"PGW"}</definedName>
    <definedName name="xcv" hidden="1">{#N/A,#N/A,FALSE,"Pharm";#N/A,#N/A,FALSE,"WWCM"}</definedName>
    <definedName name="XCVBN" hidden="1">{#N/A,#N/A,FALSE,"Tabl. G1";#N/A,#N/A,FALSE,"Tabl. G2"}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hidden="1">{#N/A,#N/A,FALSE,"SUMMARY";#N/A,#N/A,FALSE,"SUMMARY"}</definedName>
    <definedName name="xcvg_2" hidden="1">{#N/A,#N/A,FALSE,"SUMMARY";#N/A,#N/A,FALSE,"SUMMARY"}</definedName>
    <definedName name="xcvg_3" hidden="1">{#N/A,#N/A,FALSE,"SUMMARY";#N/A,#N/A,FALSE,"SUMMARY"}</definedName>
    <definedName name="xcvg_4" hidden="1">{#N/A,#N/A,FALSE,"SUMMARY";#N/A,#N/A,FALSE,"SUMMARY"}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d_2" hidden="1">{#N/A,#N/A,FALSE,"PMTABB";#N/A,#N/A,FALSE,"PMTABB"}</definedName>
    <definedName name="xd_3" hidden="1">{#N/A,#N/A,FALSE,"PMTABB";#N/A,#N/A,FALSE,"PMTABB"}</definedName>
    <definedName name="xd_4" hidden="1">{#N/A,#N/A,FALSE,"PMTABB";#N/A,#N/A,FALSE,"PMTABB"}</definedName>
    <definedName name="xdft" hidden="1">{#N/A,#N/A,FALSE,"ISBL"}</definedName>
    <definedName name="xdft_2" hidden="1">{#N/A,#N/A,FALSE,"ISBL"}</definedName>
    <definedName name="xdft_3" hidden="1">{#N/A,#N/A,FALSE,"ISBL"}</definedName>
    <definedName name="xdft_4" hidden="1">{#N/A,#N/A,FALSE,"ISBL"}</definedName>
    <definedName name="XDO_?c1000?">#REF!</definedName>
    <definedName name="XDO_?c1000ColHeadLine1?">#REF!</definedName>
    <definedName name="XDO_?c1000ColHeadLine2?">#REF!</definedName>
    <definedName name="XDO_?c1000ColHeadLine3?">#REF!</definedName>
    <definedName name="XDO_?c1001?">#REF!</definedName>
    <definedName name="XDO_?c1001ColHeadLine1?">#REF!</definedName>
    <definedName name="XDO_?c1001ColHeadLine2?">#REF!</definedName>
    <definedName name="XDO_?c1001ColHeadLine3?">#REF!</definedName>
    <definedName name="XDO_?c1002?">#REF!</definedName>
    <definedName name="XDO_?c1002ColHeadLine1?">#REF!</definedName>
    <definedName name="XDO_?c1002ColHeadLine2?">#REF!</definedName>
    <definedName name="XDO_?c1002ColHeadLine3?">#REF!</definedName>
    <definedName name="XDO_?c1003?">#REF!</definedName>
    <definedName name="XDO_?c1003ColHeadLine1?">#REF!</definedName>
    <definedName name="XDO_?c1003ColHeadLine2?">#REF!</definedName>
    <definedName name="XDO_?c1003ColHeadLine3?">#REF!</definedName>
    <definedName name="XDO_?c1004?">#REF!</definedName>
    <definedName name="XDO_?c1004ColHeadLine1?">#REF!</definedName>
    <definedName name="XDO_?c1004ColHeadLine2?">#REF!</definedName>
    <definedName name="XDO_?c1004ColHeadLine3?">#REF!</definedName>
    <definedName name="XDO_?c1005?">#REF!</definedName>
    <definedName name="XDO_?c1005ColHeadLine1?">#REF!</definedName>
    <definedName name="XDO_?c1005ColHeadLine2?">#REF!</definedName>
    <definedName name="XDO_?c1005ColHeadLine3?">#REF!</definedName>
    <definedName name="XDO_?c1006?">#REF!</definedName>
    <definedName name="XDO_?c1006ColHeadLine1?">#REF!</definedName>
    <definedName name="XDO_?c1006ColHeadLine2?">#REF!</definedName>
    <definedName name="XDO_?c1006ColHeadLine3?">#REF!</definedName>
    <definedName name="XDO_?c1007?">#REF!</definedName>
    <definedName name="XDO_?c1007ColHeadLine1?">#REF!</definedName>
    <definedName name="XDO_?c1007ColHeadLine2?">#REF!</definedName>
    <definedName name="XDO_?c1007ColHeadLine3?">#REF!</definedName>
    <definedName name="XDO_?c1008?">#REF!</definedName>
    <definedName name="XDO_?c1008ColHeadLine1?">#REF!</definedName>
    <definedName name="XDO_?c1008ColHeadLine2?">#REF!</definedName>
    <definedName name="XDO_?c1008ColHeadLine3?">#REF!</definedName>
    <definedName name="XDO_?c1009?">#REF!</definedName>
    <definedName name="XDO_?c1009ColHeadLine1?">#REF!</definedName>
    <definedName name="XDO_?c1009ColHeadLine2?">#REF!</definedName>
    <definedName name="XDO_?c1009ColHeadLine3?">#REF!</definedName>
    <definedName name="XDO_?c1010?">#REF!</definedName>
    <definedName name="XDO_?c1010ColHeadLine1?">#REF!</definedName>
    <definedName name="XDO_?c1010ColHeadLine2?">#REF!</definedName>
    <definedName name="XDO_?c1010ColHeadLine3?">#REF!</definedName>
    <definedName name="XDO_?c1011?">#REF!</definedName>
    <definedName name="XDO_?c1011ColHeadLine1?">#REF!</definedName>
    <definedName name="XDO_?c1011ColHeadLine2?">#REF!</definedName>
    <definedName name="XDO_?c1011ColHeadLine3?">#REF!</definedName>
    <definedName name="XDO_?c1012?">#REF!</definedName>
    <definedName name="XDO_?c1012ColHeadLine1?">#REF!</definedName>
    <definedName name="XDO_?c1012ColHeadLine2?">#REF!</definedName>
    <definedName name="XDO_?c1012ColHeadLine3?">#REF!</definedName>
    <definedName name="XDO_?c1013?">#REF!</definedName>
    <definedName name="XDO_?c1013ColHeadLine1?">#REF!</definedName>
    <definedName name="XDO_?c1013ColHeadLine2?">#REF!</definedName>
    <definedName name="XDO_?c1013ColHeadLine3?">#REF!</definedName>
    <definedName name="XDO_?c1014?">#REF!</definedName>
    <definedName name="XDO_?c1014ColHeadLine1?">#REF!</definedName>
    <definedName name="XDO_?c1014ColHeadLine2?">#REF!</definedName>
    <definedName name="XDO_?c1014ColHeadLine3?">#REF!</definedName>
    <definedName name="XDO_?c1015?">#REF!</definedName>
    <definedName name="XDO_?c1015ColHeadLine1?">#REF!</definedName>
    <definedName name="XDO_?c1015ColHeadLine2?">#REF!</definedName>
    <definedName name="XDO_?c1015ColHeadLine3?">#REF!</definedName>
    <definedName name="XDO_?c1016?">#REF!</definedName>
    <definedName name="XDO_?c1016ColHeadLine1?">#REF!</definedName>
    <definedName name="XDO_?c1016ColHeadLine2?">#REF!</definedName>
    <definedName name="XDO_?c1016ColHeadLine3?">#REF!</definedName>
    <definedName name="XDO_?c1017?">#REF!</definedName>
    <definedName name="XDO_?c1017ColHeadLine1?">#REF!</definedName>
    <definedName name="XDO_?c1017ColHeadLine2?">#REF!</definedName>
    <definedName name="XDO_?c1017ColHeadLine3?">#REF!</definedName>
    <definedName name="XDO_?c1018?">#REF!</definedName>
    <definedName name="XDO_?c1018ColHeadLine1?">#REF!</definedName>
    <definedName name="XDO_?c1018ColHeadLine2?">#REF!</definedName>
    <definedName name="XDO_?c1018ColHeadLine3?">#REF!</definedName>
    <definedName name="XDO_?c1019?">#REF!</definedName>
    <definedName name="XDO_?c1019ColHeadLine1?">#REF!</definedName>
    <definedName name="XDO_?c1019ColHeadLine2?">#REF!</definedName>
    <definedName name="XDO_?c1019ColHeadLine3?">#REF!</definedName>
    <definedName name="XDO_?c1020?">#REF!</definedName>
    <definedName name="XDO_?c1020ColHeadLine1?">#REF!</definedName>
    <definedName name="XDO_?c1020ColHeadLine2?">#REF!</definedName>
    <definedName name="XDO_?c1020ColHeadLine3?">#REF!</definedName>
    <definedName name="XDO_?c1021?">#REF!</definedName>
    <definedName name="XDO_?c1021ColHeadLine1?">#REF!</definedName>
    <definedName name="XDO_?c1021ColHeadLine2?">#REF!</definedName>
    <definedName name="XDO_?c1021ColHeadLine3?">#REF!</definedName>
    <definedName name="XDO_?c1022?">#REF!</definedName>
    <definedName name="XDO_?c1022ColHeadLine1?">#REF!</definedName>
    <definedName name="XDO_?c1022ColHeadLine2?">#REF!</definedName>
    <definedName name="XDO_?c1022ColHeadLine3?">#REF!</definedName>
    <definedName name="XDO_?c1023?">#REF!</definedName>
    <definedName name="XDO_?c1023ColHeadLine1?">#REF!</definedName>
    <definedName name="XDO_?c1023ColHeadLine2?">#REF!</definedName>
    <definedName name="XDO_?c1023ColHeadLine3?">#REF!</definedName>
    <definedName name="XDO_?c1024?">#REF!</definedName>
    <definedName name="XDO_?c1024ColHeadLine1?">#REF!</definedName>
    <definedName name="XDO_?c1024ColHeadLine2?">#REF!</definedName>
    <definedName name="XDO_?c1024ColHeadLine3?">#REF!</definedName>
    <definedName name="XDO_?c1025?">#REF!</definedName>
    <definedName name="XDO_?c1025ColHeadLine1?">#REF!</definedName>
    <definedName name="XDO_?c1025ColHeadLine2?">#REF!</definedName>
    <definedName name="XDO_?c1025ColHeadLine3?">#REF!</definedName>
    <definedName name="XDO_?c1026?">#REF!</definedName>
    <definedName name="XDO_?c1026ColHeadLine1?">#REF!</definedName>
    <definedName name="XDO_?c1026ColHeadLine2?">#REF!</definedName>
    <definedName name="XDO_?c1026ColHeadLine3?">#REF!</definedName>
    <definedName name="XDO_?c1027?">#REF!</definedName>
    <definedName name="XDO_?c1027ColHeadLine1?">#REF!</definedName>
    <definedName name="XDO_?c1027ColHeadLine2?">#REF!</definedName>
    <definedName name="XDO_?c1027ColHeadLine3?">#REF!</definedName>
    <definedName name="XDO_?c1028?">#REF!</definedName>
    <definedName name="XDO_?c1028ColHeadLine1?">#REF!</definedName>
    <definedName name="XDO_?c1028ColHeadLine2?">#REF!</definedName>
    <definedName name="XDO_?c1028ColHeadLine3?">#REF!</definedName>
    <definedName name="XDO_?c1029?">#REF!</definedName>
    <definedName name="XDO_?c1029ColHeadLine1?">#REF!</definedName>
    <definedName name="XDO_?c1029ColHeadLine2?">#REF!</definedName>
    <definedName name="XDO_?c1029ColHeadLine3?">#REF!</definedName>
    <definedName name="XDO_?c1030?">#REF!</definedName>
    <definedName name="XDO_?c1030ColHeadLine1?">#REF!</definedName>
    <definedName name="XDO_?c1030ColHeadLine2?">#REF!</definedName>
    <definedName name="XDO_?c1030ColHeadLine3?">#REF!</definedName>
    <definedName name="XDO_?currency?">#REF!</definedName>
    <definedName name="XDO_?date?">#REF!</definedName>
    <definedName name="XDO_?LedgerName?">#REF!</definedName>
    <definedName name="XDO_?page?">#REF!</definedName>
    <definedName name="XDO_?period?">#REF!</definedName>
    <definedName name="XDO_?ReportContext?">#REF!</definedName>
    <definedName name="XDO_?ReportName?">#REF!</definedName>
    <definedName name="XDO_GROUP_?RptLine?">#REF!</definedName>
    <definedName name="xdrt" hidden="1">{#N/A,#N/A,FALSE,"Aging Summary";#N/A,#N/A,FALSE,"Ratio Analysis";#N/A,#N/A,FALSE,"Test 120 Day Accts";#N/A,#N/A,FALSE,"Tickmarks"}</definedName>
    <definedName name="xdrt_2" hidden="1">{#N/A,#N/A,FALSE,"Aging Summary";#N/A,#N/A,FALSE,"Ratio Analysis";#N/A,#N/A,FALSE,"Test 120 Day Accts";#N/A,#N/A,FALSE,"Tickmarks"}</definedName>
    <definedName name="xdrt_3" hidden="1">{#N/A,#N/A,FALSE,"Aging Summary";#N/A,#N/A,FALSE,"Ratio Analysis";#N/A,#N/A,FALSE,"Test 120 Day Accts";#N/A,#N/A,FALSE,"Tickmarks"}</definedName>
    <definedName name="xdrt_4" hidden="1">{#N/A,#N/A,FALSE,"Aging Summary";#N/A,#N/A,FALSE,"Ratio Analysis";#N/A,#N/A,FALSE,"Test 120 Day Accts";#N/A,#N/A,FALSE,"Tickmarks"}</definedName>
    <definedName name="XFD">#REF!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lo.xls" hidden="1">{"mgmt forecast",#N/A,FALSE,"Mgmt Forecast";"dcf table",#N/A,FALSE,"Mgmt Forecast";"sensitivity",#N/A,FALSE,"Mgmt Forecast";"table inputs",#N/A,FALSE,"Mgmt Forecast";"calculations",#N/A,FALSE,"Mgmt Forecast"}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66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#N/A</definedName>
    <definedName name="XRefCopy124" hidden="1">#N/A</definedName>
    <definedName name="XRefCopy12Row" hidden="1">#REF!</definedName>
    <definedName name="XRefCopy13" hidden="1">#REF!</definedName>
    <definedName name="XRefCopy133" hidden="1">#REF!</definedName>
    <definedName name="XRefCopy133Row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1" hidden="1">#REF!</definedName>
    <definedName name="XRefCopy182" hidden="1">#REF!</definedName>
    <definedName name="XRefCopy183" hidden="1">#REF!</definedName>
    <definedName name="XRefCopy186" hidden="1">#REF!</definedName>
    <definedName name="XRefCopy188" hidden="1">#REF!</definedName>
    <definedName name="XRefCopy189" hidden="1">#REF!</definedName>
    <definedName name="XRefCopy18Row" hidden="1">#REF!</definedName>
    <definedName name="XRefCopy19" hidden="1">#REF!</definedName>
    <definedName name="XRefCopy190" hidden="1">#REF!</definedName>
    <definedName name="XRefCopy191" hidden="1">#REF!</definedName>
    <definedName name="XRefCopy192" hidden="1">#REF!</definedName>
    <definedName name="XRefCopy193" hidden="1">#REF!</definedName>
    <definedName name="XRefCopy194" hidden="1">#REF!</definedName>
    <definedName name="XRefCopy195" hidden="1">#REF!</definedName>
    <definedName name="XRefCopy196" hidden="1">#REF!</definedName>
    <definedName name="XRefCopy197" hidden="1">#REF!</definedName>
    <definedName name="XRefCopy198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 hidden="1">#REF!</definedName>
    <definedName name="XRefCopy201" hidden="1">#REF!</definedName>
    <definedName name="XRefCopy202" hidden="1">#REF!</definedName>
    <definedName name="XRefCopy203" hidden="1">#REF!</definedName>
    <definedName name="XRefCopy204" hidden="1">#REF!</definedName>
    <definedName name="XRefCopy205" hidden="1">#REF!</definedName>
    <definedName name="XRefCopy207" hidden="1">#REF!</definedName>
    <definedName name="XRefCopy208" hidden="1">#REF!</definedName>
    <definedName name="XRefCopy209" hidden="1">#REF!</definedName>
    <definedName name="XRefCopy20Row" hidden="1">#REF!</definedName>
    <definedName name="XRefCopy21" hidden="1">#REF!</definedName>
    <definedName name="XRefCopy210" hidden="1">#REF!</definedName>
    <definedName name="XRefCopy211" hidden="1">#REF!</definedName>
    <definedName name="XRefCopy212" hidden="1">#REF!</definedName>
    <definedName name="XRefCopy213" hidden="1">#REF!</definedName>
    <definedName name="XRefCopy214" hidden="1">#REF!</definedName>
    <definedName name="XRefCopy215" hidden="1">#REF!</definedName>
    <definedName name="XRefCopy216" hidden="1">#REF!</definedName>
    <definedName name="XRefCopy217" hidden="1">#REF!</definedName>
    <definedName name="XRefCopy218" hidden="1">#REF!</definedName>
    <definedName name="XRefCopy219" hidden="1">#REF!</definedName>
    <definedName name="XRefCopy21Row" hidden="1">#REF!</definedName>
    <definedName name="XRefCopy22" hidden="1">#REF!</definedName>
    <definedName name="XRefCopy220" hidden="1">#REF!</definedName>
    <definedName name="XRefCopy221" hidden="1">#REF!</definedName>
    <definedName name="XRefCopy222" hidden="1">#REF!</definedName>
    <definedName name="XRefCopy223" hidden="1">#REF!</definedName>
    <definedName name="XRefCopy224" hidden="1">#REF!</definedName>
    <definedName name="XRefCopy225" hidden="1">#REF!</definedName>
    <definedName name="XRefCopy226" hidden="1">#REF!</definedName>
    <definedName name="XRefCopy228" hidden="1">#REF!</definedName>
    <definedName name="XRefCopy22Row" hidden="1">#REF!</definedName>
    <definedName name="XRefCopy23" hidden="1">#N/A</definedName>
    <definedName name="XRefCopy230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#N/A</definedName>
    <definedName name="XRefCopy26Row" hidden="1">#REF!</definedName>
    <definedName name="XRefCopy27" hidden="1">#REF!</definedName>
    <definedName name="XRefCopy27Row" hidden="1">#REF!</definedName>
    <definedName name="XRefCopy28" hidden="1">#N/A</definedName>
    <definedName name="XRefCopy28Row" hidden="1">#N/A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#N/A</definedName>
    <definedName name="XRefCopy34Row" hidden="1">#REF!</definedName>
    <definedName name="XRefCopy35" hidden="1">#N/A</definedName>
    <definedName name="XRefCopy35Row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Row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6" hidden="1">#REF!</definedName>
    <definedName name="XRefCopy47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#N/A</definedName>
    <definedName name="XRefCopy52Row" hidden="1">#REF!</definedName>
    <definedName name="XRefCopy53" hidden="1">#N/A</definedName>
    <definedName name="XRefCopy53Row" hidden="1">#REF!</definedName>
    <definedName name="XRefCopy54" hidden="1">#N/A</definedName>
    <definedName name="XRefCopy54Row" hidden="1">#REF!</definedName>
    <definedName name="XRefCopy55" hidden="1">#N/A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5Row" hidden="1">#REF!</definedName>
    <definedName name="XRefCopy76" hidden="1">#REF!</definedName>
    <definedName name="XRefCopy77" hidden="1">#N/A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122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Row" hidden="1">#REF!</definedName>
    <definedName name="XRefPaste112Row" hidden="1">#REF!</definedName>
    <definedName name="XRefPaste113Row" hidden="1">#REF!</definedName>
    <definedName name="XRefPaste11Row" hidden="1">#REF!</definedName>
    <definedName name="XRefPaste12" hidden="1">#REF!</definedName>
    <definedName name="XRefPaste120Row" hidden="1">#REF!</definedName>
    <definedName name="XRefPaste121Row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#N/A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Row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#N/A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110</definedName>
    <definedName name="xrt" hidden="1">{#N/A,#N/A,FALSE,"OSBL"}</definedName>
    <definedName name="xrt_2" hidden="1">{#N/A,#N/A,FALSE,"OSBL"}</definedName>
    <definedName name="xrt_3" hidden="1">{#N/A,#N/A,FALSE,"OSBL"}</definedName>
    <definedName name="xrt_4" hidden="1">{#N/A,#N/A,FALSE,"OSBL"}</definedName>
    <definedName name="xs" hidden="1">{#N/A,"PURCHM",FALSE,"Business Analysis";#N/A,"SPADD",FALSE,"Business Analysis"}</definedName>
    <definedName name="xsd" hidden="1">{"detail",#N/A,FALSE,"mfg";"summary",#N/A,FALSE,"mfg"}</definedName>
    <definedName name="xt" hidden="1">{#N/A,#N/A,FALSE,"PGW"}</definedName>
    <definedName name="xt_2" hidden="1">{#N/A,#N/A,FALSE,"PGW"}</definedName>
    <definedName name="xt_3" hidden="1">{#N/A,#N/A,FALSE,"PGW"}</definedName>
    <definedName name="xt_4" hidden="1">{#N/A,#N/A,FALSE,"PGW"}</definedName>
    <definedName name="xv" hidden="1">{"Commentary",#N/A,FALSE,"May"}</definedName>
    <definedName name="xx_2" hidden="1">{#N/A,#N/A,FALSE,"PGW"}</definedName>
    <definedName name="xx_3" hidden="1">{#N/A,#N/A,FALSE,"PGW"}</definedName>
    <definedName name="xx_4" hidden="1">{#N/A,#N/A,FALSE,"PGW"}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 hidden="1">{#N/A,#N/A,TRUE,"index";#N/A,#N/A,TRUE,"Summary";#N/A,#N/A,TRUE,"Continuing Business";#N/A,#N/A,TRUE,"Disposals";#N/A,#N/A,TRUE,"Acquisitions";#N/A,#N/A,TRUE,"Actual &amp; Plan Reconciliation"}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_1" hidden="1">{#N/A,#N/A,FALSE,"ACQ_GRAPHS";#N/A,#N/A,FALSE,"T_1 GRAPHS";#N/A,#N/A,FALSE,"T_2 GRAPHS";#N/A,#N/A,FALSE,"COMB_GRAPHS"}</definedName>
    <definedName name="xxx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2" hidden="1">{"oct_res_comm",#N/A,FALSE,"VarToBud"}</definedName>
    <definedName name="xxxxx" hidden="1">{#N/A,#N/A,FALSE,"Calc";#N/A,#N/A,FALSE,"Sensitivity";#N/A,#N/A,FALSE,"LT Earn.Dil.";#N/A,#N/A,FALSE,"Dil. AVP"}</definedName>
    <definedName name="xxxxx_1" hidden="1">{#N/A,#N/A,FALSE,"Calc";#N/A,#N/A,FALSE,"Sensitivity";#N/A,#N/A,FALSE,"LT Earn.Dil.";#N/A,#N/A,FALSE,"Dil. AVP"}</definedName>
    <definedName name="XXXXXXXXXX" hidden="1">#REF!</definedName>
    <definedName name="xxxxxxxxxxxx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xxxxxxxxxxxxxx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xyz" hidden="1">{#N/A,#N/A,TRUE,"index";#N/A,#N/A,TRUE,"Summary";#N/A,#N/A,TRUE,"Continuing Business";#N/A,#N/A,TRUE,"Disposals";#N/A,#N/A,TRUE,"Acquisitions";#N/A,#N/A,TRUE,"Actual &amp; Plan Reconciliation"}</definedName>
    <definedName name="xzxz" hidden="1">{#N/A,"PURCHM",FALSE,"Business Analysis";#N/A,"SPADD",FALSE,"Business Analysis"}</definedName>
    <definedName name="Y1_Vol_Disc_pct_input">#REF!</definedName>
    <definedName name="YAA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YBN" hidden="1">{#N/A,#N/A,FALSE,"Tabl. A1";#N/A,#N/A,FALSE,"Tabl. A1 b";#N/A,#N/A,FALSE,"Tabl. A2";#N/A,#N/A,FALSE,"Tabl. A2-1";#N/A,#N/A,FALSE,"Tabl. A2-2"}</definedName>
    <definedName name="YE_Mults">#REF!,#REF!,#REF!</definedName>
    <definedName name="YE_Mults_save">#REF!</definedName>
    <definedName name="YE_tag">#REF!,#REF!</definedName>
    <definedName name="YE_tag_save">#REF!</definedName>
    <definedName name="yesno">#REF!</definedName>
    <definedName name="yeya" hidden="1">{#N/A,#N/A,FALSE,"PGW"}</definedName>
    <definedName name="yeya_1" hidden="1">{#N/A,#N/A,FALSE,"PGW"}</definedName>
    <definedName name="yeya_2" hidden="1">{#N/A,#N/A,FALSE,"PGW"}</definedName>
    <definedName name="yeya_3" hidden="1">{#N/A,#N/A,FALSE,"PGW"}</definedName>
    <definedName name="yeya_4" hidden="1">{#N/A,#N/A,FALSE,"PGW"}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n" hidden="1">{#N/A,#N/A,FALSE,"Model";#N/A,#N/A,FALSE,"Division"}</definedName>
    <definedName name="yhn_1" hidden="1">{#N/A,#N/A,FALSE,"Model";#N/A,#N/A,FALSE,"Division"}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gesh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s.xls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yt" hidden="1">{#N/A,#N/A,FALSE,"IS";#N/A,#N/A,FALSE,"BS";#N/A,#N/A,FALSE,"CF";#N/A,#N/A,FALSE,"CE";#N/A,#N/A,FALSE,"Depr";#N/A,#N/A,FALSE,"APAL"}</definedName>
    <definedName name="YTD">#REF!</definedName>
    <definedName name="YTD_Mar_17">#REF!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HBVFR" hidden="1">{#N/A,#N/A,FALSE,"Tabl. FB300";#N/A,#N/A,FALSE,"Tabl. FB350";#N/A,#N/A,FALSE,"Tabl. FB400";#N/A,#N/A,FALSE,"Tabl. FB500";#N/A,#N/A,FALSE,"Tabl. FS090"}</definedName>
    <definedName name="ytre" hidden="1">{"overview",#N/A,FALSE,"summary";"net assets",#N/A,FALSE,"summary";"asset turnover",#N/A,FALSE,"summary";"orona",#N/A,FALSE,"summary"}</definedName>
    <definedName name="ytytyt" hidden="1">{"mgmt forecast",#N/A,FALSE,"Mgmt Forecast";"dcf table",#N/A,FALSE,"Mgmt Forecast";"sensitivity",#N/A,FALSE,"Mgmt Forecast";"table inputs",#N/A,FALSE,"Mgmt Forecast";"calculations",#N/A,FALSE,"Mgmt Forecast"}</definedName>
    <definedName name="yu" hidden="1">{#N/A,#N/A,TRUE,"Pivots-Employee";#N/A,"Scenerio2",TRUE,"Assumptions Summary"}</definedName>
    <definedName name="YU87N" hidden="1">{#N/A,#N/A,FALSE,"Tabl. G1";#N/A,#N/A,FALSE,"Tabl. G2"}</definedName>
    <definedName name="YUC" hidden="1">{#N/A,#N/A,FALSE,"Tabl. H1";#N/A,#N/A,FALSE,"Tabl. H2"}</definedName>
    <definedName name="yuh.xls" hidden="1">{"mgmt forecast",#N/A,FALSE,"Mgmt Forecast";"dcf table",#N/A,FALSE,"Mgmt Forecast";"sensitivity",#N/A,FALSE,"Mgmt Forecast";"table inputs",#N/A,FALSE,"Mgmt Forecast";"calculations",#N/A,FALSE,"Mgmt Forecast"}</definedName>
    <definedName name="yui" hidden="1">{"Commentary",#N/A,FALSE,"May"}</definedName>
    <definedName name="yui.xls" hidden="1">{"mgmt forecast",#N/A,FALSE,"Mgmt Forecast";"dcf table",#N/A,FALSE,"Mgmt Forecast";"sensitivity",#N/A,FALSE,"Mgmt Forecast";"table inputs",#N/A,FALSE,"Mgmt Forecast";"calculations",#N/A,FALSE,"Mgmt Forecast"}</definedName>
    <definedName name="yuio" hidden="1">{"oct_res_comm",#N/A,FALSE,"VarToBud"}</definedName>
    <definedName name="yum.xls" hidden="1">{"mgmt forecast",#N/A,FALSE,"Mgmt Forecast";"dcf table",#N/A,FALSE,"Mgmt Forecast";"sensitivity",#N/A,FALSE,"Mgmt Forecast";"table inputs",#N/A,FALSE,"Mgmt Forecast";"calculations",#N/A,FALSE,"Mgmt Forecast"}</definedName>
    <definedName name="yuop" hidden="1">{"OTHER",#N/A,FALSE,"CM"}</definedName>
    <definedName name="yut.xls" hidden="1">{"mgmt forecast",#N/A,FALSE,"Mgmt Forecast";"dcf table",#N/A,FALSE,"Mgmt Forecast";"sensitivity",#N/A,FALSE,"Mgmt Forecast";"table inputs",#N/A,FALSE,"Mgmt Forecast";"calculations",#N/A,FALSE,"Mgmt Forecast"}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{"consolidated",#N/A,FALSE,"Sheet1";"cms",#N/A,FALSE,"Sheet1";"fse",#N/A,FALSE,"Sheet1"}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_1" hidden="1">{"consolidated",#N/A,FALSE,"Sheet1";"cms",#N/A,FALSE,"Sheet1";"fse",#N/A,FALSE,"Sheet1"}</definedName>
    <definedName name="yyy_1" hidden="1">{#N/A,#N/A,FALSE,"PGW"}</definedName>
    <definedName name="yyy_2" hidden="1">{#N/A,#N/A,FALSE,"PGW"}</definedName>
    <definedName name="yyy_3" hidden="1">{#N/A,#N/A,FALSE,"PGW"}</definedName>
    <definedName name="yyy_4" hidden="1">{#N/A,#N/A,FALSE,"PGW"}</definedName>
    <definedName name="z">#REF!</definedName>
    <definedName name="z.l" hidden="1">{#N/A,#N/A,FALSE,"KA CH  (2)"}</definedName>
    <definedName name="z_1" hidden="1">{#N/A,#N/A,FALSE,"One Pager";#N/A,#N/A,FALSE,"Technical"}</definedName>
    <definedName name="z_2" hidden="1">{#N/A,#N/A,FALSE,"One Pager";#N/A,#N/A,FALSE,"Technical"}</definedName>
    <definedName name="Z_26F1B120_222F_11D7_91EB_0050BA7F1DA7_.wvu.FilterData" hidden="1">#REF!</definedName>
    <definedName name="Z_27466CB9_DA57_431B_97C9_80F3D2798D40_.wvu.Cols" hidden="1">#REF!</definedName>
    <definedName name="Z_27466CB9_DA57_431B_97C9_80F3D2798D40_.wvu.PrintArea" hidden="1">#REF!</definedName>
    <definedName name="z_3" hidden="1">{#N/A,#N/A,FALSE,"One Pager";#N/A,#N/A,FALSE,"Technical"}</definedName>
    <definedName name="Z_596DBCC3_D5DA_4DD7_8539_9824EE20BA08_.wvu.FilterData" hidden="1">#REF!</definedName>
    <definedName name="Z_5EC7122A_2F1A_11D9_A08B_000129091764_.wvu.Cols" hidden="1">#REF!</definedName>
    <definedName name="Z_5EC7122A_2F1A_11D9_A08B_000129091764_.wvu.Rows" hidden="1">#REF!,#REF!</definedName>
    <definedName name="Z_66358BD7_CA88_42C4_90BE_77EE0F0899B6_.wvu.Cols" hidden="1">#REF!</definedName>
    <definedName name="Z_66358BD7_CA88_42C4_90BE_77EE0F0899B6_.wvu.PrintArea" hidden="1">#REF!</definedName>
    <definedName name="Z_67EFEDB9_998B_11D7_BAAE_00508D3936C3_.wvu.Cols" hidden="1">#REF!,#REF!,#REF!,#REF!,#REF!,#REF!,#REF!</definedName>
    <definedName name="Z_67EFEDB9_998B_11D7_BAAE_00508D3936C3_.wvu.FilterData" hidden="1">#REF!</definedName>
    <definedName name="Z_67EFEDB9_998B_11D7_BAAE_00508D3936C3_.wvu.PrintArea" hidden="1">#REF!</definedName>
    <definedName name="Z_67EFEDB9_998B_11D7_BAAE_00508D3936C3_.wvu.PrintTitles" hidden="1">#REF!,#REF!</definedName>
    <definedName name="Z_67EFEDB9_998B_11D7_BAAE_00508D3936C3_.wvu.Rows" hidden="1">#REF!,#REF!,#REF!</definedName>
    <definedName name="Z_746852D3_BFD6_47E8_9DA9_56CF052FA174_.wvu.Rows" hidden="1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A0B35E21_CC83_11D6_BADB_00C04FCF8CCB_.wvu.Cols" hidden="1">#REF!</definedName>
    <definedName name="Z_A0B35E21_CC83_11D6_BADB_00C04FCF8CCB_.wvu.PrintArea" hidden="1">#REF!</definedName>
    <definedName name="Z_ACFCE1D4_BFEF_44CA_AB19_84B9CFC2780F_.wvu.FilterData" hidden="1">#REF!</definedName>
    <definedName name="Z_ACFCE1D4_BFEF_44CA_AB19_84B9CFC2780F_.wvu.PrintArea" hidden="1">#REF!</definedName>
    <definedName name="Z_ACFCE1D4_BFEF_44CA_AB19_84B9CFC2780F_.wvu.PrintTitles" hidden="1">#REF!</definedName>
    <definedName name="Z_ACFCE1D4_BFEF_44CA_AB19_84B9CFC2780F_.wvu.Rows" hidden="1">#REF!</definedName>
    <definedName name="Z_DE54EB4E_7288_4CBC_B1F8_54C2468A83E6_.wvu.Cols" hidden="1">#REF!,#REF!</definedName>
    <definedName name="Z_DE54EB4E_7288_4CBC_B1F8_54C2468A83E6_.wvu.PrintArea" hidden="1">#REF!</definedName>
    <definedName name="Z_DE54EB4E_7288_4CBC_B1F8_54C2468A83E6_.wvu.Rows" hidden="1">#REF!,#REF!,#REF!,#REF!</definedName>
    <definedName name="Z_F427A64C_FE10_44C0_967F_4CBEA5B447DC_.wvu.Cols" hidden="1">#REF!,#REF!,#REF!,#REF!,#REF!,#REF!,#REF!,#REF!</definedName>
    <definedName name="za" hidden="1">{#N/A,#N/A,FALSE,"Model";#N/A,#N/A,FALSE,"Division"}</definedName>
    <definedName name="zaCQW" hidden="1">{"turnover",#N/A,FALSE;"profits",#N/A,FALSE;"cash",#N/A,FALSE}</definedName>
    <definedName name="zaCQW_1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sewe" hidden="1">{#N/A,#N/A,FALSE,"FREE"}</definedName>
    <definedName name="zesewe_2" hidden="1">{#N/A,#N/A,FALSE,"FREE"}</definedName>
    <definedName name="zesewe_3" hidden="1">{#N/A,#N/A,FALSE,"FREE"}</definedName>
    <definedName name="zesewe_4" hidden="1">{#N/A,#N/A,FALSE,"FREE"}</definedName>
    <definedName name="zfeth" hidden="1">{#N/A,#N/A,TRUE,"index";#N/A,#N/A,TRUE,"Summary";#N/A,#N/A,TRUE,"Continuing Business";#N/A,#N/A,TRUE,"Disposals";#N/A,#N/A,TRUE,"Acquisitions";#N/A,#N/A,TRUE,"Actual &amp; Plan Reconciliation"}</definedName>
    <definedName name="zhu" hidden="1">{#N/A,#N/A,FALSE,"REPORT"}</definedName>
    <definedName name="zhutr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vc.xls" hidden="1">{"mgmt forecast",#N/A,FALSE,"Mgmt Forecast";"dcf table",#N/A,FALSE,"Mgmt Forecast";"sensitivity",#N/A,FALSE,"Mgmt Forecast";"table inputs",#N/A,FALSE,"Mgmt Forecast";"calculations",#N/A,FALSE,"Mgmt Forecast"}</definedName>
    <definedName name="ZWX" hidden="1">{#N/A,#N/A,FALSE,"Tabl. A1";#N/A,#N/A,FALSE,"Tabl. A1 b";#N/A,#N/A,FALSE,"Tabl. A2";#N/A,#N/A,FALSE,"Tabl. A2-1";#N/A,#N/A,FALSE,"Tabl. A2-2"}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c.xls" hidden="1">{"mgmt forecast",#N/A,FALSE,"Mgmt Forecast";"dcf table",#N/A,FALSE,"Mgmt Forecast";"sensitivity",#N/A,FALSE,"Mgmt Forecast";"table inputs",#N/A,FALSE,"Mgmt Forecast";"calculations",#N/A,FALSE,"Mgmt Forecast"}</definedName>
    <definedName name="zxc.xlx" hidden="1">{"mgmt forecast",#N/A,FALSE,"Mgmt Forecast";"dcf table",#N/A,FALSE,"Mgmt Forecast";"sensitivity",#N/A,FALSE,"Mgmt Forecast";"table inputs",#N/A,FALSE,"Mgmt Forecast";"calculations",#N/A,FALSE,"Mgmt Forecast"}</definedName>
    <definedName name="zxcv" hidden="1">#REF!</definedName>
    <definedName name="zxxxx" hidden="1">{#N/A,#N/A,FALSE,"INPUTS";#N/A,#N/A,FALSE,"PROFORMA BSHEET";#N/A,#N/A,FALSE,"COMBINED";#N/A,#N/A,FALSE,"HIGH YIELD";#N/A,#N/A,FALSE,"COMB_GRAPHS"}</definedName>
    <definedName name="zxzx" hidden="1">{"oct_res_comm",#N/A,FALSE,"VarToBud"}</definedName>
    <definedName name="ZZ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a4pg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PPTAuthorTable17">#REF!</definedName>
    <definedName name="zzPPTAuthorTable18">#REF!</definedName>
    <definedName name="zzPPTAuthorTable19">#REF!</definedName>
    <definedName name="zzPPTAuthorTable20">#REF!</definedName>
    <definedName name="zzPPTAuthorTable28">#REF!</definedName>
    <definedName name="zzPPTAuthorTable31">#REF!</definedName>
    <definedName name="zzPPTAuthorTable41">#REF!</definedName>
    <definedName name="zzPPTAuthorTable46">#REF!</definedName>
    <definedName name="zzPPTAuthorTable48">#REF!</definedName>
    <definedName name="zzPPTAuthorTable49">#REF!</definedName>
    <definedName name="zzz" hidden="1">{#N/A,#N/A,TRUE,"index";#N/A,#N/A,TRUE,"Summary";#N/A,#N/A,TRUE,"Continuing Business";#N/A,#N/A,TRUE,"Disposals";#N/A,#N/A,TRUE,"Acquisitions";#N/A,#N/A,TRUE,"Actual &amp; Plan Reconciliation"}</definedName>
    <definedName name="ZZZ_1" hidden="1">{#N/A,#N/A,FALSE,"PGW"}</definedName>
    <definedName name="ZZZ_2" hidden="1">{#N/A,#N/A,FALSE,"PGW"}</definedName>
    <definedName name="ZZZ_3" hidden="1">{#N/A,#N/A,FALSE,"PGW"}</definedName>
    <definedName name="ZZZ_4" hidden="1">{#N/A,#N/A,FALSE,"PGW"}</definedName>
    <definedName name="zzzzz" hidden="1">{#N/A,#N/A,FALSE,"COVER1.XLS ";#N/A,#N/A,FALSE,"RACT1.XLS";#N/A,#N/A,FALSE,"RACT2.XLS";#N/A,#N/A,FALSE,"ECCMP";#N/A,#N/A,FALSE,"WELDER.XLS"}</definedName>
    <definedName name="zzzzzz" hidden="1">{#N/A,#N/A,FALSE,"COVER.XLS";#N/A,#N/A,FALSE,"RACT1.XLS";#N/A,#N/A,FALSE,"RACT2.XLS";#N/A,#N/A,FALSE,"ECCMP";#N/A,#N/A,FALSE,"WELDER.XLS"}</definedName>
    <definedName name="zzzzzzz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zzzzzzzzzzzz" hidden="1">{#N/A,#N/A,FALSE,"COVER.XLS";#N/A,#N/A,FALSE,"RACT1.XLS";#N/A,#N/A,FALSE,"RACT2.XLS";#N/A,#N/A,FALSE,"ECCMP";#N/A,#N/A,FALSE,"WELDER.XLS"}</definedName>
    <definedName name="zzzzzzzzzzzzzzz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zzzzzzzzzzzzzzzzzzzzzzzzzzzzzzzzzzz" hidden="1">{#N/A,#N/A,FALSE,"Staffnos &amp; cost"}</definedName>
    <definedName name="א" hidden="1">{#N/A,#N/A,FALSE,"מאזן בוחן";"כל_מאזן_בוחן",#N/A,FALSE,"מאזן בוחן"}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נה" hidden="1">{#N/A,#N/A,FALSE,"Aging Summary";#N/A,#N/A,FALSE,"Ratio Analysis";#N/A,#N/A,FALSE,"Test 120 Day Accts";#N/A,#N/A,FALSE,"Tickmarks"}</definedName>
    <definedName name="ויק" hidden="1">{#N/A,#N/A,FALSE,"מאזן בוחן";"כל_מאזן_בוחן",#N/A,FALSE,"מאזן בוחן"}</definedName>
    <definedName name="זכאים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וללל" hidden="1">{#N/A,#N/A,FALSE,"Aging Summary";#N/A,#N/A,FALSE,"Ratio Analysis";#N/A,#N/A,FALSE,"Test 120 Day Accts";#N/A,#N/A,FALSE,"Tickmarks"}</definedName>
    <definedName name="חח" hidden="1">{#N/A,#N/A,FALSE,"מאזן בוחן";"כל_מאזן_בוחן",#N/A,FALSE,"מאזן בוחן"}</definedName>
    <definedName name="חיי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יעלועץ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ל" hidden="1">{#N/A,#N/A,FALSE,"מאזן בוחן";"כל_מאזן_בוחן",#N/A,FALSE,"מאזן בוחן"}</definedName>
    <definedName name="כליעכגע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ל" hidden="1">{#N/A,#N/A,FALSE,"מאזן בוחן";"כל_מאזן_בוחן",#N/A,FALSE,"מאזן בוחן"}</definedName>
    <definedName name="מ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זומן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ג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고" hidden="1">{#N/A,#N/A,FALSE,"REPORT"}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ㄶㅇ노ㅗㄶ호" hidden="1">{#N/A,#N/A,FALSE,"REPORT"}</definedName>
    <definedName name="매출" hidden="1">#REF!</definedName>
    <definedName name="매출toc" hidden="1">#REF!</definedName>
    <definedName name="뭐야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애" hidden="1">{#N/A,#N/A,FALSE,"REPORT"}</definedName>
    <definedName name="ㅂㅁ" hidden="1">{#N/A,"PURCHM",FALSE,"Business Analysis";#N/A,"SPADD",FALSE,"Business Analysis"}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손익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아ㅏㅏ" hidden="1">#REF!</definedName>
    <definedName name="안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유형자산1" hidden="1">{#NULL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율리1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정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가격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ㅓㅗㅓㅗㅓㅗ" hidden="1">#REF!</definedName>
    <definedName name="七神经" hidden="1">{#N/A,#N/A,TRUE,"流动资产--预付";"宁夏正大会计师事务所 - 个人视面",#N/A,TRUE,"Sheet1"}</definedName>
    <definedName name="二" hidden="1">{#N/A,#N/A,TRUE,"流动资产--预付";"宁夏正大会计师事务所 - 个人视面",#N/A,TRUE,"Sheet1"}</definedName>
    <definedName name="八神经" hidden="1">{#N/A,#N/A,TRUE,"流动资产--预付";"宁夏正大会计师事务所 - 个人视面",#N/A,TRUE,"Sheet1"}</definedName>
    <definedName name="六" hidden="1">{#N/A,#N/A,TRUE,"流动资产--预付";"宁夏正大会计师事务所 - 个人视面",#N/A,TRUE,"Sheet1"}</definedName>
    <definedName name="六神经" hidden="1">{#N/A,#N/A,TRUE,"流动资产--预付";"宁夏正大会计师事务所 - 个人视面",#N/A,TRUE,"Sheet1"}</definedName>
    <definedName name="刘波" hidden="1">{#N/A,#N/A,TRUE,"流动资产--预付";"宁夏正大会计师事务所 - 个人视面",#N/A,TRUE,"Sheet1"}</definedName>
    <definedName name="刘玉立" hidden="1">{#N/A,#N/A,TRUE,"流动资产--预付";"宁夏正大会计师事务所 - 个人视面",#N/A,TRUE,"Sheet1"}</definedName>
    <definedName name="固定资产" hidden="1">{#N/A,#N/A,TRUE,"流动资产--预付";"宁夏正大会计师事务所 - 个人视面",#N/A,TRUE,"Sheet1"}</definedName>
    <definedName name="大榮LB" hidden="1">{"O",#N/A,FALSE,"91.04開發申請"}</definedName>
    <definedName name="大狼" hidden="1">{#N/A,#N/A,TRUE,"流动资产--预付";"宁夏正大会计师事务所 - 个人视面",#N/A,TRUE,"Sheet1"}</definedName>
    <definedName name="大郎" hidden="1">{#N/A,#N/A,TRUE,"流动资产--预付";"宁夏正大会计师事务所 - 个人视面",#N/A,TRUE,"Sheet1"}</definedName>
    <definedName name="家P1" hidden="1">{#N/A,#N/A,TRUE,"流动资产--预付";"宁夏正大会计师事务所 - 个人视面",#N/A,TRUE,"Sheet1"}</definedName>
    <definedName name="小狼" hidden="1">{#N/A,#N/A,TRUE,"流动资产--预付";"宁夏正大会计师事务所 - 个人视面",#N/A,TRUE,"Sheet1"}</definedName>
    <definedName name="扬艳" hidden="1">{#N/A,#N/A,TRUE,"流动资产--预付";"宁夏正大会计师事务所 - 个人视面",#N/A,TRUE,"Sheet1"}</definedName>
    <definedName name="洪" hidden="1">{#N/A,#N/A,TRUE,"流动资产--预付";"宁夏正大会计师事务所 - 个人视面",#N/A,TRUE,"Sheet1"}</definedName>
    <definedName name="王" hidden="1">{#N/A,#N/A,TRUE,"流动资产--预付";"宁夏正大会计师事务所 - 个人视面",#N/A,TRUE,"Sheet1"}</definedName>
    <definedName name="王洪义" hidden="1">{#N/A,#N/A,TRUE,"流动资产--预付";"宁夏正大会计师事务所 - 个人视面",#N/A,TRUE,"Sheet1"}</definedName>
    <definedName name="神经" hidden="1">{#N/A,#N/A,TRUE,"流动资产--预付";"宁夏正大会计师事务所 - 个人视面",#N/A,TRUE,"Sheet1"}</definedName>
    <definedName name="\" localSheetId="0" hidden="1">{"detail",#N/A,FALSE,"mfg";"summary",#N/A,FALSE,"mfg"}</definedName>
    <definedName name="_??" localSheetId="0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???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2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8" localSheetId="0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1???" localSheetId="0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2" localSheetId="0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6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______________A11" localSheetId="0" hidden="1">{#N/A,#N/A,FALSE,"Umsatz 99";#N/A,#N/A,FALSE,"ER 99 "}</definedName>
    <definedName name="______________________________c" localSheetId="0" hidden="1">{"Fiesta Facer Page",#N/A,FALSE,"Q_C_S";"Fiesta Main Page",#N/A,FALSE,"V_L";"Fiesta 95BP Struct",#N/A,FALSE,"StructBP";"Fiesta Post 95BP Struct",#N/A,FALSE,"AdjStructBP"}</definedName>
    <definedName name="_____________________________A11" localSheetId="0" hidden="1">{#N/A,#N/A,FALSE,"Umsatz 99";#N/A,#N/A,FALSE,"ER 99 "}</definedName>
    <definedName name="_____________________________c" localSheetId="0" hidden="1">{"Fiesta Facer Page",#N/A,FALSE,"Q_C_S";"Fiesta Main Page",#N/A,FALSE,"V_L";"Fiesta 95BP Struct",#N/A,FALSE,"StructBP";"Fiesta Post 95BP Struct",#N/A,FALSE,"AdjStructBP"}</definedName>
    <definedName name="____________________________A11" localSheetId="0" hidden="1">{#N/A,#N/A,FALSE,"Umsatz 99";#N/A,#N/A,FALSE,"ER 99 "}</definedName>
    <definedName name="____________________________c" localSheetId="0" hidden="1">{"Fiesta Facer Page",#N/A,FALSE,"Q_C_S";"Fiesta Main Page",#N/A,FALSE,"V_L";"Fiesta 95BP Struct",#N/A,FALSE,"StructBP";"Fiesta Post 95BP Struct",#N/A,FALSE,"AdjStructBP"}</definedName>
    <definedName name="__________________________A11" localSheetId="0" hidden="1">{#N/A,#N/A,FALSE,"Umsatz 99";#N/A,#N/A,FALSE,"ER 99 "}</definedName>
    <definedName name="__________________________c" localSheetId="0" hidden="1">{"Fiesta Facer Page",#N/A,FALSE,"Q_C_S";"Fiesta Main Page",#N/A,FALSE,"V_L";"Fiesta 95BP Struct",#N/A,FALSE,"StructBP";"Fiesta Post 95BP Struct",#N/A,FALSE,"AdjStructBP"}</definedName>
    <definedName name="__________________________V2" localSheetId="0" hidden="1">{#N/A,#N/A,FALSE,"Tabl. A1";#N/A,#N/A,FALSE,"Tabl. A1 b";#N/A,#N/A,FALSE,"Tabl. A2";#N/A,#N/A,FALSE,"Tabl. A2-1";#N/A,#N/A,FALSE,"Tabl. A2-2"}</definedName>
    <definedName name="_________________________A11" localSheetId="0" hidden="1">{#N/A,#N/A,FALSE,"Umsatz 99";#N/A,#N/A,FALSE,"ER 99 "}</definedName>
    <definedName name="_________________________c" localSheetId="0" hidden="1">{"Fiesta Facer Page",#N/A,FALSE,"Q_C_S";"Fiesta Main Page",#N/A,FALSE,"V_L";"Fiesta 95BP Struct",#N/A,FALSE,"StructBP";"Fiesta Post 95BP Struct",#N/A,FALSE,"AdjStructBP"}</definedName>
    <definedName name="_______________________A11" localSheetId="0" hidden="1">{#N/A,#N/A,FALSE,"Umsatz 99";#N/A,#N/A,FALSE,"ER 99 "}</definedName>
    <definedName name="_______________________c" localSheetId="0" hidden="1">{"Fiesta Facer Page",#N/A,FALSE,"Q_C_S";"Fiesta Main Page",#N/A,FALSE,"V_L";"Fiesta 95BP Struct",#N/A,FALSE,"StructBP";"Fiesta Post 95BP Struct",#N/A,FALSE,"AdjStructBP"}</definedName>
    <definedName name="_______________________V2" localSheetId="0" hidden="1">{#N/A,#N/A,FALSE,"Tabl. A1";#N/A,#N/A,FALSE,"Tabl. A1 b";#N/A,#N/A,FALSE,"Tabl. A2";#N/A,#N/A,FALSE,"Tabl. A2-1";#N/A,#N/A,FALSE,"Tabl. A2-2"}</definedName>
    <definedName name="______________________br1" localSheetId="0" hidden="1">{"Quarter1",#N/A,FALSE,"Sheet1";"Quarter2",#N/A,FALSE,"Sheet1";"Quarter3",#N/A,FALSE,"Sheet1";"Quarter4",#N/A,FALSE,"Sheet1"}</definedName>
    <definedName name="_____________________A11" localSheetId="0" hidden="1">{#N/A,#N/A,FALSE,"Umsatz 99";#N/A,#N/A,FALSE,"ER 99 "}</definedName>
    <definedName name="___________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br1" localSheetId="0" hidden="1">{"Quarter1",#N/A,FALSE,"Sheet1";"Quarter2",#N/A,FALSE,"Sheet1";"Quarter3",#N/A,FALSE,"Sheet1";"Quarter4",#N/A,FALSE,"Sheet1"}</definedName>
    <definedName name="_____________________c" localSheetId="0" hidden="1">{"Fiesta Facer Page",#N/A,FALSE,"Q_C_S";"Fiesta Main Page",#N/A,FALSE,"V_L";"Fiesta 95BP Struct",#N/A,FALSE,"StructBP";"Fiesta Post 95BP Struct",#N/A,FALSE,"AdjStructBP"}</definedName>
    <definedName name="___________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V2" localSheetId="0" hidden="1">{#N/A,#N/A,FALSE,"Tabl. A1";#N/A,#N/A,FALSE,"Tabl. A1 b";#N/A,#N/A,FALSE,"Tabl. A2";#N/A,#N/A,FALSE,"Tabl. A2-1";#N/A,#N/A,FALSE,"Tabl. A2-2"}</definedName>
    <definedName name="____________________A11" localSheetId="0" hidden="1">{#N/A,#N/A,FALSE,"Umsatz 99";#N/A,#N/A,FALSE,"ER 99 "}</definedName>
    <definedName name="__________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br1" localSheetId="0" hidden="1">{"Quarter1",#N/A,FALSE,"Sheet1";"Quarter2",#N/A,FALSE,"Sheet1";"Quarter3",#N/A,FALSE,"Sheet1";"Quarter4",#N/A,FALSE,"Sheet1"}</definedName>
    <definedName name="____________________c" localSheetId="0" hidden="1">{"Fiesta Facer Page",#N/A,FALSE,"Q_C_S";"Fiesta Main Page",#N/A,FALSE,"V_L";"Fiesta 95BP Struct",#N/A,FALSE,"StructBP";"Fiesta Post 95BP Struct",#N/A,FALSE,"AdjStructBP"}</definedName>
    <definedName name="___________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V2" localSheetId="0" hidden="1">{#N/A,#N/A,FALSE,"Tabl. A1";#N/A,#N/A,FALSE,"Tabl. A1 b";#N/A,#N/A,FALSE,"Tabl. A2";#N/A,#N/A,FALSE,"Tabl. A2-1";#N/A,#N/A,FALSE,"Tabl. A2-2"}</definedName>
    <definedName name="___________________A11" localSheetId="0" hidden="1">{#N/A,#N/A,FALSE,"Umsatz 99";#N/A,#N/A,FALSE,"ER 99 "}</definedName>
    <definedName name="___________________br1" localSheetId="0" hidden="1">{"Quarter1",#N/A,FALSE,"Sheet1";"Quarter2",#N/A,FALSE,"Sheet1";"Quarter3",#N/A,FALSE,"Sheet1";"Quarter4",#N/A,FALSE,"Sheet1"}</definedName>
    <definedName name="___________________c" localSheetId="0" hidden="1">{"Fiesta Facer Page",#N/A,FALSE,"Q_C_S";"Fiesta Main Page",#N/A,FALSE,"V_L";"Fiesta 95BP Struct",#N/A,FALSE,"StructBP";"Fiesta Post 95BP Struct",#N/A,FALSE,"AdjStructBP"}</definedName>
    <definedName name="__________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V2" localSheetId="0" hidden="1">{#N/A,#N/A,FALSE,"Tabl. A1";#N/A,#N/A,FALSE,"Tabl. A1 b";#N/A,#N/A,FALSE,"Tabl. A2";#N/A,#N/A,FALSE,"Tabl. A2-1";#N/A,#N/A,FALSE,"Tabl. A2-2"}</definedName>
    <definedName name="__________________A11" localSheetId="0" hidden="1">{#N/A,#N/A,FALSE,"Umsatz 99";#N/A,#N/A,FALSE,"ER 99 "}</definedName>
    <definedName name="________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br1" localSheetId="0" hidden="1">{"Quarter1",#N/A,FALSE,"Sheet1";"Quarter2",#N/A,FALSE,"Sheet1";"Quarter3",#N/A,FALSE,"Sheet1";"Quarter4",#N/A,FALSE,"Sheet1"}</definedName>
    <definedName name="__________________c" localSheetId="0" hidden="1">{"Fiesta Facer Page",#N/A,FALSE,"Q_C_S";"Fiesta Main Page",#N/A,FALSE,"V_L";"Fiesta 95BP Struct",#N/A,FALSE,"StructBP";"Fiesta Post 95BP Struct",#N/A,FALSE,"AdjStructBP"}</definedName>
    <definedName name="________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V2" localSheetId="0" hidden="1">{#N/A,#N/A,FALSE,"Tabl. A1";#N/A,#N/A,FALSE,"Tabl. A1 b";#N/A,#N/A,FALSE,"Tabl. A2";#N/A,#N/A,FALSE,"Tabl. A2-1";#N/A,#N/A,FALSE,"Tabl. A2-2"}</definedName>
    <definedName name="_________________A11" localSheetId="0" hidden="1">{#N/A,#N/A,FALSE,"Umsatz 99";#N/A,#N/A,FALSE,"ER 99 "}</definedName>
    <definedName name="_______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br1" localSheetId="0" hidden="1">{"Quarter1",#N/A,FALSE,"Sheet1";"Quarter2",#N/A,FALSE,"Sheet1";"Quarter3",#N/A,FALSE,"Sheet1";"Quarter4",#N/A,FALSE,"Sheet1"}</definedName>
    <definedName name="_________________c" localSheetId="0" hidden="1">{#N/A,#N/A,FALSE,"Layout Cash Flow"}</definedName>
    <definedName name="________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y97" localSheetId="0" hidden="1">{#N/A,#N/A,FALSE,"FY97";#N/A,#N/A,FALSE,"FY98";#N/A,#N/A,FALSE,"FY99";#N/A,#N/A,FALSE,"FY00";#N/A,#N/A,FALSE,"FY01"}</definedName>
    <definedName name="_________________r" localSheetId="0" hidden="1">{"consolidated",#N/A,FALSE,"Sheet1";"cms",#N/A,FALSE,"Sheet1";"fse",#N/A,FALSE,"Sheet1"}</definedName>
    <definedName name="_________________V2" localSheetId="0" hidden="1">{#N/A,#N/A,FALSE,"Tabl. A1";#N/A,#N/A,FALSE,"Tabl. A1 b";#N/A,#N/A,FALSE,"Tabl. A2";#N/A,#N/A,FALSE,"Tabl. A2-1";#N/A,#N/A,FALSE,"Tabl. A2-2"}</definedName>
    <definedName name="_________________wrn1" localSheetId="0" hidden="1">{#N/A,#N/A,FALSE,"DCF";#N/A,#N/A,FALSE,"WACC";#N/A,#N/A,FALSE,"Sales_EBIT";#N/A,#N/A,FALSE,"Capex_Depreciation";#N/A,#N/A,FALSE,"WC";#N/A,#N/A,FALSE,"Interest";#N/A,#N/A,FALSE,"Assumptions"}</definedName>
    <definedName name="________________A11" localSheetId="0" hidden="1">{#N/A,#N/A,FALSE,"Umsatz 99";#N/A,#N/A,FALSE,"ER 99 "}</definedName>
    <definedName name="______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br1" localSheetId="0" hidden="1">{"Quarter1",#N/A,FALSE,"Sheet1";"Quarter2",#N/A,FALSE,"Sheet1";"Quarter3",#N/A,FALSE,"Sheet1";"Quarter4",#N/A,FALSE,"Sheet1"}</definedName>
    <definedName name="________________c" localSheetId="0" hidden="1">{"Fiesta Facer Page",#N/A,FALSE,"Q_C_S";"Fiesta Main Page",#N/A,FALSE,"V_L";"Fiesta 95BP Struct",#N/A,FALSE,"StructBP";"Fiesta Post 95BP Struct",#N/A,FALSE,"AdjStructBP"}</definedName>
    <definedName name="_______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V2" localSheetId="0" hidden="1">{#N/A,#N/A,FALSE,"Tabl. A1";#N/A,#N/A,FALSE,"Tabl. A1 b";#N/A,#N/A,FALSE,"Tabl. A2";#N/A,#N/A,FALSE,"Tabl. A2-1";#N/A,#N/A,FALSE,"Tabl. A2-2"}</definedName>
    <definedName name="_______________A11" localSheetId="0" hidden="1">{#N/A,#N/A,FALSE,"Umsatz 99";#N/A,#N/A,FALSE,"ER 99 "}</definedName>
    <definedName name="_____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br1" localSheetId="0" hidden="1">{"Quarter1",#N/A,FALSE,"Sheet1";"Quarter2",#N/A,FALSE,"Sheet1";"Quarter3",#N/A,FALSE,"Sheet1";"Quarter4",#N/A,FALSE,"Sheet1"}</definedName>
    <definedName name="_______________c" localSheetId="0" hidden="1">{"Fiesta Facer Page",#N/A,FALSE,"Q_C_S";"Fiesta Main Page",#N/A,FALSE,"V_L";"Fiesta 95BP Struct",#N/A,FALSE,"StructBP";"Fiesta Post 95BP Struct",#N/A,FALSE,"AdjStructBP"}</definedName>
    <definedName name="______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V2" localSheetId="0" hidden="1">{#N/A,#N/A,FALSE,"Tabl. A1";#N/A,#N/A,FALSE,"Tabl. A1 b";#N/A,#N/A,FALSE,"Tabl. A2";#N/A,#N/A,FALSE,"Tabl. A2-1";#N/A,#N/A,FALSE,"Tabl. A2-2"}</definedName>
    <definedName name="______________A11" localSheetId="0" hidden="1">{#N/A,#N/A,FALSE,"Umsatz 99";#N/A,#N/A,FALSE,"ER 99 "}</definedName>
    <definedName name="____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br1" localSheetId="0" hidden="1">{"Quarter1",#N/A,FALSE,"Sheet1";"Quarter2",#N/A,FALSE,"Sheet1";"Quarter3",#N/A,FALSE,"Sheet1";"Quarter4",#N/A,FALSE,"Sheet1"}</definedName>
    <definedName name="______________c" localSheetId="0" hidden="1">{"Fiesta Facer Page",#N/A,FALSE,"Q_C_S";"Fiesta Main Page",#N/A,FALSE,"V_L";"Fiesta 95BP Struct",#N/A,FALSE,"StructBP";"Fiesta Post 95BP Struct",#N/A,FALSE,"AdjStructBP"}</definedName>
    <definedName name="_____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V2" localSheetId="0" hidden="1">{#N/A,#N/A,FALSE,"Tabl. A1";#N/A,#N/A,FALSE,"Tabl. A1 b";#N/A,#N/A,FALSE,"Tabl. A2";#N/A,#N/A,FALSE,"Tabl. A2-1";#N/A,#N/A,FALSE,"Tabl. A2-2"}</definedName>
    <definedName name="_____________A11" localSheetId="0" hidden="1">{#N/A,#N/A,FALSE,"Umsatz 99";#N/A,#N/A,FALSE,"ER 99 "}</definedName>
    <definedName name="___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br1" localSheetId="0" hidden="1">{"Quarter1",#N/A,FALSE,"Sheet1";"Quarter2",#N/A,FALSE,"Sheet1";"Quarter3",#N/A,FALSE,"Sheet1";"Quarter4",#N/A,FALSE,"Sheet1"}</definedName>
    <definedName name="_____________c" localSheetId="0" hidden="1">{"Fiesta Facer Page",#N/A,FALSE,"Q_C_S";"Fiesta Main Page",#N/A,FALSE,"V_L";"Fiesta 95BP Struct",#N/A,FALSE,"StructBP";"Fiesta Post 95BP Struct",#N/A,FALSE,"AdjStructBP"}</definedName>
    <definedName name="____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V2" localSheetId="0" hidden="1">{#N/A,#N/A,FALSE,"Tabl. A1";#N/A,#N/A,FALSE,"Tabl. A1 b";#N/A,#N/A,FALSE,"Tabl. A2";#N/A,#N/A,FALSE,"Tabl. A2-1";#N/A,#N/A,FALSE,"Tabl. A2-2"}</definedName>
    <definedName name="____________A11" localSheetId="0" hidden="1">{#N/A,#N/A,FALSE,"Umsatz 99";#N/A,#N/A,FALSE,"ER 99 "}</definedName>
    <definedName name="____________abc1" localSheetId="0" hidden="1">{"detail",#N/A,FALSE,"mfg";"summary",#N/A,FALSE,"mfg"}</definedName>
    <definedName name="____________abc2" localSheetId="0" hidden="1">{"detail",#N/A,FALSE,"mfg";"summary",#N/A,FALSE,"mfg"}</definedName>
    <definedName name="__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br1" localSheetId="0" hidden="1">{"Quarter1",#N/A,FALSE,"Sheet1";"Quarter2",#N/A,FALSE,"Sheet1";"Quarter3",#N/A,FALSE,"Sheet1";"Quarter4",#N/A,FALSE,"Sheet1"}</definedName>
    <definedName name="____________c" localSheetId="0" hidden="1">{"Fiesta Facer Page",#N/A,FALSE,"Q_C_S";"Fiesta Main Page",#N/A,FALSE,"V_L";"Fiesta 95BP Struct",#N/A,FALSE,"StructBP";"Fiesta Post 95BP Struct",#N/A,FALSE,"AdjStructBP"}</definedName>
    <definedName name="___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V2" localSheetId="0" hidden="1">{#N/A,#N/A,FALSE,"Tabl. A1";#N/A,#N/A,FALSE,"Tabl. A1 b";#N/A,#N/A,FALSE,"Tabl. A2";#N/A,#N/A,FALSE,"Tabl. A2-1";#N/A,#N/A,FALSE,"Tabl. A2-2"}</definedName>
    <definedName name="____________z12" localSheetId="0" hidden="1">{"pro_view",#N/A,FALSE,"EEFSNAP2";"rep_view",#N/A,FALSE,"EEFSNAP2"}</definedName>
    <definedName name="____________z2" localSheetId="0" hidden="1">{"Sch00",#N/A,FALSE,"1";"Contents",#N/A,FALSE,"1"}</definedName>
    <definedName name="___________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localSheetId="0" hidden="1">{"detail",#N/A,FALSE,"mfg";"summary",#N/A,FALSE,"mfg"}</definedName>
    <definedName name="_____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11" localSheetId="0" hidden="1">{#N/A,#N/A,FALSE,"Umsatz 99";#N/A,#N/A,FALSE,"ER 99 "}</definedName>
    <definedName name="___________aaa1" localSheetId="0" hidden="1">{#N/A,#N/A,FALSE,"Model";#N/A,#N/A,FALSE,"Division"}</definedName>
    <definedName name="___________abc1" localSheetId="0" hidden="1">{"detail",#N/A,FALSE,"mfg";"summary",#N/A,FALSE,"mfg"}</definedName>
    <definedName name="___________abc2" localSheetId="0" hidden="1">{"detail",#N/A,FALSE,"mfg";"summary",#N/A,FALSE,"mfg"}</definedName>
    <definedName name="_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r1" localSheetId="0" hidden="1">{"Quarter1",#N/A,FALSE,"Sheet1";"Quarter2",#N/A,FALSE,"Sheet1";"Quarter3",#N/A,FALSE,"Sheet1";"Quarter4",#N/A,FALSE,"Sheet1"}</definedName>
    <definedName name="___________c" localSheetId="0" hidden="1">{"Fiesta Facer Page",#N/A,FALSE,"Q_C_S";"Fiesta Main Page",#N/A,FALSE,"V_L";"Fiesta 95BP Struct",#N/A,FALSE,"StructBP";"Fiesta Post 95BP Struct",#N/A,FALSE,"AdjStructBP"}</definedName>
    <definedName name="__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inv1" localSheetId="0" hidden="1">{"'CASHFLOW_REVISED'!$B$2:$F$68","'CASHFLOW_REVISED'!$B$2:$F$58"}</definedName>
    <definedName name="___________V2" localSheetId="0" hidden="1">{#N/A,#N/A,FALSE,"Tabl. A1";#N/A,#N/A,FALSE,"Tabl. A1 b";#N/A,#N/A,FALSE,"Tabl. A2";#N/A,#N/A,FALSE,"Tabl. A2-1";#N/A,#N/A,FALSE,"Tabl. A2-2"}</definedName>
    <definedName name="___________z12" localSheetId="0" hidden="1">{"pro_view",#N/A,FALSE,"EEFSNAP2";"rep_view",#N/A,FALSE,"EEFSNAP2"}</definedName>
    <definedName name="___________z2" localSheetId="0" hidden="1">{"Sch00",#N/A,FALSE,"1";"Contents",#N/A,FALSE,"1"}</definedName>
    <definedName name="__________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localSheetId="0" hidden="1">{"detail",#N/A,FALSE,"mfg";"summary",#N/A,FALSE,"mfg"}</definedName>
    <definedName name="____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11" localSheetId="0" hidden="1">{#N/A,#N/A,FALSE,"Umsatz 99";#N/A,#N/A,FALSE,"ER 99 "}</definedName>
    <definedName name="__________abc1" localSheetId="0" hidden="1">{"detail",#N/A,FALSE,"mfg";"summary",#N/A,FALSE,"mfg"}</definedName>
    <definedName name="__________abc2" localSheetId="0" hidden="1">{"detail",#N/A,FALSE,"mfg";"summary",#N/A,FALSE,"mfg"}</definedName>
    <definedName name="_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i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r1" localSheetId="0" hidden="1">{"Quarter1",#N/A,FALSE,"Sheet1";"Quarter2",#N/A,FALSE,"Sheet1";"Quarter3",#N/A,FALSE,"Sheet1";"Quarter4",#N/A,FALSE,"Sheet1"}</definedName>
    <definedName name="__________c" localSheetId="0" hidden="1">{#N/A,#N/A,FALSE,"Layout Cash Flow"}</definedName>
    <definedName name="__________F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y97" localSheetId="0" hidden="1">{#N/A,#N/A,FALSE,"FY97";#N/A,#N/A,FALSE,"FY98";#N/A,#N/A,FALSE,"FY99";#N/A,#N/A,FALSE,"FY00";#N/A,#N/A,FALSE,"FY01"}</definedName>
    <definedName name="__________g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inv1" localSheetId="0" hidden="1">{"'CASHFLOW_REVISED'!$B$2:$F$68","'CASHFLOW_REVISED'!$B$2:$F$58"}</definedName>
    <definedName name="__________JAN05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____MAY05" localSheetId="0" hidden="1">{"bs",#N/A,FALSE,"BS";"pl",#N/A,FALSE,"PL"}</definedName>
    <definedName name="__________r" localSheetId="0" hidden="1">{"consolidated",#N/A,FALSE,"Sheet1";"cms",#N/A,FALSE,"Sheet1";"fse",#N/A,FALSE,"Sheet1"}</definedName>
    <definedName name="__________s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t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V2" localSheetId="0" hidden="1">{#N/A,#N/A,FALSE,"Tabl. A1";#N/A,#N/A,FALSE,"Tabl. A1 b";#N/A,#N/A,FALSE,"Tabl. A2";#N/A,#N/A,FALSE,"Tabl. A2-1";#N/A,#N/A,FALSE,"Tabl. A2-2"}</definedName>
    <definedName name="__________wrn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z12" localSheetId="0" hidden="1">{"pro_view",#N/A,FALSE,"EEFSNAP2";"rep_view",#N/A,FALSE,"EEFSNAP2"}</definedName>
    <definedName name="__________z2" localSheetId="0" hidden="1">{"Sch00",#N/A,FALSE,"1";"Contents",#N/A,FALSE,"1"}</definedName>
    <definedName name="_________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localSheetId="0" hidden="1">{"detail",#N/A,FALSE,"mfg";"summary",#N/A,FALSE,"mfg"}</definedName>
    <definedName name="___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11" localSheetId="0" hidden="1">{#N/A,#N/A,FALSE,"Umsatz 99";#N/A,#N/A,FALSE,"ER 99 "}</definedName>
    <definedName name="_________abc1" localSheetId="0" hidden="1">{"detail",#N/A,FALSE,"mfg";"summary",#N/A,FALSE,"mfg"}</definedName>
    <definedName name="_________abc2" localSheetId="0" hidden="1">{"detail",#N/A,FALSE,"mfg";"summary",#N/A,FALSE,"mfg"}</definedName>
    <definedName name="_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i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r1" localSheetId="0" hidden="1">{"Quarter1",#N/A,FALSE,"Sheet1";"Quarter2",#N/A,FALSE,"Sheet1";"Quarter3",#N/A,FALSE,"Sheet1";"Quarter4",#N/A,FALSE,"Sheet1"}</definedName>
    <definedName name="_________c" localSheetId="0" hidden="1">{#N/A,#N/A,FALSE,"Layout Cash Flow"}</definedName>
    <definedName name="_________eva2" localSheetId="0" hidden="1">{"DCF",#N/A,FALSE,"CF"}</definedName>
    <definedName name="_________eva2_1" localSheetId="0" hidden="1">{"DCF",#N/A,FALSE,"CF"}</definedName>
    <definedName name="_________eva2_2" localSheetId="0" hidden="1">{"DCF",#N/A,FALSE,"CF"}</definedName>
    <definedName name="_________eva2_3" localSheetId="0" hidden="1">{"DCF",#N/A,FALSE,"CF"}</definedName>
    <definedName name="_________eva2_4" localSheetId="0" hidden="1">{"DCF",#N/A,FALSE,"CF"}</definedName>
    <definedName name="_________eva2_5" localSheetId="0" hidden="1">{"DCF",#N/A,FALSE,"CF"}</definedName>
    <definedName name="_________F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y97" localSheetId="0" hidden="1">{#N/A,#N/A,FALSE,"FY97";#N/A,#N/A,FALSE,"FY98";#N/A,#N/A,FALSE,"FY99";#N/A,#N/A,FALSE,"FY00";#N/A,#N/A,FALSE,"FY01"}</definedName>
    <definedName name="_________g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inv1" localSheetId="0" hidden="1">{"'CASHFLOW_REVISED'!$B$2:$F$68","'CASHFLOW_REVISED'!$B$2:$F$58"}</definedName>
    <definedName name="_________JAN05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___MAY05" localSheetId="0" hidden="1">{"bs",#N/A,FALSE,"BS";"pl",#N/A,FALSE,"PL"}</definedName>
    <definedName name="_________P2" localSheetId="0" hidden="1">{#N/A,#N/A,TRUE,"流动资产--预付";"宁夏正大会计师事务所 - 个人视面",#N/A,TRUE,"Sheet1"}</definedName>
    <definedName name="_________P4" localSheetId="0" hidden="1">{#N/A,#N/A,TRUE,"流动资产--预付";"宁夏正大会计师事务所 - 个人视面",#N/A,TRUE,"Sheet1"}</definedName>
    <definedName name="_________P5" localSheetId="0" hidden="1">{#N/A,#N/A,TRUE,"流动资产--预付";"宁夏正大会计师事务所 - 个人视面",#N/A,TRUE,"Sheet1"}</definedName>
    <definedName name="_________r" localSheetId="0" hidden="1">{"consolidated",#N/A,FALSE,"Sheet1";"cms",#N/A,FALSE,"Sheet1";"fse",#N/A,FALSE,"Sheet1"}</definedName>
    <definedName name="_________s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t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V2" localSheetId="0" hidden="1">{#N/A,#N/A,FALSE,"Tabl. A1";#N/A,#N/A,FALSE,"Tabl. A1 b";#N/A,#N/A,FALSE,"Tabl. A2";#N/A,#N/A,FALSE,"Tabl. A2-1";#N/A,#N/A,FALSE,"Tabl. A2-2"}</definedName>
    <definedName name="_________wrn1" localSheetId="0" hidden="1">{#N/A,#N/A,FALSE,"DCF";#N/A,#N/A,FALSE,"WACC";#N/A,#N/A,FALSE,"Sales_EBIT";#N/A,#N/A,FALSE,"Capex_Depreciation";#N/A,#N/A,FALSE,"WC";#N/A,#N/A,FALSE,"Interest";#N/A,#N/A,FALSE,"Assumptions"}</definedName>
    <definedName name="_________z12" localSheetId="0" hidden="1">{"pro_view",#N/A,FALSE,"EEFSNAP2";"rep_view",#N/A,FALSE,"EEFSNAP2"}</definedName>
    <definedName name="_________z2" localSheetId="0" hidden="1">{"Sch00",#N/A,FALSE,"1";"Contents",#N/A,FALSE,"1"}</definedName>
    <definedName name="________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localSheetId="0" hidden="1">{"detail",#N/A,FALSE,"mfg";"summary",#N/A,FALSE,"mfg"}</definedName>
    <definedName name="__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localSheetId="0" hidden="1">{#N/A,#N/A,FALSE,"Umsatz 99";#N/A,#N/A,FALSE,"ER 99 "}</definedName>
    <definedName name="________abc1" localSheetId="0" hidden="1">{"detail",#N/A,FALSE,"mfg";"summary",#N/A,FALSE,"mfg"}</definedName>
    <definedName name="________abc2" localSheetId="0" hidden="1">{"detail",#N/A,FALSE,"mfg";"summary",#N/A,FALSE,"mfg"}</definedName>
    <definedName name="_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i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r1" localSheetId="0" hidden="1">{"Quarter1",#N/A,FALSE,"Sheet1";"Quarter2",#N/A,FALSE,"Sheet1";"Quarter3",#N/A,FALSE,"Sheet1";"Quarter4",#N/A,FALSE,"Sheet1"}</definedName>
    <definedName name="________c" localSheetId="0" hidden="1">{#N/A,#N/A,FALSE,"Layout Cash Flow"}</definedName>
    <definedName name="________eva2" localSheetId="0" hidden="1">{"DCF",#N/A,FALSE,"CF"}</definedName>
    <definedName name="________eva2_1" localSheetId="0" hidden="1">{"DCF",#N/A,FALSE,"CF"}</definedName>
    <definedName name="________eva2_2" localSheetId="0" hidden="1">{"DCF",#N/A,FALSE,"CF"}</definedName>
    <definedName name="________eva2_3" localSheetId="0" hidden="1">{"DCF",#N/A,FALSE,"CF"}</definedName>
    <definedName name="________eva2_4" localSheetId="0" hidden="1">{"DCF",#N/A,FALSE,"CF"}</definedName>
    <definedName name="________eva2_5" localSheetId="0" hidden="1">{"DCF",#N/A,FALSE,"CF"}</definedName>
    <definedName name="________F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y97" localSheetId="0" hidden="1">{#N/A,#N/A,FALSE,"FY97";#N/A,#N/A,FALSE,"FY98";#N/A,#N/A,FALSE,"FY99";#N/A,#N/A,FALSE,"FY00";#N/A,#N/A,FALSE,"FY01"}</definedName>
    <definedName name="________g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P1" localSheetId="0" hidden="1">{#N/A,#N/A,TRUE,"流动资产--预付";"宁夏正大会计师事务所 - 个人视面",#N/A,TRUE,"Sheet1"}</definedName>
    <definedName name="________P2" localSheetId="0" hidden="1">{#N/A,#N/A,TRUE,"流动资产--预付";"宁夏正大会计师事务所 - 个人视面",#N/A,TRUE,"Sheet1"}</definedName>
    <definedName name="________P4" localSheetId="0" hidden="1">{#N/A,#N/A,TRUE,"流动资产--预付";"宁夏正大会计师事务所 - 个人视面",#N/A,TRUE,"Sheet1"}</definedName>
    <definedName name="________P5" localSheetId="0" hidden="1">{#N/A,#N/A,TRUE,"流动资产--预付";"宁夏正大会计师事务所 - 个人视面",#N/A,TRUE,"Sheet1"}</definedName>
    <definedName name="________r" localSheetId="0" hidden="1">{"consolidated",#N/A,FALSE,"Sheet1";"cms",#N/A,FALSE,"Sheet1";"fse",#N/A,FALSE,"Sheet1"}</definedName>
    <definedName name="________s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t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V2" localSheetId="0" hidden="1">{#N/A,#N/A,FALSE,"Tabl. A1";#N/A,#N/A,FALSE,"Tabl. A1 b";#N/A,#N/A,FALSE,"Tabl. A2";#N/A,#N/A,FALSE,"Tabl. A2-1";#N/A,#N/A,FALSE,"Tabl. A2-2"}</definedName>
    <definedName name="________wrn1" localSheetId="0" hidden="1">{#N/A,#N/A,FALSE,"DCF";#N/A,#N/A,FALSE,"WACC";#N/A,#N/A,FALSE,"Sales_EBIT";#N/A,#N/A,FALSE,"Capex_Depreciation";#N/A,#N/A,FALSE,"WC";#N/A,#N/A,FALSE,"Interest";#N/A,#N/A,FALSE,"Assumptions"}</definedName>
    <definedName name="________z12" localSheetId="0" hidden="1">{"pro_view",#N/A,FALSE,"EEFSNAP2";"rep_view",#N/A,FALSE,"EEFSNAP2"}</definedName>
    <definedName name="________z2" localSheetId="0" hidden="1">{"Sch00",#N/A,FALSE,"1";"Contents",#N/A,FALSE,"1"}</definedName>
    <definedName name="_______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localSheetId="0" hidden="1">{"detail",#N/A,FALSE,"mfg";"summary",#N/A,FALSE,"mfg"}</definedName>
    <definedName name="_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1" localSheetId="0" hidden="1">{#N/A,#N/A,FALSE,"Umsatz 99";#N/A,#N/A,FALSE,"ER 99 "}</definedName>
    <definedName name="_______abc1" localSheetId="0" hidden="1">{"detail",#N/A,FALSE,"mfg";"summary",#N/A,FALSE,"mfg"}</definedName>
    <definedName name="_______abc2" localSheetId="0" hidden="1">{"detail",#N/A,FALSE,"mfg";"summary",#N/A,FALSE,"mfg"}</definedName>
    <definedName name="_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i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r1" localSheetId="0" hidden="1">{"Quarter1",#N/A,FALSE,"Sheet1";"Quarter2",#N/A,FALSE,"Sheet1";"Quarter3",#N/A,FALSE,"Sheet1";"Quarter4",#N/A,FALSE,"Sheet1"}</definedName>
    <definedName name="_______c" localSheetId="0" hidden="1">{#N/A,#N/A,FALSE,"Layout Cash Flow"}</definedName>
    <definedName name="_______eva2" localSheetId="0" hidden="1">{"DCF",#N/A,FALSE,"CF"}</definedName>
    <definedName name="_______eva2_1" localSheetId="0" hidden="1">{"DCF",#N/A,FALSE,"CF"}</definedName>
    <definedName name="_______eva2_2" localSheetId="0" hidden="1">{"DCF",#N/A,FALSE,"CF"}</definedName>
    <definedName name="_______eva2_3" localSheetId="0" hidden="1">{"DCF",#N/A,FALSE,"CF"}</definedName>
    <definedName name="_______eva2_4" localSheetId="0" hidden="1">{"DCF",#N/A,FALSE,"CF"}</definedName>
    <definedName name="_______eva2_5" localSheetId="0" hidden="1">{"DCF",#N/A,FALSE,"CF"}</definedName>
    <definedName name="_______F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y97" localSheetId="0" hidden="1">{#N/A,#N/A,FALSE,"FY97";#N/A,#N/A,FALSE,"FY98";#N/A,#N/A,FALSE,"FY99";#N/A,#N/A,FALSE,"FY00";#N/A,#N/A,FALSE,"FY01"}</definedName>
    <definedName name="_______g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inv1" localSheetId="0" hidden="1">{"'CASHFLOW_REVISED'!$B$2:$F$68","'CASHFLOW_REVISED'!$B$2:$F$58"}</definedName>
    <definedName name="_______JAN05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_MAY05" localSheetId="0" hidden="1">{"bs",#N/A,FALSE,"BS";"pl",#N/A,FALSE,"PL"}</definedName>
    <definedName name="_______r" localSheetId="0" hidden="1">{"consolidated",#N/A,FALSE,"Sheet1";"cms",#N/A,FALSE,"Sheet1";"fse",#N/A,FALSE,"Sheet1"}</definedName>
    <definedName name="_______s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t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V2" localSheetId="0" hidden="1">{#N/A,#N/A,FALSE,"Tabl. A1";#N/A,#N/A,FALSE,"Tabl. A1 b";#N/A,#N/A,FALSE,"Tabl. A2";#N/A,#N/A,FALSE,"Tabl. A2-1";#N/A,#N/A,FALSE,"Tabl. A2-2"}</definedName>
    <definedName name="_______wrn1" localSheetId="0" hidden="1">{#N/A,#N/A,FALSE,"DCF";#N/A,#N/A,FALSE,"WACC";#N/A,#N/A,FALSE,"Sales_EBIT";#N/A,#N/A,FALSE,"Capex_Depreciation";#N/A,#N/A,FALSE,"WC";#N/A,#N/A,FALSE,"Interest";#N/A,#N/A,FALSE,"Assumptions"}</definedName>
    <definedName name="_______z12" localSheetId="0" hidden="1">{"pro_view",#N/A,FALSE,"EEFSNAP2";"rep_view",#N/A,FALSE,"EEFSNAP2"}</definedName>
    <definedName name="_______z2" localSheetId="0" hidden="1">{"Sch00",#N/A,FALSE,"1";"Contents",#N/A,FALSE,"1"}</definedName>
    <definedName name="______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localSheetId="0" hidden="1">{"detail",#N/A,FALSE,"mfg";"summary",#N/A,FALSE,"mfg"}</definedName>
    <definedName name="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localSheetId="0" hidden="1">{#N/A,#N/A,FALSE,"Pharm";#N/A,#N/A,FALSE,"WWCM"}</definedName>
    <definedName name="______A11" localSheetId="0" hidden="1">{#N/A,#N/A,FALSE,"Umsatz 99";#N/A,#N/A,FALSE,"ER 99 "}</definedName>
    <definedName name="______aaa1" localSheetId="0" hidden="1">{#N/A,#N/A,FALSE,"REPORT"}</definedName>
    <definedName name="______aas1" localSheetId="0" hidden="1">{#N/A,#N/A,FALSE,"REPORT"}</definedName>
    <definedName name="______ACS2000" localSheetId="0" hidden="1">{#N/A,#N/A,FALSE,"REPORT"}</definedName>
    <definedName name="______b111" localSheetId="0" hidden="1">{#N/A,#N/A,FALSE,"Pharm";#N/A,#N/A,FALSE,"WWCM"}</definedName>
    <definedName name="______b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i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r1" localSheetId="0" hidden="1">{"Quarter1",#N/A,FALSE,"Sheet1";"Quarter2",#N/A,FALSE,"Sheet1";"Quarter3",#N/A,FALSE,"Sheet1";"Quarter4",#N/A,FALSE,"Sheet1"}</definedName>
    <definedName name="______c" localSheetId="0" hidden="1">{#N/A,#N/A,FALSE,"Layout Cash Flow"}</definedName>
    <definedName name="______eva2" localSheetId="0" hidden="1">{"DCF",#N/A,FALSE,"CF"}</definedName>
    <definedName name="______eva2_1" localSheetId="0" hidden="1">{"DCF",#N/A,FALSE,"CF"}</definedName>
    <definedName name="______eva2_2" localSheetId="0" hidden="1">{"DCF",#N/A,FALSE,"CF"}</definedName>
    <definedName name="______eva2_3" localSheetId="0" hidden="1">{"DCF",#N/A,FALSE,"CF"}</definedName>
    <definedName name="______eva2_4" localSheetId="0" hidden="1">{"DCF",#N/A,FALSE,"CF"}</definedName>
    <definedName name="______eva2_5" localSheetId="0" hidden="1">{"DCF",#N/A,FALSE,"CF"}</definedName>
    <definedName name="______F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y97" localSheetId="0" hidden="1">{#N/A,#N/A,FALSE,"FY97";#N/A,#N/A,FALSE,"FY98";#N/A,#N/A,FALSE,"FY99";#N/A,#N/A,FALSE,"FY00";#N/A,#N/A,FALSE,"FY01"}</definedName>
    <definedName name="______g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inv1" localSheetId="0" hidden="1">{"'CASHFLOW_REVISED'!$B$2:$F$68","'CASHFLOW_REVISED'!$B$2:$F$58"}</definedName>
    <definedName name="______JAN05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MAY05" localSheetId="0" hidden="1">{"bs",#N/A,FALSE,"BS";"pl",#N/A,FALSE,"PL"}</definedName>
    <definedName name="______new1" localSheetId="0" hidden="1">{#N/A,#N/A,FALSE,"Pharm";#N/A,#N/A,FALSE,"WWCM"}</definedName>
    <definedName name="______P1" localSheetId="0" hidden="1">{#N/A,#N/A,TRUE,"流动资产--预付";"宁夏正大会计师事务所 - 个人视面",#N/A,TRUE,"Sheet1"}</definedName>
    <definedName name="______P2" localSheetId="0" hidden="1">{#N/A,#N/A,TRUE,"流动资产--预付";"宁夏正大会计师事务所 - 个人视面",#N/A,TRUE,"Sheet1"}</definedName>
    <definedName name="______P4" localSheetId="0" hidden="1">{#N/A,#N/A,TRUE,"流动资产--预付";"宁夏正大会计师事务所 - 个人视面",#N/A,TRUE,"Sheet1"}</definedName>
    <definedName name="______P5" localSheetId="0" hidden="1">{#N/A,#N/A,TRUE,"流动资产--预付";"宁夏正大会计师事务所 - 个人视面",#N/A,TRUE,"Sheet1"}</definedName>
    <definedName name="______r" localSheetId="0" hidden="1">{"consolidated",#N/A,FALSE,"Sheet1";"cms",#N/A,FALSE,"Sheet1";"fse",#N/A,FALSE,"Sheet1"}</definedName>
    <definedName name="______s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tm1" localSheetId="0" hidden="1">{#N/A,#N/A,FALSE,"Pharm";#N/A,#N/A,FALSE,"WWCM"}</definedName>
    <definedName name="______V2" localSheetId="0" hidden="1">{#N/A,#N/A,FALSE,"Tabl. A1";#N/A,#N/A,FALSE,"Tabl. A1 b";#N/A,#N/A,FALSE,"Tabl. A2";#N/A,#N/A,FALSE,"Tabl. A2-1";#N/A,#N/A,FALSE,"Tabl. A2-2"}</definedName>
    <definedName name="______wrn1" localSheetId="0" hidden="1">{#N/A,#N/A,FALSE,"DCF";#N/A,#N/A,FALSE,"WACC";#N/A,#N/A,FALSE,"Sales_EBIT";#N/A,#N/A,FALSE,"Capex_Depreciation";#N/A,#N/A,FALSE,"WC";#N/A,#N/A,FALSE,"Interest";#N/A,#N/A,FALSE,"Assumptions"}</definedName>
    <definedName name="______X2" localSheetId="0" hidden="1">{#N/A,#N/A,FALSE,"Other";#N/A,#N/A,FALSE,"Ace";#N/A,#N/A,FALSE,"Derm"}</definedName>
    <definedName name="______z2" localSheetId="0" hidden="1">{"Sch00",#N/A,FALSE,"1";"Contents",#N/A,FALSE,"1"}</definedName>
    <definedName name="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11" localSheetId="0" hidden="1">{#N/A,#N/A,FALSE,"Umsatz 99";#N/A,#N/A,FALSE,"ER 99 "}</definedName>
    <definedName name="_____A11_1" localSheetId="0" hidden="1">{#N/A,#N/A,FALSE,"Umsatz 99";#N/A,#N/A,FALSE,"ER 99 "}</definedName>
    <definedName name="_____A11_2" localSheetId="0" hidden="1">{#N/A,#N/A,FALSE,"Umsatz 99";#N/A,#N/A,FALSE,"ER 99 "}</definedName>
    <definedName name="_____A11_3" localSheetId="0" hidden="1">{#N/A,#N/A,FALSE,"Umsatz 99";#N/A,#N/A,FALSE,"ER 99 "}</definedName>
    <definedName name="_____aaa1" localSheetId="0" hidden="1">{#N/A,#N/A,FALSE,"Model";#N/A,#N/A,FALSE,"Division"}</definedName>
    <definedName name="_____aaa1_1" localSheetId="0" hidden="1">{#N/A,#N/A,FALSE,"Model";#N/A,#N/A,FALSE,"Division"}</definedName>
    <definedName name="_____abc1" localSheetId="0" hidden="1">{"detail",#N/A,FALSE,"mfg";"summary",#N/A,FALSE,"mfg"}</definedName>
    <definedName name="_____abc2" localSheetId="0" hidden="1">{"detail",#N/A,FALSE,"mfg";"summary",#N/A,FALSE,"mfg"}</definedName>
    <definedName name="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i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r1" localSheetId="0" hidden="1">{"Quarter1",#N/A,FALSE,"Sheet1";"Quarter2",#N/A,FALSE,"Sheet1";"Quarter3",#N/A,FALSE,"Sheet1";"Quarter4",#N/A,FALSE,"Sheet1"}</definedName>
    <definedName name="_____c" localSheetId="0" hidden="1">{#N/A,#N/A,FALSE,"Layout Cash Flow"}</definedName>
    <definedName name="_____c_1" localSheetId="0" hidden="1">{"Fiesta Facer Page",#N/A,FALSE,"Q_C_S";"Fiesta Main Page",#N/A,FALSE,"V_L";"Fiesta 95BP Struct",#N/A,FALSE,"StructBP";"Fiesta Post 95BP Struct",#N/A,FALSE,"AdjStructBP"}</definedName>
    <definedName name="_____c_2" localSheetId="0" hidden="1">{"Fiesta Facer Page",#N/A,FALSE,"Q_C_S";"Fiesta Main Page",#N/A,FALSE,"V_L";"Fiesta 95BP Struct",#N/A,FALSE,"StructBP";"Fiesta Post 95BP Struct",#N/A,FALSE,"AdjStructBP"}</definedName>
    <definedName name="_____c_3" localSheetId="0" hidden="1">{"Fiesta Facer Page",#N/A,FALSE,"Q_C_S";"Fiesta Main Page",#N/A,FALSE,"V_L";"Fiesta 95BP Struct",#N/A,FALSE,"StructBP";"Fiesta Post 95BP Struct",#N/A,FALSE,"AdjStructBP"}</definedName>
    <definedName name="_____ds1" localSheetId="0" hidden="1">{"mgmt forecast",#N/A,FALSE,"Mgmt Forecast";"dcf table",#N/A,FALSE,"Mgmt Forecast";"sensitivity",#N/A,FALSE,"Mgmt Forecast";"table inputs",#N/A,FALSE,"Mgmt Forecast";"calculations",#N/A,FALSE,"Mgmt Forecast"}</definedName>
    <definedName name="_____F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y97" localSheetId="0" hidden="1">{#N/A,#N/A,FALSE,"FY97";#N/A,#N/A,FALSE,"FY98";#N/A,#N/A,FALSE,"FY99";#N/A,#N/A,FALSE,"FY00";#N/A,#N/A,FALSE,"FY01"}</definedName>
    <definedName name="_____fy97_1" localSheetId="0" hidden="1">{#N/A,#N/A,FALSE,"FY97";#N/A,#N/A,FALSE,"FY98";#N/A,#N/A,FALSE,"FY99";#N/A,#N/A,FALSE,"FY00";#N/A,#N/A,FALSE,"FY01"}</definedName>
    <definedName name="_____g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inv1" localSheetId="0" hidden="1">{"'CASHFLOW_REVISED'!$B$2:$F$68","'CASHFLOW_REVISED'!$B$2:$F$58"}</definedName>
    <definedName name="_____JAN05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MAY05" localSheetId="0" hidden="1">{"bs",#N/A,FALSE,"BS";"pl",#N/A,FALSE,"PL"}</definedName>
    <definedName name="_____P1" localSheetId="0" hidden="1">{#N/A,#N/A,TRUE,"流动资产--预付";"宁夏正大会计师事务所 - 个人视面",#N/A,TRUE,"Sheet1"}</definedName>
    <definedName name="_____P2" localSheetId="0" hidden="1">{#N/A,#N/A,TRUE,"流动资产--预付";"宁夏正大会计师事务所 - 个人视面",#N/A,TRUE,"Sheet1"}</definedName>
    <definedName name="_____P4" localSheetId="0" hidden="1">{#N/A,#N/A,TRUE,"流动资产--预付";"宁夏正大会计师事务所 - 个人视面",#N/A,TRUE,"Sheet1"}</definedName>
    <definedName name="_____P5" localSheetId="0" hidden="1">{#N/A,#N/A,TRUE,"流动资产--预付";"宁夏正大会计师事务所 - 个人视面",#N/A,TRUE,"Sheet1"}</definedName>
    <definedName name="_____r" localSheetId="0" hidden="1">{"consolidated",#N/A,FALSE,"Sheet1";"cms",#N/A,FALSE,"Sheet1";"fse",#N/A,FALSE,"Sheet1"}</definedName>
    <definedName name="_____r_1" localSheetId="0" hidden="1">{"consolidated",#N/A,FALSE,"Sheet1";"cms",#N/A,FALSE,"Sheet1";"fse",#N/A,FALSE,"Sheet1"}</definedName>
    <definedName name="_____s3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__s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t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V2" localSheetId="0" hidden="1">{#N/A,#N/A,FALSE,"Tabl. A1";#N/A,#N/A,FALSE,"Tabl. A1 b";#N/A,#N/A,FALSE,"Tabl. A2";#N/A,#N/A,FALSE,"Tabl. A2-1";#N/A,#N/A,FALSE,"Tabl. A2-2"}</definedName>
    <definedName name="_____wrn1" localSheetId="0" hidden="1">{#N/A,#N/A,FALSE,"DCF";#N/A,#N/A,FALSE,"WACC";#N/A,#N/A,FALSE,"Sales_EBIT";#N/A,#N/A,FALSE,"Capex_Depreciation";#N/A,#N/A,FALSE,"WC";#N/A,#N/A,FALSE,"Interest";#N/A,#N/A,FALSE,"Assumptions"}</definedName>
    <definedName name="_____wrn1_1" localSheetId="0" hidden="1">{#N/A,#N/A,FALSE,"DCF";#N/A,#N/A,FALSE,"WACC";#N/A,#N/A,FALSE,"Sales_EBIT";#N/A,#N/A,FALSE,"Capex_Depreciation";#N/A,#N/A,FALSE,"WC";#N/A,#N/A,FALSE,"Interest";#N/A,#N/A,FALSE,"Assumptions"}</definedName>
    <definedName name="_____z12" localSheetId="0" hidden="1">{"pro_view",#N/A,FALSE,"EEFSNAP2";"rep_view",#N/A,FALSE,"EEFSNAP2"}</definedName>
    <definedName name="_____z2" localSheetId="0" hidden="1">{"Sch00",#N/A,FALSE,"1";"Contents",#N/A,FALSE,"1"}</definedName>
    <definedName name="____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localSheetId="0" hidden="1">{"detail",#N/A,FALSE,"mfg";"summary",#N/A,FALSE,"mfg"}</definedName>
    <definedName name="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11" localSheetId="0" hidden="1">{#N/A,#N/A,FALSE,"Umsatz 99";#N/A,#N/A,FALSE,"ER 99 "}</definedName>
    <definedName name="____A11_1" localSheetId="0" hidden="1">{#N/A,#N/A,FALSE,"Umsatz 99";#N/A,#N/A,FALSE,"ER 99 "}</definedName>
    <definedName name="____A11_2" localSheetId="0" hidden="1">{#N/A,#N/A,FALSE,"Umsatz 99";#N/A,#N/A,FALSE,"ER 99 "}</definedName>
    <definedName name="____A11_3" localSheetId="0" hidden="1">{#N/A,#N/A,FALSE,"Umsatz 99";#N/A,#N/A,FALSE,"ER 99 "}</definedName>
    <definedName name="____AAA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aa1_1" localSheetId="0" hidden="1">{#N/A,#N/A,FALSE,"Model";#N/A,#N/A,FALSE,"Division"}</definedName>
    <definedName name="____abc1" localSheetId="0" hidden="1">{"detail",#N/A,FALSE,"mfg";"summary",#N/A,FALSE,"mfg"}</definedName>
    <definedName name="____abc2" localSheetId="0" hidden="1">{"detail",#N/A,FALSE,"mfg";"summary",#N/A,FALSE,"mfg"}</definedName>
    <definedName name="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i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r1" localSheetId="0" hidden="1">{"Quarter1",#N/A,FALSE,"Sheet1";"Quarter2",#N/A,FALSE,"Sheet1";"Quarter3",#N/A,FALSE,"Sheet1";"Quarter4",#N/A,FALSE,"Sheet1"}</definedName>
    <definedName name="____c" localSheetId="0" hidden="1">{#N/A,#N/A,FALSE,"Layout Cash Flow"}</definedName>
    <definedName name="____c_1" localSheetId="0" hidden="1">{"Fiesta Facer Page",#N/A,FALSE,"Q_C_S";"Fiesta Main Page",#N/A,FALSE,"V_L";"Fiesta 95BP Struct",#N/A,FALSE,"StructBP";"Fiesta Post 95BP Struct",#N/A,FALSE,"AdjStructBP"}</definedName>
    <definedName name="____c_2" localSheetId="0" hidden="1">{"Fiesta Facer Page",#N/A,FALSE,"Q_C_S";"Fiesta Main Page",#N/A,FALSE,"V_L";"Fiesta 95BP Struct",#N/A,FALSE,"StructBP";"Fiesta Post 95BP Struct",#N/A,FALSE,"AdjStructBP"}</definedName>
    <definedName name="____c_3" localSheetId="0" hidden="1">{"Fiesta Facer Page",#N/A,FALSE,"Q_C_S";"Fiesta Main Page",#N/A,FALSE,"V_L";"Fiesta 95BP Struct",#N/A,FALSE,"StructBP";"Fiesta Post 95BP Struct",#N/A,FALSE,"AdjStructBP"}</definedName>
    <definedName name="____eva2" localSheetId="0" hidden="1">{"DCF",#N/A,FALSE,"CF"}</definedName>
    <definedName name="____eva2_1" localSheetId="0" hidden="1">{"DCF",#N/A,FALSE,"CF"}</definedName>
    <definedName name="____eva2_2" localSheetId="0" hidden="1">{"DCF",#N/A,FALSE,"CF"}</definedName>
    <definedName name="____eva2_3" localSheetId="0" hidden="1">{"DCF",#N/A,FALSE,"CF"}</definedName>
    <definedName name="____eva2_4" localSheetId="0" hidden="1">{"DCF",#N/A,FALSE,"CF"}</definedName>
    <definedName name="____eva2_5" localSheetId="0" hidden="1">{"DCF",#N/A,FALSE,"CF"}</definedName>
    <definedName name="____fco2" localSheetId="0" hidden="1">{#N/A,#N/A,FALSE,"gc (2)"}</definedName>
    <definedName name="____fco2_1" localSheetId="0" hidden="1">{#N/A,#N/A,FALSE,"gc (2)"}</definedName>
    <definedName name="____fco2_2" localSheetId="0" hidden="1">{#N/A,#N/A,FALSE,"gc (2)"}</definedName>
    <definedName name="____fco2_3" localSheetId="0" hidden="1">{#N/A,#N/A,FALSE,"gc (2)"}</definedName>
    <definedName name="____F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y97" localSheetId="0" hidden="1">{#N/A,#N/A,FALSE,"FY97";#N/A,#N/A,FALSE,"FY98";#N/A,#N/A,FALSE,"FY99";#N/A,#N/A,FALSE,"FY00";#N/A,#N/A,FALSE,"FY01"}</definedName>
    <definedName name="____fy97_1" localSheetId="0" hidden="1">{#N/A,#N/A,FALSE,"FY97";#N/A,#N/A,FALSE,"FY98";#N/A,#N/A,FALSE,"FY99";#N/A,#N/A,FALSE,"FY00";#N/A,#N/A,FALSE,"FY01"}</definedName>
    <definedName name="____g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Grp16" localSheetId="0" hidden="1">{#N/A,#N/A,FALSE,"PMTABB";#N/A,#N/A,FALSE,"PMTABB"}</definedName>
    <definedName name="____inv1" localSheetId="0" hidden="1">{"'CASHFLOW_REVISED'!$B$2:$F$68","'CASHFLOW_REVISED'!$B$2:$F$58"}</definedName>
    <definedName name="____JAN05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MAY05" localSheetId="0" hidden="1">{"bs",#N/A,FALSE,"BS";"pl",#N/A,FALSE,"PL"}</definedName>
    <definedName name="____r" localSheetId="0" hidden="1">{"consolidated",#N/A,FALSE,"Sheet1";"cms",#N/A,FALSE,"Sheet1";"fse",#N/A,FALSE,"Sheet1"}</definedName>
    <definedName name="____r_1" localSheetId="0" hidden="1">{"consolidated",#N/A,FALSE,"Sheet1";"cms",#N/A,FALSE,"Sheet1";"fse",#N/A,FALSE,"Sheet1"}</definedName>
    <definedName name="____ram1" localSheetId="0" hidden="1">{#N/A,#N/A,FALSE,"gc (2)"}</definedName>
    <definedName name="____ram1_1" localSheetId="0" hidden="1">{#N/A,#N/A,FALSE,"gc (2)"}</definedName>
    <definedName name="____ram1_2" localSheetId="0" hidden="1">{#N/A,#N/A,FALSE,"gc (2)"}</definedName>
    <definedName name="____ram1_3" localSheetId="0" hidden="1">{#N/A,#N/A,FALSE,"gc (2)"}</definedName>
    <definedName name="____rc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s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sti02" localSheetId="0" hidden="1">{#N/A,#N/A,FALSE,"gc (2)"}</definedName>
    <definedName name="____sti02_1" localSheetId="0" hidden="1">{#N/A,#N/A,FALSE,"gc (2)"}</definedName>
    <definedName name="____sti02_2" localSheetId="0" hidden="1">{#N/A,#N/A,FALSE,"gc (2)"}</definedName>
    <definedName name="____sti02_3" localSheetId="0" hidden="1">{#N/A,#N/A,FALSE,"gc (2)"}</definedName>
    <definedName name="____t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1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1_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1_3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_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_3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a1" localSheetId="0" hidden="1">{#N/A,#N/A,TRUE,"Financials";#N/A,#N/A,TRUE,"Operating Statistics";#N/A,#N/A,TRUE,"Capex &amp; Depreciation";#N/A,#N/A,TRUE,"Debt"}</definedName>
    <definedName name="____ta1_1" localSheetId="0" hidden="1">{#N/A,#N/A,TRUE,"Financials";#N/A,#N/A,TRUE,"Operating Statistics";#N/A,#N/A,TRUE,"Capex &amp; Depreciation";#N/A,#N/A,TRUE,"Debt"}</definedName>
    <definedName name="____ta1_2" localSheetId="0" hidden="1">{#N/A,#N/A,TRUE,"Financials";#N/A,#N/A,TRUE,"Operating Statistics";#N/A,#N/A,TRUE,"Capex &amp; Depreciation";#N/A,#N/A,TRUE,"Debt"}</definedName>
    <definedName name="____ta1_3" localSheetId="0" hidden="1">{#N/A,#N/A,TRUE,"Financials";#N/A,#N/A,TRUE,"Operating Statistics";#N/A,#N/A,TRUE,"Capex &amp; Depreciation";#N/A,#N/A,TRUE,"Debt"}</definedName>
    <definedName name="____tb1" localSheetId="0" hidden="1">{#N/A,#N/A,FALSE,"One Pager";#N/A,#N/A,FALSE,"Technical"}</definedName>
    <definedName name="____tb1_1" localSheetId="0" hidden="1">{#N/A,#N/A,FALSE,"One Pager";#N/A,#N/A,FALSE,"Technical"}</definedName>
    <definedName name="____tb1_2" localSheetId="0" hidden="1">{#N/A,#N/A,FALSE,"One Pager";#N/A,#N/A,FALSE,"Technical"}</definedName>
    <definedName name="____tb1_3" localSheetId="0" hidden="1">{#N/A,#N/A,FALSE,"One Pager";#N/A,#N/A,FALSE,"Technical"}</definedName>
    <definedName name="____t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V2" localSheetId="0" hidden="1">{#N/A,#N/A,FALSE,"Tabl. A1";#N/A,#N/A,FALSE,"Tabl. A1 b";#N/A,#N/A,FALSE,"Tabl. A2";#N/A,#N/A,FALSE,"Tabl. A2-1";#N/A,#N/A,FALSE,"Tabl. A2-2"}</definedName>
    <definedName name="____wrn1" localSheetId="0" hidden="1">{#N/A,#N/A,FALSE,"DCF";#N/A,#N/A,FALSE,"WACC";#N/A,#N/A,FALSE,"Sales_EBIT";#N/A,#N/A,FALSE,"Capex_Depreciation";#N/A,#N/A,FALSE,"WC";#N/A,#N/A,FALSE,"Interest";#N/A,#N/A,FALSE,"Assumptions"}</definedName>
    <definedName name="____wrn1_1" localSheetId="0" hidden="1">{#N/A,#N/A,FALSE,"DCF";#N/A,#N/A,FALSE,"WACC";#N/A,#N/A,FALSE,"Sales_EBIT";#N/A,#N/A,FALSE,"Capex_Depreciation";#N/A,#N/A,FALSE,"WC";#N/A,#N/A,FALSE,"Interest";#N/A,#N/A,FALSE,"Assumptions"}</definedName>
    <definedName name="____x1" localSheetId="0" hidden="1">{"detail",#N/A,FALSE,"mfg";"summary",#N/A,FALSE,"mfg"}</definedName>
    <definedName name="____x2" localSheetId="0" hidden="1">{#N/A,"PURCHM",FALSE,"Business Analysis";#N/A,"SPADD",FALSE,"Business Analysis"}</definedName>
    <definedName name="____x3" localSheetId="0" hidden="1">{"detail",#N/A,FALSE,"mfg";"summary",#N/A,FALSE,"mfg"}</definedName>
    <definedName name="____x4" localSheetId="0" hidden="1">{#N/A,"PURCHM",FALSE,"Business Analysis";#N/A,"SPADD",FALSE,"Business Analysis"}</definedName>
    <definedName name="____x5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localSheetId="0" hidden="1">{#N/A,"PURCHM",FALSE,"Business Analysis";#N/A,"SPADD",FALSE,"Business Analysis"}</definedName>
    <definedName name="____xx3" localSheetId="0" hidden="1">{"detail",#N/A,FALSE,"mfg";"summary",#N/A,FALSE,"mfg"}</definedName>
    <definedName name="____xx4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localSheetId="0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localSheetId="0" hidden="1">{"oct_res_comm",#N/A,FALSE,"VarToBud"}</definedName>
    <definedName name="____xx8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localSheetId="0" hidden="1">{"AS REP",#N/A,FALSE,"EEFSNAP2";"PROP",#N/A,FALSE,"EEFSNAP2";"RISKS",#N/A,FALSE,"EEFSNAP2";"VIEW ALL",#N/A,FALSE,"EEFSNAP2"}</definedName>
    <definedName name="____z12" localSheetId="0" hidden="1">{"pro_view",#N/A,FALSE,"EEFSNAP2";"rep_view",#N/A,FALSE,"EEFSNAP2"}</definedName>
    <definedName name="____z2" localSheetId="0" hidden="1">{"Sch00",#N/A,FALSE,"1";"Contents",#N/A,FALSE,"1"}</definedName>
    <definedName name="___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localSheetId="0" hidden="1">{"detail",#N/A,FALSE,"mfg";"summary",#N/A,FALSE,"mfg"}</definedName>
    <definedName name="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localSheetId="0" hidden="1">{"pro_view",#N/A,FALSE,"EEFSNAP2";"rep_view",#N/A,FALSE,"EEFSNAP2"}</definedName>
    <definedName name="____zz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A11" localSheetId="0" hidden="1">{#N/A,#N/A,FALSE,"Umsatz 99";#N/A,#N/A,FALSE,"ER 99 "}</definedName>
    <definedName name="___A11_1" localSheetId="0" hidden="1">{#N/A,#N/A,FALSE,"Umsatz 99";#N/A,#N/A,FALSE,"ER 99 "}</definedName>
    <definedName name="___A11_2" localSheetId="0" hidden="1">{#N/A,#N/A,FALSE,"Umsatz 99";#N/A,#N/A,FALSE,"ER 99 "}</definedName>
    <definedName name="___A11_3" localSheetId="0" hidden="1">{#N/A,#N/A,FALSE,"Umsatz 99";#N/A,#N/A,FALSE,"ER 99 "}</definedName>
    <definedName name="___aaa1" localSheetId="0" hidden="1">{#N/A,#N/A,FALSE,"Model";#N/A,#N/A,FALSE,"Division"}</definedName>
    <definedName name="___abc1" localSheetId="0" hidden="1">{"detail",#N/A,FALSE,"mfg";"summary",#N/A,FALSE,"mfg"}</definedName>
    <definedName name="___abc2" localSheetId="0" hidden="1">{"detail",#N/A,FALSE,"mfg";"summary",#N/A,FALSE,"mfg"}</definedName>
    <definedName name="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i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r1" localSheetId="0" hidden="1">{"Quarter1",#N/A,FALSE,"Sheet1";"Quarter2",#N/A,FALSE,"Sheet1";"Quarter3",#N/A,FALSE,"Sheet1";"Quarter4",#N/A,FALSE,"Sheet1"}</definedName>
    <definedName name="___c" localSheetId="0" hidden="1">{#N/A,#N/A,FALSE,"Layout Cash Flow"}</definedName>
    <definedName name="___c_1" localSheetId="0" hidden="1">{"Fiesta Facer Page",#N/A,FALSE,"Q_C_S";"Fiesta Main Page",#N/A,FALSE,"V_L";"Fiesta 95BP Struct",#N/A,FALSE,"StructBP";"Fiesta Post 95BP Struct",#N/A,FALSE,"AdjStructBP"}</definedName>
    <definedName name="___c_2" localSheetId="0" hidden="1">{"Fiesta Facer Page",#N/A,FALSE,"Q_C_S";"Fiesta Main Page",#N/A,FALSE,"V_L";"Fiesta 95BP Struct",#N/A,FALSE,"StructBP";"Fiesta Post 95BP Struct",#N/A,FALSE,"AdjStructBP"}</definedName>
    <definedName name="___c_3" localSheetId="0" hidden="1">{"Fiesta Facer Page",#N/A,FALSE,"Q_C_S";"Fiesta Main Page",#N/A,FALSE,"V_L";"Fiesta 95BP Struct",#N/A,FALSE,"StructBP";"Fiesta Post 95BP Struct",#N/A,FALSE,"AdjStructBP"}</definedName>
    <definedName name="___ds1" localSheetId="0" hidden="1">{"mgmt forecast",#N/A,FALSE,"Mgmt Forecast";"dcf table",#N/A,FALSE,"Mgmt Forecast";"sensitivity",#N/A,FALSE,"Mgmt Forecast";"table inputs",#N/A,FALSE,"Mgmt Forecast";"calculations",#N/A,FALSE,"Mgmt Forecast"}</definedName>
    <definedName name="___eva2" localSheetId="0" hidden="1">{"DCF",#N/A,FALSE,"CF"}</definedName>
    <definedName name="___eva2_1" localSheetId="0" hidden="1">{"DCF",#N/A,FALSE,"CF"}</definedName>
    <definedName name="___eva2_2" localSheetId="0" hidden="1">{"DCF",#N/A,FALSE,"CF"}</definedName>
    <definedName name="___eva2_3" localSheetId="0" hidden="1">{"DCF",#N/A,FALSE,"CF"}</definedName>
    <definedName name="___eva2_4" localSheetId="0" hidden="1">{"DCF",#N/A,FALSE,"CF"}</definedName>
    <definedName name="___eva2_5" localSheetId="0" hidden="1">{"DCF",#N/A,FALSE,"CF"}</definedName>
    <definedName name="___F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y97" localSheetId="0" hidden="1">{#N/A,#N/A,FALSE,"FY97";#N/A,#N/A,FALSE,"FY98";#N/A,#N/A,FALSE,"FY99";#N/A,#N/A,FALSE,"FY00";#N/A,#N/A,FALSE,"FY01"}</definedName>
    <definedName name="___g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Grp16" localSheetId="0" hidden="1">{#N/A,#N/A,FALSE,"PMTABB";#N/A,#N/A,FALSE,"PMTABB"}</definedName>
    <definedName name="___inv1" localSheetId="0" hidden="1">{"'CASHFLOW_REVISED'!$B$2:$F$68","'CASHFLOW_REVISED'!$B$2:$F$58"}</definedName>
    <definedName name="___JAN05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MAY05" localSheetId="0" hidden="1">{"bs",#N/A,FALSE,"BS";"pl",#N/A,FALSE,"PL"}</definedName>
    <definedName name="___P1" localSheetId="0" hidden="1">{#N/A,#N/A,TRUE,"流动资产--预付";"宁夏正大会计师事务所 - 个人视面",#N/A,TRUE,"Sheet1"}</definedName>
    <definedName name="___P2" localSheetId="0" hidden="1">{#N/A,#N/A,TRUE,"流动资产--预付";"宁夏正大会计师事务所 - 个人视面",#N/A,TRUE,"Sheet1"}</definedName>
    <definedName name="___P4" localSheetId="0" hidden="1">{#N/A,#N/A,TRUE,"流动资产--预付";"宁夏正大会计师事务所 - 个人视面",#N/A,TRUE,"Sheet1"}</definedName>
    <definedName name="___P5" localSheetId="0" hidden="1">{#N/A,#N/A,TRUE,"流动资产--预付";"宁夏正大会计师事务所 - 个人视面",#N/A,TRUE,"Sheet1"}</definedName>
    <definedName name="___r" localSheetId="0" hidden="1">{"consolidated",#N/A,FALSE,"Sheet1";"cms",#N/A,FALSE,"Sheet1";"fse",#N/A,FALSE,"Sheet1"}</definedName>
    <definedName name="___RT25" localSheetId="0" hidden="1">{#N/A,#N/A,FALSE,"Umsatz 99";#N/A,#N/A,FALSE,"ER 99 "}</definedName>
    <definedName name="___s3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s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t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wrn1" localSheetId="0" hidden="1">{#N/A,#N/A,FALSE,"DCF";#N/A,#N/A,FALSE,"WACC";#N/A,#N/A,FALSE,"Sales_EBIT";#N/A,#N/A,FALSE,"Capex_Depreciation";#N/A,#N/A,FALSE,"WC";#N/A,#N/A,FALSE,"Interest";#N/A,#N/A,FALSE,"Assumptions"}</definedName>
    <definedName name="___z12" localSheetId="0" hidden="1">{"pro_view",#N/A,FALSE,"EEFSNAP2";"rep_view",#N/A,FALSE,"EEFSNAP2"}</definedName>
    <definedName name="___z2" localSheetId="0" hidden="1">{"Sch00",#N/A,FALSE,"1";"Contents",#N/A,FALSE,"1"}</definedName>
    <definedName name="__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localSheetId="0" hidden="1">{"detail",#N/A,FALSE,"mfg";"summary",#N/A,FALSE,"mfg"}</definedName>
    <definedName name="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wrn.²Ä1­Ó¤ë1_Ü20¤H." localSheetId="0" hidden="1">{#N/A,#N/A,FALSE,"²Ä1­Ó¤ë"}</definedName>
    <definedName name="__1wrn.²Ä1­Ó¤ë1_Ü20¤H._1" localSheetId="0" hidden="1">{#N/A,#N/A,FALSE,"²Ä1­Ó¤ë"}</definedName>
    <definedName name="__1wrn.²Ä1­Ó¤ë1_Ü20¤H._2" localSheetId="0" hidden="1">{#N/A,#N/A,FALSE,"²Ä1­Ó¤ë"}</definedName>
    <definedName name="__1wrn.²Ä1­Ó¤ë1_Ü20¤H._3" localSheetId="0" hidden="1">{#N/A,#N/A,FALSE,"²Ä1­Ó¤ë"}</definedName>
    <definedName name="__3wrn.²Ä1­Ó¤ë1_Ü20¤H." localSheetId="0" hidden="1">{#N/A,#N/A,FALSE,"²Ä1­Ó¤ë"}</definedName>
    <definedName name="__3wrn.²Ä1­Ó¤ë1_Ü20¤H._1" localSheetId="0" hidden="1">{#N/A,#N/A,FALSE,"²Ä1­Ó¤ë"}</definedName>
    <definedName name="__3wrn.²Ä1­Ó¤ë1_Ü20¤H._2" localSheetId="0" hidden="1">{#N/A,#N/A,FALSE,"²Ä1­Ó¤ë"}</definedName>
    <definedName name="__3wrn.²Ä1­Ó¤ë1_Ü20¤H._3" localSheetId="0" hidden="1">{#N/A,#N/A,FALSE,"²Ä1­Ó¤ë"}</definedName>
    <definedName name="__a1" localSheetId="0" hidden="1">{#N/A,#N/A,FALSE,"Pharm";#N/A,#N/A,FALSE,"WWCM"}</definedName>
    <definedName name="__A11" localSheetId="0" hidden="1">{#N/A,#N/A,FALSE,"Umsatz 99";#N/A,#N/A,FALSE,"ER 99 "}</definedName>
    <definedName name="__A11_1" localSheetId="0" hidden="1">{#N/A,#N/A,FALSE,"Umsatz 99";#N/A,#N/A,FALSE,"ER 99 "}</definedName>
    <definedName name="__A11_2" localSheetId="0" hidden="1">{#N/A,#N/A,FALSE,"Umsatz 99";#N/A,#N/A,FALSE,"ER 99 "}</definedName>
    <definedName name="__A11_3" localSheetId="0" hidden="1">{#N/A,#N/A,FALSE,"Umsatz 99";#N/A,#N/A,FALSE,"ER 99 "}</definedName>
    <definedName name="__aa1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localSheetId="0" hidden="1">{#N/A,#N/A,FALSE,"Model";#N/A,#N/A,FALSE,"Division"}</definedName>
    <definedName name="__aaa1_1" localSheetId="0" hidden="1">{#N/A,#N/A,FALSE,"Model";#N/A,#N/A,FALSE,"Division"}</definedName>
    <definedName name="__aaa12" localSheetId="0" hidden="1">{#N/A,#N/A,FALSE,"Model";#N/A,#N/A,FALSE,"Division"}</definedName>
    <definedName name="__aas1" localSheetId="0" hidden="1">{#N/A,#N/A,FALSE,"REPORT"}</definedName>
    <definedName name="__abc1" localSheetId="0" hidden="1">{"detail",#N/A,FALSE,"mfg";"summary",#N/A,FALSE,"mfg"}</definedName>
    <definedName name="__abc2" localSheetId="0" hidden="1">{"detail",#N/A,FALSE,"mfg";"summary",#N/A,FALSE,"mfg"}</definedName>
    <definedName name="__abc3" localSheetId="0" hidden="1">{"detail",#N/A,FALSE,"mfg";"summary",#N/A,FALSE,"mfg"}</definedName>
    <definedName name="__ACS2000" localSheetId="0" hidden="1">{#N/A,#N/A,FALSE,"REPORT"}</definedName>
    <definedName name="__ap2" localSheetId="0" hidden="1">{"detail",#N/A,FALSE,"mfg";"summary",#N/A,FALSE,"mfg"}</definedName>
    <definedName name="__b111" localSheetId="0" hidden="1">{#N/A,#N/A,FALSE,"Pharm";#N/A,#N/A,FALSE,"WWCM"}</definedName>
    <definedName name="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i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r1" localSheetId="0" hidden="1">{"Quarter1",#N/A,FALSE,"Sheet1";"Quarter2",#N/A,FALSE,"Sheet1";"Quarter3",#N/A,FALSE,"Sheet1";"Quarter4",#N/A,FALSE,"Sheet1"}</definedName>
    <definedName name="__c" localSheetId="0" hidden="1">{#N/A,#N/A,FALSE,"Layout Cash Flow"}</definedName>
    <definedName name="__c_1" localSheetId="0" hidden="1">{"Fiesta Facer Page",#N/A,FALSE,"Q_C_S";"Fiesta Main Page",#N/A,FALSE,"V_L";"Fiesta 95BP Struct",#N/A,FALSE,"StructBP";"Fiesta Post 95BP Struct",#N/A,FALSE,"AdjStructBP"}</definedName>
    <definedName name="__c_2" localSheetId="0" hidden="1">{"Fiesta Facer Page",#N/A,FALSE,"Q_C_S";"Fiesta Main Page",#N/A,FALSE,"V_L";"Fiesta 95BP Struct",#N/A,FALSE,"StructBP";"Fiesta Post 95BP Struct",#N/A,FALSE,"AdjStructBP"}</definedName>
    <definedName name="__c_3" localSheetId="0" hidden="1">{"Fiesta Facer Page",#N/A,FALSE,"Q_C_S";"Fiesta Main Page",#N/A,FALSE,"V_L";"Fiesta 95BP Struct",#N/A,FALSE,"StructBP";"Fiesta Post 95BP Struct",#N/A,FALSE,"AdjStructBP"}</definedName>
    <definedName name="__ds1" localSheetId="0" hidden="1">{"mgmt forecast",#N/A,FALSE,"Mgmt Forecast";"dcf table",#N/A,FALSE,"Mgmt Forecast";"sensitivity",#N/A,FALSE,"Mgmt Forecast";"table inputs",#N/A,FALSE,"Mgmt Forecast";"calculations",#N/A,FALSE,"Mgmt Forecast"}</definedName>
    <definedName name="__dwa1" localSheetId="0" hidden="1">{#N/A,"PURCHM",FALSE,"Business Analysis";#N/A,"SPADD",FALSE,"Business Analysis"}</definedName>
    <definedName name="__eu93" localSheetId="0" hidden="1">{"Comp_of_Price_Effect",#N/A,FALSE,"QTRDPVAR"}</definedName>
    <definedName name="__eva2" localSheetId="0" hidden="1">{"DCF",#N/A,FALSE,"CF"}</definedName>
    <definedName name="__eva2_1" localSheetId="0" hidden="1">{"DCF",#N/A,FALSE,"CF"}</definedName>
    <definedName name="__eva2_2" localSheetId="0" hidden="1">{"DCF",#N/A,FALSE,"CF"}</definedName>
    <definedName name="__eva2_3" localSheetId="0" hidden="1">{"DCF",#N/A,FALSE,"CF"}</definedName>
    <definedName name="__eva2_4" localSheetId="0" hidden="1">{"DCF",#N/A,FALSE,"CF"}</definedName>
    <definedName name="__eva2_5" localSheetId="0" hidden="1">{"DCF",#N/A,FALSE,"CF"}</definedName>
    <definedName name="__fco2" localSheetId="0" hidden="1">{#N/A,#N/A,FALSE,"gc (2)"}</definedName>
    <definedName name="__fco2_1" localSheetId="0" hidden="1">{#N/A,#N/A,FALSE,"gc (2)"}</definedName>
    <definedName name="__fco2_2" localSheetId="0" hidden="1">{#N/A,#N/A,FALSE,"gc (2)"}</definedName>
    <definedName name="__fco2_3" localSheetId="0" hidden="1">{#N/A,#N/A,FALSE,"gc (2)"}</definedName>
    <definedName name="__FDS_USED_FOR_REUSING_RANGE_IDS_RECYCLE" localSheetId="0" hidden="1">{152,168,338,189,173,195,158,390,7,11,232,378,159,175,261,183,177,129,8,155,265,394,57}</definedName>
    <definedName name="__F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2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4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5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P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y97" localSheetId="0" hidden="1">{#N/A,#N/A,FALSE,"FY97";#N/A,#N/A,FALSE,"FY98";#N/A,#N/A,FALSE,"FY99";#N/A,#N/A,FALSE,"FY00";#N/A,#N/A,FALSE,"FY01"}</definedName>
    <definedName name="__fy97_1" localSheetId="0" hidden="1">{#N/A,#N/A,FALSE,"FY97";#N/A,#N/A,FALSE,"FY98";#N/A,#N/A,FALSE,"FY99";#N/A,#N/A,FALSE,"FY00";#N/A,#N/A,FALSE,"FY01"}</definedName>
    <definedName name="__g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Grp16" localSheetId="0" hidden="1">{#N/A,#N/A,FALSE,"PMTABB";#N/A,#N/A,FALSE,"PMTABB"}</definedName>
    <definedName name="__inv1" localSheetId="0" hidden="1">{"'CASHFLOW_REVISED'!$B$2:$F$68","'CASHFLOW_REVISED'!$B$2:$F$58"}</definedName>
    <definedName name="__JAN05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MAY05" localSheetId="0" hidden="1">{"bs",#N/A,FALSE,"BS";"pl",#N/A,FALSE,"PL"}</definedName>
    <definedName name="__mno9" localSheetId="0" hidden="1">{"detail",#N/A,FALSE,"mfg";"summary",#N/A,FALSE,"mfg"}</definedName>
    <definedName name="__NSO2" localSheetId="0" hidden="1">{"'Sheet1'!$L$16"}</definedName>
    <definedName name="__P2" localSheetId="0" hidden="1">{#N/A,#N/A,TRUE,"流动资产--预付";"宁夏正大会计师事务所 - 个人视面",#N/A,TRUE,"Sheet1"}</definedName>
    <definedName name="__P4" localSheetId="0" hidden="1">{#N/A,#N/A,TRUE,"流动资产--预付";"宁夏正大会计师事务所 - 个人视面",#N/A,TRUE,"Sheet1"}</definedName>
    <definedName name="__P5" localSheetId="0" hidden="1">{#N/A,#N/A,TRUE,"流动资产--预付";"宁夏正大会计师事务所 - 个人视面",#N/A,TRUE,"Sheet1"}</definedName>
    <definedName name="__r" localSheetId="0" hidden="1">{"consolidated",#N/A,FALSE,"Sheet1";"cms",#N/A,FALSE,"Sheet1";"fse",#N/A,FALSE,"Sheet1"}</definedName>
    <definedName name="__r_1" localSheetId="0" hidden="1">{"consolidated",#N/A,FALSE,"Sheet1";"cms",#N/A,FALSE,"Sheet1";"fse",#N/A,FALSE,"Sheet1"}</definedName>
    <definedName name="__ram1" localSheetId="0" hidden="1">{#N/A,#N/A,FALSE,"gc (2)"}</definedName>
    <definedName name="__ram1_1" localSheetId="0" hidden="1">{#N/A,#N/A,FALSE,"gc (2)"}</definedName>
    <definedName name="__ram1_2" localSheetId="0" hidden="1">{#N/A,#N/A,FALSE,"gc (2)"}</definedName>
    <definedName name="__ram1_3" localSheetId="0" hidden="1">{#N/A,#N/A,FALSE,"gc (2)"}</definedName>
    <definedName name="__rc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T25" localSheetId="0" hidden="1">{#N/A,#N/A,FALSE,"Umsatz 99";#N/A,#N/A,FALSE,"ER 99 "}</definedName>
    <definedName name="__s3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s34" localSheetId="0" hidden="1">{"QTD_GENERALH2",#N/A,FALSE,"QTD"}</definedName>
    <definedName name="__sd34" localSheetId="0" hidden="1">{"QTD",#N/A,FALSE,"SUM"}</definedName>
    <definedName name="__s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sti02" localSheetId="0" hidden="1">{#N/A,#N/A,FALSE,"gc (2)"}</definedName>
    <definedName name="__sti02_1" localSheetId="0" hidden="1">{#N/A,#N/A,FALSE,"gc (2)"}</definedName>
    <definedName name="__sti02_2" localSheetId="0" hidden="1">{#N/A,#N/A,FALSE,"gc (2)"}</definedName>
    <definedName name="__sti02_3" localSheetId="0" hidden="1">{#N/A,#N/A,FALSE,"gc (2)"}</definedName>
    <definedName name="__t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_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_3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_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_3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a1" localSheetId="0" hidden="1">{#N/A,#N/A,TRUE,"Financials";#N/A,#N/A,TRUE,"Operating Statistics";#N/A,#N/A,TRUE,"Capex &amp; Depreciation";#N/A,#N/A,TRUE,"Debt"}</definedName>
    <definedName name="__ta1_1" localSheetId="0" hidden="1">{#N/A,#N/A,TRUE,"Financials";#N/A,#N/A,TRUE,"Operating Statistics";#N/A,#N/A,TRUE,"Capex &amp; Depreciation";#N/A,#N/A,TRUE,"Debt"}</definedName>
    <definedName name="__ta1_2" localSheetId="0" hidden="1">{#N/A,#N/A,TRUE,"Financials";#N/A,#N/A,TRUE,"Operating Statistics";#N/A,#N/A,TRUE,"Capex &amp; Depreciation";#N/A,#N/A,TRUE,"Debt"}</definedName>
    <definedName name="__ta1_3" localSheetId="0" hidden="1">{#N/A,#N/A,TRUE,"Financials";#N/A,#N/A,TRUE,"Operating Statistics";#N/A,#N/A,TRUE,"Capex &amp; Depreciation";#N/A,#N/A,TRUE,"Debt"}</definedName>
    <definedName name="__tb1" localSheetId="0" hidden="1">{#N/A,#N/A,FALSE,"One Pager";#N/A,#N/A,FALSE,"Technical"}</definedName>
    <definedName name="__tb1_1" localSheetId="0" hidden="1">{#N/A,#N/A,FALSE,"One Pager";#N/A,#N/A,FALSE,"Technical"}</definedName>
    <definedName name="__tb1_2" localSheetId="0" hidden="1">{#N/A,#N/A,FALSE,"One Pager";#N/A,#N/A,FALSE,"Technical"}</definedName>
    <definedName name="__tb1_3" localSheetId="0" hidden="1">{#N/A,#N/A,FALSE,"One Pager";#N/A,#N/A,FALSE,"Technical"}</definedName>
    <definedName name="__tm1" localSheetId="0" hidden="1">{#N/A,#N/A,FALSE,"Pharm";#N/A,#N/A,FALSE,"WWCM"}</definedName>
    <definedName name="__V2" localSheetId="0" hidden="1">{#N/A,#N/A,FALSE,"Tabl. A1";#N/A,#N/A,FALSE,"Tabl. A1 b";#N/A,#N/A,FALSE,"Tabl. A2";#N/A,#N/A,FALSE,"Tabl. A2-1";#N/A,#N/A,FALSE,"Tabl. A2-2"}</definedName>
    <definedName name="__wrn1" localSheetId="0" hidden="1">{#N/A,#N/A,FALSE,"DCF";#N/A,#N/A,FALSE,"WACC";#N/A,#N/A,FALSE,"Sales_EBIT";#N/A,#N/A,FALSE,"Capex_Depreciation";#N/A,#N/A,FALSE,"WC";#N/A,#N/A,FALSE,"Interest";#N/A,#N/A,FALSE,"Assumptions"}</definedName>
    <definedName name="__wrn1_1" localSheetId="0" hidden="1">{#N/A,#N/A,FALSE,"DCF";#N/A,#N/A,FALSE,"WACC";#N/A,#N/A,FALSE,"Sales_EBIT";#N/A,#N/A,FALSE,"Capex_Depreciation";#N/A,#N/A,FALSE,"WC";#N/A,#N/A,FALSE,"Interest";#N/A,#N/A,FALSE,"Assumptions"}</definedName>
    <definedName name="__x1" localSheetId="0" hidden="1">{"detail",#N/A,FALSE,"mfg";"summary",#N/A,FALSE,"mfg"}</definedName>
    <definedName name="__X2" localSheetId="0" hidden="1">{#N/A,#N/A,FALSE,"Other";#N/A,#N/A,FALSE,"Ace";#N/A,#N/A,FALSE,"Derm"}</definedName>
    <definedName name="__x3" localSheetId="0" hidden="1">{"detail",#N/A,FALSE,"mfg";"summary",#N/A,FALSE,"mfg"}</definedName>
    <definedName name="__x4" localSheetId="0" hidden="1">{#N/A,"PURCHM",FALSE,"Business Analysis";#N/A,"SPADD",FALSE,"Business Analysis"}</definedName>
    <definedName name="__x5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x10" localSheetId="0" hidden="1">{#N/A,"PURCHM",FALSE,"Business Analysis";#N/A,"SPADD",FALSE,"Business Analysis"}</definedName>
    <definedName name="__xx3" localSheetId="0" hidden="1">{"detail",#N/A,FALSE,"mfg";"summary",#N/A,FALSE,"mfg"}</definedName>
    <definedName name="__xx4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localSheetId="0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localSheetId="0" hidden="1">{"oct_res_comm",#N/A,FALSE,"VarToBud"}</definedName>
    <definedName name="__xx8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localSheetId="0" hidden="1">{"AS REP",#N/A,FALSE,"EEFSNAP2";"PROP",#N/A,FALSE,"EEFSNAP2";"RISKS",#N/A,FALSE,"EEFSNAP2";"VIEW ALL",#N/A,FALSE,"EEFSNAP2"}</definedName>
    <definedName name="__z12" localSheetId="0" hidden="1">{"pro_view",#N/A,FALSE,"EEFSNAP2";"rep_view",#N/A,FALSE,"EEFSNAP2"}</definedName>
    <definedName name="__z2" localSheetId="0" hidden="1">{"Sch00",#N/A,FALSE,"1";"Contents",#N/A,FALSE,"1"}</definedName>
    <definedName name="_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localSheetId="0" hidden="1">{"detail",#N/A,FALSE,"mfg";"summary",#N/A,FALSE,"mfg"}</definedName>
    <definedName name="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localSheetId="0" hidden="1">{"pro_view",#N/A,FALSE,"EEFSNAP2";"rep_view",#N/A,FALSE,"EEFSNAP2"}</definedName>
    <definedName name="__zz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wrn.²Ä1­Ó¤ë1_Ü20¤H." localSheetId="0" hidden="1">{#N/A,#N/A,FALSE,"²Ä1­Ó¤ë"}</definedName>
    <definedName name="_112__FDSAUDITLINK__" localSheetId="0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20__FDSAUDITLINK__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3wrn.²Ä1­Ó¤ë1_Ü20¤H." localSheetId="0" hidden="1">{#N/A,#N/A,FALSE,"²Ä1­Ó¤ë"}</definedName>
    <definedName name="_144__FDSAUDITLINK__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60__FDSAUDITLINK__" localSheetId="0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wrn.²Ä1­Ó¤ë1_Ü20¤H." localSheetId="0" hidden="1">{#N/A,#N/A,FALSE,"²Ä1­Ó¤ë"}</definedName>
    <definedName name="_1wrn.²Ä1­Ó¤ë1_Ü20¤H." localSheetId="0" hidden="1">{#N/A,#N/A,FALSE,"²Ä1­Ó¤ë"}</definedName>
    <definedName name="_1wrn.²Ä1­Ó¤ë1_Ü20¤H._1" localSheetId="0" hidden="1">{#N/A,#N/A,FALSE,"²Ä1­Ó¤ë"}</definedName>
    <definedName name="_1wrn.²Ä1­Ó¤ë1_Ü20¤H._2" localSheetId="0" hidden="1">{#N/A,#N/A,FALSE,"²Ä1­Ó¤ë"}</definedName>
    <definedName name="_1wrn.²Ä1­Ó¤ë1_Ü20¤H._3" localSheetId="0" hidden="1">{#N/A,#N/A,FALSE,"²Ä1­Ó¤ë"}</definedName>
    <definedName name="_2_wrn.²Ä1­Ó¤ë1_Ü20¤H." localSheetId="0" hidden="1">{#N/A,#N/A,FALSE,"²Ä1­Ó¤ë"}</definedName>
    <definedName name="_206__FDSAUDITLINK__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wrn.²Ä1­Ó¤ë1_Ü20¤H." localSheetId="0" hidden="1">{#N/A,#N/A,FALSE,"²Ä1­Ó¤ë"}</definedName>
    <definedName name="_2wrn.²Ä1­Ó¤ë1_Ü20¤H._1" localSheetId="0" hidden="1">{#N/A,#N/A,FALSE,"²Ä1­Ó¤ë"}</definedName>
    <definedName name="_2wrn.²Ä1­Ó¤ë1_Ü20¤H._2" localSheetId="0" hidden="1">{#N/A,#N/A,FALSE,"²Ä1­Ó¤ë"}</definedName>
    <definedName name="_2wrn.²Ä1­Ó¤ë1_Ü20¤H._3" localSheetId="0" hidden="1">{#N/A,#N/A,FALSE,"²Ä1­Ó¤ë"}</definedName>
    <definedName name="_353__FDSAUDITLINK__" localSheetId="0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71__FDSAUDITLINK__" localSheetId="0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wrn.²Ä1­Ó¤ë1_Ü20¤H." localSheetId="0" hidden="1">{#N/A,#N/A,FALSE,"²Ä1­Ó¤ë"}</definedName>
    <definedName name="_3wrn.²Ä1­Ó¤ë1_Ü20¤H._1" localSheetId="0" hidden="1">{#N/A,#N/A,FALSE,"²Ä1­Ó¤ë"}</definedName>
    <definedName name="_3wrn.²Ä1­Ó¤ë1_Ü20¤H._2" localSheetId="0" hidden="1">{#N/A,#N/A,FALSE,"²Ä1­Ó¤ë"}</definedName>
    <definedName name="_3wrn.²Ä1­Ó¤ë1_Ü20¤H._3" localSheetId="0" hidden="1">{#N/A,#N/A,FALSE,"²Ä1­Ó¤ë"}</definedName>
    <definedName name="_42wrn.²Ä1­Ó¤ë1_Ü20¤H." localSheetId="0" hidden="1">{#N/A,#N/A,FALSE,"²Ä1­Ó¤ë"}</definedName>
    <definedName name="_45wrn.²Ä1­Ó¤ë1_Ü20¤H." localSheetId="0" hidden="1">{#N/A,#N/A,FALSE,"²Ä1­Ó¤ë"}</definedName>
    <definedName name="_49wrn.²Ä1­Ó¤ë1_Ü20¤H." localSheetId="0" hidden="1">{#N/A,#N/A,FALSE,"²Ä1­Ó¤ë"}</definedName>
    <definedName name="_4wrn.²Ä1­Ó¤ë1_Ü20¤H." localSheetId="0" hidden="1">{#N/A,#N/A,FALSE,"²Ä1­Ó¤ë"}</definedName>
    <definedName name="_4wrn.²Ä1­Ó¤ë1_Ü20¤H._1" localSheetId="0" hidden="1">{#N/A,#N/A,FALSE,"²Ä1­Ó¤ë"}</definedName>
    <definedName name="_4wrn.²Ä1­Ó¤ë1_Ü20¤H._2" localSheetId="0" hidden="1">{#N/A,#N/A,FALSE,"²Ä1­Ó¤ë"}</definedName>
    <definedName name="_4wrn.²Ä1­Ó¤ë1_Ü20¤H._3" localSheetId="0" hidden="1">{#N/A,#N/A,FALSE,"²Ä1­Ó¤ë"}</definedName>
    <definedName name="_50wrn.²Ä1­Ó¤ë1_Ü20¤H." localSheetId="0" hidden="1">{#N/A,#N/A,FALSE,"²Ä1­Ó¤ë"}</definedName>
    <definedName name="_53wrn.²Ä1­Ó¤ë1_Ü20¤H." localSheetId="0" hidden="1">{#N/A,#N/A,FALSE,"²Ä1­Ó¤ë"}</definedName>
    <definedName name="_5wrn.²Ä1­Ó¤ë1_Ü20¤H." localSheetId="0" hidden="1">{#N/A,#N/A,FALSE,"²Ä1­Ó¤ë"}</definedName>
    <definedName name="_60wrn.²Ä1­Ó¤ë1_Ü20¤H." localSheetId="0" hidden="1">{#N/A,#N/A,FALSE,"²Ä1­Ó¤ë"}</definedName>
    <definedName name="_68__FDSAUDITLINK__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8wrn.²Ä1­Ó¤ë1_Ü20¤H." localSheetId="0" hidden="1">{#N/A,#N/A,FALSE,"²Ä1­Ó¤ë"}</definedName>
    <definedName name="_a1" localSheetId="0" hidden="1">{#N/A,#N/A,FALSE,"Pharm";#N/A,#N/A,FALSE,"WWCM"}</definedName>
    <definedName name="_A11" localSheetId="0" hidden="1">{#N/A,#N/A,FALSE,"Umsatz 99";#N/A,#N/A,FALSE,"ER 99 "}</definedName>
    <definedName name="_A11_1" localSheetId="0" hidden="1">{#N/A,#N/A,FALSE,"Umsatz 99";#N/A,#N/A,FALSE,"ER 99 "}</definedName>
    <definedName name="_A11_2" localSheetId="0" hidden="1">{#N/A,#N/A,FALSE,"Umsatz 99";#N/A,#N/A,FALSE,"ER 99 "}</definedName>
    <definedName name="_A11_3" localSheetId="0" hidden="1">{#N/A,#N/A,FALSE,"Umsatz 99";#N/A,#N/A,FALSE,"ER 99 "}</definedName>
    <definedName name="_aa1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a1" localSheetId="0" hidden="1">{#N/A,#N/A,FALSE,"Model";#N/A,#N/A,FALSE,"Division"}</definedName>
    <definedName name="_aaa1_1" localSheetId="0" hidden="1">{#N/A,#N/A,FALSE,"Model";#N/A,#N/A,FALSE,"Division"}</definedName>
    <definedName name="_aas1" localSheetId="0" hidden="1">{#N/A,#N/A,FALSE,"REPORT"}</definedName>
    <definedName name="_ab098" localSheetId="0" hidden="1">{#N/A,"PURCHM",FALSE,"Business Analysis";#N/A,"SPADD",FALSE,"Business Analysis"}</definedName>
    <definedName name="_abc098" localSheetId="0" hidden="1">{#N/A,"PURCHM",FALSE,"Business Analysis";#N/A,"SPADD",FALSE,"Business Analysis"}</definedName>
    <definedName name="_abc1" localSheetId="0" hidden="1">{"detail",#N/A,FALSE,"mfg";"summary",#N/A,FALSE,"mfg"}</definedName>
    <definedName name="_abc10" localSheetId="0" hidden="1">{"detail",#N/A,FALSE,"mfg";"summary",#N/A,FALSE,"mfg"}</definedName>
    <definedName name="_abc101" localSheetId="0" hidden="1">{"detail",#N/A,FALSE,"mfg";"summary",#N/A,FALSE,"mfg"}</definedName>
    <definedName name="_abc102" localSheetId="0" hidden="1">{"detail",#N/A,FALSE,"mfg";"summary",#N/A,FALSE,"mfg"}</definedName>
    <definedName name="_abc105" localSheetId="0" hidden="1">{"detail",#N/A,FALSE,"mfg";"summary",#N/A,FALSE,"mfg"}</definedName>
    <definedName name="_abc1082" localSheetId="0" hidden="1">{"detail",#N/A,FALSE,"mfg";"summary",#N/A,FALSE,"mfg"}</definedName>
    <definedName name="_abc11" localSheetId="0" hidden="1">{"detail",#N/A,FALSE,"mfg";"summary",#N/A,FALSE,"mfg"}</definedName>
    <definedName name="_abc115" localSheetId="0" hidden="1">{"detail",#N/A,FALSE,"mfg";"summary",#N/A,FALSE,"mfg"}</definedName>
    <definedName name="_abc12" localSheetId="0" hidden="1">{"detail",#N/A,FALSE,"mfg";"summary",#N/A,FALSE,"mfg"}</definedName>
    <definedName name="_abc1234" localSheetId="0" hidden="1">{#N/A,"PURCHM",FALSE,"Business Analysis";#N/A,"SPADD",FALSE,"Business Analysis"}</definedName>
    <definedName name="_abc125" localSheetId="0" hidden="1">{"detail",#N/A,FALSE,"mfg";"summary",#N/A,FALSE,"mfg"}</definedName>
    <definedName name="_abc13" localSheetId="0" hidden="1">{"detail",#N/A,FALSE,"mfg";"summary",#N/A,FALSE,"mfg"}</definedName>
    <definedName name="_abc1325" localSheetId="0" hidden="1">{"detail",#N/A,FALSE,"mfg";"summary",#N/A,FALSE,"mfg"}</definedName>
    <definedName name="_abc14" localSheetId="0" hidden="1">{"detail",#N/A,FALSE,"mfg";"summary",#N/A,FALSE,"mfg"}</definedName>
    <definedName name="_abc1425" localSheetId="0" hidden="1">{"detail",#N/A,FALSE,"mfg";"summary",#N/A,FALSE,"mfg"}</definedName>
    <definedName name="_abc2" localSheetId="0" hidden="1">{"detail",#N/A,FALSE,"mfg";"summary",#N/A,FALSE,"mfg"}</definedName>
    <definedName name="_abc200" localSheetId="0" hidden="1">{"detail",#N/A,FALSE,"mfg";"summary",#N/A,FALSE,"mfg"}</definedName>
    <definedName name="_abc2005" localSheetId="0" hidden="1">{#N/A,"PURCHM",FALSE,"Business Analysis";#N/A,"SPADD",FALSE,"Business Analysis"}</definedName>
    <definedName name="_abc201" localSheetId="0" hidden="1">{"detail",#N/A,FALSE,"mfg";"summary",#N/A,FALSE,"mfg"}</definedName>
    <definedName name="_abc202" localSheetId="0" hidden="1">{"detail",#N/A,FALSE,"mfg";"summary",#N/A,FALSE,"mfg"}</definedName>
    <definedName name="_abc2054" localSheetId="0" hidden="1">{"detail",#N/A,FALSE,"mfg";"summary",#N/A,FALSE,"mfg"}</definedName>
    <definedName name="_abc212" localSheetId="0" hidden="1">{"detail",#N/A,FALSE,"mfg";"summary",#N/A,FALSE,"mfg"}</definedName>
    <definedName name="_abc212450" localSheetId="0" hidden="1">{"detail",#N/A,FALSE,"mfg";"summary",#N/A,FALSE,"mfg"}</definedName>
    <definedName name="_abc23" localSheetId="0" hidden="1">{"detail",#N/A,FALSE,"mfg";"summary",#N/A,FALSE,"mfg"}</definedName>
    <definedName name="_abc24" localSheetId="0" hidden="1">{"detail",#N/A,FALSE,"mfg";"summary",#N/A,FALSE,"mfg"}</definedName>
    <definedName name="_abc25" localSheetId="0" hidden="1">{"detail",#N/A,FALSE,"mfg";"summary",#N/A,FALSE,"mfg"}</definedName>
    <definedName name="_abc26" localSheetId="0" hidden="1">{"detail",#N/A,FALSE,"mfg";"summary",#N/A,FALSE,"mfg"}</definedName>
    <definedName name="_abc289" localSheetId="0" hidden="1">{"detail",#N/A,FALSE,"mfg";"summary",#N/A,FALSE,"mfg"}</definedName>
    <definedName name="_abc3" localSheetId="0" hidden="1">{"detail",#N/A,FALSE,"mfg";"summary",#N/A,FALSE,"mfg"}</definedName>
    <definedName name="_abc31" localSheetId="0" hidden="1">{"detail",#N/A,FALSE,"mfg";"summary",#N/A,FALSE,"mfg"}</definedName>
    <definedName name="_abc312" localSheetId="0" hidden="1">{"detail",#N/A,FALSE,"mfg";"summary",#N/A,FALSE,"mfg"}</definedName>
    <definedName name="_abc315" localSheetId="0" hidden="1">{"detail",#N/A,FALSE,"mfg";"summary",#N/A,FALSE,"mfg"}</definedName>
    <definedName name="_abc316" localSheetId="0" hidden="1">{"detail",#N/A,FALSE,"mfg";"summary",#N/A,FALSE,"mfg"}</definedName>
    <definedName name="_abc32" localSheetId="0" hidden="1">{"detail",#N/A,FALSE,"mfg";"summary",#N/A,FALSE,"mfg"}</definedName>
    <definedName name="_abc3216" localSheetId="0" hidden="1">{"detail",#N/A,FALSE,"mfg";"summary",#N/A,FALSE,"mfg"}</definedName>
    <definedName name="_abc35" localSheetId="0" hidden="1">{"detail",#N/A,FALSE,"mfg";"summary",#N/A,FALSE,"mfg"}</definedName>
    <definedName name="_abc36" localSheetId="0" hidden="1">{"detail",#N/A,FALSE,"mfg";"summary",#N/A,FALSE,"mfg"}</definedName>
    <definedName name="_abc37" localSheetId="0" hidden="1">{"detail",#N/A,FALSE,"mfg";"summary",#N/A,FALSE,"mfg"}</definedName>
    <definedName name="_abc38" localSheetId="0" hidden="1">{"detail",#N/A,FALSE,"mfg";"summary",#N/A,FALSE,"mfg"}</definedName>
    <definedName name="_ABC41" localSheetId="0" hidden="1">{"detail",#N/A,FALSE,"mfg";"summary",#N/A,FALSE,"mfg"}</definedName>
    <definedName name="_abc42" localSheetId="0" hidden="1">{"detail",#N/A,FALSE,"mfg";"summary",#N/A,FALSE,"mfg"}</definedName>
    <definedName name="_abc51" localSheetId="0" hidden="1">{"detail",#N/A,FALSE,"mfg";"summary",#N/A,FALSE,"mfg"}</definedName>
    <definedName name="_abc61" localSheetId="0" hidden="1">{"detail",#N/A,FALSE,"mfg";"summary",#N/A,FALSE,"mfg"}</definedName>
    <definedName name="_abc71" localSheetId="0" hidden="1">{"detail",#N/A,FALSE,"mfg";"summary",#N/A,FALSE,"mfg"}</definedName>
    <definedName name="_abc7884" localSheetId="0" hidden="1">{"detail",#N/A,FALSE,"mfg";"summary",#N/A,FALSE,"mfg"}</definedName>
    <definedName name="_ACS2000" localSheetId="0" hidden="1">{#N/A,#N/A,FALSE,"REPORT"}</definedName>
    <definedName name="_act1" localSheetId="0" hidden="1">{#N/A,#N/A,FALSE,"WRSUMMARY";#N/A,#N/A,FALSE,"ANNEX-1";#N/A,#N/A,FALSE,"ANNEX-2";#N/A,#N/A,FALSE,"ANNEX-3";#N/A,#N/A,FALSE,"WORKING"}</definedName>
    <definedName name="_age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b111" localSheetId="0" hidden="1">{#N/A,#N/A,FALSE,"Pharm";#N/A,#N/A,FALSE,"WWCM"}</definedName>
    <definedName name="_b2" localSheetId="0" hidden="1">{"PVGraph2",#N/A,FALSE,"PV Data"}</definedName>
    <definedName name="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i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localSheetId="0" hidden="1">{#N/A,"PURCHM",FALSE,"Business Analysis";#N/A,"SPADD",FALSE,"Business Analysis"}</definedName>
    <definedName name="_bkd87" localSheetId="0" hidden="1">{#N/A,"PURCHM",FALSE,"Business Analysis";#N/A,"SPADD",FALSE,"Business Analysis"}</definedName>
    <definedName name="_br1" localSheetId="0" hidden="1">{"Quarter1",#N/A,FALSE,"Sheet1";"Quarter2",#N/A,FALSE,"Sheet1";"Quarter3",#N/A,FALSE,"Sheet1";"Quarter4",#N/A,FALSE,"Sheet1"}</definedName>
    <definedName name="_c" localSheetId="0" hidden="1">{#N/A,#N/A,FALSE,"Layout Cash Flow"}</definedName>
    <definedName name="_c_1" localSheetId="0" hidden="1">{"Fiesta Facer Page",#N/A,FALSE,"Q_C_S";"Fiesta Main Page",#N/A,FALSE,"V_L";"Fiesta 95BP Struct",#N/A,FALSE,"StructBP";"Fiesta Post 95BP Struct",#N/A,FALSE,"AdjStructBP"}</definedName>
    <definedName name="_c_2" localSheetId="0" hidden="1">{"Fiesta Facer Page",#N/A,FALSE,"Q_C_S";"Fiesta Main Page",#N/A,FALSE,"V_L";"Fiesta 95BP Struct",#N/A,FALSE,"StructBP";"Fiesta Post 95BP Struct",#N/A,FALSE,"AdjStructBP"}</definedName>
    <definedName name="_c_3" localSheetId="0" hidden="1">{"Fiesta Facer Page",#N/A,FALSE,"Q_C_S";"Fiesta Main Page",#N/A,FALSE,"V_L";"Fiesta 95BP Struct",#N/A,FALSE,"StructBP";"Fiesta Post 95BP Struct",#N/A,FALSE,"AdjStructBP"}</definedName>
    <definedName name="_Ch3" localSheetId="0" hidden="1">{#N/A,#N/A,FALSE,"Carat";"VENTA",#N/A,FALSE,"05";#N/A,#N/A,FALSE,"06";"CASHFLOW",#N/A,FALSE,"05";"TAX PLAN",#N/A,FALSE,"05"}</definedName>
    <definedName name="_com" localSheetId="0" hidden="1">{"'OBT_6M_30_6'!$S$1:$AE$53"}</definedName>
    <definedName name="_d2" localSheetId="0" hidden="1">{"COMBINED",#N/A,FALSE,"BALANCE SHEET 2";"KRONE",#N/A,FALSE,"BALANCE SHEET 2";"INTERSYSTEMS",#N/A,FALSE,"BALANCE SHEET 2"}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ec07" localSheetId="0" hidden="1">{#N/A,#N/A,FALSE,"Staffnos &amp; cost"}</definedName>
    <definedName name="_df1" localSheetId="0" hidden="1">{#N/A,#N/A,FALSE,"Calc";#N/A,#N/A,FALSE,"Sensitivity";#N/A,#N/A,FALSE,"LT Earn.Dil.";#N/A,#N/A,FALSE,"Dil. AVP"}</definedName>
    <definedName name="_df2" localSheetId="0" hidden="1">{#N/A,#N/A,FALSE,"Calc";#N/A,#N/A,FALSE,"Sensitivity";#N/A,#N/A,FALSE,"LT Earn.Dil.";#N/A,#N/A,FALSE,"Dil. AVP"}</definedName>
    <definedName name="_dfk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v20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up1" localSheetId="0" hidden="1">{"ROCE Summ",#N/A,FALSE,"Property Management Exps"}</definedName>
    <definedName name="_dwa1" localSheetId="0" hidden="1">{#N/A,"PURCHM",FALSE,"Business Analysis";#N/A,"SPADD",FALSE,"Business Analysis"}</definedName>
    <definedName name="_eu93" localSheetId="0" hidden="1">{"Comp_of_Price_Effect",#N/A,FALSE,"QTRDPVAR"}</definedName>
    <definedName name="_eva2" localSheetId="0" hidden="1">{"DCF",#N/A,FALSE,"CF"}</definedName>
    <definedName name="_eva2_1" localSheetId="0" hidden="1">{"DCF",#N/A,FALSE,"CF"}</definedName>
    <definedName name="_eva2_2" localSheetId="0" hidden="1">{"DCF",#N/A,FALSE,"CF"}</definedName>
    <definedName name="_eva2_3" localSheetId="0" hidden="1">{"DCF",#N/A,FALSE,"CF"}</definedName>
    <definedName name="_eva2_4" localSheetId="0" hidden="1">{"DCF",#N/A,FALSE,"CF"}</definedName>
    <definedName name="_eva2_5" localSheetId="0" hidden="1">{"DCF",#N/A,FALSE,"CF"}</definedName>
    <definedName name="_FA1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fa2007" localSheetId="0" hidden="1">{"PG1",#N/A,FALSE,"SSL-FIN";"PG2",#N/A,FALSE,"SSL-FIN";"PG3",#N/A,FALSE,"SSL-FIN";"PG4",#N/A,FALSE,"SSL-FIN";"PG5",#N/A,FALSE,"SSL-FIN";"PG6",#N/A,FALSE,"SSL-FIN";"PG7",#N/A,FALSE,"SSL-FIN"}</definedName>
    <definedName name="_fco2" localSheetId="0" hidden="1">{#N/A,#N/A,FALSE,"gc (2)"}</definedName>
    <definedName name="_fco2_1" localSheetId="0" hidden="1">{#N/A,#N/A,FALSE,"gc (2)"}</definedName>
    <definedName name="_fco2_2" localSheetId="0" hidden="1">{#N/A,#N/A,FALSE,"gc (2)"}</definedName>
    <definedName name="_fco2_3" localSheetId="0" hidden="1">{#N/A,#N/A,FALSE,"gc (2)"}</definedName>
    <definedName name="_ff1" localSheetId="0" hidden="1">{"Header",#N/A,TRUE,"Summary";"ProjectInfo",#N/A,TRUE,"Total Value"}</definedName>
    <definedName name="_FM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1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4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5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7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y97" localSheetId="0" hidden="1">{#N/A,#N/A,FALSE,"FY97";#N/A,#N/A,FALSE,"FY98";#N/A,#N/A,FALSE,"FY99";#N/A,#N/A,FALSE,"FY00";#N/A,#N/A,FALSE,"FY01"}</definedName>
    <definedName name="_fy97_1" localSheetId="0" hidden="1">{#N/A,#N/A,FALSE,"FY97";#N/A,#N/A,FALSE,"FY98";#N/A,#N/A,FALSE,"FY99";#N/A,#N/A,FALSE,"FY00";#N/A,#N/A,FALSE,"FY01"}</definedName>
    <definedName name="_g1" localSheetId="0" hidden="1">{"'August 2000'!$A$1:$J$101"}</definedName>
    <definedName name="_g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Grp16" localSheetId="0" hidden="1">{#N/A,#N/A,FALSE,"PMTABB";#N/A,#N/A,FALSE,"PMTABB"}</definedName>
    <definedName name="_hd1" localSheetId="0" hidden="1">{#N/A,#N/A,FALSE,"Calc";#N/A,#N/A,FALSE,"Sensitivity";#N/A,#N/A,FALSE,"LT Earn.Dil.";#N/A,#N/A,FALSE,"Dil. AVP"}</definedName>
    <definedName name="_hd2" localSheetId="0" hidden="1">{#N/A,#N/A,FALSE,"Calc";#N/A,#N/A,FALSE,"Sensitivity";#N/A,#N/A,FALSE,"LT Earn.Dil.";#N/A,#N/A,FALSE,"Dil. AVP"}</definedName>
    <definedName name="_I2" localSheetId="0" hidden="1">{"PVGraph2",#N/A,FALSE,"PV Data"}</definedName>
    <definedName name="_i21" localSheetId="0" hidden="1">{"PVGraph2",#N/A,FALSE,"PV Data"}</definedName>
    <definedName name="_I22" localSheetId="0" hidden="1">{"PVGraph2",#N/A,FALSE,"PV Data"}</definedName>
    <definedName name="_i2211" localSheetId="0" hidden="1">{"PVGraph2",#N/A,FALSE,"PV Data"}</definedName>
    <definedName name="_i223" localSheetId="0" hidden="1">{"PVGraph2",#N/A,FALSE,"PV Data"}</definedName>
    <definedName name="_i23" localSheetId="0" hidden="1">{"PVGraph2",#N/A,FALSE,"PV Data"}</definedName>
    <definedName name="_i2323" localSheetId="0" hidden="1">{"PVGraph2",#N/A,FALSE,"PV Data"}</definedName>
    <definedName name="_i24" localSheetId="0" hidden="1">{"PVGraph2",#N/A,FALSE,"PV Data"}</definedName>
    <definedName name="_I3" localSheetId="0" hidden="1">{"PVGraph2",#N/A,FALSE,"PV Data"}</definedName>
    <definedName name="_II2" localSheetId="0" hidden="1">{"PVGraph2",#N/A,FALSE,"PV Data"}</definedName>
    <definedName name="_inv1" localSheetId="0" hidden="1">{"'CASHFLOW_REVISED'!$B$2:$F$68","'CASHFLOW_REVISED'!$B$2:$F$58"}</definedName>
    <definedName name="_JAN05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_jyr6" localSheetId="0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k13" localSheetId="0" hidden="1">{0,0,FALSE,0}</definedName>
    <definedName name="_k8" localSheetId="0" hidden="1">{#N/A,#N/A,FALSE,"COVER1.XLS ";#N/A,#N/A,FALSE,"RACT1.XLS";#N/A,#N/A,FALSE,"RACT2.XLS";#N/A,#N/A,FALSE,"ECCMP";#N/A,#N/A,FALSE,"WELDER.XLS"}</definedName>
    <definedName name="_kv2" localSheetId="0" hidden="1">{#N/A,#N/A,FALSE,"COVER1.XLS ";#N/A,#N/A,FALSE,"RACT1.XLS";#N/A,#N/A,FALSE,"RACT2.XLS";#N/A,#N/A,FALSE,"ECCMP";#N/A,#N/A,FALSE,"WELDER.XLS"}</definedName>
    <definedName name="_kvs1" localSheetId="0" hidden="1">{#N/A,#N/A,FALSE,"COVER1.XLS ";#N/A,#N/A,FALSE,"RACT1.XLS";#N/A,#N/A,FALSE,"RACT2.XLS";#N/A,#N/A,FALSE,"ECCMP";#N/A,#N/A,FALSE,"WELDER.XLS"}</definedName>
    <definedName name="_kvs2" localSheetId="0" hidden="1">{#N/A,#N/A,FALSE,"COVER1.XLS ";#N/A,#N/A,FALSE,"RACT1.XLS";#N/A,#N/A,FALSE,"RACT2.XLS";#N/A,#N/A,FALSE,"ECCMP";#N/A,#N/A,FALSE,"WELDER.XLS"}</definedName>
    <definedName name="_kvs5" localSheetId="0" hidden="1">{#N/A,#N/A,FALSE,"COVER.XLS";#N/A,#N/A,FALSE,"RACT1.XLS";#N/A,#N/A,FALSE,"RACT2.XLS";#N/A,#N/A,FALSE,"ECCMP";#N/A,#N/A,FALSE,"WELDER.XLS"}</definedName>
    <definedName name="_kvs7" localSheetId="0" hidden="1">{#N/A,#N/A,FALSE,"COVER1.XLS ";#N/A,#N/A,FALSE,"RACT1.XLS";#N/A,#N/A,FALSE,"RACT2.XLS";#N/A,#N/A,FALSE,"ECCMP";#N/A,#N/A,FALSE,"WELDER.XLS"}</definedName>
    <definedName name="_kvs8" localSheetId="0" hidden="1">{#N/A,#N/A,FALSE,"COVER1.XLS ";#N/A,#N/A,FALSE,"RACT1.XLS";#N/A,#N/A,FALSE,"RACT2.XLS";#N/A,#N/A,FALSE,"ECCMP";#N/A,#N/A,FALSE,"WELDER.XLS"}</definedName>
    <definedName name="_KVS9" localSheetId="0" hidden="1">{#N/A,#N/A,FALSE,"COVER1.XLS ";#N/A,#N/A,FALSE,"RACT1.XLS";#N/A,#N/A,FALSE,"RACT2.XLS";#N/A,#N/A,FALSE,"ECCMP";#N/A,#N/A,FALSE,"WELDER.XLS"}</definedName>
    <definedName name="_l2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Y05" localSheetId="0" hidden="1">{"bs",#N/A,FALSE,"BS";"pl",#N/A,FALSE,"PL"}</definedName>
    <definedName name="_mno9" localSheetId="0" hidden="1">{"detail",#N/A,FALSE,"mfg";"summary",#N/A,FALSE,"mfg"}</definedName>
    <definedName name="_nam305" localSheetId="0" hidden="1">{"detail",#N/A,FALSE,"mfg";"summary",#N/A,FALSE,"mfg"}</definedName>
    <definedName name="_New2" localSheetId="0" hidden="1">{"TOTAL",#N/A,FALSE,"A";"FISCAL94",#N/A,FALSE,"A";"FISCAL95",#N/A,FALSE,"A";"FISCAL96",#N/A,FALSE,"A";"misc page",#N/A,FALSE,"A"}</definedName>
    <definedName name="_NSO2" localSheetId="0" hidden="1">{"'Sheet1'!$L$16"}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P2" localSheetId="0" hidden="1">{#N/A,#N/A,TRUE,"流动资产--预付";"宁夏正大会计师事务所 - 个人视面",#N/A,TRUE,"Sheet1"}</definedName>
    <definedName name="_P4" localSheetId="0" hidden="1">{#N/A,#N/A,TRUE,"流动资产--预付";"宁夏正大会计师事务所 - 个人视面",#N/A,TRUE,"Sheet1"}</definedName>
    <definedName name="_P5" localSheetId="0" hidden="1">{#N/A,#N/A,TRUE,"流动资产--预付";"宁夏正大会计师事务所 - 个人视面",#N/A,TRUE,"Sheet1"}</definedName>
    <definedName name="_PL65" localSheetId="0" hidden="1">{"PAGE 1",#N/A,FALSE,"ES-01-XX";"PAGE 2",#N/A,FALSE,"ES-01-XX"}</definedName>
    <definedName name="_PL65_1" localSheetId="0" hidden="1">{"PAGE 1",#N/A,FALSE,"ES-01-XX";"PAGE 2",#N/A,FALSE,"ES-01-XX"}</definedName>
    <definedName name="_PL65_2" localSheetId="0" hidden="1">{"PAGE 1",#N/A,FALSE,"ES-01-XX";"PAGE 2",#N/A,FALSE,"ES-01-XX"}</definedName>
    <definedName name="_PL65_3" localSheetId="0" hidden="1">{"PAGE 1",#N/A,FALSE,"ES-01-XX";"PAGE 2",#N/A,FALSE,"ES-01-XX"}</definedName>
    <definedName name="_pp1" localSheetId="0" hidden="1">{#N/A,#N/A,FALSE,"Trends";#N/A,#N/A,FALSE,"As Reported";#N/A,#N/A,FALSE,"(un) Commited"}</definedName>
    <definedName name="_puc101" localSheetId="0" hidden="1">{#N/A,"PURCHM",FALSE,"Business Analysis";#N/A,"SPADD",FALSE,"Business Analysis"}</definedName>
    <definedName name="_puc102" localSheetId="0" hidden="1">{#N/A,"PURCHM",FALSE,"Business Analysis";#N/A,"SPADD",FALSE,"Business Analysis"}</definedName>
    <definedName name="_q2" localSheetId="0" hidden="1">{#N/A,#N/A,FALSE,"COVER1.XLS ";#N/A,#N/A,FALSE,"RACT1.XLS";#N/A,#N/A,FALSE,"RACT2.XLS";#N/A,#N/A,FALSE,"ECCMP";#N/A,#N/A,FALSE,"WELDER.XLS"}</definedName>
    <definedName name="_QQQ111" localSheetId="0" hidden="1">{#N/A,#N/A,FALSE,"Staffnos &amp; cost"}</definedName>
    <definedName name="_r" localSheetId="0" hidden="1">{"consolidated",#N/A,FALSE,"Sheet1";"cms",#N/A,FALSE,"Sheet1";"fse",#N/A,FALSE,"Sheet1"}</definedName>
    <definedName name="_r_1" localSheetId="0" hidden="1">{"consolidated",#N/A,FALSE,"Sheet1";"cms",#N/A,FALSE,"Sheet1";"fse",#N/A,FALSE,"Sheet1"}</definedName>
    <definedName name="_RA1" localSheetId="0" hidden="1">{"'Jan-02'!$F$46:$F$47","'Jan-02'!$F$46:$F$47"}</definedName>
    <definedName name="_ram1" localSheetId="0" hidden="1">{#N/A,#N/A,FALSE,"gc (2)"}</definedName>
    <definedName name="_ram1_1" localSheetId="0" hidden="1">{#N/A,#N/A,FALSE,"gc (2)"}</definedName>
    <definedName name="_ram1_2" localSheetId="0" hidden="1">{#N/A,#N/A,FALSE,"gc (2)"}</definedName>
    <definedName name="_ram1_3" localSheetId="0" hidden="1">{#N/A,#N/A,FALSE,"gc (2)"}</definedName>
    <definedName name="_rc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T25" localSheetId="0" hidden="1">{#N/A,#N/A,FALSE,"Umsatz 99";#N/A,#N/A,FALSE,"ER 99 "}</definedName>
    <definedName name="_s34" localSheetId="0" hidden="1">{"QTD_GENERALH2",#N/A,FALSE,"QTD"}</definedName>
    <definedName name="_sd34" localSheetId="0" hidden="1">{"QTD",#N/A,FALSE,"SUM"}</definedName>
    <definedName name="_sen2" localSheetId="0" hidden="1">{#N/A,#N/A,FALSE,"Carat";"VENTA",#N/A,FALSE,"05";#N/A,#N/A,FALSE,"06";"CASHFLOW",#N/A,FALSE,"05";"TAX PLAN",#N/A,FALSE,"05"}</definedName>
    <definedName name="_ss1" localSheetId="0" hidden="1">{"detail",#N/A,FALSE,"mfg";"summary",#N/A,FALSE,"mfg"}</definedName>
    <definedName name="_sti02" localSheetId="0" hidden="1">{#N/A,#N/A,FALSE,"gc (2)"}</definedName>
    <definedName name="_sti02_1" localSheetId="0" hidden="1">{#N/A,#N/A,FALSE,"gc (2)"}</definedName>
    <definedName name="_sti02_2" localSheetId="0" hidden="1">{#N/A,#N/A,FALSE,"gc (2)"}</definedName>
    <definedName name="_sti02_3" localSheetId="0" hidden="1">{#N/A,#N/A,FALSE,"gc (2)"}</definedName>
    <definedName name="_t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_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_3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_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_3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a1" localSheetId="0" hidden="1">{#N/A,#N/A,TRUE,"Financials";#N/A,#N/A,TRUE,"Operating Statistics";#N/A,#N/A,TRUE,"Capex &amp; Depreciation";#N/A,#N/A,TRUE,"Debt"}</definedName>
    <definedName name="_ta1_1" localSheetId="0" hidden="1">{#N/A,#N/A,TRUE,"Financials";#N/A,#N/A,TRUE,"Operating Statistics";#N/A,#N/A,TRUE,"Capex &amp; Depreciation";#N/A,#N/A,TRUE,"Debt"}</definedName>
    <definedName name="_ta1_2" localSheetId="0" hidden="1">{#N/A,#N/A,TRUE,"Financials";#N/A,#N/A,TRUE,"Operating Statistics";#N/A,#N/A,TRUE,"Capex &amp; Depreciation";#N/A,#N/A,TRUE,"Debt"}</definedName>
    <definedName name="_ta1_3" localSheetId="0" hidden="1">{#N/A,#N/A,TRUE,"Financials";#N/A,#N/A,TRUE,"Operating Statistics";#N/A,#N/A,TRUE,"Capex &amp; Depreciation";#N/A,#N/A,TRUE,"Debt"}</definedName>
    <definedName name="_tb1" localSheetId="0" hidden="1">{#N/A,#N/A,FALSE,"One Pager";#N/A,#N/A,FALSE,"Technical"}</definedName>
    <definedName name="_tb1_1" localSheetId="0" hidden="1">{#N/A,#N/A,FALSE,"One Pager";#N/A,#N/A,FALSE,"Technical"}</definedName>
    <definedName name="_tb1_2" localSheetId="0" hidden="1">{#N/A,#N/A,FALSE,"One Pager";#N/A,#N/A,FALSE,"Technical"}</definedName>
    <definedName name="_tb1_3" localSheetId="0" hidden="1">{#N/A,#N/A,FALSE,"One Pager";#N/A,#N/A,FALSE,"Technical"}</definedName>
    <definedName name="_tm1" localSheetId="0" hidden="1">{#N/A,#N/A,FALSE,"Pharm";#N/A,#N/A,FALSE,"WWCM"}</definedName>
    <definedName name="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V2" localSheetId="0" hidden="1">{#N/A,#N/A,FALSE,"Tabl. A1";#N/A,#N/A,FALSE,"Tabl. A1 b";#N/A,#N/A,FALSE,"Tabl. A2";#N/A,#N/A,FALSE,"Tabl. A2-1";#N/A,#N/A,FALSE,"Tabl. A2-2"}</definedName>
    <definedName name="_w1" localSheetId="0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1" localSheetId="0" hidden="1">{"PVGraph2",#N/A,FALSE,"PV Data"}</definedName>
    <definedName name="_w112" localSheetId="0" hidden="1">{"PVGraph2",#N/A,FALSE,"PV Data"}</definedName>
    <definedName name="_w1121" localSheetId="0" hidden="1">{"PVGraph2",#N/A,FALSE,"PV Data"}</definedName>
    <definedName name="_w12" localSheetId="0" hidden="1">{"PVGraph2",#N/A,FALSE,"PV Data"}</definedName>
    <definedName name="_w121" localSheetId="0" hidden="1">{"PVGraph2",#N/A,FALSE,"PV Data"}</definedName>
    <definedName name="_w12345" localSheetId="0" hidden="1">{"PVGraph2",#N/A,FALSE,"PV Data"}</definedName>
    <definedName name="_w13" localSheetId="0" hidden="1">{"PVGraph2",#N/A,FALSE,"PV Data"}</definedName>
    <definedName name="_w2" localSheetId="0" hidden="1">{"PVGraph2",#N/A,FALSE,"PV Data"}</definedName>
    <definedName name="_w3" localSheetId="0" hidden="1">{"PVGraph2",#N/A,FALSE,"PV Data"}</definedName>
    <definedName name="_w9" localSheetId="0" hidden="1">{"PVGraph2",#N/A,FALSE,"PV Data"}</definedName>
    <definedName name="_wrn071" localSheetId="0" hidden="1">{#N/A,"PURCHM",FALSE,"Business Analysis";#N/A,"SPADD",FALSE,"Business Analysis"}</definedName>
    <definedName name="_wrn1" localSheetId="0" hidden="1">{#N/A,#N/A,FALSE,"DCF";#N/A,#N/A,FALSE,"WACC";#N/A,#N/A,FALSE,"Sales_EBIT";#N/A,#N/A,FALSE,"Capex_Depreciation";#N/A,#N/A,FALSE,"WC";#N/A,#N/A,FALSE,"Interest";#N/A,#N/A,FALSE,"Assumptions"}</definedName>
    <definedName name="_wrn1_1" localSheetId="0" hidden="1">{#N/A,#N/A,FALSE,"DCF";#N/A,#N/A,FALSE,"WACC";#N/A,#N/A,FALSE,"Sales_EBIT";#N/A,#N/A,FALSE,"Capex_Depreciation";#N/A,#N/A,FALSE,"WC";#N/A,#N/A,FALSE,"Interest";#N/A,#N/A,FALSE,"Assumptions"}</definedName>
    <definedName name="_wrn213" localSheetId="0" hidden="1">{"detail",#N/A,FALSE,"mfg";"summary",#N/A,FALSE,"mfg"}</definedName>
    <definedName name="_wrn3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_WRN41" localSheetId="0" hidden="1">{"detail",#N/A,FALSE,"mfg";"summary",#N/A,FALSE,"mfg"}</definedName>
    <definedName name="_wrn413" localSheetId="0" hidden="1">{"detail",#N/A,FALSE,"mfg";"summary",#N/A,FALSE,"mfg"}</definedName>
    <definedName name="_wrn51" localSheetId="0" hidden="1">{#N/A,"PURCHM",FALSE,"Business Analysis";#N/A,"SPADD",FALSE,"Business Analysis"}</definedName>
    <definedName name="_wrn61" localSheetId="0" hidden="1">{"detail",#N/A,FALSE,"mfg";"summary",#N/A,FALSE,"mfg"}</definedName>
    <definedName name="_wrn651" localSheetId="0" hidden="1">{"detail",#N/A,FALSE,"mfg";"summary",#N/A,FALSE,"mfg"}</definedName>
    <definedName name="_WVU41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2" localSheetId="0" hidden="1">{"PVGraph2",#N/A,FALSE,"PV Data"}</definedName>
    <definedName name="_x3" localSheetId="0" hidden="1">{"detail",#N/A,FALSE,"mfg";"summary",#N/A,FALSE,"mfg"}</definedName>
    <definedName name="_x4" localSheetId="0" hidden="1">{#N/A,"PURCHM",FALSE,"Business Analysis";#N/A,"SPADD",FALSE,"Business Analysis"}</definedName>
    <definedName name="_x5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x10" localSheetId="0" hidden="1">{#N/A,"PURCHM",FALSE,"Business Analysis";#N/A,"SPADD",FALSE,"Business Analysis"}</definedName>
    <definedName name="_xx3" localSheetId="0" hidden="1">{"detail",#N/A,FALSE,"mfg";"summary",#N/A,FALSE,"mfg"}</definedName>
    <definedName name="_xx4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localSheetId="0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localSheetId="0" hidden="1">{"oct_res_comm",#N/A,FALSE,"VarToBud"}</definedName>
    <definedName name="_xx8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localSheetId="0" hidden="1">{"AS REP",#N/A,FALSE,"EEFSNAP2";"PROP",#N/A,FALSE,"EEFSNAP2";"RISKS",#N/A,FALSE,"EEFSNAP2";"VIEW ALL",#N/A,FALSE,"EEFSNAP2"}</definedName>
    <definedName name="_y2" localSheetId="0" hidden="1">{"PVGraph2",#N/A,FALSE,"PV Data"}</definedName>
    <definedName name="_y22" localSheetId="0" hidden="1">{"PVGraph2",#N/A,FALSE,"PV Data"}</definedName>
    <definedName name="_Z04" localSheetId="0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localSheetId="0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localSheetId="0" hidden="1">{"pro_view",#N/A,FALSE,"EEFSNAP2";"rep_view",#N/A,FALSE,"EEFSNAP2"}</definedName>
    <definedName name="_z2" localSheetId="0" hidden="1">{"Sch00",#N/A,FALSE,"1";"Contents",#N/A,FALSE,"1"}</definedName>
    <definedName name="_z2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localSheetId="0" hidden="1">{"detail",#N/A,FALSE,"mfg";"summary",#N/A,FALSE,"mfg"}</definedName>
    <definedName name="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z1" localSheetId="0" hidden="1">{"pro_view",#N/A,FALSE,"EEFSNAP2";"rep_view",#N/A,FALSE,"EEFSNAP2"}</definedName>
    <definedName name="_zz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_1" localSheetId="0" hidden="1">{#N/A,#N/A,FALSE,"PMTABB";#N/A,#N/A,FALSE,"PMTABB"}</definedName>
    <definedName name="a_2" localSheetId="0" hidden="1">{#N/A,#N/A,FALSE,"PMTABB";#N/A,#N/A,FALSE,"PMTABB"}</definedName>
    <definedName name="a_3" localSheetId="0" hidden="1">{#N/A,#N/A,FALSE,"PMTABB";#N/A,#N/A,FALSE,"PMTABB"}</definedName>
    <definedName name="a_4" localSheetId="0" hidden="1">{#N/A,#N/A,FALSE,"PMTABB";#N/A,#N/A,FALSE,"PMTABB"}</definedName>
    <definedName name="A11A" localSheetId="0" hidden="1">{#N/A,#N/A,FALSE,"Umsatz 99";#N/A,#N/A,FALSE,"ER 99 "}</definedName>
    <definedName name="a1a" localSheetId="0" hidden="1">{#N/A,"PURCHM",FALSE,"Business Analysis";#N/A,"SPADD",FALSE,"Business Analysis"}</definedName>
    <definedName name="a1b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localSheetId="0" hidden="1">{"detail",#N/A,FALSE,"mfg";"summary",#N/A,FALSE,"mfg"}</definedName>
    <definedName name="aa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äää" localSheetId="0" hidden="1">{#N/A,#N/A,FALSE,"Umsatz 99";#N/A,#N/A,FALSE,"ER 99 "}</definedName>
    <definedName name="AAA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_2" localSheetId="0" hidden="1">{#N/A,#N/A,FALSE,"PMTABB";#N/A,#N/A,FALSE,"PMTABB"}</definedName>
    <definedName name="aaa_3" localSheetId="0" hidden="1">{#N/A,#N/A,FALSE,"PMTABB";#N/A,#N/A,FALSE,"PMTABB"}</definedName>
    <definedName name="aaa_4" localSheetId="0" hidden="1">{#N/A,#N/A,FALSE,"PMTABB";#N/A,#N/A,FALSE,"PMTABB"}</definedName>
    <definedName name="aaa0" localSheetId="0" hidden="1">{#N/A,#N/A,FALSE,"Aging Summary";#N/A,#N/A,FALSE,"Ratio Analysis";#N/A,#N/A,FALSE,"Test 120 Day Accts";#N/A,#N/A,FALSE,"Tickmarks"}</definedName>
    <definedName name="aaa0_1" localSheetId="0" hidden="1">{#N/A,#N/A,FALSE,"Aging Summary";#N/A,#N/A,FALSE,"Ratio Analysis";#N/A,#N/A,FALSE,"Test 120 Day Accts";#N/A,#N/A,FALSE,"Tickmarks"}</definedName>
    <definedName name="aaa0_2" localSheetId="0" hidden="1">{#N/A,#N/A,FALSE,"Aging Summary";#N/A,#N/A,FALSE,"Ratio Analysis";#N/A,#N/A,FALSE,"Test 120 Day Accts";#N/A,#N/A,FALSE,"Tickmarks"}</definedName>
    <definedName name="aaa0_3" localSheetId="0" hidden="1">{#N/A,#N/A,FALSE,"Aging Summary";#N/A,#N/A,FALSE,"Ratio Analysis";#N/A,#N/A,FALSE,"Test 120 Day Accts";#N/A,#N/A,FALSE,"Tickmarks"}</definedName>
    <definedName name="aaa0_4" localSheetId="0" hidden="1">{#N/A,#N/A,FALSE,"Aging Summary";#N/A,#N/A,FALSE,"Ratio Analysis";#N/A,#N/A,FALSE,"Test 120 Day Accts";#N/A,#N/A,FALSE,"Tickmarks"}</definedName>
    <definedName name="aaa0_5" localSheetId="0" hidden="1">{#N/A,#N/A,FALSE,"Aging Summary";#N/A,#N/A,FALSE,"Ratio Analysis";#N/A,#N/A,FALSE,"Test 120 Day Accts";#N/A,#N/A,FALSE,"Tickmarks"}</definedName>
    <definedName name="AAA1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5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6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7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8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 localSheetId="0" hidden="1">{#N/A,#N/A,TRUE,"index";#N/A,#N/A,TRUE,"Summary";#N/A,#N/A,TRUE,"Continuing Business";#N/A,#N/A,TRUE,"Disposals";#N/A,#N/A,TRUE,"Acquisitions";#N/A,#N/A,TRUE,"Actual &amp; Plan Reconciliation"}</definedName>
    <definedName name="aaaa_1" localSheetId="0" hidden="1">{#N/A,#N/A,FALSE,"Model";#N/A,#N/A,FALSE,"Division"}</definedName>
    <definedName name="aaaaa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_1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a" localSheetId="0" hidden="1">{#N/A,#N/A,FALSE,"REPORT"}</definedName>
    <definedName name="aaaaaaa" localSheetId="0" hidden="1">{#N/A,#N/A,FALSE,"REPORT"}</definedName>
    <definedName name="aaaaaaaaa" localSheetId="0" hidden="1">{#N/A,"PURCHM",FALSE,"Business Analysis";#N/A,"SPADD",FALSE,"Business Analysis"}</definedName>
    <definedName name="aaaaaaaaaa" localSheetId="0" hidden="1">{#N/A,#N/A,TRUE,"BALSCH";#N/A,#N/A,TRUE,"COMICRO";#N/A,#N/A,TRUE,"CHECKS";#N/A,#N/A,TRUE,"GLASS";#N/A,#N/A,TRUE,"DEPRE";#N/A,#N/A,TRUE,"A&amp;MCUR";#N/A,#N/A,TRUE,"AGEANAlysis";#N/A,#N/A,TRUE,"CHECKS"}</definedName>
    <definedName name="aaaaaaaaaaa" localSheetId="0" hidden="1">{#N/A,#N/A,FALSE,"REPORT"}</definedName>
    <definedName name="AAAAAAAAAAAA" localSheetId="0" hidden="1">{#N/A,#N/A,FALSE,"Tabl. A1";#N/A,#N/A,FALSE,"Tabl. A1 b";#N/A,#N/A,FALSE,"Tabl. A2";#N/A,#N/A,FALSE,"Tabl. A2-1";#N/A,#N/A,FALSE,"Tabl. A2-2"}</definedName>
    <definedName name="aaaaaaaaaaaaaaa" localSheetId="0" hidden="1">{#N/A,#N/A,FALSE,"Pharm";#N/A,#N/A,FALSE,"WWCM"}</definedName>
    <definedName name="aaaaaaaaaaaaaaaa" localSheetId="0" hidden="1">{#N/A,#N/A,FALSE,"Calc";#N/A,#N/A,FALSE,"Sensitivity";#N/A,#N/A,FALSE,"LT Earn.Dil.";#N/A,#N/A,FALSE,"Dil. AVP"}</definedName>
    <definedName name="aaaaaaaaaaaaaaaaa" localSheetId="0" hidden="1">{#N/A,"PURCHM",FALSE,"Business Analysis";#N/A,"SPADD",FALSE,"Business Analysis"}</definedName>
    <definedName name="aaaaaaaaaaaaaaaaaaaaaaaaaa" localSheetId="0" hidden="1">{"detail",#N/A,FALSE,"mfg";"summary",#N/A,FALSE,"mfg"}</definedName>
    <definedName name="aaaaaaaaaaaaaaaaaaaaaaaaaaaaaaaaaaaaaaaaa" localSheetId="0" hidden="1">{"'Sch B'!$B$15:$L$17"}</definedName>
    <definedName name="aaaaab" localSheetId="0" hidden="1">{#N/A,#N/A,FALSE,"Model";#N/A,#N/A,FALSE,"Division"}</definedName>
    <definedName name="aaaaab_1" localSheetId="0" hidden="1">{#N/A,#N/A,FALSE,"Model";#N/A,#N/A,FALSE,"Division"}</definedName>
    <definedName name="äääööö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localSheetId="0" hidden="1">{#N/A,#N/A,FALSE,"Pharm";#N/A,#N/A,FALSE,"WWCM"}</definedName>
    <definedName name="aab" localSheetId="0" hidden="1">{#N/A,#N/A,FALSE,"AUDIT-MWOS"}</definedName>
    <definedName name="aaddd" localSheetId="0" hidden="1">{#N/A,#N/A,FALSE,"REPORT"}</definedName>
    <definedName name="aas" localSheetId="0" hidden="1">{#N/A,#N/A,TRUE,"constb"}</definedName>
    <definedName name="aasd" localSheetId="0" hidden="1">{#N/A,#N/A,TRUE,"BT M200 da 10x20"}</definedName>
    <definedName name="aaww" localSheetId="0" hidden="1">{"Polymers Details",#N/A,FALSE,"Current Yr";"Polymer Details",#N/A,FALSE,"Budget";"Polymer Details",#N/A,FALSE,"Prior Year"}</definedName>
    <definedName name="aax" localSheetId="0" hidden="1">{"detail",#N/A,FALSE,"mfg";"summary",#N/A,FALSE,"mfg"}</definedName>
    <definedName name="AAZAZER" localSheetId="0" hidden="1">{#N/A,#N/A,FALSE,"Tabl. A1";#N/A,#N/A,FALSE,"Tabl. A1 b";#N/A,#N/A,FALSE,"Tabl. A2";#N/A,#N/A,FALSE,"Tabl. A2-1";#N/A,#N/A,FALSE,"Tabl. A2-2"}</definedName>
    <definedName name="ab" localSheetId="0" hidden="1">{#N/A,#N/A,FALSE,"Aging Summary";#N/A,#N/A,FALSE,"Ratio Analysis";#N/A,#N/A,FALSE,"Test 120 Day Accts";#N/A,#N/A,FALSE,"Tickmarks"}</definedName>
    <definedName name="ab_1" localSheetId="0" hidden="1">{#N/A,#N/A,FALSE,"FREE"}</definedName>
    <definedName name="ab_2" localSheetId="0" hidden="1">{#N/A,#N/A,FALSE,"FREE"}</definedName>
    <definedName name="ab_3" localSheetId="0" hidden="1">{#N/A,#N/A,FALSE,"FREE"}</definedName>
    <definedName name="ab_4" localSheetId="0" hidden="1">{#N/A,#N/A,FALSE,"FREE"}</definedName>
    <definedName name="abb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c" localSheetId="0" hidden="1">{#N/A,#N/A,FALSE,"Aging Summary";#N/A,#N/A,FALSE,"Ratio Analysis";#N/A,#N/A,FALSE,"Test 120 Day Accts";#N/A,#N/A,FALSE,"Tickmarks"}</definedName>
    <definedName name="abc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abc0mq" localSheetId="0" hidden="1">{#N/A,"PURCHM",FALSE,"Business Analysis";#N/A,"SPADD",FALSE,"Business Analysis"}</definedName>
    <definedName name="abc0nks" localSheetId="0" hidden="1">{"detail",#N/A,FALSE,"mfg";"summary",#N/A,FALSE,"mfg"}</definedName>
    <definedName name="abc101a" localSheetId="0" hidden="1">{#N/A,"PURCHM",FALSE,"Business Analysis";#N/A,"SPADD",FALSE,"Business Analysis"}</definedName>
    <definedName name="abc109a" localSheetId="0" hidden="1">{"detail",#N/A,FALSE,"mfg";"summary",#N/A,FALSE,"mfg"}</definedName>
    <definedName name="abc11a" localSheetId="0" hidden="1">{"detail",#N/A,FALSE,"mfg";"summary",#N/A,FALSE,"mfg"}</definedName>
    <definedName name="abc11ab" localSheetId="0" hidden="1">{#N/A,"PURCHM",FALSE,"Business Analysis";#N/A,"SPADD",FALSE,"Business Analysis"}</definedName>
    <definedName name="abc12a" localSheetId="0" hidden="1">{"detail",#N/A,FALSE,"mfg";"summary",#N/A,FALSE,"mfg"}</definedName>
    <definedName name="abc13a" localSheetId="0" hidden="1">{"detail",#N/A,FALSE,"mfg";"summary",#N/A,FALSE,"mfg"}</definedName>
    <definedName name="abc14a" localSheetId="0" hidden="1">{"detail",#N/A,FALSE,"mfg";"summary",#N/A,FALSE,"mfg"}</definedName>
    <definedName name="abc1b" localSheetId="0" hidden="1">{#N/A,"PURCHM",FALSE,"Business Analysis";#N/A,"SPADD",FALSE,"Business Analysis"}</definedName>
    <definedName name="abc200a" localSheetId="0" hidden="1">{"detail",#N/A,FALSE,"mfg";"summary",#N/A,FALSE,"mfg"}</definedName>
    <definedName name="abc202a" localSheetId="0" hidden="1">{"detail",#N/A,FALSE,"mfg";"summary",#N/A,FALSE,"mfg"}</definedName>
    <definedName name="abc202b" localSheetId="0" hidden="1">{#N/A,"PURCHM",FALSE,"Business Analysis";#N/A,"SPADD",FALSE,"Business Analysis"}</definedName>
    <definedName name="abc213a" localSheetId="0" hidden="1">{"detail",#N/A,FALSE,"mfg";"summary",#N/A,FALSE,"mfg"}</definedName>
    <definedName name="abc2a" localSheetId="0" hidden="1">{"detail",#N/A,FALSE,"mfg";"summary",#N/A,FALSE,"mfg"}</definedName>
    <definedName name="abc312b" localSheetId="0" hidden="1">{"detail",#N/A,FALSE,"mfg";"summary",#N/A,FALSE,"mfg"}</definedName>
    <definedName name="abc31a" localSheetId="0" hidden="1">{"detail",#N/A,FALSE,"mfg";"summary",#N/A,FALSE,"mfg"}</definedName>
    <definedName name="abc32b" localSheetId="0" hidden="1">{"detail",#N/A,FALSE,"mfg";"summary",#N/A,FALSE,"mfg"}</definedName>
    <definedName name="abc35b" localSheetId="0" hidden="1">{"detail",#N/A,FALSE,"mfg";"summary",#N/A,FALSE,"mfg"}</definedName>
    <definedName name="abc36b" localSheetId="0" hidden="1">{"detail",#N/A,FALSE,"mfg";"summary",#N/A,FALSE,"mfg"}</definedName>
    <definedName name="abc37b" localSheetId="0" hidden="1">{"detail",#N/A,FALSE,"mfg";"summary",#N/A,FALSE,"mfg"}</definedName>
    <definedName name="abc38b" localSheetId="0" hidden="1">{"detail",#N/A,FALSE,"mfg";"summary",#N/A,FALSE,"mfg"}</definedName>
    <definedName name="abc41b" localSheetId="0" hidden="1">{"detail",#N/A,FALSE,"mfg";"summary",#N/A,FALSE,"mfg"}</definedName>
    <definedName name="abc42b" localSheetId="0" hidden="1">{"detail",#N/A,FALSE,"mfg";"summary",#N/A,FALSE,"mfg"}</definedName>
    <definedName name="abc51b" localSheetId="0" hidden="1">{"detail",#N/A,FALSE,"mfg";"summary",#N/A,FALSE,"mfg"}</definedName>
    <definedName name="abc61b" localSheetId="0" hidden="1">{"detail",#N/A,FALSE,"mfg";"summary",#N/A,FALSE,"mfg"}</definedName>
    <definedName name="abc67v" localSheetId="0" hidden="1">{#N/A,"PURCHM",FALSE,"Business Analysis";#N/A,"SPADD",FALSE,"Business Analysis"}</definedName>
    <definedName name="abc71b" localSheetId="0" hidden="1">{"detail",#N/A,FALSE,"mfg";"summary",#N/A,FALSE,"mfg"}</definedName>
    <definedName name="abc9bn" localSheetId="0" hidden="1">{"detail",#N/A,FALSE,"mfg";"summary",#N/A,FALSE,"mfg"}</definedName>
    <definedName name="abc9er" localSheetId="0" hidden="1">{"detail",#N/A,FALSE,"mfg";"summary",#N/A,FALSE,"mfg"}</definedName>
    <definedName name="abc9kn" localSheetId="0" hidden="1">{"detail",#N/A,FALSE,"mfg";"summary",#N/A,FALSE,"mfg"}</definedName>
    <definedName name="abca312" localSheetId="0" hidden="1">{"detail",#N/A,FALSE,"mfg";"summary",#N/A,FALSE,"mfg"}</definedName>
    <definedName name="abca312b" localSheetId="0" hidden="1">{"detail",#N/A,FALSE,"mfg";"summary",#N/A,FALSE,"mfg"}</definedName>
    <definedName name="abcd" localSheetId="0" hidden="1">{#N/A,#N/A,FALSE,"Aging Summary";#N/A,#N/A,FALSE,"Ratio Analysis";#N/A,#N/A,FALSE,"Test 120 Day Accts";#N/A,#N/A,FALSE,"Tickmarks"}</definedName>
    <definedName name="abcd1" localSheetId="0" hidden="1">{#N/A,"PURCHM",FALSE,"Business Analysis";#N/A,"SPADD",FALSE,"Business Analysis"}</definedName>
    <definedName name="abcd10" localSheetId="0" hidden="1">{#N/A,"PURCHM",FALSE,"Business Analysis";#N/A,"SPADD",FALSE,"Business Analysis"}</definedName>
    <definedName name="abcd101" localSheetId="0" hidden="1">{#N/A,"PURCHM",FALSE,"Business Analysis";#N/A,"SPADD",FALSE,"Business Analysis"}</definedName>
    <definedName name="abcd10a" localSheetId="0" hidden="1">{#N/A,"PURCHM",FALSE,"Business Analysis";#N/A,"SPADD",FALSE,"Business Analysis"}</definedName>
    <definedName name="abcd11" localSheetId="0" hidden="1">{#N/A,"PURCHM",FALSE,"Business Analysis";#N/A,"SPADD",FALSE,"Business Analysis"}</definedName>
    <definedName name="abcd12" localSheetId="0" hidden="1">{#N/A,"PURCHM",FALSE,"Business Analysis";#N/A,"SPADD",FALSE,"Business Analysis"}</definedName>
    <definedName name="abcd12b" localSheetId="0" hidden="1">{#N/A,"PURCHM",FALSE,"Business Analysis";#N/A,"SPADD",FALSE,"Business Analysis"}</definedName>
    <definedName name="abcd2" localSheetId="0" hidden="1">{#N/A,"PURCHM",FALSE,"Business Analysis";#N/A,"SPADD",FALSE,"Business Analysis"}</definedName>
    <definedName name="abcd200" localSheetId="0" hidden="1">{#N/A,"PURCHM",FALSE,"Business Analysis";#N/A,"SPADD",FALSE,"Business Analysis"}</definedName>
    <definedName name="abcd200b" localSheetId="0" hidden="1">{#N/A,"PURCHM",FALSE,"Business Analysis";#N/A,"SPADD",FALSE,"Business Analysis"}</definedName>
    <definedName name="abcd202" localSheetId="0" hidden="1">{#N/A,"PURCHM",FALSE,"Business Analysis";#N/A,"SPADD",FALSE,"Business Analysis"}</definedName>
    <definedName name="abcd21" localSheetId="0" hidden="1">{#N/A,"PURCHM",FALSE,"Business Analysis";#N/A,"SPADD",FALSE,"Business Analysis"}</definedName>
    <definedName name="abcd212" localSheetId="0" hidden="1">{#N/A,"PURCHM",FALSE,"Business Analysis";#N/A,"SPADD",FALSE,"Business Analysis"}</definedName>
    <definedName name="abcd21225b" localSheetId="0" hidden="1">{#N/A,"PURCHM",FALSE,"Business Analysis";#N/A,"SPADD",FALSE,"Business Analysis"}</definedName>
    <definedName name="abcd212b" localSheetId="0" hidden="1">{#N/A,"PURCHM",FALSE,"Business Analysis";#N/A,"SPADD",FALSE,"Business Analysis"}</definedName>
    <definedName name="abcd213" localSheetId="0" hidden="1">{#N/A,"PURCHM",FALSE,"Business Analysis";#N/A,"SPADD",FALSE,"Business Analysis"}</definedName>
    <definedName name="abcd213b" localSheetId="0" hidden="1">{#N/A,"PURCHM",FALSE,"Business Analysis";#N/A,"SPADD",FALSE,"Business Analysis"}</definedName>
    <definedName name="abcd21kb" localSheetId="0" hidden="1">{#N/A,"PURCHM",FALSE,"Business Analysis";#N/A,"SPADD",FALSE,"Business Analysis"}</definedName>
    <definedName name="abcd254" localSheetId="0" hidden="1">{#N/A,"PURCHM",FALSE,"Business Analysis";#N/A,"SPADD",FALSE,"Business Analysis"}</definedName>
    <definedName name="abcd2ab" localSheetId="0" hidden="1">{#N/A,"PURCHM",FALSE,"Business Analysis";#N/A,"SPADD",FALSE,"Business Analysis"}</definedName>
    <definedName name="abcd312" localSheetId="0" hidden="1">{#N/A,"PURCHM",FALSE,"Business Analysis";#N/A,"SPADD",FALSE,"Business Analysis"}</definedName>
    <definedName name="abcd312bd" localSheetId="0" hidden="1">{#N/A,"PURCHM",FALSE,"Business Analysis";#N/A,"SPADD",FALSE,"Business Analysis"}</definedName>
    <definedName name="abcd32" localSheetId="0" hidden="1">{#N/A,"PURCHM",FALSE,"Business Analysis";#N/A,"SPADD",FALSE,"Business Analysis"}</definedName>
    <definedName name="abcd32b" localSheetId="0" hidden="1">{#N/A,"PURCHM",FALSE,"Business Analysis";#N/A,"SPADD",FALSE,"Business Analysis"}</definedName>
    <definedName name="abcd33" localSheetId="0" hidden="1">{"detail",#N/A,FALSE,"mfg";"summary",#N/A,FALSE,"mfg"}</definedName>
    <definedName name="abcd33b" localSheetId="0" hidden="1">{"detail",#N/A,FALSE,"mfg";"summary",#N/A,FALSE,"mfg"}</definedName>
    <definedName name="abcd34" localSheetId="0" hidden="1">{#N/A,"PURCHM",FALSE,"Business Analysis";#N/A,"SPADD",FALSE,"Business Analysis"}</definedName>
    <definedName name="abcd34b" localSheetId="0" hidden="1">{#N/A,"PURCHM",FALSE,"Business Analysis";#N/A,"SPADD",FALSE,"Business Analysis"}</definedName>
    <definedName name="abcd35" localSheetId="0" hidden="1">{#N/A,"PURCHM",FALSE,"Business Analysis";#N/A,"SPADD",FALSE,"Business Analysis"}</definedName>
    <definedName name="abcd35b" localSheetId="0" hidden="1">{#N/A,"PURCHM",FALSE,"Business Analysis";#N/A,"SPADD",FALSE,"Business Analysis"}</definedName>
    <definedName name="abcd36" localSheetId="0" hidden="1">{"detail",#N/A,FALSE,"mfg";"summary",#N/A,FALSE,"mfg"}</definedName>
    <definedName name="abcd36b" localSheetId="0" hidden="1">{"detail",#N/A,FALSE,"mfg";"summary",#N/A,FALSE,"mfg"}</definedName>
    <definedName name="abcd39" localSheetId="0" hidden="1">{#N/A,"PURCHM",FALSE,"Business Analysis";#N/A,"SPADD",FALSE,"Business Analysis"}</definedName>
    <definedName name="abcd39bd" localSheetId="0" hidden="1">{#N/A,"PURCHM",FALSE,"Business Analysis";#N/A,"SPADD",FALSE,"Business Analysis"}</definedName>
    <definedName name="ABCD41" localSheetId="0" hidden="1">{#N/A,"PURCHM",FALSE,"Business Analysis";#N/A,"SPADD",FALSE,"Business Analysis"}</definedName>
    <definedName name="abcd412" localSheetId="0" hidden="1">{#N/A,"PURCHM",FALSE,"Business Analysis";#N/A,"SPADD",FALSE,"Business Analysis"}</definedName>
    <definedName name="abcd412bd" localSheetId="0" hidden="1">{#N/A,"PURCHM",FALSE,"Business Analysis";#N/A,"SPADD",FALSE,"Business Analysis"}</definedName>
    <definedName name="abcd41bd" localSheetId="0" hidden="1">{#N/A,"PURCHM",FALSE,"Business Analysis";#N/A,"SPADD",FALSE,"Business Analysis"}</definedName>
    <definedName name="abcd42" localSheetId="0" hidden="1">{#N/A,"PURCHM",FALSE,"Business Analysis";#N/A,"SPADD",FALSE,"Business Analysis"}</definedName>
    <definedName name="abcd42bd" localSheetId="0" hidden="1">{#N/A,"PURCHM",FALSE,"Business Analysis";#N/A,"SPADD",FALSE,"Business Analysis"}</definedName>
    <definedName name="abcd45" localSheetId="0" hidden="1">{#N/A,"PURCHM",FALSE,"Business Analysis";#N/A,"SPADD",FALSE,"Business Analysis"}</definedName>
    <definedName name="abcd45bd" localSheetId="0" hidden="1">{#N/A,"PURCHM",FALSE,"Business Analysis";#N/A,"SPADD",FALSE,"Business Analysis"}</definedName>
    <definedName name="abcd50" localSheetId="0" hidden="1">{#N/A,"PURCHM",FALSE,"Business Analysis";#N/A,"SPADD",FALSE,"Business Analysis"}</definedName>
    <definedName name="abcd51" localSheetId="0" hidden="1">{#N/A,"PURCHM",FALSE,"Business Analysis";#N/A,"SPADD",FALSE,"Business Analysis"}</definedName>
    <definedName name="abcd51bd" localSheetId="0" hidden="1">{#N/A,"PURCHM",FALSE,"Business Analysis";#N/A,"SPADD",FALSE,"Business Analysis"}</definedName>
    <definedName name="abcd61" localSheetId="0" hidden="1">{#N/A,"PURCHM",FALSE,"Business Analysis";#N/A,"SPADD",FALSE,"Business Analysis"}</definedName>
    <definedName name="abcd61bd" localSheetId="0" hidden="1">{#N/A,"PURCHM",FALSE,"Business Analysis";#N/A,"SPADD",FALSE,"Business Analysis"}</definedName>
    <definedName name="abcd71" localSheetId="0" hidden="1">{#N/A,"PURCHM",FALSE,"Business Analysis";#N/A,"SPADD",FALSE,"Business Analysis"}</definedName>
    <definedName name="abcd71bd" localSheetId="0" hidden="1">{#N/A,"PURCHM",FALSE,"Business Analysis";#N/A,"SPADD",FALSE,"Business Analysis"}</definedName>
    <definedName name="abcd90" localSheetId="0" hidden="1">{#N/A,"PURCHM",FALSE,"Business Analysis";#N/A,"SPADD",FALSE,"Business Analysis"}</definedName>
    <definedName name="abcd98b" localSheetId="0" hidden="1">{#N/A,"PURCHM",FALSE,"Business Analysis";#N/A,"SPADD",FALSE,"Business Analysis"}</definedName>
    <definedName name="abcda" localSheetId="0" hidden="1">{#N/A,"PURCHM",FALSE,"Business Analysis";#N/A,"SPADD",FALSE,"Business Analysis"}</definedName>
    <definedName name="abcda101" localSheetId="0" hidden="1">{#N/A,"PURCHM",FALSE,"Business Analysis";#N/A,"SPADD",FALSE,"Business Analysis"}</definedName>
    <definedName name="abcde" localSheetId="0" hidden="1">{#N/A,#N/A,FALSE,"Aging Summary";#N/A,#N/A,FALSE,"Ratio Analysis";#N/A,#N/A,FALSE,"Test 120 Day Accts";#N/A,#N/A,FALSE,"Tickmarks"}</definedName>
    <definedName name="abcdef" localSheetId="0" hidden="1">{"Cost Summary",#N/A,FALSE,"B";"Cost Detail 1",#N/A,FALSE,"C";"Cost Detail 2",#N/A,FALSE,"C"}</definedName>
    <definedName name="abcdmibh" localSheetId="0" hidden="1">{#N/A,"PURCHM",FALSE,"Business Analysis";#N/A,"SPADD",FALSE,"Business Analysis"}</definedName>
    <definedName name="abcdv102" localSheetId="0" hidden="1">{#N/A,"PURCHM",FALSE,"Business Analysis";#N/A,"SPADD",FALSE,"Business Analysis"}</definedName>
    <definedName name="abcdv102d" localSheetId="0" hidden="1">{#N/A,"PURCHM",FALSE,"Business Analysis";#N/A,"SPADD",FALSE,"Business Analysis"}</definedName>
    <definedName name="abci9" localSheetId="0" hidden="1">{#N/A,"PURCHM",FALSE,"Business Analysis";#N/A,"SPADD",FALSE,"Business Analysis"}</definedName>
    <definedName name="abci92" localSheetId="0" hidden="1">{#N/A,"PURCHM",FALSE,"Business Analysis";#N/A,"SPADD",FALSE,"Business Analysis"}</definedName>
    <definedName name="abcj9i" localSheetId="0" hidden="1">{"detail",#N/A,FALSE,"mfg";"summary",#N/A,FALSE,"mfg"}</definedName>
    <definedName name="abckg" localSheetId="0" hidden="1">{#N/A,"PURCHM",FALSE,"Business Analysis";#N/A,"SPADD",FALSE,"Business Analysis"}</definedName>
    <definedName name="abcklg" localSheetId="0" hidden="1">{"detail",#N/A,FALSE,"mfg";"summary",#N/A,FALSE,"mfg"}</definedName>
    <definedName name="abcl96\" localSheetId="0" hidden="1">{#N/A,"PURCHM",FALSE,"Business Analysis";#N/A,"SPADD",FALSE,"Business Analysis"}</definedName>
    <definedName name="abclkj" localSheetId="0" hidden="1">{"detail",#N/A,FALSE,"mfg";"summary",#N/A,FALSE,"mfg"}</definedName>
    <definedName name="abclxs" localSheetId="0" hidden="1">{"detail",#N/A,FALSE,"mfg";"summary",#N/A,FALSE,"mfg"}</definedName>
    <definedName name="abcoi" localSheetId="0" hidden="1">{"detail",#N/A,FALSE,"mfg";"summary",#N/A,FALSE,"mfg"}</definedName>
    <definedName name="abcois" localSheetId="0" hidden="1">{"detail",#N/A,FALSE,"mfg";"summary",#N/A,FALSE,"mfg"}</definedName>
    <definedName name="abji" localSheetId="0" hidden="1">{#N/A,"PURCHM",FALSE,"Business Analysis";#N/A,"SPADD",FALSE,"Business Analysis"}</definedName>
    <definedName name="abki9" localSheetId="0" hidden="1">{#N/A,"PURCHM",FALSE,"Business Analysis";#N/A,"SPADD",FALSE,"Business Analysis"}</definedName>
    <definedName name="ablo5" localSheetId="0" hidden="1">{#N/A,"PURCHM",FALSE,"Business Analysis";#N/A,"SPADD",FALSE,"Business Analysis"}</definedName>
    <definedName name="ABN" localSheetId="0" hidden="1">{#N/A,#N/A,FALSE,"Tabl. FB300";#N/A,#N/A,FALSE,"Tabl. FB350";#N/A,#N/A,FALSE,"Tabl. FB400";#N/A,#N/A,FALSE,"Tabl. FB500";#N/A,#N/A,FALSE,"Tabl. FS090"}</definedName>
    <definedName name="Abrisa" localSheetId="0" hidden="1">{"FY04_Assets",#N/A,FALSE,"Fin Stmt Budget";"FY04_Liabilities",#N/A,FALSE,"Fin Stmt Budget";"FY04_Inc_Stmt",#N/A,FALSE,"Fin Stmt Budget";"FY04_SOCF",#N/A,FALSE,"Fin Stmt Budget"}</definedName>
    <definedName name="ab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c_1" localSheetId="0" hidden="1">{#N/A,#N/A,FALSE,"One Pager";#N/A,#N/A,FALSE,"Technical"}</definedName>
    <definedName name="Ac_2" localSheetId="0" hidden="1">{#N/A,#N/A,FALSE,"One Pager";#N/A,#N/A,FALSE,"Technical"}</definedName>
    <definedName name="Ac_3" localSheetId="0" hidden="1">{#N/A,#N/A,FALSE,"One Pager";#N/A,#N/A,FALSE,"Technical"}</definedName>
    <definedName name="acc_1" localSheetId="0" hidden="1">{#N/A,#N/A,FALSE,"Calc";#N/A,#N/A,FALSE,"Sensitivity";#N/A,#N/A,FALSE,"LT Earn.Dil.";#N/A,#N/A,FALSE,"Dil. AVP"}</definedName>
    <definedName name="accs" localSheetId="0" hidden="1">{"detail",#N/A,FALSE,"mfg";"summary",#N/A,FALSE,"mfg"}</definedName>
    <definedName name="ACHART_82" localSheetId="0" hidden="1">{#VALUE!,#N/A,FALSE,0;#N/A,#N/A,FALSE,0;#N/A,#N/A,FALSE,0;#N/A,#N/A,FALSE,0}</definedName>
    <definedName name="ACHART_82_1" localSheetId="0" hidden="1">{#VALUE!,#N/A,FALSE,0;#N/A,#N/A,FALSE,0;#N/A,#N/A,FALSE,0;#N/A,#N/A,FALSE,0}</definedName>
    <definedName name="ACHART_82_2" localSheetId="0" hidden="1">{#VALUE!,#N/A,FALSE,0;#N/A,#N/A,FALSE,0;#N/A,#N/A,FALSE,0;#N/A,#N/A,FALSE,0}</definedName>
    <definedName name="ACHART_82_3" localSheetId="0" hidden="1">{#VALUE!,#N/A,FALSE,0;#N/A,#N/A,FALSE,0;#N/A,#N/A,FALSE,0;#N/A,#N/A,FALSE,0}</definedName>
    <definedName name="ACHART_82_4" localSheetId="0" hidden="1">{#VALUE!,#N/A,FALSE,0;#N/A,#N/A,FALSE,0;#N/A,#N/A,FALSE,0;#N/A,#N/A,FALSE,0}</definedName>
    <definedName name="ACHART_82_5" localSheetId="0" hidden="1">{#VALUE!,#N/A,FALSE,0;#N/A,#N/A,FALSE,0;#N/A,#N/A,FALSE,0;#N/A,#N/A,FALSE,0}</definedName>
    <definedName name="actionplan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p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_1" localSheetId="0" hidden="1">{#N/A,#N/A,FALSE,"PMTABB";#N/A,#N/A,FALSE,"PMTABB"}</definedName>
    <definedName name="ada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sd" localSheetId="0" hidden="1">{#N/A,#N/A,FALSE,"KA CH  (2)"}</definedName>
    <definedName name="adc" localSheetId="0" hidden="1">{#N/A,"PURCHM",FALSE,"Business Analysis";#N/A,"SPADD",FALSE,"Business Analysis"}</definedName>
    <definedName name="add_BO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adfasfdadf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localSheetId="0" hidden="1">{"sales growth",#N/A,FALSE,"summary";"oper income",#N/A,FALSE,"summary";"oros rank",#N/A,FALSE,"summary";"net assets",#N/A,FALSE,"summary";"asset turnover",#N/A,FALSE,"summary";"orona",#N/A,FALSE,"summary"}</definedName>
    <definedName name="adfgasdysty" localSheetId="0" hidden="1">{#N/A,#N/A,FALSE,"REPORT"}</definedName>
    <definedName name="adfrs" localSheetId="0" hidden="1">{#N/A,#N/A,FALSE,"COVER.XLS";#N/A,#N/A,FALSE,"RACT1.XLS";#N/A,#N/A,FALSE,"RACT2.XLS";#N/A,#N/A,FALSE,"ECCMP";#N/A,#N/A,FALSE,"WELDER.XLS"}</definedName>
    <definedName name="adfs" localSheetId="0" hidden="1">{#N/A,#N/A,FALSE,"PMTABB";#N/A,#N/A,FALSE,"PMTABB"}</definedName>
    <definedName name="adfs_2" localSheetId="0" hidden="1">{#N/A,#N/A,FALSE,"PMTABB";#N/A,#N/A,FALSE,"PMTABB"}</definedName>
    <definedName name="adfs_3" localSheetId="0" hidden="1">{#N/A,#N/A,FALSE,"PMTABB";#N/A,#N/A,FALSE,"PMTABB"}</definedName>
    <definedName name="adfs_4" localSheetId="0" hidden="1">{#N/A,#N/A,FALSE,"PMTABB";#N/A,#N/A,FALSE,"PMTABB"}</definedName>
    <definedName name="adfsfjfjky" localSheetId="0" hidden="1">{#N/A,#N/A,FALSE,"REPORT"}</definedName>
    <definedName name="adfvad" localSheetId="0" hidden="1">{#N/A,#N/A,FALSE,"Aging Summary";#N/A,#N/A,FALSE,"Ratio Analysis";#N/A,#N/A,FALSE,"Test 120 Day Accts";#N/A,#N/A,FALSE,"Tickmarks"}</definedName>
    <definedName name="adgfgd" localSheetId="0" hidden="1">{"detail",#N/A,FALSE,"mfg";"summary",#N/A,FALSE,"mfg"}</definedName>
    <definedName name="ADJ" localSheetId="0" hidden="1">{#N/A,#N/A,FALSE,"Aging Summary";#N/A,#N/A,FALSE,"Ratio Analysis";#N/A,#N/A,FALSE,"Test 120 Day Accts";#N/A,#N/A,FALSE,"Tickmarks"}</definedName>
    <definedName name="Adriaan10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1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2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3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4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5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1" localSheetId="0" hidden="1">{"Totax",#N/A,FALSE,"Sheet1";#N/A,#N/A,FALSE,"Law Output"}</definedName>
    <definedName name="Adriaan11_1" localSheetId="0" hidden="1">{"Totax",#N/A,FALSE,"Sheet1";#N/A,#N/A,FALSE,"Law Output"}</definedName>
    <definedName name="Adriaan11_2" localSheetId="0" hidden="1">{"Totax",#N/A,FALSE,"Sheet1";#N/A,#N/A,FALSE,"Law Output"}</definedName>
    <definedName name="Adriaan11_3" localSheetId="0" hidden="1">{"Totax",#N/A,FALSE,"Sheet1";#N/A,#N/A,FALSE,"Law Output"}</definedName>
    <definedName name="Adriaan11_4" localSheetId="0" hidden="1">{"Totax",#N/A,FALSE,"Sheet1";#N/A,#N/A,FALSE,"Law Output"}</definedName>
    <definedName name="Adriaan11_5" localSheetId="0" hidden="1">{"Totax",#N/A,FALSE,"Sheet1";#N/A,#N/A,FALSE,"Law Output"}</definedName>
    <definedName name="Adriaan9" localSheetId="0" hidden="1">{"Totax",#N/A,FALSE,"Sheet1";#N/A,#N/A,FALSE,"Law Output"}</definedName>
    <definedName name="Adriaan9_1" localSheetId="0" hidden="1">{"Totax",#N/A,FALSE,"Sheet1";#N/A,#N/A,FALSE,"Law Output"}</definedName>
    <definedName name="Adriaan9_2" localSheetId="0" hidden="1">{"Totax",#N/A,FALSE,"Sheet1";#N/A,#N/A,FALSE,"Law Output"}</definedName>
    <definedName name="Adriaan9_3" localSheetId="0" hidden="1">{"Totax",#N/A,FALSE,"Sheet1";#N/A,#N/A,FALSE,"Law Output"}</definedName>
    <definedName name="Adriaan9_4" localSheetId="0" hidden="1">{"Totax",#N/A,FALSE,"Sheet1";#N/A,#N/A,FALSE,"Law Output"}</definedName>
    <definedName name="Adriaan9_5" localSheetId="0" hidden="1">{"Totax",#N/A,FALSE,"Sheet1";#N/A,#N/A,FALSE,"Law Output"}</definedName>
    <definedName name="ads" localSheetId="0" hidden="1">{"detail",#N/A,FALSE,"mfg";"summary",#N/A,FALSE,"mfg"}</definedName>
    <definedName name="adsasdasd" localSheetId="0" hidden="1">{#N/A,#N/A,FALSE,"AUDIT-MWOS"}</definedName>
    <definedName name="adsf" localSheetId="0" hidden="1">{"QTD",#N/A,FALSE,"SUM"}</definedName>
    <definedName name="adsfgds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v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ED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aer" localSheetId="0" hidden="1">{#N/A,#N/A,FALSE,"EW"}</definedName>
    <definedName name="aer_2" localSheetId="0" hidden="1">{#N/A,#N/A,FALSE,"EW"}</definedName>
    <definedName name="aer_3" localSheetId="0" hidden="1">{#N/A,#N/A,FALSE,"EW"}</definedName>
    <definedName name="aer_4" localSheetId="0" hidden="1">{#N/A,#N/A,FALSE,"EW"}</definedName>
    <definedName name="aew" localSheetId="0" hidden="1">{#N/A,"PURCHM",FALSE,"Business Analysis";#N/A,"SPADD",FALSE,"Business Analysis"}</definedName>
    <definedName name="afc" localSheetId="0" hidden="1">{"detail",#N/A,FALSE,"mfg";"summary",#N/A,FALSE,"mfg"}</definedName>
    <definedName name="AFDADSFDAS" localSheetId="0" hidden="1">{#N/A,#N/A,FALSE,"REPORT"}</definedName>
    <definedName name="afds" localSheetId="0" hidden="1">{"Quarter1",#N/A,FALSE,"Sheet1";"Quarter2",#N/A,FALSE,"Sheet1";"Quarter3",#N/A,FALSE,"Sheet1";"Quarter4",#N/A,FALSE,"Sheet1"}</definedName>
    <definedName name="AFECLKZE" localSheetId="0" hidden="1">{#N/A,#N/A,FALSE,"Tabl. A1";#N/A,#N/A,FALSE,"Tabl. A1 b";#N/A,#N/A,FALSE,"Tabl. A2";#N/A,#N/A,FALSE,"Tabl. A2-1";#N/A,#N/A,FALSE,"Tabl. A2-2"}</definedName>
    <definedName name="AFGGF" localSheetId="0" hidden="1">{#N/A,#N/A,FALSE,"Tabl. D1";#N/A,#N/A,FALSE,"Tabl. D1 b";#N/A,#N/A,FALSE,"Tabl. D2";#N/A,#N/A,FALSE,"Tabl. D2 b";#N/A,#N/A,FALSE,"Tabl. D3";#N/A,#N/A,FALSE,"Tabl. D4";#N/A,#N/A,FALSE,"Tabl. D5"}</definedName>
    <definedName name="africa" localSheetId="0" hidden="1">{#N/A,#N/A,FALSE,"CNS";#N/A,#N/A,FALSE,"Serz";#N/A,#N/A,FALSE,"Ace"}</definedName>
    <definedName name="AFSDF" localSheetId="0" hidden="1">{#N/A,#N/A,FALSE,"PMTABB";#N/A,#N/A,FALSE,"PMTABB"}</definedName>
    <definedName name="AFSDF_1" localSheetId="0" hidden="1">{#N/A,#N/A,FALSE,"PMTABB";#N/A,#N/A,FALSE,"PMTABB"}</definedName>
    <definedName name="AFSDF_2" localSheetId="0" hidden="1">{#N/A,#N/A,FALSE,"PMTABB";#N/A,#N/A,FALSE,"PMTABB"}</definedName>
    <definedName name="AFSDF_3" localSheetId="0" hidden="1">{#N/A,#N/A,FALSE,"PMTABB";#N/A,#N/A,FALSE,"PMTABB"}</definedName>
    <definedName name="AFSDF_4" localSheetId="0" hidden="1">{#N/A,#N/A,FALSE,"PMTABB";#N/A,#N/A,FALSE,"PMTABB"}</definedName>
    <definedName name="afsdrt" localSheetId="0" hidden="1">{#N/A,#N/A,FALSE,"Aging Summary";#N/A,#N/A,FALSE,"Ratio Analysis";#N/A,#N/A,FALSE,"Test 120 Day Accts";#N/A,#N/A,FALSE,"Tickmarks"}</definedName>
    <definedName name="afsdrt_2" localSheetId="0" hidden="1">{#N/A,#N/A,FALSE,"Aging Summary";#N/A,#N/A,FALSE,"Ratio Analysis";#N/A,#N/A,FALSE,"Test 120 Day Accts";#N/A,#N/A,FALSE,"Tickmarks"}</definedName>
    <definedName name="afsdrt_3" localSheetId="0" hidden="1">{#N/A,#N/A,FALSE,"Aging Summary";#N/A,#N/A,FALSE,"Ratio Analysis";#N/A,#N/A,FALSE,"Test 120 Day Accts";#N/A,#N/A,FALSE,"Tickmarks"}</definedName>
    <definedName name="afsdrt_4" localSheetId="0" hidden="1">{#N/A,#N/A,FALSE,"Aging Summary";#N/A,#N/A,FALSE,"Ratio Analysis";#N/A,#N/A,FALSE,"Test 120 Day Accts";#N/A,#N/A,FALSE,"Tickmarks"}</definedName>
    <definedName name="afssdrt" localSheetId="0" hidden="1">{#N/A,#N/A,FALSE,"EW"}</definedName>
    <definedName name="afssdrt_2" localSheetId="0" hidden="1">{#N/A,#N/A,FALSE,"EW"}</definedName>
    <definedName name="afssdrt_3" localSheetId="0" hidden="1">{#N/A,#N/A,FALSE,"EW"}</definedName>
    <definedName name="afssdrt_4" localSheetId="0" hidden="1">{#N/A,#N/A,FALSE,"EW"}</definedName>
    <definedName name="ag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1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localSheetId="0" hidden="1">{#N/A,#N/A,FALSE,"REPORT"}</definedName>
    <definedName name="agcd22" localSheetId="0" hidden="1">{#N/A,"PURCHM",FALSE,"Business Analysis";#N/A,"SPADD",FALSE,"Business Analysis"}</definedName>
    <definedName name="agcd22bd" localSheetId="0" hidden="1">{#N/A,"PURCHM",FALSE,"Business Analysis";#N/A,"SPADD",FALSE,"Business Analysis"}</definedName>
    <definedName name="age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_1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ing" localSheetId="0" hidden="1">{#N/A,#N/A,FALSE,"Aging Summary";#N/A,#N/A,FALSE,"Ratio Analysis";#N/A,#N/A,FALSE,"Test 120 Day Accts";#N/A,#N/A,FALSE,"Tickmarks"}</definedName>
    <definedName name="aging_1" localSheetId="0" hidden="1">{#N/A,#N/A,FALSE,"Aging Summary";#N/A,#N/A,FALSE,"Ratio Analysis";#N/A,#N/A,FALSE,"Test 120 Day Accts";#N/A,#N/A,FALSE,"Tickmarks"}</definedName>
    <definedName name="agsgaghgfj" localSheetId="0" hidden="1">{#N/A,#N/A,FALSE,"Pharm";#N/A,#N/A,FALSE,"WWCM"}</definedName>
    <definedName name="Agust" localSheetId="0" hidden="1">{#N/A,#N/A,FALSE,"0895";"LOWER PORTION",#N/A,FALSE,"0895"}</definedName>
    <definedName name="Agust_1" localSheetId="0" hidden="1">{#N/A,#N/A,FALSE,"0895";"LOWER PORTION",#N/A,FALSE,"0895"}</definedName>
    <definedName name="Agust_2" localSheetId="0" hidden="1">{#N/A,#N/A,FALSE,"0895";"LOWER PORTION",#N/A,FALSE,"0895"}</definedName>
    <definedName name="Agust_3" localSheetId="0" hidden="1">{#N/A,#N/A,FALSE,"0895";"LOWER PORTION",#N/A,FALSE,"0895"}</definedName>
    <definedName name="Agust_4" localSheetId="0" hidden="1">{#N/A,#N/A,FALSE,"0895";"LOWER PORTION",#N/A,FALSE,"0895"}</definedName>
    <definedName name="Agust_5" localSheetId="0" hidden="1">{#N/A,#N/A,FALSE,"0895";"LOWER PORTION",#N/A,FALSE,"0895"}</definedName>
    <definedName name="ajaj\" localSheetId="0" hidden="1">{"'Sch B'!$B$15:$L$17"}</definedName>
    <definedName name="alex" localSheetId="0" hidden="1">{#N/A,#N/A,FALSE,"REPORT"}</definedName>
    <definedName name="alexan" localSheetId="0" hidden="1">{#N/A,#N/A,FALSE,"REPORT"}</definedName>
    <definedName name="älll" localSheetId="0" hidden="1">{#N/A,#N/A,FALSE,"Produkte Erw.";#N/A,#N/A,FALSE,"Produkte Plan";#N/A,#N/A,FALSE,"Leistungen Erw.";#N/A,#N/A,FALSE,"Leistungen Plan";#N/A,#N/A,FALSE,"KA Allg.Kosten (2)";#N/A,#N/A,FALSE,"KA All.Kosten"}</definedName>
    <definedName name="alpuussss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it" localSheetId="0" hidden="1">{"Balance Sheet",#N/A,FALSE,"Balsheet";"Assets Schedule",#N/A,FALSE,"Balsheet";"Abstract",#N/A,FALSE,"Balsheet"}</definedName>
    <definedName name="Amit1" localSheetId="0" hidden="1">{#N/A,#N/A,FALSE,"Status of Projects";#N/A,#N/A,FALSE,"CEA-TEC";#N/A,#N/A,FALSE,"U-Constr.";#N/A,#N/A,FALSE,"summary";#N/A,#N/A,FALSE,"PPP-3 yrs"}</definedName>
    <definedName name="Amit2" localSheetId="0" hidden="1">{#N/A,#N/A,FALSE,"Status of Projects";#N/A,#N/A,FALSE,"CEA-TEC";#N/A,#N/A,FALSE,"U-Constr.";#N/A,#N/A,FALSE,"summary";#N/A,#N/A,FALSE,"PPP-3 yrs"}</definedName>
    <definedName name="amn" localSheetId="0" hidden="1">{#N/A,#N/A,FALSE,"Staffnos &amp; cost"}</definedName>
    <definedName name="amortis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añ" localSheetId="0" hidden="1">{"Performance Details",#N/A,FALSE,"Current Yr";"Performance Details",#N/A,FALSE,"Budget";"Performance Details",#N/A,FALSE,"Prior Year"}</definedName>
    <definedName name="anal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y" localSheetId="0" hidden="1">{#N/A,#N/A,FALSE,"REPORT"}</definedName>
    <definedName name="Aneexure" localSheetId="0" hidden="1">{#N/A,#N/A,FALSE,"Staffnos &amp; cost"}</definedName>
    <definedName name="Annexure" localSheetId="0" hidden="1">{#N/A,#N/A,FALSE,"Staffnos &amp; cost"}</definedName>
    <definedName name="annual1" localSheetId="0" hidden="1">{#N/A,#N/A,FALSE,"earnings"}</definedName>
    <definedName name="äöäö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ty" localSheetId="0" hidden="1">{#N/A,#N/A,FALSE,"WRSUMMARY";#N/A,#N/A,FALSE,"ANNEX-1";#N/A,#N/A,FALSE,"ANNEX-2";#N/A,#N/A,FALSE,"ANNEX-3";#N/A,#N/A,FALSE,"WORKING"}</definedName>
    <definedName name="aq" localSheetId="0" hidden="1">{#N/A,#N/A,FALSE,"COMP"}</definedName>
    <definedName name="aqw" localSheetId="0" hidden="1">{#N/A,"PURCHM",FALSE,"Business Analysis";#N/A,"SPADD",FALSE,"Business Analysis"}</definedName>
    <definedName name="AR" localSheetId="0" hidden="1">{#N/A,#N/A,FALSE,"Status of Projects";#N/A,#N/A,FALSE,"CEA-TEC";#N/A,#N/A,FALSE,"U-Constr.";#N/A,#N/A,FALSE,"summary";#N/A,#N/A,FALSE,"PPP-3 yrs"}</definedName>
    <definedName name="ARC" localSheetId="0" hidden="1">{#N/A,#N/A,FALSE,"Status of Projects";#N/A,#N/A,FALSE,"CEA-TEC";#N/A,#N/A,FALSE,"U-Constr.";#N/A,#N/A,FALSE,"summary";#N/A,#N/A,FALSE,"PPP-3 yrs"}</definedName>
    <definedName name="as" localSheetId="0" hidden="1">{#N/A,#N/A,FALSE,"Aging Summary";#N/A,#N/A,FALSE,"Ratio Analysis";#N/A,#N/A,FALSE,"Test 120 Day Accts";#N/A,#N/A,FALSE,"Tickmarks"}</definedName>
    <definedName name="as_1" localSheetId="0" hidden="1">{#N/A,#N/A,FALSE,"Balance Sheet";#N/A,#N/A,FALSE,"Income Statement";#N/A,#N/A,FALSE,"Changes in Financial Position"}</definedName>
    <definedName name="asad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0" hidden="1">{#N/A,#N/A,FALSE,"AUDIT-MWOS"}</definedName>
    <definedName name="asasaaaaaaaaaa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asas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SASASASA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asasdas" localSheetId="0" hidden="1">{"'Sheet1'!$L$16"}</definedName>
    <definedName name="ASCVBN" localSheetId="0" hidden="1">{#N/A,#N/A,FALSE,"Tabl. D1";#N/A,#N/A,FALSE,"Tabl. D1 b";#N/A,#N/A,FALSE,"Tabl. D2";#N/A,#N/A,FALSE,"Tabl. D2 b";#N/A,#N/A,FALSE,"Tabl. D3";#N/A,#N/A,FALSE,"Tabl. D4";#N/A,#N/A,FALSE,"Tabl. D5"}</definedName>
    <definedName name="asd" localSheetId="0" hidden="1">{#N/A,#N/A,FALSE,"Pharm";#N/A,#N/A,FALSE,"WWCM"}</definedName>
    <definedName name="asdadsad" localSheetId="0" hidden="1">{#N/A,#N/A,FALSE,"Aging Summary";#N/A,#N/A,FALSE,"Ratio Analysis";#N/A,#N/A,FALSE,"Test 120 Day Accts";#N/A,#N/A,FALSE,"Tickmarks"}</definedName>
    <definedName name="asdadsasd" localSheetId="0" hidden="1">{#N/A,#N/A,FALSE,"AUDIT-MWOS"}</definedName>
    <definedName name="asdasdadadadasdasd" localSheetId="0" hidden="1">{#N/A,#N/A,FALSE,"Aging Summary";#N/A,#N/A,FALSE,"Ratio Analysis";#N/A,#N/A,FALSE,"Test 120 Day Accts";#N/A,#N/A,FALSE,"Tickmarks"}</definedName>
    <definedName name="asdasdasdads" localSheetId="0" hidden="1">{#N/A,#N/A,FALSE,"Aging Summary";#N/A,#N/A,FALSE,"Ratio Analysis";#N/A,#N/A,FALSE,"Test 120 Day Accts";#N/A,#N/A,FALSE,"Tickmarks"}</definedName>
    <definedName name="ASDASF" localSheetId="0" hidden="1">{#N/A,#N/A,FALSE,"Aging Summary";#N/A,#N/A,FALSE,"Ratio Analysis";#N/A,#N/A,FALSE,"Test 120 Day Accts";#N/A,#N/A,FALSE,"Tickmarks"}</definedName>
    <definedName name="asdaweqe" localSheetId="0" hidden="1">{#N/A,#N/A,FALSE,"Status of Projects";#N/A,#N/A,FALSE,"CEA-TEC";#N/A,#N/A,FALSE,"U-Constr.";#N/A,#N/A,FALSE,"summary";#N/A,#N/A,FALSE,"PPP-3 yrs"}</definedName>
    <definedName name="asdf_2" localSheetId="0" hidden="1">{#N/A,#N/A,FALSE,"PMTABB";#N/A,#N/A,FALSE,"PMTABB"}</definedName>
    <definedName name="asdf_3" localSheetId="0" hidden="1">{#N/A,#N/A,FALSE,"PMTABB";#N/A,#N/A,FALSE,"PMTABB"}</definedName>
    <definedName name="asdf_4" localSheetId="0" hidden="1">{#N/A,#N/A,FALSE,"PMTABB";#N/A,#N/A,FALSE,"PMTABB"}</definedName>
    <definedName name="asdfa" localSheetId="0" hidden="1">{#N/A,#N/A,FALSE,"Staffnos &amp; cost"}</definedName>
    <definedName name="asdfadg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df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sdfdfddfsf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" localSheetId="0" hidden="1">{#N/A,#N/A,FALSE,"Pharm";#N/A,#N/A,FALSE,"WWCM"}</definedName>
    <definedName name="asdgahdfhth" localSheetId="0" hidden="1">{#N/A,#N/A,FALSE,"REPORT"}</definedName>
    <definedName name="asdgayery" localSheetId="0" hidden="1">{#N/A,#N/A,FALSE,"Pharm";#N/A,#N/A,FALSE,"WWCM"}</definedName>
    <definedName name="asdgfdytyet" localSheetId="0" hidden="1">{#N/A,#N/A,FALSE,"REPORT"}</definedName>
    <definedName name="asdgtryukuio" localSheetId="0" hidden="1">{#N/A,#N/A,FALSE,"REPORT"}</definedName>
    <definedName name="asdjasldkfj" localSheetId="0" hidden="1">{#N/A,#N/A,FALSE,"PMTABB";#N/A,#N/A,FALSE,"PMTABB"}</definedName>
    <definedName name="asdjasldkfj_1" localSheetId="0" hidden="1">{#N/A,#N/A,FALSE,"PMTABB";#N/A,#N/A,FALSE,"PMTABB"}</definedName>
    <definedName name="asdjasldkfj_2" localSheetId="0" hidden="1">{#N/A,#N/A,FALSE,"PMTABB";#N/A,#N/A,FALSE,"PMTABB"}</definedName>
    <definedName name="asdjasldkfj_3" localSheetId="0" hidden="1">{#N/A,#N/A,FALSE,"PMTABB";#N/A,#N/A,FALSE,"PMTABB"}</definedName>
    <definedName name="asdjasldkfj_4" localSheetId="0" hidden="1">{#N/A,#N/A,FALSE,"PMTABB";#N/A,#N/A,FALSE,"PMTABB"}</definedName>
    <definedName name="asdjgkl" localSheetId="0" hidden="1">{#N/A,#N/A,FALSE,"Pharm";#N/A,#N/A,FALSE,"WWCM"}</definedName>
    <definedName name="asdkjf" localSheetId="0" hidden="1">{"Quarter1",#N/A,FALSE,"Sheet1";"Quarter2",#N/A,FALSE,"Sheet1";"Quarter3",#N/A,FALSE,"Sheet1";"Quarter4",#N/A,FALSE,"Sheet1"}</definedName>
    <definedName name="asds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 localSheetId="0" hidden="1">{#N/A,#N/A,FALSE,"ISBL"}</definedName>
    <definedName name="asdsar_2" localSheetId="0" hidden="1">{#N/A,#N/A,FALSE,"ISBL"}</definedName>
    <definedName name="asdsar_3" localSheetId="0" hidden="1">{#N/A,#N/A,FALSE,"ISBL"}</definedName>
    <definedName name="asdsar_4" localSheetId="0" hidden="1">{#N/A,#N/A,FALSE,"ISBL"}</definedName>
    <definedName name="asdse" localSheetId="0" hidden="1">{#N/A,#N/A,FALSE,"Model";#N/A,#N/A,FALSE,"Division"}</definedName>
    <definedName name="asedfdf" localSheetId="0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f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d" localSheetId="0" hidden="1">{#N/A,#N/A,FALSE,"Model";#N/A,#N/A,FALSE,"Division"}</definedName>
    <definedName name="asffghujyki" localSheetId="0" hidden="1">{#N/A,#N/A,FALSE,"Pharm";#N/A,#N/A,FALSE,"WWCM"}</definedName>
    <definedName name="asfg" localSheetId="0" hidden="1">{#N/A,#N/A,FALSE,"Balance Sheet";#N/A,#N/A,FALSE,"Income Statement";#N/A,#N/A,FALSE,"Changes in Financial Position"}</definedName>
    <definedName name="asfg_1" localSheetId="0" hidden="1">{#N/A,#N/A,FALSE,"Balance Sheet";#N/A,#N/A,FALSE,"Income Statement";#N/A,#N/A,FALSE,"Changes in Financial Position"}</definedName>
    <definedName name="asfsdf" localSheetId="0" hidden="1">{#N/A,#N/A,FALSE,"COMP"}</definedName>
    <definedName name="asjk" localSheetId="0" hidden="1">{"350FTSE44","COMPANIES",TRUE}</definedName>
    <definedName name="asqq" localSheetId="0" hidden="1">{"Performance Details",#N/A,FALSE,"Current Yr";"Performance Details",#N/A,FALSE,"Budget";"Performance Details",#N/A,FALSE,"Prior Year"}</definedName>
    <definedName name="ass" localSheetId="0" hidden="1">{#N/A,#N/A,FALSE,"Balance Sheet";#N/A,#N/A,FALSE,"Income Statement";#N/A,#N/A,FALSE,"Changes in Financial Position"}</definedName>
    <definedName name="ass_1" localSheetId="0" hidden="1">{#N/A,#N/A,FALSE,"Balance Sheet";#N/A,#N/A,FALSE,"Income Statement";#N/A,#N/A,FALSE,"Changes in Financial Position"}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T" localSheetId="0" hidden="1">{#N/A,#N/A,FALSE,"COVER.XLS";#N/A,#N/A,FALSE,"RACT1.XLS";#N/A,#N/A,FALSE,"RACT2.XLS";#N/A,#N/A,FALSE,"ECCMP";#N/A,#N/A,FALSE,"WELDER.XLS"}</definedName>
    <definedName name="asw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aswe" localSheetId="0" hidden="1">{"TXO2N2_GP",#N/A,FALSE,"MTHLYGP";"TXH2_GP",#N/A,FALSE,"MTHLYGP";"LOUIS_GP",#N/A,FALSE,"MTHLYGP";"H2_GP",#N/A,FALSE,"MTHLYGP";"O2N2_GP",#N/A,FALSE,"MTHLYGP";"PACKAGE_GP",#N/A,FALSE,"MTHLYGP";"OTHER_GP",#N/A,FALSE,"MTHLYGP"}</definedName>
    <definedName name="asx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atish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ugust" localSheetId="0" hidden="1">{"TOP PORTION",#N/A,FALSE,"0895"}</definedName>
    <definedName name="August_1" localSheetId="0" hidden="1">{"TOP PORTION",#N/A,FALSE,"0895"}</definedName>
    <definedName name="August_2" localSheetId="0" hidden="1">{"TOP PORTION",#N/A,FALSE,"0895"}</definedName>
    <definedName name="August_3" localSheetId="0" hidden="1">{"TOP PORTION",#N/A,FALSE,"0895"}</definedName>
    <definedName name="August_4" localSheetId="0" hidden="1">{"TOP PORTION",#N/A,FALSE,"0895"}</definedName>
    <definedName name="August_5" localSheetId="0" hidden="1">{"TOP PORTION",#N/A,FALSE,"0895"}</definedName>
    <definedName name="ave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v" localSheetId="0" hidden="1">{#N/A,#N/A,TRUE,"index";#N/A,#N/A,TRUE,"Summary";#N/A,#N/A,TRUE,"Continuing Business";#N/A,#N/A,TRUE,"Disposals";#N/A,#N/A,TRUE,"Acquisitions";#N/A,#N/A,TRUE,"Actual &amp; Plan Reconciliation"}</definedName>
    <definedName name="aw" localSheetId="0" hidden="1">{#N/A,#N/A,FALSE,"COMP"}</definedName>
    <definedName name="aw4wb" localSheetId="0" hidden="1">{#N/A,#N/A,FALSE,"ISBL"}</definedName>
    <definedName name="aw4wb_2" localSheetId="0" hidden="1">{#N/A,#N/A,FALSE,"ISBL"}</definedName>
    <definedName name="aw4wb_3" localSheetId="0" hidden="1">{#N/A,#N/A,FALSE,"ISBL"}</definedName>
    <definedName name="aw4wb_4" localSheetId="0" hidden="1">{#N/A,#N/A,FALSE,"ISBL"}</definedName>
    <definedName name="awe" localSheetId="0" hidden="1">{#N/A,#N/A,FALSE,"PGW"}</definedName>
    <definedName name="awe_2" localSheetId="0" hidden="1">{#N/A,#N/A,FALSE,"PGW"}</definedName>
    <definedName name="awe_3" localSheetId="0" hidden="1">{#N/A,#N/A,FALSE,"PGW"}</definedName>
    <definedName name="awe_4" localSheetId="0" hidden="1">{#N/A,#N/A,FALSE,"PGW"}</definedName>
    <definedName name="aweaw3" localSheetId="0" hidden="1">{#N/A,#N/A,FALSE,"OSBL"}</definedName>
    <definedName name="aweaw3_2" localSheetId="0" hidden="1">{#N/A,#N/A,FALSE,"OSBL"}</definedName>
    <definedName name="aweaw3_3" localSheetId="0" hidden="1">{#N/A,#N/A,FALSE,"OSBL"}</definedName>
    <definedName name="aweaw3_4" localSheetId="0" hidden="1">{#N/A,#N/A,FALSE,"OSBL"}</definedName>
    <definedName name="awq" localSheetId="0" hidden="1">{"YTD",#N/A,FALSE,"SUM"}</definedName>
    <definedName name="awqe" localSheetId="0" hidden="1">{"net assets",#N/A,FALSE,"summary";"asset turnover",#N/A,FALSE,"summary";"orona",#N/A,FALSE,"summary"}</definedName>
    <definedName name="awqx" localSheetId="0" hidden="1">{"Comp_of_Price_Effect",#N/A,FALSE,"QTRDPVAR"}</definedName>
    <definedName name="AX" localSheetId="0" hidden="1">{#N/A,#N/A,FALSE,"Pharm";#N/A,#N/A,FALSE,"WWCM"}</definedName>
    <definedName name="AXCHUT" localSheetId="0" hidden="1">{#N/A,#N/A,FALSE,"Tabl. H1";#N/A,#N/A,FALSE,"Tabl. H2"}</definedName>
    <definedName name="axs" localSheetId="0" hidden="1">{"QTD",#N/A,FALSE,"SUM"}</definedName>
    <definedName name="axz" localSheetId="0" hidden="1">{#N/A,"PURCHM",FALSE,"Business Analysis";#N/A,"SPADD",FALSE,"Business Analysis"}</definedName>
    <definedName name="ayman" localSheetId="0" hidden="1">{#N/A,#N/A,FALSE,"1";#N/A,#N/A,FALSE,"2";#N/A,#N/A,FALSE,"16 - 17";#N/A,#N/A,FALSE,"18 - 19";#N/A,#N/A,FALSE,"26";#N/A,#N/A,FALSE,"27";#N/A,#N/A,FALSE,"28"}</definedName>
    <definedName name="ayman1" localSheetId="0" hidden="1">{#N/A,#N/A,FALSE,"Pharm";#N/A,#N/A,FALSE,"WWCM"}</definedName>
    <definedName name="ayman2" localSheetId="0" hidden="1">{#N/A,#N/A,FALSE,"Pharm";#N/A,#N/A,FALSE,"WWCM"}</definedName>
    <definedName name="ayman7" localSheetId="0" hidden="1">{#N/A,#N/A,FALSE,"REPORT"}</definedName>
    <definedName name="ayman8" localSheetId="0" hidden="1">{#N/A,#N/A,FALSE,"REPORT"}</definedName>
    <definedName name="az" localSheetId="0" hidden="1">{#N/A,#N/A,FALSE,"Pharm";#N/A,#N/A,FALSE,"WWCM"}</definedName>
    <definedName name="azeazr" localSheetId="0" hidden="1">{#N/A,#N/A,FALSE,"Sales Graph";#N/A,#N/A,FALSE,"BUC Graph";#N/A,#N/A,FALSE,"P&amp;L - YTD"}</definedName>
    <definedName name="azerety" localSheetId="0" hidden="1">{#N/A,#N/A,FALSE,"Pharm";#N/A,#N/A,FALSE,"WWCM"}</definedName>
    <definedName name="AZXC" localSheetId="0" hidden="1">{#N/A,#N/A,FALSE,"Tabl. H1";#N/A,#N/A,FALSE,"Tabl. H2"}</definedName>
    <definedName name="b" localSheetId="0" hidden="1">{#N/A,#N/A,TRUE,"index";#N/A,#N/A,TRUE,"Summary";#N/A,#N/A,TRUE,"Continuing Business";#N/A,#N/A,TRUE,"Disposals";#N/A,#N/A,TRUE,"Acquisitions";#N/A,#N/A,TRUE,"Actual &amp; Plan Reconciliation"}</definedName>
    <definedName name="b_1" localSheetId="0" hidden="1">{#N/A,#N/A,FALSE,"PMTABB";#N/A,#N/A,FALSE,"PMTABB"}</definedName>
    <definedName name="b_2" localSheetId="0" hidden="1">{#N/A,#N/A,FALSE,"PMTABB";#N/A,#N/A,FALSE,"PMTABB"}</definedName>
    <definedName name="b_3" localSheetId="0" hidden="1">{#N/A,#N/A,FALSE,"PMTABB";#N/A,#N/A,FALSE,"PMTABB"}</definedName>
    <definedName name="b_4" localSheetId="0" hidden="1">{#N/A,#N/A,FALSE,"PMTABB";#N/A,#N/A,FALSE,"PMTABB"}</definedName>
    <definedName name="bacd1101bd" localSheetId="0" hidden="1">{#N/A,"PURCHM",FALSE,"Business Analysis";#N/A,"SPADD",FALSE,"Business Analysis"}</definedName>
    <definedName name="bacd31" localSheetId="0" hidden="1">{#N/A,"PURCHM",FALSE,"Business Analysis";#N/A,"SPADD",FALSE,"Business Analysis"}</definedName>
    <definedName name="bacd31bd" localSheetId="0" hidden="1">{#N/A,"PURCHM",FALSE,"Business Analysis";#N/A,"SPADD",FALSE,"Business Analysis"}</definedName>
    <definedName name="Bank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_1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Data_1" localSheetId="0" hidden="1">{#N/A,#N/A,FALSE,"Cash Flows";#N/A,#N/A,FALSE,"Fixed Assets";#N/A,#N/A,FALSE,"Balance Sheet";#N/A,#N/A,FALSE,"P &amp; L"}</definedName>
    <definedName name="Bases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bb" localSheetId="0" hidden="1">{"histincome",#N/A,FALSE,"hyfins";"closing balance",#N/A,FALSE,"hyfins"}</definedName>
    <definedName name="bb.gb._98" localSheetId="0" hidden="1">{#N/A,#N/A,FALSE,"Umsatz 99";#N/A,#N/A,FALSE,"ER 99 "}</definedName>
    <definedName name="bb.gb._99" localSheetId="0" hidden="1">{#N/A,#N/A,FALSE,"Umsatz 99";#N/A,#N/A,FALSE,"ER 99 "}</definedName>
    <definedName name="bb_1" localSheetId="0" hidden="1">{"histincome",#N/A,FALSE,"hyfins";"closing balance",#N/A,FALSE,"hyfins"}</definedName>
    <definedName name="bbbb" localSheetId="0" hidden="1">{#N/A,#N/A,FALSE,"REPORT"}</definedName>
    <definedName name="bbbbb" localSheetId="0" hidden="1">{"consolidated",#N/A,FALSE,"Sheet1";"cms",#N/A,FALSE,"Sheet1";"fse",#N/A,FALSE,"Sheet1"}</definedName>
    <definedName name="bbbbb_1" localSheetId="0" hidden="1">{"consolidated",#N/A,FALSE,"Sheet1";"cms",#N/A,FALSE,"Sheet1";"fse",#N/A,FALSE,"Sheet1"}</definedName>
    <definedName name="BBBBBB" localSheetId="0" hidden="1">{#N/A,#N/A,FALSE,"REPORT"}</definedName>
    <definedName name="bbbbbbb" localSheetId="0" hidden="1">{"detail",#N/A,FALSE,"mfg";"summary",#N/A,FALSE,"mfg"}</definedName>
    <definedName name="BBBBBBBBB" localSheetId="0" hidden="1">{#N/A,#N/A,FALSE,"REPORT"}</definedName>
    <definedName name="bbbbbbbbbb" localSheetId="0" hidden="1">{"detail",#N/A,FALSE,"mfg";"summary",#N/A,FALSE,"mfg"}</definedName>
    <definedName name="bbbbbbbbbbbb" localSheetId="0" hidden="1">{#N/A,#N/A,FALSE,"Status of Projects";#N/A,#N/A,FALSE,"CEA-TEC";#N/A,#N/A,FALSE,"U-Constr.";#N/A,#N/A,FALSE,"summary";#N/A,#N/A,FALSE,"PPP-3 yrs"}</definedName>
    <definedName name="bbbbbbbbbbbbb" localSheetId="0" hidden="1">{#N/A,#N/A,FALSE,"Pharm";#N/A,#N/A,FALSE,"WWCM"}</definedName>
    <definedName name="bbbbbbbbbbbbbb" localSheetId="0" hidden="1">{#N/A,#N/A,FALSE,"Status of Projects";#N/A,#N/A,FALSE,"CEA-TEC";#N/A,#N/A,FALSE,"U-Constr.";#N/A,#N/A,FALSE,"summary";#N/A,#N/A,FALSE,"PPP-3 yrs"}</definedName>
    <definedName name="bbbbbbbbbbbbbbbbbbbb" localSheetId="0" hidden="1">{"detail",#N/A,FALSE,"mfg";"summary",#N/A,FALSE,"mfg"}</definedName>
    <definedName name="BBD" localSheetId="0" hidden="1">{#N/A,#N/A,FALSE,"PRJCTED QTRLY QTY's"}</definedName>
    <definedName name="bbn" localSheetId="0" hidden="1">{#N/A,#N/A,TRUE,"index";#N/A,#N/A,TRUE,"Summary";#N/A,#N/A,TRUE,"Continuing Business";#N/A,#N/A,TRUE,"Disposals";#N/A,#N/A,TRUE,"Acquisitions";#N/A,#N/A,TRUE,"Actual &amp; Plan Reconciliation"}</definedName>
    <definedName name="BBRA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t" localSheetId="0" hidden="1">{#N/A,#N/A,FALSE,"DI 2 YEAR MASTER SCHEDULE"}</definedName>
    <definedName name="bbvcx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c_1" localSheetId="0" hidden="1">{#N/A,#N/A,FALSE,"One Pager";#N/A,#N/A,FALSE,"Technical"}</definedName>
    <definedName name="bc_2" localSheetId="0" hidden="1">{#N/A,#N/A,FALSE,"One Pager";#N/A,#N/A,FALSE,"Technical"}</definedName>
    <definedName name="bc_3" localSheetId="0" hidden="1">{#N/A,#N/A,FALSE,"One Pager";#N/A,#N/A,FALSE,"Technical"}</definedName>
    <definedName name="bc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ct" localSheetId="0" hidden="1">{#N/A,#N/A,FALSE,"WRSUMMARY";#N/A,#N/A,FALSE,"ANNEX-1";#N/A,#N/A,FALSE,"ANNEX-2";#N/A,#N/A,FALSE,"ANNEX-3";#N/A,#N/A,FALSE,"WORKING"}</definedName>
    <definedName name="bfdas" localSheetId="0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bfdas2" localSheetId="0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bg3sheet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h" localSheetId="0" hidden="1">{"histincome",#N/A,FALSE,"hyfins";"closing balance",#N/A,FALSE,"hyfins"}</definedName>
    <definedName name="bgh_1" localSheetId="0" hidden="1">{"histincome",#N/A,FALSE,"hyfins";"closing balance",#N/A,FALSE,"hyfins"}</definedName>
    <definedName name="bgisheet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HDFH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il" localSheetId="0" hidden="1">{#N/A,#N/A,FALSE,"Tabl. D1";#N/A,#N/A,FALSE,"Tabl. D1 b";#N/A,#N/A,FALSE,"Tabl. D2";#N/A,#N/A,FALSE,"Tabl. D2 b";#N/A,#N/A,FALSE,"Tabl. D3";#N/A,#N/A,FALSE,"Tabl. D4";#N/A,#N/A,FALSE,"Tabl. D5"}</definedName>
    <definedName name="bimdk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jcdbw" localSheetId="0" hidden="1">{"'August 2000'!$A$1:$J$101"}</definedName>
    <definedName name="BJHGU" localSheetId="0" hidden="1">{#N/A,#N/A,TRUE,"流动资产--预付";"宁夏正大会计师事务所 - 个人视面",#N/A,TRUE,"Sheet1"}</definedName>
    <definedName name="bjhgv" localSheetId="0" hidden="1">{#N/A,#N/A,TRUE,"流动资产--预付";"宁夏正大会计师事务所 - 个人视面",#N/A,TRUE,"Sheet1"}</definedName>
    <definedName name="bkls" localSheetId="0" hidden="1">{#N/A,"PURCHM",FALSE,"Business Analysis";#N/A,"SPADD",FALSE,"Business Analysis"}</definedName>
    <definedName name="blabla" localSheetId="0" hidden="1">{#N/A,#N/A,FALSE,"Tabl. H1";#N/A,#N/A,FALSE,"Tabl. H2"}</definedName>
    <definedName name="bmbnmn" localSheetId="0" hidden="1">{#N/A,#N/A,FALSE,"KA CH  (2)"}</definedName>
    <definedName name="bn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localSheetId="0" hidden="1">{"oct_res_comm",#N/A,FALSE,"VarToBud"}</definedName>
    <definedName name="bnm" localSheetId="0" hidden="1">{#N/A,#N/A,FALSE,"REPORT"}</definedName>
    <definedName name="bnmk" localSheetId="0" hidden="1">{#N/A,#N/A,FALSE,"Produkte Erw.";#N/A,#N/A,FALSE,"Produkte Plan";#N/A,#N/A,FALSE,"Leistungen Erw.";#N/A,#N/A,FALSE,"Leistungen Plan";#N/A,#N/A,FALSE,"KA Allg.Kosten (2)";#N/A,#N/A,FALSE,"KA All.Kosten"}</definedName>
    <definedName name="bnmm" localSheetId="0" hidden="1">{"detail",#N/A,FALSE,"mfg";"summary",#N/A,FALSE,"mfg"}</definedName>
    <definedName name="bnn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bnnn" localSheetId="0" hidden="1">{"consolidated",#N/A,FALSE,"Sheet1";"cms",#N/A,FALSE,"Sheet1";"fse",#N/A,FALSE,"Sheet1"}</definedName>
    <definedName name="bnnn_1" localSheetId="0" hidden="1">{"consolidated",#N/A,FALSE,"Sheet1";"cms",#N/A,FALSE,"Sheet1";"fse",#N/A,FALSE,"Sheet1"}</definedName>
    <definedName name="bnuyyg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e" localSheetId="0" hidden="1">{"FTSE44","COMPANIES",TRUE}</definedName>
    <definedName name="both203" localSheetId="0" hidden="1">{"detail",#N/A,FALSE,"mfg";"summary",#N/A,FALSE,"mfg"}</definedName>
    <definedName name="both204" localSheetId="0" hidden="1">{"detail",#N/A,FALSE,"mfg";"summary",#N/A,FALSE,"mfg"}</definedName>
    <definedName name="both89n" localSheetId="0" hidden="1">{"detail",#N/A,FALSE,"mfg";"summary",#N/A,FALSE,"mfg"}</definedName>
    <definedName name="both8mj" localSheetId="0" hidden="1">{"detail",#N/A,FALSE,"mfg";"summary",#N/A,FALSE,"mfg"}</definedName>
    <definedName name="br" localSheetId="0" hidden="1">{"NETCIRC",#N/A,FALSE,"Net CIrc";"NETCIRCMON",#N/A,FALSE,"Net CIrc"}</definedName>
    <definedName name="Bryan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BS_AC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sdfdsmfbmdsbgm" localSheetId="0" hidden="1">{#N/A,#N/A,FALSE,"Aging Summary";#N/A,#N/A,FALSE,"Ratio Analysis";#N/A,#N/A,FALSE,"Test 120 Day Accts";#N/A,#N/A,FALSE,"Tickmarks"}</definedName>
    <definedName name="BSGROUP" localSheetId="0" hidden="1">{"'Sch B'!$B$15:$L$17"}</definedName>
    <definedName name="BSSCH" localSheetId="0" hidden="1">{"'Sch B'!$B$15:$L$17"}</definedName>
    <definedName name="bt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TOI" localSheetId="0" hidden="1">{#N/A,#N/A,FALSE,"Tabl. FB300";#N/A,#N/A,FALSE,"Tabl. FB350";#N/A,#N/A,FALSE,"Tabl. FB400";#N/A,#N/A,FALSE,"Tabl. FB500";#N/A,#N/A,FALSE,"Tabl. FS090"}</definedName>
    <definedName name="bty" localSheetId="0" hidden="1">{#N/A,#N/A,FALSE,"PGW"}</definedName>
    <definedName name="bty_2" localSheetId="0" hidden="1">{#N/A,#N/A,FALSE,"PGW"}</definedName>
    <definedName name="bty_3" localSheetId="0" hidden="1">{#N/A,#N/A,FALSE,"PGW"}</definedName>
    <definedName name="bty_4" localSheetId="0" hidden="1">{#N/A,#N/A,FALSE,"PGW"}</definedName>
    <definedName name="buibd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" localSheetId="0" hidden="1">{#N/A,#N/A,FALSE,"COMP"}</definedName>
    <definedName name="bull" localSheetId="0" hidden="1">{"detail",#N/A,FALSE,"mfg";"summary",#N/A,FALSE,"mfg"}</definedName>
    <definedName name="bull2" localSheetId="0" hidden="1">{#N/A,"PURCHM",FALSE,"Business Analysis";#N/A,"SPADD",FALSE,"Business Analysis"}</definedName>
    <definedName name="bull3" localSheetId="0" hidden="1">{"detail",#N/A,FALSE,"mfg";"summary",#N/A,FALSE,"mfg"}</definedName>
    <definedName name="bull4" localSheetId="0" hidden="1">{#N/A,"PURCHM",FALSE,"Business Analysis";#N/A,"SPADD",FALSE,"Business Analysis"}</definedName>
    <definedName name="bull5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sais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localSheetId="0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v" localSheetId="0" hidden="1">{#N/A,#N/A,FALSE,"COMP"}</definedName>
    <definedName name="bvcx" localSheetId="0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wgh" localSheetId="0" hidden="1">{#N/A,#N/A,FALSE,"OSBL"}</definedName>
    <definedName name="bwgh_1" localSheetId="0" hidden="1">{#N/A,#N/A,FALSE,"OSBL"}</definedName>
    <definedName name="bwgh_2" localSheetId="0" hidden="1">{#N/A,#N/A,FALSE,"OSBL"}</definedName>
    <definedName name="bwgh_3" localSheetId="0" hidden="1">{#N/A,#N/A,FALSE,"OSBL"}</definedName>
    <definedName name="bwgh_4" localSheetId="0" hidden="1">{#N/A,#N/A,FALSE,"OSBL"}</definedName>
    <definedName name="bwrhrt" localSheetId="0" hidden="1">{#N/A,#N/A,FALSE,"PGW"}</definedName>
    <definedName name="bwrhrt_1" localSheetId="0" hidden="1">{#N/A,#N/A,FALSE,"PGW"}</definedName>
    <definedName name="bwrhrt_2" localSheetId="0" hidden="1">{#N/A,#N/A,FALSE,"PGW"}</definedName>
    <definedName name="bwrhrt_3" localSheetId="0" hidden="1">{#N/A,#N/A,FALSE,"PGW"}</definedName>
    <definedName name="bwrhrt_4" localSheetId="0" hidden="1">{#N/A,#N/A,FALSE,"PGW"}</definedName>
    <definedName name="bz" localSheetId="0" hidden="1">{"sales growth",#N/A,FALSE,"summary";"oper income",#N/A,FALSE,"summary";"oros rank",#N/A,FALSE,"summary";"net assets",#N/A,FALSE,"summary";"asset turnover",#N/A,FALSE,"summary";"orona",#N/A,FALSE,"summary"}</definedName>
    <definedName name="bzdgf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a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adc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p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1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SpendingExcludesSanFu" localSheetId="0" hidden="1">{"detail",#N/A,FALSE,"mfg";"summary",#N/A,FALSE,"mfg"}</definedName>
    <definedName name="cAPTIAL2" localSheetId="0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SCSAC" localSheetId="0" hidden="1">{#N/A,#N/A,FALSE,"TOWNSHIP"}</definedName>
    <definedName name="CASCSAC_1" localSheetId="0" hidden="1">{#N/A,#N/A,FALSE,"TOWNSHIP"}</definedName>
    <definedName name="CASCSAC_2" localSheetId="0" hidden="1">{#N/A,#N/A,FALSE,"TOWNSHIP"}</definedName>
    <definedName name="CASCSAC_3" localSheetId="0" hidden="1">{#N/A,#N/A,FALSE,"TOWNSHIP"}</definedName>
    <definedName name="CASCSAC_4" localSheetId="0" hidden="1">{#N/A,#N/A,FALSE,"TOWNSHIP"}</definedName>
    <definedName name="CashflowgraphJan11" localSheetId="0" hidden="1">{"Revenue",#N/A,FALSE,"Revenue"}</definedName>
    <definedName name="cbu" localSheetId="0" hidden="1">{#N/A,#N/A,FALSE,"COVER.XLS";#N/A,#N/A,FALSE,"RACT1.XLS";#N/A,#N/A,FALSE,"RACT2.XLS";#N/A,#N/A,FALSE,"ECCMP";#N/A,#N/A,FALSE,"WELDER.XLS"}</definedName>
    <definedName name="ccc" localSheetId="0" hidden="1">{#N/A,#N/A,FALSE,"Calc";#N/A,#N/A,FALSE,"Sensitivity";#N/A,#N/A,FALSE,"LT Earn.Dil.";#N/A,#N/A,FALSE,"Dil. AVP"}</definedName>
    <definedName name="ccc_1" localSheetId="0" hidden="1">{#N/A,#N/A,FALSE,"Calc";#N/A,#N/A,FALSE,"Sensitivity";#N/A,#N/A,FALSE,"LT Earn.Dil.";#N/A,#N/A,FALSE,"Dil. AVP"}</definedName>
    <definedName name="ccc_2" localSheetId="0" hidden="1">{#N/A,#N/A,FALSE,"OSBL"}</definedName>
    <definedName name="ccc_3" localSheetId="0" hidden="1">{#N/A,#N/A,FALSE,"OSBL"}</definedName>
    <definedName name="ccc_4" localSheetId="0" hidden="1">{#N/A,#N/A,FALSE,"OSBL"}</definedName>
    <definedName name="cccc" localSheetId="0" hidden="1">{#N/A,#N/A,FALSE,"Layout Cash Flow"}</definedName>
    <definedName name="cccc_1" localSheetId="0" hidden="1">{#N/A,#N/A,FALSE,"Layout Cash Flow"}</definedName>
    <definedName name="ccccc" localSheetId="0" hidden="1">{#N/A,#N/A,FALSE,"Layout Cash Flow"}</definedName>
    <definedName name="ccccc_1" localSheetId="0" hidden="1">{#N/A,#N/A,FALSE,"Layout Cash Flow"}</definedName>
    <definedName name="ccf" localSheetId="0" hidden="1">{"YD PRS",#N/A,FALSE,"YTD"}</definedName>
    <definedName name="cd" localSheetId="0" hidden="1">{#N/A,#N/A,FALSE,"COMP"}</definedName>
    <definedName name="cdds" localSheetId="0" hidden="1">{"detail",#N/A,FALSE,"mfg";"summary",#N/A,FALSE,"mfg"}</definedName>
    <definedName name="cdf" localSheetId="0" hidden="1">{"sales growth",#N/A,FALSE,"summary";"oper income",#N/A,FALSE,"summary";"oros rank",#N/A,FALSE,"summary";"net assets",#N/A,FALSE,"summary";"asset turnover",#N/A,FALSE,"summary";"orona",#N/A,FALSE,"summary"}</definedName>
    <definedName name="cds" localSheetId="0" hidden="1">{"detail",#N/A,FALSE,"mfg";"summary",#N/A,FALSE,"mfg"}</definedName>
    <definedName name="cdu" localSheetId="0" hidden="1">{#N/A,#N/A,FALSE,"COVER.XLS";#N/A,#N/A,FALSE,"RACT1.XLS";#N/A,#N/A,FALSE,"RACT2.XLS";#N/A,#N/A,FALSE,"ECCMP";#N/A,#N/A,FALSE,"WELDER.XLS"}</definedName>
    <definedName name="cea" localSheetId="0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ine" localSheetId="0" hidden="1">{#N/A,#N/A,FALSE,"Tabl. G1";#N/A,#N/A,FALSE,"Tabl. G2"}</definedName>
    <definedName name="cew" localSheetId="0" hidden="1">{"ICD Details",#N/A,FALSE,"Current Yr";"ICD Details",#N/A,FALSE,"Budget";"ICD Details",#N/A,FALSE,"Prior Year"}</definedName>
    <definedName name="CF_1" localSheetId="0" hidden="1">{"TOTAL",#N/A,FALSE,"A";"FISCAL94",#N/A,FALSE,"A";"FISCAL95",#N/A,FALSE,"A";"FISCAL96",#N/A,FALSE,"A";"misc page",#N/A,FALSE,"A"}</definedName>
    <definedName name="CF_2" localSheetId="0" hidden="1">{"TOTAL",#N/A,FALSE,"A";"FISCAL94",#N/A,FALSE,"A";"FISCAL95",#N/A,FALSE,"A";"FISCAL96",#N/A,FALSE,"A";"misc page",#N/A,FALSE,"A"}</definedName>
    <definedName name="CF_3" localSheetId="0" hidden="1">{"TOTAL",#N/A,FALSE,"A";"FISCAL94",#N/A,FALSE,"A";"FISCAL95",#N/A,FALSE,"A";"FISCAL96",#N/A,FALSE,"A";"misc page",#N/A,FALSE,"A"}</definedName>
    <definedName name="cf_dcpl_daspl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cfef" localSheetId="0" hidden="1">{#N/A,#N/A,FALSE,"Admin";#N/A,#N/A,FALSE,"Other"}</definedName>
    <definedName name="c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g" localSheetId="0" hidden="1">{"Act_vs_Budget",#N/A,FALSE,"QTRDPVAR";"Act_vs_Prior_Year",#N/A,FALSE,"QTRDPVAR"}</definedName>
    <definedName name="cfs" localSheetId="0" hidden="1">{"YD LOUISIANA",#N/A,FALSE,"YTD"}</definedName>
    <definedName name="CG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GF" localSheetId="0" hidden="1">{#N/A,#N/A,FALSE,"TOWNSHIP"}</definedName>
    <definedName name="CGFGFGF" localSheetId="0" hidden="1">{#N/A,#N/A,FALSE,"FREE"}</definedName>
    <definedName name="cghfy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vg" localSheetId="0" hidden="1">{#N/A,#N/A,FALSE,"FREE"}</definedName>
    <definedName name="cgvg_2" localSheetId="0" hidden="1">{#N/A,#N/A,FALSE,"FREE"}</definedName>
    <definedName name="cgvg_3" localSheetId="0" hidden="1">{#N/A,#N/A,FALSE,"FREE"}</definedName>
    <definedName name="cgvg_4" localSheetId="0" hidden="1">{#N/A,#N/A,FALSE,"FREE"}</definedName>
    <definedName name="Cha" localSheetId="0" hidden="1">{#N/A,#N/A,FALSE,"gc (2)"}</definedName>
    <definedName name="Cha_1" localSheetId="0" hidden="1">{#N/A,#N/A,FALSE,"gc (2)"}</definedName>
    <definedName name="Cha_2" localSheetId="0" hidden="1">{#N/A,#N/A,FALSE,"gc (2)"}</definedName>
    <definedName name="Cha_3" localSheetId="0" hidden="1">{#N/A,#N/A,FALSE,"gc (2)"}</definedName>
    <definedName name="chargers" localSheetId="0" hidden="1">{"PAGE 1",#N/A,FALSE,"ES-01-XX";"PAGE 2",#N/A,FALSE,"ES-01-XX"}</definedName>
    <definedName name="chargers_1" localSheetId="0" hidden="1">{"PAGE 1",#N/A,FALSE,"ES-01-XX";"PAGE 2",#N/A,FALSE,"ES-01-XX"}</definedName>
    <definedName name="chargers_2" localSheetId="0" hidden="1">{"PAGE 1",#N/A,FALSE,"ES-01-XX";"PAGE 2",#N/A,FALSE,"ES-01-XX"}</definedName>
    <definedName name="chargers_3" localSheetId="0" hidden="1">{"PAGE 1",#N/A,FALSE,"ES-01-XX";"PAGE 2",#N/A,FALSE,"ES-01-XX"}</definedName>
    <definedName name="Chart2" localSheetId="0" hidden="1">{#N/A,#N/A,FALSE,"Carat";"VENTA",#N/A,FALSE,"05";#N/A,#N/A,FALSE,"06";"CASHFLOW",#N/A,FALSE,"05";"TAX PLAN",#N/A,FALSE,"05"}</definedName>
    <definedName name="Chart3" localSheetId="0" hidden="1">{#N/A,#N/A,FALSE,"Carat";"VENTA",#N/A,FALSE,"05";#N/A,#N/A,FALSE,"06";"CASHFLOW",#N/A,FALSE,"05";"TAX PLAN",#N/A,FALSE,"05"}</definedName>
    <definedName name="chartNew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two" localSheetId="0" hidden="1">{#N/A,#N/A,FALSE,"Carat";"VENTA",#N/A,FALSE,"05";#N/A,#N/A,FALSE,"06";"CASHFLOW",#N/A,FALSE,"05";"TAX PLAN",#N/A,FALSE,"05"}</definedName>
    <definedName name="CHHANELS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HANELS_1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HANELS_2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osie" localSheetId="0" hidden="1">{#N/A,#N/A,FALSE,"Pharm";#N/A,#N/A,FALSE,"WWCM"}</definedName>
    <definedName name="CIAO" localSheetId="0" hidden="1">{"'OBT_6M_30_6'!$S$1:$AE$53"}</definedName>
    <definedName name="citi" localSheetId="0" hidden="1">{#N/A,#N/A,FALSE,"Staffnos &amp; cost"}</definedName>
    <definedName name="cjghjhj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OGstandard" localSheetId="0" hidden="1">{#N/A,#N/A,FALSE,"Pharm";#N/A,#N/A,FALSE,"WWCM"}</definedName>
    <definedName name="c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f_balamended" localSheetId="0" hidden="1">{#N/A,#N/A,FALSE,"PMTABB";#N/A,#N/A,FALSE,"PMTABB"}</definedName>
    <definedName name="conf_balamended_1" localSheetId="0" hidden="1">{#N/A,#N/A,FALSE,"PMTABB";#N/A,#N/A,FALSE,"PMTABB"}</definedName>
    <definedName name="conf_balamended_2" localSheetId="0" hidden="1">{#N/A,#N/A,FALSE,"PMTABB";#N/A,#N/A,FALSE,"PMTABB"}</definedName>
    <definedName name="conf_balamended_3" localSheetId="0" hidden="1">{#N/A,#N/A,FALSE,"PMTABB";#N/A,#N/A,FALSE,"PMTABB"}</definedName>
    <definedName name="conf_balamended_4" localSheetId="0" hidden="1">{#N/A,#N/A,FALSE,"PMTABB";#N/A,#N/A,FALSE,"PMTABB"}</definedName>
    <definedName name="Conso" localSheetId="0" hidden="1">{"mgmt forecast",#N/A,FALSE,"Mgmt Forecast";"dcf table",#N/A,FALSE,"Mgmt Forecast";"sensitivity",#N/A,FALSE,"Mgmt Forecast";"table inputs",#N/A,FALSE,"Mgmt Forecast";"calculations",#N/A,FALSE,"Mgmt Forecast"}</definedName>
    <definedName name="control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1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py" localSheetId="0" hidden="1">{"TOP PORTION",#N/A,FALSE,"0895"}</definedName>
    <definedName name="copy_1" localSheetId="0" hidden="1">{"TOP PORTION",#N/A,FALSE,"0895"}</definedName>
    <definedName name="copy_2" localSheetId="0" hidden="1">{"TOP PORTION",#N/A,FALSE,"0895"}</definedName>
    <definedName name="copy_3" localSheetId="0" hidden="1">{"TOP PORTION",#N/A,FALSE,"0895"}</definedName>
    <definedName name="copy_4" localSheetId="0" hidden="1">{"TOP PORTION",#N/A,FALSE,"0895"}</definedName>
    <definedName name="copy_5" localSheetId="0" hidden="1">{"TOP PORTION",#N/A,FALSE,"0895"}</definedName>
    <definedName name="copy1" localSheetId="0" hidden="1">{#N/A,#N/A,FALSE,"Pharm";#N/A,#N/A,FALSE,"WWCM"}</definedName>
    <definedName name="COPY2" localSheetId="0" hidden="1">{#N/A,#N/A,FALSE,"Pharm";#N/A,#N/A,FALSE,"WWCM"}</definedName>
    <definedName name="copy233" localSheetId="0" hidden="1">{#N/A,#N/A,FALSE,"Pharm";#N/A,#N/A,FALSE,"WWCM"}</definedName>
    <definedName name="copy33" localSheetId="0" hidden="1">{#N/A,#N/A,FALSE,"Pharm";#N/A,#N/A,FALSE,"WWCM"}</definedName>
    <definedName name="copy38" localSheetId="0" hidden="1">{#N/A,#N/A,FALSE,"Pharm";#N/A,#N/A,FALSE,"WWCM"}</definedName>
    <definedName name="Cover" localSheetId="0" hidden="1">{#N/A,#N/A,FALSE,"Proj P&amp;L";#N/A,#N/A,FALSE,"WorkCap";#N/A,#N/A,FALSE,"Proj BS";#N/A,#N/A,FALSE,"CashRec"}</definedName>
    <definedName name="Cover1" localSheetId="0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reditors" localSheetId="0" hidden="1">{#N/A,#N/A,TRUE,"Sheet1";#N/A,#N/A,TRUE,"Nov-1995"}</definedName>
    <definedName name="CRIT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a" localSheetId="0" hidden="1">{"TXO2N2_GP",#N/A,FALSE,"MTHLYGP";"TXH2_GP",#N/A,FALSE,"MTHLYGP";"LOUIS_GP",#N/A,FALSE,"MTHLYGP";"H2_GP",#N/A,FALSE,"MTHLYGP";"O2N2_GP",#N/A,FALSE,"MTHLYGP";"PACKAGE_GP",#N/A,FALSE,"MTHLYGP";"OTHER_GP",#N/A,FALSE,"MTHLYGP"}</definedName>
    <definedName name="CTN" localSheetId="0" hidden="1">{#N/A,#N/A,TRUE,"Sheet1";#N/A,#N/A,TRUE,"Nov-1995"}</definedName>
    <definedName name="CURVE" localSheetId="0" hidden="1">{#N/A,#N/A,FALSE,"COVER1.XLS ";#N/A,#N/A,FALSE,"RACT1.XLS";#N/A,#N/A,FALSE,"RACT2.XLS";#N/A,#N/A,FALSE,"ECCMP";#N/A,#N/A,FALSE,"WELDER.XLS"}</definedName>
    <definedName name="Customers_1" localSheetId="0" hidden="1">{#N/A,#N/A,FALSE,"1996";#N/A,#N/A,FALSE,"1995";#N/A,#N/A,FALSE,"1994"}</definedName>
    <definedName name="cv" localSheetId="0" hidden="1">{#N/A,#N/A,FALSE,"EW"}</definedName>
    <definedName name="cv_2" localSheetId="0" hidden="1">{#N/A,#N/A,FALSE,"EW"}</definedName>
    <definedName name="cv_3" localSheetId="0" hidden="1">{#N/A,#N/A,FALSE,"EW"}</definedName>
    <definedName name="cv_4" localSheetId="0" hidden="1">{#N/A,#N/A,FALSE,"EW"}</definedName>
    <definedName name="cvb" localSheetId="0" hidden="1">{"detail",#N/A,FALSE,"mfg";"summary",#N/A,FALSE,"mfg"}</definedName>
    <definedName name="cvb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cvbn" localSheetId="0" hidden="1">{"vol data",#N/A,FALSE,"Datasheet";"vol graph",#N/A,FALSE,"Volume";"price data",#N/A,FALSE,"Datasheet";"price graph",#N/A,FALSE,"Price";"dp data",#N/A,FALSE,"Datasheet";"dp graph",#N/A,FALSE,"DirectProfit"}</definedName>
    <definedName name="cvc" localSheetId="0" hidden="1">{#N/A,#N/A,FALSE,"KA CH  (2)"}</definedName>
    <definedName name="cvcv" localSheetId="0" hidden="1">{"AS REP",#N/A,FALSE,"EEFSNAP2";"PROP",#N/A,FALSE,"EEFSNAP2";"RISKS",#N/A,FALSE,"EEFSNAP2";"VIEW ALL",#N/A,FALSE,"EEFSNAP2"}</definedName>
    <definedName name="cvh" localSheetId="0" hidden="1">{#N/A,#N/A,FALSE,"TOWNSHIP"}</definedName>
    <definedName name="cvh_2" localSheetId="0" hidden="1">{#N/A,#N/A,FALSE,"TOWNSHIP"}</definedName>
    <definedName name="cvh_3" localSheetId="0" hidden="1">{#N/A,#N/A,FALSE,"TOWNSHIP"}</definedName>
    <definedName name="cvh_4" localSheetId="0" hidden="1">{#N/A,#N/A,FALSE,"TOWNSHIP"}</definedName>
    <definedName name="cvy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0" hidden="1">{#N/A,#N/A,FALSE,"PGW"}</definedName>
    <definedName name="CX_1" localSheetId="0" hidden="1">{#N/A,#N/A,FALSE,"PGW"}</definedName>
    <definedName name="CX_2" localSheetId="0" hidden="1">{#N/A,#N/A,FALSE,"PGW"}</definedName>
    <definedName name="CX_3" localSheetId="0" hidden="1">{#N/A,#N/A,FALSE,"PGW"}</definedName>
    <definedName name="CX_4" localSheetId="0" hidden="1">{#N/A,#N/A,FALSE,"PGW"}</definedName>
    <definedName name="cxv" localSheetId="0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Y" localSheetId="0" hidden="1">{#N/A,#N/A,TRUE,"Sheet1";#N/A,#N/A,TRUE,"Nov-1995"}</definedName>
    <definedName name="cz" localSheetId="0" hidden="1">{"pro_view",#N/A,FALSE,"EEFSNAP2";"rep_view",#N/A,FALSE,"EEFSNAP2"}</definedName>
    <definedName name="czf" localSheetId="0" hidden="1">{"AS REP",#N/A,FALSE,"EEFSNAP2";"PROP",#N/A,FALSE,"EEFSNAP2";"RISKS",#N/A,FALSE,"EEFSNAP2";"VIEW ALL",#N/A,FALSE,"EEFSNAP2"}</definedName>
    <definedName name="d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a" localSheetId="0" hidden="1">{#N/A,#N/A,TRUE,"constb"}</definedName>
    <definedName name="da_1" localSheetId="0" hidden="1">{#N/A,#N/A,FALSE,"Aging Summary";#N/A,#N/A,FALSE,"Ratio Analysis";#N/A,#N/A,FALSE,"Test 120 Day Accts";#N/A,#N/A,FALSE,"Tickmarks"}</definedName>
    <definedName name="DAD" localSheetId="0" hidden="1">{#N/A,#N/A,FALSE,"REPORT"}</definedName>
    <definedName name="DADF" localSheetId="0" hidden="1">{#N/A,#N/A,FALSE,"REPORT"}</definedName>
    <definedName name="dagbladen_inc_services" localSheetId="0" hidden="1">{#N/A,#N/A,FALSE,"Aging Summary";#N/A,#N/A,FALSE,"Ratio Analysis";#N/A,#N/A,FALSE,"Test 120 Day Accts";#N/A,#N/A,FALSE,"Tickmarks"}</definedName>
    <definedName name="dakfkjafgkeaj" localSheetId="0" hidden="1">{#N/A,#N/A,FALSE,"Pharm";#N/A,#N/A,FALSE,"WWCM"}</definedName>
    <definedName name="da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" localSheetId="0" hidden="1">{#N/A,#N/A,FALSE,"Produkte Erw.";#N/A,#N/A,FALSE,"Produkte Plan";#N/A,#N/A,FALSE,"Leistungen Erw.";#N/A,#N/A,FALSE,"Leistungen Plan";#N/A,#N/A,FALSE,"KA Allg.Kosten (2)";#N/A,#N/A,FALSE,"KA All.Kosten"}</definedName>
    <definedName name="Dat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1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ys_366_dep0304" localSheetId="0" hidden="1">{#N/A,#N/A,FALSE,"Sheet7"}</definedName>
    <definedName name="dbed" localSheetId="0" hidden="1">{"histincome",#N/A,FALSE,"hyfins";"closing balance",#N/A,FALSE,"hyfins"}</definedName>
    <definedName name="dbed_1" localSheetId="0" hidden="1">{"histincome",#N/A,FALSE,"hyfins";"closing balance",#N/A,FALSE,"hyfins"}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_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wdc" localSheetId="0" hidden="1">{#N/A,#N/A,FALSE,"FY97";#N/A,#N/A,FALSE,"FY98";#N/A,#N/A,FALSE,"FY99";#N/A,#N/A,FALSE,"FY00";#N/A,#N/A,FALSE,"FY01"}</definedName>
    <definedName name="dd_1" localSheetId="0" hidden="1">{#N/A,"Good",TRUE,"Sheet1";#N/A,"Normal",TRUE,"Sheet1";#N/A,"Bad",TRUE,"Sheet1"}</definedName>
    <definedName name="dd_2" localSheetId="0" hidden="1">{#N/A,"Good",TRUE,"Sheet1";#N/A,"Normal",TRUE,"Sheet1";#N/A,"Bad",TRUE,"Sheet1"}</definedName>
    <definedName name="dd_3" localSheetId="0" hidden="1">{#N/A,"Good",TRUE,"Sheet1";#N/A,"Normal",TRUE,"Sheet1";#N/A,"Bad",TRUE,"Sheet1"}</definedName>
    <definedName name="ddaadf" localSheetId="0" hidden="1">{"Fiesta Facer Page",#N/A,FALSE,"Q_C_S";"Fiesta Main Page",#N/A,FALSE,"V_L";"Fiesta 95BP Struct",#N/A,FALSE,"StructBP";"Fiesta Post 95BP Struct",#N/A,FALSE,"AdjStructBP"}</definedName>
    <definedName name="ddd" localSheetId="0" hidden="1">{"histincome",#N/A,FALSE,"hyfins";"closing balance",#N/A,FALSE,"hyfins"}</definedName>
    <definedName name="ddd_1" localSheetId="0" hidden="1">{"histincome",#N/A,FALSE,"hyfins";"closing balance",#N/A,FALSE,"hyfins"}</definedName>
    <definedName name="ddD_2" localSheetId="0" hidden="1">{#N/A,#N/A,FALSE,"PMTABB";#N/A,#N/A,FALSE,"PMTABB"}</definedName>
    <definedName name="ddD_3" localSheetId="0" hidden="1">{#N/A,#N/A,FALSE,"PMTABB";#N/A,#N/A,FALSE,"PMTABB"}</definedName>
    <definedName name="ddD_4" localSheetId="0" hidden="1">{#N/A,#N/A,FALSE,"PMTABB";#N/A,#N/A,FALSE,"PMTABB"}</definedName>
    <definedName name="dddaz" localSheetId="0" hidden="1">{#N/A,#N/A,FALSE,"Pharm";#N/A,#N/A,FALSE,"WWCM"}</definedName>
    <definedName name="dddb" localSheetId="0" hidden="1">{#N/A,#N/A,FALSE,"AUDIT-MWOS"}</definedName>
    <definedName name="ddddd" localSheetId="0" hidden="1">{#N/A,#N/A,FALSE,"COVER1.XLS ";#N/A,#N/A,FALSE,"RACT1.XLS";#N/A,#N/A,FALSE,"RACT2.XLS";#N/A,#N/A,FALSE,"ECCMP";#N/A,#N/A,FALSE,"WELDER.XLS"}</definedName>
    <definedName name="dddddd" localSheetId="0" hidden="1">{#N/A,#N/A,FALSE,"Pharm";#N/A,#N/A,FALSE,"WWCM"}</definedName>
    <definedName name="ddddddd" localSheetId="0" hidden="1">{#N/A,#N/A,FALSE,"COVER1.XLS ";#N/A,#N/A,FALSE,"RACT1.XLS";#N/A,#N/A,FALSE,"RACT2.XLS";#N/A,#N/A,FALSE,"ECCMP";#N/A,#N/A,FALSE,"WELDER.XLS"}</definedName>
    <definedName name="dddddddd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ddddd" localSheetId="0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ddde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_1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localSheetId="0" hidden="1">{#N/A,#N/A,FALSE,"Finanzbedarsrechnung"}</definedName>
    <definedName name="ddee_1" localSheetId="0" hidden="1">{#N/A,#N/A,FALSE,"Finanzbedarsrechnung"}</definedName>
    <definedName name="ddf" localSheetId="0" hidden="1">{#N/A,#N/A,FALSE,"KA CH  (2)"}</definedName>
    <definedName name="DDSDS" localSheetId="0" hidden="1">{#N/A,#N/A,FALSE,"PMTABB";#N/A,#N/A,FALSE,"PMTABB"}</definedName>
    <definedName name="ddx" localSheetId="0" hidden="1">{"YD LAPO2",#N/A,FALSE,"YTD";"YD LPH2",#N/A,FALSE,"YTD";"YD LOUISIANA",#N/A,FALSE,"YTD";"YD GENERALH2",#N/A,FALSE,"YTD";"YD PRS",#N/A,FALSE,"YTD";"YD PACKAGE",#N/A,FALSE,"YTD";"YD OTHER",#N/A,FALSE,"YTD"}</definedName>
    <definedName name="de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De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ea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bbie" localSheetId="0" hidden="1">{"FY03_Assets",#N/A,FALSE,"Fin Stmt Budget";"FY03_Liabilities",#N/A,FALSE,"Fin Stmt Budget";"FY03_Inc_Stmt",#N/A,FALSE,"Fin Stmt Budget";"FY03_SOCF",#N/A,FALSE,"Fin Stmt Budget"}</definedName>
    <definedName name="Debtors" localSheetId="0" hidden="1">{#N/A,#N/A,TRUE,"Sheet1";#N/A,#N/A,TRUE,"Nov-1995"}</definedName>
    <definedName name="Debtors1" localSheetId="0" hidden="1">{#N/A,#N/A,TRUE,"Sheet1";#N/A,#N/A,TRUE,"Nov-1995"}</definedName>
    <definedName name="Debtr" localSheetId="0" hidden="1">{#N/A,#N/A,FALSE,"FREE"}</definedName>
    <definedName name="DEC" localSheetId="0" hidden="1">{"REP1",#N/A,FALSE,"HSSA-LOG"}</definedName>
    <definedName name="Dec_09" localSheetId="0" hidden="1">{#N/A,#N/A,FALSE,"Cash Flows";#N/A,#N/A,FALSE,"Fixed Assets";#N/A,#N/A,FALSE,"Balance Sheet";#N/A,#N/A,FALSE,"P &amp; L"}</definedName>
    <definedName name="decb" localSheetId="0" hidden="1">{"REP1",#N/A,FALSE,"HSSA-LOG"}</definedName>
    <definedName name="dede" localSheetId="0" hidden="1">{#N/A,#N/A,FALSE,"Pharm";#N/A,#N/A,FALSE,"WWCM"}</definedName>
    <definedName name="DEDED" localSheetId="0" hidden="1">{#N/A,#N/A,FALSE,"Card";#N/A,#N/A,FALSE,"Prav";#N/A,#N/A,FALSE,"Irbe";#N/A,#N/A,FALSE,"Plavix";#N/A,#N/A,FALSE,"Capt";#N/A,#N/A,FALSE,"Fosi"}</definedName>
    <definedName name="DEDEDZE" localSheetId="0" hidden="1">{#N/A,#N/A,FALSE,"Pharm";#N/A,#N/A,FALSE,"WWCM"}</definedName>
    <definedName name="DEDZD" localSheetId="0" hidden="1">{#N/A,#N/A,FALSE,"Pharm";#N/A,#N/A,FALSE,"WWCM"}</definedName>
    <definedName name="DEE" localSheetId="0" hidden="1">{#N/A,#N/A,FALSE,"Pharm";#N/A,#N/A,FALSE,"WWCM"}</definedName>
    <definedName name="def" localSheetId="0" hidden="1">{#N/A,#N/A,TRUE,"index";#N/A,#N/A,TRUE,"Summary";#N/A,#N/A,TRUE,"Continuing Business";#N/A,#N/A,TRUE,"Disposals";#N/A,#N/A,TRUE,"Acquisitions";#N/A,#N/A,TRUE,"Actual &amp; Plan Reconciliation"}</definedName>
    <definedName name="Dep.IncomeTax" localSheetId="0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0" hidden="1">{#N/A,#N/A,FALSE,"Status of Projects";#N/A,#N/A,FALSE,"CEA-TEC";#N/A,#N/A,FALSE,"U-Constr.";#N/A,#N/A,FALSE,"summary";#N/A,#N/A,FALSE,"PPP-3 yrs"}</definedName>
    <definedName name="Depereciation" localSheetId="0" hidden="1">{"'Furniture&amp; O.E'!$A$4:$D$27"}</definedName>
    <definedName name="DepSumry" localSheetId="0" hidden="1">{#N/A,#N/A,FALSE,"Sheet7"}</definedName>
    <definedName name="Deptax2" localSheetId="0" hidden="1">{#N/A,#N/A,FALSE,"Status of Projects";#N/A,#N/A,FALSE,"CEA-TEC";#N/A,#N/A,FALSE,"U-Constr.";#N/A,#N/A,FALSE,"summary";#N/A,#N/A,FALSE,"PPP-3 yrs"}</definedName>
    <definedName name="Deptax3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R" localSheetId="0" hidden="1">{#N/A,#N/A,FALSE,"Status of Projects";#N/A,#N/A,FALSE,"CEA-TEC";#N/A,#N/A,FALSE,"U-Constr.";#N/A,#N/A,FALSE,"summary";#N/A,#N/A,FALSE,"PPP-3 yrs"}</definedName>
    <definedName name="des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ert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devc" localSheetId="0" hidden="1">{"TOTTEXAS",#N/A,FALSE,"CM"}</definedName>
    <definedName name="DEZLFEZKLHF" localSheetId="0" hidden="1">{#N/A,#N/A,FALSE,"Pharm";#N/A,#N/A,FALSE,"WWCM"}</definedName>
    <definedName name="df" localSheetId="0" hidden="1">{#N/A,#N/A,FALSE,"PGW"}</definedName>
    <definedName name="df_2" localSheetId="0" hidden="1">{#N/A,#N/A,FALSE,"PGW"}</definedName>
    <definedName name="df_3" localSheetId="0" hidden="1">{#N/A,#N/A,FALSE,"PGW"}</definedName>
    <definedName name="df_4" localSheetId="0" hidden="1">{#N/A,#N/A,FALSE,"PGW"}</definedName>
    <definedName name="dfd" localSheetId="0" hidden="1">{#N/A,#N/A,FALSE,"ASIA"}</definedName>
    <definedName name="DFDD" localSheetId="0" hidden="1">{#N/A,#N/A,FALSE,"REPORT"}</definedName>
    <definedName name="DFF" localSheetId="0" hidden="1">{#N/A,#N/A,FALSE,"COVER1.XLS ";#N/A,#N/A,FALSE,"RACT1.XLS";#N/A,#N/A,FALSE,"RACT2.XLS";#N/A,#N/A,FALSE,"ECCMP";#N/A,#N/A,FALSE,"WELDER.XLS"}</definedName>
    <definedName name="dffe" localSheetId="0" hidden="1">{"P and L",#N/A,FALSE,"Financial Output";"Cashflow",#N/A,FALSE,"Financial Output";"Balance Sheet",#N/A,FALSE,"Financial Output"}</definedName>
    <definedName name="dfg" localSheetId="0" hidden="1">{#N/A,#N/A,FALSE,"gc (2)"}</definedName>
    <definedName name="dfg_1" localSheetId="0" hidden="1">{#N/A,#N/A,FALSE,"gc (2)"}</definedName>
    <definedName name="dfg_2" localSheetId="0" hidden="1">{#N/A,#N/A,FALSE,"gc (2)"}</definedName>
    <definedName name="dfg_3" localSheetId="0" hidden="1">{#N/A,#N/A,FALSE,"gc (2)"}</definedName>
    <definedName name="dfgdfg" localSheetId="0" hidden="1">{#N/A,#N/A,FALSE,"PMTABB";#N/A,#N/A,FALSE,"PMTABB"}</definedName>
    <definedName name="dfgfdg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localSheetId="0" hidden="1">{#N/A,#N/A,FALSE,"Produkte Erw.";#N/A,#N/A,FALSE,"Produkte Plan";#N/A,#N/A,FALSE,"Leistungen Erw.";#N/A,#N/A,FALSE,"Leistungen Plan";#N/A,#N/A,FALSE,"KA Allg.Kosten (2)";#N/A,#N/A,FALSE,"KA All.Kosten"}</definedName>
    <definedName name="dfgfg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" localSheetId="0" hidden="1">{#N/A,#N/A,FALSE,"gc (2)"}</definedName>
    <definedName name="dfgg_1" localSheetId="0" hidden="1">{#N/A,#N/A,FALSE,"gc (2)"}</definedName>
    <definedName name="dfgg_2" localSheetId="0" hidden="1">{#N/A,#N/A,FALSE,"gc (2)"}</definedName>
    <definedName name="dfgg_3" localSheetId="0" hidden="1">{#N/A,#N/A,FALSE,"gc (2)"}</definedName>
    <definedName name="dfggfhhj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localSheetId="0" hidden="1">{#N/A,"PURCHM",FALSE,"Business Analysis";#N/A,"SPADD",FALSE,"Business Analysis"}</definedName>
    <definedName name="dfghdfhdg" localSheetId="0" hidden="1">{#N/A,#N/A,FALSE,"Umsatz 99";#N/A,#N/A,FALSE,"ER 99 "}</definedName>
    <definedName name="dfghfd" localSheetId="0" hidden="1">{#N/A,#N/A,FALSE,"PMTABB";#N/A,#N/A,FALSE,"PMTABB"}</definedName>
    <definedName name="dfghfd_2" localSheetId="0" hidden="1">{#N/A,#N/A,FALSE,"PMTABB";#N/A,#N/A,FALSE,"PMTABB"}</definedName>
    <definedName name="dfghfd_3" localSheetId="0" hidden="1">{#N/A,#N/A,FALSE,"PMTABB";#N/A,#N/A,FALSE,"PMTABB"}</definedName>
    <definedName name="dfghfd_4" localSheetId="0" hidden="1">{#N/A,#N/A,FALSE,"PMTABB";#N/A,#N/A,FALSE,"PMTABB"}</definedName>
    <definedName name="DFHGH" localSheetId="0" hidden="1">{#N/A,#N/A,FALSE,"PGW"}</definedName>
    <definedName name="DFHGH_1" localSheetId="0" hidden="1">{#N/A,#N/A,FALSE,"PGW"}</definedName>
    <definedName name="DFHGH_2" localSheetId="0" hidden="1">{#N/A,#N/A,FALSE,"PGW"}</definedName>
    <definedName name="DFHGH_3" localSheetId="0" hidden="1">{#N/A,#N/A,FALSE,"PGW"}</definedName>
    <definedName name="DFHGH_4" localSheetId="0" hidden="1">{#N/A,#N/A,FALSE,"PGW"}</definedName>
    <definedName name="dfk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dfre" localSheetId="0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.xlx" localSheetId="0" hidden="1">{"mgmt forecast",#N/A,FALSE,"Mgmt Forecast";"dcf table",#N/A,FALSE,"Mgmt Forecast";"sensitivity",#N/A,FALSE,"Mgmt Forecast";"table inputs",#N/A,FALSE,"Mgmt Forecast";"calculations",#N/A,FALSE,"Mgmt Forecast"}</definedName>
    <definedName name="dfsdfdsf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gdg" localSheetId="0" hidden="1">{#N/A,#N/A,FALSE,"Calc";#N/A,#N/A,FALSE,"Sensitivity";#N/A,#N/A,FALSE,"LT Earn.Dil.";#N/A,#N/A,FALSE,"Dil. AVP"}</definedName>
    <definedName name="dgdg_1" localSheetId="0" hidden="1">{#N/A,#N/A,FALSE,"Calc";#N/A,#N/A,FALSE,"Sensitivity";#N/A,#N/A,FALSE,"LT Earn.Dil.";#N/A,#N/A,FALSE,"Dil. AVP"}</definedName>
    <definedName name="dgdgss" localSheetId="0" hidden="1">{"consolidated",#N/A,FALSE,"Sheet1";"cms",#N/A,FALSE,"Sheet1";"fse",#N/A,FALSE,"Sheet1"}</definedName>
    <definedName name="dgdgss_1" localSheetId="0" hidden="1">{"consolidated",#N/A,FALSE,"Sheet1";"cms",#N/A,FALSE,"Sheet1";"fse",#N/A,FALSE,"Sheet1"}</definedName>
    <definedName name="dgfgfd" localSheetId="0" hidden="1">{#N/A,#N/A,FALSE,"COVER.XLS";#N/A,#N/A,FALSE,"RACT1.XLS";#N/A,#N/A,FALSE,"RACT2.XLS";#N/A,#N/A,FALSE,"ECCMP";#N/A,#N/A,FALSE,"WELDER.XLS"}</definedName>
    <definedName name="dghgh" localSheetId="0" hidden="1">{#N/A,#N/A,FALSE,"Produkte Erw.";#N/A,#N/A,FALSE,"Produkte Plan";#N/A,#N/A,FALSE,"Leistungen Erw.";#N/A,#N/A,FALSE,"Leistungen Plan";#N/A,#N/A,FALSE,"KA Allg.Kosten (2)";#N/A,#N/A,FALSE,"KA All.Kosten"}</definedName>
    <definedName name="Dignesh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mac" localSheetId="0" hidden="1">{#N/A,#N/A,FALSE,"Tabl. D1";#N/A,#N/A,FALSE,"Tabl. D1 b";#N/A,#N/A,FALSE,"Tabl. D2";#N/A,#N/A,FALSE,"Tabl. D2 b";#N/A,#N/A,FALSE,"Tabl. D3";#N/A,#N/A,FALSE,"Tabl. D4";#N/A,#N/A,FALSE,"Tabl. D5"}</definedName>
    <definedName name="dir" localSheetId="0" hidden="1">{#N/A,#N/A,FALSE,"COMP"}</definedName>
    <definedName name="divyadivya" localSheetId="0" hidden="1">{"Fiesta Facer Page",#N/A,FALSE,"Q_C_S";"Fiesta Main Page",#N/A,FALSE,"V_L";"Fiesta 95BP Struct",#N/A,FALSE,"StructBP";"Fiesta Post 95BP Struct",#N/A,FALSE,"AdjStructBP"}</definedName>
    <definedName name="divyamalik" localSheetId="0" hidden="1">{#N/A,#N/A,FALSE,"Umsatz 99";#N/A,#N/A,FALSE,"ER 99 "}</definedName>
    <definedName name="djd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localSheetId="0" hidden="1">{#N/A,#N/A,FALSE,"Other";#N/A,#N/A,FALSE,"Ace";#N/A,#N/A,FALSE,"Derm"}</definedName>
    <definedName name="dkfjdfNew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localSheetId="0" hidden="1">{#N/A,#N/A,FALSE,"Pharm";#N/A,#N/A,FALSE,"WWCM"}</definedName>
    <definedName name="dkj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d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Dmalik" localSheetId="0" hidden="1">{#N/A,#N/A,FALSE,"Umsatz 99";#N/A,#N/A,FALSE,"ER 99 "}</definedName>
    <definedName name="dps" localSheetId="0" hidden="1">{"mgmt forecast",#N/A,FALSE,"Mgmt Forecast";"dcf table",#N/A,FALSE,"Mgmt Forecast";"sensitivity",#N/A,FALSE,"Mgmt Forecast";"table inputs",#N/A,FALSE,"Mgmt Forecast";"calculations",#N/A,FALSE,"Mgmt Forecast"}</definedName>
    <definedName name="dq" localSheetId="0" hidden="1">{"Comp_of_Price_Effect",#N/A,FALSE,"QTRDPVAR"}</definedName>
    <definedName name="dre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es" localSheetId="0" hidden="1">{"'April 24'!$J$11"}</definedName>
    <definedName name="drw" localSheetId="0" hidden="1">{"PAGE 1",#N/A,FALSE,"COS";"PAGE 2",#N/A,FALSE,"COS";"PAGE 3",#N/A,FALSE,"COS"}</definedName>
    <definedName name="ds" localSheetId="0" hidden="1">{"mgmt forecast",#N/A,FALSE,"Mgmt Forecast";"dcf table",#N/A,FALSE,"Mgmt Forecast";"sensitivity",#N/A,FALSE,"Mgmt Forecast";"table inputs",#N/A,FALSE,"Mgmt Forecast";"calculations",#N/A,FALSE,"Mgmt Forecast"}</definedName>
    <definedName name="dsafd" localSheetId="0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d2" localSheetId="0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dafgsa" localSheetId="0" hidden="1">{"Performance Details",#N/A,FALSE,"Current Yr";"Performance Details",#N/A,FALSE,"Budget";"Performance Details",#N/A,FALSE,"Prior Year"}</definedName>
    <definedName name="dsdfdafd" localSheetId="0" hidden="1">{#N/A,#N/A,FALSE,"Tabl. A1";#N/A,#N/A,FALSE,"Tabl. A1 b";#N/A,#N/A,FALSE,"Tabl. A2";#N/A,#N/A,FALSE,"Tabl. A2-1";#N/A,#N/A,FALSE,"Tabl. A2-2"}</definedName>
    <definedName name="dsdfsdf" localSheetId="0" hidden="1">{"FTSE44","COMPANIES",TRUE}</definedName>
    <definedName name="dsdsds" localSheetId="0" hidden="1">{#N/A,#N/A,TRUE,"Sheet1";#N/A,#N/A,TRUE,"Nov-1995"}</definedName>
    <definedName name="dse" localSheetId="0" hidden="1">{"YTDACT",#N/A,FALSE,"YTD Cum";"YTDBUD",#N/A,FALSE,"YTD Cum";"YTDPRIOR",#N/A,FALSE,"YTD Cum"}</definedName>
    <definedName name="dsfgdfklhglkdflkglkjh" localSheetId="0" hidden="1">{#N/A,#N/A,FALSE,"PMTABB";#N/A,#N/A,FALSE,"PMTABB"}</definedName>
    <definedName name="DSFSDFSDF" localSheetId="0" hidden="1">{#N/A,#N/A,FALSE,"COVER.XLS";#N/A,#N/A,FALSE,"RACT1.XLS";#N/A,#N/A,FALSE,"RACT2.XLS";#N/A,#N/A,FALSE,"ECCMP";#N/A,#N/A,FALSE,"WELDER.XLS"}</definedName>
    <definedName name="dsfsf" localSheetId="0" hidden="1">{"detail",#N/A,FALSE,"mfg";"summary",#N/A,FALSE,"mfg"}</definedName>
    <definedName name="dsfsffss" localSheetId="0" hidden="1">{#N/A,#N/A,FALSE,"Pharm";#N/A,#N/A,FALSE,"WWCM"}</definedName>
    <definedName name="dsg" localSheetId="0" hidden="1">{#N/A,#N/A,FALSE,"Calc";#N/A,#N/A,FALSE,"Sensitivity";#N/A,#N/A,FALSE,"LT Earn.Dil.";#N/A,#N/A,FALSE,"Dil. AVP"}</definedName>
    <definedName name="dsg_1" localSheetId="0" hidden="1">{#N/A,#N/A,FALSE,"Calc";#N/A,#N/A,FALSE,"Sensitivity";#N/A,#N/A,FALSE,"LT Earn.Dil.";#N/A,#N/A,FALSE,"Dil. AVP"}</definedName>
    <definedName name="dsgfhgfv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s" localSheetId="0" hidden="1">{#N/A,#N/A,FALSE,"ACQ_GRAPHS";#N/A,#N/A,FALSE,"T_1 GRAPHS";#N/A,#N/A,FALSE,"T_2 GRAPHS";#N/A,#N/A,FALSE,"COMB_GRAPHS"}</definedName>
    <definedName name="dss_1" localSheetId="0" hidden="1">{#N/A,#N/A,FALSE,"ACQ_GRAPHS";#N/A,#N/A,FALSE,"T_1 GRAPHS";#N/A,#N/A,FALSE,"T_2 GRAPHS";#N/A,#N/A,FALSE,"COMB_GRAPHS"}</definedName>
    <definedName name="dswe" localSheetId="0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X" localSheetId="0" hidden="1">{"'Bsheet BIS'!$A$1:$F$43"}</definedName>
    <definedName name="d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urrie" localSheetId="0" hidden="1">{#N/A,#N/A,TRUE,"Sheet1";#N/A,#N/A,TRUE,"Nov-1995"}</definedName>
    <definedName name="DWAX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x" localSheetId="0" hidden="1">{"Comp_of_Price_Effect",#N/A,FALSE,"QTRDPVAR"}</definedName>
    <definedName name="dx" localSheetId="0" hidden="1">{"Month Summary",#N/A,FALSE,"Summary";"Total Details",#N/A,FALSE,"Current Yr";"Polymers Details",#N/A,FALSE,"Current Yr";"Performance Details",#N/A,FALSE,"Current Yr";"ICD Details",#N/A,FALSE,"Current Yr"}</definedName>
    <definedName name="e_1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e_2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East" localSheetId="0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 localSheetId="0" hidden="1">{"FY04_Assets",#N/A,FALSE,"Fin Stmt Budget";"FY04_Liabilities",#N/A,FALSE,"Fin Stmt Budget";"FY04_Inc_Stmt",#N/A,FALSE,"Fin Stmt Budget";"FY04_SOCF",#N/A,FALSE,"Fin Stmt Budget"}</definedName>
    <definedName name="Eastern" localSheetId="0" hidden="1">{"FY03_Assets",#N/A,FALSE,"Fin Stmt Budget";"FY03_Liabilities",#N/A,FALSE,"Fin Stmt Budget";"FY03_Inc_Stmt",#N/A,FALSE,"Fin Stmt Budget";"FY03_SOCF",#N/A,FALSE,"Fin Stmt Budget"}</definedName>
    <definedName name="EBITA" localSheetId="0" hidden="1">{#N/A,#N/A,FALSE,"P&amp;L";#N/A,#N/A,FALSE,"BS";#N/A,#N/A,FALSE,"SPLIT";#N/A,#N/A,FALSE,"RATIOS";#N/A,#N/A,FALSE,"TURN ";#N/A,#N/A,FALSE,"%s"}</definedName>
    <definedName name="EBITARevised" localSheetId="0" hidden="1">{#N/A,#N/A,FALSE,"P&amp;L";#N/A,#N/A,FALSE,"BS";#N/A,#N/A,FALSE,"SPLIT";#N/A,#N/A,FALSE,"RATIOS";#N/A,#N/A,FALSE,"TURN ";#N/A,#N/A,FALSE,"%s"}</definedName>
    <definedName name="ed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D" localSheetId="0" hidden="1">{#N/A,#N/A,FALSE,"PMTABB";#N/A,#N/A,FALSE,"PMTABB"}</definedName>
    <definedName name="ee" localSheetId="0" hidden="1">{#N/A,#N/A,TRUE,"index";#N/A,#N/A,TRUE,"Summary";#N/A,#N/A,TRUE,"Continuing Business";#N/A,#N/A,TRUE,"Disposals";#N/A,#N/A,TRUE,"Acquisitions";#N/A,#N/A,TRUE,"Actual &amp; Plan Reconciliation"}</definedName>
    <definedName name="eee.lll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localSheetId="0" hidden="1">{#N/A,#N/A,FALSE,"Income State.";#N/A,#N/A,FALSE,"B-S"}</definedName>
    <definedName name="eee_2" localSheetId="0" hidden="1">{#N/A,#N/A,FALSE,"Income State.";#N/A,#N/A,FALSE,"B-S"}</definedName>
    <definedName name="eee_3" localSheetId="0" hidden="1">{#N/A,#N/A,FALSE,"Income State.";#N/A,#N/A,FALSE,"B-S"}</definedName>
    <definedName name="eee_4" localSheetId="0" hidden="1">{#N/A,#N/A,FALSE,"Income State.";#N/A,#N/A,FALSE,"B-S"}</definedName>
    <definedName name="eee_5" localSheetId="0" hidden="1">{#N/A,#N/A,FALSE,"Income State.";#N/A,#N/A,FALSE,"B-S"}</definedName>
    <definedName name="eeee" localSheetId="0" hidden="1">{"YD LAPO2",#N/A,FALSE,"YTD"}</definedName>
    <definedName name="eeeeee" localSheetId="0" hidden="1">{"YD OTHER",#N/A,FALSE,"YTD"}</definedName>
    <definedName name="eeeeeee" localSheetId="0" hidden="1">{"YD LPH2",#N/A,FALSE,"YTD"}</definedName>
    <definedName name="eeeeeeee" localSheetId="0" hidden="1">{"Pg1",#N/A,FALSE,"OpExYTDvsBud";"Pg2",#N/A,FALSE,"OpExYTDvsBud"}</definedName>
    <definedName name="eeeeeeeee" localSheetId="0" hidden="1">{"Pa1",#N/A,FALSE,"OpExYTDvsPY";"Pa2",#N/A,FALSE,"OpExYTDvsPY"}</definedName>
    <definedName name="eeeeeeeeee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localSheetId="0" hidden="1">{#N/A,"PURCHM",FALSE,"Business Analysis";#N/A,"SPADD",FALSE,"Business Analysis"}</definedName>
    <definedName name="eeeeeeeeeeeeeee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erer" localSheetId="0" hidden="1">{"mgmt forecast",#N/A,FALSE,"Mgmt Forecast";"dcf table",#N/A,FALSE,"Mgmt Forecast";"sensitivity",#N/A,FALSE,"Mgmt Forecast";"table inputs",#N/A,FALSE,"Mgmt Forecast";"calculations",#N/A,FALSE,"Mgmt Forecast"}</definedName>
    <definedName name="eerre" localSheetId="0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re2" localSheetId="0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ings" localSheetId="0" hidden="1">{#N/A,"PURCHM",FALSE,"Business Analysis";#N/A,"SPADD",FALSE,"Business Analysis"}</definedName>
    <definedName name="ejkfgkjze" localSheetId="0" hidden="1">{#N/A,#N/A,FALSE,"Pharm";#N/A,#N/A,FALSE,"WWCM"}</definedName>
    <definedName name="ejl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Electricity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2" localSheetId="0" hidden="1">{#N/A,#N/A,TRUE,"Sheet1";#N/A,#N/A,TRUE,"Nov-1995"}</definedName>
    <definedName name="emily" localSheetId="0" hidden="1">{#N/A,#N/A,FALSE,"Calc";#N/A,#N/A,FALSE,"Sensitivity";#N/A,#N/A,FALSE,"LT Earn.Dil.";#N/A,#N/A,FALSE,"Dil. AVP"}</definedName>
    <definedName name="emily_1" localSheetId="0" hidden="1">{#N/A,#N/A,FALSE,"Calc";#N/A,#N/A,FALSE,"Sensitivity";#N/A,#N/A,FALSE,"LT Earn.Dil.";#N/A,#N/A,FALSE,"Dil. AVP"}</definedName>
    <definedName name="eoflsru" localSheetId="0" hidden="1">{"QTD",#N/A,FALSE,"SUM"}</definedName>
    <definedName name="eoil" localSheetId="0" hidden="1">{"detail",#N/A,FALSE,"mfg";"summary",#N/A,FALSE,"mfg"}</definedName>
    <definedName name="EOLsupplyLC" localSheetId="0" hidden="1">{#N/A,#N/A,FALSE,"PMTABB";#N/A,#N/A,FALSE,"PMTABB"}</definedName>
    <definedName name="EOLsupplyLC_2" localSheetId="0" hidden="1">{#N/A,#N/A,FALSE,"PMTABB";#N/A,#N/A,FALSE,"PMTABB"}</definedName>
    <definedName name="EOLsupplyLC_3" localSheetId="0" hidden="1">{#N/A,#N/A,FALSE,"PMTABB";#N/A,#N/A,FALSE,"PMTABB"}</definedName>
    <definedName name="EOLsupplyLC_4" localSheetId="0" hidden="1">{#N/A,#N/A,FALSE,"PMTABB";#N/A,#N/A,FALSE,"PMTABB"}</definedName>
    <definedName name="eqa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er" localSheetId="0" hidden="1">{#N/A,#N/A,FALSE,"Umsatz 99";#N/A,#N/A,FALSE,"ER 99 "}</definedName>
    <definedName name="erd" localSheetId="0" hidden="1">{#N/A,#N/A,FALSE,"Pharm";#N/A,#N/A,FALSE,"WWCM"}</definedName>
    <definedName name="erd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erefafg" localSheetId="0" hidden="1">{#N/A,#N/A,FALSE,"Aging Summary";#N/A,#N/A,FALSE,"Ratio Analysis";#N/A,#N/A,FALSE,"Test 120 Day Accts";#N/A,#N/A,FALSE,"Tickmarks"}</definedName>
    <definedName name="erer" localSheetId="0" hidden="1">{#N/A,#N/A,FALSE,"Aging Summary";#N/A,#N/A,FALSE,"Ratio Analysis";#N/A,#N/A,FALSE,"Test 120 Day Accts";#N/A,#N/A,FALSE,"Tickmarks"}</definedName>
    <definedName name="ERERWE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f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r.g." localSheetId="0" hidden="1">{#N/A,#N/A,FALSE,"KA CH  (2)"}</definedName>
    <definedName name="errr.g" localSheetId="0" hidden="1">{#N/A,#N/A,FALSE,"KA CH  (2)"}</definedName>
    <definedName name="errrrrrrr" localSheetId="0" hidden="1">{#N/A,#N/A,FALSE,"Status of Projects";#N/A,#N/A,FALSE,"CEA-TEC";#N/A,#N/A,FALSE,"U-Constr.";#N/A,#N/A,FALSE,"summary";#N/A,#N/A,FALSE,"PPP-3 yrs"}</definedName>
    <definedName name="erryeyetyuu" localSheetId="0" hidden="1">{#N/A,#N/A,FALSE,"Pharm";#N/A,#N/A,FALSE,"WWCM"}</definedName>
    <definedName name="ert" localSheetId="0" hidden="1">{#N/A,#N/A,FALSE,"Umsatz 99";#N/A,#N/A,FALSE,"ER 99 "}</definedName>
    <definedName name="ert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ERTFDSG" localSheetId="0" hidden="1">{#N/A,#N/A,FALSE,"PGW"}</definedName>
    <definedName name="ERTFDSG_1" localSheetId="0" hidden="1">{#N/A,#N/A,FALSE,"PGW"}</definedName>
    <definedName name="ERTFDSG_2" localSheetId="0" hidden="1">{#N/A,#N/A,FALSE,"PGW"}</definedName>
    <definedName name="ERTFDSG_3" localSheetId="0" hidden="1">{#N/A,#N/A,FALSE,"PGW"}</definedName>
    <definedName name="ERTFDSG_4" localSheetId="0" hidden="1">{#N/A,#N/A,FALSE,"PGW"}</definedName>
    <definedName name="ertr" localSheetId="0" hidden="1">{#N/A,#N/A,FALSE,"Umsatz 99";#N/A,#N/A,FALSE,"ER 99 "}</definedName>
    <definedName name="ervnj" localSheetId="0" hidden="1">{"YTDACT",#N/A,FALSE,"YTD Cum";"YTDBUD",#N/A,FALSE,"YTD Cum";"YTDPRIOR",#N/A,FALSE,"YTD Cum"}</definedName>
    <definedName name="erw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eryery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nrc14c1_values" localSheetId="0" hidden="1">{"FTSE44","COMPANIES",TRUE}</definedName>
    <definedName name="esnrc6c1_values" localSheetId="0" hidden="1">{"350FTSE44","COMPANIES",TRUE}</definedName>
    <definedName name="ESSAI" localSheetId="0" hidden="1">{#N/A,#N/A,FALSE,"Pharm";#N/A,#N/A,FALSE,"WWCM"}</definedName>
    <definedName name="Essar" localSheetId="0" hidden="1">{#N/A,#N/A,FALSE,"PMTABB";#N/A,#N/A,FALSE,"PMTABB"}</definedName>
    <definedName name="et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localSheetId="0" hidden="1">{#N/A,#N/A,FALSE,"Calc";#N/A,#N/A,FALSE,"Sensitivity";#N/A,#N/A,FALSE,"LT Earn.Dil.";#N/A,#N/A,FALSE,"Dil. AVP"}</definedName>
    <definedName name="etet_1" localSheetId="0" hidden="1">{#N/A,#N/A,FALSE,"Calc";#N/A,#N/A,FALSE,"Sensitivity";#N/A,#N/A,FALSE,"LT Earn.Dil.";#N/A,#N/A,FALSE,"Dil. AVP"}</definedName>
    <definedName name="EVA" localSheetId="0" hidden="1">{"DCF",#N/A,FALSE,"CF"}</definedName>
    <definedName name="EVA_1" localSheetId="0" hidden="1">{"DCF",#N/A,FALSE,"CF"}</definedName>
    <definedName name="EVA_2" localSheetId="0" hidden="1">{"DCF",#N/A,FALSE,"CF"}</definedName>
    <definedName name="EVA_3" localSheetId="0" hidden="1">{"DCF",#N/A,FALSE,"CF"}</definedName>
    <definedName name="EVA_4" localSheetId="0" hidden="1">{"DCF",#N/A,FALSE,"CF"}</definedName>
    <definedName name="EVA_5" localSheetId="0" hidden="1">{"DCF",#N/A,FALSE,"CF"}</definedName>
    <definedName name="ew" localSheetId="0" hidden="1">{"summary1",#N/A,TRUE,"Comps";"summary2",#N/A,TRUE,"Comps";"summary3",#N/A,TRUE,"Comps"}</definedName>
    <definedName name="ewaw" localSheetId="0" hidden="1">{"Act_vs_Budget",#N/A,FALSE,"QTRDPVAR";"Act_vs_Prior_Year",#N/A,FALSE,"QTRDPVAR"}</definedName>
    <definedName name="ewcw" localSheetId="0" hidden="1">{#N/A,#N/A,FALSE,"Aging Summary";#N/A,#N/A,FALSE,"Ratio Analysis";#N/A,#N/A,FALSE,"Test 120 Day Accts";#N/A,#N/A,FALSE,"Tickmarks"}</definedName>
    <definedName name="ewdwqd" localSheetId="0" hidden="1">{#N/A,"PURCHM",FALSE,"Business Analysis";#N/A,"SPADD",FALSE,"Business Analysis"}</definedName>
    <definedName name="ewf" localSheetId="0" hidden="1">{"'Edit'!$A$1:$V$2277"}</definedName>
    <definedName name="EWFASD" localSheetId="0" hidden="1">{#N/A,#N/A,TRUE,"RM-June"}</definedName>
    <definedName name="ewgw" localSheetId="0" hidden="1">{#N/A,#N/A,FALSE,"Admin";#N/A,#N/A,FALSE,"Other"}</definedName>
    <definedName name="ewo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ewq" localSheetId="0" hidden="1">{"oct_res_comm",#N/A,FALSE,"VarToBud"}</definedName>
    <definedName name="ewq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ewrwq" localSheetId="0" hidden="1">{#N/A,#N/A,FALSE,"Staffnos &amp; cost"}</definedName>
    <definedName name="ewv" localSheetId="0" hidden="1">{"Page1",#N/A,FALSE,"OpExJanvsBud";"Page2",#N/A,FALSE,"OpExJanvsBud"}</definedName>
    <definedName name="ewwe" localSheetId="0" hidden="1">{#N/A,#N/A,FALSE,"REPORT"}</definedName>
    <definedName name="Excep06" localSheetId="0" hidden="1">{#N/A,#N/A,TRUE,"P&amp;L";#N/A,#N/A,TRUE,"note 1";#N/A,#N/A,TRUE,"note 2";#N/A,#N/A,TRUE,"note 3";#N/A,#N/A,TRUE,"note 4"}</definedName>
    <definedName name="Excep06_1" localSheetId="0" hidden="1">{#N/A,#N/A,TRUE,"P&amp;L";#N/A,#N/A,TRUE,"note 1";#N/A,#N/A,TRUE,"note 2";#N/A,#N/A,TRUE,"note 3";#N/A,#N/A,TRUE,"note 4"}</definedName>
    <definedName name="Excep06_2" localSheetId="0" hidden="1">{#N/A,#N/A,TRUE,"P&amp;L";#N/A,#N/A,TRUE,"note 1";#N/A,#N/A,TRUE,"note 2";#N/A,#N/A,TRUE,"note 3";#N/A,#N/A,TRUE,"note 4"}</definedName>
    <definedName name="Excep06_3" localSheetId="0" hidden="1">{#N/A,#N/A,TRUE,"P&amp;L";#N/A,#N/A,TRUE,"note 1";#N/A,#N/A,TRUE,"note 2";#N/A,#N/A,TRUE,"note 3";#N/A,#N/A,TRUE,"note 4"}</definedName>
    <definedName name="Excep06_4" localSheetId="0" hidden="1">{#N/A,#N/A,TRUE,"P&amp;L";#N/A,#N/A,TRUE,"note 1";#N/A,#N/A,TRUE,"note 2";#N/A,#N/A,TRUE,"note 3";#N/A,#N/A,TRUE,"note 4"}</definedName>
    <definedName name="Excep06_5" localSheetId="0" hidden="1">{#N/A,#N/A,TRUE,"P&amp;L";#N/A,#N/A,TRUE,"note 1";#N/A,#N/A,TRUE,"note 2";#N/A,#N/A,TRUE,"note 3";#N/A,#N/A,TRUE,"note 4"}</definedName>
    <definedName name="eydsr" localSheetId="0" hidden="1">{#N/A,"PURCHM",FALSE,"Business Analysis";#N/A,"SPADD",FALSE,"Business Analysis"}</definedName>
    <definedName name="f.ffff" localSheetId="0" hidden="1">{#N/A,#N/A,FALSE,"Umsatz 99";#N/A,#N/A,FALSE,"ER 99 "}</definedName>
    <definedName name="f_1" localSheetId="0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A_SCHEDULE" localSheetId="0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aa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lcs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fasdfsdfsegds" localSheetId="0" hidden="1">{#N/A,#N/A,FALSE,"PMTABB";#N/A,#N/A,FALSE,"PMTABB"}</definedName>
    <definedName name="FC_1" localSheetId="0" hidden="1">{#N/A,#N/A,FALSE,"gc (2)"}</definedName>
    <definedName name="FC_2" localSheetId="0" hidden="1">{#N/A,#N/A,FALSE,"gc (2)"}</definedName>
    <definedName name="FC_3" localSheetId="0" hidden="1">{#N/A,#N/A,FALSE,"gc (2)"}</definedName>
    <definedName name="fcd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_1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uk" localSheetId="0" hidden="1">{"by departments",#N/A,TRUE,"FORECAST";"cap_headcount",#N/A,TRUE,"FORECAST";"summary",#N/A,TRUE,"FORECAST"}</definedName>
    <definedName name="fcuk_1" localSheetId="0" hidden="1">{"by departments",#N/A,TRUE,"FORECAST";"cap_headcount",#N/A,TRUE,"FORECAST";"summary",#N/A,TRUE,"FORECAST"}</definedName>
    <definedName name="fd" localSheetId="0" hidden="1">{"ProjectInput",#N/A,FALSE,"INPUT-AREA"}</definedName>
    <definedName name="fd_1" localSheetId="0" hidden="1">{"ProjectInput",#N/A,FALSE,"INPUT-AREA"}</definedName>
    <definedName name="fd_2" localSheetId="0" hidden="1">{"ProjectInput",#N/A,FALSE,"INPUT-AREA"}</definedName>
    <definedName name="fd_3" localSheetId="0" hidden="1">{"ProjectInput",#N/A,FALSE,"INPUT-AREA"}</definedName>
    <definedName name="fd_4" localSheetId="0" hidden="1">{"ProjectInput",#N/A,FALSE,"INPUT-AREA"}</definedName>
    <definedName name="fd_5" localSheetId="0" hidden="1">{"ProjectInput",#N/A,FALSE,"INPUT-AREA"}</definedName>
    <definedName name="fdb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fdef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localSheetId="0" hidden="1">{#N/A,#N/A,FALSE,"COVER.XLS";#N/A,#N/A,FALSE,"RACT1.XLS";#N/A,#N/A,FALSE,"RACT2.XLS";#N/A,#N/A,FALSE,"ECCMP";#N/A,#N/A,FALSE,"WELDER.XLS"}</definedName>
    <definedName name="fdgdfgfdgf" localSheetId="0" hidden="1">{#N/A,#N/A,FALSE,"Produkte Erw.";#N/A,#N/A,FALSE,"Produkte Plan";#N/A,#N/A,FALSE,"Leistungen Erw.";#N/A,#N/A,FALSE,"Leistungen Plan";#N/A,#N/A,FALSE,"KA Allg.Kosten (2)";#N/A,#N/A,FALSE,"KA All.Kosten"}</definedName>
    <definedName name="fdgfdg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localSheetId="0" hidden="1">{#N/A,#N/A,FALSE,"KA CH  (2)"}</definedName>
    <definedName name="fdgfdgsdgsdgs" localSheetId="0" hidden="1">{#N/A,#N/A,FALSE,"KA CH  (2)"}</definedName>
    <definedName name="FDQ" localSheetId="0" hidden="1">{"detail",#N/A,FALSE,"mfg";"summary",#N/A,FALSE,"mfg"}</definedName>
    <definedName name="fds" localSheetId="0" hidden="1">{#N/A,#N/A,FALSE,"Pharm";#N/A,#N/A,FALSE,"WWCM"}</definedName>
    <definedName name="fdsa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f" localSheetId="0" hidden="1">{#N/A,#N/A,FALSE,"Model";#N/A,#N/A,FALSE,"Division"}</definedName>
    <definedName name="fdskj" localSheetId="0" hidden="1">{#N/A,#N/A,FALSE,"Model";#N/A,#N/A,FALSE,"Division"}</definedName>
    <definedName name="fdskj_1" localSheetId="0" hidden="1">{#N/A,#N/A,FALSE,"Model";#N/A,#N/A,FALSE,"Division"}</definedName>
    <definedName name="fdss" localSheetId="0" hidden="1">{#N/A,#N/A,FALSE,"Scenario PivotTable"}</definedName>
    <definedName name="fe" localSheetId="0" hidden="1">{#N/A,#N/A,FALSE,"Layout GuV"}</definedName>
    <definedName name="fe_1" localSheetId="0" hidden="1">{#N/A,#N/A,FALSE,"Layout GuV"}</definedName>
    <definedName name="fe_2" localSheetId="0" hidden="1">{#N/A,#N/A,FALSE,"PMTABB";#N/A,#N/A,FALSE,"PMTABB"}</definedName>
    <definedName name="fe_3" localSheetId="0" hidden="1">{#N/A,#N/A,FALSE,"PMTABB";#N/A,#N/A,FALSE,"PMTABB"}</definedName>
    <definedName name="fe_4" localSheetId="0" hidden="1">{#N/A,#N/A,FALSE,"PMTABB";#N/A,#N/A,FALSE,"PMTABB"}</definedName>
    <definedName name="fef" localSheetId="0" hidden="1">{#N/A,#N/A,FALSE,"COVER.XLS";#N/A,#N/A,FALSE,"RACT1.XLS";#N/A,#N/A,FALSE,"RACT2.XLS";#N/A,#N/A,FALSE,"ECCMP";#N/A,#N/A,FALSE,"WELDER.XLS"}</definedName>
    <definedName name="fer" localSheetId="0" hidden="1">{#N/A,#N/A,FALSE,"Layout GuV"}</definedName>
    <definedName name="fer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ret" localSheetId="0" hidden="1">{#N/A,#N/A,FALSE,"FREE"}</definedName>
    <definedName name="feret_1" localSheetId="0" hidden="1">{#N/A,#N/A,FALSE,"FREE"}</definedName>
    <definedName name="feret_2" localSheetId="0" hidden="1">{#N/A,#N/A,FALSE,"FREE"}</definedName>
    <definedName name="feret_3" localSheetId="0" hidden="1">{#N/A,#N/A,FALSE,"FREE"}</definedName>
    <definedName name="feret_4" localSheetId="0" hidden="1">{#N/A,#N/A,FALSE,"FREE"}</definedName>
    <definedName name="fesa" localSheetId="0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localSheetId="0" hidden="1">{"BA detail",#N/A,FALSE,"Q3YTD "}</definedName>
    <definedName name="few" localSheetId="0" hidden="1">{#N/A,#N/A,FALSE,"PMTABB";#N/A,#N/A,FALSE,"PMTABB"}</definedName>
    <definedName name="few_1" localSheetId="0" hidden="1">{#N/A,#N/A,FALSE,"PMTABB";#N/A,#N/A,FALSE,"PMTABB"}</definedName>
    <definedName name="few_2" localSheetId="0" hidden="1">{#N/A,#N/A,FALSE,"PMTABB";#N/A,#N/A,FALSE,"PMTABB"}</definedName>
    <definedName name="few_3" localSheetId="0" hidden="1">{#N/A,#N/A,FALSE,"PMTABB";#N/A,#N/A,FALSE,"PMTABB"}</definedName>
    <definedName name="few_4" localSheetId="0" hidden="1">{#N/A,#N/A,FALSE,"PMTABB";#N/A,#N/A,FALSE,"PMTABB"}</definedName>
    <definedName name="fewq" localSheetId="0" hidden="1">{"Comp_of_Price_Effect",#N/A,FALSE,"QTRDPVAR"}</definedName>
    <definedName name="fewt" localSheetId="0" hidden="1">{#N/A,#N/A,FALSE,"EW"}</definedName>
    <definedName name="fewt_1" localSheetId="0" hidden="1">{#N/A,#N/A,FALSE,"EW"}</definedName>
    <definedName name="fewt_2" localSheetId="0" hidden="1">{#N/A,#N/A,FALSE,"EW"}</definedName>
    <definedName name="fewt_3" localSheetId="0" hidden="1">{#N/A,#N/A,FALSE,"EW"}</definedName>
    <definedName name="fewt_4" localSheetId="0" hidden="1">{#N/A,#N/A,FALSE,"EW"}</definedName>
    <definedName name="ff" localSheetId="0" hidden="1">{#N/A,#N/A,TRUE,"index";#N/A,#N/A,TRUE,"Summary";#N/A,#N/A,TRUE,"Continuing Business";#N/A,#N/A,TRUE,"Disposals";#N/A,#N/A,TRUE,"Acquisitions";#N/A,#N/A,TRUE,"Actual &amp; Plan Reconciliation"}</definedName>
    <definedName name="ff_1" localSheetId="0" hidden="1">{#N/A,#N/A,FALSE,"gc (2)"}</definedName>
    <definedName name="ff_2" localSheetId="0" hidden="1">{#N/A,#N/A,FALSE,"gc (2)"}</definedName>
    <definedName name="ff_3" localSheetId="0" hidden="1">{#N/A,#N/A,FALSE,"gc (2)"}</definedName>
    <definedName name="ffdd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ff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f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ffffff" localSheetId="0" hidden="1">{#N/A,#N/A,FALSE,"Pharm";#N/A,#N/A,FALSE,"WWCM"}</definedName>
    <definedName name="ffffffff" localSheetId="0" hidden="1">{#N/A,#N/A,FALSE,"COVER.XLS";#N/A,#N/A,FALSE,"RACT1.XLS";#N/A,#N/A,FALSE,"RACT2.XLS";#N/A,#N/A,FALSE,"ECCMP";#N/A,#N/A,FALSE,"WELDER.XLS"}</definedName>
    <definedName name="fffffffff" localSheetId="0" hidden="1">{#N/A,#N/A,FALSE,"COVER1.XLS ";#N/A,#N/A,FALSE,"RACT1.XLS";#N/A,#N/A,FALSE,"RACT2.XLS";#N/A,#N/A,FALSE,"ECCMP";#N/A,#N/A,FALSE,"WELDER.XLS"}</definedName>
    <definedName name="fffffffffffffff" localSheetId="0" hidden="1">{#N/A,#N/A,FALSE,"Status of Projects";#N/A,#N/A,FALSE,"CEA-TEC";#N/A,#N/A,FALSE,"U-Constr.";#N/A,#N/A,FALSE,"summary";#N/A,#N/A,FALSE,"PPP-3 yrs"}</definedName>
    <definedName name="ffy" localSheetId="0" hidden="1">{#N/A,#N/A,FALSE,"FY97";#N/A,#N/A,FALSE,"FY98";#N/A,#N/A,FALSE,"FY99";#N/A,#N/A,FALSE,"FY00";#N/A,#N/A,FALSE,"FY01"}</definedName>
    <definedName name="ffy_1" localSheetId="0" hidden="1">{#N/A,#N/A,FALSE,"FY97";#N/A,#N/A,FALSE,"FY98";#N/A,#N/A,FALSE,"FY99";#N/A,#N/A,FALSE,"FY00";#N/A,#N/A,FALSE,"FY01"}</definedName>
    <definedName name="fgd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fgf" localSheetId="0" hidden="1">{#N/A,#N/A,FALSE,"Umsatz 99";#N/A,#N/A,FALSE,"ER 99 "}</definedName>
    <definedName name="fgfg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fgfgf" localSheetId="0" hidden="1">{#N/A,#N/A,FALSE,"Umsatz 99";#N/A,#N/A,FALSE,"ER 99 "}</definedName>
    <definedName name="fgfgfgf" localSheetId="0" hidden="1">{"mgmt forecast",#N/A,FALSE,"Mgmt Forecast";"dcf table",#N/A,FALSE,"Mgmt Forecast";"sensitivity",#N/A,FALSE,"Mgmt Forecast";"table inputs",#N/A,FALSE,"Mgmt Forecast";"calculations",#N/A,FALSE,"Mgmt Forecast"}</definedName>
    <definedName name="fgfx" localSheetId="0" hidden="1">{#N/A,#N/A,FALSE,"Umsatz 99";#N/A,#N/A,FALSE,"ER 99 "}</definedName>
    <definedName name="fgh_1" localSheetId="0" hidden="1">{"office ltcg",#N/A,FALSE,"gain01";"IT LTCG",#N/A,FALSE,"gain01"}</definedName>
    <definedName name="fgh_2" localSheetId="0" hidden="1">{"office ltcg",#N/A,FALSE,"gain01";"IT LTCG",#N/A,FALSE,"gain01"}</definedName>
    <definedName name="fgh_3" localSheetId="0" hidden="1">{"office ltcg",#N/A,FALSE,"gain01";"IT LTCG",#N/A,FALSE,"gain01"}</definedName>
    <definedName name="FGHFDH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localSheetId="0" hidden="1">{#N/A,#N/A,FALSE,"KA CH  (2)"}</definedName>
    <definedName name="fghfghfghgfhgfh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localSheetId="0" hidden="1">{#N/A,#N/A,FALSE,"PGW"}</definedName>
    <definedName name="FGHFH_1" localSheetId="0" hidden="1">{#N/A,#N/A,FALSE,"PGW"}</definedName>
    <definedName name="FGHFH_2" localSheetId="0" hidden="1">{#N/A,#N/A,FALSE,"PGW"}</definedName>
    <definedName name="FGHFH_3" localSheetId="0" hidden="1">{#N/A,#N/A,FALSE,"PGW"}</definedName>
    <definedName name="FGHFH_4" localSheetId="0" hidden="1">{#N/A,#N/A,FALSE,"PGW"}</definedName>
    <definedName name="fghj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fgjfgj" localSheetId="0" hidden="1">{#N/A,#N/A,FALSE,"Produkte Erw.";#N/A,#N/A,FALSE,"Produkte Plan";#N/A,#N/A,FALSE,"Leistungen Erw.";#N/A,#N/A,FALSE,"Leistungen Plan";#N/A,#N/A,FALSE,"KA Allg.Kosten (2)";#N/A,#N/A,FALSE,"KA All.Kosten"}</definedName>
    <definedName name="fgkjkh" localSheetId="0" hidden="1">{#N/A,#N/A,FALSE,"REPORT"}</definedName>
    <definedName name="fgsd" localSheetId="0" hidden="1">{"PAGE 1",#N/A,FALSE,"COS Excluding Geismar";"PAGE 2",#N/A,FALSE,"COS Excluding Geismar";"PAGE 3",#N/A,FALSE,"COS Excluding Geismar"}</definedName>
    <definedName name="fgsg" localSheetId="0" hidden="1">{"consolidated",#N/A,FALSE,"Sheet1";"cms",#N/A,FALSE,"Sheet1";"fse",#N/A,FALSE,"Sheet1"}</definedName>
    <definedName name="fgsg_1" localSheetId="0" hidden="1">{"consolidated",#N/A,FALSE,"Sheet1";"cms",#N/A,FALSE,"Sheet1";"fse",#N/A,FALSE,"Sheet1"}</definedName>
    <definedName name="fgt" localSheetId="0" hidden="1">{"Performance Details",#N/A,FALSE,"Current Yr";"Performance Details",#N/A,FALSE,"Budget";"Performance Details",#N/A,FALSE,"Prior Year"}</definedName>
    <definedName name="fh" localSheetId="0" hidden="1">{#N/A,#N/A,FALSE,"KA CH  (2)"}</definedName>
    <definedName name="fhfgh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tz" localSheetId="0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lna" localSheetId="0" hidden="1">{"'OBT_6M_30_6'!$S$1:$AE$53"}</definedName>
    <definedName name="Fin" localSheetId="0" hidden="1">{#N/A,#N/A,TRUE,"Financials";#N/A,#N/A,TRUE,"Operating Statistics";#N/A,#N/A,TRUE,"Capex &amp; Depreciation";#N/A,#N/A,TRUE,"Debt"}</definedName>
    <definedName name="Fin_1" localSheetId="0" hidden="1">{#N/A,#N/A,TRUE,"Financials";#N/A,#N/A,TRUE,"Operating Statistics";#N/A,#N/A,TRUE,"Capex &amp; Depreciation";#N/A,#N/A,TRUE,"Debt"}</definedName>
    <definedName name="Fin_2" localSheetId="0" hidden="1">{#N/A,#N/A,TRUE,"Financials";#N/A,#N/A,TRUE,"Operating Statistics";#N/A,#N/A,TRUE,"Capex &amp; Depreciation";#N/A,#N/A,TRUE,"Debt"}</definedName>
    <definedName name="Fin_3" localSheetId="0" hidden="1">{#N/A,#N/A,TRUE,"Financials";#N/A,#N/A,TRUE,"Operating Statistics";#N/A,#N/A,TRUE,"Capex &amp; Depreciation";#N/A,#N/A,TRUE,"Debt"}</definedName>
    <definedName name="Fin_exp_" localSheetId="0" hidden="1">{#N/A,#N/A,FALSE,"Scenario PivotTable"}</definedName>
    <definedName name="Fin_Exp_Bud" localSheetId="0" hidden="1">{#N/A,#N/A,FALSE,"Scenario PivotTable"}</definedName>
    <definedName name="Fin_Exp_Bud_07" localSheetId="0" hidden="1">{#N/A,#N/A,FALSE,"Scenario PivotTable"}</definedName>
    <definedName name="Fin_exp_Bud08" localSheetId="0" hidden="1">{#N/A,#N/A,FALSE,"Scenario PivotTable"}</definedName>
    <definedName name="FixedAssets" localSheetId="0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JEZK" localSheetId="0" hidden="1">{#N/A,#N/A,FALSE,"Pharm";#N/A,#N/A,FALSE,"WWCM"}</definedName>
    <definedName name="fjiojfsaPf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FM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a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O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ss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sss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NN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OX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fresh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FRF" localSheetId="0" hidden="1">{#N/A,#N/A,FALSE,"1";#N/A,#N/A,FALSE,"2";#N/A,#N/A,FALSE,"16 - 17";#N/A,#N/A,FALSE,"18 - 19";#N/A,#N/A,FALSE,"26";#N/A,#N/A,FALSE,"27";#N/A,#N/A,FALSE,"28"}</definedName>
    <definedName name="FRFERFE" localSheetId="0" hidden="1">{#N/A,#N/A,FALSE,"Pharm";#N/A,#N/A,FALSE,"WWCM"}</definedName>
    <definedName name="frqer" localSheetId="0" hidden="1">{#N/A,#N/A,FALSE,"OSBL"}</definedName>
    <definedName name="frty" localSheetId="0" hidden="1">{"PRS",#N/A,FALSE,"CM"}</definedName>
    <definedName name="FSDFDS" localSheetId="0" hidden="1">{#N/A,#N/A,FALSE,"PMTABB";#N/A,#N/A,FALSE,"PMTABB"}</definedName>
    <definedName name="fsfs" localSheetId="0" hidden="1">{#N/A,#N/A,FALSE,"Calc";#N/A,#N/A,FALSE,"Sensitivity";#N/A,#N/A,FALSE,"LT Earn.Dil.";#N/A,#N/A,FALSE,"Dil. AVP"}</definedName>
    <definedName name="fsfs_1" localSheetId="0" hidden="1">{#N/A,#N/A,FALSE,"Calc";#N/A,#N/A,FALSE,"Sensitivity";#N/A,#N/A,FALSE,"LT Earn.Dil.";#N/A,#N/A,FALSE,"Dil. AVP"}</definedName>
    <definedName name="fuck" localSheetId="0" hidden="1">{"by departments",#N/A,TRUE,"FORECAST";"cap_headcount",#N/A,TRUE,"FORECAST";"summary",#N/A,TRUE,"FORECAST"}</definedName>
    <definedName name="fuck_1" localSheetId="0" hidden="1">{"by departments",#N/A,TRUE,"FORECAST";"cap_headcount",#N/A,TRUE,"FORECAST";"summary",#N/A,TRUE,"FORECAST"}</definedName>
    <definedName name="fuckme" localSheetId="0" hidden="1">{"SUMMARY",#N/A,TRUE,"SUMMARY";"compare",#N/A,TRUE,"Vs. Bus Plan";"ratios",#N/A,TRUE,"Ratios";"REVENUE",#N/A,TRUE,"Revenue";"expenses",#N/A,TRUE,"1996 budget";"payroll",#N/A,TRUE,"Payroll"}</definedName>
    <definedName name="fuckme_1" localSheetId="0" hidden="1">{"SUMMARY",#N/A,TRUE,"SUMMARY";"compare",#N/A,TRUE,"Vs. Bus Plan";"ratios",#N/A,TRUE,"Ratios";"REVENUE",#N/A,TRUE,"Revenue";"expenses",#N/A,TRUE,"1996 budget";"payroll",#N/A,TRUE,"Payroll"}</definedName>
    <definedName name="fu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unds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urnitureFixture" localSheetId="0" hidden="1">{#N/A,#N/A,FALSE,"AR2";#N/A,#N/A,FALSE,"SUM"}</definedName>
    <definedName name="FVG" localSheetId="0" hidden="1">{#N/A,#N/A,FALSE,"Pharm";#N/A,#N/A,FALSE,"WWCM"}</definedName>
    <definedName name="fwef_1" localSheetId="0" hidden="1">{#N/A,#N/A,FALSE,"OSBL"}</definedName>
    <definedName name="fwef_2" localSheetId="0" hidden="1">{#N/A,#N/A,FALSE,"OSBL"}</definedName>
    <definedName name="fwef_3" localSheetId="0" hidden="1">{#N/A,#N/A,FALSE,"OSBL"}</definedName>
    <definedName name="fwef_4" localSheetId="0" hidden="1">{#N/A,#N/A,FALSE,"OSBL"}</definedName>
    <definedName name="FWEg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localSheetId="0" hidden="1">{#N/A,"PURCHM",FALSE,"Business Analysis";#N/A,"SPADD",FALSE,"Business Analysis"}</definedName>
    <definedName name="GDF" localSheetId="0" hidden="1">{#N/A,#N/A,FALSE,"COMP"}</definedName>
    <definedName name="GDFA" localSheetId="0" hidden="1">{#N/A,#N/A,FALSE,"COMP"}</definedName>
    <definedName name="gdfg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localSheetId="0" hidden="1">{#N/A,#N/A,FALSE,"Pharm";#N/A,#N/A,FALSE,"WWCM"}</definedName>
    <definedName name="gdgd" localSheetId="0" hidden="1">{#N/A,#N/A,FALSE,"Calc";#N/A,#N/A,FALSE,"Sensitivity";#N/A,#N/A,FALSE,"LT Earn.Dil.";#N/A,#N/A,FALSE,"Dil. AVP"}</definedName>
    <definedName name="gdgd_1" localSheetId="0" hidden="1">{#N/A,#N/A,FALSE,"Calc";#N/A,#N/A,FALSE,"Sensitivity";#N/A,#N/A,FALSE,"LT Earn.Dil.";#N/A,#N/A,FALSE,"Dil. AVP"}</definedName>
    <definedName name="ge" localSheetId="0" hidden="1">{#N/A,#N/A,FALSE,"EW"}</definedName>
    <definedName name="ge_1" localSheetId="0" hidden="1">{#N/A,#N/A,FALSE,"EW"}</definedName>
    <definedName name="ge_2" localSheetId="0" hidden="1">{#N/A,#N/A,FALSE,"EW"}</definedName>
    <definedName name="ge_3" localSheetId="0" hidden="1">{#N/A,#N/A,FALSE,"EW"}</definedName>
    <definedName name="ge_4" localSheetId="0" hidden="1">{#N/A,#N/A,FALSE,"EW"}</definedName>
    <definedName name="gee" localSheetId="0" hidden="1">{#N/A,#N/A,FALSE,"COVER1.XLS ";#N/A,#N/A,FALSE,"RACT1.XLS";#N/A,#N/A,FALSE,"RACT2.XLS";#N/A,#N/A,FALSE,"ECCMP";#N/A,#N/A,FALSE,"WELDER.XLS"}</definedName>
    <definedName name="GeelCapexFcst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orges" localSheetId="0" hidden="1">{#N/A,#N/A,FALSE,"Tabl. FB300";#N/A,#N/A,FALSE,"Tabl. FB350";#N/A,#N/A,FALSE,"Tabl. FB400";#N/A,#N/A,FALSE,"Tabl. FB500";#N/A,#N/A,FALSE,"Tabl. FS090"}</definedName>
    <definedName name="geww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localSheetId="0" hidden="1">{#N/A,#N/A,FALSE,"KA CH  (2)"}</definedName>
    <definedName name="gfd" localSheetId="0" hidden="1">{#N/A,"PURCHM",FALSE,"Business Analysis";#N/A,"SPADD",FALSE,"Business Analysis"}</definedName>
    <definedName name="gfdjhjh" localSheetId="0" hidden="1">{#N/A,#N/A,FALSE,"Pharm";#N/A,#N/A,FALSE,"WWCM"}</definedName>
    <definedName name="gfds" localSheetId="0" hidden="1">{"oct_res_comm",#N/A,FALSE,"VarToBud"}</definedName>
    <definedName name="gfgffgf" localSheetId="0" hidden="1">{"mgmt forecast",#N/A,FALSE,"Mgmt Forecast";"dcf table",#N/A,FALSE,"Mgmt Forecast";"sensitivity",#N/A,FALSE,"Mgmt Forecast";"table inputs",#N/A,FALSE,"Mgmt Forecast";"calculations",#N/A,FALSE,"Mgmt Forecast"}</definedName>
    <definedName name="gfghdfgdf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localSheetId="0" hidden="1">{#N/A,#N/A,FALSE,"PMTABB";#N/A,#N/A,FALSE,"PMTABB"}</definedName>
    <definedName name="gfh_2" localSheetId="0" hidden="1">{#N/A,#N/A,FALSE,"PMTABB";#N/A,#N/A,FALSE,"PMTABB"}</definedName>
    <definedName name="gfh_3" localSheetId="0" hidden="1">{#N/A,#N/A,FALSE,"PMTABB";#N/A,#N/A,FALSE,"PMTABB"}</definedName>
    <definedName name="gfh_4" localSheetId="0" hidden="1">{#N/A,#N/A,FALSE,"PMTABB";#N/A,#N/A,FALSE,"PMTABB"}</definedName>
    <definedName name="gfhfgh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localSheetId="0" hidden="1">{#N/A,#N/A,FALSE,"Umsatz 99";#N/A,#N/A,FALSE,"ER 99 "}</definedName>
    <definedName name="gfhh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NFGJH" localSheetId="0" hidden="1">{#N/A,#N/A,FALSE,"TOWNSHIP"}</definedName>
    <definedName name="GFNFGJH_1" localSheetId="0" hidden="1">{#N/A,#N/A,FALSE,"TOWNSHIP"}</definedName>
    <definedName name="GFNFGJH_2" localSheetId="0" hidden="1">{#N/A,#N/A,FALSE,"TOWNSHIP"}</definedName>
    <definedName name="GFNFGJH_3" localSheetId="0" hidden="1">{#N/A,#N/A,FALSE,"TOWNSHIP"}</definedName>
    <definedName name="GFNFGJH_4" localSheetId="0" hidden="1">{#N/A,#N/A,FALSE,"TOWNSHIP"}</definedName>
    <definedName name="gfrr" localSheetId="0" hidden="1">{#N/A,#N/A,FALSE,"Umsatz 99";#N/A,#N/A,FALSE,"ER 99 "}</definedName>
    <definedName name="gfsd" localSheetId="0" hidden="1">{"consolidated",#N/A,FALSE,"Sheet1";"cms",#N/A,FALSE,"Sheet1";"fse",#N/A,FALSE,"Sheet1"}</definedName>
    <definedName name="gfsd_1" localSheetId="0" hidden="1">{"consolidated",#N/A,FALSE,"Sheet1";"cms",#N/A,FALSE,"Sheet1";"fse",#N/A,FALSE,"Sheet1"}</definedName>
    <definedName name="gg" localSheetId="0" hidden="1">{#N/A,#N/A,TRUE,"index";#N/A,#N/A,TRUE,"Summary";#N/A,#N/A,TRUE,"Continuing Business";#N/A,#N/A,TRUE,"Disposals";#N/A,#N/A,TRUE,"Acquisitions";#N/A,#N/A,TRUE,"Actual &amp; Plan Reconciliation"}</definedName>
    <definedName name="GGF" localSheetId="0" hidden="1">{#N/A,#N/A,FALSE,"SUMMARY";#N/A,#N/A,FALSE,"SUMMARY"}</definedName>
    <definedName name="ggg" localSheetId="0" hidden="1">{"'CASHFLOW_REVISED'!$B$2:$F$68","'CASHFLOW_REVISED'!$B$2:$F$58"}</definedName>
    <definedName name="gggg" localSheetId="0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gggggggggg" localSheetId="0" hidden="1">{#N/A,#N/A,FALSE,"Status of Projects";#N/A,#N/A,FALSE,"CEA-TEC";#N/A,#N/A,FALSE,"U-Constr.";#N/A,#N/A,FALSE,"summary";#N/A,#N/A,FALSE,"PPP-3 yrs"}</definedName>
    <definedName name="ghf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ghfgh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h" localSheetId="0" hidden="1">{#N/A,#N/A,FALSE,"KA CH  (2)"}</definedName>
    <definedName name="ghi" localSheetId="0" hidden="1">{#N/A,#N/A,FALSE,"Tabl. FB300";#N/A,#N/A,FALSE,"Tabl. FB350";#N/A,#N/A,FALSE,"Tabl. FB400";#N/A,#N/A,FALSE,"Tabl. FB500";#N/A,#N/A,FALSE,"Tabl. FS090"}</definedName>
    <definedName name="ghj" localSheetId="0" hidden="1">{#N/A,#N/A,FALSE,"gc (2)"}</definedName>
    <definedName name="ghj.ljj" localSheetId="0" hidden="1">{#N/A,#N/A,FALSE,"Produkte Erw.";#N/A,#N/A,FALSE,"Produkte Plan";#N/A,#N/A,FALSE,"Leistungen Erw.";#N/A,#N/A,FALSE,"Leistungen Plan";#N/A,#N/A,FALSE,"KA Allg.Kosten (2)";#N/A,#N/A,FALSE,"KA All.Kosten"}</definedName>
    <definedName name="ghj.zz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_1" localSheetId="0" hidden="1">{#N/A,#N/A,FALSE,"gc (2)"}</definedName>
    <definedName name="ghj_2" localSheetId="0" hidden="1">{#N/A,#N/A,FALSE,"gc (2)"}</definedName>
    <definedName name="ghj_3" localSheetId="0" hidden="1">{#N/A,#N/A,FALSE,"gc (2)"}</definedName>
    <definedName name="ghjggjh" localSheetId="0" hidden="1">{#N/A,#N/A,FALSE,"Pharm";#N/A,#N/A,FALSE,"WWCM"}</definedName>
    <definedName name="ghjhgj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localSheetId="0" hidden="1">{#N/A,#N/A,FALSE,"KA CH  (2)"}</definedName>
    <definedName name="ghjhj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localSheetId="0" hidden="1">{#N/A,#N/A,FALSE,"FREE"}</definedName>
    <definedName name="GHJTI_1" localSheetId="0" hidden="1">{#N/A,#N/A,FALSE,"FREE"}</definedName>
    <definedName name="GHJTI_2" localSheetId="0" hidden="1">{#N/A,#N/A,FALSE,"FREE"}</definedName>
    <definedName name="GHJTI_3" localSheetId="0" hidden="1">{#N/A,#N/A,FALSE,"FREE"}</definedName>
    <definedName name="GHJTI_4" localSheetId="0" hidden="1">{#N/A,#N/A,FALSE,"FREE"}</definedName>
    <definedName name="ghk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ifd" localSheetId="0" hidden="1">{#N/A,"PURCHM",FALSE,"Business Analysis";#N/A,"SPADD",FALSE,"Business Analysis"}</definedName>
    <definedName name="gii" localSheetId="0" hidden="1">{"'OBT_6M_30_6'!$S$1:$AE$53"}</definedName>
    <definedName name="gjh" localSheetId="0" hidden="1">{#N/A,#N/A,FALSE,"Umsatz 99";#N/A,#N/A,FALSE,"ER 99 "}</definedName>
    <definedName name="gjk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ygj" localSheetId="0" hidden="1">{#N/A,#N/A,FALSE,"COMP"}</definedName>
    <definedName name="gk0901int" localSheetId="0" hidden="1">{#N/A,#N/A,FALSE,"PMTABB";#N/A,#N/A,FALSE,"PMTABB"}</definedName>
    <definedName name="gk0901int_1" localSheetId="0" hidden="1">{#N/A,#N/A,FALSE,"PMTABB";#N/A,#N/A,FALSE,"PMTABB"}</definedName>
    <definedName name="gk0901int_2" localSheetId="0" hidden="1">{#N/A,#N/A,FALSE,"PMTABB";#N/A,#N/A,FALSE,"PMTABB"}</definedName>
    <definedName name="gk0901int_3" localSheetId="0" hidden="1">{#N/A,#N/A,FALSE,"PMTABB";#N/A,#N/A,FALSE,"PMTABB"}</definedName>
    <definedName name="gk0901int_4" localSheetId="0" hidden="1">{#N/A,#N/A,FALSE,"PMTABB";#N/A,#N/A,FALSE,"PMTABB"}</definedName>
    <definedName name="gkjjk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lic" localSheetId="0" hidden="1">{#N/A,#N/A,FALSE,"MISC"}</definedName>
    <definedName name="Global1" localSheetId="0" hidden="1">{#N/A,#N/A,FALSE,"Pharm";#N/A,#N/A,FALSE,"WWCM"}</definedName>
    <definedName name="gods" localSheetId="0" hidden="1">{"consolidated",#N/A,FALSE,"Sheet1";"cms",#N/A,FALSE,"Sheet1";"fse",#N/A,FALSE,"Sheet1"}</definedName>
    <definedName name="gods_1" localSheetId="0" hidden="1">{"consolidated",#N/A,FALSE,"Sheet1";"cms",#N/A,FALSE,"Sheet1";"fse",#N/A,FALSE,"Sheet1"}</definedName>
    <definedName name="gopi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0" hidden="1">{#N/A,#N/A,FALSE,"PMTABB";#N/A,#N/A,FALSE,"PMTABB"}</definedName>
    <definedName name="gqarefg_1" localSheetId="0" hidden="1">{#N/A,#N/A,FALSE,"PMTABB";#N/A,#N/A,FALSE,"PMTABB"}</definedName>
    <definedName name="gqarefg_2" localSheetId="0" hidden="1">{#N/A,#N/A,FALSE,"PMTABB";#N/A,#N/A,FALSE,"PMTABB"}</definedName>
    <definedName name="gqarefg_3" localSheetId="0" hidden="1">{#N/A,#N/A,FALSE,"PMTABB";#N/A,#N/A,FALSE,"PMTABB"}</definedName>
    <definedName name="gqarefg_4" localSheetId="0" hidden="1">{#N/A,#N/A,FALSE,"PMTABB";#N/A,#N/A,FALSE,"PMTABB"}</definedName>
    <definedName name="gr" localSheetId="0" hidden="1">{#N/A,#N/A,FALSE,"SUMMARY";#N/A,#N/A,FALSE,"SUMMARY"}</definedName>
    <definedName name="gr_1" localSheetId="0" hidden="1">{#N/A,#N/A,FALSE,"SUMMARY";#N/A,#N/A,FALSE,"SUMMARY"}</definedName>
    <definedName name="gr_2" localSheetId="0" hidden="1">{#N/A,#N/A,FALSE,"SUMMARY";#N/A,#N/A,FALSE,"SUMMARY"}</definedName>
    <definedName name="gr_3" localSheetId="0" hidden="1">{#N/A,#N/A,FALSE,"SUMMARY";#N/A,#N/A,FALSE,"SUMMARY"}</definedName>
    <definedName name="gr_4" localSheetId="0" hidden="1">{#N/A,#N/A,FALSE,"SUMMARY";#N/A,#N/A,FALSE,"SUMMARY"}</definedName>
    <definedName name="graham" localSheetId="0" hidden="1">{"ICD Details",#N/A,FALSE,"Current Yr";"ICD Details",#N/A,FALSE,"Budget";"ICD Details",#N/A,FALSE,"Prior Year"}</definedName>
    <definedName name="graph" localSheetId="0" hidden="1">{#N/A,#N/A,FALSE,"REPORT"}</definedName>
    <definedName name="grghfgfg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upings" localSheetId="0" hidden="1">{"'Sch B'!$B$15:$L$17"}</definedName>
    <definedName name="Grp16_2" localSheetId="0" hidden="1">{#N/A,#N/A,FALSE,"PMTABB";#N/A,#N/A,FALSE,"PMTABB"}</definedName>
    <definedName name="Grp16_3" localSheetId="0" hidden="1">{#N/A,#N/A,FALSE,"PMTABB";#N/A,#N/A,FALSE,"PMTABB"}</definedName>
    <definedName name="Grp16_4" localSheetId="0" hidden="1">{#N/A,#N/A,FALSE,"PMTABB";#N/A,#N/A,FALSE,"PMTABB"}</definedName>
    <definedName name="Grp16_5" localSheetId="0" hidden="1">{#N/A,#N/A,FALSE,"PMTABB";#N/A,#N/A,FALSE,"PMTABB"}</definedName>
    <definedName name="Grp16_6" localSheetId="0" hidden="1">{#N/A,#N/A,FALSE,"PMTABB";#N/A,#N/A,FALSE,"PMTABB"}</definedName>
    <definedName name="Grp16_7" localSheetId="0" hidden="1">{#N/A,#N/A,FALSE,"PMTABB";#N/A,#N/A,FALSE,"PMTABB"}</definedName>
    <definedName name="grt" localSheetId="0" hidden="1">{"FTSE44","COMPANIES",TRUE}</definedName>
    <definedName name="gr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t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y" localSheetId="0" hidden="1">{"QTD_PACKAGE",#N/A,FALSE,"QTD"}</definedName>
    <definedName name="GUILLAU" localSheetId="0" hidden="1">{#N/A,#N/A,FALSE,"Tabl. D1";#N/A,#N/A,FALSE,"Tabl. D1 b";#N/A,#N/A,FALSE,"Tabl. D2";#N/A,#N/A,FALSE,"Tabl. D2 b";#N/A,#N/A,FALSE,"Tabl. D3";#N/A,#N/A,FALSE,"Tabl. D4";#N/A,#N/A,FALSE,"Tabl. D5"}</definedName>
    <definedName name="gv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wergwr" localSheetId="0" hidden="1">{#N/A,#N/A,FALSE,"ISBL"}</definedName>
    <definedName name="gwergwr_1" localSheetId="0" hidden="1">{#N/A,#N/A,FALSE,"ISBL"}</definedName>
    <definedName name="gwergwr_2" localSheetId="0" hidden="1">{#N/A,#N/A,FALSE,"ISBL"}</definedName>
    <definedName name="gwergwr_3" localSheetId="0" hidden="1">{#N/A,#N/A,FALSE,"ISBL"}</definedName>
    <definedName name="gwergwr_4" localSheetId="0" hidden="1">{#N/A,#N/A,FALSE,"ISBL"}</definedName>
    <definedName name="h.ll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a" localSheetId="0" hidden="1">{"Reader",#N/A,FALSE,"Summary";"Reader",#N/A,FALSE,"Buildup";"Reader",#N/A,FALSE,"Financials";"Reader",#N/A,FALSE,"Debt &amp; Other"}</definedName>
    <definedName name="hap" localSheetId="0" hidden="1">{#N/A,#N/A,FALSE,"COVER1.XLS ";#N/A,#N/A,FALSE,"RACT1.XLS";#N/A,#N/A,FALSE,"RACT2.XLS";#N/A,#N/A,FALSE,"ECCMP";#N/A,#N/A,FALSE,"WELDER.XLS"}</definedName>
    <definedName name="hb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DC" localSheetId="0" hidden="1">{#N/A,#N/A,FALSE,"Staffnos &amp; cost"}</definedName>
    <definedName name="hdf" localSheetId="0" hidden="1">{#N/A,#N/A,FALSE,"Staffnos &amp; cost"}</definedName>
    <definedName name="hdfc" localSheetId="0" hidden="1">{#N/A,#N/A,FALSE,"Staffnos &amp; cost"}</definedName>
    <definedName name="Headroom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HEKIE?." localSheetId="0" hidden="1">{#N/A,#N/A,FALSE,"Tabl. FB300";#N/A,#N/A,FALSE,"Tabl. FB350";#N/A,#N/A,FALSE,"Tabl. FB400";#N/A,#N/A,FALSE,"Tabl. FB500";#N/A,#N/A,FALSE,"Tabl. FS090"}</definedName>
    <definedName name="hello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0" hidden="1">{"'August 2000'!$A$1:$J$101"}</definedName>
    <definedName name="herher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" localSheetId="0" hidden="1">{"detail",#N/A,FALSE,"mfg";"summary",#N/A,FALSE,"mfg"}</definedName>
    <definedName name="HFGJM" localSheetId="0" hidden="1">{#N/A,#N/A,FALSE,"PGW"}</definedName>
    <definedName name="HFGJM_1" localSheetId="0" hidden="1">{#N/A,#N/A,FALSE,"PGW"}</definedName>
    <definedName name="HFGJM_2" localSheetId="0" hidden="1">{#N/A,#N/A,FALSE,"PGW"}</definedName>
    <definedName name="HFGJM_3" localSheetId="0" hidden="1">{#N/A,#N/A,FALSE,"PGW"}</definedName>
    <definedName name="HFGJM_4" localSheetId="0" hidden="1">{#N/A,#N/A,FALSE,"PGW"}</definedName>
    <definedName name="HFinGraph" localSheetId="0" hidden="1">{#N/A,#N/A,FALSE,"Pharm";#N/A,#N/A,FALSE,"WWCM"}</definedName>
    <definedName name="HFUJYT" localSheetId="0" hidden="1">{#N/A,#N/A,FALSE,"PMTABB";#N/A,#N/A,FALSE,"PMTABB"}</definedName>
    <definedName name="HFUJYT_1" localSheetId="0" hidden="1">{#N/A,#N/A,FALSE,"PMTABB";#N/A,#N/A,FALSE,"PMTABB"}</definedName>
    <definedName name="HFUJYT_2" localSheetId="0" hidden="1">{#N/A,#N/A,FALSE,"PMTABB";#N/A,#N/A,FALSE,"PMTABB"}</definedName>
    <definedName name="HFUJYT_3" localSheetId="0" hidden="1">{#N/A,#N/A,FALSE,"PMTABB";#N/A,#N/A,FALSE,"PMTABB"}</definedName>
    <definedName name="HFUJYT_4" localSheetId="0" hidden="1">{#N/A,#N/A,FALSE,"PMTABB";#N/A,#N/A,FALSE,"PMTABB"}</definedName>
    <definedName name="hg" localSheetId="0" hidden="1">{"detail",#N/A,FALSE,"mfg";"summary",#N/A,FALSE,"mfg"}</definedName>
    <definedName name="hgjghjhhg" localSheetId="0" hidden="1">{#N/A,#N/A,FALSE,"Produkte Erw.";#N/A,#N/A,FALSE,"Produkte Plan";#N/A,#N/A,FALSE,"Leistungen Erw.";#N/A,#N/A,FALSE,"Leistungen Plan";#N/A,#N/A,FALSE,"KA Allg.Kosten (2)";#N/A,#N/A,FALSE,"KA All.Kosten"}</definedName>
    <definedName name="hgkh" localSheetId="0" hidden="1">{#N/A,#N/A,FALSE,"Aging Summary";#N/A,#N/A,FALSE,"Ratio Analysis";#N/A,#N/A,FALSE,"Test 120 Day Accts";#N/A,#N/A,FALSE,"Tickmarks"}</definedName>
    <definedName name="HGMYGJ" localSheetId="0" hidden="1">{#N/A,#N/A,FALSE,"OSBL"}</definedName>
    <definedName name="HGMYGJ_1" localSheetId="0" hidden="1">{#N/A,#N/A,FALSE,"OSBL"}</definedName>
    <definedName name="HGMYGJ_2" localSheetId="0" hidden="1">{#N/A,#N/A,FALSE,"OSBL"}</definedName>
    <definedName name="HGMYGJ_3" localSheetId="0" hidden="1">{#N/A,#N/A,FALSE,"OSBL"}</definedName>
    <definedName name="HGMYGJ_4" localSheetId="0" hidden="1">{#N/A,#N/A,FALSE,"OSBL"}</definedName>
    <definedName name="hgwr" localSheetId="0" hidden="1">{#N/A,#N/A,FALSE,"PGW"}</definedName>
    <definedName name="hgwr_1" localSheetId="0" hidden="1">{#N/A,#N/A,FALSE,"PGW"}</definedName>
    <definedName name="hgwr_2" localSheetId="0" hidden="1">{#N/A,#N/A,FALSE,"PGW"}</definedName>
    <definedName name="hgwr_3" localSheetId="0" hidden="1">{#N/A,#N/A,FALSE,"PGW"}</definedName>
    <definedName name="hgwr_4" localSheetId="0" hidden="1">{#N/A,#N/A,FALSE,"PGW"}</definedName>
    <definedName name="hh.k" localSheetId="0" hidden="1">{#N/A,#N/A,FALSE,"KA CH  (2)"}</definedName>
    <definedName name="hhhhhhhhhhhhhhhh" localSheetId="0" hidden="1">{#N/A,#N/A,FALSE,"Status of Projects";#N/A,#N/A,FALSE,"CEA-TEC";#N/A,#N/A,FALSE,"U-Constr.";#N/A,#N/A,FALSE,"summary";#N/A,#N/A,FALSE,"PPP-3 yrs"}</definedName>
    <definedName name="hhj.ls" localSheetId="0" hidden="1">{#N/A,#N/A,FALSE,"Produkte Erw.";#N/A,#N/A,FALSE,"Produkte Plan";#N/A,#N/A,FALSE,"Leistungen Erw.";#N/A,#N/A,FALSE,"Leistungen Plan";#N/A,#N/A,FALSE,"KA Allg.Kosten (2)";#N/A,#N/A,FALSE,"KA All.Kosten"}</definedName>
    <definedName name="h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bh" localSheetId="0" hidden="1">{#N/A,#N/A,FALSE,"Pharm";#N/A,#N/A,FALSE,"WWCM"}</definedName>
    <definedName name="hig" localSheetId="0" hidden="1">{#N/A,#N/A,FALSE,"COMICRO";#N/A,#N/A,FALSE,"BALSCH";#N/A,#N/A,FALSE,"GLASS";#N/A,#N/A,FALSE,"DEPRE";#N/A,#N/A,FALSE,"A&amp;MCUR";#N/A,#N/A,FALSE,"AGEANAlysis";#N/A,#N/A,FALSE,"CHECKS";#N/A,#N/A,FALSE,"CHECKS"}</definedName>
    <definedName name="High" localSheetId="0" hidden="1">{#N/A,#N/A,FALSE,"Pharm";#N/A,#N/A,FALSE,"WWCM"}</definedName>
    <definedName name="hj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localSheetId="0" hidden="1">{#N/A,#N/A,FALSE,"Produkte Erw.";#N/A,#N/A,FALSE,"Produkte Plan";#N/A,#N/A,FALSE,"Leistungen Erw.";#N/A,#N/A,FALSE,"Leistungen Plan";#N/A,#N/A,FALSE,"KA Allg.Kosten (2)";#N/A,#N/A,FALSE,"KA All.Kosten"}</definedName>
    <definedName name="hjdfhask" localSheetId="0" hidden="1">{#N/A,#N/A,TRUE,"index";#N/A,#N/A,TRUE,"Summary";#N/A,#N/A,TRUE,"Continuing Business";#N/A,#N/A,TRUE,"Disposals";#N/A,#N/A,TRUE,"Acquisitions";#N/A,#N/A,TRUE,"Actual &amp; Plan Reconciliation"}</definedName>
    <definedName name="hjghhgyg" localSheetId="0" hidden="1">{"Polymers Details",#N/A,FALSE,"Current Yr";"Polymer Details",#N/A,FALSE,"Budget";"Polymer Details",#N/A,FALSE,"Prior Year"}</definedName>
    <definedName name="hjghjgj" localSheetId="0" hidden="1">{#N/A,#N/A,FALSE,"מאזן בוחן";"כל_מאזן_בוחן",#N/A,FALSE,"מאזן בוחן"}</definedName>
    <definedName name="hjghjhgj" localSheetId="0" hidden="1">{#N/A,#N/A,FALSE,"Produkte Erw.";#N/A,#N/A,FALSE,"Produkte Plan";#N/A,#N/A,FALSE,"Leistungen Erw.";#N/A,#N/A,FALSE,"Leistungen Plan";#N/A,#N/A,FALSE,"KA Allg.Kosten (2)";#N/A,#N/A,FALSE,"KA All.Kosten"}</definedName>
    <definedName name="hjh" localSheetId="0" hidden="1">{#N/A,#N/A,FALSE,"Produkte Erw.";#N/A,#N/A,FALSE,"Produkte Plan";#N/A,#N/A,FALSE,"Leistungen Erw.";#N/A,#N/A,FALSE,"Leistungen Plan";#N/A,#N/A,FALSE,"KA Allg.Kosten (2)";#N/A,#N/A,FALSE,"KA All.Kosten"}</definedName>
    <definedName name="hjhjffukfuk" localSheetId="0" hidden="1">{#N/A,#N/A,FALSE,"Pharm";#N/A,#N/A,FALSE,"WWCM"}</definedName>
    <definedName name="hjhjfkfukywrte" localSheetId="0" hidden="1">{#N/A,#N/A,FALSE,"Pharm";#N/A,#N/A,FALSE,"WWCM"}</definedName>
    <definedName name="hjhka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hjhkjkl" localSheetId="0" hidden="1">{#N/A,#N/A,FALSE,"Pharm";#N/A,#N/A,FALSE,"WWCM"}</definedName>
    <definedName name="hjjjkk" localSheetId="0" hidden="1">{#N/A,#N/A,FALSE,"REPORT"}</definedName>
    <definedName name="hjjkk" localSheetId="0" hidden="1">{#N/A,#N/A,FALSE,"Pharm";#N/A,#N/A,FALSE,"WWCM"}</definedName>
    <definedName name="hjk" localSheetId="0" hidden="1">{#N/A,#N/A,FALSE,"Umsatz 99";#N/A,#N/A,FALSE,"ER 99 "}</definedName>
    <definedName name="hjk.l" localSheetId="0" hidden="1">{#N/A,#N/A,FALSE,"Produkte Erw.";#N/A,#N/A,FALSE,"Produkte Plan";#N/A,#N/A,FALSE,"Leistungen Erw.";#N/A,#N/A,FALSE,"Leistungen Plan";#N/A,#N/A,FALSE,"KA Allg.Kosten (2)";#N/A,#N/A,FALSE,"KA All.Kosten"}</definedName>
    <definedName name="hjkfh_control" localSheetId="0" hidden="1">{"'August 2000'!$A$1:$J$101"}</definedName>
    <definedName name="hjkhjk" localSheetId="0" hidden="1">{#N/A,#N/A,FALSE,"KA CH  (2)"}</definedName>
    <definedName name="hjkjhk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localSheetId="0" hidden="1">{#N/A,#N/A,FALSE,"Pharm";#N/A,#N/A,FALSE,"WWCM"}</definedName>
    <definedName name="hjkl" localSheetId="0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kjkh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localSheetId="0" hidden="1">{#N/A,#N/A,FALSE,"REPORT"}</definedName>
    <definedName name="HMG" localSheetId="0" hidden="1">{#N/A,#N/A,FALSE,"REPORT"}</definedName>
    <definedName name="ho" localSheetId="0" hidden="1">{#N/A,#N/A,FALSE,"PRJCTED MNTHLY QTY's"}</definedName>
    <definedName name="hong" localSheetId="0" hidden="1">{#N/A,#N/A,TRUE,"流动资产--预付";"宁夏正大会计师事务所 - 个人视面",#N/A,TRUE,"Sheet1"}</definedName>
    <definedName name="HOPIP" localSheetId="0" hidden="1">{#N/A,#N/A,FALSE,"PMTABB";#N/A,#N/A,FALSE,"PMTABB"}</definedName>
    <definedName name="HOPIP_1" localSheetId="0" hidden="1">{#N/A,#N/A,FALSE,"PMTABB";#N/A,#N/A,FALSE,"PMTABB"}</definedName>
    <definedName name="HOPIP_2" localSheetId="0" hidden="1">{#N/A,#N/A,FALSE,"PMTABB";#N/A,#N/A,FALSE,"PMTABB"}</definedName>
    <definedName name="HOPIP_3" localSheetId="0" hidden="1">{#N/A,#N/A,FALSE,"PMTABB";#N/A,#N/A,FALSE,"PMTABB"}</definedName>
    <definedName name="HOPIP_4" localSheetId="0" hidden="1">{#N/A,#N/A,FALSE,"PMTABB";#N/A,#N/A,FALSE,"PMTABB"}</definedName>
    <definedName name="hre" localSheetId="0" hidden="1">{#N/A,#N/A,FALSE,"TOWNSHIP"}</definedName>
    <definedName name="hre_1" localSheetId="0" hidden="1">{#N/A,#N/A,FALSE,"TOWNSHIP"}</definedName>
    <definedName name="hre_2" localSheetId="0" hidden="1">{#N/A,#N/A,FALSE,"TOWNSHIP"}</definedName>
    <definedName name="hre_3" localSheetId="0" hidden="1">{#N/A,#N/A,FALSE,"TOWNSHIP"}</definedName>
    <definedName name="hre_4" localSheetId="0" hidden="1">{#N/A,#N/A,FALSE,"TOWNSHIP"}</definedName>
    <definedName name="hshhr" localSheetId="0" hidden="1">{#N/A,#N/A,TRUE,"Staffnos &amp; cost"}</definedName>
    <definedName name="HTML_Control" localSheetId="0" hidden="1">{"'Sch B'!$B$15:$L$17"}</definedName>
    <definedName name="HTML_control1" localSheetId="0" hidden="1">{"'August 2000'!$A$1:$J$101"}</definedName>
    <definedName name="HTML1_Control" localSheetId="0" hidden="1">{"'PS-SOTM'!$A$1","'PS-SOTM'!$A$2:$M$30","'PS-SOTM'!$A$31:$A$38"}</definedName>
    <definedName name="HTMLControl" localSheetId="0" hidden="1">{"'Edit'!$A$1:$V$2277"}</definedName>
    <definedName name="htyuityuiotio" localSheetId="0" hidden="1">{#N/A,#N/A,FALSE,"REPORT"}</definedName>
    <definedName name="hu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y" localSheetId="0" hidden="1">{"'Sheet1'!$L$16"}</definedName>
    <definedName name="hw" localSheetId="0" hidden="1">{#N/A,#N/A,FALSE,"SUMMARY";#N/A,#N/A,FALSE,"SUMMARY"}</definedName>
    <definedName name="hw_1" localSheetId="0" hidden="1">{#N/A,#N/A,FALSE,"SUMMARY";#N/A,#N/A,FALSE,"SUMMARY"}</definedName>
    <definedName name="hw_2" localSheetId="0" hidden="1">{#N/A,#N/A,FALSE,"SUMMARY";#N/A,#N/A,FALSE,"SUMMARY"}</definedName>
    <definedName name="hw_3" localSheetId="0" hidden="1">{#N/A,#N/A,FALSE,"SUMMARY";#N/A,#N/A,FALSE,"SUMMARY"}</definedName>
    <definedName name="hw_4" localSheetId="0" hidden="1">{#N/A,#N/A,FALSE,"SUMMARY";#N/A,#N/A,FALSE,"SUMMARY"}</definedName>
    <definedName name="hy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d" localSheetId="0" hidden="1">{#N/A,#N/A,FALSE,"COMP"}</definedName>
    <definedName name="Hypertention" localSheetId="0" hidden="1">{#N/A,#N/A,FALSE,"Pharm";#N/A,#N/A,FALSE,"WWCM"}</definedName>
    <definedName name="hypo" localSheetId="0" hidden="1">{#N/A,#N/A,FALSE,"Pharm";#N/A,#N/A,FALSE,"WWCM"}</definedName>
    <definedName name="i" localSheetId="0" hidden="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Iannexure" localSheetId="0" hidden="1">{#N/A,#N/A,FALSE,"Sheet7"}</definedName>
    <definedName name="ibnjks" localSheetId="0" hidden="1">{"detail",#N/A,FALSE,"mfg";"summary",#N/A,FALSE,"mfg"}</definedName>
    <definedName name="icb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ID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_1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_2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bi" localSheetId="0" hidden="1">{#N/A,#N/A,TRUE,"Staffnos &amp; cost"}</definedName>
    <definedName name="IDFINAL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FINAL_1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FINAL_2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iot" localSheetId="0" hidden="1">{"dep. full detail",#N/A,FALSE,"annex";"3cd annex",#N/A,FALSE,"annex";"co. dep.",#N/A,FALSE,"annex"}</definedName>
    <definedName name="idiot_1" localSheetId="0" hidden="1">{"dep. full detail",#N/A,FALSE,"annex";"3cd annex",#N/A,FALSE,"annex";"co. dep.",#N/A,FALSE,"annex"}</definedName>
    <definedName name="idiot_2" localSheetId="0" hidden="1">{"dep. full detail",#N/A,FALSE,"annex";"3cd annex",#N/A,FALSE,"annex";"co. dep.",#N/A,FALSE,"annex"}</definedName>
    <definedName name="idiot_3" localSheetId="0" hidden="1">{"dep. full detail",#N/A,FALSE,"annex";"3cd annex",#N/A,FALSE,"annex";"co. dep.",#N/A,FALSE,"annex"}</definedName>
    <definedName name="IDT" localSheetId="0" hidden="1">{#N/A,#N/A,FALSE,"Umsatz 99";#N/A,#N/A,FALSE,"ER 99 "}</definedName>
    <definedName name="ihb" localSheetId="0" hidden="1">{#N/A,#N/A,FALSE,"Tabl. D1";#N/A,#N/A,FALSE,"Tabl. D1 b";#N/A,#N/A,FALSE,"Tabl. D2";#N/A,#N/A,FALSE,"Tabl. D2 b";#N/A,#N/A,FALSE,"Tabl. D3";#N/A,#N/A,FALSE,"Tabl. D4";#N/A,#N/A,FALSE,"Tabl. D5"}</definedName>
    <definedName name="ihu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ii.oo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_control" localSheetId="0" hidden="1">{"'August 2000'!$A$1:$J$101"}</definedName>
    <definedName name="III_control" localSheetId="0" hidden="1">{"'August 2000'!$A$1:$J$101"}</definedName>
    <definedName name="iiiii" localSheetId="0" hidden="1">{#N/A,#N/A,FALSE,"Calc";#N/A,#N/A,FALSE,"Sensitivity";#N/A,#N/A,FALSE,"LT Earn.Dil.";#N/A,#N/A,FALSE,"Dil. AVP"}</definedName>
    <definedName name="iiiii_1" localSheetId="0" hidden="1">{#N/A,#N/A,FALSE,"Calc";#N/A,#N/A,FALSE,"Sensitivity";#N/A,#N/A,FALSE,"LT Earn.Dil.";#N/A,#N/A,FALSE,"Dil. AVP"}</definedName>
    <definedName name="iiiiiiiiiiiiiiii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joi" localSheetId="0" hidden="1">{#N/A,#N/A,FALSE,"Produkte Erw.";#N/A,#N/A,FALSE,"Produkte Plan";#N/A,#N/A,FALSE,"Leistungen Erw.";#N/A,#N/A,FALSE,"Leistungen Plan";#N/A,#N/A,FALSE,"KA Allg.Kosten (2)";#N/A,#N/A,FALSE,"KA All.Kosten"}</definedName>
    <definedName name="Im_control" localSheetId="0" hidden="1">{"'August 2000'!$A$1:$J$101"}</definedName>
    <definedName name="In" localSheetId="0" hidden="1">{#N/A,#N/A,FALSE,"gc (2)"}</definedName>
    <definedName name="In_1" localSheetId="0" hidden="1">{#N/A,#N/A,FALSE,"gc (2)"}</definedName>
    <definedName name="In_2" localSheetId="0" hidden="1">{#N/A,#N/A,FALSE,"gc (2)"}</definedName>
    <definedName name="In_3" localSheetId="0" hidden="1">{#N/A,#N/A,FALSE,"gc (2)"}</definedName>
    <definedName name="inc" localSheetId="0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ncurr" localSheetId="0" hidden="1">{#N/A,#N/A,FALSE,"gc (2)"}</definedName>
    <definedName name="Incurr_1" localSheetId="0" hidden="1">{#N/A,#N/A,FALSE,"gc (2)"}</definedName>
    <definedName name="Incurr_2" localSheetId="0" hidden="1">{#N/A,#N/A,FALSE,"gc (2)"}</definedName>
    <definedName name="Incurr_3" localSheetId="0" hidden="1">{#N/A,#N/A,FALSE,"gc (2)"}</definedName>
    <definedName name="ingjks" localSheetId="0" hidden="1">{"detail",#N/A,FALSE,"mfg";"summary",#N/A,FALSE,"mfg"}</definedName>
    <definedName name="iniske" localSheetId="0" hidden="1">{"detail",#N/A,FALSE,"mfg";"summary",#N/A,FALSE,"mfg"}</definedName>
    <definedName name="inksl" localSheetId="0" hidden="1">{"detail",#N/A,FALSE,"mfg";"summary",#N/A,FALSE,"mfg"}</definedName>
    <definedName name="INST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ruction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ructions1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ventories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Inventory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o" localSheetId="0" hidden="1">{"Performance Details",#N/A,FALSE,"Current Yr";"Performance Details",#N/A,FALSE,"Budget";"Performance Details",#N/A,FALSE,"Prior Year"}</definedName>
    <definedName name="ioioo" localSheetId="0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k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iop" localSheetId="0" hidden="1">{#N/A,"PURCHM",FALSE,"Business Analysis";#N/A,"SPADD",FALSE,"Business Analysis"}</definedName>
    <definedName name="IP" localSheetId="0" hidden="1">{#N/A,#N/A,FALSE,"Pharm";#N/A,#N/A,FALSE,"WWCM"}</definedName>
    <definedName name="Irbe" localSheetId="0" hidden="1">{#N/A,#N/A,FALSE,"Pharm";#N/A,#N/A,FALSE,"WWCM"}</definedName>
    <definedName name="ium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iungds" localSheetId="0" hidden="1">{"detail",#N/A,FALSE,"mfg";"summary",#N/A,FALSE,"mfg"}</definedName>
    <definedName name="iuyt" localSheetId="0" hidden="1">{"AS REP",#N/A,FALSE,"EEFSNAP2";"PROP",#N/A,FALSE,"EEFSNAP2";"RISKS",#N/A,FALSE,"EEFSNAP2";"VIEW ALL",#N/A,FALSE,"EEFSNAP2"}</definedName>
    <definedName name="iy" localSheetId="0" hidden="1">{"AS REP",#N/A,FALSE,"EEFSNAP2";"PROP",#N/A,FALSE,"EEFSNAP2";"RISKS",#N/A,FALSE,"EEFSNAP2";"VIEW ALL",#N/A,FALSE,"EEFSNAP2"}</definedName>
    <definedName name="ja_1" localSheetId="0" hidden="1">{"ProjectInput",#N/A,FALSE,"INPUT-AREA"}</definedName>
    <definedName name="ja_2" localSheetId="0" hidden="1">{"ProjectInput",#N/A,FALSE,"INPUT-AREA"}</definedName>
    <definedName name="ja_3" localSheetId="0" hidden="1">{"ProjectInput",#N/A,FALSE,"INPUT-AREA"}</definedName>
    <definedName name="ja_4" localSheetId="0" hidden="1">{"ProjectInput",#N/A,FALSE,"INPUT-AREA"}</definedName>
    <definedName name="ja_5" localSheetId="0" hidden="1">{"ProjectInput",#N/A,FALSE,"INPUT-AREA"}</definedName>
    <definedName name="Jai" localSheetId="0" hidden="1">{"'August 2000'!$A$1:$J$101"}</definedName>
    <definedName name="JAN" localSheetId="0" hidden="1">{"REP1",#N/A,FALSE,"HSSA-LOG"}</definedName>
    <definedName name="jann" localSheetId="0" hidden="1">{"REP1",#N/A,FALSE,"HSSA-LOG"}</definedName>
    <definedName name="JANV" localSheetId="0" hidden="1">{#N/A,#N/A,FALSE,"Tabl. H1";#N/A,#N/A,FALSE,"Tabl. H2"}</definedName>
    <definedName name="Jay" localSheetId="0" hidden="1">{#N/A,#N/A,FALSE,"gc (2)"}</definedName>
    <definedName name="Jay_1" localSheetId="0" hidden="1">{#N/A,#N/A,FALSE,"gc (2)"}</definedName>
    <definedName name="Jay_2" localSheetId="0" hidden="1">{#N/A,#N/A,FALSE,"gc (2)"}</definedName>
    <definedName name="Jay_3" localSheetId="0" hidden="1">{#N/A,#N/A,FALSE,"gc (2)"}</definedName>
    <definedName name="jen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udi" localSheetId="0" hidden="1">{#N/A,#N/A,FALSE,"Tabl. A1";#N/A,#N/A,FALSE,"Tabl. A1 b";#N/A,#N/A,FALSE,"Tabl. A2";#N/A,#N/A,FALSE,"Tabl. A2-1";#N/A,#N/A,FALSE,"Tabl. A2-2"}</definedName>
    <definedName name="jfdsir" localSheetId="0" hidden="1">{"YTD",#N/A,FALSE,"SUM"}</definedName>
    <definedName name="jfjfj_control" localSheetId="0" hidden="1">{"'August 2000'!$A$1:$J$101"}</definedName>
    <definedName name="jg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localSheetId="0" hidden="1">{#N/A,#N/A,FALSE,"Produkte Erw.";#N/A,#N/A,FALSE,"Produkte Plan";#N/A,#N/A,FALSE,"Leistungen Erw.";#N/A,#N/A,FALSE,"Leistungen Plan";#N/A,#N/A,FALSE,"KA Allg.Kosten (2)";#N/A,#N/A,FALSE,"KA All.Kosten"}</definedName>
    <definedName name="jghjhlldc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gj" localSheetId="0" hidden="1">{#N/A,#N/A,FALSE,"COVER.XLS";#N/A,#N/A,FALSE,"RACT1.XLS";#N/A,#N/A,FALSE,"RACT2.XLS";#N/A,#N/A,FALSE,"ECCMP";#N/A,#N/A,FALSE,"WELDER.XLS"}</definedName>
    <definedName name="jhfjhfhjf" localSheetId="0" hidden="1">{#N/A,#N/A,FALSE,"PMTABB";#N/A,#N/A,FALSE,"PMTABB"}</definedName>
    <definedName name="jhgf" localSheetId="0" hidden="1">{"Commentary",#N/A,FALSE,"May"}</definedName>
    <definedName name="JHGFDS" localSheetId="0" hidden="1">{#N/A,#N/A,FALSE,"Tabl. G1";#N/A,#N/A,FALSE,"Tabl. G2"}</definedName>
    <definedName name="jhhgjh" localSheetId="0" hidden="1">{#N/A,#N/A,FALSE,"KA CH  (2)"}</definedName>
    <definedName name="jhj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ll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u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h" localSheetId="0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localSheetId="0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jj.l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_control" localSheetId="0" hidden="1">{"'August 2000'!$A$1:$J$101"}</definedName>
    <definedName name="jjh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localSheetId="0" hidden="1">{#N/A,#N/A,FALSE,"REPORT"}</definedName>
    <definedName name="jjjj" localSheetId="0" hidden="1">{#N/A,#N/A,FALSE,"Staffnos &amp; cost"}</definedName>
    <definedName name="jjkj" localSheetId="0" hidden="1">{#N/A,#N/A,FALSE,"Staffnos &amp; cost"}</definedName>
    <definedName name="jjkk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localSheetId="0" hidden="1">{#N/A,#N/A,FALSE,"FY97";#N/A,#N/A,FALSE,"FY98";#N/A,#N/A,FALSE,"FY99";#N/A,#N/A,FALSE,"FY00";#N/A,#N/A,FALSE,"FY01"}</definedName>
    <definedName name="jk_1" localSheetId="0" hidden="1">{#N/A,#N/A,FALSE,"FY97";#N/A,#N/A,FALSE,"FY98";#N/A,#N/A,FALSE,"FY99";#N/A,#N/A,FALSE,"FY00";#N/A,#N/A,FALSE,"FY01"}</definedName>
    <definedName name="jkiu" localSheetId="0" hidden="1">{#N/A,"PURCHM",FALSE,"Business Analysis";#N/A,"SPADD",FALSE,"Business Analysis"}</definedName>
    <definedName name="jkjhk" localSheetId="0" hidden="1">{#N/A,#N/A,FALSE,"Produkte Erw.";#N/A,#N/A,FALSE,"Produkte Plan";#N/A,#N/A,FALSE,"Leistungen Erw.";#N/A,#N/A,FALSE,"Leistungen Plan";#N/A,#N/A,FALSE,"KA Allg.Kosten (2)";#N/A,#N/A,FALSE,"KA All.Kosten"}</definedName>
    <definedName name="jkjk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localSheetId="0" hidden="1">{#N/A,#N/A,FALSE,"REPORT"}</definedName>
    <definedName name="jklj" localSheetId="0" hidden="1">{"TOTAL",#N/A,FALSE,"A";"FISCAL94",#N/A,FALSE,"A";"FISCAL95",#N/A,FALSE,"A";"FISCAL96",#N/A,FALSE,"A";"misc page",#N/A,FALSE,"A"}</definedName>
    <definedName name="jklj_1" localSheetId="0" hidden="1">{"TOTAL",#N/A,FALSE,"A";"FISCAL94",#N/A,FALSE,"A";"FISCAL95",#N/A,FALSE,"A";"FISCAL96",#N/A,FALSE,"A";"misc page",#N/A,FALSE,"A"}</definedName>
    <definedName name="jklj_2" localSheetId="0" hidden="1">{"TOTAL",#N/A,FALSE,"A";"FISCAL94",#N/A,FALSE,"A";"FISCAL95",#N/A,FALSE,"A";"FISCAL96",#N/A,FALSE,"A";"misc page",#N/A,FALSE,"A"}</definedName>
    <definedName name="jklj_3" localSheetId="0" hidden="1">{"TOTAL",#N/A,FALSE,"A";"FISCAL94",#N/A,FALSE,"A";"FISCAL95",#N/A,FALSE,"A";"FISCAL96",#N/A,FALSE,"A";"misc page",#N/A,FALSE,"A"}</definedName>
    <definedName name="jklk" localSheetId="0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localSheetId="0" hidden="1">{"detail",#N/A,FALSE,"mfg";"summary",#N/A,FALSE,"mfg"}</definedName>
    <definedName name="JLKFJKGSJ" localSheetId="0" hidden="1">{#N/A,#N/A,TRUE,"流动资产--预付";"宁夏正大会计师事务所 - 个人视面",#N/A,TRUE,"Sheet1"}</definedName>
    <definedName name="jnbid" localSheetId="0" hidden="1">{"detail",#N/A,FALSE,"mfg";"summary",#N/A,FALSE,"mfg"}</definedName>
    <definedName name="Joe" localSheetId="0" hidden="1">{"FY04_Assets",#N/A,FALSE,"Fin Stmt Budget";"FY04_Liabilities",#N/A,FALSE,"Fin Stmt Budget";"FY04_Inc_Stmt",#N/A,FALSE,"Fin Stmt Budget";"FY04_SOCF",#N/A,FALSE,"Fin Stmt Budget"}</definedName>
    <definedName name="jomn" localSheetId="0" hidden="1">{"pro_view",#N/A,FALSE,"EEFSNAP2";"rep_view",#N/A,FALSE,"EEFSNAP2"}</definedName>
    <definedName name="jöuiuiuzi" localSheetId="0" hidden="1">{#N/A,#N/A,FALSE,"Umsatz 99";#N/A,#N/A,FALSE,"ER 99 "}</definedName>
    <definedName name="JRN" localSheetId="0" hidden="1">{#N/A,#N/A,FALSE,"Tabl. FB300";#N/A,#N/A,FALSE,"Tabl. FB350";#N/A,#N/A,FALSE,"Tabl. FB400";#N/A,#N/A,FALSE,"Tabl. FB500";#N/A,#N/A,FALSE,"Tabl. FS090"}</definedName>
    <definedName name="jslxkkd" localSheetId="0" hidden="1">{#N/A,#N/A,FALSE,"One Pager";#N/A,#N/A,FALSE,"Technical"}</definedName>
    <definedName name="ju" localSheetId="0" hidden="1">{"PRINTREP",#N/A,FALSE,"Sheet1"}</definedName>
    <definedName name="judy" localSheetId="0" hidden="1">{#N/A,#N/A,FALSE,"Pharm";#N/A,#N/A,FALSE,"WWCM"}</definedName>
    <definedName name="judy1" localSheetId="0" hidden="1">{#N/A,#N/A,FALSE,"Pharm";#N/A,#N/A,FALSE,"WWCM"}</definedName>
    <definedName name="jui" localSheetId="0" hidden="1">{"YD OTHER",#N/A,FALSE,"YTD"}</definedName>
    <definedName name="juio" localSheetId="0" hidden="1">{"Page 1",#N/A,FALSE,"OpExJanVsPY";"Page 2",#N/A,FALSE,"OpExJanVsPY"}</definedName>
    <definedName name="JUNE05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kamal" localSheetId="0" hidden="1">{#N/A,#N/A,FALSE,"Staffnos &amp; cost"}</definedName>
    <definedName name="KAPIL" localSheetId="0" hidden="1">{#N/A,#N/A,FALSE,"Aging Summary";#N/A,#N/A,FALSE,"Ratio Analysis";#N/A,#N/A,FALSE,"Test 120 Day Accts";#N/A,#N/A,FALSE,"Tickmarks"}</definedName>
    <definedName name="kcuf" localSheetId="0" hidden="1">{"SUMMARY",#N/A,TRUE,"SUMMARY";"compare",#N/A,TRUE,"Vs. Bus Plan";"ratios",#N/A,TRUE,"Ratios";"REVENUE",#N/A,TRUE,"Revenue";"expenses",#N/A,TRUE,"1996 budget";"payroll",#N/A,TRUE,"Payroll"}</definedName>
    <definedName name="kcuf_1" localSheetId="0" hidden="1">{"SUMMARY",#N/A,TRUE,"SUMMARY";"compare",#N/A,TRUE,"Vs. Bus Plan";"ratios",#N/A,TRUE,"Ratios";"REVENUE",#N/A,TRUE,"Revenue";"expenses",#N/A,TRUE,"1996 budget";"payroll",#N/A,TRUE,"Payroll"}</definedName>
    <definedName name="kh" localSheetId="0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ksz" localSheetId="0" hidden="1">{#N/A,#N/A,FALSE,"Aging Summary";#N/A,#N/A,FALSE,"Ratio Analysis";#N/A,#N/A,FALSE,"Test 120 Day Accts";#N/A,#N/A,FALSE,"Tickmarks"}</definedName>
    <definedName name="ki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l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kinjs" localSheetId="0" hidden="1">{"detail",#N/A,FALSE,"mfg";"summary",#N/A,FALSE,"mfg"}</definedName>
    <definedName name="kip" localSheetId="0" hidden="1">{"detail",#N/A,FALSE,"mfg";"summary",#N/A,FALSE,"mfg"}</definedName>
    <definedName name="kj" localSheetId="0" hidden="1">{#N/A,#N/A,FALSE,"Admin";#N/A,#N/A,FALSE,"Other"}</definedName>
    <definedName name="kjg" localSheetId="0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localSheetId="0" hidden="1">{#N/A,#N/A,FALSE,"Tabl. FB300";#N/A,#N/A,FALSE,"Tabl. FB350";#N/A,#N/A,FALSE,"Tabl. FB400";#N/A,#N/A,FALSE,"Tabl. FB500";#N/A,#N/A,FALSE,"Tabl. FS090"}</definedName>
    <definedName name="kjhg" localSheetId="0" hidden="1">{"ICD Details",#N/A,FALSE,"Current Yr";"ICD Details",#N/A,FALSE,"Budget";"ICD Details",#N/A,FALSE,"Prior Year"}</definedName>
    <definedName name="kjip" localSheetId="0" hidden="1">{"detail",#N/A,FALSE,"mfg";"summary",#N/A,FALSE,"mfg"}</definedName>
    <definedName name="kjk.l" localSheetId="0" hidden="1">{#N/A,#N/A,FALSE,"Produkte Erw.";#N/A,#N/A,FALSE,"Produkte Plan";#N/A,#N/A,FALSE,"Leistungen Erw.";#N/A,#N/A,FALSE,"Leistungen Plan";#N/A,#N/A,FALSE,"KA Allg.Kosten (2)";#N/A,#N/A,FALSE,"KA All.Kosten"}</definedName>
    <definedName name="kjljkölhklh" localSheetId="0" hidden="1">{#N/A,#N/A,FALSE,"Produkte Erw.";#N/A,#N/A,FALSE,"Produkte Plan";#N/A,#N/A,FALSE,"Leistungen Erw.";#N/A,#N/A,FALSE,"Leistungen Plan";#N/A,#N/A,FALSE,"KA Allg.Kosten (2)";#N/A,#N/A,FALSE,"KA All.Kosten"}</definedName>
    <definedName name="kjo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 localSheetId="0" hidden="1">{#N/A,#N/A,FALSE,"Staffnos &amp; cost"}</definedName>
    <definedName name="kk.l" localSheetId="0" hidden="1">{#N/A,#N/A,FALSE,"Produkte Erw.";#N/A,#N/A,FALSE,"Produkte Plan";#N/A,#N/A,FALSE,"Leistungen Erw.";#N/A,#N/A,FALSE,"Leistungen Plan";#N/A,#N/A,FALSE,"KA Allg.Kosten (2)";#N/A,#N/A,FALSE,"KA All.Kosten"}</definedName>
    <definedName name="kkk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kkk.llll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k.llll" localSheetId="0" hidden="1">{#N/A,#N/A,FALSE,"Umsatz 99";#N/A,#N/A,FALSE,"ER 99 "}</definedName>
    <definedName name="kl" localSheetId="0" hidden="1">{#N/A,#N/A,FALSE,"FY97";#N/A,#N/A,FALSE,"FY98";#N/A,#N/A,FALSE,"FY99";#N/A,#N/A,FALSE,"FY00";#N/A,#N/A,FALSE,"FY01"}</definedName>
    <definedName name="kl_1" localSheetId="0" hidden="1">{#N/A,#N/A,FALSE,"FY97";#N/A,#N/A,FALSE,"FY98";#N/A,#N/A,FALSE,"FY99";#N/A,#N/A,FALSE,"FY00";#N/A,#N/A,FALSE,"FY01"}</definedName>
    <definedName name="KLD" localSheetId="0" hidden="1">{#N/A,#N/A,FALSE,"Tabl. A1";#N/A,#N/A,FALSE,"Tabl. A1 b";#N/A,#N/A,FALSE,"Tabl. A2";#N/A,#N/A,FALSE,"Tabl. A2-1";#N/A,#N/A,FALSE,"Tabl. A2-2"}</definedName>
    <definedName name="KLE" localSheetId="0" hidden="1">{#N/A,#N/A,FALSE,"Tabl. H1";#N/A,#N/A,FALSE,"Tabl. H2"}</definedName>
    <definedName name="klj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kljk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localSheetId="0" hidden="1">{#N/A,#N/A,FALSE,"KA CH  (2)"}</definedName>
    <definedName name="klk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localSheetId="0" hidden="1">{#N/A,#N/A,FALSE,"OSBL"}</definedName>
    <definedName name="KLKK_1" localSheetId="0" hidden="1">{#N/A,#N/A,FALSE,"OSBL"}</definedName>
    <definedName name="KLKK_2" localSheetId="0" hidden="1">{#N/A,#N/A,FALSE,"OSBL"}</definedName>
    <definedName name="KLKK_3" localSheetId="0" hidden="1">{#N/A,#N/A,FALSE,"OSBL"}</definedName>
    <definedName name="KLKK_4" localSheetId="0" hidden="1">{#N/A,#N/A,FALSE,"OSBL"}</definedName>
    <definedName name="klklkl" localSheetId="0" hidden="1">{#N/A,#N/A,FALSE,"Umsatz 99";#N/A,#N/A,FALSE,"ER 99 "}</definedName>
    <definedName name="klñ" localSheetId="0" hidden="1">{"AS REP",#N/A,FALSE,"EEFSNAP2";"PROP",#N/A,FALSE,"EEFSNAP2";"RISKS",#N/A,FALSE,"EEFSNAP2";"VIEW ALL",#N/A,FALSE,"EEFSNAP2"}</definedName>
    <definedName name="km" localSheetId="0" hidden="1">{"pro_view",#N/A,FALSE,"EEFSNAP2";"rep_view",#N/A,FALSE,"EEFSNAP2"}</definedName>
    <definedName name="köäklöl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l" localSheetId="0" hidden="1">{#N/A,#N/A,FALSE,"Staffnos &amp; cost"}</definedName>
    <definedName name="kou" localSheetId="0" hidden="1">{"detail",#N/A,FALSE,"mfg";"summary",#N/A,FALSE,"mfg"}</definedName>
    <definedName name="KPI" localSheetId="0" hidden="1">{"'OBT_6M_30_6'!$S$1:$AE$53"}</definedName>
    <definedName name="kr" localSheetId="0" hidden="1">{#N/A,#N/A,FALSE,"AUDIT-MWOS"}</definedName>
    <definedName name="ks" localSheetId="0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lkjkjlkjd" localSheetId="0" hidden="1">{#N/A,#N/A,FALSE,"REPORT"}</definedName>
    <definedName name="KUULSD" localSheetId="0" hidden="1">{#N/A,#N/A,FALSE,"COMP"}</definedName>
    <definedName name="kv" localSheetId="0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v" localSheetId="0" hidden="1">{#N/A,#N/A,FALSE,"COVER.XLS";#N/A,#N/A,FALSE,"RACT1.XLS";#N/A,#N/A,FALSE,"RACT2.XLS";#N/A,#N/A,FALSE,"ECCMP";#N/A,#N/A,FALSE,"WELDER.XLS"}</definedName>
    <definedName name="lan" localSheetId="0" hidden="1">{#N/A,#N/A,TRUE,"BT M200 da 10x20"}</definedName>
    <definedName name="LC_2" localSheetId="0" hidden="1">{#N/A,#N/A,FALSE,"PMTABB";#N/A,#N/A,FALSE,"PMTABB"}</definedName>
    <definedName name="LC_3" localSheetId="0" hidden="1">{#N/A,#N/A,FALSE,"PMTABB";#N/A,#N/A,FALSE,"PMTABB"}</definedName>
    <definedName name="LC_4" localSheetId="0" hidden="1">{#N/A,#N/A,FALSE,"PMTABB";#N/A,#N/A,FALSE,"PMTABB"}</definedName>
    <definedName name="ldkeir" localSheetId="0" hidden="1">{#N/A,"PURCHM",FALSE,"Business Analysis";#N/A,"SPADD",FALSE,"Business Analysis"}</definedName>
    <definedName name="ldskfjsl" localSheetId="0" hidden="1">{#N/A,#N/A,FALSE,"Model";#N/A,#N/A,FALSE,"Division"}</definedName>
    <definedName name="le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ease" localSheetId="0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1" localSheetId="0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e" localSheetId="0" hidden="1">{#N/A,#N/A,FALSE,"Pharm";#N/A,#N/A,FALSE,"WWCM"}</definedName>
    <definedName name="lhjlkjlhklhljl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lhhj" localSheetId="0" hidden="1">{"SCB BG EXT",#N/A,FALSE,"ADVANCEBG-EXT.D"}</definedName>
    <definedName name="LIDIA" localSheetId="0" hidden="1">{"'OBT_6M_30_6'!$S$1:$AE$53"}</definedName>
    <definedName name="LIDIA2" localSheetId="0" hidden="1">{"'OBT_6M_30_6'!$S$1:$AE$53"}</definedName>
    <definedName name="LIDIA3" localSheetId="0" hidden="1">{"'OBT_6M_30_6'!$S$1:$AE$53"}</definedName>
    <definedName name="LIDIA4" localSheetId="0" hidden="1">{"'OBT_6M_30_6'!$S$1:$AE$53"}</definedName>
    <definedName name="limey" localSheetId="0" hidden="1">{#N/A,#N/A,FALSE,"Calc";#N/A,#N/A,FALSE,"Sensitivity";#N/A,#N/A,FALSE,"LT Earn.Dil.";#N/A,#N/A,FALSE,"Dil. AVP"}</definedName>
    <definedName name="limey_1" localSheetId="0" hidden="1">{#N/A,#N/A,FALSE,"Calc";#N/A,#N/A,FALSE,"Sensitivity";#N/A,#N/A,FALSE,"LT Earn.Dil.";#N/A,#N/A,FALSE,"Dil. AVP"}</definedName>
    <definedName name="lj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LJJ" localSheetId="0" hidden="1">{#N/A,#N/A,FALSE,"FREE"}</definedName>
    <definedName name="LJLJJ_1" localSheetId="0" hidden="1">{#N/A,#N/A,FALSE,"FREE"}</definedName>
    <definedName name="LJLJJ_2" localSheetId="0" hidden="1">{#N/A,#N/A,FALSE,"FREE"}</definedName>
    <definedName name="LJLJJ_3" localSheetId="0" hidden="1">{#N/A,#N/A,FALSE,"FREE"}</definedName>
    <definedName name="LJLJJ_4" localSheetId="0" hidden="1">{#N/A,#N/A,FALSE,"FREE"}</definedName>
    <definedName name="lk" localSheetId="0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lkajsdl" localSheetId="0" hidden="1">{0,0,0,0;0,0,0,0;0,0,0,0}</definedName>
    <definedName name="LKG" localSheetId="0" hidden="1">{#N/A,#N/A,FALSE,"Tabl. G1";#N/A,#N/A,FALSE,"Tabl. G2"}</definedName>
    <definedName name="lkj" localSheetId="0" hidden="1">{"detail",#N/A,FALSE,"mfg";"summary",#N/A,FALSE,"mfg"}</definedName>
    <definedName name="lkj.xlx" localSheetId="0" hidden="1">{"mgmt forecast",#N/A,FALSE,"Mgmt Forecast";"dcf table",#N/A,FALSE,"Mgmt Forecast";"sensitivity",#N/A,FALSE,"Mgmt Forecast";"table inputs",#N/A,FALSE,"Mgmt Forecast";"calculations",#N/A,FALSE,"Mgmt Forecast"}</definedName>
    <definedName name="lkjlkj" localSheetId="0" hidden="1">{"Final",#N/A,FALSE,"Feb-96"}</definedName>
    <definedName name="lkjlkj_1" localSheetId="0" hidden="1">{"Final",#N/A,FALSE,"Feb-96"}</definedName>
    <definedName name="lk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lk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localSheetId="0" hidden="1">{"consolidated",#N/A,FALSE,"Sheet1";"cms",#N/A,FALSE,"Sheet1";"fse",#N/A,FALSE,"Sheet1"}</definedName>
    <definedName name="lklkl_1" localSheetId="0" hidden="1">{"consolidated",#N/A,FALSE,"Sheet1";"cms",#N/A,FALSE,"Sheet1";"fse",#N/A,FALSE,"Sheet1"}</definedName>
    <definedName name="lkmn" localSheetId="0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.l" localSheetId="0" hidden="1">{#N/A,#N/A,FALSE,"Produkte Erw.";#N/A,#N/A,FALSE,"Produkte Plan";#N/A,#N/A,FALSE,"Leistungen Erw.";#N/A,#N/A,FALSE,"Leistungen Plan";#N/A,#N/A,FALSE,"KA Allg.Kosten (2)";#N/A,#N/A,FALSE,"KA All.Kosten"}</definedName>
    <definedName name="LL_control" localSheetId="0" hidden="1">{"'August 2000'!$A$1:$J$101"}</definedName>
    <definedName name="LLL" localSheetId="0" hidden="1">{#N/A,#N/A,FALSE,"ACQ_GRAPHS";#N/A,#N/A,FALSE,"T_1 GRAPHS";#N/A,#N/A,FALSE,"T_2 GRAPHS";#N/A,#N/A,FALSE,"COMB_GRAPHS"}</definedName>
    <definedName name="LLL_1" localSheetId="0" hidden="1">{#N/A,#N/A,FALSE,"ACQ_GRAPHS";#N/A,#N/A,FALSE,"T_1 GRAPHS";#N/A,#N/A,FALSE,"T_2 GRAPHS";#N/A,#N/A,FALSE,"COMB_GRAPHS"}</definedName>
    <definedName name="llllll" localSheetId="0" hidden="1">{"detail",#N/A,FALSE,"mfg";"summary",#N/A,FALSE,"mfg"}</definedName>
    <definedName name="LLLLLLLL" localSheetId="0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lllo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lp" localSheetId="0" hidden="1">{"YD LPH2",#N/A,FALSE,"YTD"}</definedName>
    <definedName name="lmn" localSheetId="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lñ" localSheetId="0" hidden="1">{"sales growth",#N/A,FALSE,"summary";"oper income",#N/A,FALSE,"summary";"oros rank",#N/A,FALSE,"summary";"net assets",#N/A,FALSE,"summary";"asset turnover",#N/A,FALSE,"summary";"orona",#N/A,FALSE,"summary"}</definedName>
    <definedName name="LOAN" localSheetId="0" hidden="1">{#N/A,#N/A,FALSE,"Income State.";#N/A,#N/A,FALSE,"B-S"}</definedName>
    <definedName name="LOAN_1" localSheetId="0" hidden="1">{#N/A,#N/A,FALSE,"Income State.";#N/A,#N/A,FALSE,"B-S"}</definedName>
    <definedName name="LOAN_2" localSheetId="0" hidden="1">{#N/A,#N/A,FALSE,"Income State.";#N/A,#N/A,FALSE,"B-S"}</definedName>
    <definedName name="LOAN_3" localSheetId="0" hidden="1">{#N/A,#N/A,FALSE,"Income State.";#N/A,#N/A,FALSE,"B-S"}</definedName>
    <definedName name="LOAN_4" localSheetId="0" hidden="1">{#N/A,#N/A,FALSE,"Income State.";#N/A,#N/A,FALSE,"B-S"}</definedName>
    <definedName name="LOAN_5" localSheetId="0" hidden="1">{#N/A,#N/A,FALSE,"Income State.";#N/A,#N/A,FALSE,"B-S"}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Existing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ocationExisting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op" localSheetId="0" hidden="1">{"detail",#N/A,FALSE,"mfg";"summary",#N/A,FALSE,"mfg"}</definedName>
    <definedName name="love" localSheetId="0" hidden="1">{"PAGE 1",#N/A,FALSE,"ES-01-XX";"PAGE 2",#N/A,FALSE,"ES-01-XX"}</definedName>
    <definedName name="love_1" localSheetId="0" hidden="1">{"PAGE 1",#N/A,FALSE,"ES-01-XX";"PAGE 2",#N/A,FALSE,"ES-01-XX"}</definedName>
    <definedName name="love_2" localSheetId="0" hidden="1">{"PAGE 1",#N/A,FALSE,"ES-01-XX";"PAGE 2",#N/A,FALSE,"ES-01-XX"}</definedName>
    <definedName name="love_3" localSheetId="0" hidden="1">{"PAGE 1",#N/A,FALSE,"ES-01-XX";"PAGE 2",#N/A,FALSE,"ES-01-XX"}</definedName>
    <definedName name="lpok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undi" localSheetId="0" hidden="1">{#N/A,#N/A,FALSE,"Tabl. G1";#N/A,#N/A,FALSE,"Tabl. G2"}</definedName>
    <definedName name="m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1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a" localSheetId="0" hidden="1">{#N/A,#N/A,FALSE,"Staffnos &amp; cost"}</definedName>
    <definedName name="macro2" localSheetId="0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macro3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macro4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macro6" localSheetId="0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maji" localSheetId="0" hidden="1">{"detail",#N/A,FALSE,"mfg";"summary",#N/A,FALSE,"mfg"}</definedName>
    <definedName name="Manisana" localSheetId="0" hidden="1">{"mgmt forecast",#N/A,FALSE,"Mgmt Forecast";"dcf table",#N/A,FALSE,"Mgmt Forecast";"sensitivity",#N/A,FALSE,"Mgmt Forecast";"table inputs",#N/A,FALSE,"Mgmt Forecast";"calculations",#N/A,FALSE,"Mgmt Forecast"}</definedName>
    <definedName name="mardi" localSheetId="0" hidden="1">{#N/A,#N/A,FALSE,"Tabl. H1";#N/A,#N/A,FALSE,"Tabl. H2"}</definedName>
    <definedName name="Materials" localSheetId="0" hidden="1">{#N/A,#N/A,TRUE,"Sheet1";#N/A,#N/A,TRUE,"Nov-1995"}</definedName>
    <definedName name="matrix" localSheetId="0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CBDB" localSheetId="0" hidden="1">{#N/A,#N/A,FALSE,"mpph1";#N/A,#N/A,FALSE,"mpmseb";#N/A,#N/A,FALSE,"mpph2"}</definedName>
    <definedName name="MDI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foew" localSheetId="0" hidden="1">{#N/A,"PURCHM",FALSE,"Business Analysis";#N/A,"SPADD",FALSE,"Business Analysis"}</definedName>
    <definedName name="MHGMGH" localSheetId="0" hidden="1">{#N/A,#N/A,FALSE,"ISBL"}</definedName>
    <definedName name="MHGMGH_1" localSheetId="0" hidden="1">{#N/A,#N/A,FALSE,"ISBL"}</definedName>
    <definedName name="MHGMGH_2" localSheetId="0" hidden="1">{#N/A,#N/A,FALSE,"ISBL"}</definedName>
    <definedName name="MHGMGH_3" localSheetId="0" hidden="1">{#N/A,#N/A,FALSE,"ISBL"}</definedName>
    <definedName name="MHGMGH_4" localSheetId="0" hidden="1">{#N/A,#N/A,FALSE,"ISBL"}</definedName>
    <definedName name="MICHELE" localSheetId="0" hidden="1">{#N/A,#N/A,FALSE,"Tabl. FB300";#N/A,#N/A,FALSE,"Tabl. FB350";#N/A,#N/A,FALSE,"Tabl. FB400";#N/A,#N/A,FALSE,"Tabl. FB500";#N/A,#N/A,FALSE,"Tabl. FS090"}</definedName>
    <definedName name="Midwest" localSheetId="0" hidden="1">{"FY02_Assets",#N/A,FALSE,"Fin Stmt Budget";"FY02_Liabilities",#N/A,FALSE,"Fin Stmt Budget";"FY02_Inc_Stmt",#N/A,FALSE,"Fin Stmt Budget";"FY02_SOCF",#N/A,FALSE,"Fin Stmt Budget"}</definedName>
    <definedName name="mina" localSheetId="0" hidden="1">{#N/A,#N/A,FALSE,"REPORT"}</definedName>
    <definedName name="miuh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wukls" localSheetId="0" hidden="1">{"detail",#N/A,FALSE,"mfg";"summary",#N/A,FALSE,"mfg"}</definedName>
    <definedName name="mj" localSheetId="0" hidden="1">{#N/A,#N/A,FALSE,"FY97";#N/A,#N/A,FALSE,"FY98";#N/A,#N/A,FALSE,"FY99";#N/A,#N/A,FALSE,"FY00";#N/A,#N/A,FALSE,"FY01"}</definedName>
    <definedName name="mj_1" localSheetId="0" hidden="1">{#N/A,#N/A,FALSE,"FY97";#N/A,#N/A,FALSE,"FY98";#N/A,#N/A,FALSE,"FY99";#N/A,#N/A,FALSE,"FY00";#N/A,#N/A,FALSE,"FY01"}</definedName>
    <definedName name="mkl" localSheetId="0" hidden="1">{"pro_view",#N/A,FALSE,"EEFSNAP2";"rep_view",#N/A,FALSE,"EEFSNAP2"}</definedName>
    <definedName name="MLKJH" localSheetId="0" hidden="1">{#N/A,#N/A,FALSE,"Tabl. G1";#N/A,#N/A,FALSE,"Tabl. G2"}</definedName>
    <definedName name="mlw" localSheetId="0" hidden="1">{#N/A,#N/A,FALSE,"Pharm";#N/A,#N/A,FALSE,"WWCM"}</definedName>
    <definedName name="mm" localSheetId="0" hidden="1">{#N/A,#N/A,FALSE,"Sheet7"}</definedName>
    <definedName name="mma" localSheetId="0" hidden="1">{#N/A,#N/A,FALSE,"Sheet7"}</definedName>
    <definedName name="mmk" localSheetId="0" hidden="1">{"Pg1",#N/A,FALSE,"OpExYTDvsBud";"Pg2",#N/A,FALSE,"OpExYTDvsBud"}</definedName>
    <definedName name="mmm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mmmm" localSheetId="0" hidden="1">{"'OBT_6M_30_6'!$S$1:$AE$53"}</definedName>
    <definedName name="mmmmm" localSheetId="0" hidden="1">{#N/A,#N/A,FALSE,"Calc";#N/A,#N/A,FALSE,"Sensitivity";#N/A,#N/A,FALSE,"LT Earn.Dil.";#N/A,#N/A,FALSE,"Dil. AVP"}</definedName>
    <definedName name="mmmmm_1" localSheetId="0" hidden="1">{#N/A,#N/A,FALSE,"Calc";#N/A,#N/A,FALSE,"Sensitivity";#N/A,#N/A,FALSE,"LT Earn.Dil.";#N/A,#N/A,FALSE,"Dil. AVP"}</definedName>
    <definedName name="mmp" localSheetId="0" hidden="1">{"detail",#N/A,FALSE,"mfg";"summary",#N/A,FALSE,"mfg"}</definedName>
    <definedName name="mn" localSheetId="0" hidden="1">{"detail",#N/A,FALSE,"mfg";"summary",#N/A,FALSE,"mfg"}</definedName>
    <definedName name="mnbv" localSheetId="0" hidden="1">{"Month Summary",#N/A,FALSE,"Summary";"Total Details",#N/A,FALSE,"Current Yr";"Polymers Details",#N/A,FALSE,"Current Yr";"Performance Details",#N/A,FALSE,"Current Yr";"ICD Details",#N/A,FALSE,"Current Yr"}</definedName>
    <definedName name="mnmn" localSheetId="0" hidden="1">{"detail",#N/A,FALSE,"mfg";"summary",#N/A,FALSE,"mfg"}</definedName>
    <definedName name="mnnb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no" localSheetId="0" hidden="1">{#N/A,#N/A,FALSE,"Tabl. H1";#N/A,#N/A,FALSE,"Tabl. H2"}</definedName>
    <definedName name="mobisoc" localSheetId="0" hidden="1">{#N/A,#N/A,FALSE,"Staffnos &amp; cost"}</definedName>
    <definedName name="mokp" localSheetId="0" hidden="1">{"QTD_LPO2N2",#N/A,FALSE,"QTD"}</definedName>
    <definedName name="monthly" localSheetId="0" hidden="1">{#N/A,#N/A,FALSE,"Status of Projects";#N/A,#N/A,FALSE,"CEA-TEC";#N/A,#N/A,FALSE,"U-Constr.";#N/A,#N/A,FALSE,"summary";#N/A,#N/A,FALSE,"PPP-3 yrs"}</definedName>
    <definedName name="mqg" localSheetId="0" hidden="1">{#N/A,#N/A,FALSE,"Tabl. H1";#N/A,#N/A,FALSE,"Tabl. H2"}</definedName>
    <definedName name="mtk" localSheetId="0" hidden="1">{#N/A,#N/A,FALSE,"Tabl. FB300";#N/A,#N/A,FALSE,"Tabl. FB350";#N/A,#N/A,FALSE,"Tabl. FB400";#N/A,#N/A,FALSE,"Tabl. FB500";#N/A,#N/A,FALSE,"Tabl. FS090"}</definedName>
    <definedName name="mtrk" localSheetId="0" hidden="1">{#N/A,#N/A,FALSE,"Tabl. FB300";#N/A,#N/A,FALSE,"Tabl. FB350";#N/A,#N/A,FALSE,"Tabl. FB400";#N/A,#N/A,FALSE,"Tabl. FB500";#N/A,#N/A,FALSE,"Tabl. FS090"}</definedName>
    <definedName name="mucwip" localSheetId="0" hidden="1">{#N/A,#N/A,TRUE,"RM-June"}</definedName>
    <definedName name="MUL_DT" localSheetId="0" hidden="1">{#N/A,#N/A,FALSE,"COMP"}</definedName>
    <definedName name="Mullion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um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MURTHY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mw" localSheetId="0" hidden="1">{#N/A,#N/A,FALSE,"Pharm";#N/A,#N/A,FALSE,"WWCM"}</definedName>
    <definedName name="MYUJTG" localSheetId="0" hidden="1">{#N/A,#N/A,FALSE,"EW"}</definedName>
    <definedName name="MYUJTG_1" localSheetId="0" hidden="1">{#N/A,#N/A,FALSE,"EW"}</definedName>
    <definedName name="MYUJTG_2" localSheetId="0" hidden="1">{#N/A,#N/A,FALSE,"EW"}</definedName>
    <definedName name="MYUJTG_3" localSheetId="0" hidden="1">{#N/A,#N/A,FALSE,"EW"}</definedName>
    <definedName name="MYUJTG_4" localSheetId="0" hidden="1">{#N/A,#N/A,FALSE,"EW"}</definedName>
    <definedName name="mzb" localSheetId="0" hidden="1">{#N/A,#N/A,FALSE,"Tabl. D1";#N/A,#N/A,FALSE,"Tabl. D1 b";#N/A,#N/A,FALSE,"Tabl. D2";#N/A,#N/A,FALSE,"Tabl. D2 b";#N/A,#N/A,FALSE,"Tabl. D3";#N/A,#N/A,FALSE,"Tabl. D4";#N/A,#N/A,FALSE,"Tabl. D5"}</definedName>
    <definedName name="N_1" localSheetId="0" hidden="1">{"by departments",#N/A,TRUE,"FORECAST";"cap_headcount",#N/A,TRUE,"FORECAST";"summary",#N/A,TRUE,"FORECAST"}</definedName>
    <definedName name="nam90ng" localSheetId="0" hidden="1">{"detail",#N/A,FALSE,"mfg";"summary",#N/A,FALSE,"mfg"}</definedName>
    <definedName name="nam9njk" localSheetId="0" hidden="1">{"detail",#N/A,FALSE,"mfg";"summary",#N/A,FALSE,"mfg"}</definedName>
    <definedName name="name1" localSheetId="0" hidden="1">{"detail",#N/A,FALSE,"mfg";"summary",#N/A,FALSE,"mfg"}</definedName>
    <definedName name="name10" localSheetId="0" hidden="1">{"detail",#N/A,FALSE,"mfg";"summary",#N/A,FALSE,"mfg"}</definedName>
    <definedName name="name101" localSheetId="0" hidden="1">{"detail",#N/A,FALSE,"mfg";"summary",#N/A,FALSE,"mfg"}</definedName>
    <definedName name="name102" localSheetId="0" hidden="1">{"detail",#N/A,FALSE,"mfg";"summary",#N/A,FALSE,"mfg"}</definedName>
    <definedName name="name11" localSheetId="0" hidden="1">{"detail",#N/A,FALSE,"mfg";"summary",#N/A,FALSE,"mfg"}</definedName>
    <definedName name="name12" localSheetId="0" hidden="1">{"detail",#N/A,FALSE,"mfg";"summary",#N/A,FALSE,"mfg"}</definedName>
    <definedName name="name2" localSheetId="0" hidden="1">{"detail",#N/A,FALSE,"mfg";"summary",#N/A,FALSE,"mfg"}</definedName>
    <definedName name="name202" localSheetId="0" hidden="1">{"detail",#N/A,FALSE,"mfg";"summary",#N/A,FALSE,"mfg"}</definedName>
    <definedName name="name203" localSheetId="0" hidden="1">{"detail",#N/A,FALSE,"mfg";"summary",#N/A,FALSE,"mfg"}</definedName>
    <definedName name="name212" localSheetId="0" hidden="1">{"detail",#N/A,FALSE,"mfg";"summary",#N/A,FALSE,"mfg"}</definedName>
    <definedName name="name213" localSheetId="0" hidden="1">{"detail",#N/A,FALSE,"mfg";"summary",#N/A,FALSE,"mfg"}</definedName>
    <definedName name="name31" localSheetId="0" hidden="1">{"detail",#N/A,FALSE,"mfg";"summary",#N/A,FALSE,"mfg"}</definedName>
    <definedName name="name32" localSheetId="0" hidden="1">{"detail",#N/A,FALSE,"mfg";"summary",#N/A,FALSE,"mfg"}</definedName>
    <definedName name="name34" localSheetId="0" hidden="1">{"detail",#N/A,FALSE,"mfg";"summary",#N/A,FALSE,"mfg"}</definedName>
    <definedName name="name35" localSheetId="0" hidden="1">{"detail",#N/A,FALSE,"mfg";"summary",#N/A,FALSE,"mfg"}</definedName>
    <definedName name="NAME41" localSheetId="0" hidden="1">{"detail",#N/A,FALSE,"mfg";"summary",#N/A,FALSE,"mfg"}</definedName>
    <definedName name="name412" localSheetId="0" hidden="1">{"detail",#N/A,FALSE,"mfg";"summary",#N/A,FALSE,"mfg"}</definedName>
    <definedName name="name413" localSheetId="0" hidden="1">{"detail",#N/A,FALSE,"mfg";"summary",#N/A,FALSE,"mfg"}</definedName>
    <definedName name="name42" localSheetId="0" hidden="1">{"detail",#N/A,FALSE,"mfg";"summary",#N/A,FALSE,"mfg"}</definedName>
    <definedName name="name45" localSheetId="0" hidden="1">{"detail",#N/A,FALSE,"mfg";"summary",#N/A,FALSE,"mfg"}</definedName>
    <definedName name="name51" localSheetId="0" hidden="1">{"detail",#N/A,FALSE,"mfg";"summary",#N/A,FALSE,"mfg"}</definedName>
    <definedName name="name54ghs" localSheetId="0" hidden="1">{"detail",#N/A,FALSE,"mfg";"summary",#N/A,FALSE,"mfg"}</definedName>
    <definedName name="name56a" localSheetId="0" hidden="1">{"detail",#N/A,FALSE,"mfg";"summary",#N/A,FALSE,"mfg"}</definedName>
    <definedName name="name56a56" localSheetId="0" hidden="1">{"detail",#N/A,FALSE,"mfg";"summary",#N/A,FALSE,"mfg"}</definedName>
    <definedName name="name61" localSheetId="0" hidden="1">{"detail",#N/A,FALSE,"mfg";"summary",#N/A,FALSE,"mfg"}</definedName>
    <definedName name="name71" localSheetId="0" hidden="1">{"detail",#N/A,FALSE,"mfg";"summary",#N/A,FALSE,"mfg"}</definedName>
    <definedName name="name89shj" localSheetId="0" hidden="1">{"detail",#N/A,FALSE,"mfg";"summary",#N/A,FALSE,"mfg"}</definedName>
    <definedName name="namea101" localSheetId="0" hidden="1">{"detail",#N/A,FALSE,"mfg";"summary",#N/A,FALSE,"mfg"}</definedName>
    <definedName name="nameb45" localSheetId="0" hidden="1">{"detail",#N/A,FALSE,"mfg";"summary",#N/A,FALSE,"mfg"}</definedName>
    <definedName name="nameiges" localSheetId="0" hidden="1">{"detail",#N/A,FALSE,"mfg";"summary",#N/A,FALSE,"mfg"}</definedName>
    <definedName name="Nation" localSheetId="0" hidden="1">{#N/A,#N/A,FALSE,"Index Data"}</definedName>
    <definedName name="Nationality" localSheetId="0" hidden="1">{#N/A,#N/A,FALSE,"Index Data"}</definedName>
    <definedName name="navneet" localSheetId="0" hidden="1">{"'Sheet3'!$A$1:$B$30"}</definedName>
    <definedName name="nbhj" localSheetId="0" hidden="1">{"QTD_LPO2N2",#N/A,FALSE,"QTD";"QTD_HYCO",#N/A,FALSE,"QTD";"QTD_LOUISIANA",#N/A,FALSE,"QTD";"QTD_GENERALH2",#N/A,FALSE,"QTD";"QTD_PACKAGE",#N/A,FALSE,"QTD";"QTD_PRS",#N/A,FALSE,"QTD";"QTD_OTHER",#N/A,FALSE,"QTD"}</definedName>
    <definedName name="nbv" localSheetId="0" hidden="1">{"Polymers Details",#N/A,FALSE,"Current Yr";"Polymer Details",#N/A,FALSE,"Budget";"Polymer Details",#N/A,FALSE,"Prior Year"}</definedName>
    <definedName name="nbvc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gh" localSheetId="0" hidden="1">{#N/A,#N/A,FALSE,"PMTABB";#N/A,#N/A,FALSE,"PMTABB"}</definedName>
    <definedName name="nbvgh_2" localSheetId="0" hidden="1">{#N/A,#N/A,FALSE,"PMTABB";#N/A,#N/A,FALSE,"PMTABB"}</definedName>
    <definedName name="nbvgh_3" localSheetId="0" hidden="1">{#N/A,#N/A,FALSE,"PMTABB";#N/A,#N/A,FALSE,"PMTABB"}</definedName>
    <definedName name="nbvgh_4" localSheetId="0" hidden="1">{#N/A,#N/A,FALSE,"PMTABB";#N/A,#N/A,FALSE,"PMTABB"}</definedName>
    <definedName name="newnewnew" localSheetId="0" hidden="1">{#N/A,#N/A,FALSE,"Pharm";#N/A,#N/A,FALSE,"WWCM"}</definedName>
    <definedName name="Newone" localSheetId="0" hidden="1">{#N/A,#N/A,FALSE,"COMP"}</definedName>
    <definedName name="NewPlant" localSheetId="0" hidden="1">{"ROCE Summ",#N/A,FALSE,"Property Management Exps"}</definedName>
    <definedName name="newwrn.full" localSheetId="0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newwrn.quarterly" localSheetId="0" hidden="1">{"Calenquart",#N/A,FALSE,"Remedy-model";"fiscquarter",#N/A,FALSE,"Remedy-model"}</definedName>
    <definedName name="next" localSheetId="0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0" hidden="1">{#N/A,#N/A,FALSE,"PGW"}</definedName>
    <definedName name="NGFHFG_1" localSheetId="0" hidden="1">{#N/A,#N/A,FALSE,"PGW"}</definedName>
    <definedName name="NGFHFG_2" localSheetId="0" hidden="1">{#N/A,#N/A,FALSE,"PGW"}</definedName>
    <definedName name="NGFHFG_3" localSheetId="0" hidden="1">{#N/A,#N/A,FALSE,"PGW"}</definedName>
    <definedName name="NGFHFG_4" localSheetId="0" hidden="1">{#N/A,#N/A,FALSE,"PGW"}</definedName>
    <definedName name="nh" localSheetId="0" hidden="1">{"AS REP",#N/A,FALSE,"EEFSNAP2";"PROP",#N/A,FALSE,"EEFSNAP2";"RISKS",#N/A,FALSE,"EEFSNAP2";"VIEW ALL",#N/A,FALSE,"EEFSNAP2"}</definedName>
    <definedName name="nhu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 localSheetId="0" hidden="1">{"detail",#N/A,FALSE,"mfg";"summary",#N/A,FALSE,"mfg"}</definedName>
    <definedName name="nikita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l_1" localSheetId="0" hidden="1">{#N/A,#N/A,FALSE,"Aging Summary";#N/A,#N/A,FALSE,"Ratio Analysis";#N/A,#N/A,FALSE,"Test 120 Day Accts";#N/A,#N/A,FALSE,"Tickmarks"}</definedName>
    <definedName name="nit" localSheetId="0" hidden="1">{#N/A,#N/A,FALSE,"Tabl. D1";#N/A,#N/A,FALSE,"Tabl. D1 b";#N/A,#N/A,FALSE,"Tabl. D2";#N/A,#N/A,FALSE,"Tabl. D2 b";#N/A,#N/A,FALSE,"Tabl. D3";#N/A,#N/A,FALSE,"Tabl. D4";#N/A,#N/A,FALSE,"Tabl. D5"}</definedName>
    <definedName name="nitru" localSheetId="0" hidden="1">{#N/A,#N/A,FALSE,"Tabl. G1";#N/A,#N/A,FALSE,"Tabl. G2"}</definedName>
    <definedName name="nj9km" localSheetId="0" hidden="1">{"detail",#N/A,FALSE,"mfg";"summary",#N/A,FALSE,"mfg"}</definedName>
    <definedName name="njhfds" localSheetId="0" hidden="1">{#N/A,"PURCHM",FALSE,"Business Analysis";#N/A,"SPADD",FALSE,"Business Analysis"}</definedName>
    <definedName name="njis76" localSheetId="0" hidden="1">{"detail",#N/A,FALSE,"mfg";"summary",#N/A,FALSE,"mfg"}</definedName>
    <definedName name="njkjsh" localSheetId="0" hidden="1">{"detail",#N/A,FALSE,"mfg";"summary",#N/A,FALSE,"mfg"}</definedName>
    <definedName name="nkmi9c" localSheetId="0" hidden="1">{#N/A,"PURCHM",FALSE,"Business Analysis";#N/A,"SPADD",FALSE,"Business Analysis"}</definedName>
    <definedName name="ñlkj" localSheetId="0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localSheetId="0" hidden="1">{"pro_view",#N/A,FALSE,"EEFSNAP2";"rep_view",#N/A,FALSE,"EEFSNAP2"}</definedName>
    <definedName name="nmnm" localSheetId="0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h" localSheetId="0" hidden="1">{"Pa1",#N/A,FALSE,"OpExYTDvsPY";"Pa2",#N/A,FALSE,"OpExYTDvsPY"}</definedName>
    <definedName name="nnnb" localSheetId="0" hidden="1">{"consolidated",#N/A,FALSE,"Sheet1";"cms",#N/A,FALSE,"Sheet1";"fse",#N/A,FALSE,"Sheet1"}</definedName>
    <definedName name="nnnb_1" localSheetId="0" hidden="1">{"consolidated",#N/A,FALSE,"Sheet1";"cms",#N/A,FALSE,"Sheet1";"fse",#N/A,FALSE,"Sheet1"}</definedName>
    <definedName name="nnnnnnnnnn" localSheetId="0" hidden="1">{#N/A,#N/A,FALSE,"Status of Projects";#N/A,#N/A,FALSE,"CEA-TEC";#N/A,#N/A,FALSE,"U-Constr.";#N/A,#N/A,FALSE,"summary";#N/A,#N/A,FALSE,"PPP-3 yrs"}</definedName>
    <definedName name="nnnnnnnnnnnnnnnnnnnnnnnnnnnnnnn" localSheetId="0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NOAH" localSheetId="0" hidden="1">{#N/A,#N/A,FALSE,"Quarterly";#N/A,#N/A,FALSE,"Quarterly Other";#N/A,#N/A,FALSE,"Prod Rev";#N/A,#N/A,FALSE,"Balance Sheet Tracking";#N/A,#N/A,FALSE,"Annual";#N/A,#N/A,FALSE,"Balance Sheet"}</definedName>
    <definedName name="noidea" localSheetId="0" hidden="1">{#N/A,#N/A,FALSE,"Calc";#N/A,#N/A,FALSE,"Sensitivity";#N/A,#N/A,FALSE,"LT Earn.Dil.";#N/A,#N/A,FALSE,"Dil. AVP"}</definedName>
    <definedName name="noidea_1" localSheetId="0" hidden="1">{#N/A,#N/A,FALSE,"Calc";#N/A,#N/A,FALSE,"Sensitivity";#N/A,#N/A,FALSE,"LT Earn.Dil.";#N/A,#N/A,FALSE,"Dil. AVP"}</definedName>
    <definedName name="notes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uv" localSheetId="0" hidden="1">{#N/A,#N/A,FALSE,"Pharm";#N/A,#N/A,FALSE,"WWCM"}</definedName>
    <definedName name="ñp" localSheetId="0" hidden="1">{#N/A,"PURCHM",FALSE,"Business Analysis";#N/A,"SPADD",FALSE,"Business Analysis"}</definedName>
    <definedName name="NTZI" localSheetId="0" hidden="1">{#N/A,#N/A,FALSE,"מאזן בוחן";"כל_מאזן_בוחן",#N/A,FALSE,"מאזן בוחן"}</definedName>
    <definedName name="nuijh467" localSheetId="0" hidden="1">{"detail",#N/A,FALSE,"mfg";"summary",#N/A,FALSE,"mfg"}</definedName>
    <definedName name="nuovo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beetee" localSheetId="0" hidden="1">{#N/A,#N/A,TRUE,"Sheet1";#N/A,#N/A,TRUE,"Nov-1995"}</definedName>
    <definedName name="OCT" localSheetId="0" hidden="1">{#N/A,#N/A,FALSE,"Tabl. G1";#N/A,#N/A,FALSE,"Tabl. G2"}</definedName>
    <definedName name="ogkvsfj" localSheetId="0" hidden="1">{#N/A,#N/A,FALSE,"Model";#N/A,#N/A,FALSE,"Division"}</definedName>
    <definedName name="oifd" localSheetId="0" hidden="1">{"detail",#N/A,FALSE,"mfg";"summary",#N/A,FALSE,"mfg"}</definedName>
    <definedName name="oiirx" localSheetId="0" hidden="1">{"net assets",#N/A,FALSE,"summary";"asset turnover",#N/A,FALSE,"summary";"orona",#N/A,FALSE,"summary"}</definedName>
    <definedName name="oimn" localSheetId="0" hidden="1">{"QTD_PRS",#N/A,FALSE,"QTD"}</definedName>
    <definedName name="oink" localSheetId="0" hidden="1">{"TOTAL",#N/A,FALSE,"A";"FISCAL94",#N/A,FALSE,"A";"FISCAL95",#N/A,FALSE,"A";"FISCAL96",#N/A,FALSE,"A";"misc page",#N/A,FALSE,"A"}</definedName>
    <definedName name="oink_1" localSheetId="0" hidden="1">{"TOTAL",#N/A,FALSE,"A";"FISCAL94",#N/A,FALSE,"A";"FISCAL95",#N/A,FALSE,"A";"FISCAL96",#N/A,FALSE,"A";"misc page",#N/A,FALSE,"A"}</definedName>
    <definedName name="oink_2" localSheetId="0" hidden="1">{"TOTAL",#N/A,FALSE,"A";"FISCAL94",#N/A,FALSE,"A";"FISCAL95",#N/A,FALSE,"A";"FISCAL96",#N/A,FALSE,"A";"misc page",#N/A,FALSE,"A"}</definedName>
    <definedName name="oink_3" localSheetId="0" hidden="1">{"TOTAL",#N/A,FALSE,"A";"FISCAL94",#N/A,FALSE,"A";"FISCAL95",#N/A,FALSE,"A";"FISCAL96",#N/A,FALSE,"A";"misc page",#N/A,FALSE,"A"}</definedName>
    <definedName name="oins" localSheetId="0" hidden="1">{"detail",#N/A,FALSE,"mfg";"summary",#N/A,FALSE,"mfg"}</definedName>
    <definedName name="oity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localSheetId="0" hidden="1">{"AS REP",#N/A,FALSE,"EEFSNAP2";"PROP",#N/A,FALSE,"EEFSNAP2";"RISKS",#N/A,FALSE,"EEFSNAP2";"VIEW ALL",#N/A,FALSE,"EEFSNAP2"}</definedName>
    <definedName name="oiup" localSheetId="0" hidden="1">{#N/A,"PURCHM",FALSE,"Business Analysis";#N/A,"SPADD",FALSE,"Business Analysis"}</definedName>
    <definedName name="oiuy" localSheetId="0" hidden="1">{"Polymers Details",#N/A,FALSE,"Current Yr";"Polymer Details",#N/A,FALSE,"Budget";"Polymer Details",#N/A,FALSE,"Prior Year"}</definedName>
    <definedName name="olm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om" localSheetId="0" hidden="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on" localSheetId="0" hidden="1">{"overview",#N/A,FALSE,"summary";"net assets",#N/A,FALSE,"summary";"asset turnover",#N/A,FALSE,"summary";"orona",#N/A,FALSE,"summary"}</definedName>
    <definedName name="onj" localSheetId="0" hidden="1">{"Pa1",#N/A,FALSE,"OpExYTDvsPY";"Pa2",#N/A,FALSE,"OpExYTDvsPY"}</definedName>
    <definedName name="oo" localSheetId="0" hidden="1">{"Header",#N/A,TRUE,"Summary";"ProjectInfo",#N/A,TRUE,"Total Value"}</definedName>
    <definedName name="oo.ll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ööl" localSheetId="0" hidden="1">{#N/A,#N/A,FALSE,"KA CH  (2)"}</definedName>
    <definedName name="öölälkk" localSheetId="0" hidden="1">{#N/A,#N/A,FALSE,"Umsatz 99";#N/A,#N/A,FALSE,"ER 99 "}</definedName>
    <definedName name="öölkk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localSheetId="0" hidden="1">{#N/A,#N/A,FALSE,"Umsatz 99";#N/A,#N/A,FALSE,"ER 99 "}</definedName>
    <definedName name="ooo" localSheetId="0" hidden="1">{#N/A,#N/A,FALSE,"REPORT"}</definedName>
    <definedName name="ööö" localSheetId="0" hidden="1">{#N/A,#N/A,FALSE,"Produkte Erw.";#N/A,#N/A,FALSE,"Produkte Plan";#N/A,#N/A,FALSE,"Leistungen Erw.";#N/A,#N/A,FALSE,"Leistungen Plan";#N/A,#N/A,FALSE,"KA Allg.Kosten (2)";#N/A,#N/A,FALSE,"KA All.Kosten"}</definedName>
    <definedName name="oooo" localSheetId="0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ooooo" localSheetId="0" hidden="1">{#N/A,#N/A,FALSE,"Calc";#N/A,#N/A,FALSE,"Sensitivity";#N/A,#N/A,FALSE,"LT Earn.Dil.";#N/A,#N/A,FALSE,"Dil. AVP"}</definedName>
    <definedName name="ooooo_1" localSheetId="0" hidden="1">{#N/A,#N/A,FALSE,"Calc";#N/A,#N/A,FALSE,"Sensitivity";#N/A,#N/A,FALSE,"LT Earn.Dil.";#N/A,#N/A,FALSE,"Dil. AVP"}</definedName>
    <definedName name="oooooooo" localSheetId="0" hidden="1">{#N/A,#N/A,FALSE,"Umsatz 99";#N/A,#N/A,FALSE,"ER 99 "}</definedName>
    <definedName name="opiu" localSheetId="0" hidden="1">{"Comp_of_Price_Effect",#N/A,FALSE,"QTRDPVAR"}</definedName>
    <definedName name="oplk" localSheetId="0" hidden="1">{"Page1",#N/A,FALSE,"OpExJanvsBud";"Page2",#N/A,FALSE,"OpExJanvsBud"}</definedName>
    <definedName name="opndixm" localSheetId="0" hidden="1">{"detail",#N/A,FALSE,"mfg";"summary",#N/A,FALSE,"mfg"}</definedName>
    <definedName name="opopop" localSheetId="0" hidden="1">{#N/A,#N/A,TRUE,"index";#N/A,#N/A,TRUE,"Summary";#N/A,#N/A,TRUE,"Continuing Business";#N/A,#N/A,TRUE,"Disposals";#N/A,#N/A,TRUE,"Acquisitions";#N/A,#N/A,TRUE,"Actual &amp; Plan Reconciliation"}</definedName>
    <definedName name="opq" localSheetId="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opq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Orders" localSheetId="0" hidden="1">{#N/A,#N/A,TRUE,"Additions to Fixed Assets";#N/A,#N/A,TRUE,"Capital WIP"}</definedName>
    <definedName name="Or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ther33" localSheetId="0" hidden="1">{#N/A,#N/A,FALSE,"Pharm";#N/A,#N/A,FALSE,"WWCM"}</definedName>
    <definedName name="othermar" localSheetId="0" hidden="1">{#N/A,#N/A,FALSE,"Pharm";#N/A,#N/A,FALSE,"WWCM"}</definedName>
    <definedName name="Others" localSheetId="0" hidden="1">{#N/A,#N/A,FALSE,"COVER1.XLS ";#N/A,#N/A,FALSE,"RACT1.XLS";#N/A,#N/A,FALSE,"RACT2.XLS";#N/A,#N/A,FALSE,"ECCMP";#N/A,#N/A,FALSE,"WELDER.XLS"}</definedName>
    <definedName name="ou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wmkib" localSheetId="0" hidden="1">{"detail",#N/A,FALSE,"mfg";"summary",#N/A,FALSE,"mfg"}</definedName>
    <definedName name="P?HG" localSheetId="0" hidden="1">{#N/A,#N/A,FALSE,"Tabl. D1";#N/A,#N/A,FALSE,"Tabl. D1 b";#N/A,#N/A,FALSE,"Tabl. D2";#N/A,#N/A,FALSE,"Tabl. D2 b";#N/A,#N/A,FALSE,"Tabl. D3";#N/A,#N/A,FALSE,"Tabl. D4";#N/A,#N/A,FALSE,"Tabl. D5"}</definedName>
    <definedName name="p09i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localSheetId="0" hidden="1">{#N/A,"PURCHM",FALSE,"Business Analysis";#N/A,"SPADD",FALSE,"Business Analysis"}</definedName>
    <definedName name="pac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_1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khak" localSheetId="0" hidden="1">{#N/A,#N/A,FALSE,"PMTABB";#N/A,#N/A,FALSE,"PMTABB"}</definedName>
    <definedName name="pallav" localSheetId="0" hidden="1">{#N/A,#N/A,FALSE,"PMTABB";#N/A,#N/A,FALSE,"PMTABB"}</definedName>
    <definedName name="Passages" localSheetId="0" hidden="1">{#N/A,#N/A,FALSE,"Tabl. A1";#N/A,#N/A,FALSE,"Tabl. A1 b";#N/A,#N/A,FALSE,"Tabl. A2";#N/A,#N/A,FALSE,"Tabl. A2-1";#N/A,#N/A,FALSE,"Tabl. A2-2"}</definedName>
    <definedName name="password" localSheetId="0" hidden="1">{#N/A,#N/A,FALSE,"WRSUMMARY";#N/A,#N/A,FALSE,"ANNEX-1";#N/A,#N/A,FALSE,"ANNEX-2";#N/A,#N/A,FALSE,"ANNEX-3";#N/A,#N/A,FALSE,"WORKING"}</definedName>
    <definedName name="pd" localSheetId="0" hidden="1">{"detail",#N/A,FALSE,"mfg";"summary",#N/A,FALSE,"mfg"}</definedName>
    <definedName name="Pechous" localSheetId="0" hidden="1">{"FY01_Assets",#N/A,FALSE,"Fin Stmt Budget";"FY01_Liabilities",#N/A,FALSE,"Fin Stmt Budget";"FY01_Inc_Stmt",#N/A,FALSE,"Fin Stmt Budget";"FY01_SOCF",#N/A,FALSE,"Fin Stmt Budget"}</definedName>
    <definedName name="pepe" localSheetId="0" hidden="1">{#N/A,#N/A,FALSE,"Pharm";#N/A,#N/A,FALSE,"WWCM"}</definedName>
    <definedName name="PEPE4" localSheetId="0" hidden="1">{#N/A,#N/A,FALSE,"Pharm";#N/A,#N/A,FALSE,"WWCM"}</definedName>
    <definedName name="PEPE5" localSheetId="0" hidden="1">{#N/A,#N/A,FALSE,"Pharm";#N/A,#N/A,FALSE,"WWCM"}</definedName>
    <definedName name="PF" localSheetId="0" hidden="1">{#N/A,#N/A,FALSE,"COVER.XLS";#N/A,#N/A,FALSE,"RACT1.XLS";#N/A,#N/A,FALSE,"RACT2.XLS";#N/A,#N/A,FALSE,"ECCMP";#N/A,#N/A,FALSE,"WELDER.XLS"}</definedName>
    <definedName name="pg" localSheetId="0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a" localSheetId="0" hidden="1">{#N/A,#N/A,FALSE,"Sales Graph";#N/A,#N/A,FALSE,"PSBM";#N/A,#N/A,FALSE,"BUC Graph";#N/A,#N/A,FALSE,"P&amp;L - YTD"}</definedName>
    <definedName name="pi" localSheetId="0" hidden="1">{"oct_res_comm",#N/A,FALSE,"VarToBud"}</definedName>
    <definedName name="PILAR" localSheetId="0" hidden="1">{"detail",#N/A,FALSE,"mfg";"summary",#N/A,FALSE,"mfg"}</definedName>
    <definedName name="pilk" localSheetId="0" hidden="1">{"YD LPH2",#N/A,FALSE,"YTD"}</definedName>
    <definedName name="pk" localSheetId="0" hidden="1">{"vol data",#N/A,FALSE,"Datasheet";"vol graph",#N/A,FALSE,"Volume";"price data",#N/A,FALSE,"Datasheet";"price graph",#N/A,FALSE,"Price";"dp data",#N/A,FALSE,"Datasheet";"dp graph",#N/A,FALSE,"DirectProfit"}</definedName>
    <definedName name="PlanVLE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Cepi" localSheetId="0" hidden="1">{#N/A,#N/A,FALSE,"REPORT"}</definedName>
    <definedName name="PLProcef" localSheetId="0" hidden="1">{#N/A,#N/A,FALSE,"REPORT"}</definedName>
    <definedName name="PLSCH" localSheetId="0" hidden="1">{"'Sch B'!$B$15:$L$17"}</definedName>
    <definedName name="PLTaxol" localSheetId="0" hidden="1">{#N/A,#N/A,FALSE,"REPORT"}</definedName>
    <definedName name="pmc" localSheetId="0" hidden="1">{#N/A,#N/A,FALSE,"PMTABB";#N/A,#N/A,FALSE,"PMTABB"}</definedName>
    <definedName name="pmc_2" localSheetId="0" hidden="1">{#N/A,#N/A,FALSE,"PMTABB";#N/A,#N/A,FALSE,"PMTABB"}</definedName>
    <definedName name="pmc_3" localSheetId="0" hidden="1">{#N/A,#N/A,FALSE,"PMTABB";#N/A,#N/A,FALSE,"PMTABB"}</definedName>
    <definedName name="pmc_4" localSheetId="0" hidden="1">{#N/A,#N/A,FALSE,"PMTABB";#N/A,#N/A,FALSE,"PMTABB"}</definedName>
    <definedName name="pmcf" localSheetId="0" hidden="1">{#N/A,#N/A,FALSE,"PMTABB";#N/A,#N/A,FALSE,"PMTABB"}</definedName>
    <definedName name="pmcf_2" localSheetId="0" hidden="1">{#N/A,#N/A,FALSE,"PMTABB";#N/A,#N/A,FALSE,"PMTABB"}</definedName>
    <definedName name="pmcf_3" localSheetId="0" hidden="1">{#N/A,#N/A,FALSE,"PMTABB";#N/A,#N/A,FALSE,"PMTABB"}</definedName>
    <definedName name="pmcf_4" localSheetId="0" hidden="1">{#N/A,#N/A,FALSE,"PMTABB";#N/A,#N/A,FALSE,"PMTABB"}</definedName>
    <definedName name="Pnl" localSheetId="0" hidden="1">{#N/A,#N/A,FALSE,"Pharm";#N/A,#N/A,FALSE,"WWCM"}</definedName>
    <definedName name="pnsji5" localSheetId="0" hidden="1">{#N/A,"PURCHM",FALSE,"Business Analysis";#N/A,"SPADD",FALSE,"Business Analysis"}</definedName>
    <definedName name="poc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poiu" localSheetId="0" hidden="1">{"Performance Details",#N/A,FALSE,"Current Yr";"Performance Details",#N/A,FALSE,"Budget";"Performance Details",#N/A,FALSE,"Prior Year"}</definedName>
    <definedName name="POK?ZEFIFVXVW" localSheetId="0" hidden="1">{#N/A,#N/A,FALSE,"Tabl. H1";#N/A,#N/A,FALSE,"Tabl. H2"}</definedName>
    <definedName name="pokj" localSheetId="0" hidden="1">{"QTD_LOUISIANA",#N/A,FALSE,"QTD"}</definedName>
    <definedName name="pol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POO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oo" localSheetId="0" hidden="1">{#N/A,#N/A,TRUE,"index";#N/A,#N/A,TRUE,"Summary";#N/A,#N/A,TRUE,"Continuing Business";#N/A,#N/A,TRUE,"Disposals";#N/A,#N/A,TRUE,"Acquisitions";#N/A,#N/A,TRUE,"Actual &amp; Plan Reconciliation"}</definedName>
    <definedName name="port29" localSheetId="0" hidden="1">{#N/A,#N/A,FALSE,"Pharm";#N/A,#N/A,FALSE,"WWCM"}</definedName>
    <definedName name="powq" localSheetId="0" hidden="1">{#N/A,"PURCHM",FALSE,"Business Analysis";#N/A,"SPADD",FALSE,"Business Analysis"}</definedName>
    <definedName name="pp" localSheetId="0" hidden="1">{#N/A,#N/A,FALSE,"Calc";#N/A,#N/A,FALSE,"Sensitivity";#N/A,#N/A,FALSE,"LT Earn.Dil.";#N/A,#N/A,FALSE,"Dil. AVP"}</definedName>
    <definedName name="pp_1" localSheetId="0" hidden="1">{#N/A,#N/A,FALSE,"Calc";#N/A,#N/A,FALSE,"Sensitivity";#N/A,#N/A,FALSE,"LT Earn.Dil.";#N/A,#N/A,FALSE,"Dil. AVP"}</definedName>
    <definedName name="ppl" localSheetId="0" hidden="1">{#N/A,#N/A,FALSE,"gc (2)"}</definedName>
    <definedName name="ppl_1" localSheetId="0" hidden="1">{#N/A,#N/A,FALSE,"gc (2)"}</definedName>
    <definedName name="ppl_2" localSheetId="0" hidden="1">{#N/A,#N/A,FALSE,"gc (2)"}</definedName>
    <definedName name="ppl_3" localSheetId="0" hidden="1">{#N/A,#N/A,FALSE,"gc (2)"}</definedName>
    <definedName name="ppo" localSheetId="0" hidden="1">{"YD LOUISIANA",#N/A,FALSE,"YTD"}</definedName>
    <definedName name="ppp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PPPP" localSheetId="0" hidden="1">{#N/A,#N/A,FALSE,"ISBL"}</definedName>
    <definedName name="PPPP_1" localSheetId="0" hidden="1">{#N/A,#N/A,FALSE,"ISBL"}</definedName>
    <definedName name="PPPP_2" localSheetId="0" hidden="1">{#N/A,#N/A,FALSE,"ISBL"}</definedName>
    <definedName name="PPPP_3" localSheetId="0" hidden="1">{#N/A,#N/A,FALSE,"ISBL"}</definedName>
    <definedName name="PPPP_4" localSheetId="0" hidden="1">{#N/A,#N/A,FALSE,"ISBL"}</definedName>
    <definedName name="pqmjuz" localSheetId="0" hidden="1">{"detail",#N/A,FALSE,"mfg";"summary",#N/A,FALSE,"mfg"}</definedName>
    <definedName name="pqr" localSheetId="0" hidden="1">{#N/A,#N/A,FALSE,"Tabl. A1";#N/A,#N/A,FALSE,"Tabl. A1 b";#N/A,#N/A,FALSE,"Tabl. A2";#N/A,#N/A,FALSE,"Tabl. A2-1";#N/A,#N/A,FALSE,"Tabl. A2-2"}</definedName>
    <definedName name="PR00BG01" localSheetId="0" hidden="1">{#N/A,#N/A,FALSE,"Tabl. D1";#N/A,#N/A,FALSE,"Tabl. D1 b";#N/A,#N/A,FALSE,"Tabl. D2";#N/A,#N/A,FALSE,"Tabl. D2 b";#N/A,#N/A,FALSE,"Tabl. D3";#N/A,#N/A,FALSE,"Tabl. D4";#N/A,#N/A,FALSE,"Tabl. D5"}</definedName>
    <definedName name="prakash" localSheetId="0" hidden="1">{#N/A,#N/A,FALSE,"COMICRO";#N/A,#N/A,FALSE,"BALSCH";#N/A,#N/A,FALSE,"GLASS";#N/A,#N/A,FALSE,"DEPRE";#N/A,#N/A,FALSE,"A&amp;MCUR";#N/A,#N/A,FALSE,"AGEANAlysis";#N/A,#N/A,FALSE,"CHECKS";#N/A,#N/A,FALSE,"CHECKS"}</definedName>
    <definedName name="Prashanth" localSheetId="0" hidden="1">{#N/A,#N/A,FALSE,"COMP"}</definedName>
    <definedName name="Prd_Exp_Bud_07" localSheetId="0" hidden="1">{"ROCE Summ",#N/A,FALSE,"Property Management Exps"}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nallnew" localSheetId="0" hidden="1">{"sterling",#N/A,FALSE,"£";"USdollar",#N/A,FALSE,"USA$";"mark",#N/A,FALSE,"DM";"peseta",#N/A,FALSE,"Pta";"lira",#N/A,FALSE,"LIRA";"euro",#N/A,FALSE,"Euro";"Ausdollar",#N/A,FALSE,"Aus$";"other",#N/A,FALSE,"Other"}</definedName>
    <definedName name="print3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n.GRINT.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pro_exp_bud08" localSheetId="0" hidden="1">{"ROCE Summ",#N/A,FALSE,"Property Management Exps"}</definedName>
    <definedName name="Procef" localSheetId="0" hidden="1">{#N/A,#N/A,FALSE,"Pharm";#N/A,#N/A,FALSE,"WWCM"}</definedName>
    <definedName name="process" localSheetId="0" hidden="1">{#N/A,#N/A,FALSE,"PMTABB";#N/A,#N/A,FALSE,"PMTABB"}</definedName>
    <definedName name="prod" localSheetId="0" hidden="1">{#N/A,#N/A,FALSE,"Pharm";#N/A,#N/A,FALSE,"WWCM"}</definedName>
    <definedName name="profit" localSheetId="0" hidden="1">{#N/A,"Good",TRUE,"Sheet1";#N/A,"Normal",TRUE,"Sheet1";#N/A,"Bad",TRUE,"Sheet1"}</definedName>
    <definedName name="profit_1" localSheetId="0" hidden="1">{#N/A,"Good",TRUE,"Sheet1";#N/A,"Normal",TRUE,"Sheet1";#N/A,"Bad",TRUE,"Sheet1"}</definedName>
    <definedName name="profit_2" localSheetId="0" hidden="1">{#N/A,"Good",TRUE,"Sheet1";#N/A,"Normal",TRUE,"Sheet1";#N/A,"Bad",TRUE,"Sheet1"}</definedName>
    <definedName name="profit_3" localSheetId="0" hidden="1">{#N/A,"Good",TRUE,"Sheet1";#N/A,"Normal",TRUE,"Sheet1";#N/A,"Bad",TRUE,"Sheet1"}</definedName>
    <definedName name="Proj_Exp_Bud_07" localSheetId="0" hidden="1">{#N/A,#N/A,FALSE,"Scenario PivotTable"}</definedName>
    <definedName name="ProjectName" localSheetId="0">{"BU Name or Client/Project Name"}</definedName>
    <definedName name="prova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sion2" localSheetId="0" hidden="1">{"plansummary",#N/A,FALSE,"PlanSummary";"sales",#N/A,FALSE,"Sales Rec";"productivity",#N/A,FALSE,"Productivity Rec";"capitalspending",#N/A,FALSE,"Capital Spending"}</definedName>
    <definedName name="pss" localSheetId="0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0" hidden="1">{#N/A,#N/A,FALSE,"COMICRO";#N/A,#N/A,FALSE,"BALSCH";#N/A,#N/A,FALSE,"GLASS";#N/A,#N/A,FALSE,"DEPRE";#N/A,#N/A,FALSE,"A&amp;MCUR";#N/A,#N/A,FALSE,"AGEANAlysis";#N/A,#N/A,FALSE,"CHECKS";#N/A,#N/A,FALSE,"CHECKS"}</definedName>
    <definedName name="pucspadd42" localSheetId="0" hidden="1">{#N/A,"PURCHM",FALSE,"Business Analysis";#N/A,"SPADD",FALSE,"Business Analysis"}</definedName>
    <definedName name="pupi" localSheetId="0" hidden="1">{"YD OTHER",#N/A,FALSE,"YTD"}</definedName>
    <definedName name="püpoüpoüpo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localSheetId="0" hidden="1">{#N/A,#N/A,FALSE,"Umsatz 99";#N/A,#N/A,FALSE,"ER 99 "}</definedName>
    <definedName name="pz" localSheetId="0" hidden="1">{"Month Summary",#N/A,FALSE,"Summary";"Total Details",#N/A,FALSE,"Current Yr";"Polymers Details",#N/A,FALSE,"Current Yr";"Performance Details",#N/A,FALSE,"Current Yr";"ICD Details",#N/A,FALSE,"Current Yr"}</definedName>
    <definedName name="PZO" localSheetId="0" hidden="1">{#N/A,#N/A,FALSE,"Tabl. D1";#N/A,#N/A,FALSE,"Tabl. D1 b";#N/A,#N/A,FALSE,"Tabl. D2";#N/A,#N/A,FALSE,"Tabl. D2 b";#N/A,#N/A,FALSE,"Tabl. D3";#N/A,#N/A,FALSE,"Tabl. D4";#N/A,#N/A,FALSE,"Tabl. D5"}</definedName>
    <definedName name="q" localSheetId="0" hidden="1">{#N/A,#N/A,FALSE,"Sheet7"}</definedName>
    <definedName name="Q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a" localSheetId="0" hidden="1">{"detail",#N/A,FALSE,"mfg";"summary",#N/A,FALSE,"mfg"}</definedName>
    <definedName name="qaz" localSheetId="0" hidden="1">{#N/A,#N/A,FALSE,"Pharm";#N/A,#N/A,FALSE,"WWCM"}</definedName>
    <definedName name="QC" localSheetId="0" hidden="1">{"'Sheet1'!$A$4386:$N$4591"}</definedName>
    <definedName name="qeqee" localSheetId="0" hidden="1">{#N/A,#N/A,FALSE,"Produkte Erw.";#N/A,#N/A,FALSE,"Produkte Plan";#N/A,#N/A,FALSE,"Leistungen Erw.";#N/A,#N/A,FALSE,"Leistungen Plan";#N/A,#N/A,FALSE,"KA Allg.Kosten (2)";#N/A,#N/A,FALSE,"KA All.Kosten"}</definedName>
    <definedName name="qertweyu" localSheetId="0" hidden="1">{#N/A,#N/A,FALSE,"REPORT"}</definedName>
    <definedName name="qesd" localSheetId="0" hidden="1">{"Page 1",#N/A,FALSE,"OpExJanVsPY";"Page 2",#N/A,FALSE,"OpExJanVsPY"}</definedName>
    <definedName name="qetryywt" localSheetId="0" hidden="1">{#N/A,#N/A,FALSE,"REPORT"}</definedName>
    <definedName name="qgfqerg" localSheetId="0" hidden="1">{#N/A,#N/A,FALSE,"PMTABB";#N/A,#N/A,FALSE,"PMTABB"}</definedName>
    <definedName name="qgfqerg_1" localSheetId="0" hidden="1">{#N/A,#N/A,FALSE,"PMTABB";#N/A,#N/A,FALSE,"PMTABB"}</definedName>
    <definedName name="qgfqerg_2" localSheetId="0" hidden="1">{#N/A,#N/A,FALSE,"PMTABB";#N/A,#N/A,FALSE,"PMTABB"}</definedName>
    <definedName name="qgfqerg_3" localSheetId="0" hidden="1">{#N/A,#N/A,FALSE,"PMTABB";#N/A,#N/A,FALSE,"PMTABB"}</definedName>
    <definedName name="qgfqerg_4" localSheetId="0" hidden="1">{#N/A,#N/A,FALSE,"PMTABB";#N/A,#N/A,FALSE,"PMTABB"}</definedName>
    <definedName name="qi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localSheetId="0" hidden="1">{#N/A,"PURCHM",FALSE,"Business Analysis";#N/A,"SPADD",FALSE,"Business Analysis"}</definedName>
    <definedName name="qp" localSheetId="0" hidden="1">{"overview",#N/A,FALSE,"summary";"net assets",#N/A,FALSE,"summary";"asset turnover",#N/A,FALSE,"summary";"orona",#N/A,FALSE,"summary"}</definedName>
    <definedName name="qq" localSheetId="0" hidden="1">{"Header",#N/A,TRUE,"Summary";"ProjectInfo",#N/A,TRUE,"Total Value"}</definedName>
    <definedName name="QQ_1" localSheetId="0" hidden="1">{#N/A,#N/A,FALSE,"PMTABB";#N/A,#N/A,FALSE,"PMTABB"}</definedName>
    <definedName name="QQ_2" localSheetId="0" hidden="1">{#N/A,#N/A,FALSE,"PMTABB";#N/A,#N/A,FALSE,"PMTABB"}</definedName>
    <definedName name="QQ_3" localSheetId="0" hidden="1">{#N/A,#N/A,FALSE,"PMTABB";#N/A,#N/A,FALSE,"PMTABB"}</definedName>
    <definedName name="QQ_4" localSheetId="0" hidden="1">{#N/A,#N/A,FALSE,"PMTABB";#N/A,#N/A,FALSE,"PMTABB"}</definedName>
    <definedName name="qqkkkkk" localSheetId="0" hidden="1">{#N/A,"PURCHM",FALSE,"Business Analysis";#N/A,"SPADD",FALSE,"Business Analysis"}</definedName>
    <definedName name="qqq" localSheetId="0" hidden="1">{#N/A,#N/A,FALSE,"Sheet7"}</definedName>
    <definedName name="QQQ_1" localSheetId="0" hidden="1">{#N/A,#N/A,FALSE,"PMTABB";#N/A,#N/A,FALSE,"PMTABB"}</definedName>
    <definedName name="QQQ_2" localSheetId="0" hidden="1">{#N/A,#N/A,FALSE,"PMTABB";#N/A,#N/A,FALSE,"PMTABB"}</definedName>
    <definedName name="QQQ_3" localSheetId="0" hidden="1">{#N/A,#N/A,FALSE,"PMTABB";#N/A,#N/A,FALSE,"PMTABB"}</definedName>
    <definedName name="QQQ_4" localSheetId="0" hidden="1">{#N/A,#N/A,FALSE,"PMTABB";#N/A,#N/A,FALSE,"PMTABB"}</definedName>
    <definedName name="qqqaa" localSheetId="0" hidden="1">{"detail",#N/A,FALSE,"mfg";"summary",#N/A,FALSE,"mfg"}</definedName>
    <definedName name="QQQQ" localSheetId="0" hidden="1">{#N/A,#N/A,FALSE,"EW"}</definedName>
    <definedName name="QQQQ_1" localSheetId="0" hidden="1">{#N/A,#N/A,FALSE,"EW"}</definedName>
    <definedName name="QQQQ_2" localSheetId="0" hidden="1">{#N/A,#N/A,FALSE,"EW"}</definedName>
    <definedName name="QQQQ_3" localSheetId="0" hidden="1">{#N/A,#N/A,FALSE,"EW"}</definedName>
    <definedName name="QQQQ_4" localSheetId="0" hidden="1">{#N/A,#N/A,FALSE,"EW"}</definedName>
    <definedName name="QQQQ121848" localSheetId="0" hidden="1">{#N/A,#N/A,FALSE,"Staffnos &amp; cost"}</definedName>
    <definedName name="qqqqq" localSheetId="0" hidden="1">{#N/A,"PURCHM",FALSE,"Business Analysis";#N/A,"SPADD",FALSE,"Business Analysis"}</definedName>
    <definedName name="qqqqqq" localSheetId="0" hidden="1">{"QTD_PRS",#N/A,FALSE,"QTD"}</definedName>
    <definedName name="qqqqqqqqqq" localSheetId="0" hidden="1">{"pro_view",#N/A,FALSE,"EEFSNAP2";"rep_view",#N/A,FALSE,"EEFSNAP2"}</definedName>
    <definedName name="qqqqqqqqqqqqqq" localSheetId="0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q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localSheetId="0" hidden="1">{"detail",#N/A,FALSE,"mfg";"summary",#N/A,FALSE,"mfg"}</definedName>
    <definedName name="qqqqqqqqqqqqqqqqqqqqqqqqqqqqqqqqqqqqqqqqqqqqqqqqqqqqqq" localSheetId="0" hidden="1">{"TXO2N2_SLS",#N/A,FALSE,"MTHLYSLES";"TXH2_SLS",#N/A,FALSE,"MTHLYSLES";"LOUIS_SLS",#N/A,FALSE,"MTHLYSLES";"H2_SLS",#N/A,FALSE,"MTHLYSLES";"O2N2_SLS",#N/A,FALSE,"MTHLYSLES";"PACKAGE_SLS",#N/A,FALSE,"MTHLYSLES"}</definedName>
    <definedName name="qqwtweryey" localSheetId="0" hidden="1">{#N/A,#N/A,FALSE,"REPORT"}</definedName>
    <definedName name="qr" localSheetId="0" hidden="1">{"detail",#N/A,FALSE,"mfg";"summary",#N/A,FALSE,"mfg"}</definedName>
    <definedName name="Q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sss" localSheetId="0" hidden="1">{#N/A,"PURCHM",FALSE,"Business Analysis";#N/A,"SPADD",FALSE,"Business Analysis"}</definedName>
    <definedName name="qt" localSheetId="0" hidden="1">{"'Sheet1'!$L$16"}</definedName>
    <definedName name="qtt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a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qwe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qwef" localSheetId="0" hidden="1">{#N/A,#N/A,FALSE,"EW"}</definedName>
    <definedName name="qwef_1" localSheetId="0" hidden="1">{#N/A,#N/A,FALSE,"EW"}</definedName>
    <definedName name="qwef_2" localSheetId="0" hidden="1">{#N/A,#N/A,FALSE,"EW"}</definedName>
    <definedName name="qwef_3" localSheetId="0" hidden="1">{#N/A,#N/A,FALSE,"EW"}</definedName>
    <definedName name="qwef_4" localSheetId="0" hidden="1">{#N/A,#N/A,FALSE,"EW"}</definedName>
    <definedName name="qweqwesg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_1" localSheetId="0" hidden="1">{#N/A,#N/A,FALSE,"SUMMARY";#N/A,#N/A,FALSE,"SUMMARY"}</definedName>
    <definedName name="QWER_2" localSheetId="0" hidden="1">{#N/A,#N/A,FALSE,"SUMMARY";#N/A,#N/A,FALSE,"SUMMARY"}</definedName>
    <definedName name="QWER_3" localSheetId="0" hidden="1">{#N/A,#N/A,FALSE,"SUMMARY";#N/A,#N/A,FALSE,"SUMMARY"}</definedName>
    <definedName name="QWER_4" localSheetId="0" hidden="1">{#N/A,#N/A,FALSE,"SUMMARY";#N/A,#N/A,FALSE,"SUMMARY"}</definedName>
    <definedName name="qwertqry" localSheetId="0" hidden="1">{#N/A,#N/A,FALSE,"REPORT"}</definedName>
    <definedName name="qwetqryetytu" localSheetId="0" hidden="1">{#N/A,#N/A,FALSE,"Pharm";#N/A,#N/A,FALSE,"WWCM"}</definedName>
    <definedName name="qwqe" localSheetId="0" hidden="1">{#N/A,#N/A,TRUE,"index";#N/A,#N/A,TRUE,"Summary";#N/A,#N/A,TRUE,"Continuing Business";#N/A,#N/A,TRUE,"Disposals";#N/A,#N/A,TRUE,"Acquisitions";#N/A,#N/A,TRUE,"Actual &amp; Plan Reconciliation"}</definedName>
    <definedName name="qwrd" localSheetId="0" hidden="1">{"ACT",#N/A,FALSE,"Q3Elec P&amp;L fy 99  ";"BUD",#N/A,FALSE,"Q3Elec P&amp;L fy 99  ";"PRIOR",#N/A,FALSE,"Q3Elec P&amp;L fy 99  "}</definedName>
    <definedName name="qws" localSheetId="0" hidden="1">{"QTD_OTHER",#N/A,FALSE,"QTD"}</definedName>
    <definedName name="qwsa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z" localSheetId="0" hidden="1">{"QTD_HYCO",#N/A,FALSE,"QTD"}</definedName>
    <definedName name="QXC" localSheetId="0" hidden="1">{#N/A,#N/A,FALSE,"Tabl. H1";#N/A,#N/A,FALSE,"Tabl. H2"}</definedName>
    <definedName name="R_2" localSheetId="0" hidden="1">{#N/A,#N/A,FALSE,"Minors";#N/A,#N/A,FALSE,"96CAPREV"}</definedName>
    <definedName name="rad" localSheetId="0" hidden="1">{"PACKAGE",#N/A,FALSE,"CM"}</definedName>
    <definedName name="ram" localSheetId="0" hidden="1">{"dep. full detail",#N/A,FALSE,"annex";"3cd annex",#N/A,FALSE,"annex";"co. dep.",#N/A,FALSE,"annex"}</definedName>
    <definedName name="ram_1" localSheetId="0" hidden="1">{"dep. full detail",#N/A,FALSE,"annex";"3cd annex",#N/A,FALSE,"annex";"co. dep.",#N/A,FALSE,"annex"}</definedName>
    <definedName name="ram_2" localSheetId="0" hidden="1">{"dep. full detail",#N/A,FALSE,"annex";"3cd annex",#N/A,FALSE,"annex";"co. dep.",#N/A,FALSE,"annex"}</definedName>
    <definedName name="ram_3" localSheetId="0" hidden="1">{"dep. full detail",#N/A,FALSE,"annex";"3cd annex",#N/A,FALSE,"annex";"co. dep.",#N/A,FALSE,"annex"}</definedName>
    <definedName name="rama" localSheetId="0" hidden="1">{"'August 2000'!$A$1:$J$101"}</definedName>
    <definedName name="rav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_1" localSheetId="0" hidden="1">{#N/A,#N/A,FALSE,"Aging Summary";#N/A,#N/A,FALSE,"Ratio Analysis";#N/A,#N/A,FALSE,"Test 120 Day Accts";#N/A,#N/A,FALSE,"Tickmarks"}</definedName>
    <definedName name="RBG" localSheetId="0" hidden="1">{#N/A,#N/A,FALSE,"Tabl. D1";#N/A,#N/A,FALSE,"Tabl. D1 b";#N/A,#N/A,FALSE,"Tabl. D2";#N/A,#N/A,FALSE,"Tabl. D2 b";#N/A,#N/A,FALSE,"Tabl. D3";#N/A,#N/A,FALSE,"Tabl. D4";#N/A,#N/A,FALSE,"Tabl. D5"}</definedName>
    <definedName name="rbudget" localSheetId="0" hidden="1">{#N/A,#N/A,FALSE,"Scenario PivotTable"}</definedName>
    <definedName name="rd" localSheetId="0" hidden="1">{"oct_res_comm",#N/A,FALSE,"VarToBud"}</definedName>
    <definedName name="rdd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rdx" localSheetId="0" hidden="1">{"oct_res_comm",#N/A,FALSE,"VarToBud"}</definedName>
    <definedName name="re" localSheetId="0" hidden="1">{"Print One Page",#N/A,FALSE,"SumReport"}</definedName>
    <definedName name="RE_CF_bank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a" localSheetId="0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co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1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11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ns" localSheetId="0" hidden="1">{#N/A,#N/A,FALSE,"COMP"}</definedName>
    <definedName name="red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redo" localSheetId="0" hidden="1">{#N/A,#N/A,FALSE,"ACQ_GRAPHS";#N/A,#N/A,FALSE,"T_1 GRAPHS";#N/A,#N/A,FALSE,"T_2 GRAPHS";#N/A,#N/A,FALSE,"COMB_GRAPHS"}</definedName>
    <definedName name="redo_1" localSheetId="0" hidden="1">{#N/A,#N/A,FALSE,"ACQ_GRAPHS";#N/A,#N/A,FALSE,"T_1 GRAPHS";#N/A,#N/A,FALSE,"T_2 GRAPHS";#N/A,#N/A,FALSE,"COMB_GRAPHS"}</definedName>
    <definedName name="redo_2" localSheetId="0" hidden="1">{#N/A,#N/A,FALSE,"ACQ_GRAPHS";#N/A,#N/A,FALSE,"T_1 GRAPHS";#N/A,#N/A,FALSE,"T_2 GRAPHS";#N/A,#N/A,FALSE,"COMB_GRAPHS"}</definedName>
    <definedName name="redo_3" localSheetId="0" hidden="1">{#N/A,#N/A,FALSE,"ACQ_GRAPHS";#N/A,#N/A,FALSE,"T_1 GRAPHS";#N/A,#N/A,FALSE,"T_2 GRAPHS";#N/A,#N/A,FALSE,"COMB_GRAPHS"}</definedName>
    <definedName name="redo_4" localSheetId="0" hidden="1">{#N/A,#N/A,FALSE,"ACQ_GRAPHS";#N/A,#N/A,FALSE,"T_1 GRAPHS";#N/A,#N/A,FALSE,"T_2 GRAPHS";#N/A,#N/A,FALSE,"COMB_GRAPHS"}</definedName>
    <definedName name="redo_5" localSheetId="0" hidden="1">{#N/A,#N/A,FALSE,"ACQ_GRAPHS";#N/A,#N/A,FALSE,"T_1 GRAPHS";#N/A,#N/A,FALSE,"T_2 GRAPHS";#N/A,#N/A,FALSE,"COMB_GRAPHS"}</definedName>
    <definedName name="REF" localSheetId="0" hidden="1">{#N/A,#N/A,FALSE,"COMP"}</definedName>
    <definedName name="ref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reggie" localSheetId="0" hidden="1">{#N/A,#N/A,FALSE,"Pharm";#N/A,#N/A,FALSE,"WWCM"}</definedName>
    <definedName name="related" localSheetId="0" hidden="1">{#N/A,#N/A,FALSE,"PMTABB";#N/A,#N/A,FALSE,"PMTABB"}</definedName>
    <definedName name="rem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Repairs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airs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airs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airs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orting" localSheetId="0" hidden="1">{#N/A,#N/A,FALSE,"Tabl. FB300";#N/A,#N/A,FALSE,"Tabl. FB350";#N/A,#N/A,FALSE,"Tabl. FB400";#N/A,#N/A,FALSE,"Tabl. FB500";#N/A,#N/A,FALSE,"Tabl. FS090"}</definedName>
    <definedName name="reps" localSheetId="0" hidden="1">{"FY03_Assets",#N/A,FALSE,"Fin Stmt Budget";"FY03_Liabilities",#N/A,FALSE,"Fin Stmt Budget";"FY03_Inc_Stmt",#N/A,FALSE,"Fin Stmt Budget";"FY03_SOCF",#N/A,FALSE,"Fin Stmt Budget"}</definedName>
    <definedName name="res_sum" localSheetId="0" hidden="1">{#N/A,#N/A,FALSE,"COVER1.XLS ";#N/A,#N/A,FALSE,"RACT1.XLS";#N/A,#N/A,FALSE,"RACT2.XLS";#N/A,#N/A,FALSE,"ECCMP";#N/A,#N/A,FALSE,"WELDER.XLS"}</definedName>
    <definedName name="resp." localSheetId="0" hidden="1">{#N/A,#N/A,FALSE,"Pharm";#N/A,#N/A,FALSE,"WWCM"}</definedName>
    <definedName name="result" localSheetId="0" hidden="1">{#N/A,#N/A,FALSE,"Tabl. G1";#N/A,#N/A,FALSE,"Tabl. G2"}</definedName>
    <definedName name="ret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reu" localSheetId="0" hidden="1">{#N/A,#N/A,FALSE,"gc (2)"}</definedName>
    <definedName name="reu_1" localSheetId="0" hidden="1">{#N/A,#N/A,FALSE,"gc (2)"}</definedName>
    <definedName name="reu_2" localSheetId="0" hidden="1">{#N/A,#N/A,FALSE,"gc (2)"}</definedName>
    <definedName name="reu_3" localSheetId="0" hidden="1">{#N/A,#N/A,FALSE,"gc (2)"}</definedName>
    <definedName name="review" localSheetId="0" hidden="1">{"'Sch B'!$B$15:$L$17"}</definedName>
    <definedName name="Revised" localSheetId="0" hidden="1">{#N/A,#N/A,FALSE,"0895";"LOWER PORTION",#N/A,FALSE,"0895"}</definedName>
    <definedName name="Revised_1" localSheetId="0" hidden="1">{#N/A,#N/A,FALSE,"0895";"LOWER PORTION",#N/A,FALSE,"0895"}</definedName>
    <definedName name="Revised_2" localSheetId="0" hidden="1">{#N/A,#N/A,FALSE,"0895";"LOWER PORTION",#N/A,FALSE,"0895"}</definedName>
    <definedName name="Revised_3" localSheetId="0" hidden="1">{#N/A,#N/A,FALSE,"0895";"LOWER PORTION",#N/A,FALSE,"0895"}</definedName>
    <definedName name="Revised_4" localSheetId="0" hidden="1">{#N/A,#N/A,FALSE,"0895";"LOWER PORTION",#N/A,FALSE,"0895"}</definedName>
    <definedName name="Revised_5" localSheetId="0" hidden="1">{#N/A,#N/A,FALSE,"0895";"LOWER PORTION",#N/A,FALSE,"0895"}</definedName>
    <definedName name="rew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rewq" localSheetId="0" hidden="1">{"sales growth",#N/A,FALSE,"summary";"oper income",#N/A,FALSE,"summary";"oros rank",#N/A,FALSE,"summary";"net assets",#N/A,FALSE,"summary";"asset turnover",#N/A,FALSE,"summary";"orona",#N/A,FALSE,"summary"}</definedName>
    <definedName name="rewtet" localSheetId="0" hidden="1">{#N/A,#N/A,FALSE,"Umsatz 99";#N/A,#N/A,FALSE,"ER 99 "}</definedName>
    <definedName name="reya" localSheetId="0" hidden="1">{"office ltcg",#N/A,FALSE,"gain01";"IT LTCG",#N/A,FALSE,"gain01"}</definedName>
    <definedName name="reya_1" localSheetId="0" hidden="1">{"office ltcg",#N/A,FALSE,"gain01";"IT LTCG",#N/A,FALSE,"gain01"}</definedName>
    <definedName name="reya_2" localSheetId="0" hidden="1">{"office ltcg",#N/A,FALSE,"gain01";"IT LTCG",#N/A,FALSE,"gain01"}</definedName>
    <definedName name="reya_3" localSheetId="0" hidden="1">{"office ltcg",#N/A,FALSE,"gain01";"IT LTCG",#N/A,FALSE,"gain01"}</definedName>
    <definedName name="rf2e" localSheetId="0" hidden="1">{#N/A,#N/A,FALSE,"Pharm";#N/A,#N/A,FALSE,"WWCM"}</definedName>
    <definedName name="rfb" localSheetId="0" hidden="1">{#N/A,#N/A,FALSE,"Proj P&amp;L";#N/A,#N/A,FALSE,"WorkCap";#N/A,#N/A,FALSE,"Proj BS";#N/A,#N/A,FALSE,"CashRec"}</definedName>
    <definedName name="rfv.bs1" localSheetId="0" hidden="1">{"bs",#N/A,FALSE,"BS";"pl",#N/A,FALSE,"PL"}</definedName>
    <definedName name="RG_1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h" localSheetId="0" hidden="1">{#N/A,#N/A,FALSE,"FREE"}</definedName>
    <definedName name="rhw" localSheetId="0" hidden="1">{#N/A,#N/A,FALSE,"FREE"}</definedName>
    <definedName name="rhw_1" localSheetId="0" hidden="1">{#N/A,#N/A,FALSE,"FREE"}</definedName>
    <definedName name="rhw_2" localSheetId="0" hidden="1">{#N/A,#N/A,FALSE,"FREE"}</definedName>
    <definedName name="rhw_3" localSheetId="0" hidden="1">{#N/A,#N/A,FALSE,"FREE"}</definedName>
    <definedName name="rhw_4" localSheetId="0" hidden="1">{#N/A,#N/A,FALSE,"FREE"}</definedName>
    <definedName name="rhwr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ick" localSheetId="0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derPL" localSheetId="0" hidden="1">{#N/A,#N/A,FALSE,"Layout Cash Flow"}</definedName>
    <definedName name="RiderPL..fy97" localSheetId="0" hidden="1">{#N/A,#N/A,FALSE,"FY97";#N/A,#N/A,FALSE,"FY98";#N/A,#N/A,FALSE,"FY99";#N/A,#N/A,FALSE,"FY00";#N/A,#N/A,FALSE,"FY01"}</definedName>
    <definedName name="RiderPL..r" localSheetId="0" hidden="1">{"consolidated",#N/A,FALSE,"Sheet1";"cms",#N/A,FALSE,"Sheet1";"fse",#N/A,FALSE,"Sheet1"}</definedName>
    <definedName name="RiderPL.c" localSheetId="0" hidden="1">{#N/A,#N/A,FALSE,"Layout Cash Flow"}</definedName>
    <definedName name="RiderPL.r" localSheetId="0" hidden="1">{"consolidated",#N/A,FALSE,"Sheet1";"cms",#N/A,FALSE,"Sheet1";"fse",#N/A,FALSE,"Sheet1"}</definedName>
    <definedName name="RiderPL.wrn1" localSheetId="0" hidden="1">{#N/A,#N/A,FALSE,"DCF";#N/A,#N/A,FALSE,"WACC";#N/A,#N/A,FALSE,"Sales_EBIT";#N/A,#N/A,FALSE,"Capex_Depreciation";#N/A,#N/A,FALSE,"WC";#N/A,#N/A,FALSE,"Interest";#N/A,#N/A,FALSE,"Assumptions"}</definedName>
    <definedName name="RiderPLc" localSheetId="0" hidden="1">{#N/A,#N/A,FALSE,"Layout Cash Flow"}</definedName>
    <definedName name="riderPLcc" localSheetId="0" hidden="1">{#N/A,#N/A,FALSE,"Layout Cash Flow"}</definedName>
    <definedName name="RiderPLfy.97" localSheetId="0" hidden="1">{#N/A,#N/A,FALSE,"FY97";#N/A,#N/A,FALSE,"FY98";#N/A,#N/A,FALSE,"FY99";#N/A,#N/A,FALSE,"FY00";#N/A,#N/A,FALSE,"FY01"}</definedName>
    <definedName name="RiderPLfy97" localSheetId="0" hidden="1">{#N/A,#N/A,FALSE,"FY97";#N/A,#N/A,FALSE,"FY98";#N/A,#N/A,FALSE,"FY99";#N/A,#N/A,FALSE,"FY00";#N/A,#N/A,FALSE,"FY01"}</definedName>
    <definedName name="RiderPLr" localSheetId="0" hidden="1">{"consolidated",#N/A,FALSE,"Sheet1";"cms",#N/A,FALSE,"Sheet1";"fse",#N/A,FALSE,"Sheet1"}</definedName>
    <definedName name="RiderPLwrn1" localSheetId="0" hidden="1">{#N/A,#N/A,FALSE,"DCF";#N/A,#N/A,FALSE,"WACC";#N/A,#N/A,FALSE,"Sales_EBIT";#N/A,#N/A,FALSE,"Capex_Depreciation";#N/A,#N/A,FALSE,"WC";#N/A,#N/A,FALSE,"Interest";#N/A,#N/A,FALSE,"Assumptions"}</definedName>
    <definedName name="ripal" localSheetId="0" hidden="1">{#N/A,#N/A,FALSE,"gc (2)"}</definedName>
    <definedName name="ripal_1" localSheetId="0" hidden="1">{#N/A,#N/A,FALSE,"gc (2)"}</definedName>
    <definedName name="ripal_2" localSheetId="0" hidden="1">{#N/A,#N/A,FALSE,"gc (2)"}</definedName>
    <definedName name="ripal_3" localSheetId="0" hidden="1">{#N/A,#N/A,FALSE,"gc (2)"}</definedName>
    <definedName name="rixi" localSheetId="0" hidden="1">{"oct_res_comm",#N/A,FALSE,"VarToBud"}</definedName>
    <definedName name="rjod" localSheetId="0" hidden="1">{"detail",#N/A,FALSE,"mfg";"summary",#N/A,FALSE,"mfg"}</definedName>
    <definedName name="rkods" localSheetId="0" hidden="1">{"detail",#N/A,FALSE,"mfg";"summary",#N/A,FALSE,"mfg"}</definedName>
    <definedName name="rks" localSheetId="0" hidden="1">{"Print One Page",#N/A,FALSE,"SumReport"}</definedName>
    <definedName name="rl" localSheetId="0" hidden="1">{#N/A,#N/A,FALSE,"AUDIT-MWOS"}</definedName>
    <definedName name="roadblock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Robert2" localSheetId="0" hidden="1">{"DCF",#N/A,FALSE,"CF"}</definedName>
    <definedName name="Robert2_1" localSheetId="0" hidden="1">{"DCF",#N/A,FALSE,"CF"}</definedName>
    <definedName name="Robert2_2" localSheetId="0" hidden="1">{"DCF",#N/A,FALSE,"CF"}</definedName>
    <definedName name="Robert2_3" localSheetId="0" hidden="1">{"DCF",#N/A,FALSE,"CF"}</definedName>
    <definedName name="Robert2_4" localSheetId="0" hidden="1">{"DCF",#N/A,FALSE,"CF"}</definedName>
    <definedName name="Robert2_5" localSheetId="0" hidden="1">{"DCF",#N/A,FALSE,"CF"}</definedName>
    <definedName name="robson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rohig" localSheetId="0" hidden="1">{#N/A,#N/A,TRUE,"Staffnos &amp; cost"}</definedName>
    <definedName name="rohitahuja123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ON" localSheetId="0" hidden="1">{#N/A,#N/A,TRUE,"index";#N/A,#N/A,TRUE,"Summary";#N/A,#N/A,TRUE,"Continuing Business";#N/A,#N/A,TRUE,"Disposals";#N/A,#N/A,TRUE,"Acquisitions";#N/A,#N/A,TRUE,"Actual &amp; Plan Reconciliation"}</definedName>
    <definedName name="ronn" localSheetId="0" hidden="1">{#N/A,#N/A,TRUE,"index";#N/A,#N/A,TRUE,"Summary";#N/A,#N/A,TRUE,"Continuing Business";#N/A,#N/A,TRUE,"Disposals";#N/A,#N/A,TRUE,"Acquisitions";#N/A,#N/A,TRUE,"Actual &amp; Plan Reconciliation"}</definedName>
    <definedName name="rr.kk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dsa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n.bsall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rrr" localSheetId="0" hidden="1">{#N/A,"PURCHM",FALSE,"Business Analysis";#N/A,"SPADD",FALSE,"Business Analysis"}</definedName>
    <definedName name="rrrr" localSheetId="0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rrrr" localSheetId="0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_1" localSheetId="0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sac" localSheetId="0" hidden="1">{"PAGE 1",#N/A,FALSE,"COS Excluding Geismar";"PAGE 2",#N/A,FALSE,"COS Excluding Geismar";"PAGE 3",#N/A,FALSE,"COS Excluding Geismar"}</definedName>
    <definedName name="rsde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sem" localSheetId="0" hidden="1">{#N/A,#N/A,FALSE,"1996";#N/A,#N/A,FALSE,"1995";#N/A,#N/A,FALSE,"1994"}</definedName>
    <definedName name="rsem_1" localSheetId="0" hidden="1">{#N/A,#N/A,FALSE,"1996";#N/A,#N/A,FALSE,"1995";#N/A,#N/A,FALSE,"1994"}</definedName>
    <definedName name="rst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rt" localSheetId="0" hidden="1">{"detail",#N/A,FALSE,"mfg";"summary",#N/A,FALSE,"mfg"}</definedName>
    <definedName name="RTA" localSheetId="0" hidden="1">{#N/A,#N/A,FALSE,"Tabl. G1";#N/A,#N/A,FALSE,"Tabl. G2"}</definedName>
    <definedName name="rtds" localSheetId="0" hidden="1">{"ICD Details",#N/A,FALSE,"Current Yr";"ICD Details",#N/A,FALSE,"Budget";"ICD Details",#N/A,FALSE,"Prior Year"}</definedName>
    <definedName name="rtfg" localSheetId="0" hidden="1">{"LAPO2N2",#N/A,FALSE,"CM";"TOTTEXAS",#N/A,FALSE,"CM";"LOUISIANA",#N/A,FALSE,"CM";"GENERALH2",#N/A,FALSE,"CM";"PRS",#N/A,FALSE,"CM";"PACKAGE",#N/A,FALSE,"CM";"OTHER",#N/A,FALSE,"CM"}</definedName>
    <definedName name="rtgdsfgdsrhdf" localSheetId="0" hidden="1">{#N/A,#N/A,FALSE,"PMTABB";#N/A,#N/A,FALSE,"PMTABB"}</definedName>
    <definedName name="rtgh" localSheetId="0" hidden="1">{#N/A,#N/A,TRUE,"Sheet1";#N/A,#N/A,TRUE,"Sheet2";#N/A,#N/A,TRUE,"Sheet3";#N/A,#N/A,TRUE,"Sheet4";#N/A,#N/A,TRUE,"Sheet5";#N/A,#N/A,TRUE,"Sheet6";#N/A,#N/A,TRUE,"Sheet7"}</definedName>
    <definedName name="rthth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 localSheetId="0" hidden="1">{"vol data",#N/A,FALSE,"Datasheet";"vol graph",#N/A,FALSE,"Volume";"price data",#N/A,FALSE,"Datasheet";"price graph",#N/A,FALSE,"Price";"dp data",#N/A,FALSE,"Datasheet";"dp graph",#N/A,FALSE,"DirectProfit"}</definedName>
    <definedName name="rtre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y" localSheetId="0" hidden="1">{"ICD Details",#N/A,FALSE,"Current Yr";"ICD Details",#N/A,FALSE,"Budget";"ICD Details",#N/A,FALSE,"Prior Year"}</definedName>
    <definedName name="RTYU" localSheetId="0" hidden="1">{#N/A,#N/A,FALSE,"PGW"}</definedName>
    <definedName name="RTYU_1" localSheetId="0" hidden="1">{#N/A,#N/A,FALSE,"PGW"}</definedName>
    <definedName name="RTYU_2" localSheetId="0" hidden="1">{#N/A,#N/A,FALSE,"PGW"}</definedName>
    <definedName name="RTYU_3" localSheetId="0" hidden="1">{#N/A,#N/A,FALSE,"PGW"}</definedName>
    <definedName name="RTYU_4" localSheetId="0" hidden="1">{#N/A,#N/A,FALSE,"PGW"}</definedName>
    <definedName name="ruufo" localSheetId="0" hidden="1">{"detail",#N/A,FALSE,"mfg";"summary",#N/A,FALSE,"mfg"}</definedName>
    <definedName name="rv" localSheetId="0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localSheetId="0" hidden="1">{#N/A,#N/A,FALSE,"COVER1.XLS ";#N/A,#N/A,FALSE,"RACT1.XLS";#N/A,#N/A,FALSE,"RACT2.XLS";#N/A,#N/A,FALSE,"ECCMP";#N/A,#N/A,FALSE,"WELDER.XLS"}</definedName>
    <definedName name="rwe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rweq" localSheetId="0" hidden="1">{"TEXO2N2_VOL",#N/A,FALSE,"MTHLYVOL";"TEXH2_VOL",#N/A,FALSE,"MTHLYVOL";"LOUIS_VOL",#N/A,FALSE,"MTHLYVOL";"H2_VOL",#N/A,FALSE,"MTHLYVOL";"O2N2_VOL",#N/A,FALSE,"MTHLYVOL";"PACKAGE_VOL",#N/A,FALSE,"MTHLYVOL"}</definedName>
    <definedName name="rwere" localSheetId="0" hidden="1">{#N/A,#N/A,FALSE,"COVER1.XLS ";#N/A,#N/A,FALSE,"RACT1.XLS";#N/A,#N/A,FALSE,"RACT2.XLS";#N/A,#N/A,FALSE,"ECCMP";#N/A,#N/A,FALSE,"WELDER.XLS"}</definedName>
    <definedName name="rwert" localSheetId="0" hidden="1">{#N/A,#N/A,FALSE,"Pharm";#N/A,#N/A,FALSE,"WWCM"}</definedName>
    <definedName name="rwew" localSheetId="0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localSheetId="0" hidden="1">{#N/A,#N/A,FALSE,"PGW"}</definedName>
    <definedName name="rwh_1" localSheetId="0" hidden="1">{#N/A,#N/A,FALSE,"PGW"}</definedName>
    <definedName name="rwh_2" localSheetId="0" hidden="1">{#N/A,#N/A,FALSE,"PGW"}</definedName>
    <definedName name="rwh_3" localSheetId="0" hidden="1">{#N/A,#N/A,FALSE,"PGW"}</definedName>
    <definedName name="rwh_4" localSheetId="0" hidden="1">{#N/A,#N/A,FALSE,"PGW"}</definedName>
    <definedName name="rwhwr" localSheetId="0" hidden="1">{#N/A,#N/A,FALSE,"PGW"}</definedName>
    <definedName name="rwhwr_1" localSheetId="0" hidden="1">{#N/A,#N/A,FALSE,"PGW"}</definedName>
    <definedName name="rwhwr_2" localSheetId="0" hidden="1">{#N/A,#N/A,FALSE,"PGW"}</definedName>
    <definedName name="rwhwr_3" localSheetId="0" hidden="1">{#N/A,#N/A,FALSE,"PGW"}</definedName>
    <definedName name="rwhwr_4" localSheetId="0" hidden="1">{#N/A,#N/A,FALSE,"PGW"}</definedName>
    <definedName name="rwsz" localSheetId="0" hidden="1">{"Commentary",#N/A,FALSE,"May"}</definedName>
    <definedName name="rwxz" localSheetId="0" hidden="1">{"TXO2N2_SLS",#N/A,FALSE,"MTHLYSLES";"TXH2_SLS",#N/A,FALSE,"MTHLYSLES";"LOUIS_SLS",#N/A,FALSE,"MTHLYSLES";"H2_SLS",#N/A,FALSE,"MTHLYSLES";"O2N2_SLS",#N/A,FALSE,"MTHLYSLES";"PACKAGE_SLS",#N/A,FALSE,"MTHLYSLES"}</definedName>
    <definedName name="rxs" localSheetId="0" hidden="1">{"Month Summary",#N/A,FALSE,"Summary";"Total Details",#N/A,FALSE,"Current Yr";"Polymers Details",#N/A,FALSE,"Current Yr";"Performance Details",#N/A,FALSE,"Current Yr";"ICD Details",#N/A,FALSE,"Current Yr"}</definedName>
    <definedName name="s_2" localSheetId="0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s_3" localSheetId="0" hidden="1">{#N/A,#N/A,FALSE,"EW"}</definedName>
    <definedName name="s_4" localSheetId="0" hidden="1">{#N/A,#N/A,FALSE,"EW"}</definedName>
    <definedName name="S3a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sa" localSheetId="0" hidden="1">{#N/A,#N/A,FALSE,"COMP"}</definedName>
    <definedName name="sad" localSheetId="0" hidden="1">{#N/A,#N/A,FALSE,"COMP"}</definedName>
    <definedName name="sadg" localSheetId="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sadgg" localSheetId="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sadgtdrt" localSheetId="0" hidden="1">{#N/A,#N/A,FALSE,"PMTABB";#N/A,#N/A,FALSE,"PMTABB"}</definedName>
    <definedName name="sadgtdrt_2" localSheetId="0" hidden="1">{#N/A,#N/A,FALSE,"PMTABB";#N/A,#N/A,FALSE,"PMTABB"}</definedName>
    <definedName name="sadgtdrt_3" localSheetId="0" hidden="1">{#N/A,#N/A,FALSE,"PMTABB";#N/A,#N/A,FALSE,"PMTABB"}</definedName>
    <definedName name="sadgtdrt_4" localSheetId="0" hidden="1">{#N/A,#N/A,FALSE,"PMTABB";#N/A,#N/A,FALSE,"PMTABB"}</definedName>
    <definedName name="safd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le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lespp" localSheetId="0" hidden="1">{"detail",#N/A,FALSE,"mfg";"summary",#N/A,FALSE,"mfg"}</definedName>
    <definedName name="sally" localSheetId="0" hidden="1">{#N/A,#N/A,FALSE,"Pharm";#N/A,#N/A,FALSE,"WWCM"}</definedName>
    <definedName name="samedi" localSheetId="0" hidden="1">{#N/A,#N/A,FALSE,"Tabl. A1";#N/A,#N/A,FALSE,"Tabl. A1 b";#N/A,#N/A,FALSE,"Tabl. A2";#N/A,#N/A,FALSE,"Tabl. A2-1";#N/A,#N/A,FALSE,"Tabl. A2-2"}</definedName>
    <definedName name="sanju" localSheetId="0" hidden="1">{"office ltcg",#N/A,FALSE,"gain01";"IT LTCG",#N/A,FALSE,"gain01"}</definedName>
    <definedName name="sanju_1" localSheetId="0" hidden="1">{"office ltcg",#N/A,FALSE,"gain01";"IT LTCG",#N/A,FALSE,"gain01"}</definedName>
    <definedName name="sanju_2" localSheetId="0" hidden="1">{"office ltcg",#N/A,FALSE,"gain01";"IT LTCG",#N/A,FALSE,"gain01"}</definedName>
    <definedName name="sanju_3" localSheetId="0" hidden="1">{"office ltcg",#N/A,FALSE,"gain01";"IT LTCG",#N/A,FALSE,"gain01"}</definedName>
    <definedName name="SAPFuncF4Help" localSheetId="0" hidden="1">Main.SAPF4Help()</definedName>
    <definedName name="Sara" localSheetId="0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localSheetId="0" hidden="1">{#N/A,#N/A,TRUE,"10 Yr Hold";#N/A,#N/A,TRUE,"7 Yr Hold";#N/A,#N/A,TRUE,"5 Yr Hold";#N/A,#N/A,TRUE,"3 Yr Hold"}</definedName>
    <definedName name="saryder" localSheetId="0" hidden="1">{#N/A,#N/A,FALSE,"PGW"}</definedName>
    <definedName name="saryder_1" localSheetId="0" hidden="1">{#N/A,#N/A,FALSE,"PGW"}</definedName>
    <definedName name="saryder_2" localSheetId="0" hidden="1">{#N/A,#N/A,FALSE,"PGW"}</definedName>
    <definedName name="saryder_3" localSheetId="0" hidden="1">{#N/A,#N/A,FALSE,"PGW"}</definedName>
    <definedName name="saryder_4" localSheetId="0" hidden="1">{#N/A,#N/A,FALSE,"PGW"}</definedName>
    <definedName name="sas" localSheetId="0" hidden="1">{"detail",#N/A,FALSE,"mfg";"summary",#N/A,FALSE,"mfg"}</definedName>
    <definedName name="sasasasa" localSheetId="0" hidden="1">{#N/A,#N/A,FALSE,"Status of Projects";#N/A,#N/A,FALSE,"CEA-TEC";#N/A,#N/A,FALSE,"U-Constr.";#N/A,#N/A,FALSE,"summary";#N/A,#N/A,FALSE,"PPP-3 yrs"}</definedName>
    <definedName name="SCG" localSheetId="0" hidden="1">{#N/A,#N/A,FALSE,"Tabl. D1";#N/A,#N/A,FALSE,"Tabl. D1 b";#N/A,#N/A,FALSE,"Tabl. D2";#N/A,#N/A,FALSE,"Tabl. D2 b";#N/A,#N/A,FALSE,"Tabl. D3";#N/A,#N/A,FALSE,"Tabl. D4";#N/A,#N/A,FALSE,"Tabl. D5"}</definedName>
    <definedName name="score" localSheetId="0" hidden="1">{"detail",#N/A,FALSE,"mfg";"summary",#N/A,FALSE,"mfg"}</definedName>
    <definedName name="scorecardfy00" localSheetId="0" hidden="1">{"Comp_of_Price_Effect",#N/A,FALSE,"QTRDPVAR"}</definedName>
    <definedName name="SD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AF" localSheetId="0" hidden="1">{#N/A,#N/A,FALSE,"Aging Summary";#N/A,#N/A,FALSE,"Ratio Analysis";#N/A,#N/A,FALSE,"Test 120 Day Accts";#N/A,#N/A,FALSE,"Tickmarks"}</definedName>
    <definedName name="sdafgs" localSheetId="0" hidden="1">{#N/A,#N/A,FALSE,"Pharm";#N/A,#N/A,FALSE,"WWCM"}</definedName>
    <definedName name="sdasdad" localSheetId="0" hidden="1">{#N/A,#N/A,FALSE,"Aging Summary";#N/A,#N/A,FALSE,"Ratio Analysis";#N/A,#N/A,FALSE,"Test 120 Day Accts";#N/A,#N/A,FALSE,"Tickmarks"}</definedName>
    <definedName name="sdbbsdkbfgbsdk.fj" localSheetId="0" hidden="1">{#N/A,#N/A,FALSE,"PMTABB";#N/A,#N/A,FALSE,"PMTABB"}</definedName>
    <definedName name="sde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sdes" localSheetId="0" hidden="1">{"PACKAGE",#N/A,FALSE,"CM"}</definedName>
    <definedName name="SDF" localSheetId="0" hidden="1">{#N/A,#N/A,FALSE,"Proj P&amp;L";#N/A,#N/A,FALSE,"WorkCap";#N/A,#N/A,FALSE,"Proj BS";#N/A,#N/A,FALSE,"CashRec"}</definedName>
    <definedName name="sdf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sdfag" localSheetId="0" hidden="1">{#N/A,#N/A,FALSE,"FREE"}</definedName>
    <definedName name="sdfag_2" localSheetId="0" hidden="1">{#N/A,#N/A,FALSE,"FREE"}</definedName>
    <definedName name="sdfag_3" localSheetId="0" hidden="1">{#N/A,#N/A,FALSE,"FREE"}</definedName>
    <definedName name="sdfag_4" localSheetId="0" hidden="1">{#N/A,#N/A,FALSE,"FREE"}</definedName>
    <definedName name="sdfdsf" localSheetId="0" hidden="1">{#N/A,#N/A,FALSE,"KA CH  (2)"}</definedName>
    <definedName name="SDFGSFGSB" localSheetId="0" hidden="1">{#N/A,#N/A,FALSE,"17MAY";#N/A,#N/A,FALSE,"24MAY"}</definedName>
    <definedName name="SDFGSFGSFG" localSheetId="0" hidden="1">{#N/A,#N/A,FALSE,"COVER1.XLS ";#N/A,#N/A,FALSE,"RACT1.XLS";#N/A,#N/A,FALSE,"RACT2.XLS";#N/A,#N/A,FALSE,"ECCMP";#N/A,#N/A,FALSE,"WELDER.XLS"}</definedName>
    <definedName name="SDFGSFGSS" localSheetId="0" hidden="1">{#N/A,#N/A,FALSE,"COVER.XLS";#N/A,#N/A,FALSE,"RACT1.XLS";#N/A,#N/A,FALSE,"RACT2.XLS";#N/A,#N/A,FALSE,"ECCMP";#N/A,#N/A,FALSE,"WELDER.XLS"}</definedName>
    <definedName name="SDFGSGF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h" localSheetId="0" hidden="1">{#N/A,#N/A,FALSE,"Pharm";#N/A,#N/A,FALSE,"WWCM"}</definedName>
    <definedName name="SDFHG" localSheetId="0" hidden="1">{"Agg Output",#N/A,FALSE,"Operational Drivers Output";"NW Output",#N/A,FALSE,"Operational Drivers Output";"South Output",#N/A,FALSE,"Operational Drivers Output";"Central Output",#N/A,FALSE,"Operational Drivers Output"}</definedName>
    <definedName name="SDFHG_1" localSheetId="0" hidden="1">{"Agg Output",#N/A,FALSE,"Operational Drivers Output";"NW Output",#N/A,FALSE,"Operational Drivers Output";"South Output",#N/A,FALSE,"Operational Drivers Output";"Central Output",#N/A,FALSE,"Operational Drivers Output"}</definedName>
    <definedName name="sdfs" localSheetId="0" hidden="1">{#N/A,#N/A,TRUE,"index";#N/A,#N/A,TRUE,"Summary";#N/A,#N/A,TRUE,"Continuing Business";#N/A,#N/A,TRUE,"Disposals";#N/A,#N/A,TRUE,"Acquisitions";#N/A,#N/A,TRUE,"Actual &amp; Plan Reconciliation"}</definedName>
    <definedName name="SDFSFSF" localSheetId="0" hidden="1">{#N/A,#N/A,FALSE,"COVER.XLS";#N/A,#N/A,FALSE,"RACT1.XLS";#N/A,#N/A,FALSE,"RACT2.XLS";#N/A,#N/A,FALSE,"ECCMP";#N/A,#N/A,FALSE,"WELDER.XLS"}</definedName>
    <definedName name="sdfskdfskdf" localSheetId="0" hidden="1">{#N/A,#N/A,FALSE,"TOWNSHIP"}</definedName>
    <definedName name="sdfskdfskdf_1" localSheetId="0" hidden="1">{#N/A,#N/A,FALSE,"TOWNSHIP"}</definedName>
    <definedName name="sdfskdfskdf_2" localSheetId="0" hidden="1">{#N/A,#N/A,FALSE,"TOWNSHIP"}</definedName>
    <definedName name="sdfskdfskdf_3" localSheetId="0" hidden="1">{#N/A,#N/A,FALSE,"TOWNSHIP"}</definedName>
    <definedName name="sdfskdfskdf_4" localSheetId="0" hidden="1">{#N/A,#N/A,FALSE,"TOWNSHIP"}</definedName>
    <definedName name="sdft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" localSheetId="0" hidden="1">{#N/A,#N/A,FALSE,"TOWNSHIP"}</definedName>
    <definedName name="sdg_2" localSheetId="0" hidden="1">{#N/A,#N/A,FALSE,"TOWNSHIP"}</definedName>
    <definedName name="sdg_3" localSheetId="0" hidden="1">{#N/A,#N/A,FALSE,"TOWNSHIP"}</definedName>
    <definedName name="sdg_4" localSheetId="0" hidden="1">{#N/A,#N/A,FALSE,"TOWNSHIP"}</definedName>
    <definedName name="sdgagf" localSheetId="0" hidden="1">{#N/A,#N/A,FALSE,"Pharm";#N/A,#N/A,FALSE,"WWCM"}</definedName>
    <definedName name="sdgh" localSheetId="0" hidden="1">{"qty and inventory value",#N/A,FALSE,"MPartners";"general ledger entries",#N/A,FALSE,"MPartners"}</definedName>
    <definedName name="sdhdhfdfhh" localSheetId="0" hidden="1">{#N/A,#N/A,FALSE,"Balance Sheet";#N/A,#N/A,FALSE,"Income Statement";#N/A,#N/A,FALSE,"Changes in Financial Position"}</definedName>
    <definedName name="sdhdhfdfhh_1" localSheetId="0" hidden="1">{#N/A,#N/A,FALSE,"Balance Sheet";#N/A,#N/A,FALSE,"Income Statement";#N/A,#N/A,FALSE,"Changes in Financial Position"}</definedName>
    <definedName name="sdrf" localSheetId="0" hidden="1">{#N/A,#N/A,FALSE,"FREE"}</definedName>
    <definedName name="sdrf_2" localSheetId="0" hidden="1">{#N/A,#N/A,FALSE,"FREE"}</definedName>
    <definedName name="sdrf_3" localSheetId="0" hidden="1">{#N/A,#N/A,FALSE,"FREE"}</definedName>
    <definedName name="sdrf_4" localSheetId="0" hidden="1">{#N/A,#N/A,FALSE,"FREE"}</definedName>
    <definedName name="sds" localSheetId="0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sdsadasd" localSheetId="0" hidden="1">{#N/A,#N/A,FALSE,"Pharm";#N/A,#N/A,FALSE,"WWCM"}</definedName>
    <definedName name="sdsd" localSheetId="0" hidden="1">{#N/A,#N/A,FALSE,"REPORT"}</definedName>
    <definedName name="sdsds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a" localSheetId="0" hidden="1">{"oct_res_comm",#N/A,FALSE,"VarToBud"}</definedName>
    <definedName name="Sec_0708" localSheetId="0" hidden="1">{"histincome",#N/A,FALSE,"hyfins";"closing balance",#N/A,FALSE,"hyfins"}</definedName>
    <definedName name="SegmentBudget" localSheetId="0" hidden="1">{"oct_res_comm",#N/A,FALSE,"VarToBud"}</definedName>
    <definedName name="Sens2" localSheetId="0" hidden="1">{#N/A,#N/A,FALSE,"Carat";"VENTA",#N/A,FALSE,"05";#N/A,#N/A,FALSE,"06";"CASHFLOW",#N/A,FALSE,"05";"TAX PLAN",#N/A,FALSE,"05"}</definedName>
    <definedName name="senst" localSheetId="0" hidden="1">{#N/A,#N/A,FALSE,"Carat";"VENTA",#N/A,FALSE,"05";#N/A,#N/A,FALSE,"06";"CASHFLOW",#N/A,FALSE,"05";"TAX PLAN",#N/A,FALSE,"05"}</definedName>
    <definedName name="Serbian" localSheetId="0" hidden="1">{"detail",#N/A,FALSE,"mfg";"summary",#N/A,FALSE,"mfg"}</definedName>
    <definedName name="sety" localSheetId="0" hidden="1">{"LAPO2N2",#N/A,FALSE,"CM"}</definedName>
    <definedName name="sf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azgzrg" localSheetId="0" hidden="1">{"'Distinta'!$A$1:$I$277"}</definedName>
    <definedName name="sfdgfgg" localSheetId="0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SFG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irect" localSheetId="0" hidden="1">{#N/A,#N/A,FALSE,"REPORT"}</definedName>
    <definedName name="SFFS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0" hidden="1">{#N/A,#N/A,FALSE,"COVER1.XLS ";#N/A,#N/A,FALSE,"RACT1.XLS";#N/A,#N/A,FALSE,"RACT2.XLS";#N/A,#N/A,FALSE,"ECCMP";#N/A,#N/A,FALSE,"WELDER.XLS"}</definedName>
    <definedName name="SFGSFGS" localSheetId="0" hidden="1">{#N/A,#N/A,FALSE,"COVER1.XLS ";#N/A,#N/A,FALSE,"RACT1.XLS";#N/A,#N/A,FALSE,"RACT2.XLS";#N/A,#N/A,FALSE,"ECCMP";#N/A,#N/A,FALSE,"WELDER.XLS"}</definedName>
    <definedName name="SFGSFGSFGSG" localSheetId="0" hidden="1">{#N/A,#N/A,FALSE,"COVER.XLS";#N/A,#N/A,FALSE,"RACT1.XLS";#N/A,#N/A,FALSE,"RACT2.XLS";#N/A,#N/A,FALSE,"ECCMP";#N/A,#N/A,FALSE,"WELDER.XLS"}</definedName>
    <definedName name="SFGSFGSG" localSheetId="0" hidden="1">{#N/A,#N/A,FALSE,"COVER.XLS";#N/A,#N/A,FALSE,"RACT1.XLS";#N/A,#N/A,FALSE,"RACT2.XLS";#N/A,#N/A,FALSE,"ECCMP";#N/A,#N/A,FALSE,"WELDER.XLS"}</definedName>
    <definedName name="SFGSFGSGS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0" hidden="1">{#N/A,#N/A,FALSE,"COVER1.XLS ";#N/A,#N/A,FALSE,"RACT1.XLS";#N/A,#N/A,FALSE,"RACT2.XLS";#N/A,#N/A,FALSE,"ECCMP";#N/A,#N/A,FALSE,"WELDER.XLS"}</definedName>
    <definedName name="SFGSFSFG" localSheetId="0" hidden="1">{#N/A,#N/A,FALSE,"COVER1.XLS ";#N/A,#N/A,FALSE,"RACT1.XLS";#N/A,#N/A,FALSE,"RACT2.XLS";#N/A,#N/A,FALSE,"ECCMP";#N/A,#N/A,FALSE,"WELDER.XLS"}</definedName>
    <definedName name="SFGSG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0" hidden="1">{#N/A,#N/A,FALSE,"COVER1.XLS ";#N/A,#N/A,FALSE,"RACT1.XLS";#N/A,#N/A,FALSE,"RACT2.XLS";#N/A,#N/A,FALSE,"ECCMP";#N/A,#N/A,FALSE,"WELDER.XLS"}</definedName>
    <definedName name="SFGSSFG" localSheetId="0" hidden="1">{#N/A,#N/A,FALSE,"COVER.XLS";#N/A,#N/A,FALSE,"RACT1.XLS";#N/A,#N/A,FALSE,"RACT2.XLS";#N/A,#N/A,FALSE,"ECCMP";#N/A,#N/A,FALSE,"WELDER.XLS"}</definedName>
    <definedName name="sfgv" localSheetId="0" hidden="1">{"consolidated",#N/A,FALSE,"Sheet1";"cms",#N/A,FALSE,"Sheet1";"fse",#N/A,FALSE,"Sheet1"}</definedName>
    <definedName name="sfgv_1" localSheetId="0" hidden="1">{"consolidated",#N/A,FALSE,"Sheet1";"cms",#N/A,FALSE,"Sheet1";"fse",#N/A,FALSE,"Sheet1"}</definedName>
    <definedName name="sfjewgj" localSheetId="0" hidden="1">{#N/A,#N/A,FALSE,"Model";#N/A,#N/A,FALSE,"Division"}</definedName>
    <definedName name="sfq" localSheetId="0" hidden="1">{#N/A,#N/A,FALSE,"Calc";#N/A,#N/A,FALSE,"Sensitivity";#N/A,#N/A,FALSE,"LT Earn.Dil.";#N/A,#N/A,FALSE,"Dil. AVP"}</definedName>
    <definedName name="sfq_1" localSheetId="0" hidden="1">{#N/A,#N/A,FALSE,"Calc";#N/A,#N/A,FALSE,"Sensitivity";#N/A,#N/A,FALSE,"LT Earn.Dil.";#N/A,#N/A,FALSE,"Dil. AVP"}</definedName>
    <definedName name="sfsf" localSheetId="0" hidden="1">{#N/A,#N/A,FALSE,"Calc";#N/A,#N/A,FALSE,"Sensitivity";#N/A,#N/A,FALSE,"LT Earn.Dil.";#N/A,#N/A,FALSE,"Dil. AVP"}</definedName>
    <definedName name="sfsf_1" localSheetId="0" hidden="1">{#N/A,#N/A,FALSE,"Calc";#N/A,#N/A,FALSE,"Sensitivity";#N/A,#N/A,FALSE,"LT Earn.Dil.";#N/A,#N/A,FALSE,"Dil. AVP"}</definedName>
    <definedName name="SFSFFS" localSheetId="0" hidden="1">{#N/A,#N/A,FALSE,"COVER.XLS";#N/A,#N/A,FALSE,"RACT1.XLS";#N/A,#N/A,FALSE,"RACT2.XLS";#N/A,#N/A,FALSE,"ECCMP";#N/A,#N/A,FALSE,"WELDER.XLS"}</definedName>
    <definedName name="sg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d" localSheetId="0" hidden="1">{#N/A,#N/A,FALSE,"Calc";#N/A,#N/A,FALSE,"Sensitivity";#N/A,#N/A,FALSE,"LT Earn.Dil.";#N/A,#N/A,FALSE,"Dil. AVP"}</definedName>
    <definedName name="sgd_1" localSheetId="0" hidden="1">{#N/A,#N/A,FALSE,"Calc";#N/A,#N/A,FALSE,"Sensitivity";#N/A,#N/A,FALSE,"LT Earn.Dil.";#N/A,#N/A,FALSE,"Dil. AVP"}</definedName>
    <definedName name="sgddfg" localSheetId="0" hidden="1">{#N/A,#N/A,FALSE,"PMTABB";#N/A,#N/A,FALSE,"PMTABB"}</definedName>
    <definedName name="sgddfg_2" localSheetId="0" hidden="1">{#N/A,#N/A,FALSE,"PMTABB";#N/A,#N/A,FALSE,"PMTABB"}</definedName>
    <definedName name="sgddfg_3" localSheetId="0" hidden="1">{#N/A,#N/A,FALSE,"PMTABB";#N/A,#N/A,FALSE,"PMTABB"}</definedName>
    <definedName name="sgddfg_4" localSheetId="0" hidden="1">{#N/A,#N/A,FALSE,"PMTABB";#N/A,#N/A,FALSE,"PMTABB"}</definedName>
    <definedName name="sgdg" localSheetId="0" hidden="1">{#N/A,#N/A,FALSE,"Calc";#N/A,#N/A,FALSE,"Sensitivity";#N/A,#N/A,FALSE,"LT Earn.Dil.";#N/A,#N/A,FALSE,"Dil. AVP"}</definedName>
    <definedName name="sgdg_1" localSheetId="0" hidden="1">{#N/A,#N/A,FALSE,"Calc";#N/A,#N/A,FALSE,"Sensitivity";#N/A,#N/A,FALSE,"LT Earn.Dil.";#N/A,#N/A,FALSE,"Dil. AVP"}</definedName>
    <definedName name="SGSGSG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0" hidden="1">{"consolidated",#N/A,FALSE,"Sheet1";"cms",#N/A,FALSE,"Sheet1";"fse",#N/A,FALSE,"Sheet1"}</definedName>
    <definedName name="sgsx_1" localSheetId="0" hidden="1">{"consolidated",#N/A,FALSE,"Sheet1";"cms",#N/A,FALSE,"Sheet1";"fse",#N/A,FALSE,"Sheet1"}</definedName>
    <definedName name="SHEET" localSheetId="0" hidden="1">{"REP1",#N/A,FALSE,"HSSA-LOG"}</definedName>
    <definedName name="Shipping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rt" localSheetId="0" hidden="1">{#N/A,#N/A,FALSE,"COVER1.XLS ";#N/A,#N/A,FALSE,"RACT1.XLS";#N/A,#N/A,FALSE,"RACT2.XLS";#N/A,#N/A,FALSE,"ECCMP";#N/A,#N/A,FALSE,"WELDER.XLS"}</definedName>
    <definedName name="Shortage" localSheetId="0" hidden="1">{#N/A,#N/A,TRUE,"Sheet1";#N/A,#N/A,TRUE,"Nov-1995"}</definedName>
    <definedName name="sldfkj" localSheetId="0" hidden="1">{#N/A,#N/A,FALSE,"Model";#N/A,#N/A,FALSE,"Division"}</definedName>
    <definedName name="slfjslfj" localSheetId="0" hidden="1">{#N/A,#N/A,FALSE,"Model";#N/A,#N/A,FALSE,"Division"}</definedName>
    <definedName name="smk" localSheetId="0" hidden="1">{"QTD_GENERALH2",#N/A,FALSE,"QTD"}</definedName>
    <definedName name="Sompther" localSheetId="0" hidden="1">{#N/A,#N/A,FALSE,"Aging Summary";#N/A,#N/A,FALSE,"Ratio Analysis";#N/A,#N/A,FALSE,"Test 120 Day Accts";#N/A,#N/A,FALSE,"Tickmarks"}</definedName>
    <definedName name="spread1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re" localSheetId="0" hidden="1">{"vol data",#N/A,FALSE,"Datasheet";"vol graph",#N/A,FALSE,"Volume";"price data",#N/A,FALSE,"Datasheet";"price graph",#N/A,FALSE,"Price";"dp data",#N/A,FALSE,"Datasheet";"dp graph",#N/A,FALSE,"DirectProfit"}</definedName>
    <definedName name="srev" localSheetId="0" hidden="1">{#N/A,#N/A,FALSE,"P&amp;L";#N/A,#N/A,FALSE,"BS";#N/A,#N/A,FALSE,"SPLIT";#N/A,#N/A,FALSE,"RATIOS";#N/A,#N/A,FALSE,"TURN ";#N/A,#N/A,FALSE,"%s"}</definedName>
    <definedName name="SRS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s" localSheetId="0" hidden="1">{#N/A,#N/A,FALSE,"Calc";#N/A,#N/A,FALSE,"Sensitivity";#N/A,#N/A,FALSE,"LT Earn.Dil.";#N/A,#N/A,FALSE,"Dil. AVP"}</definedName>
    <definedName name="ss_1" localSheetId="0" hidden="1">{#N/A,#N/A,FALSE,"Calc";#N/A,#N/A,FALSE,"Sensitivity";#N/A,#N/A,FALSE,"LT Earn.Dil.";#N/A,#N/A,FALSE,"Dil. AVP"}</definedName>
    <definedName name="ssadsad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localSheetId="0" hidden="1">{#N/A,#N/A,FALSE,"REPORT"}</definedName>
    <definedName name="ssdsa" localSheetId="0" hidden="1">{#N/A,#N/A,FALSE,"FREE"}</definedName>
    <definedName name="ssdsa_2" localSheetId="0" hidden="1">{#N/A,#N/A,FALSE,"FREE"}</definedName>
    <definedName name="ssdsa_3" localSheetId="0" hidden="1">{#N/A,#N/A,FALSE,"FREE"}</definedName>
    <definedName name="ssdsa_4" localSheetId="0" hidden="1">{#N/A,#N/A,FALSE,"FREE"}</definedName>
    <definedName name="sse" localSheetId="0" hidden="1">{"YD GENERALH2",#N/A,FALSE,"YTD"}</definedName>
    <definedName name="SSFGSFG" localSheetId="0" hidden="1">{#N/A,#N/A,FALSE,"COVER.XLS";#N/A,#N/A,FALSE,"RACT1.XLS";#N/A,#N/A,FALSE,"RACT2.XLS";#N/A,#N/A,FALSE,"ECCMP";#N/A,#N/A,FALSE,"WELDER.XLS"}</definedName>
    <definedName name="SSSDFGSD" localSheetId="0" hidden="1">{#N/A,#N/A,FALSE,"COVER1.XLS ";#N/A,#N/A,FALSE,"RACT1.XLS";#N/A,#N/A,FALSE,"RACT2.XLS";#N/A,#N/A,FALSE,"ECCMP";#N/A,#N/A,FALSE,"WELDER.XLS"}</definedName>
    <definedName name="SSSDFGSG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s" localSheetId="0" hidden="1">{"divisions",#N/A,TRUE,"Drivers";"PandL_Ratios",#N/A,TRUE,"P&amp;L"}</definedName>
    <definedName name="ssss_1" localSheetId="0" hidden="1">{"divisions",#N/A,TRUE,"Drivers";"PandL_Ratios",#N/A,TRUE,"P&amp;L"}</definedName>
    <definedName name="ssss_2" localSheetId="0" hidden="1">{"divisions",#N/A,TRUE,"Drivers";"PandL_Ratios",#N/A,TRUE,"P&amp;L"}</definedName>
    <definedName name="ssss_3" localSheetId="0" hidden="1">{"divisions",#N/A,TRUE,"Drivers";"PandL_Ratios",#N/A,TRUE,"P&amp;L"}</definedName>
    <definedName name="ssss_4" localSheetId="0" hidden="1">{"divisions",#N/A,TRUE,"Drivers";"PandL_Ratios",#N/A,TRUE,"P&amp;L"}</definedName>
    <definedName name="ssss_5" localSheetId="0" hidden="1">{"divisions",#N/A,TRUE,"Drivers";"PandL_Ratios",#N/A,TRUE,"P&amp;L"}</definedName>
    <definedName name="SSSSD" localSheetId="0" hidden="1">{#N/A,#N/A,FALSE,"COVER1.XLS ";#N/A,#N/A,FALSE,"RACT1.XLS";#N/A,#N/A,FALSE,"RACT2.XLS";#N/A,#N/A,FALSE,"ECCMP";#N/A,#N/A,FALSE,"WELDER.XLS"}</definedName>
    <definedName name="sssss" localSheetId="0" hidden="1">{#N/A,#N/A,FALSE,"Calc";#N/A,#N/A,FALSE,"Sensitivity";#N/A,#N/A,FALSE,"LT Earn.Dil.";#N/A,#N/A,FALSE,"Dil. AVP"}</definedName>
    <definedName name="sssss_1" localSheetId="0" hidden="1">{"divisions",#N/A,TRUE,"Drivers";"PandL_Ratios",#N/A,TRUE,"P&amp;L"}</definedName>
    <definedName name="sssss_2" localSheetId="0" hidden="1">{"divisions",#N/A,TRUE,"Drivers";"PandL_Ratios",#N/A,TRUE,"P&amp;L"}</definedName>
    <definedName name="sssss_3" localSheetId="0" hidden="1">{"divisions",#N/A,TRUE,"Drivers";"PandL_Ratios",#N/A,TRUE,"P&amp;L"}</definedName>
    <definedName name="sssss_4" localSheetId="0" hidden="1">{"divisions",#N/A,TRUE,"Drivers";"PandL_Ratios",#N/A,TRUE,"P&amp;L"}</definedName>
    <definedName name="sssss_5" localSheetId="0" hidden="1">{"divisions",#N/A,TRUE,"Drivers";"PandL_Ratios",#N/A,TRUE,"P&amp;L"}</definedName>
    <definedName name="SSSSSSSSSSSSSSS" localSheetId="0" hidden="1">{#N/A,#N/A,FALSE,"17MAY";#N/A,#N/A,FALSE,"24MAY"}</definedName>
    <definedName name="sssssssssssssssss" localSheetId="0" hidden="1">{#N/A,#N/A,FALSE,"Status of Projects";#N/A,#N/A,FALSE,"CEA-TEC";#N/A,#N/A,FALSE,"U-Constr.";#N/A,#N/A,FALSE,"summary";#N/A,#N/A,FALSE,"PPP-3 yrs"}</definedName>
    <definedName name="SSSSSSSSSSSSSSSSSSS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wwww" localSheetId="0" hidden="1">{#N/A,"PURCHM",FALSE,"Business Analysis";#N/A,"SPADD",FALSE,"Business Analysis"}</definedName>
    <definedName name="Staril" localSheetId="0" hidden="1">{#N/A,#N/A,FALSE,"REPORT"}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02" localSheetId="0" hidden="1">{#N/A,#N/A,FALSE,"gc (2)"}</definedName>
    <definedName name="stock02_1" localSheetId="0" hidden="1">{#N/A,#N/A,FALSE,"gc (2)"}</definedName>
    <definedName name="stock02_2" localSheetId="0" hidden="1">{#N/A,#N/A,FALSE,"gc (2)"}</definedName>
    <definedName name="stock02_3" localSheetId="0" hidden="1">{#N/A,#N/A,FALSE,"gc (2)"}</definedName>
    <definedName name="stockason30.6.99" localSheetId="0" hidden="1">{#N/A,#N/A,TRUE,"Sheet1";#N/A,#N/A,TRUE,"Nov-1995"}</definedName>
    <definedName name="StratPlanAP" localSheetId="0" hidden="1">{#N/A,#N/A,FALSE,"Pharm";#N/A,#N/A,FALSE,"WWCM"}</definedName>
    <definedName name="stre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SttII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stu" localSheetId="0" hidden="1">{#N/A,#N/A,FALSE,"Tabl. D1";#N/A,#N/A,FALSE,"Tabl. D1 b";#N/A,#N/A,FALSE,"Tabl. D2";#N/A,#N/A,FALSE,"Tabl. D2 b";#N/A,#N/A,FALSE,"Tabl. D3";#N/A,#N/A,FALSE,"Tabl. D4";#N/A,#N/A,FALSE,"Tabl. D5"}</definedName>
    <definedName name="stuff" localSheetId="0" hidden="1">{"TOTAL",#N/A,FALSE,"A";"FISCAL94",#N/A,FALSE,"A";"FISCAL95",#N/A,FALSE,"A";"FISCAL96",#N/A,FALSE,"A";"misc page",#N/A,FALSE,"A"}</definedName>
    <definedName name="stuff_1" localSheetId="0" hidden="1">{"TOTAL",#N/A,FALSE,"A";"FISCAL94",#N/A,FALSE,"A";"FISCAL95",#N/A,FALSE,"A";"FISCAL96",#N/A,FALSE,"A";"misc page",#N/A,FALSE,"A"}</definedName>
    <definedName name="stuff_2" localSheetId="0" hidden="1">{"TOTAL",#N/A,FALSE,"A";"FISCAL94",#N/A,FALSE,"A";"FISCAL95",#N/A,FALSE,"A";"FISCAL96",#N/A,FALSE,"A";"misc page",#N/A,FALSE,"A"}</definedName>
    <definedName name="stuff_3" localSheetId="0" hidden="1">{"TOTAL",#N/A,FALSE,"A";"FISCAL94",#N/A,FALSE,"A";"FISCAL95",#N/A,FALSE,"A";"FISCAL96",#N/A,FALSE,"A";"misc page",#N/A,FALSE,"A"}</definedName>
    <definedName name="Sudhir" localSheetId="0" hidden="1">{#N/A,#N/A,FALSE,"Status of Projects";#N/A,#N/A,FALSE,"CEA-TEC";#N/A,#N/A,FALSE,"U-Constr.";#N/A,#N/A,FALSE,"summary";#N/A,#N/A,FALSE,"PPP-3 yrs"}</definedName>
    <definedName name="sumit" localSheetId="0" hidden="1">{#N/A,#N/A,FALSE,"Tabl. FB300";#N/A,#N/A,FALSE,"Tabl. FB350";#N/A,#N/A,FALSE,"Tabl. FB400";#N/A,#N/A,FALSE,"Tabl. FB500";#N/A,#N/A,FALSE,"Tabl. FS090"}</definedName>
    <definedName name="sumtijdschriften" localSheetId="0" hidden="1">{#N/A,#N/A,FALSE,"Aging Summary";#N/A,#N/A,FALSE,"Ratio Analysis";#N/A,#N/A,FALSE,"Test 120 Day Accts";#N/A,#N/A,FALSE,"Tickmarks"}</definedName>
    <definedName name="SUNNI" localSheetId="0" hidden="1">{#N/A,#N/A,FALSE,"Staffnos &amp; cost"}</definedName>
    <definedName name="Sup_exp_Bud" localSheetId="0" hidden="1">{#N/A,#N/A,FALSE,"Scenario PivotTable"}</definedName>
    <definedName name="Sup_Exp_Bud_07" localSheetId="0" hidden="1">{#N/A,#N/A,FALSE,"Scenario PivotTable"}</definedName>
    <definedName name="super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liers" localSheetId="0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1" localSheetId="0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y" localSheetId="0" hidden="1">{#N/A,#N/A,FALSE,"PMTABB";#N/A,#N/A,FALSE,"PMTABB"}</definedName>
    <definedName name="supply_2" localSheetId="0" hidden="1">{#N/A,#N/A,FALSE,"PMTABB";#N/A,#N/A,FALSE,"PMTABB"}</definedName>
    <definedName name="supply_3" localSheetId="0" hidden="1">{#N/A,#N/A,FALSE,"PMTABB";#N/A,#N/A,FALSE,"PMTABB"}</definedName>
    <definedName name="supply_4" localSheetId="0" hidden="1">{#N/A,#N/A,FALSE,"PMTABB";#N/A,#N/A,FALSE,"PMTABB"}</definedName>
    <definedName name="Supporting" localSheetId="0" hidden="1">{#N/A,#N/A,TRUE,"Sheet1";#N/A,#N/A,TRUE,"Nov-1995"}</definedName>
    <definedName name="supppymt" localSheetId="0" hidden="1">{#N/A,#N/A,TRUE,"Sheet1";#N/A,#N/A,TRUE,"Nov-1995"}</definedName>
    <definedName name="Susan" localSheetId="0" hidden="1">{#N/A,#N/A,FALSE,"Revised cover";#N/A,#N/A,FALSE,"Trends";"main view",#N/A,FALSE,"As Reported";#N/A,#N/A,FALSE,"delegations";#N/A,#N/A,FALSE,"(un) Commited"}</definedName>
    <definedName name="sw" localSheetId="0" hidden="1">{#N/A,"PURCHM",FALSE,"Business Analysis";#N/A,"SPADD",FALSE,"Business Analysis"}</definedName>
    <definedName name="swaw" localSheetId="0" hidden="1">{"TEXO2N2_VOL",#N/A,FALSE,"MTHLYVOL";"TEXH2_VOL",#N/A,FALSE,"MTHLYVOL";"LOUIS_VOL",#N/A,FALSE,"MTHLYVOL";"H2_VOL",#N/A,FALSE,"MTHLYVOL";"O2N2_VOL",#N/A,FALSE,"MTHLYVOL";"PACKAGE_VOL",#N/A,FALSE,"MTHLYVOL"}</definedName>
    <definedName name="SWFSDF" localSheetId="0" hidden="1">{#N/A,#N/A,FALSE,"COMP"}</definedName>
    <definedName name="swq" localSheetId="0" hidden="1">{#N/A,"PURCHM",FALSE,"Business Analysis";#N/A,"SPADD",FALSE,"Business Analysis"}</definedName>
    <definedName name="swr" localSheetId="0" hidden="1">{"Polymers Details",#N/A,FALSE,"Current Yr";"Polymer Details",#N/A,FALSE,"Budget";"Polymer Details",#N/A,FALSE,"Prior Year"}</definedName>
    <definedName name="SX" localSheetId="0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localSheetId="0" hidden="1">{#N/A,#N/A,FALSE,"PGW"}</definedName>
    <definedName name="sxcg_2" localSheetId="0" hidden="1">{#N/A,#N/A,FALSE,"PGW"}</definedName>
    <definedName name="sxcg_3" localSheetId="0" hidden="1">{#N/A,#N/A,FALSE,"PGW"}</definedName>
    <definedName name="sxcg_4" localSheetId="0" hidden="1">{#N/A,#N/A,FALSE,"PGW"}</definedName>
    <definedName name="sz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localSheetId="0" hidden="1">{"LAPO2N2",#N/A,FALSE,"CM"}</definedName>
    <definedName name="t.2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T_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T_3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TA" localSheetId="0" hidden="1">{#N/A,#N/A,TRUE,"Financials";#N/A,#N/A,TRUE,"Operating Statistics";#N/A,#N/A,TRUE,"Capex &amp; Depreciation";#N/A,#N/A,TRUE,"Debt"}</definedName>
    <definedName name="TA_1" localSheetId="0" hidden="1">{#N/A,#N/A,TRUE,"Financials";#N/A,#N/A,TRUE,"Operating Statistics";#N/A,#N/A,TRUE,"Capex &amp; Depreciation";#N/A,#N/A,TRUE,"Debt"}</definedName>
    <definedName name="TA_2" localSheetId="0" hidden="1">{#N/A,#N/A,TRUE,"Financials";#N/A,#N/A,TRUE,"Operating Statistics";#N/A,#N/A,TRUE,"Capex &amp; Depreciation";#N/A,#N/A,TRUE,"Debt"}</definedName>
    <definedName name="TA_3" localSheetId="0" hidden="1">{#N/A,#N/A,TRUE,"Financials";#N/A,#N/A,TRUE,"Operating Statistics";#N/A,#N/A,TRUE,"Capex &amp; Depreciation";#N/A,#N/A,TRUE,"Debt"}</definedName>
    <definedName name="tabl" localSheetId="0" hidden="1">{#N/A,#N/A,FALSE,"Tabl. H1";#N/A,#N/A,FALSE,"Tabl. H2"}</definedName>
    <definedName name="tableau" localSheetId="0" hidden="1">{#N/A,#N/A,FALSE,"Tabl. A1";#N/A,#N/A,FALSE,"Tabl. A1 b";#N/A,#N/A,FALSE,"Tabl. A2";#N/A,#N/A,FALSE,"Tabl. A2-1";#N/A,#N/A,FALSE,"Tabl. A2-2"}</definedName>
    <definedName name="tai.v4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localSheetId="0" hidden="1">{#N/A,#N/A,FALSE,"KA CH  (2)"}</definedName>
    <definedName name="tanmoy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taxol" localSheetId="0" hidden="1">{#N/A,#N/A,FALSE,"Pharm";#N/A,#N/A,FALSE,"WWCM"}</definedName>
    <definedName name="TB_1" localSheetId="0" hidden="1">{#N/A,#N/A,FALSE,"One Pager";#N/A,#N/A,FALSE,"Technical"}</definedName>
    <definedName name="TB_2" localSheetId="0" hidden="1">{#N/A,#N/A,FALSE,"One Pager";#N/A,#N/A,FALSE,"Technical"}</definedName>
    <definedName name="TB_3" localSheetId="0" hidden="1">{#N/A,#N/A,FALSE,"One Pager";#N/A,#N/A,FALSE,"Technical"}</definedName>
    <definedName name="tbbbbbbbbbbbbbbb" localSheetId="0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g" localSheetId="0" hidden="1">{#N/A,#N/A,FALSE,"Tabl. G1";#N/A,#N/A,FALSE,"Tabl. G2"}</definedName>
    <definedName name="td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dc" localSheetId="0" hidden="1">{"'April 24'!$J$11"}</definedName>
    <definedName name="tdfhfg" localSheetId="0" hidden="1">{#N/A,#N/A,TRUE,"RM-June"}</definedName>
    <definedName name="tel" localSheetId="0" hidden="1">{"DCF",#N/A,FALSE,"CF"}</definedName>
    <definedName name="tel_1" localSheetId="0" hidden="1">{"DCF",#N/A,FALSE,"CF"}</definedName>
    <definedName name="tel_2" localSheetId="0" hidden="1">{"DCF",#N/A,FALSE,"CF"}</definedName>
    <definedName name="tel_3" localSheetId="0" hidden="1">{"DCF",#N/A,FALSE,"CF"}</definedName>
    <definedName name="tel_4" localSheetId="0" hidden="1">{"DCF",#N/A,FALSE,"CF"}</definedName>
    <definedName name="tel_5" localSheetId="0" hidden="1">{"DCF",#N/A,FALSE,"CF"}</definedName>
    <definedName name="Tem" localSheetId="0" hidden="1">{#N/A,#N/A,FALSE,"Pharm";#N/A,#N/A,FALSE,"WWCM"}</definedName>
    <definedName name="teq" localSheetId="0" hidden="1">{#N/A,#N/A,FALSE,"Pharm";#N/A,#N/A,FALSE,"WWCM"}</definedName>
    <definedName name="Tequin" localSheetId="0" hidden="1">{#N/A,#N/A,FALSE,"Pharm";#N/A,#N/A,FALSE,"WWCM"}</definedName>
    <definedName name="tequinol" localSheetId="0" hidden="1">{#N/A,#N/A,FALSE,"REPORT"}</definedName>
    <definedName name="ter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terc" localSheetId="0" hidden="1">{"YD GENERALH2",#N/A,FALSE,"YTD"}</definedName>
    <definedName name="terms" localSheetId="0" hidden="1">{"mgmt forecast",#N/A,FALSE,"Mgmt Forecast";"dcf table",#N/A,FALSE,"Mgmt Forecast";"sensitivity",#N/A,FALSE,"Mgmt Forecast";"table inputs",#N/A,FALSE,"Mgmt Forecast";"calculations",#N/A,FALSE,"Mgmt Forecast"}</definedName>
    <definedName name="test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E" localSheetId="0" hidden="1">{"Print One Page",#N/A,FALSE,"SumReport"}</definedName>
    <definedName name="tete" localSheetId="0" hidden="1">{#N/A,#N/A,FALSE,"Calc";#N/A,#N/A,FALSE,"Sensitivity";#N/A,#N/A,FALSE,"LT Earn.Dil.";#N/A,#N/A,FALSE,"Dil. AVP"}</definedName>
    <definedName name="tete_1" localSheetId="0" hidden="1">{#N/A,#N/A,FALSE,"Calc";#N/A,#N/A,FALSE,"Sensitivity";#N/A,#N/A,FALSE,"LT Earn.Dil.";#N/A,#N/A,FALSE,"Dil. AVP"}</definedName>
    <definedName name="text1" localSheetId="0" hidden="1">{"'Sheet1'!$L$16"}</definedName>
    <definedName name="tf" localSheetId="0" hidden="1">{"Performance Details",#N/A,FALSE,"Current Yr";"Performance Details",#N/A,FALSE,"Budget";"Performance Details",#N/A,FALSE,"Prior Year"}</definedName>
    <definedName name="tft" localSheetId="0" hidden="1">{#N/A,#N/A,TRUE,"constb"}</definedName>
    <definedName name="TGHG" localSheetId="0" hidden="1">{#N/A,#N/A,FALSE,"SUMMARY";#N/A,#N/A,FALSE,"SUMMARY"}</definedName>
    <definedName name="TGHG_1" localSheetId="0" hidden="1">{#N/A,#N/A,FALSE,"SUMMARY";#N/A,#N/A,FALSE,"SUMMARY"}</definedName>
    <definedName name="TGHG_2" localSheetId="0" hidden="1">{#N/A,#N/A,FALSE,"SUMMARY";#N/A,#N/A,FALSE,"SUMMARY"}</definedName>
    <definedName name="TGHG_3" localSheetId="0" hidden="1">{#N/A,#N/A,FALSE,"SUMMARY";#N/A,#N/A,FALSE,"SUMMARY"}</definedName>
    <definedName name="TGHG_4" localSheetId="0" hidden="1">{#N/A,#N/A,FALSE,"SUMMARY";#N/A,#N/A,FALSE,"SUMMARY"}</definedName>
    <definedName name="TGTFGF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 localSheetId="0" hidden="1">{#N/A,#N/A,FALSE,"Produkte Erw.";#N/A,#N/A,FALSE,"Produkte Plan";#N/A,#N/A,FALSE,"Leistungen Erw.";#N/A,#N/A,FALSE,"Leistungen Plan";#N/A,#N/A,FALSE,"KA Allg.Kosten (2)";#N/A,#N/A,FALSE,"KA All.Kosten"}</definedName>
    <definedName name="tha.3" localSheetId="0" hidden="1">{#N/A,#N/A,FALSE,"KA CH  (2)"}</definedName>
    <definedName name="tha.4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localSheetId="0" hidden="1">{#N/A,#N/A,FALSE,"Umsatz 99";#N/A,#N/A,FALSE,"ER 99 "}</definedName>
    <definedName name="Thail.2" localSheetId="0" hidden="1">{#N/A,#N/A,FALSE,"Umsatz 99";#N/A,#N/A,FALSE,"ER 99 "}</definedName>
    <definedName name="the" localSheetId="0" hidden="1">{#N/A,#N/A,FALSE,"gc (2)"}</definedName>
    <definedName name="the_1" localSheetId="0" hidden="1">{#N/A,#N/A,FALSE,"gc (2)"}</definedName>
    <definedName name="the_2" localSheetId="0" hidden="1">{#N/A,#N/A,FALSE,"gc (2)"}</definedName>
    <definedName name="the_3" localSheetId="0" hidden="1">{#N/A,#N/A,FALSE,"gc (2)"}</definedName>
    <definedName name="Thiagarajan" localSheetId="0" hidden="1">{"'Sheet1'!$A$4386:$N$4591"}</definedName>
    <definedName name="thierry" localSheetId="0" hidden="1">{"Totax",#N/A,FALSE,"Sheet1";#N/A,#N/A,FALSE,"Law Output"}</definedName>
    <definedName name="thierry_1" localSheetId="0" hidden="1">{"Totax",#N/A,FALSE,"Sheet1";#N/A,#N/A,FALSE,"Law Output"}</definedName>
    <definedName name="thierry_2" localSheetId="0" hidden="1">{"Totax",#N/A,FALSE,"Sheet1";#N/A,#N/A,FALSE,"Law Output"}</definedName>
    <definedName name="thierry_3" localSheetId="0" hidden="1">{"Totax",#N/A,FALSE,"Sheet1";#N/A,#N/A,FALSE,"Law Output"}</definedName>
    <definedName name="thierry_4" localSheetId="0" hidden="1">{"Totax",#N/A,FALSE,"Sheet1";#N/A,#N/A,FALSE,"Law Output"}</definedName>
    <definedName name="thierry_5" localSheetId="0" hidden="1">{"Totax",#N/A,FALSE,"Sheet1";#N/A,#N/A,FALSE,"Law Output"}</definedName>
    <definedName name="this.is.annoying" localSheetId="0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THNEN" localSheetId="0" hidden="1">{#N/A,#N/A,FALSE,"Tabl. FB300";#N/A,#N/A,FALSE,"Tabl. FB350";#N/A,#N/A,FALSE,"Tabl. FB400";#N/A,#N/A,FALSE,"Tabl. FB500";#N/A,#N/A,FALSE,"Tabl. FS090"}</definedName>
    <definedName name="thth" localSheetId="0" hidden="1">{#N/A,#N/A,FALSE,"Calc";#N/A,#N/A,FALSE,"Sensitivity";#N/A,#N/A,FALSE,"LT Earn.Dil.";#N/A,#N/A,FALSE,"Dil. AVP"}</definedName>
    <definedName name="thth_1" localSheetId="0" hidden="1">{#N/A,#N/A,FALSE,"Calc";#N/A,#N/A,FALSE,"Sensitivity";#N/A,#N/A,FALSE,"LT Earn.Dil.";#N/A,#N/A,FALSE,"Dil. AVP"}</definedName>
    <definedName name="THTH_2" localSheetId="0" hidden="1">{#N/A,#N/A,FALSE,"TOWNSHIP"}</definedName>
    <definedName name="THTH_3" localSheetId="0" hidden="1">{#N/A,#N/A,FALSE,"TOWNSHIP"}</definedName>
    <definedName name="THTH_4" localSheetId="0" hidden="1">{#N/A,#N/A,FALSE,"TOWNSHIP"}</definedName>
    <definedName name="tl" localSheetId="0" hidden="1">{"Commentary",#N/A,FALSE,"May"}</definedName>
    <definedName name="tm" localSheetId="0" hidden="1">{"ICD Details",#N/A,FALSE,"Current Yr";"ICD Details",#N/A,FALSE,"Budget";"ICD Details",#N/A,FALSE,"Prior Year"}</definedName>
    <definedName name="tmkk_control" localSheetId="0" hidden="1">{"'August 2000'!$A$1:$J$101"}</definedName>
    <definedName name="TML_control" localSheetId="0" hidden="1">{"'August 2000'!$A$1:$J$101"}</definedName>
    <definedName name="tmp" localSheetId="0" hidden="1">{#N/A,#N/A,FALSE,"earnings"}</definedName>
    <definedName name="tmto" localSheetId="0" hidden="1">{"detail",#N/A,FALSE,"mfg";"summary",#N/A,FALSE,"mfg"}</definedName>
    <definedName name="tn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PFBTDEC0506" localSheetId="0" hidden="1">{#N/A,#N/A,FALSE,"PMTABB";#N/A,#N/A,FALSE,"PMTABB"}</definedName>
    <definedName name="TOPFBTDEC0506_1" localSheetId="0" hidden="1">{#N/A,#N/A,FALSE,"PMTABB";#N/A,#N/A,FALSE,"PMTABB"}</definedName>
    <definedName name="trb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trcde" localSheetId="0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localSheetId="0" hidden="1">{"pro_view",#N/A,FALSE,"EEFSNAP2";"rep_view",#N/A,FALSE,"EEFSNAP2"}</definedName>
    <definedName name="tre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trout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_1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t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TR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y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tryeuyit" localSheetId="0" hidden="1">{#N/A,#N/A,FALSE,"Pharm";#N/A,#N/A,FALSE,"WWCM"}</definedName>
    <definedName name="tt" localSheetId="0" hidden="1">{"Header",#N/A,TRUE,"Summary";"ProjectInfo",#N/A,TRUE,"Total Value"}</definedName>
    <definedName name="tt.8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_1" localSheetId="0" hidden="1">{#N/A,#N/A,TRUE,"Financials";#N/A,#N/A,TRUE,"Operating Statistics";#N/A,#N/A,TRUE,"Capex &amp; Depreciation";#N/A,#N/A,TRUE,"Debt"}</definedName>
    <definedName name="TT_2" localSheetId="0" hidden="1">{#N/A,#N/A,TRUE,"Financials";#N/A,#N/A,TRUE,"Operating Statistics";#N/A,#N/A,TRUE,"Capex &amp; Depreciation";#N/A,#N/A,TRUE,"Debt"}</definedName>
    <definedName name="TT_3" localSheetId="0" hidden="1">{#N/A,#N/A,TRUE,"Financials";#N/A,#N/A,TRUE,"Operating Statistics";#N/A,#N/A,TRUE,"Capex &amp; Depreciation";#N/A,#N/A,TRUE,"Debt"}</definedName>
    <definedName name="TTT" localSheetId="0" hidden="1">{#N/A,#N/A,FALSE,"Staffnos &amp; cost"}</definedName>
    <definedName name="ttthtr" localSheetId="0" hidden="1">{#N/A,#N/A,FALSE,"TOWNSHIP"}</definedName>
    <definedName name="ttthtr_1" localSheetId="0" hidden="1">{#N/A,#N/A,FALSE,"TOWNSHIP"}</definedName>
    <definedName name="ttthtr_2" localSheetId="0" hidden="1">{#N/A,#N/A,FALSE,"TOWNSHIP"}</definedName>
    <definedName name="ttthtr_3" localSheetId="0" hidden="1">{#N/A,#N/A,FALSE,"TOWNSHIP"}</definedName>
    <definedName name="ttthtr_4" localSheetId="0" hidden="1">{#N/A,#N/A,FALSE,"TOWNSHIP"}</definedName>
    <definedName name="tttt" localSheetId="0" hidden="1">{"Reader",#N/A,FALSE,"Summary";"Reader",#N/A,FALSE,"Buildup";"Reader",#N/A,FALSE,"Financials";"Reader",#N/A,FALSE,"Debt &amp; Other"}</definedName>
    <definedName name="tttttt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tttttttttt" localSheetId="0" hidden="1">{#N/A,#N/A,FALSE,"Status of Projects";#N/A,#N/A,FALSE,"CEA-TEC";#N/A,#N/A,FALSE,"U-Constr.";#N/A,#N/A,FALSE,"summary";#N/A,#N/A,FALSE,"PPP-3 yrs"}</definedName>
    <definedName name="ttzz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rd" localSheetId="0" hidden="1">{"detail",#N/A,FALSE,"mfg";"summary",#N/A,FALSE,"mfg"}</definedName>
    <definedName name="tv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SLI" localSheetId="0" hidden="1">{#N/A,#N/A,FALSE,"Status of Projects";#N/A,#N/A,FALSE,"CEA-TEC";#N/A,#N/A,FALSE,"U-Constr.";#N/A,#N/A,FALSE,"summary";#N/A,#N/A,FALSE,"PPP-3 yrs"}</definedName>
    <definedName name="tyff" localSheetId="0" hidden="1">{#N/A,#N/A,FALSE,"PGW"}</definedName>
    <definedName name="tyff_2" localSheetId="0" hidden="1">{#N/A,#N/A,FALSE,"PGW"}</definedName>
    <definedName name="tyff_3" localSheetId="0" hidden="1">{#N/A,#N/A,FALSE,"PGW"}</definedName>
    <definedName name="tyff_4" localSheetId="0" hidden="1">{#N/A,#N/A,FALSE,"PGW"}</definedName>
    <definedName name="tynm" localSheetId="0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u" localSheetId="0" hidden="1">{"oct_res_comm",#N/A,FALSE,"VarToBud"}</definedName>
    <definedName name="tyui" localSheetId="0" hidden="1">{"ICD Details",#N/A,FALSE,"Current Yr";"ICD Details",#N/A,FALSE,"Budget";"ICD Details",#N/A,FALSE,"Prior Year"}</definedName>
    <definedName name="tyutytyi" localSheetId="0" hidden="1">{#N/A,#N/A,FALSE,"Pharm";#N/A,#N/A,FALSE,"WWCM"}</definedName>
    <definedName name="tyyufkjkhjd" localSheetId="0" hidden="1">{#N/A,#N/A,FALSE,"Pharm";#N/A,#N/A,FALSE,"WWCM"}</definedName>
    <definedName name="tzt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DAY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ugf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uh" localSheetId="0" hidden="1">{"detail",#N/A,FALSE,"mfg";"summary",#N/A,FALSE,"mfg"}</definedName>
    <definedName name="uhg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UHJ" localSheetId="0" hidden="1">{#N/A,#N/A,FALSE,"Tabl. FB300";#N/A,#N/A,FALSE,"Tabl. FB350";#N/A,#N/A,FALSE,"Tabl. FB400";#N/A,#N/A,FALSE,"Tabl. FB500";#N/A,#N/A,FALSE,"Tabl. FS090"}</definedName>
    <definedName name="uiim" localSheetId="0" hidden="1">{"Pg1",#N/A,FALSE,"OpExYTDvsBud";"Pg2",#N/A,FALSE,"OpExYTDvsBud"}</definedName>
    <definedName name="uil.xlx" localSheetId="0" hidden="1">{"mgmt forecast",#N/A,FALSE,"Mgmt Forecast";"dcf table",#N/A,FALSE,"Mgmt Forecast";"sensitivity",#N/A,FALSE,"Mgmt Forecast";"table inputs",#N/A,FALSE,"Mgmt Forecast";"calculations",#N/A,FALSE,"Mgmt Forecast"}</definedName>
    <definedName name="uim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uiui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nit" localSheetId="0" hidden="1">{#N/A,#N/A,FALSE,"Pharm";#N/A,#N/A,FALSE,"WWCM"}</definedName>
    <definedName name="UOPU" localSheetId="0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0" hidden="1">{#N/A,"PURCHM",FALSE,"Business Analysis";#N/A,"SPADD",FALSE,"Business Analysis"}</definedName>
    <definedName name="utg" localSheetId="0" hidden="1">{#N/A,#N/A,FALSE,"Tabl. H1";#N/A,#N/A,FALSE,"Tabl. H2"}</definedName>
    <definedName name="uu" localSheetId="0" hidden="1">{"Header",#N/A,TRUE,"Summary";"ProjectInfo",#N/A,TRUE,"Total Value"}</definedName>
    <definedName name="uu.kk" localSheetId="0" hidden="1">{#N/A,#N/A,FALSE,"KA CH  (2)"}</definedName>
    <definedName name="üü.l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_1" localSheetId="0" hidden="1">{#N/A,#N/A,FALSE,"gc (2)"}</definedName>
    <definedName name="uu_2" localSheetId="0" hidden="1">{#N/A,#N/A,FALSE,"gc (2)"}</definedName>
    <definedName name="uu_3" localSheetId="0" hidden="1">{#N/A,#N/A,FALSE,"gc (2)"}</definedName>
    <definedName name="UU_control" localSheetId="0" hidden="1">{"'August 2000'!$A$1:$J$101"}</definedName>
    <definedName name="UUJNN?JNJ" localSheetId="0" hidden="1">{#N/A,#N/A,FALSE,"Tabl. G1";#N/A,#N/A,FALSE,"Tabl. G2"}</definedName>
    <definedName name="üüü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YYYYYYYY" localSheetId="0" hidden="1">{#N/A,#N/A,FALSE,"Tabl. A1";#N/A,#N/A,FALSE,"Tabl. A1 b";#N/A,#N/A,FALSE,"Tabl. A2";#N/A,#N/A,FALSE,"Tabl. A2-1";#N/A,#N/A,FALSE,"Tabl. A2-2"}</definedName>
    <definedName name="UYB" localSheetId="0" hidden="1">{#N/A,#N/A,FALSE,"Tabl. A1";#N/A,#N/A,FALSE,"Tabl. A1 b";#N/A,#N/A,FALSE,"Tabl. A2";#N/A,#N/A,FALSE,"Tabl. A2-1";#N/A,#N/A,FALSE,"Tabl. A2-2"}</definedName>
    <definedName name="uyt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localSheetId="0" hidden="1">{#N/A,"PURCHM",FALSE,"Business Analysis";#N/A,"SPADD",FALSE,"Business Analysis"}</definedName>
    <definedName name="uztuz" localSheetId="0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localSheetId="0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.1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localSheetId="0" hidden="1">{#N/A,#N/A,FALSE,"Produkte Erw.";#N/A,#N/A,FALSE,"Produkte Plan";#N/A,#N/A,FALSE,"Leistungen Erw.";#N/A,#N/A,FALSE,"Leistungen Plan";#N/A,#N/A,FALSE,"KA Allg.Kosten (2)";#N/A,#N/A,FALSE,"KA All.Kosten"}</definedName>
    <definedName name="V.2" localSheetId="0" hidden="1">{#N/A,#N/A,FALSE,"Produkte Erw.";#N/A,#N/A,FALSE,"Produkte Plan";#N/A,#N/A,FALSE,"Leistungen Erw.";#N/A,#N/A,FALSE,"Leistungen Plan";#N/A,#N/A,FALSE,"KA Allg.Kosten (2)";#N/A,#N/A,FALSE,"KA All.Kosten"}</definedName>
    <definedName name="V.3" localSheetId="0" hidden="1">{#N/A,#N/A,FALSE,"Produkte Erw.";#N/A,#N/A,FALSE,"Produkte Plan";#N/A,#N/A,FALSE,"Leistungen Erw.";#N/A,#N/A,FALSE,"Leistungen Plan";#N/A,#N/A,FALSE,"KA Allg.Kosten (2)";#N/A,#N/A,FALSE,"KA All.Kosten"}</definedName>
    <definedName name="v.6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localSheetId="0" hidden="1">{#N/A,#N/A,FALSE,"Produkte Erw.";#N/A,#N/A,FALSE,"Produkte Plan";#N/A,#N/A,FALSE,"Leistungen Erw.";#N/A,#N/A,FALSE,"Leistungen Plan";#N/A,#N/A,FALSE,"KA Allg.Kosten (2)";#N/A,#N/A,FALSE,"KA All.Kosten"}</definedName>
    <definedName name="V_1" localSheetId="0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acancies" localSheetId="0" hidden="1">{#N/A,#N/A,FALSE,"Index Data"}</definedName>
    <definedName name="Vail" localSheetId="0" hidden="1">{"PVGraph2",#N/A,FALSE,"PV Data"}</definedName>
    <definedName name="val" localSheetId="0" hidden="1">{#N/A,#N/A,FALSE,"Valuation Assumptions";#N/A,#N/A,FALSE,"Summary";#N/A,#N/A,FALSE,"DCF";#N/A,#N/A,FALSE,"Valuation";#N/A,#N/A,FALSE,"WACC";#N/A,#N/A,FALSE,"UBVH";#N/A,#N/A,FALSE,"Free Cash Flow"}</definedName>
    <definedName name="val_1" localSheetId="0" hidden="1">{#N/A,#N/A,FALSE,"Valuation Assumptions";#N/A,#N/A,FALSE,"Summary";#N/A,#N/A,FALSE,"DCF";#N/A,#N/A,FALSE,"Valuation";#N/A,#N/A,FALSE,"WACC";#N/A,#N/A,FALSE,"UBVH";#N/A,#N/A,FALSE,"Free Cash Flow"}</definedName>
    <definedName name="VATMAY99" localSheetId="0" hidden="1">{#N/A,#N/A,FALSE,"AR2";#N/A,#N/A,FALSE,"SUM"}</definedName>
    <definedName name="VBDE" localSheetId="0" hidden="1">{"AUDIT-MWOS WITH POS 7.11.98",#N/A,FALSE,"AUDIT-MWOS"}</definedName>
    <definedName name="vbhj" localSheetId="0" hidden="1">{#N/A,"PURCHM",FALSE,"Business Analysis";#N/A,"SPADD",FALSE,"Business Analysis"}</definedName>
    <definedName name="vbn" localSheetId="0" hidden="1">{#N/A,#N/A,FALSE,"COVER.XLS";#N/A,#N/A,FALSE,"RACT1.XLS";#N/A,#N/A,FALSE,"RACT2.XLS";#N/A,#N/A,FALSE,"ECCMP";#N/A,#N/A,FALSE,"WELDER.XLS"}</definedName>
    <definedName name="vbnm" localSheetId="0" hidden="1">{"net assets",#N/A,FALSE,"summary";"asset turnover",#N/A,FALSE,"summary";"orona",#N/A,FALSE,"summary"}</definedName>
    <definedName name="vbvbvbv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fd" localSheetId="0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localSheetId="0" hidden="1">{"Polymers Details",#N/A,FALSE,"Current Yr";"Polymer Details",#N/A,FALSE,"Budget";"Polymer Details",#N/A,FALSE,"Prior Year"}</definedName>
    <definedName name="vcvcv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localSheetId="0" hidden="1">{"YD PACKAGE",#N/A,FALSE,"YTD"}</definedName>
    <definedName name="vcxz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etnex_pl_food" localSheetId="0" hidden="1">{#N/A,#N/A,TRUE,"Staffnos &amp; cost"}</definedName>
    <definedName name="vf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cd" localSheetId="0" hidden="1">{"QTD",#N/A,FALSE,"SUM"}</definedName>
    <definedName name="vfhy" localSheetId="0" hidden="1">{"GENERALH2",#N/A,FALSE,"CM"}</definedName>
    <definedName name="vgf" localSheetId="0" hidden="1">{"GENERALH2",#N/A,FALSE,"CM"}</definedName>
    <definedName name="vijay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VIPIN" localSheetId="0" hidden="1">{#N/A,#N/A,TRUE,"Staffnos &amp; cost"}</definedName>
    <definedName name="vn.2" localSheetId="0" hidden="1">{#N/A,#N/A,FALSE,"KA CH  (2)"}</definedName>
    <definedName name="vn.9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o" localSheetId="0" hidden="1">{"consolidated",#N/A,FALSE,"Sheet1";"cms",#N/A,FALSE,"Sheet1";"fse",#N/A,FALSE,"Sheet1"}</definedName>
    <definedName name="vo_1" localSheetId="0" hidden="1">{"consolidated",#N/A,FALSE,"Sheet1";"cms",#N/A,FALSE,"Sheet1";"fse",#N/A,FALSE,"Sheet1"}</definedName>
    <definedName name="votl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S" localSheetId="0" hidden="1">{#N/A,#N/A,FALSE,"Staffnos &amp; cost"}</definedName>
    <definedName name="VSKR" localSheetId="0" hidden="1">{"REP1",#N/A,FALSE,"HSSA-LOG"}</definedName>
    <definedName name="vty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localSheetId="0" hidden="1">{"Header",#N/A,TRUE,"Summary";"ProjectInfo",#N/A,TRUE,"Total Value"}</definedName>
    <definedName name="VV_II" localSheetId="0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VVV" localSheetId="0" hidden="1">{"SCB BG EXT",#N/A,FALSE,"ADVANCEBG-EXT.D"}</definedName>
    <definedName name="vvv.dd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0" hidden="1">{#N/A,#N/A,FALSE,"TOWNSHIP"}</definedName>
    <definedName name="vvv.ss_2" localSheetId="0" hidden="1">{#N/A,#N/A,FALSE,"TOWNSHIP"}</definedName>
    <definedName name="vvv.ss_3" localSheetId="0" hidden="1">{#N/A,#N/A,FALSE,"TOWNSHIP"}</definedName>
    <definedName name="vvv.ss_4" localSheetId="0" hidden="1">{#N/A,#N/A,FALSE,"TOWNSHIP"}</definedName>
    <definedName name="vvv.xxx" localSheetId="0" hidden="1">{#N/A,#N/A,FALSE,"SUMMARY";#N/A,#N/A,FALSE,"SUMMARY"}</definedName>
    <definedName name="vvv.xxx_2" localSheetId="0" hidden="1">{#N/A,#N/A,FALSE,"SUMMARY";#N/A,#N/A,FALSE,"SUMMARY"}</definedName>
    <definedName name="vvv.xxx_3" localSheetId="0" hidden="1">{#N/A,#N/A,FALSE,"SUMMARY";#N/A,#N/A,FALSE,"SUMMARY"}</definedName>
    <definedName name="vvv.xxx_4" localSheetId="0" hidden="1">{#N/A,#N/A,FALSE,"SUMMARY";#N/A,#N/A,FALSE,"SUMMARY"}</definedName>
    <definedName name="VVVV" localSheetId="0" hidden="1">{"REP1",#N/A,FALSE,"HSSA-LOG"}</definedName>
    <definedName name="VVVVDV" localSheetId="0" hidden="1">{"SCB BG EXT",#N/A,FALSE,"ADVANCEBG-EXT.D"}</definedName>
    <definedName name="vvvvv" localSheetId="0" hidden="1">{#N/A,#N/A,FALSE,"COVER.XLS";#N/A,#N/A,FALSE,"RACT1.XLS";#N/A,#N/A,FALSE,"RACT2.XLS";#N/A,#N/A,FALSE,"ECCMP";#N/A,#N/A,FALSE,"WELDER.XLS"}</definedName>
    <definedName name="vvvvvvvvvv" localSheetId="0" hidden="1">{"net assets",#N/A,FALSE,"summary";"asset turnover",#N/A,FALSE,"summary";"orona",#N/A,FALSE,"summary"}</definedName>
    <definedName name="vwx" localSheetId="0" hidden="1">{#N/A,#N/A,FALSE,"Tabl. FB300";#N/A,#N/A,FALSE,"Tabl. FB350";#N/A,#N/A,FALSE,"Tabl. FB400";#N/A,#N/A,FALSE,"Tabl. FB500";#N/A,#N/A,FALSE,"Tabl. FS090"}</definedName>
    <definedName name="vz" localSheetId="0" hidden="1">{"detail",#N/A,FALSE,"mfg";"summary",#N/A,FALSE,"mfg"}</definedName>
    <definedName name="w.l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2" localSheetId="0" hidden="1">{#N/A,#N/A,FALSE,"Minors";#N/A,#N/A,FALSE,"96CAPREV"}</definedName>
    <definedName name="w2f" localSheetId="0" hidden="1">{"QTD_LPO2N2",#N/A,FALSE,"QTD";"QTD_HYCO",#N/A,FALSE,"QTD";"QTD_LOUISIANA",#N/A,FALSE,"QTD";"QTD_GENERALH2",#N/A,FALSE,"QTD";"QTD_PACKAGE",#N/A,FALSE,"QTD";"QTD_PRS",#N/A,FALSE,"QTD";"QTD_OTHER",#N/A,FALSE,"QTD"}</definedName>
    <definedName name="w2r5" localSheetId="0" hidden="1">{"QTD_OTHER",#N/A,FALSE,"QTD"}</definedName>
    <definedName name="w3r3" localSheetId="0" hidden="1">{#N/A,#N/A,FALSE,"Aging Summary";#N/A,#N/A,FALSE,"Ratio Analysis";#N/A,#N/A,FALSE,"Test 120 Day Accts";#N/A,#N/A,FALSE,"Tickmarks"}</definedName>
    <definedName name="wa" localSheetId="0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e.2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lkYTDBudNEW" localSheetId="0" hidden="1">{"FIXVARIANCE",#N/A,FALSE,"COSTPHSE";"SOURCING",#N/A,FALSE,"COSTPHSE"}</definedName>
    <definedName name="wan" localSheetId="0" hidden="1">{"COMBINED",#N/A,FALSE,"BALANCE SHEET 2";"KRONE",#N/A,FALSE,"BALANCE SHEET 2";"INTERSYSTEMS",#N/A,FALSE,"BALANCE SHEET 2"}</definedName>
    <definedName name="wan_2" localSheetId="0" hidden="1">{"COMBINED",#N/A,FALSE,"BALANCE SHEET 2";"KRONE",#N/A,FALSE,"BALANCE SHEET 2";"INTERSYSTEMS",#N/A,FALSE,"BALANCE SHEET 2"}</definedName>
    <definedName name="wang" localSheetId="0" hidden="1">{#N/A,#N/A,TRUE,"流动资产--预付";"宁夏正大会计师事务所 - 个人视面",#N/A,TRUE,"Sheet1"}</definedName>
    <definedName name="warn.ALL.94.2" localSheetId="0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arn.something" localSheetId="0" hidden="1">{"CY",#N/A,FALSE,"FORECAST";"PAYROLL",#N/A,FALSE,"FORECAST";"REC",#N/A,FALSE,"FORECAST";"SALES",#N/A,FALSE,"FORECAST"}</definedName>
    <definedName name="was" localSheetId="0" hidden="1">{#N/A,#N/A,FALSE,"Sales Graph";#N/A,#N/A,FALSE,"BUC Graph";#N/A,#N/A,FALSE,"P&amp;L - YTD"}</definedName>
    <definedName name="waw" localSheetId="0" hidden="1">{#N/A,#N/A,FALSE,"ASIA"}</definedName>
    <definedName name="wb" localSheetId="0" hidden="1">{#N/A,#N/A,FALSE,"Pharm";#N/A,#N/A,FALSE,"WWCM"}</definedName>
    <definedName name="wcy" localSheetId="0" hidden="1">{"YD PRS",#N/A,FALSE,"YTD"}</definedName>
    <definedName name="WDESAX" localSheetId="0" hidden="1">{#N/A,#N/A,FALSE,"SUMMARY";#N/A,#N/A,FALSE,"SUMMARY"}</definedName>
    <definedName name="WDESAX_1" localSheetId="0" hidden="1">{#N/A,#N/A,FALSE,"SUMMARY";#N/A,#N/A,FALSE,"SUMMARY"}</definedName>
    <definedName name="WDESAX_2" localSheetId="0" hidden="1">{#N/A,#N/A,FALSE,"SUMMARY";#N/A,#N/A,FALSE,"SUMMARY"}</definedName>
    <definedName name="WDESAX_3" localSheetId="0" hidden="1">{#N/A,#N/A,FALSE,"SUMMARY";#N/A,#N/A,FALSE,"SUMMARY"}</definedName>
    <definedName name="WDESAX_4" localSheetId="0" hidden="1">{#N/A,#N/A,FALSE,"SUMMARY";#N/A,#N/A,FALSE,"SUMMARY"}</definedName>
    <definedName name="wdmdlw" localSheetId="0" hidden="1">{#N/A,#N/A,FALSE,"Aging Summary";#N/A,#N/A,FALSE,"Ratio Analysis";#N/A,#N/A,FALSE,"Test 120 Day Accts";#N/A,#N/A,FALSE,"Tickmarks"}</definedName>
    <definedName name="wdmdlw_1" localSheetId="0" hidden="1">{#N/A,#N/A,FALSE,"Aging Summary";#N/A,#N/A,FALSE,"Ratio Analysis";#N/A,#N/A,FALSE,"Test 120 Day Accts";#N/A,#N/A,FALSE,"Tickmarks"}</definedName>
    <definedName name="WDSX" localSheetId="0" hidden="1">{#N/A,#N/A,FALSE,"PGW"}</definedName>
    <definedName name="WDSX_1" localSheetId="0" hidden="1">{#N/A,#N/A,FALSE,"PGW"}</definedName>
    <definedName name="WDSX_2" localSheetId="0" hidden="1">{#N/A,#N/A,FALSE,"PGW"}</definedName>
    <definedName name="WDSX_3" localSheetId="0" hidden="1">{#N/A,#N/A,FALSE,"PGW"}</definedName>
    <definedName name="WDSX_4" localSheetId="0" hidden="1">{#N/A,#N/A,FALSE,"PGW"}</definedName>
    <definedName name="WDWD" localSheetId="0" hidden="1">{#N/A,#N/A,FALSE,"PGW"}</definedName>
    <definedName name="we" localSheetId="0" hidden="1">{#N/A,#N/A,FALSE,"Pharm";#N/A,#N/A,FALSE,"WWCM"}</definedName>
    <definedName name="we.3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 localSheetId="0" hidden="1">{"QTD_LPO2N2",#N/A,FALSE,"QTD"}</definedName>
    <definedName name="weaw" localSheetId="0" hidden="1">{"YTD",#N/A,FALSE,"SUM"}</definedName>
    <definedName name="weawe" localSheetId="0" hidden="1">{"QTD_HYCO",#N/A,FALSE,"QTD"}</definedName>
    <definedName name="Web" localSheetId="0" hidden="1">{#N/A,#N/A,FALSE,"Inputs - Prices &amp; Forecasts"}</definedName>
    <definedName name="wec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localSheetId="0" hidden="1">{"QTD_PRS",#N/A,FALSE,"QTD"}</definedName>
    <definedName name="wecsd" localSheetId="0" hidden="1">{"sales growth",#N/A,FALSE,"summary";"oper income",#N/A,FALSE,"summary";"oros rank",#N/A,FALSE,"summary";"net assets",#N/A,FALSE,"summary";"asset turnover",#N/A,FALSE,"summary";"orona",#N/A,FALSE,"summary"}</definedName>
    <definedName name="wed.2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localSheetId="0" hidden="1">{"overview",#N/A,FALSE,"summary";"net assets",#N/A,FALSE,"summary";"asset turnover",#N/A,FALSE,"summary";"orona",#N/A,FALSE,"summary"}</definedName>
    <definedName name="WEDWQDX" localSheetId="0" hidden="1">{#N/A,#N/A,FALSE,"OSBL"}</definedName>
    <definedName name="WEDWQDX_1" localSheetId="0" hidden="1">{#N/A,#N/A,FALSE,"OSBL"}</definedName>
    <definedName name="WEDWQDX_2" localSheetId="0" hidden="1">{#N/A,#N/A,FALSE,"OSBL"}</definedName>
    <definedName name="WEDWQDX_3" localSheetId="0" hidden="1">{#N/A,#N/A,FALSE,"OSBL"}</definedName>
    <definedName name="WEDWQDX_4" localSheetId="0" hidden="1">{#N/A,#N/A,FALSE,"OSBL"}</definedName>
    <definedName name="wee" localSheetId="0" hidden="1">{#N/A,#N/A,FALSE,"KA CH  (2)"}</definedName>
    <definedName name="weg" localSheetId="0" hidden="1">{#N/A,#N/A,TRUE,"P&amp;L";#N/A,#N/A,TRUE,"note 1";#N/A,#N/A,TRUE,"note 2";#N/A,#N/A,TRUE,"note 3";#N/A,#N/A,TRUE,"note 4"}</definedName>
    <definedName name="weix" localSheetId="0" hidden="1">{"Comp_of_Price_Effect",#N/A,FALSE,"QTRDPVAR"}</definedName>
    <definedName name="wen.gb._hm.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localSheetId="0" hidden="1">{"oct_res_comm",#N/A,FALSE,"VarToBud"}</definedName>
    <definedName name="weq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wer" localSheetId="0" hidden="1">{#N/A,#N/A,FALSE,"Staffnos &amp; cost"}</definedName>
    <definedName name="wer.g" localSheetId="0" hidden="1">{#N/A,#N/A,FALSE,"KA CH  (2)"}</definedName>
    <definedName name="wer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werrr" localSheetId="0" hidden="1">{#N/A,#N/A,FALSE,"Pharm";#N/A,#N/A,FALSE,"WWCM"}</definedName>
    <definedName name="wert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we" localSheetId="0" hidden="1">{"LOUISIANA",#N/A,FALSE,"CM"}</definedName>
    <definedName name="wews" localSheetId="0" hidden="1">{"pro_view",#N/A,FALSE,"EEFSNAP2";"rep_view",#N/A,FALSE,"EEFSNAP2"}</definedName>
    <definedName name="weza" localSheetId="0" hidden="1">{"QTD_PACKAGE",#N/A,FALSE,"QTD"}</definedName>
    <definedName name="weze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localSheetId="0" hidden="1">{"YD PACKAGE",#N/A,FALSE,"YTD"}</definedName>
    <definedName name="wfew" localSheetId="0" hidden="1">{"'Jan-02'!$F$46:$F$47","'Jan-02'!$F$46:$F$47"}</definedName>
    <definedName name="wgbwt" localSheetId="0" hidden="1">{#N/A,#N/A,FALSE,"ISBL"}</definedName>
    <definedName name="wgbwt_1" localSheetId="0" hidden="1">{#N/A,#N/A,FALSE,"ISBL"}</definedName>
    <definedName name="wgbwt_2" localSheetId="0" hidden="1">{#N/A,#N/A,FALSE,"ISBL"}</definedName>
    <definedName name="wgbwt_3" localSheetId="0" hidden="1">{#N/A,#N/A,FALSE,"ISBL"}</definedName>
    <definedName name="wgbwt_4" localSheetId="0" hidden="1">{#N/A,#N/A,FALSE,"ISBL"}</definedName>
    <definedName name="wgn.bsall." localSheetId="0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WIP" localSheetId="0" hidden="1">{#N/A,#N/A,TRUE,"Sheet1";#N/A,#N/A,TRUE,"Nov-1995"}</definedName>
    <definedName name="WIPCY" localSheetId="0" hidden="1">{#N/A,#N/A,TRUE,"Sheet1";#N/A,#N/A,TRUE,"Nov-1995"}</definedName>
    <definedName name="wnn" localSheetId="0" hidden="1">{#N/A,#N/A,TRUE,"流动资产--预付";"宁夏正大会计师事务所 - 个人视面",#N/A,TRUE,"Sheet1"}</definedName>
    <definedName name="woi" localSheetId="0" hidden="1">{"detail",#N/A,FALSE,"mfg";"summary",#N/A,FALSE,"mfg"}</definedName>
    <definedName name="womxien" localSheetId="0" hidden="1">{"detail",#N/A,FALSE,"mfg";"summary",#N/A,FALSE,"mfg"}</definedName>
    <definedName name="wq" localSheetId="0" hidden="1">{"PRS",#N/A,FALSE,"CM"}</definedName>
    <definedName name="wqa" localSheetId="0" hidden="1">{#N/A,"PURCHM",FALSE,"Business Analysis";#N/A,"SPADD",FALSE,"Business Analysis"}</definedName>
    <definedName name="wqa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wqc" localSheetId="0" hidden="1">{"ACT",#N/A,FALSE,"Q3Elec P&amp;L fy 99  ";"BUD",#N/A,FALSE,"Q3Elec P&amp;L fy 99  ";"PRIOR",#N/A,FALSE,"Q3Elec P&amp;L fy 99  "}</definedName>
    <definedName name="wqd" localSheetId="0" hidden="1">{"OTHER",#N/A,FALSE,"CM"}</definedName>
    <definedName name="WQDAW" localSheetId="0" hidden="1">{#N/A,#N/A,FALSE,"ISBL"}</definedName>
    <definedName name="WQDAW_1" localSheetId="0" hidden="1">{#N/A,#N/A,FALSE,"ISBL"}</definedName>
    <definedName name="WQDAW_2" localSheetId="0" hidden="1">{#N/A,#N/A,FALSE,"ISBL"}</definedName>
    <definedName name="WQDAW_3" localSheetId="0" hidden="1">{#N/A,#N/A,FALSE,"ISBL"}</definedName>
    <definedName name="WQDAW_4" localSheetId="0" hidden="1">{#N/A,#N/A,FALSE,"ISBL"}</definedName>
    <definedName name="WQDSA" localSheetId="0" hidden="1">{#N/A,#N/A,FALSE,"PGW"}</definedName>
    <definedName name="WQDSA_1" localSheetId="0" hidden="1">{#N/A,#N/A,FALSE,"PGW"}</definedName>
    <definedName name="WQDSA_2" localSheetId="0" hidden="1">{#N/A,#N/A,FALSE,"PGW"}</definedName>
    <definedName name="WQDSA_3" localSheetId="0" hidden="1">{#N/A,#N/A,FALSE,"PGW"}</definedName>
    <definedName name="WQDSA_4" localSheetId="0" hidden="1">{#N/A,#N/A,FALSE,"PGW"}</definedName>
    <definedName name="WQDWAX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0" hidden="1">{#N/A,#N/A,FALSE,"FREE"}</definedName>
    <definedName name="WQEFAS_1" localSheetId="0" hidden="1">{#N/A,#N/A,FALSE,"FREE"}</definedName>
    <definedName name="WQEFAS_2" localSheetId="0" hidden="1">{#N/A,#N/A,FALSE,"FREE"}</definedName>
    <definedName name="WQEFAS_3" localSheetId="0" hidden="1">{#N/A,#N/A,FALSE,"FREE"}</definedName>
    <definedName name="WQEFAS_4" localSheetId="0" hidden="1">{#N/A,#N/A,FALSE,"FREE"}</definedName>
    <definedName name="wqeq" localSheetId="0" hidden="1">{"Commentary",#N/A,FALSE,"May"}</definedName>
    <definedName name="wqer" localSheetId="0" hidden="1">{"TXO2N2_SLS",#N/A,FALSE,"MTHLYSLES";"TXH2_SLS",#N/A,FALSE,"MTHLYSLES";"LOUIS_SLS",#N/A,FALSE,"MTHLYSLES";"H2_SLS",#N/A,FALSE,"MTHLYSLES";"O2N2_SLS",#N/A,FALSE,"MTHLYSLES";"PACKAGE_SLS",#N/A,FALSE,"MTHLYSLES"}</definedName>
    <definedName name="wqwq" localSheetId="0" hidden="1">{"BA detail",#N/A,FALSE,"Q3YTD "}</definedName>
    <definedName name="wqx" localSheetId="0" hidden="1">{"Comp_of_Price_Effect",#N/A,FALSE,"QTRDPVAR"}</definedName>
    <definedName name="wr" localSheetId="0" hidden="1">{#N/A,#N/A,FALSE,"COMP"}</definedName>
    <definedName name="wr34ar" localSheetId="0" hidden="1">{"QTD_LOUISIANA",#N/A,FALSE,"QTD"}</definedName>
    <definedName name="wradw" localSheetId="0" hidden="1">{"YD LAPO2",#N/A,FALSE,"YTD";"YD LPH2",#N/A,FALSE,"YTD";"YD LOUISIANA",#N/A,FALSE,"YTD";"YD GENERALH2",#N/A,FALSE,"YTD";"YD PRS",#N/A,FALSE,"YTD";"YD PACKAGE",#N/A,FALSE,"YTD";"YD OTHER",#N/A,FALSE,"YTD"}</definedName>
    <definedName name="wrc" localSheetId="0" hidden="1">{#N/A,#N/A,FALSE,"TECH CENTRE RXDU66";#N/A,#N/A,FALSE,"ASU VAAX66";#N/A,#N/A,FALSE,"TCM VAKX66"}</definedName>
    <definedName name="wrd" localSheetId="0" hidden="1">{#N/A,#N/A,FALSE,"INPUTS";#N/A,#N/A,FALSE,"PROFORMA BSHEET";#N/A,#N/A,FALSE,"COMBINED";#N/A,#N/A,FALSE,"HIGH YIELD";#N/A,#N/A,FALSE,"COMB_GRAPHS"}</definedName>
    <definedName name="wrd.2._.pagers.3" localSheetId="0" hidden="1">{"Cover",#N/A,FALSE,"Cover";"Summary",#N/A,FALSE,"Summarpage"}</definedName>
    <definedName name="wrd_1" localSheetId="0" hidden="1">{#N/A,#N/A,FALSE,"INPUTS";#N/A,#N/A,FALSE,"PROFORMA BSHEET";#N/A,#N/A,FALSE,"COMBINED";#N/A,#N/A,FALSE,"HIGH YIELD";#N/A,#N/A,FALSE,"COMB_GRAPHS"}</definedName>
    <definedName name="wrewrw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localSheetId="0" hidden="1">{#N/A,"PURCHM",FALSE,"Business Analysis";#N/A,"SPADD",FALSE,"Business Analysis"}</definedName>
    <definedName name="WRI" localSheetId="0" hidden="1">{#N/A,#N/A,FALSE,"COMP"}</definedName>
    <definedName name="Wrlk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m.pucspaddq2" localSheetId="0" hidden="1">{#N/A,"PURCHM",FALSE,"Business Analysis";#N/A,"SPADD",FALSE,"Business Analysis"}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???????." localSheetId="0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localSheetId="0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localSheetId="0" hidden="1">{#N/A,#N/A,TRUE,"?????";#N/A,#N/A,TRUE,"??????"}</definedName>
    <definedName name="wrn.????94." localSheetId="0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wrn.??94??." localSheetId="0" hidden="1">{#N/A,#N/A,TRUE,"?????";#N/A,#N/A,TRUE,"??????";#N/A,#N/A,TRUE,"??";#N/A,#N/A,TRUE,"???";#N/A,#N/A,TRUE,"1? ????";#N/A,#N/A,TRUE,"2? ??";#N/A,#N/A,TRUE,"2??? ????";#N/A,#N/A,TRUE,"3(1)? ????";#N/A,#N/A,TRUE,"3(1) ?1 ????";#N/A,#N/A,TRUE,"3(1) ?2 ????";#N/A,#N/A,TRUE,"3(1) ?3 ????";#N/A,#N/A,TRUE,"3(1)?7 ????";#N/A,#N/A,TRUE,"3(3)?(?) ????";#N/A,#N/A,TRUE,"4? ????";#N/A,#N/A,TRUE,"5? ???";#N/A,#N/A,TRUE,"5?2 ???(?)";#N/A,#N/A,TRUE,"5?2 ???(?)";#N/A,#N/A,TRUE,"6? ????";#N/A,#N/A,TRUE,"6? ??(?)";#N/A,#N/A,TRUE,"6? ??(?)";#N/A,#N/A,TRUE,"6-1? ????";#N/A,#N/A,TRUE,"6-2(7)? ????";#N/A,#N/A,TRUE,"6-3? ??";#N/A,#N/A,TRUE,"6-3(3)? ??";#N/A,#N/A,TRUE,"6-3(4)? ??";#N/A,#N/A,TRUE,"6-4? ??(?)";#N/A,#N/A,TRUE,"6-4? ??(?)";#N/A,#N/A,TRUE,"?????";#N/A,#N/A,TRUE,"6-6(3)? ??(??)";#N/A,#N/A,TRUE,"6-6?(??) ?????";#N/A,#N/A,TRUE,"6-10? ????";#N/A,#N/A,TRUE,"6-11? ?????";#N/A,#N/A,TRUE,"6-12? ????";#N/A,#N/A,TRUE,"6-13? ???";#N/A,#N/A,TRUE,"??1";#N/A,#N/A,TRUE,"??2";#N/A,#N/A,TRUE,"8? ?????";#N/A,#N/A,TRUE,"9? ???(?)";#N/A,#N/A,TRUE,"9? ???(?)";#N/A,#N/A,TRUE,"10(3)? ????";#N/A,#N/A,TRUE,"10(3)? ??";#N/A,#N/A,TRUE,"10(4)? ????";#N/A,#N/A,TRUE,"14(1)? ? ??";#N/A,#N/A,TRUE,"59? ????";#N/A,#N/A,TRUE,"?? BS";#N/A,#N/A,TRUE,"?? PL";#N/A,#N/A,TRUE,"??RE";#N/A,#N/A,TRUE,"?8? ????";#N/A,#N/A,TRUE,"?????";#N/A,#N/A,TRUE,"????";#N/A,#N/A,TRUE,"????";#N/A,#N/A,TRUE,"???????";#N/A,#N/A,TRUE,"??????";#N/A,#N/A,TRUE,"????";#N/A,#N/A,TRUE,"offshore";#N/A,#N/A,TRUE,"???????"}</definedName>
    <definedName name="wrn.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localSheetId="0" hidden="1">{#N/A,#N/A,FALSE,"Calc";#N/A,#N/A,FALSE,"Sensitivity";#N/A,#N/A,FALSE,"LT Earn.Dil.";#N/A,#N/A,FALSE,"Dil. AVP"}</definedName>
    <definedName name="wrn.1._1" localSheetId="0" hidden="1">{#N/A,#N/A,FALSE,"Calc";#N/A,#N/A,FALSE,"Sensitivity";#N/A,#N/A,FALSE,"LT Earn.Dil.";#N/A,#N/A,FALSE,"Dil. AVP"}</definedName>
    <definedName name="wrn.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0.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localSheetId="0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1.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localSheetId="0" hidden="1">{#N/A,#N/A,FALSE,"Pharm";#N/A,#N/A,FALSE,"WWCM"}</definedName>
    <definedName name="wrn.12.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0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77" localSheetId="0" hidden="1">{"NHS97",#N/A,FALSE,"NHS96 "}</definedName>
    <definedName name="wrn.1996._.BUDGET." localSheetId="0" hidden="1">{"SUMMARY",#N/A,TRUE,"SUMMARY";"compare",#N/A,TRUE,"Vs. Bus Plan";"ratios",#N/A,TRUE,"Ratios";"REVENUE",#N/A,TRUE,"Revenue";"expenses",#N/A,TRUE,"1996 budget";"payroll",#N/A,TRUE,"Payroll"}</definedName>
    <definedName name="wrn.1996._.BUDGET._1" localSheetId="0" hidden="1">{"SUMMARY",#N/A,TRUE,"SUMMARY";"compare",#N/A,TRUE,"Vs. Bus Plan";"ratios",#N/A,TRUE,"Ratios";"REVENUE",#N/A,TRUE,"Revenue";"expenses",#N/A,TRUE,"1996 budget";"payroll",#N/A,TRUE,"Payroll"}</definedName>
    <definedName name="wrn.1996._.TO._.2004." localSheetId="0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localSheetId="0" hidden="1">{"ten year ratios",#N/A,TRUE,"PROFIT_LOSS";"ten year ratios",#N/A,TRUE,"Ratios";"ten yr opex and capex",#N/A,TRUE,"1996 budget";"ten year revenues",#N/A,TRUE,"Revenue_1996-2004";"ten year payroll",#N/A,TRUE,"Payroll"}</definedName>
    <definedName name="wrn.1997." localSheetId="0" hidden="1">{"NHS97",#N/A,FALSE,"NHS96 "}</definedName>
    <definedName name="wrn.1abc." localSheetId="0" hidden="1">{#N/A,#N/A,FALSE,"Sheet7"}</definedName>
    <definedName name="wrn.2." localSheetId="0" hidden="1">{"cover",#N/A,TRUE,"Cover";"toc1",#N/A,TRUE,"TOC";"ts1",#N/A,TRUE,"Transaction Summary";"ei1",#N/A,TRUE,"Earnings Impact";"ad1",#N/A,TRUE,"accretion dilution"}</definedName>
    <definedName name="wrn.2._.pagers." localSheetId="0" hidden="1">{"Cover",#N/A,FALSE,"Cover";"Summary",#N/A,FALSE,"Summarpage"}</definedName>
    <definedName name="wrn.2._.pagers.2" localSheetId="0" hidden="1">{"Cover",#N/A,FALSE,"Cover";"Summary",#N/A,FALSE,"Summarpage"}</definedName>
    <definedName name="wrn.2.2" localSheetId="0" hidden="1">{#N/A,#N/A,FALSE,"17MAY";#N/A,#N/A,FALSE,"24MAY"}</definedName>
    <definedName name="wrn.20." localSheetId="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" localSheetId="0" hidden="1">{"NHS97",#N/A,FALSE,"NHS96 "}</definedName>
    <definedName name="wrn.21." localSheetId="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abc." localSheetId="0" hidden="1">{#N/A,#N/A,FALSE,"Sheet7"}</definedName>
    <definedName name="wrn.3." localSheetId="0" hidden="1">{"cover",#N/A,TRUE,"Cover";"toc1",#N/A,TRUE,"TOC";"ts1",#N/A,TRUE,"Transaction Summary";"ei2",#N/A,TRUE,"Earnings Impact";"ad2",#N/A,TRUE,"accretion dilution"}</definedName>
    <definedName name="wrn.30." localSheetId="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0" hidden="1">{"toc1",#N/A,FALSE,"TOC";"cover",#N/A,FALSE,"Cover";"ts1",#N/A,FALSE,"Transaction Summary";"ei3",#N/A,FALSE,"Earnings Impact";"ad3",#N/A,FALSE,"accretion dilution"}</definedName>
    <definedName name="wrn.40." localSheetId="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0" hidden="1">{"cover",#N/A,TRUE,"Cover";"toc2",#N/A,TRUE,"TOC";"ts1",#N/A,TRUE,"Transaction Summary";"ei",#N/A,TRUE,"Earnings Impact";"ad",#N/A,TRUE,"accretion dilution";"hg",#N/A,TRUE,"Has-Gets"}</definedName>
    <definedName name="wrn.50." localSheetId="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0" hidden="1">{"cover",#N/A,TRUE,"Cover";"toc2",#N/A,TRUE,"TOC";"ts1",#N/A,TRUE,"Transaction Summary";"ei1",#N/A,TRUE,"Earnings Impact";"ad1",#N/A,TRUE,"accretion dilution";"hg1",#N/A,TRUE,"Has-Gets"}</definedName>
    <definedName name="wrn.60." localSheetId="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0" hidden="1">{"cover",#N/A,TRUE,"Cover";"toc2",#N/A,TRUE,"TOC";"ts1",#N/A,TRUE,"Transaction Summary";"ei2c",#N/A,TRUE,"Earnings Impact";"ad2",#N/A,TRUE,"accretion dilution";"hg2",#N/A,TRUE,"Has-Gets"}</definedName>
    <definedName name="wrn.70." localSheetId="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localSheetId="0" hidden="1">{#N/A,#N/A,FALSE,"REPORT"}</definedName>
    <definedName name="wrn.731" localSheetId="0" hidden="1">{#N/A,#N/A,FALSE,"REPORT"}</definedName>
    <definedName name="wrn.750." localSheetId="0" hidden="1">{#N/A,#N/A,FALSE,"REPORT"}</definedName>
    <definedName name="wrn.7501" localSheetId="0" hidden="1">{#N/A,#N/A,FALSE,"REPORT"}</definedName>
    <definedName name="wrn.760.16." localSheetId="0" hidden="1">{#N/A,#N/A,FALSE,"REPORT"}</definedName>
    <definedName name="wrn.7900" localSheetId="0" hidden="1">{#N/A,#N/A,FALSE,"REPORT"}</definedName>
    <definedName name="wrn.8." localSheetId="0" hidden="1">{"cover",#N/A,TRUE,"Cover";"toc2",#N/A,TRUE,"TOC";"ts1",#N/A,TRUE,"Transaction Summary";"ei3",#N/A,TRUE,"Earnings Impact";"ad3",#N/A,TRUE,"accretion dilution";"hg3",#N/A,TRUE,"Has-Gets"}</definedName>
    <definedName name="wrn.9." localSheetId="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localSheetId="0" hidden="1">{#N/A,#N/A,FALSE,"REPORT"}</definedName>
    <definedName name="wrn.99999" localSheetId="0" hidden="1">{#N/A,#N/A,FALSE,"REPORT"}</definedName>
    <definedName name="wrn.A4BSSCH." localSheetId="0" hidden="1">{"BSSCHA4",#N/A,FALSE,"sch bs"}</definedName>
    <definedName name="wrn.A4PL." localSheetId="0" hidden="1">{"a4p&amp;L",#N/A,FALSE,"tr &amp; pl"}</definedName>
    <definedName name="wrn.AA." localSheetId="0" hidden="1">{#N/A,#N/A,FALSE,"PMTABB";#N/A,#N/A,FALSE,"PMTABB"}</definedName>
    <definedName name="wrn.AA._1" localSheetId="0" hidden="1">{#N/A,#N/A,FALSE,"PMTABB";#N/A,#N/A,FALSE,"PMTABB"}</definedName>
    <definedName name="wrn.AA._2" localSheetId="0" hidden="1">{#N/A,#N/A,FALSE,"PMTABB";#N/A,#N/A,FALSE,"PMTABB"}</definedName>
    <definedName name="wrn.AA._3" localSheetId="0" hidden="1">{#N/A,#N/A,FALSE,"PMTABB";#N/A,#N/A,FALSE,"PMTABB"}</definedName>
    <definedName name="wrn.AA._4" localSheetId="0" hidden="1">{#N/A,#N/A,FALSE,"PMTABB";#N/A,#N/A,FALSE,"PMTABB"}</definedName>
    <definedName name="wrn.aaa" localSheetId="0" hidden="1">{#N/A,#N/A,FALSE,"Pharm";#N/A,#N/A,FALSE,"WWCM"}</definedName>
    <definedName name="wrn.aaaaaaa" localSheetId="0" hidden="1">{#N/A,#N/A,FALSE,"Pharm";#N/A,#N/A,FALSE,"WWCM"}</definedName>
    <definedName name="wrn.abc." localSheetId="0" hidden="1">{#N/A,#N/A,FALSE,"Sheet7"}</definedName>
    <definedName name="wrn.abcd." localSheetId="0" hidden="1">{#N/A,#N/A,TRUE,"Sheet1";#N/A,#N/A,TRUE,"Nov-1995"}</definedName>
    <definedName name="wrn.Accounting._.Schedules." localSheetId="0" hidden="1">{#N/A,#N/A,TRUE,"Additions to Fixed Assets";#N/A,#N/A,TRUE,"Fixed Assets Sale"}</definedName>
    <definedName name="wrn.Accounts." localSheetId="0" hidden="1">{"turnover",#N/A,FALSE;"profits",#N/A,FALSE;"cash",#N/A,FALSE}</definedName>
    <definedName name="wrn.Accounts._1" localSheetId="0" hidden="1">{"turnover",#N/A,FALSE;"profits",#N/A,FALSE;"cash",#N/A,FALSE}</definedName>
    <definedName name="wrn.ACHESON94TAXRETURN." localSheetId="0" hidden="1">{#N/A,#N/A,FALSE,"?????";#N/A,#N/A,FALSE,"??????";#N/A,#N/A,FALSE,"??";#N/A,#N/A,FALSE,"???";#N/A,#N/A,FALSE,"1? ????";#N/A,#N/A,FALSE,"1-2? ?????";#N/A,#N/A,FALSE,"2? ??";#N/A,#N/A,FALSE,"3(1)? ????";#N/A,#N/A,FALSE,"??????";#N/A,#N/A,FALSE,"3(1)?7 ????";#N/A,#N/A,FALSE,"3(3)?(?) ????";#N/A,#N/A,FALSE,"5? ???";#N/A,#N/A,FALSE,"6? ????";#N/A,#N/A,FALSE,"6? ??(?)";#N/A,#N/A,FALSE,"6? ??(?)";#N/A,#N/A,FALSE,"6-1? ????";#N/A,#N/A,FALSE,"6-3? ??";#N/A,#N/A,FALSE,"6-3(4)? ??";#N/A,#N/A,FALSE,"6-4? ??(?)";#N/A,#N/A,FALSE,"6-4? ??(?)";#N/A,#N/A,FALSE,"6-6?(??) ?????";#N/A,#N/A,FALSE,"6-10? ????";#N/A,#N/A,FALSE,"6-11? ?????";#N/A,#N/A,FALSE,"6-12? ????";#N/A,#N/A,FALSE,"6-14? ?????";#N/A,#N/A,FALSE,"9? ???(?)";#N/A,#N/A,FALSE,"9? ???(?)";#N/A,#N/A,FALSE,"10(3)? ????";#N/A,#N/A,FALSE,"10(3)? ??";#N/A,#N/A,FALSE,"10(4)? ????";#N/A,#N/A,FALSE,"10(4)? ????";#N/A,#N/A,FALSE,"12? ????";#N/A,#N/A,FALSE,"14(1)? ? ??";#N/A,#N/A,FALSE,"59? ????";#N/A,#N/A,FALSE,"?? BS";#N/A,#N/A,FALSE,"?? PL";#N/A,#N/A,FALSE,"????";#N/A,#N/A,FALSE,"??RE"}</definedName>
    <definedName name="wrn.Actuals." localSheetId="0" hidden="1">{#N/A,#N/A,FALSE,"TUN";#N/A,#N/A,FALSE,"TOK";#N/A,#N/A,FALSE,"SIN";#N/A,#N/A,FALSE,"SYD";#N/A,#N/A,FALSE,"SEO";#N/A,#N/A,FALSE,"ROM";#N/A,#N/A,FALSE,"PAR";#N/A,#N/A,FALSE,"MUN";#N/A,#N/A,FALSE,"MAD";#N/A,#N/A,FALSE,"LON";#N/A,#N/A,FALSE,"JOH";#N/A,#N/A,FALSE,"HON";#N/A,#N/A,FALSE,"HAM";#N/A,#N/A,FALSE,"DUB";#N/A,#N/A,FALSE,"BRU";#N/A,#N/A,FALSE,"AMS"}</definedName>
    <definedName name="wrn.adj95." localSheetId="0" hidden="1">{"adj95mult",#N/A,FALSE,"COMPCO";"adj95est",#N/A,FALSE,"COMPCO"}</definedName>
    <definedName name="wrn.adj95._1" localSheetId="0" hidden="1">{"adj95mult",#N/A,FALSE,"COMPCO";"adj95est",#N/A,FALSE,"COMPCO"}</definedName>
    <definedName name="wrn.Administrators._.Data." localSheetId="0" hidden="1">{"Data Input Sheet 1",#N/A,FALSE,"Data Input - Sheet 1";"Plot Data Sheet 1",#N/A,FALSE,"Plot Data - Sheet 1";"Data Input Sheet 2",#N/A,FALSE,"Data Input - Sheet 2";"Plot Data Sheet 2",#N/A,FALSE,"Plot Data - Sheet 2"}</definedName>
    <definedName name="wrn.Administrators._.Data._1" localSheetId="0" hidden="1">{"Data Input Sheet 1",#N/A,FALSE,"Data Input - Sheet 1";"Plot Data Sheet 1",#N/A,FALSE,"Plot Data - Sheet 1";"Data Input Sheet 2",#N/A,FALSE,"Data Input - Sheet 2";"Plot Data Sheet 2",#N/A,FALSE,"Plot Data - Sheet 2"}</definedName>
    <definedName name="wrn.Administrators._.Data._2" localSheetId="0" hidden="1">{"Data Input Sheet 1",#N/A,FALSE,"Data Input - Sheet 1";"Plot Data Sheet 1",#N/A,FALSE,"Plot Data - Sheet 1";"Data Input Sheet 2",#N/A,FALSE,"Data Input - Sheet 2";"Plot Data Sheet 2",#N/A,FALSE,"Plot Data - Sheet 2"}</definedName>
    <definedName name="wrn.Administrators._.Data._3" localSheetId="0" hidden="1">{"Data Input Sheet 1",#N/A,FALSE,"Data Input - Sheet 1";"Plot Data Sheet 1",#N/A,FALSE,"Plot Data - Sheet 1";"Data Input Sheet 2",#N/A,FALSE,"Data Input - Sheet 2";"Plot Data Sheet 2",#N/A,FALSE,"Plot Data - Sheet 2"}</definedName>
    <definedName name="wrn.ADVANCE._.BG._.SOC." localSheetId="0" hidden="1">{"SOC ADV BG EXT",#N/A,FALSE,"ADVANCEBG-EXT.D"}</definedName>
    <definedName name="wrn.ADVANCE._.BG.HSBC." localSheetId="0" hidden="1">{"HSBC ADV BG EXT",#N/A,FALSE,"ADVANCEBG-EXT.D"}</definedName>
    <definedName name="wrn.ADVANCE._.BG.SCB." localSheetId="0" hidden="1">{"SCB BG EXT",#N/A,FALSE,"ADVANCEBG-EXT.D"}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5" localSheetId="0" hidden="1">{#N/A,#N/A,FALSE,"Aging Summary";#N/A,#N/A,FALSE,"Ratio Analysis";#N/A,#N/A,FALSE,"Test 120 Day Accts";#N/A,#N/A,FALSE,"Tickmarks"}</definedName>
    <definedName name="wrn.al.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3._.years." localSheetId="0" hidden="1">{#N/A,#N/A,FALSE,"Worldwide FY00";#N/A,#N/A,FALSE,"Worldwide FY01";#N/A,#N/A,FALSE,"Worldwide FY02"}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nLs." localSheetId="0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localSheetId="0" hidden="1">{"p&amp;l",#N/A,TRUE,"BPLN5YR3";"cashflow",#N/A,TRUE,"BPLN5YR3";"Balance Sheet",#N/A,TRUE,"BPLN5YR3"}</definedName>
    <definedName name="wrn.All._.sheets." localSheetId="0" hidden="1">{#N/A,"TCHEM",FALSE,"BSHIST.XLS";#N/A,"NONDV",FALSE,"BSHIST.XLS";#N/A,"POLY",FALSE,"BSHIST.XLS";#N/A,"PVOH",FALSE,"BSHIST.XLS";#N/A,"ACET",FALSE,"BSHIST.XLS";#N/A,"EMUL",FALSE,"BSHIST.XLS";#N/A,"ICD",FALSE,"BSHIST.XLS";#N/A,"DMU",FALSE,"BSHIST.XLS";#N/A,"METHYL",FALSE,"BSHIST.XLS";#N/A,"HIGHER",FALSE,"BSHIST.XLS";#N/A,"AMM",FALSE,"BSHIST.XLS";#N/A,"CVT",FALSE,"BSHIST.XLS";#N/A,"MEOH",FALSE,"BSHIST.XLS";#N/A,"SPEC",FALSE,"BSHIST.XLS";#N/A,"DERIV",FALSE,"BSHIST.XLS";#N/A,"PINTER",FALSE,"BSHIST.XLS";#N/A,"NEWVEN",FALSE,"BSHIST.XLS";#N/A,"PURPER",FALSE,"BSHIST.XLS";#N/A,"PURADD",FALSE,"BSHIST.XLS";#N/A,"PURSPP",FALSE,"BSHIST.XLS";#N/A,"CTGIND",FALSE,"BSHIST.XLS";#N/A,"ANCHOR",FALSE,"BSHIST.XLS";#N/A,"SPADD",FALSE,"BSHIST.XLS"}</definedName>
    <definedName name="wrn.all._.slides." localSheetId="0" hidden="1">{#N/A,#N/A,FALSE,"Trends";#N/A,#N/A,FALSE,"As Reported";#N/A,#N/A,FALSE,"(un) Commited"}</definedName>
    <definedName name="wrn.all._.views." localSheetId="0" hidden="1">{"vol data",#N/A,FALSE,"Datasheet";"vol graph",#N/A,FALSE,"Volume";"price data",#N/A,FALSE,"Datasheet";"price graph",#N/A,FALSE,"Price";"dp data",#N/A,FALSE,"Datasheet";"dp graph",#N/A,FALSE,"DirectProfit"}</definedName>
    <definedName name="wrn.All.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3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_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_3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2" localSheetId="0" hidden="1">{#N/A,#N/A,FALSE,"DCF";#N/A,#N/A,FALSE,"WACC";#N/A,#N/A,FALSE,"Sales_EBIT";#N/A,#N/A,FALSE,"Capex_Depreciation";#N/A,#N/A,FALSE,"WC";#N/A,#N/A,FALSE,"Interest";#N/A,#N/A,FALSE,"Assumptions"}</definedName>
    <definedName name="wrn.all.2_1" localSheetId="0" hidden="1">{#N/A,#N/A,FALSE,"DCF";#N/A,#N/A,FALSE,"WACC";#N/A,#N/A,FALSE,"Sales_EBIT";#N/A,#N/A,FALSE,"Capex_Depreciation";#N/A,#N/A,FALSE,"WC";#N/A,#N/A,FALSE,"Interest";#N/A,#N/A,FALSE,"Assumptions"}</definedName>
    <definedName name="wrn.ALL2" localSheetId="0" hidden="1">{"COMBINED",#N/A,FALSE,"BALANCE SHEET";"KRONE",#N/A,FALSE,"BALANCE SHEET";"PENNTECH",#N/A,FALSE,"BALANCE SHEET";"INTERSYSTEMS",#N/A,FALSE,"BALANCE SHEET";"COMBINED",#N/A,FALSE,"USCASH";"KRONE",#N/A,FALSE,"USCASH";"PENNTECH",#N/A,FALSE,"USCASH";"INTERSYSTEMS",#N/A,FALSE,"USCASH"}</definedName>
    <definedName name="wrn.ALL2." localSheetId="0" hidden="1">{#N/A,#N/A,FALSE,"DCF";#N/A,#N/A,FALSE,"WACC";#N/A,#N/A,FALSE,"Sales_EBIT";#N/A,#N/A,FALSE,"Capex_Depreciation";#N/A,#N/A,FALSE,"WC";#N/A,#N/A,FALSE,"Interest";#N/A,#N/A,FALSE,"Assumptions"}</definedName>
    <definedName name="wrn.ALL2._1" localSheetId="0" hidden="1">{#N/A,#N/A,FALSE,"DCF";#N/A,#N/A,FALSE,"WACC";#N/A,#N/A,FALSE,"Sales_EBIT";#N/A,#N/A,FALSE,"Capex_Depreciation";#N/A,#N/A,FALSE,"WC";#N/A,#N/A,FALSE,"Interest";#N/A,#N/A,FALSE,"Assumptions"}</definedName>
    <definedName name="wrn.all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94." localSheetId="0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DataPages." localSheetId="0" hidden="1">{#N/A,#N/A,FALSE,"Balance Sheet";#N/A,#N/A,FALSE,"Income Statement";#N/A,#N/A,FALSE,"Changes in Financial Position"}</definedName>
    <definedName name="wrn.AllDataPages._1" localSheetId="0" hidden="1">{#N/A,#N/A,FALSE,"Balance Sheet";#N/A,#N/A,FALSE,"Income Statement";#N/A,#N/A,FALSE,"Changes in Financial Position"}</definedName>
    <definedName name="wrn.annex." localSheetId="0" hidden="1">{"orders",#N/A,FALSE,"Orders &amp; Annexures";"to",#N/A,FALSE,"Orders &amp; Annexures";"exp",#N/A,FALSE,"Orders &amp; Annexures";"gp",#N/A,FALSE,"Orders &amp; Annexures";"oh dep",#N/A,FALSE,"Orders &amp; Annexures";"taxdep",#N/A,FALSE,"Orders &amp; Annexures";"tax",#N/A,FALSE,"Orders &amp; Annexures";"cp",#N/A,FALSE,"Orders &amp; Annexures"}</definedName>
    <definedName name="wrn.annual" localSheetId="0" hidden="1">{#N/A,#N/A,FALSE,"earnings"}</definedName>
    <definedName name="wrn.Annual._.Income._.Statement." localSheetId="0" hidden="1">{#N/A,#N/A,FALSE,"earnings"}</definedName>
    <definedName name="wrn.Annual._.revenue._.model." localSheetId="0" hidden="1">{#N/A,#N/A,FALSE,"earnings"}</definedName>
    <definedName name="wrn.ANZ._.Report." localSheetId="0" hidden="1">{#N/A,#N/A,FALSE,"Balance Sheets";#N/A,#N/A,FALSE,"96 Conservative";#N/A,#N/A,FALSE,"96 Possible"}</definedName>
    <definedName name="wrn.APCI._.Tab." localSheetId="0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localSheetId="0" hidden="1">{"Page1",#N/A,FALSE,"APCT";"Page2",#N/A,FALSE,"APCT"}</definedName>
    <definedName name="wrn.APL." localSheetId="0" hidden="1">{"Page1",#N/A,FALSE,"APL";"Page2",#N/A,FALSE,"APL"}</definedName>
    <definedName name="wrn.ARGON._.PRICING." localSheetId="0" hidden="1">{"ARGON PRICING",#N/A,FALSE,"ARGON"}</definedName>
    <definedName name="wrn.ARGON._.REVENUE." localSheetId="0" hidden="1">{"ARGON REVENUE",#N/A,FALSE,"ARGON"}</definedName>
    <definedName name="wrn.ARGON._.VOLUME." localSheetId="0" hidden="1">{"ARGON VOLUME",#N/A,FALSE,"ARGON"}</definedName>
    <definedName name="wrn.ARGON_VOL" localSheetId="0" hidden="1">{"ARGON VOLUME",#N/A,FALSE,"ARGON"}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._.Book." localSheetId="0" hidden="1">{#N/A,#N/A,FALSE,"Model Assumptions"}</definedName>
    <definedName name="wrn.Assumption._.Book._1" localSheetId="0" hidden="1">{#N/A,#N/A,FALSE,"Model Assumptions"}</definedName>
    <definedName name="wrn.Assumption._.Book._2" localSheetId="0" hidden="1">{#N/A,#N/A,FALSE,"Model Assumptions"}</definedName>
    <definedName name="wrn.Assumption._.Book._3" localSheetId="0" hidden="1">{#N/A,#N/A,FALSE,"Model Assumptions"}</definedName>
    <definedName name="wrn.B.SHEET." localSheetId="0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0" hidden="1">{"Back Page",#N/A,FALSE,"Front and Back"}</definedName>
    <definedName name="wrn.Back._.Page._1" localSheetId="0" hidden="1">{"Back Page",#N/A,FALSE,"Front and Back"}</definedName>
    <definedName name="wrn.backup." localSheetId="0" hidden="1">{"financials",#N/A,FALSE,"BASIC";"interest",#N/A,FALSE,"BASIC";"leasing and financing",#N/A,FALSE,"BASIC";"returns back up",#N/A,FALSE,"BASIC"}</definedName>
    <definedName name="wrn.backup._1" localSheetId="0" hidden="1">{"financials",#N/A,FALSE,"BASIC";"interest",#N/A,FALSE,"BASIC";"leasing and financing",#N/A,FALSE,"BASIC";"returns back up",#N/A,FALSE,"BASIC"}</definedName>
    <definedName name="wrn.backup._2" localSheetId="0" hidden="1">{"financials",#N/A,FALSE,"BASIC";"interest",#N/A,FALSE,"BASIC";"leasing and financing",#N/A,FALSE,"BASIC";"returns back up",#N/A,FALSE,"BASIC"}</definedName>
    <definedName name="wrn.backup._3" localSheetId="0" hidden="1">{"financials",#N/A,FALSE,"BASIC";"interest",#N/A,FALSE,"BASIC";"leasing and financing",#N/A,FALSE,"BASIC";"returns back up",#N/A,FALSE,"BASIC"}</definedName>
    <definedName name="wrn.balance._.sheet." localSheetId="0" hidden="1">{"Balance Sheet",#N/A,FALSE,"BPLN5YR3"}</definedName>
    <definedName name="wrn.Balance._.Sheet._.Set." localSheetId="0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sheet." localSheetId="0" hidden="1">{"ICDANDNONDIV",#N/A,FALSE,"BSALLNOW.XLS";"polyandpurperf",#N/A,FALSE,"BSALLNOW.XLS"}</definedName>
    <definedName name="wrn.balsheets." localSheetId="0" hidden="1">{"grpbs",#N/A,FALSE,"Group";"habs",#N/A,FALSE,"Group";"bs",#N/A,FALSE,"MetalSys";"bs",#N/A,FALSE,"Display";"bs",#N/A,FALSE,"Hcliffe"}</definedName>
    <definedName name="wrn.Bank." localSheetId="0" hidden="1">{"OPL1",#N/A,FALSE,"PL";"OpAnal",#N/A,FALSE,"Op";"BS2",#N/A,FALSE,"BS";"CF1(a)",#N/A,FALSE,"Op"}</definedName>
    <definedName name="wrn.bank._.model." localSheetId="0" hidden="1">{"banks",#N/A,FALSE,"BASIC"}</definedName>
    <definedName name="wrn.bank._.model._1" localSheetId="0" hidden="1">{"banks",#N/A,FALSE,"BASIC"}</definedName>
    <definedName name="wrn.bank._.model._2" localSheetId="0" hidden="1">{"banks",#N/A,FALSE,"BASIC"}</definedName>
    <definedName name="wrn.bank._.model._3" localSheetId="0" hidden="1">{"banks",#N/A,FALSE,"BASIC"}</definedName>
    <definedName name="wrn.Bankers." localSheetId="0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etz." localSheetId="0" hidden="1">{"net assets",#N/A,FALSE,"summary";"asset turnover",#N/A,FALSE,"summary";"orona",#N/A,FALSE,"summary"}</definedName>
    <definedName name="wrn.Bewegungsbilanz." localSheetId="0" hidden="1">{#N/A,#N/A,FALSE,"Mittelherkunft";#N/A,#N/A,FALSE,"Mittelverwendung"}</definedName>
    <definedName name="wrn.Bewegungsbilanz._1" localSheetId="0" hidden="1">{#N/A,#N/A,FALSE,"Mittelherkunft";#N/A,#N/A,FALSE,"Mittelverwendung"}</definedName>
    <definedName name="wrn.Bilanz." localSheetId="0" hidden="1">{#N/A,#N/A,FALSE,"Layout Aktiva";#N/A,#N/A,FALSE,"Layout Passiva"}</definedName>
    <definedName name="wrn.Bilanz._1" localSheetId="0" hidden="1">{#N/A,#N/A,FALSE,"Layout Aktiva";#N/A,#N/A,FALSE,"Layout Passiva"}</definedName>
    <definedName name="wrn.BL94TAXRETURN." localSheetId="0" hidden="1">{#N/A,#N/A,FALSE,"?????";#N/A,#N/A,FALSE,"??????";#N/A,#N/A,FALSE,"10(2)? ????";#N/A,#N/A,FALSE,"??";#N/A,#N/A,FALSE,"???";#N/A,#N/A,FALSE,"1? ????";#N/A,#N/A,FALSE,"2? ??";#N/A,#N/A,FALSE,"2??? ????";#N/A,#N/A,FALSE,"3(1)? ????";#N/A,#N/A,FALSE,"3(1) ?1 ????";#N/A,#N/A,FALSE,"??????";#N/A,#N/A,FALSE,"3(1)?7 ????";#N/A,#N/A,FALSE,"3(3)?(?) ????";#N/A,#N/A,FALSE,"5? ???";#N/A,#N/A,FALSE,"6? ????";#N/A,#N/A,FALSE,"6? ??(?)";#N/A,#N/A,FALSE,"6? ??(?)";#N/A,#N/A,FALSE,"??????";#N/A,#N/A,FALSE,"6-1? ????";#N/A,#N/A,FALSE,"6-2(2)? ????";#N/A,#N/A,FALSE,"6-2(4)? ????";#N/A,#N/A,FALSE,"6-2(12)? ????";#N/A,#N/A,FALSE,"6-3? ??";#N/A,#N/A,FALSE,"6-3(3)? ??";#N/A,#N/A,FALSE,"6-3(4)? ??";#N/A,#N/A,FALSE,"6-4? ??(?)";#N/A,#N/A,FALSE,"6-4? ??(?)";#N/A,#N/A,FALSE,"6-5? ??(?)";#N/A,#N/A,FALSE,"6-5? ??(?)";#N/A,#N/A,FALSE,"6-6?(??) ?????";#N/A,#N/A,FALSE,"????";#N/A,#N/A,FALSE,"6-10? ????";#N/A,#N/A,FALSE,"6-11? ?????";#N/A,#N/A,FALSE,"6-12? ????";#N/A,#N/A,FALSE,"6-13? ???";#N/A,#N/A,FALSE,"6-14? ?????";#N/A,#N/A,FALSE,"8? ?????";#N/A,#N/A,FALSE,"9? ???(?)";#N/A,#N/A,FALSE,"9? ???(?)";#N/A,#N/A,FALSE,"10(3)? ????";#N/A,#N/A,FALSE,"10(3)? ??";#N/A,#N/A,FALSE,"10(4)? ????";#N/A,#N/A,FALSE,"10(4)? ????";#N/A,#N/A,FALSE,"12? ????";#N/A,#N/A,FALSE,"14(1)? ? ??";#N/A,#N/A,FALSE,"59? ????";#N/A,#N/A,FALSE,"?? BS";#N/A,#N/A,FALSE,"?? PL";#N/A,#N/A,FALSE,"????";#N/A,#N/A,FALSE,"??RE";#N/A,#N/A,FALSE,"60? ? ????";#N/A,#N/A,FALSE,"60? ? ????";#N/A,#N/A,FALSE,"??";#N/A,#N/A,FALSE,"???";#N/A,#N/A,FALSE,"1? ????";#N/A,#N/A,FALSE,"1? ????";#N/A,#N/A,FALSE,"1? ????";#N/A,#N/A,FALSE,"1-2? ?????";#N/A,#N/A,FALSE,"2? ??";#N/A,#N/A,FALSE,"2??? ????";#N/A,#N/A,FALSE,"3(1)? ????";#N/A,#N/A,FALSE,"3(1) ?1 ????";#N/A,#N/A,FALSE,"3(1) ?2 ????";#N/A,#N/A,FALSE,"3(1) ?3 ????";#N/A,#N/A,FALSE,"3(1) ?4 ????";#N/A,#N/A,FALSE,"3? ??????";#N/A,#N/A,FALSE,"3(1)?7 ????";#N/A,#N/A,FALSE,"3(3)?(?) ????";#N/A,#N/A,FALSE,"5? ???";#N/A,#N/A,FALSE,"6? ????";#N/A,#N/A,FALSE,"6? ??(?)";#N/A,#N/A,FALSE,"6-1? ????";#N/A,#N/A,FALSE,"6-1? ????";#N/A,#N/A,FALSE,"6-3? ??";#N/A,#N/A,FALSE,"6-3(3)? ??";#N/A,#N/A,FALSE,"6-3(4)? ??";#N/A,#N/A,FALSE,"6-4? ??(?)";#N/A,#N/A,FALSE,"6-4? ??(?)";#N/A,#N/A,FALSE,"6-5? ??(?)";#N/A,#N/A,FALSE,"6-5? ??(?)";#N/A,#N/A,FALSE,"6-6?(??) ?????";#N/A,#N/A,FALSE,"6-10? ????";#N/A,#N/A,FALSE,"6-11? ?????";#N/A,#N/A,FALSE,"6-12? ????";#N/A,#N/A,FALSE,"9? ???(?)";#N/A,#N/A,FALSE,"9? ???(?)";#N/A,#N/A,FALSE,"10(2)? ????";#N/A,#N/A,FALSE,"10(3)? ??";#N/A,#N/A,FALSE,"10(3)? ????";#N/A,#N/A,FALSE,"10(4)? ????";#N/A,#N/A,FALSE,"14(1)? ? ??";#N/A,#N/A,FALSE,"59? ????";#N/A,#N/A,FALSE,"60? ? ????";#N/A,#N/A,FALSE,"60? ? ????";#N/A,#N/A,FALSE,"?? BS";#N/A,#N/A,FALSE,"?? PL";#N/A,#N/A,FALSE,"????";#N/A,#N/A,FALSE,"??RE";#N/A,#N/A,FALSE,"??RE"}</definedName>
    <definedName name="wrn.bm" localSheetId="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 localSheetId="0" hidden="1">{#N/A,#N/A,TRUE,"5yr-Cons";#N/A,#N/A,TRUE,"5yr grcons"}</definedName>
    <definedName name="wrn.Book." localSheetId="0" hidden="1">{"EVA",#N/A,FALSE,"SMT2";#N/A,#N/A,FALSE,"Summary";#N/A,#N/A,FALSE,"Graphs";#N/A,#N/A,FALSE,"4 Panel"}</definedName>
    <definedName name="wrn.Both." localSheetId="0" hidden="1">{"detail",#N/A,FALSE,"mfg";"summary",#N/A,FALSE,"mfg"}</definedName>
    <definedName name="wrn.Both.2" localSheetId="0" hidden="1">{"detail",#N/A,FALSE,"mfg";"summary",#N/A,FALSE,"mfg"}</definedName>
    <definedName name="wrn.both1" localSheetId="0" hidden="1">{"detail",#N/A,FALSE,"mfg";"summary",#N/A,FALSE,"mfg"}</definedName>
    <definedName name="wrn.both10" localSheetId="0" hidden="1">{"detail",#N/A,FALSE,"mfg";"summary",#N/A,FALSE,"mfg"}</definedName>
    <definedName name="wrn.both102" localSheetId="0" hidden="1">{"detail",#N/A,FALSE,"mfg";"summary",#N/A,FALSE,"mfg"}</definedName>
    <definedName name="wrn.both11" localSheetId="0" hidden="1">{"detail",#N/A,FALSE,"mfg";"summary",#N/A,FALSE,"mfg"}</definedName>
    <definedName name="wrn.both12" localSheetId="0" hidden="1">{"detail",#N/A,FALSE,"mfg";"summary",#N/A,FALSE,"mfg"}</definedName>
    <definedName name="wrn.Both31" localSheetId="0" hidden="1">{"detail",#N/A,FALSE,"mfg";"summary",#N/A,FALSE,"mfg"}</definedName>
    <definedName name="wrn.Both32" localSheetId="0" hidden="1">{"detail",#N/A,FALSE,"mfg";"summary",#N/A,FALSE,"mfg"}</definedName>
    <definedName name="wrn.Both34" localSheetId="0" hidden="1">{"detail",#N/A,FALSE,"mfg";"summary",#N/A,FALSE,"mfg"}</definedName>
    <definedName name="wrn.Both35" localSheetId="0" hidden="1">{"detail",#N/A,FALSE,"mfg";"summary",#N/A,FALSE,"mfg"}</definedName>
    <definedName name="wrn.Both42" localSheetId="0" hidden="1">{"detail",#N/A,FALSE,"mfg";"summary",#N/A,FALSE,"mfg"}</definedName>
    <definedName name="wrn.both71" localSheetId="0" hidden="1">{"detail",#N/A,FALSE,"mfg";"summary",#N/A,FALSE,"mfg"}</definedName>
    <definedName name="wrn.botha11" localSheetId="0" hidden="1">{"detail",#N/A,FALSE,"mfg";"summary",#N/A,FALSE,"mfg"}</definedName>
    <definedName name="wrn.botha2" localSheetId="0" hidden="1">{"detail",#N/A,FALSE,"mfg";"summary",#N/A,FALSE,"mfg"}</definedName>
    <definedName name="wrn.bothab2" localSheetId="0" hidden="1">{"detail",#N/A,FALSE,"mfg";"summary",#N/A,FALSE,"mfg"}</definedName>
    <definedName name="wrn.BP._.print." localSheetId="0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1" localSheetId="0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" localSheetId="0" hidden="1">{"led",#N/A,FALSE,"BRANCH";"bal",#N/A,FALSE,"BRANCH";#N/A,#N/A,FALSE,"Misc_JEs"}</definedName>
    <definedName name="wrn.Branch._.detailed._.expenses." localSheetId="0" hidden="1">{#N/A,#N/A,FALSE,"NW Area Mgr";#N/A,#N/A,FALSE,"Nine West";#N/A,#N/A,FALSE,"Bertie";#N/A,#N/A,FALSE,"SSG Outlet";#N/A,#N/A,FALSE,"Conc Area Mgr";#N/A,#N/A,FALSE,"Allders";#N/A,#N/A,FALSE,"Beatties";#N/A,#N/A,FALSE,"Bentalls";#N/A,#N/A,FALSE,"B Thomas";#N/A,#N/A,FALSE,"Debenhams";#N/A,#N/A,FALSE,"De Gruchy";#N/A,#N/A,FALSE,"Denners";#N/A,#N/A,FALSE,"Fenwick";#N/A,#N/A,FALSE,"HoF";#N/A,#N/A,FALSE,"Jarrolds";#N/A,#N/A,FALSE,"McEwans";#N/A,#N/A,FALSE,"Top Shop";#N/A,#N/A,FALSE,"Selfridges";#N/A,#N/A,FALSE,"PaT Area Mgr";#N/A,#N/A,FALSE,"Pied A Terre";#N/A,#N/A,FALSE,"Wholesale";#N/A,#N/A,FALSE,"Chelsea Cobbler"}</definedName>
    <definedName name="wrn.Brief." localSheetId="0" hidden="1">{#N/A,#N/A,TRUE,"Summary";#N/A,#N/A,TRUE,"Balance Sheet";#N/A,#N/A,TRUE,"P &amp; L";#N/A,#N/A,TRUE,"Fixed Assets";#N/A,#N/A,TRUE,"Cash Flows"}</definedName>
    <definedName name="wrn.BROCHURE." localSheetId="0" hidden="1">{"ACT",#N/A,FALSE,"Q3Elec P&amp;L fy 99  ";"BUD",#N/A,FALSE,"Q3Elec P&amp;L fy 99  ";"PRIOR",#N/A,FALSE,"Q3Elec P&amp;L fy 99  "}</definedName>
    <definedName name="wrn.BROCHYTD." localSheetId="0" hidden="1">{"YTDACT",#N/A,FALSE,"YTD Cum";"YTDBUD",#N/A,FALSE,"YTD Cum";"YTDPRIOR",#N/A,FALSE,"YTD Cum"}</definedName>
    <definedName name="wrn.BS._.Std." localSheetId="0" hidden="1">{"UK Balance Sheet",#N/A,FALSE,"B SHEET"}</definedName>
    <definedName name="wrn.bs1." localSheetId="0" hidden="1">{"bs",#N/A,FALSE,"BS";"pl",#N/A,FALSE,"PL"}</definedName>
    <definedName name="wrn.bs2" localSheetId="0" hidden="1">{"bs",#N/A,FALSE,"BS";"pl",#N/A,FALSE,"PL"}</definedName>
    <definedName name="wrn.BSA4." localSheetId="0" hidden="1">{"A4BS",#N/A,FALSE,"bs"}</definedName>
    <definedName name="wrn.bsall." localSheetId="0" hidden="1">{"pg1",#N/A,FALSE,"BSALLNOW.XLS";"pg2",#N/A,FALSE,"BSALLNOW.XLS";"pg3",#N/A,FALSE,"BSALLNOW.XLS"}</definedName>
    <definedName name="wrn.budget." localSheetId="0" hidden="1">{#N/A,#N/A,FALSE,"BUDIC";#N/A,#N/A,FALSE,"BUDVAR";#N/A,#N/A,FALSE,"BUD"}</definedName>
    <definedName name="wrn.BUDGET97." localSheetId="0" hidden="1">{"FIXVARIANCE",#N/A,FALSE,"COSTPHSE";"SOURCING",#N/A,FALSE,"COSTPHSE"}</definedName>
    <definedName name="wrn.capA4." localSheetId="0" hidden="1">{"capA4",#N/A,FALSE,"capt"}</definedName>
    <definedName name="wrn.CapersPlotter." localSheetId="0" hidden="1">{#N/A,#N/A,FALSE,"DI 2 YEAR MASTER SCHEDULE"}</definedName>
    <definedName name="wrn.CAPITAL." localSheetId="0" hidden="1">{#N/A,#N/A,FALSE,"Minors";#N/A,#N/A,FALSE,"96CAPREV"}</definedName>
    <definedName name="wrn.CAPITAL2" localSheetId="0" hidden="1">{#N/A,#N/A,FALSE,"Minors";#N/A,#N/A,FALSE,"96CAPREV"}</definedName>
    <definedName name="wrn.Cardiovasculars." localSheetId="0" hidden="1">{#N/A,#N/A,FALSE,"Card";#N/A,#N/A,FALSE,"Prav";#N/A,#N/A,FALSE,"Irbe";#N/A,#N/A,FALSE,"Plavix";#N/A,#N/A,FALSE,"Capt";#N/A,#N/A,FALSE,"Fosi"}</definedName>
    <definedName name="wrn.Cash._.Flow." localSheetId="0" hidden="1">{#N/A,#N/A,FALSE,"Layout Cash Flow"}</definedName>
    <definedName name="wrn.Cash._.Flow._1" localSheetId="0" hidden="1">{#N/A,#N/A,FALSE,"Layout Cash Flow"}</definedName>
    <definedName name="wrn.cashflow." localSheetId="0" hidden="1">{"cashflow",#N/A,FALSE,"BPLN5YR3"}</definedName>
    <definedName name="wrn.CEA._.FY97." localSheetId="0" hidden="1">{"CEA FY97",#N/A,FALSE,"C.E.A. FY97"}</definedName>
    <definedName name="wrn.CEC._.slides." localSheetId="0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ral._.Nervous._.System." localSheetId="0" hidden="1">{#N/A,#N/A,FALSE,"CNS";#N/A,#N/A,FALSE,"Serz";#N/A,#N/A,FALSE,"Ace"}</definedName>
    <definedName name="wrn.cg" localSheetId="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hemicals." localSheetId="0" hidden="1">{"PnL",#N/A,FALSE,"Chem P&amp;L";"Responsibility",#N/A,FALSE,"Chem P&amp;L";"Cost Control",#N/A,FALSE,"Chem P&amp;L"}</definedName>
    <definedName name="wrn.ci" localSheetId="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C94TAX." localSheetId="0" hidden="1">{#N/A,#N/A,FALSE,"?????";#N/A,#N/A,FALSE,"??????";#N/A,#N/A,FALSE,"??";#N/A,#N/A,FALSE,"???";#N/A,#N/A,FALSE,"1? ????";#N/A,#N/A,FALSE,"2? ??";#N/A,#N/A,FALSE,"3(3)?(?) ????";#N/A,#N/A,FALSE,"6? ????";#N/A,#N/A,FALSE,"6? ??(?)";#N/A,#N/A,FALSE,"6? ??(?)";#N/A,#N/A,FALSE,"6? ??(?)";#N/A,#N/A,FALSE,"6-1? ????";#N/A,#N/A,FALSE,"6-3? ??";#N/A,#N/A,FALSE,"6-4? ??(?)";#N/A,#N/A,FALSE,"6-4? ??(?)";#N/A,#N/A,FALSE,"????";#N/A,#N/A,FALSE,"6-6(3)? ??(??)";#N/A,#N/A,FALSE,"???????";#N/A,#N/A,FALSE,"6-6?(??) ?????";#N/A,#N/A,FALSE,"6-10? ????";#N/A,#N/A,FALSE,"6-11? ?????";#N/A,#N/A,FALSE,"6-12? ????";#N/A,#N/A,FALSE,"9? ???(?)";#N/A,#N/A,FALSE,"9? ???(?)";#N/A,#N/A,FALSE,"10(4)? ????";#N/A,#N/A,FALSE,"59? ????"}</definedName>
    <definedName name="wrn.CIN." localSheetId="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_ALL." localSheetId="0" hidden="1">{"LAPO2N2",#N/A,FALSE,"CM";"TOTTEXAS",#N/A,FALSE,"CM";"LOUISIANA",#N/A,FALSE,"CM";"GENERALH2",#N/A,FALSE,"CM";"PRS",#N/A,FALSE,"CM";"PACKAGE",#N/A,FALSE,"CM";"OTHER",#N/A,FALSE,"CM"}</definedName>
    <definedName name="wrn.CM_GENERALH2." localSheetId="0" hidden="1">{"GENERALH2",#N/A,FALSE,"CM"}</definedName>
    <definedName name="wrn.CM_LAPORTE_O2N2." localSheetId="0" hidden="1">{"LAPO2N2",#N/A,FALSE,"CM"}</definedName>
    <definedName name="wrn.CM_LOUISIANA." localSheetId="0" hidden="1">{"LOUISIANA",#N/A,FALSE,"CM"}</definedName>
    <definedName name="wrn.CM_OTHER." localSheetId="0" hidden="1">{"OTHER",#N/A,FALSE,"CM"}</definedName>
    <definedName name="wrn.CM_PACKAGE." localSheetId="0" hidden="1">{"PACKAGE",#N/A,FALSE,"CM"}</definedName>
    <definedName name="wrn.CM_PRS." localSheetId="0" hidden="1">{"PRS",#N/A,FALSE,"CM"}</definedName>
    <definedName name="wrn.CM_TEXAS._.HYCO." localSheetId="0" hidden="1">{"TOTTEXAS",#N/A,FALSE,"CM"}</definedName>
    <definedName name="wrn.cma." localSheetId="0" hidden="1">{#N/A,#N/A,FALSE,"99-2000 Actuals";#N/A,#N/A,FALSE,"2000-01";#N/A,#N/A,FALSE,"2001-02 Projec";#N/A,#N/A,FALSE,"2002-03 Projec";#N/A,#N/A,FALSE,"Total";#N/A,#N/A,FALSE,"backup";#N/A,#N/A,FALSE,"Divisions"}</definedName>
    <definedName name="wrn.CMVsBud." localSheetId="0" hidden="1">{"Page1",#N/A,FALSE,"OpExJanvsBud";"Page2",#N/A,FALSE,"OpExJanvsBud"}</definedName>
    <definedName name="wrn.CMVsPY." localSheetId="0" hidden="1">{"Page 1",#N/A,FALSE,"OpExJanVsPY";"Page 2",#N/A,FALSE,"OpExJanVsPY"}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_1" localSheetId="0" hidden="1">{#N/A,#N/A,FALSE,"INPUTS";#N/A,#N/A,FALSE,"PROFORMA BSHEET";#N/A,#N/A,FALSE,"COMBINED";#N/A,#N/A,FALSE,"HIGH YIELD";#N/A,#N/A,FALSE,"COMB_GRAPHS"}</definedName>
    <definedName name="wrn.COMBINED._2" localSheetId="0" hidden="1">{#N/A,#N/A,FALSE,"INPUTS";#N/A,#N/A,FALSE,"PROFORMA BSHEET";#N/A,#N/A,FALSE,"COMBINED";#N/A,#N/A,FALSE,"HIGH YIELD";#N/A,#N/A,FALSE,"COMB_GRAPHS"}</definedName>
    <definedName name="wrn.COMBINED._3" localSheetId="0" hidden="1">{#N/A,#N/A,FALSE,"INPUTS";#N/A,#N/A,FALSE,"PROFORMA BSHEET";#N/A,#N/A,FALSE,"COMBINED";#N/A,#N/A,FALSE,"HIGH YIELD";#N/A,#N/A,FALSE,"COMB_GRAPHS"}</definedName>
    <definedName name="wrn.COMBINED._4" localSheetId="0" hidden="1">{#N/A,#N/A,FALSE,"INPUTS";#N/A,#N/A,FALSE,"PROFORMA BSHEET";#N/A,#N/A,FALSE,"COMBINED";#N/A,#N/A,FALSE,"HIGH YIELD";#N/A,#N/A,FALSE,"COMB_GRAPHS"}</definedName>
    <definedName name="wrn.COMBINED._5" localSheetId="0" hidden="1">{#N/A,#N/A,FALSE,"INPUTS";#N/A,#N/A,FALSE,"PROFORMA BSHEET";#N/A,#N/A,FALSE,"COMBINED";#N/A,#N/A,FALSE,"HIGH YIELD";#N/A,#N/A,FALSE,"COMB_GRAPHS"}</definedName>
    <definedName name="wrn.COMPCO." localSheetId="0" hidden="1">{"Page1",#N/A,FALSE,"CompCo";"Page2",#N/A,FALSE,"CompCo"}</definedName>
    <definedName name="wrn.COMPCO._1" localSheetId="0" hidden="1">{"Page1",#N/A,FALSE,"CompCo";"Page2",#N/A,FALSE,"CompCo"}</definedName>
    <definedName name="wrn.competitor._.analysis." localSheetId="0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localSheetId="0" hidden="1">{#N/A,#N/A,FALSE,"SMT1";#N/A,#N/A,FALSE,"SMT2";#N/A,#N/A,FALSE,"Summary";#N/A,#N/A,FALSE,"Graphs";#N/A,#N/A,FALSE,"4 Panel"}</definedName>
    <definedName name="wrn.Complete._.Budget." localSheetId="0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Cost._.Sheet.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Set." localSheetId="0" hidden="1">{#N/A,#N/A,FALSE,"Full";#N/A,#N/A,FALSE,"Half";#N/A,#N/A,FALSE,"Op Expenses";#N/A,#N/A,FALSE,"Cap Charge";#N/A,#N/A,FALSE,"Cost C";#N/A,#N/A,FALSE,"PP&amp;E";#N/A,#N/A,FALSE,"R&amp;D"}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O.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utation._.3CD._.Details." localSheetId="0" hidden="1">{"Computation Tax",#N/A,FALSE,"43B";"Dep I.Tax",#N/A,FALSE,"43B";"I Tax Losses",#N/A,FALSE,"43B";"Annex-III 3CD",#N/A,FALSE,"43B";"Cash Payments",#N/A,FALSE,"43B";"43B",#N/A,FALSE,"43B"}</definedName>
    <definedName name="wrn.Consol._.adjusts." localSheetId="0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Sum._.Div." localSheetId="0" hidden="1">{#N/A,#N/A,FALSE,"UK CONSOL GB£";#N/A,#N/A,FALSE,"Summary UK";#N/A,#N/A,FALSE,"SSG Div";#N/A,#N/A,FALSE,"Nine West Div";#N/A,#N/A,FALSE,"PaT Div"}</definedName>
    <definedName name="wrn.Consolidated." localSheetId="0" hidden="1">{"PnL",#N/A,FALSE,"Total P&amp;L";"Cost Control",#N/A,FALSE,"Total P&amp;L"}</definedName>
    <definedName name="wrn.Consolidated._.Schedules." localSheetId="0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ion._.Adjustments." localSheetId="0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er._.Medicines." localSheetId="0" hidden="1">{#N/A,#N/A,FALSE,"OTC";#N/A,#N/A,FALSE,"Ther";#N/A,#N/A,FALSE,"Temp";#N/A,#N/A,FALSE,"Exce";#N/A,#N/A,FALSE,"Buff";#N/A,#N/A,FALSE,"Picot";#N/A,#N/A,FALSE,"Luftal";#N/A,#N/A,FALSE,"Comt"}</definedName>
    <definedName name="wrn.Continous._.Page._.Numbers._.DCF." localSheetId="0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0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S." localSheetId="0" hidden="1">{"PAGE 1",#N/A,FALSE,"COS";"PAGE 2",#N/A,FALSE,"COS";"PAGE 3",#N/A,FALSE,"COS"}</definedName>
    <definedName name="wrn.COS._.EX._.GEISMAR." localSheetId="0" hidden="1">{"PAGE 1",#N/A,FALSE,"COS Excluding Geismar";"PAGE 2",#N/A,FALSE,"COS Excluding Geismar";"PAGE 3",#N/A,FALSE,"COS Excluding Geismar"}</definedName>
    <definedName name="wrn.COSA94TAXRETURN." localSheetId="0" hidden="1">{#N/A,#N/A,FALSE,"?????";#N/A,#N/A,FALSE,"??????";#N/A,#N/A,FALSE,"??";#N/A,#N/A,FALSE,"???";#N/A,#N/A,FALSE,"1? ????";#N/A,#N/A,FALSE,"1-2? ?????";#N/A,#N/A,FALSE,"2? ??";#N/A,#N/A,FALSE,"2??? ????";#N/A,#N/A,FALSE,"3(1)?7 ????";#N/A,#N/A,FALSE,"3(3)?(?) ????";#N/A,#N/A,FALSE,"5? ???";#N/A,#N/A,FALSE,"5?2 ???(?)";#N/A,#N/A,FALSE,"6? ????";#N/A,#N/A,FALSE,"6? ??(?)";#N/A,#N/A,FALSE,"6? ??(?)";#N/A,#N/A,FALSE,"6-1? ????";#N/A,#N/A,FALSE,"6-3? ??";#N/A,#N/A,FALSE,"6-3(3)? ??";#N/A,#N/A,FALSE,"6-3(4)? ??";#N/A,#N/A,FALSE,"6-4? ??(?)";#N/A,#N/A,FALSE,"6-4? ??(?)";#N/A,#N/A,FALSE,"6-5? ??(?)";#N/A,#N/A,FALSE,"6-5? ??(?)";#N/A,#N/A,FALSE,"????";#N/A,#N/A,FALSE,"6-6(3)? ??(??)";#N/A,#N/A,FALSE,"6-6?(??) ?????";#N/A,#N/A,FALSE,"6-7? ????(?)";#N/A,#N/A,FALSE,"6-7? ???(?)";#N/A,#N/A,FALSE,"6-10? ????";#N/A,#N/A,FALSE,"6-11? ?????";#N/A,#N/A,FALSE,"6-12? ????";#N/A,#N/A,FALSE,"6-13? ???";#N/A,#N/A,FALSE,"6-14? ?????";#N/A,#N/A,FALSE,"8? ?????";#N/A,#N/A,FALSE,"9? ???(?)";#N/A,#N/A,FALSE,"9? ???(?)";#N/A,#N/A,FALSE,"10(2)? ????";#N/A,#N/A,FALSE,"10(3)? ????";#N/A,#N/A,FALSE,"10(3)? ??";#N/A,#N/A,FALSE,"10(4)? ????";#N/A,#N/A,FALSE,"14(1)? ? ??";#N/A,#N/A,FALSE,"59? ????";#N/A,#N/A,FALSE,"?? BS";#N/A,#N/A,FALSE,"?? PL";#N/A,#N/A,FALSE,"??RE"}</definedName>
    <definedName name="wrn.COST._.OF._.SALES." localSheetId="0" hidden="1">{"COST OF SALES",#N/A,FALSE,"C.O.SALES"}</definedName>
    <definedName name="wrn.Cost._.Summary." localSheetId="0" hidden="1">{"Cost Summary",#N/A,FALSE,"B";"Cost Detail 1",#N/A,FALSE,"C";"Cost Detail 2",#N/A,FALSE,"C"}</definedName>
    <definedName name="wrn.costprint." localSheetId="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umAndAdj." localSheetId="0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localSheetId="0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d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ta." localSheetId="0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Input." localSheetId="0" hidden="1">{"Data Input Sheet 1",#N/A,FALSE,"Data Input - Sheet 1";"Data Input Sheet 2",#N/A,FALSE,"Data Input - Sheet 2"}</definedName>
    <definedName name="wrn.Data._.Input._1" localSheetId="0" hidden="1">{"Data Input Sheet 1",#N/A,FALSE,"Data Input - Sheet 1";"Data Input Sheet 2",#N/A,FALSE,"Data Input - Sheet 2"}</definedName>
    <definedName name="wrn.Data._.Input._2" localSheetId="0" hidden="1">{"Data Input Sheet 1",#N/A,FALSE,"Data Input - Sheet 1";"Data Input Sheet 2",#N/A,FALSE,"Data Input - Sheet 2"}</definedName>
    <definedName name="wrn.Data._.Input._3" localSheetId="0" hidden="1">{"Data Input Sheet 1",#N/A,FALSE,"Data Input - Sheet 1";"Data Input Sheet 2",#N/A,FALSE,"Data Input - Sheet 2"}</definedName>
    <definedName name="wrn.datapak." localSheetId="0" hidden="1">{#N/A,#N/A,FALSE,"Status of Projects";#N/A,#N/A,FALSE,"CEA-TEC";#N/A,#N/A,FALSE,"U-Constr.";#N/A,#N/A,FALSE,"summary";#N/A,#N/A,FALSE,"PPP-3 yrs"}</definedName>
    <definedName name="wrn.David." localSheetId="0" hidden="1">{#N/A,#N/A,FALSE,"UK Consol Short";#N/A,#N/A,FALSE,"Summary UK - Short"}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1" localSheetId="0" hidden="1">{"DCF",#N/A,FALSE,"CF"}</definedName>
    <definedName name="wrn.DCF._2" localSheetId="0" hidden="1">{"DCF",#N/A,FALSE,"CF"}</definedName>
    <definedName name="wrn.DCF._3" localSheetId="0" hidden="1">{"DCF",#N/A,FALSE,"CF"}</definedName>
    <definedName name="wrn.DCF._4" localSheetId="0" hidden="1">{"DCF",#N/A,FALSE,"CF"}</definedName>
    <definedName name="wrn.DCF._5" localSheetId="0" hidden="1">{"DCF",#N/A,FALSE,"CF"}</definedName>
    <definedName name="wrn.DCFEpervier.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p." localSheetId="0" hidden="1">{"dep. full detail",#N/A,FALSE,"annex";"3cd annex",#N/A,FALSE,"annex";"co. dep.",#N/A,FALSE,"annex"}</definedName>
    <definedName name="wrn.dep._1" localSheetId="0" hidden="1">{"dep. full detail",#N/A,FALSE,"annex";"3cd annex",#N/A,FALSE,"annex";"co. dep.",#N/A,FALSE,"annex"}</definedName>
    <definedName name="wrn.dep._2" localSheetId="0" hidden="1">{"dep. full detail",#N/A,FALSE,"annex";"3cd annex",#N/A,FALSE,"annex";"co. dep.",#N/A,FALSE,"annex"}</definedName>
    <definedName name="wrn.dep._3" localSheetId="0" hidden="1">{"dep. full detail",#N/A,FALSE,"annex";"3cd annex",#N/A,FALSE,"annex";"co. dep.",#N/A,FALSE,"annex"}</definedName>
    <definedName name="wrn.DEPARTMENTS." localSheetId="0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ARTMENTS.2" localSheetId="0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R." localSheetId="0" hidden="1">{#N/A,#N/A,FALSE,"DEPR"}</definedName>
    <definedName name="wrn.depschA4." localSheetId="0" hidden="1">{"A4depsch",#N/A,FALSE,"fa&amp;dep"}</definedName>
    <definedName name="wrn.detail." localSheetId="0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 localSheetId="0" hidden="1">{#N/A,#N/A,FALSE,"Detail"}</definedName>
    <definedName name="wrn.detail._1" localSheetId="0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_Projection." localSheetId="0" hidden="1">{#N/A,#N/A,FALSE,"Detail YTD"}</definedName>
    <definedName name="wrn.Detailed._.P._.and._.L." localSheetId="0" hidden="1">{"P and L Detail Page 1",#N/A,FALSE,"Data";"P and L Detail Page 2",#N/A,FALSE,"Data"}</definedName>
    <definedName name="wrn.Detailed._.P._.and._.L._1" localSheetId="0" hidden="1">{"P and L Detail Page 1",#N/A,FALSE,"Data";"P and L Detail Page 2",#N/A,FALSE,"Data"}</definedName>
    <definedName name="wrn.devdeal." localSheetId="0" hidden="1">{"top",#N/A,TRUE,"Detail";"next",#N/A,TRUE,"Detail";"then",#N/A,TRUE,"Detail";"and",#N/A,TRUE,"Detail";"inaddition",#N/A,TRUE,"Detail";"finally",#N/A,TRUE,"Detail"}</definedName>
    <definedName name="wrn.Display." localSheetId="0" hidden="1">{"pl",#N/A,FALSE,"Display";"cf",#N/A,FALSE,"Display";"pi",#N/A,FALSE,"Display";"top10",#N/A,FALSE,"Display";"compcon",#N/A,FALSE,"Display"}</definedName>
    <definedName name="wrn.document." localSheetId="0" hidden="1">{"consolidated",#N/A,FALSE,"Sheet1";"cms",#N/A,FALSE,"Sheet1";"fse",#N/A,FALSE,"Sheet1"}</definedName>
    <definedName name="wrn.document._1" localSheetId="0" hidden="1">{"consolidated",#N/A,FALSE,"Sheet1";"cms",#N/A,FALSE,"Sheet1";"fse",#N/A,FALSE,"Sheet1"}</definedName>
    <definedName name="wrn.Don." localSheetId="0" hidden="1">{#N/A,#N/A,FALSE,"UK Consol Short";#N/A,#N/A,FALSE,"Summary UK - Short"}</definedName>
    <definedName name="wrn.Draft." localSheetId="0" hidden="1">{"Draft",#N/A,FALSE,"Feb-96"}</definedName>
    <definedName name="wrn.Draft._.Financials." localSheetId="0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localSheetId="0" hidden="1">{"Draft",#N/A,FALSE,"Feb-96"}</definedName>
    <definedName name="wrn.Drucken._.H.C.._.Starck." localSheetId="0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G." localSheetId="0" hidden="1">{#N/A,#N/A,FALSE,"BRU";#N/A,#N/A,FALSE,"MAD";#N/A,#N/A,FALSE,"MUN";#N/A,#N/A,FALSE,"SEO";#N/A,#N/A,FALSE,"TOK"}</definedName>
    <definedName name="wrn.Economic._.Value._.Added._.Analysis." localSheetId="0" hidden="1">{"EVA",#N/A,FALSE,"EVA";"WACC",#N/A,FALSE,"WACC"}</definedName>
    <definedName name="wrn.Economic._.Value._.Added._.Analysis._1" localSheetId="0" hidden="1">{"EVA",#N/A,FALSE,"EVA";"WACC",#N/A,FALSE,"WACC"}</definedName>
    <definedName name="wrn.Edutainment._.Priority._.List." localSheetId="0" hidden="1">{#N/A,#N/A,FALSE,"DI 2 YEAR MASTER SCHEDULE"}</definedName>
    <definedName name="wrn.EES_BUD_ACT_PY." localSheetId="0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localSheetId="0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localSheetId="0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laborate." localSheetId="0" hidden="1">{#N/A,#N/A,FALSE,"Cash Flows";#N/A,#N/A,FALSE,"Fixed Assets";#N/A,#N/A,FALSE,"Balance Sheet";#N/A,#N/A,FALSE,"P &amp; L"}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ntitiesWithReclasses." localSheetId="0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localSheetId="0" hidden="1">{"PnL",#N/A,FALSE,"Equip P&amp;L";"Responsibility",#N/A,FALSE,"Equip P&amp;L";"Cost Control",#N/A,FALSE,"Equip P&amp;L"}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0" hidden="1">{#N/A,#N/A,FALSE,"Quarterly";#N/A,#N/A,FALSE,"Quarterly Other";#N/A,#N/A,FALSE,"Prod Rev";#N/A,#N/A,FALSE,"Balance Sheet Tracking";#N/A,#N/A,FALSE,"Annual";#N/A,#N/A,FALSE,"Balance Sheet"}</definedName>
    <definedName name="wrn.EW." localSheetId="0" hidden="1">{#N/A,#N/A,FALSE,"EW"}</definedName>
    <definedName name="wrn.EW._1" localSheetId="0" hidden="1">{#N/A,#N/A,FALSE,"EW"}</definedName>
    <definedName name="wrn.EW._2" localSheetId="0" hidden="1">{#N/A,#N/A,FALSE,"EW"}</definedName>
    <definedName name="wrn.EW._3" localSheetId="0" hidden="1">{#N/A,#N/A,FALSE,"EW"}</definedName>
    <definedName name="wrn.EW._4" localSheetId="0" hidden="1">{#N/A,#N/A,FALSE,"EW"}</definedName>
    <definedName name="wrn.Exam._.Workpapers._.1.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2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3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hibits." localSheetId="0" hidden="1">{#N/A,#N/A,FALSE,"IS";#N/A,#N/A,FALSE,"BS";#N/A,#N/A,FALSE,"RMA";#N/A,#N/A,FALSE,"INCOME";#N/A,#N/A,FALSE,"DCF";#N/A,#N/A,FALSE,"MARKET"}</definedName>
    <definedName name="wrn.Facilities." localSheetId="0" hidden="1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CB." localSheetId="0" hidden="1">{"FCB_ALL",#N/A,FALSE,"FCB"}</definedName>
    <definedName name="wrn.FCB._1" localSheetId="0" hidden="1">{"FCB_ALL",#N/A,FALSE,"FCB"}</definedName>
    <definedName name="wrn.fcb2" localSheetId="0" hidden="1">{"FCB_ALL",#N/A,FALSE,"FCB"}</definedName>
    <definedName name="wrn.fcb2_1" localSheetId="0" hidden="1">{"FCB_ALL",#N/A,FALSE,"FCB"}</definedName>
    <definedName name="wrn.File." localSheetId="0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CIAL._.STATEMENTS.2" localSheetId="0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wrn.Final." localSheetId="0" hidden="1">{"Final",#N/A,FALSE,"Feb-96"}</definedName>
    <definedName name="wrn.Final._.Financials." localSheetId="0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1" localSheetId="0" hidden="1">{"Final",#N/A,FALSE,"Feb-96"}</definedName>
    <definedName name="wrn.Financial._.Output." localSheetId="0" hidden="1">{"P and L",#N/A,FALSE,"Financial Output";"Cashflow",#N/A,FALSE,"Financial Output";"Balance Sheet",#N/A,FALSE,"Financial Output"}</definedName>
    <definedName name="wrn.Financial._.Output._1" localSheetId="0" hidden="1">{"P and L",#N/A,FALSE,"Financial Output";"Cashflow",#N/A,FALSE,"Financial Output";"Balance Sheet",#N/A,FALSE,"Financial Output"}</definedName>
    <definedName name="wrn.Financial._.Report." localSheetId="0" hidden="1">{#N/A,#N/A,TRUE,"P&amp;L";#N/A,#N/A,TRUE,"note 1";#N/A,#N/A,TRUE,"note 2";#N/A,#N/A,TRUE,"note 3";#N/A,#N/A,TRUE,"note 4"}</definedName>
    <definedName name="wrn.Financial._.Report._1" localSheetId="0" hidden="1">{#N/A,#N/A,TRUE,"P&amp;L";#N/A,#N/A,TRUE,"note 1";#N/A,#N/A,TRUE,"note 2";#N/A,#N/A,TRUE,"note 3";#N/A,#N/A,TRUE,"note 4"}</definedName>
    <definedName name="wrn.Financial._.Report._2" localSheetId="0" hidden="1">{#N/A,#N/A,TRUE,"P&amp;L";#N/A,#N/A,TRUE,"note 1";#N/A,#N/A,TRUE,"note 2";#N/A,#N/A,TRUE,"note 3";#N/A,#N/A,TRUE,"note 4"}</definedName>
    <definedName name="wrn.Financial._.Report._3" localSheetId="0" hidden="1">{#N/A,#N/A,TRUE,"P&amp;L";#N/A,#N/A,TRUE,"note 1";#N/A,#N/A,TRUE,"note 2";#N/A,#N/A,TRUE,"note 3";#N/A,#N/A,TRUE,"note 4"}</definedName>
    <definedName name="wrn.Financial._.Report._4" localSheetId="0" hidden="1">{#N/A,#N/A,TRUE,"P&amp;L";#N/A,#N/A,TRUE,"note 1";#N/A,#N/A,TRUE,"note 2";#N/A,#N/A,TRUE,"note 3";#N/A,#N/A,TRUE,"note 4"}</definedName>
    <definedName name="wrn.Financial._.Report._5" localSheetId="0" hidden="1">{#N/A,#N/A,TRUE,"P&amp;L";#N/A,#N/A,TRUE,"note 1";#N/A,#N/A,TRUE,"note 2";#N/A,#N/A,TRUE,"note 3";#N/A,#N/A,TRUE,"note 4"}</definedName>
    <definedName name="wrn.Financial._.Statements." localSheetId="0" hidden="1">{"Assumptions",#N/A,FALSE,"Assm";"Contribution Chart 0",#N/A,FALSE,"Rev contribution";"Contribution Chart 1",#N/A,FALSE,"Rev contribution";"Contribution Chart 2",#N/A,FALSE,"Rev contribution";"Projected Profitability",#N/A,FALSE,"Profitability";"Projected Cashflows",#N/A,FALSE,"Profitability";"Projected Balance Sheet",#N/A,FALSE,"Profitability";"Capex",#N/A,FALSE,"Model-Capex";"Debt Service Analysis",#N/A,FALSE,"Debt Service Analysis"}</definedName>
    <definedName name="wrn.Financials._.April._.02._.Rs._.000." localSheetId="0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MAR._.01." localSheetId="0" hidden="1">{"PG1",#N/A,FALSE,"SSL-FIN";"PG2",#N/A,FALSE,"SSL-FIN";"PG3",#N/A,FALSE,"SSL-FIN";"PG4",#N/A,FALSE,"SSL-FIN";"PG5",#N/A,FALSE,"SSL-FIN";"PG6",#N/A,FALSE,"SSL-FIN";"PG7",#N/A,FALSE,"SSL-FIN"}</definedName>
    <definedName name="wrn.Finanzbedarfsrechnung." localSheetId="0" hidden="1">{#N/A,#N/A,FALSE,"Finanzbedarfsrechnung"}</definedName>
    <definedName name="wrn.Finanzbedarfsrechnung._1" localSheetId="0" hidden="1">{#N/A,#N/A,FALSE,"Finanzbedarfsrechnung"}</definedName>
    <definedName name="wrn.FIVE._.YEAR._.PROJECTION." localSheetId="0" hidden="1">{"FIVEYEAR",#N/A,TRUE,"SUMMARY";"FIVEYEAR",#N/A,TRUE,"Ratios";"FIVEYEAR",#N/A,TRUE,"Revenue";"FIVEYEAR",#N/A,TRUE,"DETAIL";"FIVEYEAR",#N/A,TRUE,"Payroll"}</definedName>
    <definedName name="wrn.FIVE._.YEAR._.PROJECTION._1" localSheetId="0" hidden="1">{"FIVEYEAR",#N/A,TRUE,"SUMMARY";"FIVEYEAR",#N/A,TRUE,"Ratios";"FIVEYEAR",#N/A,TRUE,"Revenue";"FIVEYEAR",#N/A,TRUE,"DETAIL";"FIVEYEAR",#N/A,TRUE,"Payroll"}</definedName>
    <definedName name="wrn.Five._.Year._.Record." localSheetId="0" hidden="1">{"Five Year Record",#N/A,FALSE,"Front and Back"}</definedName>
    <definedName name="wrn.Five._.Year._.Record._1" localSheetId="0" hidden="1">{"Five Year Record",#N/A,FALSE,"Front and Back"}</definedName>
    <definedName name="wrn.FORECAST." localSheetId="0" hidden="1">{"COMBINED",#N/A,FALSE,"BALANCE SHEET 2";"KRONE",#N/A,FALSE,"BALANCE SHEET 2";"INTERSYSTEMS",#N/A,FALSE,"BALANCE SHEET 2"}</definedName>
    <definedName name="wrn.FORECAST.2" localSheetId="0" hidden="1">{"COMBINED",#N/A,FALSE,"BALANCE SHEET 2";"KRONE",#N/A,FALSE,"BALANCE SHEET 2";"INTERSYSTEMS",#N/A,FALSE,"BALANCE SHEET 2"}</definedName>
    <definedName name="wrn.FORM1." localSheetId="0" hidden="1">{#N/A,#N/A,FALSE,"COMP"}</definedName>
    <definedName name="wrn.forms." localSheetId="0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REE." localSheetId="0" hidden="1">{#N/A,#N/A,FALSE,"FREE"}</definedName>
    <definedName name="wrn.FREE._1" localSheetId="0" hidden="1">{#N/A,#N/A,FALSE,"FREE"}</definedName>
    <definedName name="wrn.FREE._2" localSheetId="0" hidden="1">{#N/A,#N/A,FALSE,"FREE"}</definedName>
    <definedName name="wrn.FREE._3" localSheetId="0" hidden="1">{#N/A,#N/A,FALSE,"FREE"}</definedName>
    <definedName name="wrn.FREE._4" localSheetId="0" hidden="1">{#N/A,#N/A,FALSE,"FREE"}</definedName>
    <definedName name="wrn.Front._.Page." localSheetId="0" hidden="1">{"Front Page",#N/A,FALSE,"Front and Back"}</definedName>
    <definedName name="wrn.Front._.Page._1" localSheetId="0" hidden="1">{"Front Page",#N/A,FALSE,"Front and Back"}</definedName>
    <definedName name="wrn.Ful._.Set." localSheetId="0" hidden="1">{"Bsheet",#N/A,FALSE,"Details";"P&amp;L",#N/A,FALSE,"Details";"Schedule",#N/A,FALSE,"Details";"Details",#N/A,FALSE,"Details"}</definedName>
    <definedName name="wrn.full." localSheetId="0" hidden="1">{#N/A,#N/A,FALSE,"Cover";#N/A,#N/A,FALSE,"Outputs";#N/A,#N/A,FALSE,"Control (In)";#N/A,#N/A,FALSE,"Tesco";#N/A,#N/A,FALSE,"Sainsbury";#N/A,#N/A,FALSE,"Carrefour";#N/A,#N/A,FALSE,"Co D";#N/A,#N/A,FALSE,"Co E";#N/A,#N/A,FALSE,"Co F";#N/A,#N/A,FALSE,"Co G";#N/A,#N/A,FALSE,"Co H";#N/A,#N/A,FALSE,"Co I";#N/A,#N/A,FALSE,"Co J";#N/A,#N/A,FALSE,"Co K";#N/A,#N/A,FALSE,"Co L";#N/A,#N/A,FALSE,"Co M";#N/A,#N/A,FALSE,"Co N";#N/A,#N/A,FALSE,"Co O"}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_1" localSheetId="0" hidden="1">{#N/A,#N/A,TRUE,"Financials";#N/A,#N/A,TRUE,"Operating Statistics";#N/A,#N/A,TRUE,"Capex &amp; Depreciation";#N/A,#N/A,TRUE,"Debt"}</definedName>
    <definedName name="wrn.Full._.Financials._2" localSheetId="0" hidden="1">{#N/A,#N/A,TRUE,"Financials";#N/A,#N/A,TRUE,"Operating Statistics";#N/A,#N/A,TRUE,"Capex &amp; Depreciation";#N/A,#N/A,TRUE,"Debt"}</definedName>
    <definedName name="wrn.Full._.Financials._3" localSheetId="0" hidden="1">{#N/A,#N/A,TRUE,"Financials";#N/A,#N/A,TRUE,"Operating Statistics";#N/A,#N/A,TRUE,"Capex &amp; Depreciation";#N/A,#N/A,TRUE,"Debt"}</definedName>
    <definedName name="wrn.Full._.Package." localSheetId="0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localSheetId="0" hidden="1">{#N/A,#N/A,TRUE,"Income Statement";#N/A,#N/A,TRUE,"Gas Assumptions";#N/A,#N/A,TRUE,"DCF";#N/A,#N/A,TRUE,"Depreciation Matrix";#N/A,#N/A,TRUE,"Matrix";#N/A,#N/A,TRUE,"Matrix_Perpetuity"}</definedName>
    <definedName name="wrn.Full._.Report._1" localSheetId="0" hidden="1">{#N/A,#N/A,TRUE,"Income Statement";#N/A,#N/A,TRUE,"Gas Assumptions";#N/A,#N/A,TRUE,"DCF";#N/A,#N/A,TRUE,"Depreciation Matrix";#N/A,#N/A,TRUE,"Matrix";#N/A,#N/A,TRUE,"Matrix_Perpetuity"}</definedName>
    <definedName name="wrn.full._.report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localSheetId="0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1" localSheetId="0" hidden="1">{"divisions",#N/A,TRUE,"Drivers";"PandL_Ratios",#N/A,TRUE,"P&amp;L"}</definedName>
    <definedName name="wrn.FULL._2" localSheetId="0" hidden="1">{"divisions",#N/A,TRUE,"Drivers";"PandL_Ratios",#N/A,TRUE,"P&amp;L"}</definedName>
    <definedName name="wrn.FULL._3" localSheetId="0" hidden="1">{"divisions",#N/A,TRUE,"Drivers";"PandL_Ratios",#N/A,TRUE,"P&amp;L"}</definedName>
    <definedName name="wrn.FULL._4" localSheetId="0" hidden="1">{"divisions",#N/A,TRUE,"Drivers";"PandL_Ratios",#N/A,TRUE,"P&amp;L"}</definedName>
    <definedName name="wrn.FULL._5" localSheetId="0" hidden="1">{"divisions",#N/A,TRUE,"Drivers";"PandL_Ratios",#N/A,TRUE,"P&amp;L"}</definedName>
    <definedName name="wrn.full.fin.1" localSheetId="0" hidden="1">{#N/A,#N/A,TRUE,"Financials";#N/A,#N/A,TRUE,"Operating Statistics";#N/A,#N/A,TRUE,"Capex &amp; Depreciation";#N/A,#N/A,TRUE,"Debt"}</definedName>
    <definedName name="wrn.full.fin.1_1" localSheetId="0" hidden="1">{#N/A,#N/A,TRUE,"Financials";#N/A,#N/A,TRUE,"Operating Statistics";#N/A,#N/A,TRUE,"Capex &amp; Depreciation";#N/A,#N/A,TRUE,"Debt"}</definedName>
    <definedName name="wrn.full.fin.1_2" localSheetId="0" hidden="1">{#N/A,#N/A,TRUE,"Financials";#N/A,#N/A,TRUE,"Operating Statistics";#N/A,#N/A,TRUE,"Capex &amp; Depreciation";#N/A,#N/A,TRUE,"Debt"}</definedName>
    <definedName name="wrn.full.fin.1_3" localSheetId="0" hidden="1">{#N/A,#N/A,TRUE,"Financials";#N/A,#N/A,TRUE,"Operating Statistics";#N/A,#N/A,TRUE,"Capex &amp; Depreciation";#N/A,#N/A,TRUE,"Debt"}</definedName>
    <definedName name="wrn.FY00._.Summary." localSheetId="0" hidden="1">{"FY00",#N/A,FALSE,"Sheet1"}</definedName>
    <definedName name="wrn.FY01._.Target." localSheetId="0" hidden="1">{"FY01 TARGET",#N/A,FALSE,"Sheet1"}</definedName>
    <definedName name="wrn.FY01_Fin_Stmts." localSheetId="0" hidden="1">{"FY01_Assets",#N/A,FALSE,"Fin Stmt Budget";"FY01_Liabilities",#N/A,FALSE,"Fin Stmt Budget";"FY01_Inc_Stmt",#N/A,FALSE,"Fin Stmt Budget";"FY01_SOCF",#N/A,FALSE,"Fin Stmt Budget"}</definedName>
    <definedName name="wrn.FY02_Fin_Stmts." localSheetId="0" hidden="1">{"FY02_Assets",#N/A,FALSE,"Fin Stmt Budget";"FY02_Liabilities",#N/A,FALSE,"Fin Stmt Budget";"FY02_Inc_Stmt",#N/A,FALSE,"Fin Stmt Budget";"FY02_SOCF",#N/A,FALSE,"Fin Stmt Budget"}</definedName>
    <definedName name="wrn.FY03_Fin_Stmts." localSheetId="0" hidden="1">{"FY03_Assets",#N/A,FALSE,"Fin Stmt Budget";"FY03_Liabilities",#N/A,FALSE,"Fin Stmt Budget";"FY03_Inc_Stmt",#N/A,FALSE,"Fin Stmt Budget";"FY03_SOCF",#N/A,FALSE,"Fin Stmt Budget"}</definedName>
    <definedName name="wrn.FY04_Fin._.Stmts." localSheetId="0" hidden="1">{"FY04_Assets",#N/A,FALSE,"Fin Stmt Budget";"FY04_Liabilities",#N/A,FALSE,"Fin Stmt Budget";"FY04_Inc_Stmt",#N/A,FALSE,"Fin Stmt Budget";"FY04_SOCF",#N/A,FALSE,"Fin Stmt Budget"}</definedName>
    <definedName name="wrn.FY06" localSheetId="0" hidden="1">{"FY04_Assets",#N/A,FALSE,"Fin Stmt Budget";"FY04_Liabilities",#N/A,FALSE,"Fin Stmt Budget";"FY04_Inc_Stmt",#N/A,FALSE,"Fin Stmt Budget";"FY04_SOCF",#N/A,FALSE,"Fin Stmt Budget"}</definedName>
    <definedName name="wrn.FY07" localSheetId="0" hidden="1">{"FY01_Assets",#N/A,FALSE,"Fin Stmt Budget";"FY01_Liabilities",#N/A,FALSE,"Fin Stmt Budget";"FY01_Inc_Stmt",#N/A,FALSE,"Fin Stmt Budget";"FY01_SOCF",#N/A,FALSE,"Fin Stmt Budget"}</definedName>
    <definedName name="wrn.FY07_fin" localSheetId="0" hidden="1">{"FY04_Assets",#N/A,FALSE,"Fin Stmt Budget";"FY04_Liabilities",#N/A,FALSE,"Fin Stmt Budget";"FY04_Inc_Stmt",#N/A,FALSE,"Fin Stmt Budget";"FY04_SOCF",#N/A,FALSE,"Fin Stmt Budget"}</definedName>
    <definedName name="wrn.FY96sbp99" localSheetId="0" hidden="1">{#N/A,#N/A,FALSE,"FY97";#N/A,#N/A,FALSE,"FY98";#N/A,#N/A,FALSE,"FY99";#N/A,#N/A,FALSE,"FY00";#N/A,#N/A,FALSE,"FY01"}</definedName>
    <definedName name="wrn.FY96sbp99_1" localSheetId="0" hidden="1">{#N/A,#N/A,FALSE,"FY97";#N/A,#N/A,FALSE,"FY98";#N/A,#N/A,FALSE,"FY99";#N/A,#N/A,FALSE,"FY00";#N/A,#N/A,FALSE,"FY01"}</definedName>
    <definedName name="wrn.FY97SBP." localSheetId="0" hidden="1">{#N/A,#N/A,FALSE,"FY97";#N/A,#N/A,FALSE,"FY98";#N/A,#N/A,FALSE,"FY99";#N/A,#N/A,FALSE,"FY00";#N/A,#N/A,FALSE,"FY01"}</definedName>
    <definedName name="wrn.FY97SBP._1" localSheetId="0" hidden="1">{#N/A,#N/A,FALSE,"FY97";#N/A,#N/A,FALSE,"FY98";#N/A,#N/A,FALSE,"FY99";#N/A,#N/A,FALSE,"FY00";#N/A,#N/A,FALSE,"FY01"}</definedName>
    <definedName name="wrn.FY97SBP2" localSheetId="0" hidden="1">{#N/A,#N/A,FALSE,"FY97";#N/A,#N/A,FALSE,"FY98";#N/A,#N/A,FALSE,"FY99";#N/A,#N/A,FALSE,"FY00";#N/A,#N/A,FALSE,"FY01"}</definedName>
    <definedName name="wrn.FY97SBP2_1" localSheetId="0" hidden="1">{#N/A,#N/A,FALSE,"FY97";#N/A,#N/A,FALSE,"FY98";#N/A,#N/A,FALSE,"FY99";#N/A,#N/A,FALSE,"FY00";#N/A,#N/A,FALSE,"FY01"}</definedName>
    <definedName name="wrn.G.C.P.L.." localSheetId="0" hidden="1">{#N/A,#N/A,FALSE,"gc (2)"}</definedName>
    <definedName name="wrn.G.C.P.L.._1" localSheetId="0" hidden="1">{#N/A,#N/A,FALSE,"gc (2)"}</definedName>
    <definedName name="wrn.G.C.P.L.._2" localSheetId="0" hidden="1">{#N/A,#N/A,FALSE,"gc (2)"}</definedName>
    <definedName name="wrn.G.C.P.L.._3" localSheetId="0" hidden="1">{#N/A,#N/A,FALSE,"gc (2)"}</definedName>
    <definedName name="wrn.GB._.99." localSheetId="0" hidden="1">{#N/A,#N/A,FALSE,"Umsatz 99";#N/A,#N/A,FALSE,"ER 99 "}</definedName>
    <definedName name="wrn.GB._.CH.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localSheetId="0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eneral._.OTC." localSheetId="0" hidden="1">{#N/A,#N/A,FALSE,"Title Page (3)";#N/A,#N/A,FALSE,"YTD - OTC";#N/A,#N/A,FALSE,"MTH - OTC"}</definedName>
    <definedName name="wrn.General._.Pharm." localSheetId="0" hidden="1">{#N/A,#N/A,FALSE,"Title Page (2)";#N/A,#N/A,FALSE,"YTD - Pharm";#N/A,#N/A,FALSE,"MTH - Pharm"}</definedName>
    <definedName name="wrn.General._.Total." localSheetId="0" hidden="1">{#N/A,#N/A,FALSE,"Title Page (4)";#N/A,#N/A,FALSE,"YTD - Total";#N/A,#N/A,FALSE,"MTH - Total"}</definedName>
    <definedName name="wrn.Geographic._.Trends." localSheetId="0" hidden="1">{"Geographic P1",#N/A,FALSE,"Division &amp; Geog"}</definedName>
    <definedName name="wrn.Geographic._.Trends._1" localSheetId="0" hidden="1">{"Geographic P1",#N/A,FALSE,"Division &amp; Geog"}</definedName>
    <definedName name="wrn.GL." localSheetId="0" hidden="1">{#N/A,#N/A,FALSE,"TB"}</definedName>
    <definedName name="wrn.GRAPHS." localSheetId="0" hidden="1">{#N/A,#N/A,FALSE,"ACQ_GRAPHS";#N/A,#N/A,FALSE,"T_1 GRAPHS";#N/A,#N/A,FALSE,"T_2 GRAPHS";#N/A,#N/A,FALSE,"COMB_GRAPHS"}</definedName>
    <definedName name="wrn.GRAPHS._1" localSheetId="0" hidden="1">{#N/A,#N/A,FALSE,"ACQ_GRAPHS";#N/A,#N/A,FALSE,"T_1 GRAPHS";#N/A,#N/A,FALSE,"T_2 GRAPHS";#N/A,#N/A,FALSE,"COMB_GRAPHS"}</definedName>
    <definedName name="wrn.GRAPHS._2" localSheetId="0" hidden="1">{#N/A,#N/A,FALSE,"ACQ_GRAPHS";#N/A,#N/A,FALSE,"T_1 GRAPHS";#N/A,#N/A,FALSE,"T_2 GRAPHS";#N/A,#N/A,FALSE,"COMB_GRAPHS"}</definedName>
    <definedName name="wrn.GRAPHS._3" localSheetId="0" hidden="1">{#N/A,#N/A,FALSE,"ACQ_GRAPHS";#N/A,#N/A,FALSE,"T_1 GRAPHS";#N/A,#N/A,FALSE,"T_2 GRAPHS";#N/A,#N/A,FALSE,"COMB_GRAPHS"}</definedName>
    <definedName name="wrn.GRAPHS._4" localSheetId="0" hidden="1">{#N/A,#N/A,FALSE,"ACQ_GRAPHS";#N/A,#N/A,FALSE,"T_1 GRAPHS";#N/A,#N/A,FALSE,"T_2 GRAPHS";#N/A,#N/A,FALSE,"COMB_GRAPHS"}</definedName>
    <definedName name="wrn.GRAPHS._5" localSheetId="0" hidden="1">{#N/A,#N/A,FALSE,"ACQ_GRAPHS";#N/A,#N/A,FALSE,"T_1 GRAPHS";#N/A,#N/A,FALSE,"T_2 GRAPHS";#N/A,#N/A,FALSE,"COMB_GRAPHS"}</definedName>
    <definedName name="wrn.GROUP." localSheetId="0" hidden="1">{"grppl",#N/A,FALSE,"Group";"grpbs",#N/A,FALSE,"Group";"grpcf",#N/A,FALSE,"Group"}</definedName>
    <definedName name="wrn.Guidelines." localSheetId="0" hidden="1">{"Guidelines",#N/A,FALSE,"Guidelines"}</definedName>
    <definedName name="wrn.Guidelines._1" localSheetId="0" hidden="1">{"Guidelines",#N/A,FALSE,"Guidelines"}</definedName>
    <definedName name="wrn.Guidelines._2" localSheetId="0" hidden="1">{"Guidelines",#N/A,FALSE,"Guidelines"}</definedName>
    <definedName name="wrn.Guidelines._3" localSheetId="0" hidden="1">{"Guidelines",#N/A,FALSE,"Guidelines"}</definedName>
    <definedName name="wrn.GuV." localSheetId="0" hidden="1">{#N/A,#N/A,FALSE,"Layout GuV"}</definedName>
    <definedName name="wrn.GuV._1" localSheetId="0" hidden="1">{#N/A,#N/A,FALSE,"Layout GuV"}</definedName>
    <definedName name="wrn.Hartcliffe." localSheetId="0" hidden="1">{"pl",#N/A,FALSE,"Hcliffe";"cf",#N/A,FALSE,"Hcliffe";"pi",#N/A,FALSE,"Hcliffe";"top10",#N/A,FALSE,"Hcliffe";"compcon",#N/A,FALSE,"Hcliffe"}</definedName>
    <definedName name="wrn.Headoff." localSheetId="0" hidden="1">{"empnos",#N/A,FALSE,"Headoff"}</definedName>
    <definedName name="wrn.HELIUM._.PRICING." localSheetId="0" hidden="1">{"HELIUM PRICING",#N/A,FALSE,"HELIUM"}</definedName>
    <definedName name="wrn.HELIUM._.REVENUE." localSheetId="0" hidden="1">{"HELIUM REVENUE",#N/A,FALSE,"HELIUM"}</definedName>
    <definedName name="wrn.HELIUM._.VOLUME." localSheetId="0" hidden="1">{"HELIUM VOLUME",#N/A,FALSE,"HELIUM"}</definedName>
    <definedName name="wrn.Hongkong." localSheetId="0" hidden="1">{#N/A,#N/A,FALSE,"Tbal";#N/A,#N/A,FALSE,"Trans";#N/A,#N/A,FALSE,"A-1";#N/A,#N/A,FALSE,"A-2";#N/A,#N/A,FALSE,"A-6";#N/A,#N/A,FALSE,"A-15";#N/A,#N/A,FALSE,"B-1";#N/A,#N/A,FALSE,"B-11"}</definedName>
    <definedName name="wrn.ICD." localSheetId="0" hidden="1">{"ICD Details",#N/A,FALSE,"Current Yr";"ICD Details",#N/A,FALSE,"Budget";"ICD Details",#N/A,FALSE,"Prior Year"}</definedName>
    <definedName name="wrn.ICD._.Balance._.Sheet." localSheetId="0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ont" localSheetId="0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IFF94TAX." localSheetId="0" hidden="1">{#N/A,#N/A,FALSE,"?????";#N/A,#N/A,FALSE,"??????";#N/A,#N/A,FALSE,"??";#N/A,#N/A,FALSE,"???";#N/A,#N/A,FALSE,"1? ????";#N/A,#N/A,FALSE,"2? ??";#N/A,#N/A,FALSE,"3(3)?(?) ????";#N/A,#N/A,FALSE,"6? ????";#N/A,#N/A,FALSE,"6? ??(?)";#N/A,#N/A,FALSE,"6? ??(?)";#N/A,#N/A,FALSE,"6-1? ????";#N/A,#N/A,FALSE,"6-3? ??";#N/A,#N/A,FALSE,"6-4? ??(?)";#N/A,#N/A,FALSE,"6-4? ??(?)";#N/A,#N/A,FALSE,"6-5 ? ??";#N/A,#N/A,FALSE,"6-5? ??";#N/A,#N/A,FALSE,"????";#N/A,#N/A,FALSE,"???????";#N/A,#N/A,FALSE,"6-6?(??) ?????";#N/A,#N/A,FALSE,"6-11? ?????";#N/A,#N/A,FALSE,"6-12? ????";#N/A,#N/A,FALSE,"9? ???(?)";#N/A,#N/A,FALSE,"9? ???(?)";#N/A,#N/A,FALSE,"10(3)? ????";#N/A,#N/A,FALSE,"10(4)? ????";#N/A,#N/A,FALSE,"12? ????";#N/A,#N/A,FALSE,"14(1) ????(?)";#N/A,#N/A,FALSE,"59? ????";#N/A,#N/A,FALSE,"????";#N/A,#N/A,FALSE,"?? BS";#N/A,#N/A,FALSE,"??RE";#N/A,#N/A,FALSE,"?? PL"}</definedName>
    <definedName name="wrn.IGRONICbasicdata." localSheetId="0" hidden="1">{"IGRONIC2",#N/A,FALSE,"IG fixed RONIC";"IGRONIC1",#N/A,FALSE,"IG fixed RONIC"}</definedName>
    <definedName name="wrn.IGRONICbasicdata2" localSheetId="0" hidden="1">{"IGRONIC2",#N/A,FALSE,"IG fixed RONIC";"IGRONIC1",#N/A,FALSE,"IG fixed RONIC"}</definedName>
    <definedName name="wrn.imprim.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0" hidden="1">{"income statement",#N/A,FALSE,"ATLAS-A"}</definedName>
    <definedName name="wrn.income._.statement._1" localSheetId="0" hidden="1">{"income statement",#N/A,FALSE,"ATLAS-A"}</definedName>
    <definedName name="wrn.incomestmt." localSheetId="0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ONESIA._.OUTLKOOK." localSheetId="0" hidden="1">{#N/A,#N/A,FALSE,"ASIA"}</definedName>
    <definedName name="wrn.Infectious._.Diseases." localSheetId="0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put._.and._.output.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sheet_ProjectInput." localSheetId="0" hidden="1">{"ProjectInput",#N/A,FALSE,"INPUT-AREA"}</definedName>
    <definedName name="wrn.Inputsheet_ProjectInput._1" localSheetId="0" hidden="1">{"ProjectInput",#N/A,FALSE,"INPUT-AREA"}</definedName>
    <definedName name="wrn.Inputsheet_ProjectInput._2" localSheetId="0" hidden="1">{"ProjectInput",#N/A,FALSE,"INPUT-AREA"}</definedName>
    <definedName name="wrn.Inputsheet_ProjectInput._3" localSheetId="0" hidden="1">{"ProjectInput",#N/A,FALSE,"INPUT-AREA"}</definedName>
    <definedName name="wrn.Inputsheet_ProjectInput._4" localSheetId="0" hidden="1">{"ProjectInput",#N/A,FALSE,"INPUT-AREA"}</definedName>
    <definedName name="wrn.Inputsheet_ProjectInput._5" localSheetId="0" hidden="1">{"ProjectInput",#N/A,FALSE,"INPUT-AREA"}</definedName>
    <definedName name="wrn.Internal." localSheetId="0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po." localSheetId="0" hidden="1">{"assumptions",#N/A,FALSE,"Scenario 1";"valuation",#N/A,FALSE,"Scenario 1"}</definedName>
    <definedName name="wrn.IPO._.Valuation." localSheetId="0" hidden="1">{"assumptions",#N/A,FALSE,"Scenario 1";"valuation",#N/A,FALSE,"Scenario 1"}</definedName>
    <definedName name="wrn.IS._.BS." localSheetId="0" hidden="1">{#N/A,#N/A,FALSE,"Income State.";#N/A,#N/A,FALSE,"B-S"}</definedName>
    <definedName name="wrn.IS._.BS._1" localSheetId="0" hidden="1">{#N/A,#N/A,FALSE,"Income State.";#N/A,#N/A,FALSE,"B-S"}</definedName>
    <definedName name="wrn.IS._.BS._2" localSheetId="0" hidden="1">{#N/A,#N/A,FALSE,"Income State.";#N/A,#N/A,FALSE,"B-S"}</definedName>
    <definedName name="wrn.IS._.BS._3" localSheetId="0" hidden="1">{#N/A,#N/A,FALSE,"Income State.";#N/A,#N/A,FALSE,"B-S"}</definedName>
    <definedName name="wrn.IS._.BS._4" localSheetId="0" hidden="1">{#N/A,#N/A,FALSE,"Income State.";#N/A,#N/A,FALSE,"B-S"}</definedName>
    <definedName name="wrn.IS._.BS._5" localSheetId="0" hidden="1">{#N/A,#N/A,FALSE,"Income State.";#N/A,#N/A,FALSE,"B-S"}</definedName>
    <definedName name="wrn.ISBL." localSheetId="0" hidden="1">{#N/A,#N/A,FALSE,"ISBL"}</definedName>
    <definedName name="wrn.ISBL._1" localSheetId="0" hidden="1">{#N/A,#N/A,FALSE,"ISBL"}</definedName>
    <definedName name="wrn.ISBL._2" localSheetId="0" hidden="1">{#N/A,#N/A,FALSE,"ISBL"}</definedName>
    <definedName name="wrn.ISBL._3" localSheetId="0" hidden="1">{#N/A,#N/A,FALSE,"ISBL"}</definedName>
    <definedName name="wrn.ISBL._4" localSheetId="0" hidden="1">{#N/A,#N/A,FALSE,"ISBL"}</definedName>
    <definedName name="wrn.ISRAEL." localSheetId="0" hidden="1">{#N/A,#N/A,FALSE,"TECH CENTRE RXDU66";#N/A,#N/A,FALSE,"ASU VAAX66";#N/A,#N/A,FALSE,"TCM VAKX66"}</definedName>
    <definedName name="wrn.JANI._.REBATES." localSheetId="0" hidden="1">{"TOTAL",#N/A,FALSE,"A";"FISCAL94",#N/A,FALSE,"A";"FISCAL95",#N/A,FALSE,"A";"FISCAL96",#N/A,FALSE,"A";"misc page",#N/A,FALSE,"A"}</definedName>
    <definedName name="wrn.JANI._.REBATES._1" localSheetId="0" hidden="1">{"TOTAL",#N/A,FALSE,"A";"FISCAL94",#N/A,FALSE,"A";"FISCAL95",#N/A,FALSE,"A";"FISCAL96",#N/A,FALSE,"A";"misc page",#N/A,FALSE,"A"}</definedName>
    <definedName name="wrn.JANI._.REBATES._2" localSheetId="0" hidden="1">{"TOTAL",#N/A,FALSE,"A";"FISCAL94",#N/A,FALSE,"A";"FISCAL95",#N/A,FALSE,"A";"FISCAL96",#N/A,FALSE,"A";"misc page",#N/A,FALSE,"A"}</definedName>
    <definedName name="wrn.JANI._.REBATES._3" localSheetId="0" hidden="1">{"TOTAL",#N/A,FALSE,"A";"FISCAL94",#N/A,FALSE,"A";"FISCAL95",#N/A,FALSE,"A";"FISCAL96",#N/A,FALSE,"A";"misc page",#N/A,FALSE,"A"}</definedName>
    <definedName name="wrn.Japan_Capers_Ed._.Pub." localSheetId="0" hidden="1">{"Japan_Capers_Ed_Pub",#N/A,FALSE,"DI 2 YEAR MASTER SCHEDULE"}</definedName>
    <definedName name="wrn.jck94TAXRETURN." localSheetId="0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ohn." localSheetId="0" hidden="1">{#N/A,#N/A,FALSE,"UK Consol Short"}</definedName>
    <definedName name="wrn.Julie." localSheetId="0" hidden="1">{#N/A,#N/A,FALSE,"UK Consol Short"}</definedName>
    <definedName name="wrn.Justin." localSheetId="0" hidden="1">{#N/A,#N/A,FALSE,"UK Consol Short"}</definedName>
    <definedName name="wrn.JV." localSheetId="0" hidden="1">{#N/A,#N/A,TRUE,"JV-LD";#N/A,#N/A,TRUE,"JV-BON";#N/A,#N/A,TRUE,"JV-PG";#N/A,#N/A,TRUE,"JV-PV"}</definedName>
    <definedName name="wrn.Komplettausdruck." localSheetId="0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localSheetId="0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LA._.SA." localSheetId="0" hidden="1">{"PnL",#N/A,FALSE,"Gas LA SA P&amp;L";"Responsibility",#N/A,FALSE,"Gas LA SA P&amp;L";"Cost Control",#N/A,FALSE,"Gas LA SA P&amp;L";"Program List",#N/A,FALSE,"Gas LA SA P&amp;L"}</definedName>
    <definedName name="wrn.LBO._.Summary." localSheetId="0" hidden="1">{"LBO Summary",#N/A,FALSE,"Summary"}</definedName>
    <definedName name="wrn.LD." localSheetId="0" hidden="1">{#N/A,#N/A,TRUE,"LD-HTED";#N/A,#N/A,TRUE,"LD-PVSE";#N/A,#N/A,TRUE,"LD-SBU3";#N/A,#N/A,TRUE,"LD-R&amp;C";#N/A,#N/A,TRUE,"LD-PPED";#N/A,#N/A,TRUE,"LD-INTL";#N/A,#N/A,TRUE,"BON-R&amp;C"}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vel._.4." localSheetId="0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c." localSheetId="0" hidden="1">{#N/A,#N/A,FALSE,"Annexure 1";#N/A,#N/A,FALSE,"Annexure 2";#N/A,#N/A,FALSE,"Annexure 3";#N/A,#N/A,FALSE,"Annexure 4";#N/A,#N/A,FALSE,"Annexure 6";#N/A,#N/A,FALSE,"Annexure 7";#N/A,#N/A,FALSE,"Annexure 8";#N/A,#N/A,FALSE,"Annexure 9"}</definedName>
    <definedName name="wrn.LJD._.Review._.1." localSheetId="0" hidden="1">{"LJD 1",#N/A,FALSE,"Master";"LJD 2",#N/A,FALSE,"Sheet2";"LJD 3",#N/A,FALSE,"Sheet1";"LJD 4",#N/A,FALSE,"Sheet3";"LJD 5",#N/A,FALSE,"Sheet4"}</definedName>
    <definedName name="wrn.LOWER._.PORTION." localSheetId="0" hidden="1">{#N/A,#N/A,FALSE,"0895";"LOWER PORTION",#N/A,FALSE,"0895"}</definedName>
    <definedName name="wrn.LOWER._.PORTION._1" localSheetId="0" hidden="1">{#N/A,#N/A,FALSE,"0895";"LOWER PORTION",#N/A,FALSE,"0895"}</definedName>
    <definedName name="wrn.LOWER._.PORTION._2" localSheetId="0" hidden="1">{#N/A,#N/A,FALSE,"0895";"LOWER PORTION",#N/A,FALSE,"0895"}</definedName>
    <definedName name="wrn.LOWER._.PORTION._3" localSheetId="0" hidden="1">{#N/A,#N/A,FALSE,"0895";"LOWER PORTION",#N/A,FALSE,"0895"}</definedName>
    <definedName name="wrn.LOWER._.PORTION._4" localSheetId="0" hidden="1">{#N/A,#N/A,FALSE,"0895";"LOWER PORTION",#N/A,FALSE,"0895"}</definedName>
    <definedName name="wrn.LOWER._.PORTION._5" localSheetId="0" hidden="1">{#N/A,#N/A,FALSE,"0895";"LOWER PORTION",#N/A,FALSE,"0895"}</definedName>
    <definedName name="wrn.LPNL." localSheetId="0" hidden="1">{"LPNL1",#N/A,FALSE,"EntitiesWithReclasses";"LPNL2",#N/A,FALSE,"EntitiesWithReclasses";"LPNL3",#N/A,FALSE,"EntitiesWithReclasses"}</definedName>
    <definedName name="wrn.LTCG." localSheetId="0" hidden="1">{"office ltcg",#N/A,FALSE,"gain01";"IT LTCG",#N/A,FALSE,"gain01"}</definedName>
    <definedName name="wrn.LTCG._1" localSheetId="0" hidden="1">{"office ltcg",#N/A,FALSE,"gain01";"IT LTCG",#N/A,FALSE,"gain01"}</definedName>
    <definedName name="wrn.LTCG._2" localSheetId="0" hidden="1">{"office ltcg",#N/A,FALSE,"gain01";"IT LTCG",#N/A,FALSE,"gain01"}</definedName>
    <definedName name="wrn.LTCG._3" localSheetId="0" hidden="1">{"office ltcg",#N/A,FALSE,"gain01";"IT LTCG",#N/A,FALSE,"gain01"}</definedName>
    <definedName name="wrn.m_cash." localSheetId="0" hidden="1">{"cash_marc",#N/A,FALSE,"dec95cr.xls"}</definedName>
    <definedName name="wrn.MAIN." localSheetId="0" hidden="1">{#N/A,#N/A,FALSE,"CF DXB";#N/A,#N/A,FALSE,"Mn St. Ind.";#N/A,#N/A,FALSE,"CF IND"}</definedName>
    <definedName name="wrn.man._.accs." localSheetId="0" hidden="1">{#N/A,#N/A,FALSE,"P&amp;L";#N/A,#N/A,FALSE,"BS";#N/A,#N/A,FALSE,"SPLIT";#N/A,#N/A,FALSE,"RATIOS";#N/A,#N/A,FALSE,"TURN ";#N/A,#N/A,FALSE,"%s"}</definedName>
    <definedName name="wrn.MANAGEMENT._.COSTS." localSheetId="0" hidden="1">{"MANAGEMENT COSTS",#N/A,FALSE,"C.CENTRE"}</definedName>
    <definedName name="wrn.Manpower._.Details.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f." localSheetId="0" hidden="1">{"manpl",#N/A,FALSE,"MANUF";"mancf",#N/A,FALSE,"MANUF";"manpi",#N/A,FALSE,"MANUF"}</definedName>
    <definedName name="wrn.MARK98FULL.1" localSheetId="0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et._.Values." localSheetId="0" hidden="1">{#N/A,#N/A,TRUE,"10 Yr Hold";#N/A,#N/A,TRUE,"7 Yr Hold";#N/A,#N/A,TRUE,"5 Yr Hold";#N/A,#N/A,TRUE,"3 Yr Hold"}</definedName>
    <definedName name="wrn.MARKF98FULL." localSheetId="0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F98FULL.1" localSheetId="0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F98H." localSheetId="0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wrn.MARKF98P.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wrn.Massimo.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XINDIA." localSheetId="0" hidden="1">{"cincome",#N/A,FALSE,"Consolidated";"cbs",#N/A,FALSE,"Consolidated";"ccflow",#N/A,FALSE,"Consolidated";"htcincome",#N/A,FALSE,"Healthcare";"htcrevenue",#N/A,FALSE,"Healthcare";"htcproject",#N/A,FALSE,"Healthcare";"phincome",#N/A,FALSE,"Pharma";"boppincome",#N/A,FALSE,"BOPP";"foilincome",#N/A,FALSE,"FOIL";"corpincome",#N/A,FALSE,"Corporate"}</definedName>
    <definedName name="wrn.MDS1.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tal._.Systems." localSheetId="0" hidden="1">{"pl",#N/A,FALSE,"MetalSys";"cf",#N/A,FALSE,"MetalSys";"pi",#N/A,FALSE,"MetalSys";"top10",#N/A,FALSE,"MetalSys";"compcon",#N/A,FALSE,"MetalSys"}</definedName>
    <definedName name="wrn.MF._.commentary._.on._.variance." localSheetId="0" hidden="1">{"Commentary",#N/A,FALSE,"May"}</definedName>
    <definedName name="wrn.MF._.with._.BA._.detail." localSheetId="0" hidden="1">{"BA detail",#N/A,FALSE,"Q3YTD "}</definedName>
    <definedName name="wrn.MISC." localSheetId="0" hidden="1">{#N/A,#N/A,FALSE,"MISC"}</definedName>
    <definedName name="wrn.MNGT." localSheetId="0" hidden="1">{#N/A,#N/A,TRUE,"KOCH P&amp;L";#N/A,#N/A,TRUE,"sumpl";#N/A,#N/A,TRUE,"2000";#N/A,#N/A,TRUE,"2001";#N/A,#N/A,TRUE,"2002";#N/A,#N/A,TRUE,"2003 ";#N/A,#N/A,TRUE,"brg comm";#N/A,#N/A,TRUE,"lsm comm"}</definedName>
    <definedName name="wrn.Model." localSheetId="0" hidden="1">{"toc",#N/A,FALSE,"toc";"cover1",#N/A,FALSE,"Cover";"consol1",#N/A,FALSE,"Consol";"Acq1",#N/A,FALSE,"Acquiror";"T_Consol1",#N/A,FALSE,"Target_Consol";"Primary1",#N/A,FALSE,"Primary";"Secondary2",#N/A,FALSE,"Secondary";"Sterile1",#N/A,FALSE,"Sterile";"Deprec1",#N/A,FALSE,"Deprec"}</definedName>
    <definedName name="wrn.Model._.Level._.3." localSheetId="0" hidden="1">{"Income (All hidden)",#N/A,FALSE,"Income";"EPS (All Hidden)",#N/A,FALSE,"EPS";"EPS (All Hidden)",#N/A,FALSE,"CashFlow";"Quarterly (Last, Current and Next)",#N/A,FALSE,"Quarterly"}</definedName>
    <definedName name="wrn.model._1" localSheetId="0" hidden="1">{"basic",#N/A,FALSE,"BASIC"}</definedName>
    <definedName name="wrn.model._2" localSheetId="0" hidden="1">{"basic",#N/A,FALSE,"BASIC"}</definedName>
    <definedName name="wrn.model._3" localSheetId="0" hidden="1">{"basic",#N/A,FALSE,"BASIC"}</definedName>
    <definedName name="wrn.Modelprint." localSheetId="0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nthly._.Financials." localSheetId="0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THLYGP." localSheetId="0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localSheetId="0" hidden="1">{"TXO2N2_SLS",#N/A,FALSE,"MTHLYSLES";"TXH2_SLS",#N/A,FALSE,"MTHLYSLES";"LOUIS_SLS",#N/A,FALSE,"MTHLYSLES";"H2_SLS",#N/A,FALSE,"MTHLYSLES";"O2N2_SLS",#N/A,FALSE,"MTHLYSLES";"PACKAGE_SLS",#N/A,FALSE,"MTHLYSLES"}</definedName>
    <definedName name="wrn.MTHYLYVOL." localSheetId="0" hidden="1">{"TEXO2N2_VOL",#N/A,FALSE,"MTHLYVOL";"TEXH2_VOL",#N/A,FALSE,"MTHLYVOL";"LOUIS_VOL",#N/A,FALSE,"MTHLYVOL";"H2_VOL",#N/A,FALSE,"MTHLYVOL";"O2N2_VOL",#N/A,FALSE,"MTHLYVOL";"PACKAGE_VOL",#N/A,FALSE,"MTHLYVOL"}</definedName>
    <definedName name="wrn.NACCFS." localSheetId="0" hidden="1">{"NACCFS",#N/A,FALSE,"NACC";"NACC Assumptions",#N/A,FALSE,"NACC";#N/A,#N/A,FALSE,"NACC PPE"}</definedName>
    <definedName name="wrn.NET._.CIRCULATION." localSheetId="0" hidden="1">{"NETCIRC",#N/A,FALSE,"Net CIrc";"NETCIRCMON",#N/A,FALSE,"Net CIrc"}</definedName>
    <definedName name="wrn.NewRept.xls." localSheetId="0" hidden="1">{#N/A,#N/A,TRUE,"Sheet1";#N/A,#N/A,TRUE,"Sheet2";#N/A,#N/A,TRUE,"Sheet3";#N/A,#N/A,TRUE,"Sheet4";#N/A,#N/A,TRUE,"Sheet5";#N/A,#N/A,TRUE,"Sheet6";#N/A,#N/A,TRUE,"Sheet7"}</definedName>
    <definedName name="wrn.Nico." localSheetId="0" hidden="1">{#N/A,#N/A,TRUE,"Cover";#N/A,#N/A,TRUE,"Transaction Summary";#N/A,#N/A,TRUE,"Earnings Impact";#N/A,#N/A,TRUE,"accretion dilution"}</definedName>
    <definedName name="wrn.Non._.Div._.Balance._.Sheet." localSheetId="0" hidden="1">{#N/A,"NONDV",FALSE,"BSHIST.XLS"}</definedName>
    <definedName name="wrn.North._.America." localSheetId="0" hidden="1">{"PnL",#N/A,FALSE,"Gas NA P&amp;L";"Responsibility",#N/A,FALSE,"Gas NA P&amp;L";"Cost Control",#N/A,FALSE,"Gas NA P&amp;L";"Program List",#N/A,FALSE,"Gas NA P&amp;L"}</definedName>
    <definedName name="wrn.ntfinance." localSheetId="0" hidden="1">{"Rate",#N/A,TRUE,"SUMMARY";"Ratios",#N/A,TRUE,"Ratios";"BUDGETREVENUE",#N/A,TRUE,"Revenue";"TOTALS",#N/A,TRUE,"DETAIL"}</definedName>
    <definedName name="wrn.ntfinance._1" localSheetId="0" hidden="1">{"Rate",#N/A,TRUE,"SUMMARY";"Ratios",#N/A,TRUE,"Ratios";"BUDGETREVENUE",#N/A,TRUE,"Revenue";"TOTALS",#N/A,TRUE,"DETAIL"}</definedName>
    <definedName name="wrn.oct_res_comm." localSheetId="0" hidden="1">{"oct_res_comm",#N/A,FALSE,"VarToBud"}</definedName>
    <definedName name="wrn.Oncology." localSheetId="0" hidden="1">{#N/A,#N/A,FALSE,"Onco";#N/A,#N/A,FALSE,"Taxol";#N/A,#N/A,FALSE,"UFT";#N/A,#N/A,FALSE,"Carb"}</definedName>
    <definedName name="wrn.one" localSheetId="0" hidden="1">{"page1",#N/A,FALSE,"A";"page2",#N/A,FALSE,"A"}</definedName>
    <definedName name="wrn.one." localSheetId="0" hidden="1">{"page1",#N/A,FALSE,"A";"page2",#N/A,FALSE,"A"}</definedName>
    <definedName name="wrn.One._.page._.Summary." localSheetId="0" hidden="1">{"Print One Page",#N/A,FALSE,"SumReport"}</definedName>
    <definedName name="wrn.One._.Pager._.plus._.Technicals." localSheetId="0" hidden="1">{#N/A,#N/A,FALSE,"One Pager";#N/A,#N/A,FALSE,"Technical"}</definedName>
    <definedName name="wrn.One._.Pager._.plus._.Technicals._1" localSheetId="0" hidden="1">{#N/A,#N/A,FALSE,"One Pager";#N/A,#N/A,FALSE,"Technical"}</definedName>
    <definedName name="wrn.One._.Pager._.plus._.Technicals._2" localSheetId="0" hidden="1">{#N/A,#N/A,FALSE,"One Pager";#N/A,#N/A,FALSE,"Technical"}</definedName>
    <definedName name="wrn.One._.Pager._.plus._.Technicals._3" localSheetId="0" hidden="1">{#N/A,#N/A,FALSE,"One Pager";#N/A,#N/A,FALSE,"Technical"}</definedName>
    <definedName name="wrn.Ordered._.packet." localSheetId="0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BL." localSheetId="0" hidden="1">{#N/A,#N/A,FALSE,"OSBL"}</definedName>
    <definedName name="wrn.OSBL._1" localSheetId="0" hidden="1">{#N/A,#N/A,FALSE,"OSBL"}</definedName>
    <definedName name="wrn.OSBL._2" localSheetId="0" hidden="1">{#N/A,#N/A,FALSE,"OSBL"}</definedName>
    <definedName name="wrn.OSBL._3" localSheetId="0" hidden="1">{#N/A,#N/A,FALSE,"OSBL"}</definedName>
    <definedName name="wrn.OSBL._4" localSheetId="0" hidden="1">{#N/A,#N/A,FALSE,"OSBL"}</definedName>
    <definedName name="wrn.OTC._.Market._.Report." localSheetId="0" hidden="1">{#N/A,#N/A,FALSE,"Sales Graph";#N/A,#N/A,FALSE,"BUC Graph";#N/A,#N/A,FALSE,"P&amp;L - YTD"}</definedName>
    <definedName name="wrn.OTHER._.ADMIN._.COSTS." localSheetId="0" hidden="1">{"OTHER ADMIN COSTS",#N/A,FALSE,"C.CENTRE"}</definedName>
    <definedName name="wrn.Other._.Pharm." localSheetId="0" hidden="1">{#N/A,#N/A,FALSE,"Other";#N/A,#N/A,FALSE,"Ace";#N/A,#N/A,FALSE,"Derm"}</definedName>
    <definedName name="wrn.OTHER._.REVENUE." localSheetId="0" hidden="1">{"OTHER REVENUE",#N/A,FALSE,"OTHERS"}</definedName>
    <definedName name="wrn.Output.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s." localSheetId="0" hidden="1">{#N/A,#N/A,FALSE,"Outputs"}</definedName>
    <definedName name="wrn.p" localSheetId="0" hidden="1">{#N/A,#N/A,FALSE,"1";#N/A,#N/A,FALSE,"2";#N/A,#N/A,FALSE,"16 - 17";#N/A,#N/A,FALSE,"18 - 19";#N/A,#N/A,FALSE,"26";#N/A,#N/A,FALSE,"27";#N/A,#N/A,FALSE,"28"}</definedName>
    <definedName name="wrn.Pack._.Report." localSheetId="0" hidden="1">{#N/A,#N/A,FALSE,"UK CONSOL GB£";#N/A,#N/A,FALSE,"UK Consol Short";#N/A,#N/A,FALSE,"Summary UK";#N/A,#N/A,FALSE,"Summary UK - Short"}</definedName>
    <definedName name="wrn.Pages._.1._.to._.8." localSheetId="0" hidden="1">{#N/A,#N/A,FALSE,"UK CONSOL GB£";#N/A,#N/A,FALSE,"UK CONSOL NOV00"}</definedName>
    <definedName name="wrn.PAIM._.TAX._.PRO." localSheetId="0" hidden="1">{#N/A,#N/A,FALSE,"??";#N/A,#N/A,FALSE,"???";#N/A,#N/A,FALSE,"1? ????";#N/A,#N/A,FALSE,"2? ??";#N/A,#N/A,FALSE,"3(3)?(?) ????";#N/A,#N/A,FALSE,"6? ????";#N/A,#N/A,FALSE,"6? ??(?)";#N/A,#N/A,FALSE,"6? ??(?)";#N/A,#N/A,FALSE,"6-1? ????";#N/A,#N/A,FALSE,"6-3? ??";#N/A,#N/A,FALSE,"6-3(3)? ??";#N/A,#N/A,FALSE,"6-3(4)? ??";#N/A,#N/A,FALSE,"6-4? ??(?)";#N/A,#N/A,FALSE,"6-4? ??(?)";#N/A,#N/A,FALSE,"6-5? ??(?)";#N/A,#N/A,FALSE,"6-5? ??(?)";#N/A,#N/A,FALSE,"6-6?(??) ?????";#N/A,#N/A,FALSE,"6-11? ?????";#N/A,#N/A,FALSE,"6-12? ????";#N/A,#N/A,FALSE,"9? ???(?)";#N/A,#N/A,FALSE,"9? ???(?)";#N/A,#N/A,FALSE,"10(3)? ????";#N/A,#N/A,FALSE,"10(3)? ??";#N/A,#N/A,FALSE,"10(4)? ????";#N/A,#N/A,FALSE,"?? BS";#N/A,#N/A,FALSE,"?? PL";#N/A,#N/A,FALSE,"??RE"}</definedName>
    <definedName name="wrn.PandLs." localSheetId="0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trick." localSheetId="0" hidden="1">{#N/A,#N/A,FALSE,"UK CONSOL GB£";#N/A,#N/A,FALSE,"Summary UK";#N/A,#N/A,FALSE,"SSG Div";#N/A,#N/A,FALSE,"Nine West Div";#N/A,#N/A,FALSE,"PaT Div";#N/A,#N/A,FALSE,"SSG Outlet Summary"}</definedName>
    <definedName name="wrn.PBIT_DEV.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localSheetId="0" hidden="1">{"Performance Details",#N/A,FALSE,"Current Yr";"Performance Details",#N/A,FALSE,"Budget";"Performance Details",#N/A,FALSE,"Prior Year"}</definedName>
    <definedName name="wrn.PFDBalance._.Sheet." localSheetId="0" hidden="1">{#N/A,"PURPER",FALSE,"BSHIST.XLS";#N/A,"PURADD",FALSE,"BSHIST.XLS";#N/A,"PURSPP",FALSE,"BSHIST.XLS";#N/A,"CTGIND",FALSE,"BSHIST.XLS";#N/A,"ANCHOR",FALSE,"BSHIST.XLS";#N/A,"SPADD",FALSE,"BSHIST.XLS"}</definedName>
    <definedName name="wrn.PG." localSheetId="0" hidden="1">{#N/A,#N/A,TRUE,"PG-HTED";#N/A,#N/A,TRUE,"PG-PVSE";#N/A,#N/A,TRUE,"PG-SBU3";#N/A,#N/A,TRUE,"PG-R&amp;C";#N/A,#N/A,TRUE,"PG-PPED"}</definedName>
    <definedName name="wrn.PGW." localSheetId="0" hidden="1">{#N/A,#N/A,FALSE,"PGW"}</definedName>
    <definedName name="wrn.PGW._1" localSheetId="0" hidden="1">{#N/A,#N/A,FALSE,"PGW"}</definedName>
    <definedName name="wrn.PGW._2" localSheetId="0" hidden="1">{#N/A,#N/A,FALSE,"PGW"}</definedName>
    <definedName name="wrn.PGW._3" localSheetId="0" hidden="1">{#N/A,#N/A,FALSE,"PGW"}</definedName>
    <definedName name="wrn.PGW._4" localSheetId="0" hidden="1">{#N/A,#N/A,FALSE,"PGW"}</definedName>
    <definedName name="wrn.Pharm._.Market._.Report." localSheetId="0" hidden="1">{#N/A,#N/A,FALSE,"Sales Graph";#N/A,#N/A,FALSE,"PSBM";#N/A,#N/A,FALSE,"BUC Graph";#N/A,#N/A,FALSE,"P&amp;L - YTD"}</definedName>
    <definedName name="wrn.Pharmaceuticals." localSheetId="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0" hidden="1">{"20 Years",#N/A,FALSE,"P&amp;Ls";"2001",#N/A,FALSE,"P&amp;Ls"}</definedName>
    <definedName name="wrn.PL." localSheetId="0" hidden="1">{"20 Years",#N/A,FALSE,"P&amp;Ls";"2001",#N/A,FALSE,"P&amp;Ls"}</definedName>
    <definedName name="wrn.PLFORECAST." localSheetId="0" hidden="1">{"CY",#N/A,FALSE,"FORECAST";"PAYROLL",#N/A,FALSE,"FORECAST";"REC",#N/A,FALSE,"FORECAST";"SALES",#N/A,FALSE,"FORECAST"}</definedName>
    <definedName name="wrn.PLSCHA4." localSheetId="0" hidden="1">{"A4PLSCH",#N/A,FALSE,"sch pl"}</definedName>
    <definedName name="wrn.PMW._.Gruppe._.00_99." localSheetId="0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ymers." localSheetId="0" hidden="1">{"Polymers Details",#N/A,FALSE,"Current Yr";"Polymer Details",#N/A,FALSE,"Budget";"Polymer Details",#N/A,FALSE,"Prior Year"}</definedName>
    <definedName name="wrn.Polymers._.Balance._.Sheet." localSheetId="0" hidden="1">{#N/A,"POLY",FALSE,"BSHIST.XLS";#N/A,"EMUL",FALSE,"BSHIST.XLS";#N/A,"PVOH",FALSE,"BSHIST.XLS";#N/A,"ACET",FALSE,"BSHIST.XLS"}</definedName>
    <definedName name="wrn.polymwe." localSheetId="0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p97schedules." localSheetId="0" hidden="1">{"plansummary",#N/A,FALSE,"PlanSummary";"sales",#N/A,FALSE,"Sales Rec";"productivity",#N/A,FALSE,"Productivity Rec";"capitalspending",#N/A,FALSE,"Capital Spending"}</definedName>
    <definedName name="wrn.ppp" localSheetId="0" hidden="1">{#N/A,#N/A,FALSE,"1";#N/A,#N/A,FALSE,"2";#N/A,#N/A,FALSE,"16 - 17";#N/A,#N/A,FALSE,"18 - 19";#N/A,#N/A,FALSE,"26";#N/A,#N/A,FALSE,"27";#N/A,#N/A,FALSE,"28"}</definedName>
    <definedName name="wrn.pqr" localSheetId="0" hidden="1">{#N/A,#N/A,FALSE,"Sheet7"}</definedName>
    <definedName name="wrn.Presentation." localSheetId="0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localSheetId="0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localSheetId="0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i." localSheetId="0" hidden="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wrn.Price_Effect." localSheetId="0" hidden="1">{"Comp_of_Price_Effect",#N/A,FALSE,"QTRDPVAR"}</definedName>
    <definedName name="wrn.prin2._.all." localSheetId="0" hidden="1">{#N/A,#N/A,FALSE,"Pharm";#N/A,#N/A,FALSE,"WWCM"}</definedName>
    <definedName name="wrn.prin3" localSheetId="0" hidden="1">{#N/A,#N/A,FALSE,"Pharm";#N/A,#N/A,FALSE,"WWCM"}</definedName>
    <definedName name="wrn.print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ALL." localSheetId="0" hidden="1">{#N/A,#N/A,FALSE,"Pharm";#N/A,#N/A,FALSE,"WWCM"}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2" localSheetId="0" hidden="1">{#N/A,#N/A,FALSE,"Pharm";#N/A,#N/A,FALSE,"WWCM"}</definedName>
    <definedName name="wrn.print._.all2" localSheetId="0" hidden="1">{#N/A,#N/A,FALSE,"Pharm";#N/A,#N/A,FALSE,"WWCM"}</definedName>
    <definedName name="wrn.Print._.Forecast." localSheetId="0" hidden="1">{"2004 Inc For",#N/A,FALSE,"2004 Income-Forecast";"2004 Bal For",#N/A,FALSE,"2004 Bal Sheet Forecast";"2004 Cash For",#N/A,FALSE,"2004 Forecast Cash Flow";"2004 Wells For",#N/A,FALSE,"Wells Fargo Covnts Forecast"}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_1" localSheetId="0" hidden="1">{"cap_structure",#N/A,FALSE,"Graph-Mkt Cap";"price",#N/A,FALSE,"Graph-Price";"ebit",#N/A,FALSE,"Graph-EBITDA";"ebitda",#N/A,FALSE,"Graph-EBITDA"}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1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2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3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aw._.data._.entry." localSheetId="0" hidden="1">{"inputs raw data",#N/A,TRUE,"INPUT"}</definedName>
    <definedName name="wrn.print._.raw._.data._.entry._1" localSheetId="0" hidden="1">{"inputs raw data",#N/A,TRUE,"INPUT"}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0" hidden="1">{"summary1",#N/A,TRUE,"Comps";"summary2",#N/A,TRUE,"Comps";"summary3",#N/A,TRUE,"Comps"}</definedName>
    <definedName name="wrn.print._.summary._.sheets._1" localSheetId="0" hidden="1">{"summary1",#N/A,TRUE,"Comps";"summary2",#N/A,TRUE,"Comps";"summary3",#N/A,TRUE,"Comps"}</definedName>
    <definedName name="wrn.Print._.the._.lot." localSheetId="0" hidden="1">{"First Page",#N/A,FALSE,"Surfactants LBO";"Second Page",#N/A,FALSE,"Surfactants LBO"}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1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2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3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1" localSheetId="0" hidden="1">{"vi1",#N/A,FALSE,"Financial Statements";"vi2",#N/A,FALSE,"Financial Statements";#N/A,#N/A,FALSE,"DCF"}</definedName>
    <definedName name="wrn.Print._2" localSheetId="0" hidden="1">{"vi1",#N/A,FALSE,"Financial Statements";"vi2",#N/A,FALSE,"Financial Statements";#N/A,#N/A,FALSE,"DCF"}</definedName>
    <definedName name="wrn.Print._3" localSheetId="0" hidden="1">{"vi1",#N/A,FALSE,"Financial Statements";"vi2",#N/A,FALSE,"Financial Statements";#N/A,#N/A,FALSE,"DCF"}</definedName>
    <definedName name="wrn.Print._4" localSheetId="0" hidden="1">{"vi1",#N/A,FALSE,"Financial Statements";"vi2",#N/A,FALSE,"Financial Statements";#N/A,#N/A,FALSE,"DCF"}</definedName>
    <definedName name="wrn.Print._5" localSheetId="0" hidden="1">{"vi1",#N/A,FALSE,"Financial Statements";"vi2",#N/A,FALSE,"Financial Statements";#N/A,#N/A,FALSE,"DCF"}</definedName>
    <definedName name="wrn.print._all1." localSheetId="0" hidden="1">{#N/A,#N/A,FALSE,"Pharm";#N/A,#N/A,FALSE,"WWCM"}</definedName>
    <definedName name="wrn.print_1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All." localSheetId="0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_1" localSheetId="0" hidden="1">{#N/A,"DR",FALSE,"increm pf";#N/A,"MAMSI",FALSE,"increm pf";#N/A,"MAXI",FALSE,"increm pf";#N/A,"PCAM",FALSE,"increm pf";#N/A,"PHSV",FALSE,"increm pf";#N/A,"SIE",FALSE,"increm pf"}</definedName>
    <definedName name="wrn.Print_Index." localSheetId="0" hidden="1">{"Index",#N/A,FALSE,"Index"}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" localSheetId="0" hidden="1">{#N/A,#N/A,FALSE,"Pharm";#N/A,#N/A,FALSE,"WWCM"}</definedName>
    <definedName name="wrn.printac." localSheetId="0" hidden="1">{#N/A,#N/A,FALSE,"Op-BS";#N/A,#N/A,FALSE,"Assum";#N/A,#N/A,FALSE,"IS";#N/A,#N/A,FALSE,"Syn+Elim";#N/A,#N/A,FALSE,"BSCF";#N/A,#N/A,FALSE,"Blue_IS";#N/A,#N/A,FALSE,"Blue_BSCF";#N/A,#N/A,FALSE,"Ratings"}</definedName>
    <definedName name="wrn.printac._1" localSheetId="0" hidden="1">{#N/A,#N/A,FALSE,"Op-BS";#N/A,#N/A,FALSE,"Assum";#N/A,#N/A,FALSE,"IS";#N/A,#N/A,FALSE,"Syn+Elim";#N/A,#N/A,FALSE,"BSCF";#N/A,#N/A,FALSE,"Blue_IS";#N/A,#N/A,FALSE,"Blue_BSCF";#N/A,#N/A,FALSE,"Ratings"}</definedName>
    <definedName name="wrn.Printall." localSheetId="0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ing._.Report." localSheetId="0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out." localSheetId="0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_1" localSheetId="0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REP." localSheetId="0" hidden="1">{"PRINTREP",#N/A,FALSE,"Sheet1"}</definedName>
    <definedName name="wrn.PRINTREP._1" localSheetId="0" hidden="1">{"PRINTREP",#N/A,FALSE,"Sheet1"}</definedName>
    <definedName name="wrn.Printsmalls." localSheetId="0" hidden="1">{"Printsmall",#N/A,FALSE,"Balance Sheet"}</definedName>
    <definedName name="wrn.Priority._.list." localSheetId="0" hidden="1">{#N/A,#N/A,FALSE,"DI 2 YEAR MASTER SCHEDULE"}</definedName>
    <definedName name="wrn.Prjcted._.Mnthly._.Qtys." localSheetId="0" hidden="1">{#N/A,#N/A,FALSE,"PRJCTED MNTHLY QTY's"}</definedName>
    <definedName name="wrn.Prjcted._.Qtrly._.Dollars." localSheetId="0" hidden="1">{#N/A,#N/A,FALSE,"PRJCTED QTRLY $'s"}</definedName>
    <definedName name="wrn.Prjcted._.Qtrly._.Qtys." localSheetId="0" hidden="1">{#N/A,#N/A,FALSE,"PRJCTED QTRLY QTY's"}</definedName>
    <definedName name="wrn.PRODUCTION._.COSTS." localSheetId="0" hidden="1">{"PRODUCTION COSTS",#N/A,FALSE,"C.CENTRE"}</definedName>
    <definedName name="wrn.products" localSheetId="0" hidden="1">{#N/A,#N/A,FALSE,"1";#N/A,#N/A,FALSE,"2";#N/A,#N/A,FALSE,"16 - 17";#N/A,#N/A,FALSE,"18 - 19";#N/A,#N/A,FALSE,"26";#N/A,#N/A,FALSE,"27";#N/A,#N/A,FALSE,"28"}</definedName>
    <definedName name="wrn.Products." localSheetId="0" hidden="1">{#N/A,#N/A,FALSE,"1";#N/A,#N/A,FALSE,"2";#N/A,#N/A,FALSE,"16 - 17";#N/A,#N/A,FALSE,"18 - 19";#N/A,#N/A,FALSE,"26";#N/A,#N/A,FALSE,"27";#N/A,#N/A,FALSE,"28"}</definedName>
    <definedName name="wrn.Produkt." localSheetId="0" hidden="1">{#N/A,#N/A,FALSE,"Zeitaufnahmen"}</definedName>
    <definedName name="wrn.Profile." localSheetId="0" hidden="1">{"Profile",#N/A,FALSE,"BXS"}</definedName>
    <definedName name="wrn.profit._.and._.loss." localSheetId="0" hidden="1">{"p&amp;l",#N/A,FALSE,"BPLN5YR3"}</definedName>
    <definedName name="wrn.PROFIT._.LOSS._.AC." localSheetId="0" hidden="1">{"PROFIT LOSS AC",#N/A,FALSE,"P&amp;L FY97"}</definedName>
    <definedName name="wrn.Profitability." localSheetId="0" hidden="1">{#N/A,"Good",TRUE,"Sheet1";#N/A,"Normal",TRUE,"Sheet1";#N/A,"Bad",TRUE,"Sheet1"}</definedName>
    <definedName name="wrn.Profitability._1" localSheetId="0" hidden="1">{#N/A,"Good",TRUE,"Sheet1";#N/A,"Normal",TRUE,"Sheet1";#N/A,"Bad",TRUE,"Sheet1"}</definedName>
    <definedName name="wrn.Profitability._2" localSheetId="0" hidden="1">{#N/A,"Good",TRUE,"Sheet1";#N/A,"Normal",TRUE,"Sheet1";#N/A,"Bad",TRUE,"Sheet1"}</definedName>
    <definedName name="wrn.Profitability._3" localSheetId="0" hidden="1">{#N/A,"Good",TRUE,"Sheet1";#N/A,"Normal",TRUE,"Sheet1";#N/A,"Bad",TRUE,"Sheet1"}</definedName>
    <definedName name="wrn.Proforma." localSheetId="0" hidden="1">{"icd","icd",FALSE,"PROFORMA.XLS";"poly","poly",FALSE,"PROFORMA.XLS";"purper","purper",FALSE,"PROFORMA.XLS";"tchem","tchem",FALSE,"PROFORMA.XLS"}</definedName>
    <definedName name="wrn.PROFORMA._.CHECK._.BY._.DIVISION." localSheetId="0" hidden="1">{"PROFORMA CHECK BY DIVISION",#N/A,FALSE,"BSALLNOW.XLS"}</definedName>
    <definedName name="wrn.Project._.Summary." localSheetId="0" hidden="1">{"Summary",#N/A,FALSE,"MICMULT";"Income Statement",#N/A,FALSE,"MICMULT";"Cash Flows",#N/A,FALSE,"MICMULT"}</definedName>
    <definedName name="wrn.Projected._.Statements." localSheetId="0" hidden="1">{#N/A,#N/A,FALSE,"Proj P&amp;L";#N/A,#N/A,FALSE,"WorkCap";#N/A,#N/A,FALSE,"Proj BS";#N/A,#N/A,FALSE,"CashRec"}</definedName>
    <definedName name="wrn.pror" localSheetId="0" hidden="1">{#N/A,#N/A,FALSE,"Pharm";#N/A,#N/A,FALSE,"WWCM"}</definedName>
    <definedName name="wrn.PUCSPADD." localSheetId="0" hidden="1">{#N/A,"PURCHM",FALSE,"Business Analysis";#N/A,"SPADD",FALSE,"Business Analysis"}</definedName>
    <definedName name="wrn.PUCSPADD.2" localSheetId="0" hidden="1">{#N/A,"PURCHM",FALSE,"Business Analysis";#N/A,"SPADD",FALSE,"Business Analysis"}</definedName>
    <definedName name="wrn.pucspadd1" localSheetId="0" hidden="1">{#N/A,"PURCHM",FALSE,"Business Analysis";#N/A,"SPADD",FALSE,"Business Analysis"}</definedName>
    <definedName name="wrn.pucspadd10" localSheetId="0" hidden="1">{#N/A,"PURCHM",FALSE,"Business Analysis";#N/A,"SPADD",FALSE,"Business Analysis"}</definedName>
    <definedName name="wrn.pucspadd102" localSheetId="0" hidden="1">{#N/A,"PURCHM",FALSE,"Business Analysis";#N/A,"SPADD",FALSE,"Business Analysis"}</definedName>
    <definedName name="wrn.pucspadd11" localSheetId="0" hidden="1">{#N/A,"PURCHM",FALSE,"Business Analysis";#N/A,"SPADD",FALSE,"Business Analysis"}</definedName>
    <definedName name="wrn.pucspadd12" localSheetId="0" hidden="1">{#N/A,"PURCHM",FALSE,"Business Analysis";#N/A,"SPADD",FALSE,"Business Analysis"}</definedName>
    <definedName name="wrn.pucspadd31" localSheetId="0" hidden="1">{#N/A,"PURCHM",FALSE,"Business Analysis";#N/A,"SPADD",FALSE,"Business Analysis"}</definedName>
    <definedName name="wrn.Pucspadd34" localSheetId="0" hidden="1">{#N/A,"PURCHM",FALSE,"Business Analysis";#N/A,"SPADD",FALSE,"Business Analysis"}</definedName>
    <definedName name="wrn.PUCSPADD35" localSheetId="0" hidden="1">{#N/A,"PURCHM",FALSE,"Business Analysis";#N/A,"SPADD",FALSE,"Business Analysis"}</definedName>
    <definedName name="wrn.Pulp." localSheetId="0" hidden="1">{"Pulp Production",#N/A,FALSE,"Pulp";"Pulp Earnings",#N/A,FALSE,"Pulp"}</definedName>
    <definedName name="wrn.Pulp.2" localSheetId="0" hidden="1">{"Pulp Production",#N/A,FALSE,"Pulp";"Pulp Earnings",#N/A,FALSE,"Pulp"}</definedName>
    <definedName name="wrn.Pulp.3" localSheetId="0" hidden="1">{"Pulp Production",#N/A,FALSE,"Pulp";"Pulp Earnings",#N/A,FALSE,"Pulp"}</definedName>
    <definedName name="wrn.purchase._.register." localSheetId="0" hidden="1">{#N/A,#N/A,TRUE,"RM-June"}</definedName>
    <definedName name="wrn.PV." localSheetId="0" hidden="1">{#N/A,#N/A,TRUE,"PV-HTED";#N/A,#N/A,TRUE,"PV-PVSE";#N/A,#N/A,TRUE,"PV-R&amp;C";#N/A,#N/A,TRUE,"PV-PPED"}</definedName>
    <definedName name="wrn.QTD." localSheetId="0" hidden="1">{"QTD",#N/A,FALSE,"SUM"}</definedName>
    <definedName name="wrn.QTD_ALL." localSheetId="0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localSheetId="0" hidden="1">{"QTD_GENERALH2",#N/A,FALSE,"QTD"}</definedName>
    <definedName name="wrn.QTD_HYCO." localSheetId="0" hidden="1">{"QTD_HYCO",#N/A,FALSE,"QTD"}</definedName>
    <definedName name="wrn.QTD_LOUISIANA." localSheetId="0" hidden="1">{"QTD_LOUISIANA",#N/A,FALSE,"QTD"}</definedName>
    <definedName name="wrn.QTD_LPTEO2N2." localSheetId="0" hidden="1">{"QTD_LPO2N2",#N/A,FALSE,"QTD"}</definedName>
    <definedName name="wrn.QTD_OTHER." localSheetId="0" hidden="1">{"QTD_OTHER",#N/A,FALSE,"QTD"}</definedName>
    <definedName name="wrn.QTD_PACKAGE." localSheetId="0" hidden="1">{"QTD_PACKAGE",#N/A,FALSE,"QTD"}</definedName>
    <definedName name="wrn.QTD_PRS." localSheetId="0" hidden="1">{"QTD_PRS",#N/A,FALSE,"QTD"}</definedName>
    <definedName name="wrn.Quality._.KPIs." localSheetId="0" hidden="1">{#N/A,#N/A,TRUE,"Quality KPIs"}</definedName>
    <definedName name="wrn.quarterly." localSheetId="0" hidden="1">{"Calenquart",#N/A,FALSE,"Remedy-model";"fiscquarter",#N/A,FALSE,"Remedy-model"}</definedName>
    <definedName name="wrn.Quarterly._.Income._.Statement." localSheetId="0" hidden="1">{#N/A,#N/A,FALSE,"earnings"}</definedName>
    <definedName name="wrn.Quarterly._.revenue._.model." localSheetId="0" hidden="1">{#N/A,#N/A,FALSE,"earnings"}</definedName>
    <definedName name="wrn.Range._.Values." localSheetId="0" hidden="1">{"page1",#N/A,FALSE,"Range Value - Incl Reclasses";"page2",#N/A,FALSE,"Range Value - Incl Reclasses";"page3",#N/A,FALSE,"Range Value - Incl Reclasses"}</definedName>
    <definedName name="wrn.RCC." localSheetId="0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ader." localSheetId="0" hidden="1">{"Reader",#N/A,FALSE,"Summary";"Reader",#N/A,FALSE,"Buildup";"Reader",#N/A,FALSE,"Financials";"Reader",#N/A,FALSE,"Debt &amp; Other"}</definedName>
    <definedName name="wrn.Receivables." localSheetId="0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do." localSheetId="0" hidden="1">{"overview",#N/A,FALSE,"summary";"net assets",#N/A,FALSE,"summary";"asset turnover",#N/A,FALSE,"summary";"orona",#N/A,FALSE,"summary"}</definedName>
    <definedName name="wrn.redo._.2." localSheetId="0" hidden="1">{"sales growth",#N/A,FALSE,"summary";"oper income",#N/A,FALSE,"summary";"oros rank",#N/A,FALSE,"summary";"net assets",#N/A,FALSE,"summary";"asset turnover",#N/A,FALSE,"summary";"orona",#N/A,FALSE,"summary"}</definedName>
    <definedName name="wrn.REP._.AUDIT._.MWOS._.4.5.98." localSheetId="0" hidden="1">{"AUDIT-MWOS WITH POS 7.11.98",#N/A,FALSE,"AUDIT-MWOS"}</definedName>
    <definedName name="wrn.REP1." localSheetId="0" hidden="1">{"REP1",#N/A,FALSE,"HSSA-LOG"}</definedName>
    <definedName name="wrn.REPORT." localSheetId="0" hidden="1">{#N/A,#N/A,TRUE,"index";#N/A,#N/A,TRUE,"Summary";#N/A,#N/A,TRUE,"Continuing Business";#N/A,#N/A,TRUE,"Disposals";#N/A,#N/A,TRUE,"Acquisitions";#N/A,#N/A,TRUE,"Actual &amp; Plan Reconciliation"}</definedName>
    <definedName name="wrn.Report._.1." localSheetId="0" hidden="1">{"All Years",#N/A,FALSE,"All Years";"1998",#N/A,FALSE,"1998 Roney";"1999",#N/A,FALSE,"1999 Roney";"Q3 99",#N/A,FALSE,"YTDQ3-1999 Roney";"Q4 99",#N/A,FALSE,"Q4 1999 Forecast";"2000",#N/A,FALSE,"2000 Roney"}</definedName>
    <definedName name="wrn.Report._.2." localSheetId="0" hidden="1">{#N/A,#N/A,TRUE,"Pivots-Employee";#N/A,"Scenerio2",TRUE,"Assumptions Summary"}</definedName>
    <definedName name="wrn.Report._.2._1" localSheetId="0" hidden="1">{#N/A,#N/A,TRUE,"Pivots-Employee";#N/A,"Scenerio2",TRUE,"Assumptions Summary"}</definedName>
    <definedName name="wrn.REPORT._.7.11.98." localSheetId="0" hidden="1">{#N/A,#N/A,FALSE,"AUDIT-MWOS"}</definedName>
    <definedName name="wrn.Report_PR_1." localSheetId="0" hidden="1">{"PR1","pr1",TRUE,"Sch PR-1"}</definedName>
    <definedName name="wrn.report1" localSheetId="0" hidden="1">{#N/A,#N/A,FALSE,"COVER.XLS";#N/A,#N/A,FALSE,"RACT1.XLS";#N/A,#N/A,FALSE,"RACT2.XLS";#N/A,#N/A,FALSE,"ECCMP";#N/A,#N/A,FALSE,"WELDER.XLS"}</definedName>
    <definedName name="wrn.Report1." localSheetId="0" hidden="1">{#N/A,#N/A,FALSE,"IS";#N/A,#N/A,FALSE,"BS";#N/A,#N/A,FALSE,"CF";#N/A,#N/A,FALSE,"CE";#N/A,#N/A,FALSE,"Depr";#N/A,#N/A,FALSE,"APAL"}</definedName>
    <definedName name="wrn.Report1._1" localSheetId="0" hidden="1">{#N/A,#N/A,FALSE,"IS";#N/A,#N/A,FALSE,"BS";#N/A,#N/A,FALSE,"CF";#N/A,#N/A,FALSE,"CE";#N/A,#N/A,FALSE,"Depr";#N/A,#N/A,FALSE,"APAL"}</definedName>
    <definedName name="wrn.Reports." localSheetId="0" hidden="1">{"Print1",#N/A,TRUE,"Projected Balance Sheets";"Print2",#N/A,TRUE,"Projected Income Statements";"Print3",#N/A,TRUE,"Projected Cash Flow Statements";"Print4",#N/A,TRUE,"Projected Revenue Detail"}</definedName>
    <definedName name="wrn.repot.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0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1" localSheetId="0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MEN." localSheetId="0" hidden="1">{#N/A,#N/A,FALSE,"Carat";"VENTA",#N/A,FALSE,"05";#N/A,#N/A,FALSE,"06";"CASHFLOW",#N/A,FALSE,"05";"TAX PLAN",#N/A,FALSE,"05"}</definedName>
    <definedName name="wrn.Retail." localSheetId="0" hidden="1">{"pl",#N/A,FALSE,"Retail";"cf",#N/A,FALSE,"Retail";"pi",#N/A,FALSE,"Retail";"top10",#N/A,FALSE,"Retail";"compcon",#N/A,FALSE,"Retail"}</definedName>
    <definedName name="wrn.Review._.Schedules." localSheetId="0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sed._.CEC._.slides." localSheetId="0" hidden="1">{#N/A,#N/A,FALSE,"Revised cover";#N/A,#N/A,FALSE,"Trends";"main view",#N/A,FALSE,"As Reported";#N/A,#N/A,FALSE,"delegations";#N/A,#N/A,FALSE,"(un) Commited"}</definedName>
    <definedName name="wrn.ROCE._.breakup._.Summary." localSheetId="0" hidden="1">{"ROCE Summ",#N/A,FALSE,"Property Management Exps"}</definedName>
    <definedName name="wrn.ROUGH." localSheetId="0" hidden="1">{#N/A,#N/A,FALSE,"ROA";#N/A,#N/A,FALSE,"ROI";#N/A,#N/A,FALSE,"EBIT";#N/A,#N/A,FALSE,"MULT X"}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texhibits." localSheetId="0" hidden="1">{#N/A,#N/A,FALSE,"BS";#N/A,#N/A,FALSE,"IS";#N/A,#N/A,FALSE,"RMA ";#N/A,#N/A,FALSE,"ADJ IS";#N/A,#N/A,FALSE,"DCF"}</definedName>
    <definedName name="wrn.RRDOMINION._.TOWER." localSheetId="0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A94TAX." localSheetId="0" hidden="1">{#N/A,#N/A,TRUE,"??";#N/A,#N/A,TRUE,"???";#N/A,#N/A,TRUE,"1? ????";#N/A,#N/A,TRUE,"2? ??";#N/A,#N/A,TRUE,"3(1) ?3 ????";#N/A,#N/A,TRUE,"??????";#N/A,#N/A,TRUE,"?8? ????";#N/A,#N/A,TRUE,"3(1)?7 ????";#N/A,#N/A,TRUE,"3(3)?(?) ????";#N/A,#N/A,TRUE,"6? ????";#N/A,#N/A,TRUE,"6? ??(?)";#N/A,#N/A,TRUE,"6? ??(?)";#N/A,#N/A,TRUE,"6-1? ????";#N/A,#N/A,TRUE,"6-2(4)?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?????";#N/A,#N/A,TRUE,"6-10? ????";#N/A,#N/A,TRUE,"6-11? ?????";#N/A,#N/A,TRUE,"6-12? ????";#N/A,#N/A,TRUE,"6-13? ???";#N/A,#N/A,TRUE,"6-14? ?????";#N/A,#N/A,TRUE,"8? ?????";#N/A,#N/A,TRUE,"9? ???(?)";#N/A,#N/A,TRUE,"9? ???(?)";#N/A,#N/A,TRUE,"10(3)? ????";#N/A,#N/A,TRUE,"10(3)? ??";#N/A,#N/A,TRUE,"10(4)? ????";#N/A,#N/A,TRUE,"14(1)? ? ??";#N/A,#N/A,TRUE,"?? BS";#N/A,#N/A,TRUE,"?? PL";#N/A,#N/A,TRUE,"????";#N/A,#N/A,TRUE,"??RE"}</definedName>
    <definedName name="wrn.saasimple." localSheetId="0" hidden="1">{#N/A,#N/A,FALSE,"1? ????";#N/A,#N/A,FALSE,"2? ??";#N/A,#N/A,FALSE,"3(1)?7 ????";#N/A,#N/A,FALSE,"6? ????";#N/A,#N/A,FALSE,"6? ??(?)";#N/A,#N/A,FALSE,"6? ??(?)";#N/A,#N/A,FALSE,"6-1? ????";#N/A,#N/A,FALSE,"6-3(4)? ??";#N/A,#N/A,FALSE,"6-3? ??";#N/A,#N/A,FALSE,"6-3(3)? ??";#N/A,#N/A,FALSE,"6-3(4)? ??";#N/A,#N/A,FALSE,"6-4? ??(?)";#N/A,#N/A,FALSE,"6-4? ??(?)";#N/A,#N/A,FALSE,"6-5? ??(?)";#N/A,#N/A,FALSE,"6-5? ??(?)";#N/A,#N/A,FALSE,"6-11? ?????";#N/A,#N/A,FALSE,"6-13? ???";#N/A,#N/A,FALSE,"8? ?????";#N/A,#N/A,FALSE,"9? ???(?)";#N/A,#N/A,FALSE,"9? ???(?)";#N/A,#N/A,FALSE,"10(3)? ????";#N/A,#N/A,FALSE,"10(3)? ??";#N/A,#N/A,FALSE,"?? PL";#N/A,#N/A,FALSE,"10(4)? ????";#N/A,#N/A,FALSE,"14(1)? ? ??"}</definedName>
    <definedName name="wrn.sales." localSheetId="0" hidden="1">{"sales",#N/A,FALSE,"Sales";"sales existing",#N/A,FALSE,"Sales";"sales rd1",#N/A,FALSE,"Sales";"sales rd2",#N/A,FALSE,"Sales"}</definedName>
    <definedName name="wrn.sales._1" localSheetId="0" hidden="1">{"sales",#N/A,FALSE,"Sales";"sales existing",#N/A,FALSE,"Sales";"sales rd1",#N/A,FALSE,"Sales";"sales rd2",#N/A,FALSE,"Sales"}</definedName>
    <definedName name="wrn.Scenario._.Summary.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localSheetId="0" hidden="1">{#N/A,#N/A,FALSE,"SCHEDULE"}</definedName>
    <definedName name="wrn.Schedule_1A." localSheetId="0" hidden="1">{"Schedule_IA",#N/A,FALSE,"I-A"}</definedName>
    <definedName name="wrn.Schedule_1B." localSheetId="0" hidden="1">{"Schedule_1B",#N/A,FALSE,"I-B"}</definedName>
    <definedName name="wrn.Schedule_1C." localSheetId="0" hidden="1">{"Schedule_1C",#N/A,FALSE,"I-C"}</definedName>
    <definedName name="wrn.Schedule_1D." localSheetId="0" hidden="1">{"Schedule_1D",#N/A,FALSE,"I-D"}</definedName>
    <definedName name="wrn.Schedule_I." localSheetId="0" hidden="1">{"Schedule_I",#N/A,FALSE,"I"}</definedName>
    <definedName name="wrn.schedules" localSheetId="0" hidden="1">{#N/A,#N/A,TRUE,"Additions to Fixed Assets";#N/A,#N/A,TRUE,"Capital WIP"}</definedName>
    <definedName name="wrn.SCHEDULES." localSheetId="0" hidden="1">{#N/A,#N/A,TRUE,"Additions to Fixed Assets";#N/A,#N/A,TRUE,"Capital WIP"}</definedName>
    <definedName name="wrn.Short." localSheetId="0" hidden="1">{"Revenue",#N/A,FALSE,"Revenue"}</definedName>
    <definedName name="wrn.Short._.Reports." localSheetId="0" hidden="1">{#N/A,#N/A,FALSE,"UK Consol Short";#N/A,#N/A,FALSE,"Summary UK - Short"}</definedName>
    <definedName name="wrn.SL." localSheetId="0" hidden="1">{#N/A,#N/A,FALSE,"TB"}</definedName>
    <definedName name="wrn.SLUS." localSheetId="0" hidden="1">{#N/A,#N/A,FALSE,"TB"}</definedName>
    <definedName name="wrn.Sonstige." localSheetId="0" hidden="1">{#N/A,#N/A,FALSE,"Produkte Erw.";#N/A,#N/A,FALSE,"Produkte Plan";#N/A,#N/A,FALSE,"Leistungen Erw.";#N/A,#N/A,FALSE,"Leistungen Plan";#N/A,#N/A,FALSE,"KA Allg.Kosten (2)";#N/A,#N/A,FALSE,"KA All.Kosten"}</definedName>
    <definedName name="wrn.SPEC._.GAS._.CYLS." localSheetId="0" hidden="1">{"SPEC GAS CYLS",#N/A,FALSE,"SPEC GAS"}</definedName>
    <definedName name="wrn.Staff._.cost1998." localSheetId="0" hidden="1">{#N/A,#N/A,TRUE,"Staffnos &amp; cost"}</definedName>
    <definedName name="wrn.Staffcost." localSheetId="0" hidden="1">{#N/A,#N/A,FALSE,"Staffnos &amp; cost"}</definedName>
    <definedName name="wrn.STAMPA_BD." localSheetId="0" hidden="1">{#N/A,#N/A,FALSE,"TOTAL";#N/A,#N/A,FALSE,"FND";#N/A,#N/A,FALSE,"FSD";#N/A,#N/A,FALSE,"OND";#N/A,#N/A,FALSE,"WTD";#N/A,#N/A,FALSE,"MND";#N/A,#N/A,FALSE,"MSD";#N/A,#N/A,FALSE,"MPD";#N/A,#N/A,FALSE,"ISD";#N/A,#N/A,FALSE,"ESD";#N/A,#N/A,FALSE,"OTH";#N/A,#N/A,FALSE,"PSD";#N/A,#N/A,FALSE,"ELIM";#N/A,#N/A,FALSE,"CHART_YTD";#N/A,#N/A,FALSE,"CHART_MONTH"}</definedName>
    <definedName name="wrn.STAND_ALONE_BOTH." localSheetId="0" hidden="1">{"FCB_ALL",#N/A,FALSE,"FCB";"GREY_ALL",#N/A,FALSE,"GREY"}</definedName>
    <definedName name="wrn.STAND_ALONE_BOTH._1" localSheetId="0" hidden="1">{"FCB_ALL",#N/A,FALSE,"FCB";"GREY_ALL",#N/A,FALSE,"GREY"}</definedName>
    <definedName name="wrn.Standard." localSheetId="0" hidden="1">{#N/A,#N/A,FALSE,"IS US";#N/A,#N/A,FALSE,"BS US";#N/A,#N/A,FALSE,"IS LOCAL";#N/A,#N/A,FALSE,"BS INPUT";#N/A,#N/A,FALSE,"EQUITY";#N/A,#N/A,FALSE,"LOCAL ADJ";#N/A,#N/A,FALSE,"GAAP ADJ"}</definedName>
    <definedName name="wrn.Statements." localSheetId="0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0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1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f." localSheetId="0" hidden="1">{#N/A,#N/A,FALSE,"UK CONSOL GB£";#N/A,#N/A,FALSE,"UK Consol Short";#N/A,#N/A,FALSE,"Summary UK";#N/A,#N/A,FALSE,"Summary UK - Short"}</definedName>
    <definedName name="wrn.stef._.budget." localSheetId="0" hidden="1">{#N/A,#N/A,FALSE,"CONC TOT";#N/A,#N/A,FALSE,"ALLDERS";#N/A,#N/A,FALSE,"BEATTIES";#N/A,#N/A,FALSE,"BENTALLS";#N/A,#N/A,FALSE,"BT";#N/A,#N/A,FALSE,"DEBENHAMS";#N/A,#N/A,FALSE,"DE GRUCHY";#N/A,#N/A,FALSE,"DENNERS";#N/A,#N/A,FALSE,"FENWICK";#N/A,#N/A,FALSE,"HoF";#N/A,#N/A,FALSE,"JARROLD";#N/A,#N/A,FALSE,"McEWANS";#N/A,#N/A,FALSE,"SELFRIDGES";#N/A,#N/A,FALSE,"BURTONS";#N/A,#N/A,FALSE,"NEW HOF";#N/A,#N/A,FALSE,"NEW DEB";#N/A,#N/A,FALSE,"DIVISIONAL"}</definedName>
    <definedName name="wrn.Stef._.Budgets." localSheetId="0" hidden="1">{#N/A,#N/A,FALSE,"TOTAL";#N/A,#N/A,FALSE,"PAT RETAIL";#N/A,#N/A,FALSE,"PAT OUTLETS";#N/A,#N/A,FALSE,"2100 DIV";#N/A,#N/A,FALSE,"2101 SLOANE ST";#N/A,#N/A,FALSE,"2104 19 SMS";#N/A,#N/A,FALSE,"2105 PRINCES SQ";#N/A,#N/A,FALSE,"2106 33G KINGS ";#N/A,#N/A,FALSE,"2107 JAMES ST";#N/A,#N/A,FALSE,"2108 HAMPSTEAD";#N/A,#N/A,FALSE,"2109 HIGH ST K";#N/A,#N/A,FALSE,"2116 NEAL ST";#N/A,#N/A,FALSE,"2117 BRIGHTON";#N/A,#N/A,FALSE,"2122 BRENT X";#N/A,#N/A,FALSE,"2123 LEEDS";#N/A,#N/A,FALSE,"2124 WINDSOR";#N/A,#N/A,FALSE,"2125 BLUEWATER";#N/A,#N/A,FALSE,"2126 RICHMOND";#N/A,#N/A,FALSE,"2128 BIRMINGHAM";#N/A,#N/A,FALSE,"2141 NOTTINGHAM";#N/A,#N/A,FALSE,"2132 HOF GLASGO";#N/A,#N/A,FALSE,"2133 HOF M'TER";#N/A,#N/A,FALSE,"2134 SELFRIDGES";#N/A,#N/A,FALSE,"2135 HOF B'HAM";#N/A,#N/A,FALSE,"2136 HOF M CLTH";#N/A,#N/A,FALSE,"2137 D J CLTH";#N/A,#N/A,FALSE,"2138 HOF G CLTH";#N/A,#N/A,FALSE,"2139 HNICHOLS";#N/A,#N/A,FALSE,"2250 D&amp;J";#N/A,#N/A,FALSE,"2119 SWINDON";#N/A,#N/A,FALSE,"2127 CHESHIRE O";#N/A,#N/A,FALSE,"2140 YORK O"}</definedName>
    <definedName name="wrn.Stef._.Short._.Report." localSheetId="0" hidden="1">{#N/A,#N/A,FALSE,"UK Consol Short";#N/A,#N/A,FALSE,"UK CONSOL GB£";#N/A,#N/A,FALSE,"Summary UK - Short";#N/A,#N/A,FALSE,"Summary UK"}</definedName>
    <definedName name="wrn.SUBSYJV." localSheetId="0" hidden="1">{"mnylincome",#N/A,FALSE,"MNYL";"mnylbs",#N/A,FALSE,"MNYL";"mnylcflow1",#N/A,FALSE,"MNYL";"ateevincome",#N/A,FALSE,"Ateev";"ateevbs",#N/A,FALSE,"Ateev";"ateevcflow",#N/A,FALSE,"Ateev";"comsatincome",#N/A,FALSE,"Comsat";"comsatbs",#N/A,FALSE,"Comsat";"comsatcflow",#N/A,FALSE,"Comsat";"avnetincome",#N/A,FALSE,"Avnet";"avnetbs",#N/A,FALSE,"Avnet";"anetcflow",#N/A,FALSE,"Avnet";"hsbincome",#N/A,FALSE,"Healthscribe";"hsbbs",#N/A,FALSE,"Healthscribe";"hsbcflow",#N/A,FALSE,"Healthscribe";"nasiaincome",#N/A,FALSE,"Neeman India";"nasiabs",#N/A,FALSE,"Neeman India";"nasiacflow1",#N/A,FALSE,"Neeman India";"nincincome",#N/A,FALSE,"Neeman USA";"nincbs",#N/A,FALSE,"Neeman USA";"ninccflow",#N/A,FALSE,"Neeman USA";"icicincome",#N/A,FALSE,"ICIC";"icicbs",#N/A,FALSE,"ICIC";"iciccflow",#N/A,FALSE,"ICIC"}</definedName>
    <definedName name="wrn.Sum._.Uk._.and._.Divs." localSheetId="0" hidden="1">{#N/A,#N/A,FALSE,"Summary UK";#N/A,#N/A,FALSE,"SSG Div";#N/A,#N/A,FALSE,"Nine West Div";#N/A,#N/A,FALSE,"PaT Div"}</definedName>
    <definedName name="wrn.summ1" localSheetId="0" hidden="1">{#N/A,#N/A,FALSE,"COVER1.XLS ";#N/A,#N/A,FALSE,"RACT1.XLS";#N/A,#N/A,FALSE,"RACT2.XLS";#N/A,#N/A,FALSE,"ECCMP";#N/A,#N/A,FALSE,"WELDER.XLS"}</definedName>
    <definedName name="wrn.summaries." localSheetId="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localSheetId="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0" hidden="1">{#N/A,#N/A,FALSE,"SUMMARY";#N/A,#N/A,FALSE,"SUMMARY"}</definedName>
    <definedName name="wrn.summary._1" localSheetId="0" hidden="1">{"financials",#N/A,FALSE,"BASIC"}</definedName>
    <definedName name="wrn.summary._2" localSheetId="0" hidden="1">{"financials",#N/A,FALSE,"BASIC"}</definedName>
    <definedName name="wrn.summary._3" localSheetId="0" hidden="1">{"financials",#N/A,FALSE,"BASIC"}</definedName>
    <definedName name="wrn.SUMMARY._4" localSheetId="0" hidden="1">{#N/A,#N/A,FALSE,"SUMMARY";#N/A,#N/A,FALSE,"SUMMARY"}</definedName>
    <definedName name="wrn.SummaryReport." localSheetId="0" hidden="1">{"Header",#N/A,TRUE,"Summary";"ProjectInfo",#N/A,TRUE,"Total Value"}</definedName>
    <definedName name="wrn.t_cash." localSheetId="0" hidden="1">{"cash_tes",#N/A,FALSE,"dec95cr.xls"}</definedName>
    <definedName name="wrn.Tableaux._.A." localSheetId="0" hidden="1">{#N/A,#N/A,FALSE,"Tabl. A1";#N/A,#N/A,FALSE,"Tabl. A1 b";#N/A,#N/A,FALSE,"Tabl. A2";#N/A,#N/A,FALSE,"Tabl. A2-1";#N/A,#N/A,FALSE,"Tabl. A2-2"}</definedName>
    <definedName name="wrn.Tableaux._.D." localSheetId="0" hidden="1">{#N/A,#N/A,FALSE,"Tabl. D1";#N/A,#N/A,FALSE,"Tabl. D1 b";#N/A,#N/A,FALSE,"Tabl. D2";#N/A,#N/A,FALSE,"Tabl. D2 b";#N/A,#N/A,FALSE,"Tabl. D3";#N/A,#N/A,FALSE,"Tabl. D4";#N/A,#N/A,FALSE,"Tabl. D5"}</definedName>
    <definedName name="wrn.Tableaux._.F." localSheetId="0" hidden="1">{#N/A,#N/A,FALSE,"Tabl. FB300";#N/A,#N/A,FALSE,"Tabl. FB350";#N/A,#N/A,FALSE,"Tabl. FB400";#N/A,#N/A,FALSE,"Tabl. FB500";#N/A,#N/A,FALSE,"Tabl. FS090"}</definedName>
    <definedName name="wrn.Tableaux._.G." localSheetId="0" hidden="1">{#N/A,#N/A,FALSE,"Tabl. G1";#N/A,#N/A,FALSE,"Tabl. G2"}</definedName>
    <definedName name="wrn.Tableaux._.H." localSheetId="0" hidden="1">{#N/A,#N/A,FALSE,"Tabl. H1";#N/A,#N/A,FALSE,"Tabl. H2"}</definedName>
    <definedName name="wrn.Target._.Summary." localSheetId="0" hidden="1">{"SUMMARY",#N/A,FALSE,"Sheet1"}</definedName>
    <definedName name="wrn.TB." localSheetId="0" hidden="1">{#N/A,#N/A,FALSE,"TB"}</definedName>
    <definedName name="wrn.Teacher." localSheetId="0" hidden="1">{"Teacher",#N/A,FALSE,"Summary";"Teacher",#N/A,FALSE,"Assumptions";"Teacher",#N/A,FALSE,"Buildup";"Teacher",#N/A,FALSE,"Financials";"Teacher",#N/A,FALSE,"Debt &amp; Other"}</definedName>
    <definedName name="wrn.test." localSheetId="0" hidden="1">{"test2",#N/A,TRUE,"Prices"}</definedName>
    <definedName name="wrn.test._1" localSheetId="0" hidden="1">{"test2",#N/A,TRUE,"Prices"}</definedName>
    <definedName name="wrn.TOP._.PORTION." localSheetId="0" hidden="1">{"TOP PORTION",#N/A,FALSE,"0895"}</definedName>
    <definedName name="wrn.TOP._.PORTION._1" localSheetId="0" hidden="1">{"TOP PORTION",#N/A,FALSE,"0895"}</definedName>
    <definedName name="wrn.TOP._.PORTION._2" localSheetId="0" hidden="1">{"TOP PORTION",#N/A,FALSE,"0895"}</definedName>
    <definedName name="wrn.TOP._.PORTION._3" localSheetId="0" hidden="1">{"TOP PORTION",#N/A,FALSE,"0895"}</definedName>
    <definedName name="wrn.TOP._.PORTION._4" localSheetId="0" hidden="1">{"TOP PORTION",#N/A,FALSE,"0895"}</definedName>
    <definedName name="wrn.TOP._.PORTION._5" localSheetId="0" hidden="1">{"TOP PORTION",#N/A,FALSE,"0895"}</definedName>
    <definedName name="wrn.Top._.Ten._.Summary." localSheetId="0" hidden="1">{#N/A,#N/A,FALSE,"Summary"}</definedName>
    <definedName name="wrn.Tota._.Division103a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Business." localSheetId="0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localSheetId="0" hidden="1">{#N/A,"TCHEM",FALSE,"BSHIST.XLS"}</definedName>
    <definedName name="wrn.Total._.Division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localSheetId="0" hidden="1">{#N/A,#N/A,FALSE,"Sales Graph";#N/A,#N/A,FALSE,"BUC Graph";#N/A,#N/A,FALSE,"P&amp;L - YTD"}</definedName>
    <definedName name="wrn.total._.package." localSheetId="0" hidden="1">{"BORROWING BASE CERTIFICATE",#N/A,TRUE,"BBC";"INVENTORY AND RESERVES",#N/A,TRUE,"INV";"XAGE",#N/A,TRUE,"INEL AR";"INELG AR SUMMARY",#N/A,TRUE,"INEL AR";"misc",#N/A,TRUE,"INEL AR";"VITALE AR",#N/A,TRUE,"INEL AR";"demand loans",#N/A,TRUE,"INEL AR"}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_1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_2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_3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Division11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r." localSheetId="0" hidden="1">{"Totax",#N/A,FALSE,"Sheet1";#N/A,#N/A,FALSE,"Law Output"}</definedName>
    <definedName name="wrn.Totar._1" localSheetId="0" hidden="1">{"Totax",#N/A,FALSE,"Sheet1";#N/A,#N/A,FALSE,"Law Output"}</definedName>
    <definedName name="wrn.Totar._2" localSheetId="0" hidden="1">{"Totax",#N/A,FALSE,"Sheet1";#N/A,#N/A,FALSE,"Law Output"}</definedName>
    <definedName name="wrn.Totar._3" localSheetId="0" hidden="1">{"Totax",#N/A,FALSE,"Sheet1";#N/A,#N/A,FALSE,"Law Output"}</definedName>
    <definedName name="wrn.Totar._4" localSheetId="0" hidden="1">{"Totax",#N/A,FALSE,"Sheet1";#N/A,#N/A,FALSE,"Law Output"}</definedName>
    <definedName name="wrn.Totar._5" localSheetId="0" hidden="1">{"Totax",#N/A,FALSE,"Sheet1";#N/A,#N/A,FALSE,"Law Output"}</definedName>
    <definedName name="wrn.Tout._.Sauf._.BG.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WNSHIP." localSheetId="0" hidden="1">{#N/A,#N/A,FALSE,"TOWNSHIP"}</definedName>
    <definedName name="wrn.TOWNSHIP._1" localSheetId="0" hidden="1">{#N/A,#N/A,FALSE,"TOWNSHIP"}</definedName>
    <definedName name="wrn.TOWNSHIP._2" localSheetId="0" hidden="1">{#N/A,#N/A,FALSE,"TOWNSHIP"}</definedName>
    <definedName name="wrn.TOWNSHIP._3" localSheetId="0" hidden="1">{#N/A,#N/A,FALSE,"TOWNSHIP"}</definedName>
    <definedName name="wrn.TOWNSHIP._4" localSheetId="0" hidden="1">{#N/A,#N/A,FALSE,"TOWNSHIP"}</definedName>
    <definedName name="wrn.TRANSPORT._.COSTS." localSheetId="0" hidden="1">{"TRANSPORT COSTS",#N/A,FALSE,"C.CENTRE"}</definedName>
    <definedName name="wrn.TRAVELLING." localSheetId="0" hidden="1">{#N/A,#N/A,FALSE,"Sheet3"}</definedName>
    <definedName name="wrn.TRAVELLING._1" localSheetId="0" hidden="1">{#N/A,#N/A,FALSE,"Sheet3"}</definedName>
    <definedName name="wrn.Trial._.Balance." localSheetId="0" hidden="1">{#N/A,#N/A,TRUE,"constb"}</definedName>
    <definedName name="wrn.Typhoon." localSheetId="0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localSheetId="0" hidden="1">{"Agg Output",#N/A,FALSE,"Operational Drivers Output";"NW Output",#N/A,FALSE,"Operational Drivers Output";"South Output",#N/A,FALSE,"Operational Drivers Output";"Central Output",#N/A,FALSE,"Operational Drivers Output"}</definedName>
    <definedName name="wrn.UNIONGAS94TAXRETURN." localSheetId="0" hidden="1">{#N/A,#N/A,FALSE,"?????";#N/A,#N/A,FALSE,"??????";#N/A,#N/A,FALSE,"??";#N/A,#N/A,FALSE,"???";#N/A,#N/A,FALSE,"1? ????";#N/A,#N/A,FALSE,"1-2? ?????";#N/A,#N/A,FALSE,"2? ??";#N/A,#N/A,FALSE,"2??? ????";#N/A,#N/A,FALSE,"3(1)? ????";#N/A,#N/A,FALSE,"3(1) ?3 ????";#N/A,#N/A,FALSE,"3? ??????";#N/A,#N/A,FALSE,"?8? ????";#N/A,#N/A,FALSE,"3(1)?7 ????";#N/A,#N/A,FALSE,"3(3)?(?) ????";#N/A,#N/A,FALSE,"5? ???";#N/A,#N/A,FALSE,"5?2 ???(?)";#N/A,#N/A,FALSE,"6? ????";#N/A,#N/A,FALSE,"6? ??(?)";#N/A,#N/A,FALSE,"6? ??(?)";#N/A,#N/A,FALSE,"6-1? ????";#N/A,#N/A,FALSE,"6-3? ??";#N/A,#N/A,FALSE,"6-3(4)? ??";#N/A,#N/A,FALSE,"6-4? ??(?)";#N/A,#N/A,FALSE,"6-4? ??(?)";#N/A,#N/A,FALSE,"6-5? ??(?)";#N/A,#N/A,FALSE,"6-6?(??) ?????";#N/A,#N/A,FALSE,"6-7? ????(?)";#N/A,#N/A,FALSE,"6-7? ???(?)";#N/A,#N/A,FALSE,"6-10? ????";#N/A,#N/A,FALSE,"6-11? ?????";#N/A,#N/A,FALSE,"6-12? ????";#N/A,#N/A,FALSE,"6-13? ???";#N/A,#N/A,FALSE,"6-14? ?????";#N/A,#N/A,FALSE,"8? ?????";#N/A,#N/A,FALSE,"9? ???(?)";#N/A,#N/A,FALSE,"9? ???(?)";#N/A,#N/A,FALSE,"10(3)? ????";#N/A,#N/A,FALSE,"10(3)? ??";#N/A,#N/A,FALSE,"10(4)? ????";#N/A,#N/A,FALSE,"14(1)? ? ??";#N/A,#N/A,FALSE,"59? ????";#N/A,#N/A,FALSE,"60? ? ????";#N/A,#N/A,FALSE,"60? ? ????";#N/A,#N/A,FALSE,"?? BS";#N/A,#N/A,FALSE,"?? PL";#N/A,#N/A,FALSE,"????";#N/A,#N/A,FALSE,"??RE"}</definedName>
    <definedName name="wrn.upstairs." localSheetId="0" hidden="1">{"histincome",#N/A,FALSE,"hyfins";"closing balance",#N/A,FALSE,"hyfins"}</definedName>
    <definedName name="wrn.upstairs._1" localSheetId="0" hidden="1">{"histincome",#N/A,FALSE,"hyfins";"closing balance",#N/A,FALSE,"hyfins"}</definedName>
    <definedName name="wrn.US._.Flash._.Report." localSheetId="0" hidden="1">{#N/A,#N/A,FALSE,"IS GBP";#N/A,#N/A,FALSE,"IS USD";"US Balance Sheet",#N/A,FALSE,"B SHEET";"UK Balance Sheet",#N/A,FALSE,"B SHEET"}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_1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_2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_3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1" localSheetId="0" hidden="1">{#N/A,#N/A,FALSE,"Valuation Assumptions";#N/A,#N/A,FALSE,"Summary";#N/A,#N/A,FALSE,"DCF";#N/A,#N/A,FALSE,"Valuation";#N/A,#N/A,FALSE,"WACC";#N/A,#N/A,FALSE,"UBVH";#N/A,#N/A,FALSE,"Free Cash Flow"}</definedName>
    <definedName name="wrn.VALUATION._2" localSheetId="0" hidden="1">{#N/A,#N/A,FALSE,"Valuation Assumptions";#N/A,#N/A,FALSE,"Summary";#N/A,#N/A,FALSE,"DCF";#N/A,#N/A,FALSE,"Valuation";#N/A,#N/A,FALSE,"WACC";#N/A,#N/A,FALSE,"UBVH";#N/A,#N/A,FALSE,"Free Cash Flow"}</definedName>
    <definedName name="wrn.VALUATION._3" localSheetId="0" hidden="1">{#N/A,#N/A,FALSE,"Valuation Assumptions";#N/A,#N/A,FALSE,"Summary";#N/A,#N/A,FALSE,"DCF";#N/A,#N/A,FALSE,"Valuation";#N/A,#N/A,FALSE,"WACC";#N/A,#N/A,FALSE,"UBVH";#N/A,#N/A,FALSE,"Free Cash Flow"}</definedName>
    <definedName name="wrn.VALUATION._4" localSheetId="0" hidden="1">{#N/A,#N/A,FALSE,"Valuation Assumptions";#N/A,#N/A,FALSE,"Summary";#N/A,#N/A,FALSE,"DCF";#N/A,#N/A,FALSE,"Valuation";#N/A,#N/A,FALSE,"WACC";#N/A,#N/A,FALSE,"UBVH";#N/A,#N/A,FALSE,"Free Cash Flow"}</definedName>
    <definedName name="wrn.VALUATION._5" localSheetId="0" hidden="1">{#N/A,#N/A,FALSE,"Valuation Assumptions";#N/A,#N/A,FALSE,"Summary";#N/A,#N/A,FALSE,"DCF";#N/A,#N/A,FALSE,"Valuation";#N/A,#N/A,FALSE,"WACC";#N/A,#N/A,FALSE,"UBVH";#N/A,#N/A,FALSE,"Free Cash Flow"}</definedName>
    <definedName name="wrn.Variance." localSheetId="0" hidden="1">{"Act_vs_Budget",#N/A,FALSE,"QTRDPVAR";"Act_vs_Prior_Year",#N/A,FALSE,"QTRDPVAR"}</definedName>
    <definedName name="wrn.VARIOS.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d." localSheetId="0" hidden="1">{#N/A,#N/A,TRUE,"BT M200 da 10x20"}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_1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_2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_3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ATERTOWN._.BUDGET." localSheetId="0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EKLY." localSheetId="0" hidden="1">{#N/A,#N/A,FALSE,"WRSUMMARY";#N/A,#N/A,FALSE,"ANNEX-1";#N/A,#N/A,FALSE,"ANNEX-2";#N/A,#N/A,FALSE,"ANNEX-3";#N/A,#N/A,FALSE,"WORKING"}</definedName>
    <definedName name="wrn.weeks._.1._.to._.52." localSheetId="0" hidden="1">{"Quarter1",#N/A,FALSE,"Sheet1";"Quarter2",#N/A,FALSE,"Sheet1";"Quarter3",#N/A,FALSE,"Sheet1";"Quarter4",#N/A,FALSE,"Sheet1"}</definedName>
    <definedName name="wrn.Western._.Metal." localSheetId="0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orking._.Version." localSheetId="0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localSheetId="0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X140." localSheetId="0" hidden="1">{"page1",#N/A,FALSE,"X140withReclasses";"page2",#N/A,FALSE,"X140withReclasses";"page3",#N/A,FALSE,"X140withReclasses"}</definedName>
    <definedName name="wrn.xrates." localSheetId="0" hidden="1">{#N/A,#N/A,FALSE,"1996";#N/A,#N/A,FALSE,"1995";#N/A,#N/A,FALSE,"1994"}</definedName>
    <definedName name="wrn.xrates._1" localSheetId="0" hidden="1">{#N/A,#N/A,FALSE,"1996";#N/A,#N/A,FALSE,"1995";#N/A,#N/A,FALSE,"1994"}</definedName>
    <definedName name="wrn.YTD." localSheetId="0" hidden="1">{"YTD",#N/A,FALSE,"SUM"}</definedName>
    <definedName name="wrn.YTD._.PACKAGE." localSheetId="0" hidden="1">{"YD PACKAGE",#N/A,FALSE,"YTD"}</definedName>
    <definedName name="wrn.YTD._.PRS." localSheetId="0" hidden="1">{"YD PRS",#N/A,FALSE,"YTD"}</definedName>
    <definedName name="wrn.YTD_ALL." localSheetId="0" hidden="1">{"YD LAPO2",#N/A,FALSE,"YTD";"YD LPH2",#N/A,FALSE,"YTD";"YD LOUISIANA",#N/A,FALSE,"YTD";"YD GENERALH2",#N/A,FALSE,"YTD";"YD PRS",#N/A,FALSE,"YTD";"YD PACKAGE",#N/A,FALSE,"YTD";"YD OTHER",#N/A,FALSE,"YTD"}</definedName>
    <definedName name="wrn.YTD_GENERALH2." localSheetId="0" hidden="1">{"YD GENERALH2",#N/A,FALSE,"YTD"}</definedName>
    <definedName name="wrn.YTD_LAPORTE_O2N2." localSheetId="0" hidden="1">{"YD LAPO2",#N/A,FALSE,"YTD"}</definedName>
    <definedName name="wrn.YTD_LOUISIANA." localSheetId="0" hidden="1">{"YD LOUISIANA",#N/A,FALSE,"YTD"}</definedName>
    <definedName name="wrn.YTD_OTHER." localSheetId="0" hidden="1">{"YD OTHER",#N/A,FALSE,"YTD"}</definedName>
    <definedName name="wrn.YTD_TEXAS._.HYCO." localSheetId="0" hidden="1">{"YD LPH2",#N/A,FALSE,"YTD"}</definedName>
    <definedName name="wrn.YTDvsBud." localSheetId="0" hidden="1">{"Pg1",#N/A,FALSE,"OpExYTDvsBud";"Pg2",#N/A,FALSE,"OpExYTDvsBud"}</definedName>
    <definedName name="wrn.YTDvsPY." localSheetId="0" hidden="1">{"Pa1",#N/A,FALSE,"OpExYTDvsPY";"Pa2",#N/A,FALSE,"OpExYTDvsPY"}</definedName>
    <definedName name="wrn.מאזן_בוחן_כללי." localSheetId="0" hidden="1">{#N/A,#N/A,FALSE,"מאזן בוחן";"כל_מאזן_בוחן",#N/A,FALSE,"מאזן בוחן"}</definedName>
    <definedName name="wrn.סעיפי_מאזן_בוחן.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ㄐ." localSheetId="0" hidden="1">{"O",#N/A,FALSE,"91.04開發申請"}</definedName>
    <definedName name="wrn.간단한세무조정계산서." localSheetId="0" hidden="1">{#N/A,#N/A,TRUE,"일반적사항";#N/A,#N/A,TRUE,"주요재무자료"}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玩." localSheetId="0" hidden="1">{"P",#N/A,FALSE,"91.04開發申請"}</definedName>
    <definedName name="wrn.银川起重机总厂评估报告." localSheetId="0" hidden="1">{#N/A,#N/A,TRUE,"流动资产--预付";"宁夏正大会计师事务所 - 个人视面",#N/A,TRUE,"Sheet1"}</definedName>
    <definedName name="wrn.開發表全部." localSheetId="0" hidden="1">{"開發表全部",#N/A,TRUE,"土開法"}</definedName>
    <definedName name="wrn1.abc" localSheetId="0" hidden="1">{#N/A,#N/A,FALSE,"Sheet7"}</definedName>
    <definedName name="wrn1.brief" localSheetId="0" hidden="1">{#N/A,#N/A,TRUE,"Summary";#N/A,#N/A,TRUE,"Balance Sheet";#N/A,#N/A,TRUE,"P &amp; L";#N/A,#N/A,TRUE,"Fixed Assets";#N/A,#N/A,TRUE,"Cash Flows"}</definedName>
    <definedName name="wrn1.Current._.Month._.Everything" localSheetId="0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datapak" localSheetId="0" hidden="1">{#N/A,#N/A,FALSE,"Status of Projects";#N/A,#N/A,FALSE,"CEA-TEC";#N/A,#N/A,FALSE,"U-Constr.";#N/A,#N/A,FALSE,"summary";#N/A,#N/A,FALSE,"PPP-3 yrs"}</definedName>
    <definedName name="wrn1.elaborate" localSheetId="0" hidden="1">{#N/A,#N/A,FALSE,"Cash Flows";#N/A,#N/A,FALSE,"Fixed Assets";#N/A,#N/A,FALSE,"Balance Sheet";#N/A,#N/A,FALSE,"P &amp; L"}</definedName>
    <definedName name="WRN1.POL" localSheetId="0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0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RINT." localSheetId="0" hidden="1">{"DOWNLOAD",#N/A,FALSE,"GLDownload";"UPLOAD",#N/A,FALSE,"GLUpload"}</definedName>
    <definedName name="wrn1.r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2.ALL.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report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0" hidden="1">{#N/A,#N/A,FALSE,"DCF";#N/A,#N/A,FALSE,"WACC";#N/A,#N/A,FALSE,"Sales_EBIT";#N/A,#N/A,FALSE,"Capex_Depreciation";#N/A,#N/A,FALSE,"WC";#N/A,#N/A,FALSE,"Interest";#N/A,#N/A,FALSE,"Assumptions"}</definedName>
    <definedName name="wrn3.ALL._1" localSheetId="0" hidden="1">{#N/A,#N/A,FALSE,"DCF";#N/A,#N/A,FALSE,"WACC";#N/A,#N/A,FALSE,"Sales_EBIT";#N/A,#N/A,FALSE,"Capex_Depreciation";#N/A,#N/A,FALSE,"WC";#N/A,#N/A,FALSE,"Interest";#N/A,#N/A,FALSE,"Assumptions"}</definedName>
    <definedName name="wrna.prod" localSheetId="0" hidden="1">{#N/A,#N/A,FALSE,"1";#N/A,#N/A,FALSE,"2";#N/A,#N/A,FALSE,"16 - 17";#N/A,#N/A,FALSE,"18 - 19";#N/A,#N/A,FALSE,"26";#N/A,#N/A,FALSE,"27";#N/A,#N/A,FALSE,"28"}</definedName>
    <definedName name="wrnaboth" localSheetId="0" hidden="1">{"detail",#N/A,FALSE,"mfg";"summary",#N/A,FALSE,"mfg"}</definedName>
    <definedName name="wrnats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localSheetId="0" hidden="1">{"detail",#N/A,FALSE,"mfg";"summary",#N/A,FALSE,"mfg"}</definedName>
    <definedName name="wrnavpucspadd" localSheetId="0" hidden="1">{#N/A,"PURCHM",FALSE,"Business Analysis";#N/A,"SPADD",FALSE,"Business Analysis"}</definedName>
    <definedName name="wrnb213" localSheetId="0" hidden="1">{"detail",#N/A,FALSE,"mfg";"summary",#N/A,FALSE,"mfg"}</definedName>
    <definedName name="wrnb412" localSheetId="0" hidden="1">{"detail",#N/A,FALSE,"mfg";"summary",#N/A,FALSE,"mfg"}</definedName>
    <definedName name="wrnboth14a" localSheetId="0" hidden="1">{"detail",#N/A,FALSE,"mfg";"summary",#N/A,FALSE,"mfg"}</definedName>
    <definedName name="wrnfy97" localSheetId="0" hidden="1">{#N/A,#N/A,FALSE,"FY97";#N/A,#N/A,FALSE,"FY98";#N/A,#N/A,FALSE,"FY99";#N/A,#N/A,FALSE,"FY00";#N/A,#N/A,FALSE,"FY01"}</definedName>
    <definedName name="wrnfy97_1" localSheetId="0" hidden="1">{#N/A,#N/A,FALSE,"FY97";#N/A,#N/A,FALSE,"FY98";#N/A,#N/A,FALSE,"FY99";#N/A,#N/A,FALSE,"FY00";#N/A,#N/A,FALSE,"FY01"}</definedName>
    <definedName name="WRNP41" localSheetId="0" hidden="1">{#N/A,"PURCHM",FALSE,"Business Analysis";#N/A,"SPADD",FALSE,"Business Analysis"}</definedName>
    <definedName name="wrnp61" localSheetId="0" hidden="1">{#N/A,"PURCHM",FALSE,"Business Analysis";#N/A,"SPADD",FALSE,"Business Analysis"}</definedName>
    <definedName name="wrnpav" localSheetId="0" hidden="1">{#N/A,"PURCHM",FALSE,"Business Analysis";#N/A,"SPADD",FALSE,"Business Analysis"}</definedName>
    <definedName name="wrnpuc213" localSheetId="0" hidden="1">{#N/A,"PURCHM",FALSE,"Business Analysis";#N/A,"SPADD",FALSE,"Business Analysis"}</definedName>
    <definedName name="wrnpuc2412" localSheetId="0" hidden="1">{#N/A,"PURCHM",FALSE,"Business Analysis";#N/A,"SPADD",FALSE,"Business Analysis"}</definedName>
    <definedName name="wrnpuc412" localSheetId="0" hidden="1">{#N/A,"PURCHM",FALSE,"Business Analysis";#N/A,"SPADD",FALSE,"Business Analysis"}</definedName>
    <definedName name="wrnpucs213" localSheetId="0" hidden="1">{#N/A,"PURCHM",FALSE,"Business Analysis";#N/A,"SPADD",FALSE,"Business Analysis"}</definedName>
    <definedName name="wrnpucspadd32" localSheetId="0" hidden="1">{#N/A,"PURCHM",FALSE,"Business Analysis";#N/A,"SPADD",FALSE,"Business Analysis"}</definedName>
    <definedName name="wrnpucspaddza103" localSheetId="0" hidden="1">{#N/A,"PURCHM",FALSE,"Business Analysis";#N/A,"SPADD",FALSE,"Business Analysis"}</definedName>
    <definedName name="wrnpucspvd" localSheetId="0" hidden="1">{#N/A,"PURCHM",FALSE,"Business Analysis";#N/A,"SPADD",FALSE,"Business Analysis"}</definedName>
    <definedName name="wrnpvcs" localSheetId="0" hidden="1">{#N/A,"PURCHM",FALSE,"Business Analysis";#N/A,"SPADD",FALSE,"Business Analysis"}</definedName>
    <definedName name="wrnt51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R" localSheetId="0" hidden="1">{#N/A,#N/A,FALSE,"Pharm";#N/A,#N/A,FALSE,"WWCM"}</definedName>
    <definedName name="wrre" localSheetId="0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localSheetId="0" hidden="1">{#N/A,#N/A,FALSE,"REPORT"}</definedName>
    <definedName name="wrwer" localSheetId="0" hidden="1">{#N/A,#N/A,FALSE,"Umsatz 99";#N/A,#N/A,FALSE,"ER 99 "}</definedName>
    <definedName name="wrxave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localSheetId="0" hidden="1">{"YD LAPO2",#N/A,FALSE,"YTD"}</definedName>
    <definedName name="wt" localSheetId="0" hidden="1">{#N/A,#N/A,FALSE,"FY97";#N/A,#N/A,FALSE,"FY98";#N/A,#N/A,FALSE,"FY99";#N/A,#N/A,FALSE,"FY00";#N/A,#N/A,FALSE,"FY01"}</definedName>
    <definedName name="wt_1" localSheetId="0" hidden="1">{#N/A,#N/A,FALSE,"FY97";#N/A,#N/A,FALSE,"FY98";#N/A,#N/A,FALSE,"FY99";#N/A,#N/A,FALSE,"FY00";#N/A,#N/A,FALSE,"FY01"}</definedName>
    <definedName name="wtwertwt" localSheetId="0" hidden="1">{"'August 2000'!$A$1:$J$101"}</definedName>
    <definedName name="wv" localSheetId="0" hidden="1">{#N/A,#N/A,FALSE,"Pharm";#N/A,#N/A,FALSE,"WWCM"}</definedName>
    <definedName name="wvbub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busarea.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otr.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otr._1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otr._2" localSheetId="0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profits.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localSheetId="0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ww_1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wwe.kkjk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q" localSheetId="0" hidden="1">{#N/A,#N/A,FALSE,"Aging Summary";#N/A,#N/A,FALSE,"Ratio Analysis";#N/A,#N/A,FALSE,"Test 120 Day Accts";#N/A,#N/A,FALSE,"Tickmarks"}</definedName>
    <definedName name="wwt" localSheetId="0" hidden="1">{"YD LAPO2",#N/A,FALSE,"YTD"}</definedName>
    <definedName name="www" localSheetId="0" hidden="1">{"divisions",#N/A,TRUE,"Drivers";"PandL_Ratios",#N/A,TRUE,"P&amp;L"}</definedName>
    <definedName name="www_1" localSheetId="0" hidden="1">{"divisions",#N/A,TRUE,"Drivers";"PandL_Ratios",#N/A,TRUE,"P&amp;L"}</definedName>
    <definedName name="www_2" localSheetId="0" hidden="1">{"divisions",#N/A,TRUE,"Drivers";"PandL_Ratios",#N/A,TRUE,"P&amp;L"}</definedName>
    <definedName name="www_3" localSheetId="0" hidden="1">{"divisions",#N/A,TRUE,"Drivers";"PandL_Ratios",#N/A,TRUE,"P&amp;L"}</definedName>
    <definedName name="www_4" localSheetId="0" hidden="1">{"divisions",#N/A,TRUE,"Drivers";"PandL_Ratios",#N/A,TRUE,"P&amp;L"}</definedName>
    <definedName name="www_5" localSheetId="0" hidden="1">{"divisions",#N/A,TRUE,"Drivers";"PandL_Ratios",#N/A,TRUE,"P&amp;L"}</definedName>
    <definedName name="wwww" localSheetId="0" hidden="1">{"NETCIRC",#N/A,FALSE,"Net CIrc";"NETCIRCMON",#N/A,FALSE,"Net CIrc"}</definedName>
    <definedName name="wwwwww" localSheetId="0" hidden="1">{#N/A,#N/A,FALSE,"earnings"}</definedName>
    <definedName name="wwwwwwwww" localSheetId="0" hidden="1">{"YTD",#N/A,FALSE,"SUM"}</definedName>
    <definedName name="wwwwwwwwwww" localSheetId="0" hidden="1">{"YD PACKAGE",#N/A,FALSE,"YTD"}</definedName>
    <definedName name="wwwwwwwwwwwww" localSheetId="0" hidden="1">{#N/A,#N/A,FALSE,"Status of Projects";#N/A,#N/A,FALSE,"CEA-TEC";#N/A,#N/A,FALSE,"U-Constr.";#N/A,#N/A,FALSE,"summary";#N/A,#N/A,FALSE,"PPP-3 yrs"}</definedName>
    <definedName name="wwwwwwwwwwwwww" localSheetId="0" hidden="1">{"detail",#N/A,FALSE,"mfg";"summary",#N/A,FALSE,"mfg"}</definedName>
    <definedName name="wx" localSheetId="0" hidden="1">{#N/A,#N/A,FALSE,"Pharm";#N/A,#N/A,FALSE,"WWCM"}</definedName>
    <definedName name="x.what" localSheetId="0" hidden="1">{#N/A,#N/A,FALSE,"Minors";#N/A,#N/A,FALSE,"96CAPREV"}</definedName>
    <definedName name="x_1" localSheetId="0" hidden="1">{#N/A,#N/A,FALSE,"FY97";#N/A,#N/A,FALSE,"FY98";#N/A,#N/A,FALSE,"FY99";#N/A,#N/A,FALSE,"FY00";#N/A,#N/A,FALSE,"FY01"}</definedName>
    <definedName name="xa_1" localSheetId="0" hidden="1">{#N/A,#N/A,FALSE,"Aging Summary";#N/A,#N/A,FALSE,"Ratio Analysis";#N/A,#N/A,FALSE,"Test 120 Day Accts";#N/A,#N/A,FALSE,"Tickmarks"}</definedName>
    <definedName name="xcft" localSheetId="0" hidden="1">{#N/A,#N/A,FALSE,"PGW"}</definedName>
    <definedName name="xcft_2" localSheetId="0" hidden="1">{#N/A,#N/A,FALSE,"PGW"}</definedName>
    <definedName name="xcft_3" localSheetId="0" hidden="1">{#N/A,#N/A,FALSE,"PGW"}</definedName>
    <definedName name="xcft_4" localSheetId="0" hidden="1">{#N/A,#N/A,FALSE,"PGW"}</definedName>
    <definedName name="xcv" localSheetId="0" hidden="1">{#N/A,#N/A,FALSE,"Pharm";#N/A,#N/A,FALSE,"WWCM"}</definedName>
    <definedName name="XCVBN" localSheetId="0" hidden="1">{#N/A,#N/A,FALSE,"Tabl. G1";#N/A,#N/A,FALSE,"Tabl. G2"}</definedName>
    <definedName name="xcvbxcvbcx" localSheetId="0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localSheetId="0" hidden="1">{#N/A,#N/A,FALSE,"SUMMARY";#N/A,#N/A,FALSE,"SUMMARY"}</definedName>
    <definedName name="xcvg_2" localSheetId="0" hidden="1">{#N/A,#N/A,FALSE,"SUMMARY";#N/A,#N/A,FALSE,"SUMMARY"}</definedName>
    <definedName name="xcvg_3" localSheetId="0" hidden="1">{#N/A,#N/A,FALSE,"SUMMARY";#N/A,#N/A,FALSE,"SUMMARY"}</definedName>
    <definedName name="xcvg_4" localSheetId="0" hidden="1">{#N/A,#N/A,FALSE,"SUMMARY";#N/A,#N/A,FALSE,"SUMMARY"}</definedName>
    <definedName name="xcxc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d_2" localSheetId="0" hidden="1">{#N/A,#N/A,FALSE,"PMTABB";#N/A,#N/A,FALSE,"PMTABB"}</definedName>
    <definedName name="xd_3" localSheetId="0" hidden="1">{#N/A,#N/A,FALSE,"PMTABB";#N/A,#N/A,FALSE,"PMTABB"}</definedName>
    <definedName name="xd_4" localSheetId="0" hidden="1">{#N/A,#N/A,FALSE,"PMTABB";#N/A,#N/A,FALSE,"PMTABB"}</definedName>
    <definedName name="xdft" localSheetId="0" hidden="1">{#N/A,#N/A,FALSE,"ISBL"}</definedName>
    <definedName name="xdft_2" localSheetId="0" hidden="1">{#N/A,#N/A,FALSE,"ISBL"}</definedName>
    <definedName name="xdft_3" localSheetId="0" hidden="1">{#N/A,#N/A,FALSE,"ISBL"}</definedName>
    <definedName name="xdft_4" localSheetId="0" hidden="1">{#N/A,#N/A,FALSE,"ISBL"}</definedName>
    <definedName name="xdrt" localSheetId="0" hidden="1">{#N/A,#N/A,FALSE,"Aging Summary";#N/A,#N/A,FALSE,"Ratio Analysis";#N/A,#N/A,FALSE,"Test 120 Day Accts";#N/A,#N/A,FALSE,"Tickmarks"}</definedName>
    <definedName name="xdrt_2" localSheetId="0" hidden="1">{#N/A,#N/A,FALSE,"Aging Summary";#N/A,#N/A,FALSE,"Ratio Analysis";#N/A,#N/A,FALSE,"Test 120 Day Accts";#N/A,#N/A,FALSE,"Tickmarks"}</definedName>
    <definedName name="xdrt_3" localSheetId="0" hidden="1">{#N/A,#N/A,FALSE,"Aging Summary";#N/A,#N/A,FALSE,"Ratio Analysis";#N/A,#N/A,FALSE,"Test 120 Day Accts";#N/A,#N/A,FALSE,"Tickmarks"}</definedName>
    <definedName name="xdrt_4" localSheetId="0" hidden="1">{#N/A,#N/A,FALSE,"Aging Summary";#N/A,#N/A,FALSE,"Ratio Analysis";#N/A,#N/A,FALSE,"Test 120 Day Accts";#N/A,#N/A,FALSE,"Tickmarks"}</definedName>
    <definedName name="XFDG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lo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xlx" localSheetId="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localSheetId="0" hidden="1">{"oct_res_comm",#N/A,FALSE,"VarToBud"}</definedName>
    <definedName name="xrt" localSheetId="0" hidden="1">{#N/A,#N/A,FALSE,"OSBL"}</definedName>
    <definedName name="xrt_2" localSheetId="0" hidden="1">{#N/A,#N/A,FALSE,"OSBL"}</definedName>
    <definedName name="xrt_3" localSheetId="0" hidden="1">{#N/A,#N/A,FALSE,"OSBL"}</definedName>
    <definedName name="xrt_4" localSheetId="0" hidden="1">{#N/A,#N/A,FALSE,"OSBL"}</definedName>
    <definedName name="xs" localSheetId="0" hidden="1">{#N/A,"PURCHM",FALSE,"Business Analysis";#N/A,"SPADD",FALSE,"Business Analysis"}</definedName>
    <definedName name="xsd" localSheetId="0" hidden="1">{"detail",#N/A,FALSE,"mfg";"summary",#N/A,FALSE,"mfg"}</definedName>
    <definedName name="xt" localSheetId="0" hidden="1">{#N/A,#N/A,FALSE,"PGW"}</definedName>
    <definedName name="xt_2" localSheetId="0" hidden="1">{#N/A,#N/A,FALSE,"PGW"}</definedName>
    <definedName name="xt_3" localSheetId="0" hidden="1">{#N/A,#N/A,FALSE,"PGW"}</definedName>
    <definedName name="xt_4" localSheetId="0" hidden="1">{#N/A,#N/A,FALSE,"PGW"}</definedName>
    <definedName name="xv" localSheetId="0" hidden="1">{"Commentary",#N/A,FALSE,"May"}</definedName>
    <definedName name="xx_2" localSheetId="0" hidden="1">{#N/A,#N/A,FALSE,"PGW"}</definedName>
    <definedName name="xx_3" localSheetId="0" hidden="1">{#N/A,#N/A,FALSE,"PGW"}</definedName>
    <definedName name="xx_4" localSheetId="0" hidden="1">{#N/A,#N/A,FALSE,"PGW"}</definedName>
    <definedName name="xxcxc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 localSheetId="0" hidden="1">{#N/A,#N/A,TRUE,"index";#N/A,#N/A,TRUE,"Summary";#N/A,#N/A,TRUE,"Continuing Business";#N/A,#N/A,TRUE,"Disposals";#N/A,#N/A,TRUE,"Acquisitions";#N/A,#N/A,TRUE,"Actual &amp; Plan Reconciliation"}</definedName>
    <definedName name="xxx.gb._Hm." localSheetId="0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_1" localSheetId="0" hidden="1">{#N/A,#N/A,FALSE,"ACQ_GRAPHS";#N/A,#N/A,FALSE,"T_1 GRAPHS";#N/A,#N/A,FALSE,"T_2 GRAPHS";#N/A,#N/A,FALSE,"COMB_GRAPHS"}</definedName>
    <definedName name="xxx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2" localSheetId="0" hidden="1">{"oct_res_comm",#N/A,FALSE,"VarToBud"}</definedName>
    <definedName name="xxxxx" localSheetId="0" hidden="1">{#N/A,#N/A,FALSE,"Calc";#N/A,#N/A,FALSE,"Sensitivity";#N/A,#N/A,FALSE,"LT Earn.Dil.";#N/A,#N/A,FALSE,"Dil. AVP"}</definedName>
    <definedName name="xxxxx_1" localSheetId="0" hidden="1">{#N/A,#N/A,FALSE,"Calc";#N/A,#N/A,FALSE,"Sensitivity";#N/A,#N/A,FALSE,"LT Earn.Dil.";#N/A,#N/A,FALSE,"Dil. AVP"}</definedName>
    <definedName name="xxxxxxxxxxxx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xxxxxxxxxxxxxx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xyz" localSheetId="0" hidden="1">{#N/A,#N/A,TRUE,"index";#N/A,#N/A,TRUE,"Summary";#N/A,#N/A,TRUE,"Continuing Business";#N/A,#N/A,TRUE,"Disposals";#N/A,#N/A,TRUE,"Acquisitions";#N/A,#N/A,TRUE,"Actual &amp; Plan Reconciliation"}</definedName>
    <definedName name="xzxz" localSheetId="0" hidden="1">{#N/A,"PURCHM",FALSE,"Business Analysis";#N/A,"SPADD",FALSE,"Business Analysis"}</definedName>
    <definedName name="YAA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YBN" localSheetId="0" hidden="1">{#N/A,#N/A,FALSE,"Tabl. A1";#N/A,#N/A,FALSE,"Tabl. A1 b";#N/A,#N/A,FALSE,"Tabl. A2";#N/A,#N/A,FALSE,"Tabl. A2-1";#N/A,#N/A,FALSE,"Tabl. A2-2"}</definedName>
    <definedName name="yeya" localSheetId="0" hidden="1">{#N/A,#N/A,FALSE,"PGW"}</definedName>
    <definedName name="yeya_1" localSheetId="0" hidden="1">{#N/A,#N/A,FALSE,"PGW"}</definedName>
    <definedName name="yeya_2" localSheetId="0" hidden="1">{#N/A,#N/A,FALSE,"PGW"}</definedName>
    <definedName name="yeya_3" localSheetId="0" hidden="1">{#N/A,#N/A,FALSE,"PGW"}</definedName>
    <definedName name="yeya_4" localSheetId="0" hidden="1">{#N/A,#N/A,FALSE,"PGW"}</definedName>
    <definedName name="yg" localSheetId="0" hidden="1">{"Polymers Details",#N/A,FALSE,"Current Yr";"Polymer Details",#N/A,FALSE,"Budget";"Polymer Details",#N/A,FALSE,"Prior Year"}</definedName>
    <definedName name="yh" localSheetId="0" hidden="1">{"Polymers Details",#N/A,FALSE,"Current Yr";"Polymer Details",#N/A,FALSE,"Budget";"Polymer Details",#N/A,FALSE,"Prior Year"}</definedName>
    <definedName name="yhn" localSheetId="0" hidden="1">{#N/A,#N/A,FALSE,"Model";#N/A,#N/A,FALSE,"Division"}</definedName>
    <definedName name="yhn_1" localSheetId="0" hidden="1">{#N/A,#N/A,FALSE,"Model";#N/A,#N/A,FALSE,"Division"}</definedName>
    <definedName name="ym" localSheetId="0" hidden="1">{#N/A,"PURCHM",FALSE,"Business Analysis";#N/A,"SPADD",FALSE,"Business Analysis"}</definedName>
    <definedName name="yn" localSheetId="0" hidden="1">{"AS REP",#N/A,FALSE,"EEFSNAP2";"PROP",#N/A,FALSE,"EEFSNAP2";"RISKS",#N/A,FALSE,"EEFSNAP2";"VIEW ALL",#N/A,FALSE,"EEFSNAP2"}</definedName>
    <definedName name="Yogesh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yp" localSheetId="0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localSheetId="0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s.xls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yt" localSheetId="0" hidden="1">{#N/A,#N/A,FALSE,"IS";#N/A,#N/A,FALSE,"BS";#N/A,#N/A,FALSE,"CF";#N/A,#N/A,FALSE,"CE";#N/A,#N/A,FALSE,"Depr";#N/A,#N/A,FALSE,"APAL"}</definedName>
    <definedName name="ytdfeb00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HBVFR" localSheetId="0" hidden="1">{#N/A,#N/A,FALSE,"Tabl. FB300";#N/A,#N/A,FALSE,"Tabl. FB350";#N/A,#N/A,FALSE,"Tabl. FB400";#N/A,#N/A,FALSE,"Tabl. FB500";#N/A,#N/A,FALSE,"Tabl. FS090"}</definedName>
    <definedName name="ytre" localSheetId="0" hidden="1">{"overview",#N/A,FALSE,"summary";"net assets",#N/A,FALSE,"summary";"asset turnover",#N/A,FALSE,"summary";"orona",#N/A,FALSE,"summary"}</definedName>
    <definedName name="ytytyt" localSheetId="0" hidden="1">{"mgmt forecast",#N/A,FALSE,"Mgmt Forecast";"dcf table",#N/A,FALSE,"Mgmt Forecast";"sensitivity",#N/A,FALSE,"Mgmt Forecast";"table inputs",#N/A,FALSE,"Mgmt Forecast";"calculations",#N/A,FALSE,"Mgmt Forecast"}</definedName>
    <definedName name="yu" localSheetId="0" hidden="1">{#N/A,#N/A,TRUE,"Pivots-Employee";#N/A,"Scenerio2",TRUE,"Assumptions Summary"}</definedName>
    <definedName name="YU87N" localSheetId="0" hidden="1">{#N/A,#N/A,FALSE,"Tabl. G1";#N/A,#N/A,FALSE,"Tabl. G2"}</definedName>
    <definedName name="YUC" localSheetId="0" hidden="1">{#N/A,#N/A,FALSE,"Tabl. H1";#N/A,#N/A,FALSE,"Tabl. H2"}</definedName>
    <definedName name="yuh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yui" localSheetId="0" hidden="1">{"Commentary",#N/A,FALSE,"May"}</definedName>
    <definedName name="yui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yuio" localSheetId="0" hidden="1">{"oct_res_comm",#N/A,FALSE,"VarToBud"}</definedName>
    <definedName name="yum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yuop" localSheetId="0" hidden="1">{"OTHER",#N/A,FALSE,"CM"}</definedName>
    <definedName name="yut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yv" localSheetId="0" hidden="1">{"sales growth",#N/A,FALSE,"summary";"oper income",#N/A,FALSE,"summary";"oros rank",#N/A,FALSE,"summary";"net assets",#N/A,FALSE,"summary";"asset turnover",#N/A,FALSE,"summary";"orona",#N/A,FALSE,"summary"}</definedName>
    <definedName name="yx" localSheetId="0" hidden="1">{"overview",#N/A,FALSE,"summary";"net assets",#N/A,FALSE,"summary";"asset turnover",#N/A,FALSE,"summary";"orona",#N/A,FALSE,"summary"}</definedName>
    <definedName name="yxcxycxy" localSheetId="0" hidden="1">{#N/A,#N/A,FALSE,"Umsatz 99";#N/A,#N/A,FALSE,"ER 99 "}</definedName>
    <definedName name="yy" localSheetId="0" hidden="1">{"consolidated",#N/A,FALSE,"Sheet1";"cms",#N/A,FALSE,"Sheet1";"fse",#N/A,FALSE,"Sheet1"}</definedName>
    <definedName name="yy.7" localSheetId="0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_1" localSheetId="0" hidden="1">{"consolidated",#N/A,FALSE,"Sheet1";"cms",#N/A,FALSE,"Sheet1";"fse",#N/A,FALSE,"Sheet1"}</definedName>
    <definedName name="yyy_1" localSheetId="0" hidden="1">{#N/A,#N/A,FALSE,"PGW"}</definedName>
    <definedName name="yyy_2" localSheetId="0" hidden="1">{#N/A,#N/A,FALSE,"PGW"}</definedName>
    <definedName name="yyy_3" localSheetId="0" hidden="1">{#N/A,#N/A,FALSE,"PGW"}</definedName>
    <definedName name="yyy_4" localSheetId="0" hidden="1">{#N/A,#N/A,FALSE,"PGW"}</definedName>
    <definedName name="z.l" localSheetId="0" hidden="1">{#N/A,#N/A,FALSE,"KA CH  (2)"}</definedName>
    <definedName name="z_1" localSheetId="0" hidden="1">{#N/A,#N/A,FALSE,"One Pager";#N/A,#N/A,FALSE,"Technical"}</definedName>
    <definedName name="z_2" localSheetId="0" hidden="1">{#N/A,#N/A,FALSE,"One Pager";#N/A,#N/A,FALSE,"Technical"}</definedName>
    <definedName name="z_3" localSheetId="0" hidden="1">{#N/A,#N/A,FALSE,"One Pager";#N/A,#N/A,FALSE,"Technical"}</definedName>
    <definedName name="za" localSheetId="0" hidden="1">{#N/A,#N/A,FALSE,"Model";#N/A,#N/A,FALSE,"Division"}</definedName>
    <definedName name="zaCQW" localSheetId="0" hidden="1">{"turnover",#N/A,FALSE;"profits",#N/A,FALSE;"cash",#N/A,FALSE}</definedName>
    <definedName name="zaCQW_1" localSheetId="0" hidden="1">{"turnover",#N/A,FALSE;"profits",#N/A,FALSE;"cash",#N/A,FALSE}</definedName>
    <definedName name="zaq" localSheetId="0" hidden="1">{#N/A,#N/A,FALSE,"Calc";#N/A,#N/A,FALSE,"Sensitivity";#N/A,#N/A,FALSE,"LT Earn.Dil.";#N/A,#N/A,FALSE,"Dil. AVP"}</definedName>
    <definedName name="zaq_1" localSheetId="0" hidden="1">{#N/A,#N/A,FALSE,"Calc";#N/A,#N/A,FALSE,"Sensitivity";#N/A,#N/A,FALSE,"LT Earn.Dil.";#N/A,#N/A,FALSE,"Dil. AVP"}</definedName>
    <definedName name="zaz" localSheetId="0" hidden="1">{#N/A,"PURCHM",FALSE,"Business Analysis";#N/A,"SPADD",FALSE,"Business Analysis"}</definedName>
    <definedName name="z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p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0" hidden="1">{#N/A,#N/A,FALSE,"Calc";#N/A,#N/A,FALSE,"Sensitivity";#N/A,#N/A,FALSE,"LT Earn.Dil.";#N/A,#N/A,FALSE,"Dil. AVP"}</definedName>
    <definedName name="zer_1" localSheetId="0" hidden="1">{#N/A,#N/A,FALSE,"Calc";#N/A,#N/A,FALSE,"Sensitivity";#N/A,#N/A,FALSE,"LT Earn.Dil.";#N/A,#N/A,FALSE,"Dil. AVP"}</definedName>
    <definedName name="zesewe" localSheetId="0" hidden="1">{#N/A,#N/A,FALSE,"FREE"}</definedName>
    <definedName name="zesewe_2" localSheetId="0" hidden="1">{#N/A,#N/A,FALSE,"FREE"}</definedName>
    <definedName name="zesewe_3" localSheetId="0" hidden="1">{#N/A,#N/A,FALSE,"FREE"}</definedName>
    <definedName name="zesewe_4" localSheetId="0" hidden="1">{#N/A,#N/A,FALSE,"FREE"}</definedName>
    <definedName name="zfeth" localSheetId="0" hidden="1">{#N/A,#N/A,TRUE,"index";#N/A,#N/A,TRUE,"Summary";#N/A,#N/A,TRUE,"Continuing Business";#N/A,#N/A,TRUE,"Disposals";#N/A,#N/A,TRUE,"Acquisitions";#N/A,#N/A,TRUE,"Actual &amp; Plan Reconciliation"}</definedName>
    <definedName name="zhu" localSheetId="0" hidden="1">{#N/A,#N/A,FALSE,"REPORT"}</definedName>
    <definedName name="zhutr" localSheetId="0" hidden="1">{#N/A,#N/A,FALSE,"REPORT"}</definedName>
    <definedName name="zioio" localSheetId="0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localSheetId="0" hidden="1">{#N/A,"PURCHM",FALSE,"Business Analysis";#N/A,"SPADD",FALSE,"Business Analysis"}</definedName>
    <definedName name="zPack" localSheetId="0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SZ" localSheetId="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localSheetId="0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vc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ZWX" localSheetId="0" hidden="1">{#N/A,#N/A,FALSE,"Tabl. A1";#N/A,#N/A,FALSE,"Tabl. A1 b";#N/A,#N/A,FALSE,"Tabl. A2";#N/A,#N/A,FALSE,"Tabl. A2-1";#N/A,#N/A,FALSE,"Tabl. A2-2"}</definedName>
    <definedName name="zx" localSheetId="0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c.xls" localSheetId="0" hidden="1">{"mgmt forecast",#N/A,FALSE,"Mgmt Forecast";"dcf table",#N/A,FALSE,"Mgmt Forecast";"sensitivity",#N/A,FALSE,"Mgmt Forecast";"table inputs",#N/A,FALSE,"Mgmt Forecast";"calculations",#N/A,FALSE,"Mgmt Forecast"}</definedName>
    <definedName name="zxc.xlx" localSheetId="0" hidden="1">{"mgmt forecast",#N/A,FALSE,"Mgmt Forecast";"dcf table",#N/A,FALSE,"Mgmt Forecast";"sensitivity",#N/A,FALSE,"Mgmt Forecast";"table inputs",#N/A,FALSE,"Mgmt Forecast";"calculations",#N/A,FALSE,"Mgmt Forecast"}</definedName>
    <definedName name="zxxxx" localSheetId="0" hidden="1">{#N/A,#N/A,FALSE,"INPUTS";#N/A,#N/A,FALSE,"PROFORMA BSHEET";#N/A,#N/A,FALSE,"COMBINED";#N/A,#N/A,FALSE,"HIGH YIELD";#N/A,#N/A,FALSE,"COMB_GRAPHS"}</definedName>
    <definedName name="zxzx" localSheetId="0" hidden="1">{"oct_res_comm",#N/A,FALSE,"VarToBud"}</definedName>
    <definedName name="ZZ_1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2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3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4" localSheetId="0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a4pg" localSheetId="0" hidden="1">{#N/A,#N/A,FALSE,"REPORT"}</definedName>
    <definedName name="zzaxz" localSheetId="0" hidden="1">{"detail",#N/A,FALSE,"mfg";"summary",#N/A,FALSE,"mfg"}</definedName>
    <definedName name="zzee" localSheetId="0" hidden="1">{#N/A,#N/A,FALSE,"Pharm";#N/A,#N/A,FALSE,"WWCM"}</definedName>
    <definedName name="zzi.7" localSheetId="0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 localSheetId="0" hidden="1">{#N/A,#N/A,TRUE,"index";#N/A,#N/A,TRUE,"Summary";#N/A,#N/A,TRUE,"Continuing Business";#N/A,#N/A,TRUE,"Disposals";#N/A,#N/A,TRUE,"Acquisitions";#N/A,#N/A,TRUE,"Actual &amp; Plan Reconciliation"}</definedName>
    <definedName name="ZZZ_1" localSheetId="0" hidden="1">{#N/A,#N/A,FALSE,"PGW"}</definedName>
    <definedName name="ZZZ_2" localSheetId="0" hidden="1">{#N/A,#N/A,FALSE,"PGW"}</definedName>
    <definedName name="ZZZ_3" localSheetId="0" hidden="1">{#N/A,#N/A,FALSE,"PGW"}</definedName>
    <definedName name="ZZZ_4" localSheetId="0" hidden="1">{#N/A,#N/A,FALSE,"PGW"}</definedName>
    <definedName name="zzzzz" localSheetId="0" hidden="1">{#N/A,#N/A,FALSE,"COVER1.XLS ";#N/A,#N/A,FALSE,"RACT1.XLS";#N/A,#N/A,FALSE,"RACT2.XLS";#N/A,#N/A,FALSE,"ECCMP";#N/A,#N/A,FALSE,"WELDER.XLS"}</definedName>
    <definedName name="zzzzzz" localSheetId="0" hidden="1">{#N/A,#N/A,FALSE,"COVER.XLS";#N/A,#N/A,FALSE,"RACT1.XLS";#N/A,#N/A,FALSE,"RACT2.XLS";#N/A,#N/A,FALSE,"ECCMP";#N/A,#N/A,FALSE,"WELDER.XLS"}</definedName>
    <definedName name="zzzzzzz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zzzzzzzzzzzz" localSheetId="0" hidden="1">{#N/A,#N/A,FALSE,"COVER.XLS";#N/A,#N/A,FALSE,"RACT1.XLS";#N/A,#N/A,FALSE,"RACT2.XLS";#N/A,#N/A,FALSE,"ECCMP";#N/A,#N/A,FALSE,"WELDER.XLS"}</definedName>
    <definedName name="zzzzzzzzzzzzzzz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zzzzzzzzzzzzzzzzzzzzzzzzzzzzzzzzzzz" localSheetId="0" hidden="1">{#N/A,#N/A,FALSE,"Staffnos &amp; cost"}</definedName>
    <definedName name="א" localSheetId="0" hidden="1">{#N/A,#N/A,FALSE,"מאזן בוחן";"כל_מאזן_בוחן",#N/A,FALSE,"מאזן בוחן"}</definedName>
    <definedName name="אאא" localSheetId="0" hidden="1">{#N/A,#N/A,FALSE,"מאזן בוחן";"כל_מאזן_בוחן",#N/A,FALSE,"מאזן בוחן"}</definedName>
    <definedName name="אאא1" localSheetId="0" hidden="1">{#N/A,#N/A,FALSE,"מאזן בוחן";"כל_מאזן_בוחן",#N/A,FALSE,"מאזן בוחן"}</definedName>
    <definedName name="ב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נה" localSheetId="0" hidden="1">{#N/A,#N/A,FALSE,"Aging Summary";#N/A,#N/A,FALSE,"Ratio Analysis";#N/A,#N/A,FALSE,"Test 120 Day Accts";#N/A,#N/A,FALSE,"Tickmarks"}</definedName>
    <definedName name="ויק" localSheetId="0" hidden="1">{#N/A,#N/A,FALSE,"מאזן בוחן";"כל_מאזן_בוחן",#N/A,FALSE,"מאזן בוחן"}</definedName>
    <definedName name="זכאים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וללל" localSheetId="0" hidden="1">{#N/A,#N/A,FALSE,"Aging Summary";#N/A,#N/A,FALSE,"Ratio Analysis";#N/A,#N/A,FALSE,"Test 120 Day Accts";#N/A,#N/A,FALSE,"Tickmarks"}</definedName>
    <definedName name="חח" localSheetId="0" hidden="1">{#N/A,#N/A,FALSE,"מאזן בוחן";"כל_מאזן_בוחן",#N/A,FALSE,"מאזן בוחן"}</definedName>
    <definedName name="חייב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יעלועץ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ל" localSheetId="0" hidden="1">{#N/A,#N/A,FALSE,"מאזן בוחן";"כל_מאזן_בוחן",#N/A,FALSE,"מאזן בוחן"}</definedName>
    <definedName name="כליעכגעכ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ל" localSheetId="0" hidden="1">{#N/A,#N/A,FALSE,"מאזן בוחן";"כל_מאזן_בוחן",#N/A,FALSE,"מאזן בוחן"}</definedName>
    <definedName name="מ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" localSheetId="0" hidden="1">{#N/A,#N/A,FALSE,"מאזן בוחן";"כל_מאזן_בוחן",#N/A,FALSE,"מאזן בוחן"}</definedName>
    <definedName name="מאזן_בוחן_כללי_1" localSheetId="0" hidden="1">{#N/A,#N/A,FALSE,"מאזן בוחן";"כל_מאזן_בוחן",#N/A,FALSE,"מאזן בוחן"}</definedName>
    <definedName name="מאזן_בוחן_כללי1" localSheetId="0" hidden="1">{#N/A,#N/A,FALSE,"מאזן בוחן";"כל_מאזן_בוחן",#N/A,FALSE,"מאזן בוחן"}</definedName>
    <definedName name="מזומן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_מאזן_בוחן_1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גכ" localSheetId="0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고" localSheetId="0" hidden="1">{#N/A,#N/A,FALSE,"REPORT"}</definedName>
    <definedName name="국제거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ㄶㅇ노ㅗㄶ호" localSheetId="0" hidden="1">{#N/A,#N/A,FALSE,"REPORT"}</definedName>
    <definedName name="뭐야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애" localSheetId="0" hidden="1">{#N/A,#N/A,FALSE,"REPORT"}</definedName>
    <definedName name="ㅂㅁ" localSheetId="0" hidden="1">{#N/A,"PURCHM",FALSE,"Business Analysis";#N/A,"SPADD",FALSE,"Business Analysis"}</definedName>
    <definedName name="별지66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손익계산서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원천납부8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유형자산1" localSheetId="0" hidden="1">{#NULL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율리1총괄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이" localSheetId="0" hidden="1">{"vol data",#N/A,FALSE,"Datasheet";"vol graph",#N/A,FALSE,"Volume";"price data",#N/A,FALSE,"Datasheet";"price graph",#N/A,FALSE,"Price";"dp data",#N/A,FALSE,"Datasheet";"dp graph",#N/A,FALSE,"DirectProfit"}</definedName>
    <definedName name="이쁘니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정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2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6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가격2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총괄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퇴충명세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ㅏ나앙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七神经" localSheetId="0" hidden="1">{#N/A,#N/A,TRUE,"流动资产--预付";"宁夏正大会计师事务所 - 个人视面",#N/A,TRUE,"Sheet1"}</definedName>
    <definedName name="二" localSheetId="0" hidden="1">{#N/A,#N/A,TRUE,"流动资产--预付";"宁夏正大会计师事务所 - 个人视面",#N/A,TRUE,"Sheet1"}</definedName>
    <definedName name="八神经" localSheetId="0" hidden="1">{#N/A,#N/A,TRUE,"流动资产--预付";"宁夏正大会计师事务所 - 个人视面",#N/A,TRUE,"Sheet1"}</definedName>
    <definedName name="六" localSheetId="0" hidden="1">{#N/A,#N/A,TRUE,"流动资产--预付";"宁夏正大会计师事务所 - 个人视面",#N/A,TRUE,"Sheet1"}</definedName>
    <definedName name="六神经" localSheetId="0" hidden="1">{#N/A,#N/A,TRUE,"流动资产--预付";"宁夏正大会计师事务所 - 个人视面",#N/A,TRUE,"Sheet1"}</definedName>
    <definedName name="刘波" localSheetId="0" hidden="1">{#N/A,#N/A,TRUE,"流动资产--预付";"宁夏正大会计师事务所 - 个人视面",#N/A,TRUE,"Sheet1"}</definedName>
    <definedName name="刘玉立" localSheetId="0" hidden="1">{#N/A,#N/A,TRUE,"流动资产--预付";"宁夏正大会计师事务所 - 个人视面",#N/A,TRUE,"Sheet1"}</definedName>
    <definedName name="固定资产" localSheetId="0" hidden="1">{#N/A,#N/A,TRUE,"流动资产--预付";"宁夏正大会计师事务所 - 个人视面",#N/A,TRUE,"Sheet1"}</definedName>
    <definedName name="大榮LB" localSheetId="0" hidden="1">{"O",#N/A,FALSE,"91.04開發申請"}</definedName>
    <definedName name="大狼" localSheetId="0" hidden="1">{#N/A,#N/A,TRUE,"流动资产--预付";"宁夏正大会计师事务所 - 个人视面",#N/A,TRUE,"Sheet1"}</definedName>
    <definedName name="大郎" localSheetId="0" hidden="1">{#N/A,#N/A,TRUE,"流动资产--预付";"宁夏正大会计师事务所 - 个人视面",#N/A,TRUE,"Sheet1"}</definedName>
    <definedName name="家P1" localSheetId="0" hidden="1">{#N/A,#N/A,TRUE,"流动资产--预付";"宁夏正大会计师事务所 - 个人视面",#N/A,TRUE,"Sheet1"}</definedName>
    <definedName name="小狼" localSheetId="0" hidden="1">{#N/A,#N/A,TRUE,"流动资产--预付";"宁夏正大会计师事务所 - 个人视面",#N/A,TRUE,"Sheet1"}</definedName>
    <definedName name="扬艳" localSheetId="0" hidden="1">{#N/A,#N/A,TRUE,"流动资产--预付";"宁夏正大会计师事务所 - 个人视面",#N/A,TRUE,"Sheet1"}</definedName>
    <definedName name="洪" localSheetId="0" hidden="1">{#N/A,#N/A,TRUE,"流动资产--预付";"宁夏正大会计师事务所 - 个人视面",#N/A,TRUE,"Sheet1"}</definedName>
    <definedName name="王" localSheetId="0" hidden="1">{#N/A,#N/A,TRUE,"流动资产--预付";"宁夏正大会计师事务所 - 个人视面",#N/A,TRUE,"Sheet1"}</definedName>
    <definedName name="王洪义" localSheetId="0" hidden="1">{#N/A,#N/A,TRUE,"流动资产--预付";"宁夏正大会计师事务所 - 个人视面",#N/A,TRUE,"Sheet1"}</definedName>
    <definedName name="神经" localSheetId="0" hidden="1">{#N/A,#N/A,TRUE,"流动资产--预付";"宁夏正大会计师事务所 - 个人视面",#N/A,TRUE,"Sheet1"}</definedName>
    <definedName name="_xlnm.Print_Area" localSheetId="0">'Slide 15 - RapDev'!$B$5:$O$5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* #,##0.0_);_(* \(#,##0.0\);_(* &quot;-&quot;??_);_(@_)"/>
    <numFmt numFmtId="166" formatCode="0.0%"/>
  </numFmts>
  <fonts count="16"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color theme="1"/>
      <sz val="10"/>
    </font>
    <font>
      <name val="Calibri"/>
      <family val="2"/>
      <b val="1"/>
      <sz val="11"/>
    </font>
    <font>
      <name val="Calibri"/>
      <family val="2"/>
      <b val="1"/>
      <i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5"/>
      <sz val="8.800000000000001"/>
    </font>
    <font>
      <name val="Calibri"/>
      <family val="2"/>
      <b val="1"/>
      <sz val="11"/>
      <scheme val="minor"/>
    </font>
    <font>
      <name val="Calibri"/>
      <family val="2"/>
      <sz val="11"/>
    </font>
    <font>
      <name val="Calibri"/>
      <family val="2"/>
      <b val="1"/>
      <color rgb="FF242424"/>
      <sz val="14"/>
    </font>
    <font>
      <name val="Calibri"/>
      <family val="2"/>
      <b val="1"/>
      <color theme="1"/>
      <sz val="12"/>
    </font>
    <font>
      <name val="Tahoma"/>
      <family val="2"/>
      <b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/>
      <diagonal/>
    </border>
    <border>
      <left/>
      <right/>
      <top style="thin">
        <color theme="0" tint="-0.249946592608417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/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8">
    <xf numFmtId="0" fontId="1" fillId="0" borderId="0"/>
    <xf numFmtId="43" fontId="1" fillId="0" borderId="0"/>
    <xf numFmtId="9" fontId="4" fillId="0" borderId="0"/>
    <xf numFmtId="0" fontId="4" fillId="0" borderId="0"/>
    <xf numFmtId="43" fontId="4" fillId="0" borderId="0"/>
    <xf numFmtId="9" fontId="4" fillId="0" borderId="0"/>
    <xf numFmtId="43" fontId="1" fillId="0" borderId="0"/>
    <xf numFmtId="0" fontId="1" fillId="0" borderId="0"/>
  </cellStyleXfs>
  <cellXfs count="182">
    <xf numFmtId="0" fontId="0" fillId="0" borderId="0" pivotButton="0" quotePrefix="0" xfId="0"/>
    <xf numFmtId="0" fontId="1" fillId="0" borderId="0" pivotButton="0" quotePrefix="0" xfId="3"/>
    <xf numFmtId="164" fontId="1" fillId="0" borderId="0" pivotButton="0" quotePrefix="0" xfId="3"/>
    <xf numFmtId="0" fontId="4" fillId="0" borderId="0" pivotButton="0" quotePrefix="0" xfId="3"/>
    <xf numFmtId="43" fontId="1" fillId="0" borderId="0" pivotButton="0" quotePrefix="0" xfId="4"/>
    <xf numFmtId="164" fontId="1" fillId="0" borderId="0" pivotButton="0" quotePrefix="0" xfId="4"/>
    <xf numFmtId="43" fontId="1" fillId="0" borderId="0" pivotButton="0" quotePrefix="0" xfId="3"/>
    <xf numFmtId="164" fontId="0" fillId="0" borderId="0" pivotButton="0" quotePrefix="0" xfId="4"/>
    <xf numFmtId="0" fontId="5" fillId="0" borderId="0" pivotButton="0" quotePrefix="0" xfId="3"/>
    <xf numFmtId="164" fontId="6" fillId="0" borderId="0" pivotButton="0" quotePrefix="0" xfId="3"/>
    <xf numFmtId="17" fontId="1" fillId="0" borderId="0" pivotButton="0" quotePrefix="0" xfId="3"/>
    <xf numFmtId="43" fontId="1" fillId="0" borderId="1" pivotButton="0" quotePrefix="0" xfId="4"/>
    <xf numFmtId="164" fontId="0" fillId="0" borderId="0" pivotButton="0" quotePrefix="0" xfId="4"/>
    <xf numFmtId="0" fontId="7" fillId="0" borderId="0" pivotButton="0" quotePrefix="0" xfId="3"/>
    <xf numFmtId="0" fontId="8" fillId="0" borderId="0" applyAlignment="1" pivotButton="0" quotePrefix="0" xfId="3">
      <alignment horizontal="right"/>
    </xf>
    <xf numFmtId="165" fontId="8" fillId="0" borderId="0" applyAlignment="1" pivotButton="0" quotePrefix="0" xfId="3">
      <alignment horizontal="right"/>
    </xf>
    <xf numFmtId="43" fontId="3" fillId="0" borderId="0" pivotButton="0" quotePrefix="0" xfId="3"/>
    <xf numFmtId="0" fontId="9" fillId="0" borderId="0" applyAlignment="1" pivotButton="0" quotePrefix="0" xfId="3">
      <alignment horizontal="center"/>
    </xf>
    <xf numFmtId="0" fontId="7" fillId="2" borderId="3" applyAlignment="1" pivotButton="0" quotePrefix="0" xfId="3">
      <alignment vertical="top"/>
    </xf>
    <xf numFmtId="164" fontId="7" fillId="2" borderId="3" applyAlignment="1" pivotButton="0" quotePrefix="0" xfId="4">
      <alignment horizontal="center" vertical="top"/>
    </xf>
    <xf numFmtId="164" fontId="7" fillId="3" borderId="3" applyAlignment="1" pivotButton="0" quotePrefix="0" xfId="4">
      <alignment horizontal="center" vertical="top" wrapText="1"/>
    </xf>
    <xf numFmtId="164" fontId="7" fillId="2" borderId="3" applyAlignment="1" pivotButton="0" quotePrefix="0" xfId="4">
      <alignment horizontal="center" vertical="top" wrapText="1"/>
    </xf>
    <xf numFmtId="164" fontId="11" fillId="2" borderId="3" applyAlignment="1" pivotButton="0" quotePrefix="0" xfId="4">
      <alignment horizontal="center" vertical="top"/>
    </xf>
    <xf numFmtId="164" fontId="11" fillId="0" borderId="4" applyAlignment="1" pivotButton="0" quotePrefix="0" xfId="4">
      <alignment horizontal="center" vertical="top"/>
    </xf>
    <xf numFmtId="0" fontId="1" fillId="0" borderId="0" applyAlignment="1" pivotButton="0" quotePrefix="0" xfId="3">
      <alignment vertical="top"/>
    </xf>
    <xf numFmtId="0" fontId="1" fillId="0" borderId="4" pivotButton="0" quotePrefix="0" xfId="3"/>
    <xf numFmtId="43" fontId="1" fillId="4" borderId="4" pivotButton="0" quotePrefix="0" xfId="4"/>
    <xf numFmtId="43" fontId="1" fillId="4" borderId="4" pivotButton="0" quotePrefix="0" xfId="3"/>
    <xf numFmtId="43" fontId="1" fillId="0" borderId="4" pivotButton="0" quotePrefix="0" xfId="4"/>
    <xf numFmtId="43" fontId="1" fillId="0" borderId="4" pivotButton="0" quotePrefix="0" xfId="3"/>
    <xf numFmtId="165" fontId="1" fillId="0" borderId="4" pivotButton="0" quotePrefix="0" xfId="3"/>
    <xf numFmtId="43" fontId="0" fillId="0" borderId="4" pivotButton="0" quotePrefix="0" xfId="4"/>
    <xf numFmtId="43" fontId="4" fillId="0" borderId="4" pivotButton="0" quotePrefix="0" xfId="3"/>
    <xf numFmtId="165" fontId="1" fillId="4" borderId="4" pivotButton="0" quotePrefix="0" xfId="4"/>
    <xf numFmtId="165" fontId="1" fillId="0" borderId="4" pivotButton="0" quotePrefix="0" xfId="4"/>
    <xf numFmtId="9" fontId="1" fillId="0" borderId="4" pivotButton="0" quotePrefix="0" xfId="2"/>
    <xf numFmtId="0" fontId="1" fillId="0" borderId="5" pivotButton="0" quotePrefix="0" xfId="3"/>
    <xf numFmtId="9" fontId="1" fillId="4" borderId="5" pivotButton="0" quotePrefix="0" xfId="5"/>
    <xf numFmtId="9" fontId="1" fillId="4" borderId="5" pivotButton="0" quotePrefix="0" xfId="3"/>
    <xf numFmtId="9" fontId="1" fillId="0" borderId="5" pivotButton="0" quotePrefix="0" xfId="5"/>
    <xf numFmtId="9" fontId="1" fillId="0" borderId="5" pivotButton="0" quotePrefix="0" xfId="3"/>
    <xf numFmtId="9" fontId="1" fillId="0" borderId="5" pivotButton="0" quotePrefix="0" xfId="2"/>
    <xf numFmtId="9" fontId="1" fillId="0" borderId="4" pivotButton="0" quotePrefix="0" xfId="3"/>
    <xf numFmtId="43" fontId="12" fillId="0" borderId="0" pivotButton="0" quotePrefix="0" xfId="3"/>
    <xf numFmtId="0" fontId="1" fillId="0" borderId="0" applyAlignment="1" pivotButton="0" quotePrefix="0" xfId="3">
      <alignment horizontal="right"/>
    </xf>
    <xf numFmtId="0" fontId="2" fillId="0" borderId="1" pivotButton="0" quotePrefix="0" xfId="3"/>
    <xf numFmtId="43" fontId="1" fillId="4" borderId="1" pivotButton="0" quotePrefix="0" xfId="4"/>
    <xf numFmtId="43" fontId="1" fillId="0" borderId="1" pivotButton="0" quotePrefix="0" xfId="3"/>
    <xf numFmtId="43" fontId="1" fillId="0" borderId="0" pivotButton="0" quotePrefix="0" xfId="4"/>
    <xf numFmtId="166" fontId="1" fillId="0" borderId="5" pivotButton="0" quotePrefix="0" xfId="3"/>
    <xf numFmtId="166" fontId="1" fillId="4" borderId="5" pivotButton="0" quotePrefix="0" xfId="5"/>
    <xf numFmtId="166" fontId="1" fillId="0" borderId="5" pivotButton="0" quotePrefix="0" xfId="5"/>
    <xf numFmtId="9" fontId="1" fillId="0" borderId="5" pivotButton="0" quotePrefix="0" xfId="5"/>
    <xf numFmtId="166" fontId="1" fillId="0" borderId="0" pivotButton="0" quotePrefix="0" xfId="5"/>
    <xf numFmtId="166" fontId="1" fillId="0" borderId="0" pivotButton="0" quotePrefix="0" xfId="3"/>
    <xf numFmtId="165" fontId="1" fillId="0" borderId="1" pivotButton="0" quotePrefix="0" xfId="4"/>
    <xf numFmtId="0" fontId="2" fillId="0" borderId="5" pivotButton="0" quotePrefix="0" xfId="3"/>
    <xf numFmtId="165" fontId="1" fillId="4" borderId="5" pivotButton="0" quotePrefix="0" xfId="4"/>
    <xf numFmtId="165" fontId="1" fillId="0" borderId="5" pivotButton="0" quotePrefix="0" xfId="4"/>
    <xf numFmtId="165" fontId="1" fillId="0" borderId="0" pivotButton="0" quotePrefix="0" xfId="4"/>
    <xf numFmtId="164" fontId="1" fillId="0" borderId="0" pivotButton="0" quotePrefix="0" xfId="4"/>
    <xf numFmtId="0" fontId="2" fillId="0" borderId="0" pivotButton="0" quotePrefix="0" xfId="3"/>
    <xf numFmtId="0" fontId="1" fillId="0" borderId="1" pivotButton="0" quotePrefix="0" xfId="3"/>
    <xf numFmtId="165" fontId="1" fillId="4" borderId="1" pivotButton="0" quotePrefix="0" xfId="4"/>
    <xf numFmtId="165" fontId="1" fillId="0" borderId="1" pivotButton="0" quotePrefix="0" xfId="4"/>
    <xf numFmtId="164" fontId="1" fillId="0" borderId="1" pivotButton="0" quotePrefix="0" xfId="4"/>
    <xf numFmtId="165" fontId="1" fillId="0" borderId="4" pivotButton="0" quotePrefix="0" xfId="4"/>
    <xf numFmtId="165" fontId="1" fillId="0" borderId="5" pivotButton="0" quotePrefix="0" xfId="4"/>
    <xf numFmtId="9" fontId="2" fillId="0" borderId="0" pivotButton="0" quotePrefix="0" xfId="5"/>
    <xf numFmtId="164" fontId="1" fillId="4" borderId="1" applyAlignment="1" pivotButton="0" quotePrefix="0" xfId="4">
      <alignment horizontal="right"/>
    </xf>
    <xf numFmtId="164" fontId="1" fillId="0" borderId="1" applyAlignment="1" pivotButton="0" quotePrefix="0" xfId="4">
      <alignment horizontal="right"/>
    </xf>
    <xf numFmtId="164" fontId="4" fillId="0" borderId="1" applyAlignment="1" pivotButton="0" quotePrefix="0" xfId="4">
      <alignment horizontal="right"/>
    </xf>
    <xf numFmtId="0" fontId="1" fillId="0" borderId="4" applyAlignment="1" pivotButton="0" quotePrefix="0" xfId="3">
      <alignment horizontal="left" indent="2"/>
    </xf>
    <xf numFmtId="164" fontId="1" fillId="4" borderId="4" applyAlignment="1" pivotButton="0" quotePrefix="0" xfId="4">
      <alignment horizontal="right"/>
    </xf>
    <xf numFmtId="164" fontId="1" fillId="0" borderId="4" applyAlignment="1" pivotButton="0" quotePrefix="0" xfId="4">
      <alignment horizontal="right"/>
    </xf>
    <xf numFmtId="0" fontId="2" fillId="0" borderId="4" pivotButton="0" quotePrefix="0" xfId="3"/>
    <xf numFmtId="164" fontId="2" fillId="4" borderId="4" applyAlignment="1" pivotButton="0" quotePrefix="0" xfId="4">
      <alignment horizontal="right"/>
    </xf>
    <xf numFmtId="164" fontId="2" fillId="0" borderId="4" applyAlignment="1" pivotButton="0" quotePrefix="0" xfId="4">
      <alignment horizontal="right"/>
    </xf>
    <xf numFmtId="0" fontId="1" fillId="0" borderId="6" pivotButton="0" quotePrefix="0" xfId="3"/>
    <xf numFmtId="164" fontId="2" fillId="4" borderId="5" applyAlignment="1" pivotButton="0" quotePrefix="0" xfId="4">
      <alignment horizontal="right"/>
    </xf>
    <xf numFmtId="164" fontId="2" fillId="0" borderId="5" applyAlignment="1" pivotButton="0" quotePrefix="0" xfId="4">
      <alignment horizontal="right"/>
    </xf>
    <xf numFmtId="0" fontId="2" fillId="0" borderId="7" pivotButton="0" quotePrefix="0" xfId="3"/>
    <xf numFmtId="0" fontId="2" fillId="0" borderId="8" pivotButton="0" quotePrefix="0" xfId="3"/>
    <xf numFmtId="0" fontId="2" fillId="4" borderId="8" pivotButton="0" quotePrefix="0" xfId="3"/>
    <xf numFmtId="164" fontId="1" fillId="4" borderId="9" applyAlignment="1" pivotButton="0" quotePrefix="0" xfId="6">
      <alignment horizontal="right"/>
    </xf>
    <xf numFmtId="164" fontId="1" fillId="0" borderId="9" applyAlignment="1" pivotButton="0" quotePrefix="0" xfId="6">
      <alignment horizontal="right"/>
    </xf>
    <xf numFmtId="164" fontId="1" fillId="4" borderId="6" applyAlignment="1" pivotButton="0" quotePrefix="0" xfId="6">
      <alignment horizontal="right"/>
    </xf>
    <xf numFmtId="164" fontId="1" fillId="0" borderId="6" applyAlignment="1" pivotButton="0" quotePrefix="0" xfId="6">
      <alignment horizontal="right"/>
    </xf>
    <xf numFmtId="0" fontId="1" fillId="0" borderId="10" pivotButton="0" quotePrefix="0" xfId="3"/>
    <xf numFmtId="164" fontId="1" fillId="4" borderId="10" applyAlignment="1" pivotButton="0" quotePrefix="0" xfId="6">
      <alignment horizontal="right"/>
    </xf>
    <xf numFmtId="164" fontId="1" fillId="0" borderId="10" applyAlignment="1" pivotButton="0" quotePrefix="0" xfId="6">
      <alignment horizontal="right"/>
    </xf>
    <xf numFmtId="0" fontId="2" fillId="0" borderId="11" pivotButton="0" quotePrefix="0" xfId="3"/>
    <xf numFmtId="9" fontId="2" fillId="4" borderId="11" pivotButton="0" quotePrefix="0" xfId="5"/>
    <xf numFmtId="9" fontId="2" fillId="0" borderId="11" pivotButton="0" quotePrefix="0" xfId="5"/>
    <xf numFmtId="0" fontId="2" fillId="0" borderId="12" pivotButton="0" quotePrefix="0" xfId="3"/>
    <xf numFmtId="9" fontId="2" fillId="4" borderId="11" pivotButton="0" quotePrefix="0" xfId="3"/>
    <xf numFmtId="9" fontId="2" fillId="0" borderId="11" pivotButton="0" quotePrefix="0" xfId="3"/>
    <xf numFmtId="165" fontId="2" fillId="4" borderId="1" pivotButton="0" quotePrefix="0" xfId="4"/>
    <xf numFmtId="165" fontId="2" fillId="0" borderId="1" pivotButton="0" quotePrefix="0" xfId="4"/>
    <xf numFmtId="165" fontId="2" fillId="4" borderId="4" pivotButton="0" quotePrefix="0" xfId="4"/>
    <xf numFmtId="165" fontId="2" fillId="0" borderId="4" pivotButton="0" quotePrefix="0" xfId="4"/>
    <xf numFmtId="165" fontId="1" fillId="0" borderId="13" pivotButton="0" quotePrefix="0" xfId="4"/>
    <xf numFmtId="0" fontId="1" fillId="0" borderId="14" pivotButton="0" quotePrefix="0" xfId="3"/>
    <xf numFmtId="164" fontId="8" fillId="0" borderId="0" applyAlignment="1" pivotButton="0" quotePrefix="0" xfId="4">
      <alignment horizontal="right"/>
    </xf>
    <xf numFmtId="164" fontId="1" fillId="0" borderId="1" pivotButton="0" quotePrefix="0" xfId="3"/>
    <xf numFmtId="164" fontId="1" fillId="4" borderId="1" pivotButton="0" quotePrefix="0" xfId="4"/>
    <xf numFmtId="164" fontId="2" fillId="4" borderId="1" pivotButton="0" quotePrefix="0" xfId="4"/>
    <xf numFmtId="164" fontId="2" fillId="0" borderId="1" pivotButton="0" quotePrefix="0" xfId="4"/>
    <xf numFmtId="164" fontId="1" fillId="4" borderId="4" pivotButton="0" quotePrefix="0" xfId="4"/>
    <xf numFmtId="164" fontId="2" fillId="4" borderId="4" pivotButton="0" quotePrefix="0" xfId="4"/>
    <xf numFmtId="164" fontId="1" fillId="0" borderId="4" pivotButton="0" quotePrefix="0" xfId="4"/>
    <xf numFmtId="164" fontId="2" fillId="0" borderId="4" pivotButton="0" quotePrefix="0" xfId="4"/>
    <xf numFmtId="164" fontId="2" fillId="4" borderId="5" pivotButton="0" quotePrefix="0" xfId="4"/>
    <xf numFmtId="164" fontId="2" fillId="0" borderId="5" pivotButton="0" quotePrefix="0" xfId="4"/>
    <xf numFmtId="164" fontId="2" fillId="4" borderId="0" pivotButton="0" quotePrefix="0" xfId="4"/>
    <xf numFmtId="164" fontId="2" fillId="0" borderId="0" pivotButton="0" quotePrefix="0" xfId="4"/>
    <xf numFmtId="165" fontId="2" fillId="0" borderId="0" pivotButton="0" quotePrefix="0" xfId="4"/>
    <xf numFmtId="0" fontId="9" fillId="0" borderId="11" pivotButton="0" quotePrefix="0" xfId="3"/>
    <xf numFmtId="0" fontId="1" fillId="0" borderId="11" pivotButton="0" quotePrefix="0" xfId="3"/>
    <xf numFmtId="165" fontId="1" fillId="0" borderId="11" pivotButton="0" quotePrefix="0" xfId="3"/>
    <xf numFmtId="165" fontId="1" fillId="0" borderId="11" pivotButton="0" quotePrefix="0" xfId="4"/>
    <xf numFmtId="9" fontId="1" fillId="0" borderId="11" pivotButton="0" quotePrefix="0" xfId="3"/>
    <xf numFmtId="9" fontId="1" fillId="0" borderId="11" pivotButton="0" quotePrefix="0" xfId="5"/>
    <xf numFmtId="0" fontId="9" fillId="0" borderId="0" pivotButton="0" quotePrefix="0" xfId="3"/>
    <xf numFmtId="165" fontId="1" fillId="0" borderId="0" pivotButton="0" quotePrefix="0" xfId="3"/>
    <xf numFmtId="165" fontId="1" fillId="0" borderId="0" pivotButton="0" quotePrefix="0" xfId="4"/>
    <xf numFmtId="9" fontId="1" fillId="0" borderId="0" pivotButton="0" quotePrefix="0" xfId="3"/>
    <xf numFmtId="9" fontId="1" fillId="0" borderId="0" pivotButton="0" quotePrefix="0" xfId="5"/>
    <xf numFmtId="9" fontId="4" fillId="0" borderId="11" pivotButton="0" quotePrefix="0" xfId="2"/>
    <xf numFmtId="9" fontId="4" fillId="0" borderId="11" pivotButton="0" quotePrefix="0" xfId="3"/>
    <xf numFmtId="9" fontId="4" fillId="0" borderId="11" pivotButton="0" quotePrefix="0" xfId="2"/>
    <xf numFmtId="0" fontId="13" fillId="0" borderId="0" pivotButton="0" quotePrefix="0" xfId="3"/>
    <xf numFmtId="0" fontId="2" fillId="2" borderId="11" applyAlignment="1" pivotButton="0" quotePrefix="0" xfId="3">
      <alignment horizontal="center" vertical="center" wrapText="1"/>
    </xf>
    <xf numFmtId="164" fontId="7" fillId="2" borderId="11" applyAlignment="1" pivotButton="0" quotePrefix="0" xfId="4">
      <alignment horizontal="center" vertical="center" wrapText="1"/>
    </xf>
    <xf numFmtId="0" fontId="9" fillId="2" borderId="11" applyAlignment="1" pivotButton="0" quotePrefix="0" xfId="3">
      <alignment horizontal="center" vertical="center" wrapText="1"/>
    </xf>
    <xf numFmtId="164" fontId="7" fillId="2" borderId="5" applyAlignment="1" pivotButton="0" quotePrefix="0" xfId="4">
      <alignment horizontal="center" vertical="center" wrapText="1"/>
    </xf>
    <xf numFmtId="0" fontId="2" fillId="2" borderId="5" applyAlignment="1" pivotButton="0" quotePrefix="0" xfId="3">
      <alignment horizontal="center" vertical="center" wrapText="1"/>
    </xf>
    <xf numFmtId="0" fontId="9" fillId="2" borderId="5" applyAlignment="1" pivotButton="0" quotePrefix="0" xfId="3">
      <alignment horizontal="center" vertical="center" wrapText="1"/>
    </xf>
    <xf numFmtId="0" fontId="9" fillId="2" borderId="17" applyAlignment="1" pivotButton="0" quotePrefix="0" xfId="3">
      <alignment horizontal="center" vertical="center" wrapText="1"/>
    </xf>
    <xf numFmtId="0" fontId="9" fillId="2" borderId="18" applyAlignment="1" pivotButton="0" quotePrefix="0" xfId="3">
      <alignment horizontal="center" vertical="center" wrapText="1"/>
    </xf>
    <xf numFmtId="9" fontId="9" fillId="2" borderId="19" applyAlignment="1" pivotButton="0" quotePrefix="0" xfId="2">
      <alignment horizontal="center" vertical="center" wrapText="1"/>
    </xf>
    <xf numFmtId="0" fontId="1" fillId="0" borderId="0" applyAlignment="1" pivotButton="0" quotePrefix="0" xfId="3">
      <alignment wrapText="1"/>
    </xf>
    <xf numFmtId="0" fontId="1" fillId="0" borderId="4" applyAlignment="1" pivotButton="0" quotePrefix="0" xfId="3">
      <alignment horizontal="left" vertical="top"/>
    </xf>
    <xf numFmtId="41" fontId="1" fillId="0" borderId="4" pivotButton="0" quotePrefix="0" xfId="3"/>
    <xf numFmtId="41" fontId="1" fillId="4" borderId="4" pivotButton="0" quotePrefix="0" xfId="3"/>
    <xf numFmtId="41" fontId="1" fillId="4" borderId="20" pivotButton="0" quotePrefix="0" xfId="3"/>
    <xf numFmtId="41" fontId="1" fillId="0" borderId="13" pivotButton="0" quotePrefix="0" xfId="3"/>
    <xf numFmtId="9" fontId="1" fillId="4" borderId="4" pivotButton="0" quotePrefix="0" xfId="2"/>
    <xf numFmtId="164" fontId="2" fillId="2" borderId="11" applyAlignment="1" pivotButton="0" quotePrefix="0" xfId="4">
      <alignment horizontal="left" vertical="top" wrapText="1"/>
    </xf>
    <xf numFmtId="164" fontId="2" fillId="2" borderId="11" applyAlignment="1" pivotButton="0" quotePrefix="0" xfId="4">
      <alignment vertical="center" wrapText="1"/>
    </xf>
    <xf numFmtId="9" fontId="2" fillId="2" borderId="11" applyAlignment="1" pivotButton="0" quotePrefix="0" xfId="2">
      <alignment vertical="center" wrapText="1"/>
    </xf>
    <xf numFmtId="9" fontId="2" fillId="2" borderId="4" pivotButton="0" quotePrefix="0" xfId="2"/>
    <xf numFmtId="164" fontId="9" fillId="0" borderId="21" pivotButton="0" quotePrefix="0" xfId="4"/>
    <xf numFmtId="0" fontId="4" fillId="0" borderId="22" pivotButton="0" quotePrefix="0" xfId="3"/>
    <xf numFmtId="164" fontId="0" fillId="0" borderId="22" pivotButton="0" quotePrefix="0" xfId="4"/>
    <xf numFmtId="0" fontId="4" fillId="0" borderId="23" pivotButton="0" quotePrefix="0" xfId="3"/>
    <xf numFmtId="164" fontId="0" fillId="0" borderId="23" pivotButton="0" quotePrefix="0" xfId="4"/>
    <xf numFmtId="166" fontId="9" fillId="0" borderId="23" pivotButton="0" quotePrefix="0" xfId="2"/>
    <xf numFmtId="0" fontId="9" fillId="0" borderId="24" pivotButton="0" quotePrefix="0" xfId="3"/>
    <xf numFmtId="166" fontId="9" fillId="0" borderId="24" pivotButton="0" quotePrefix="0" xfId="2"/>
    <xf numFmtId="43" fontId="0" fillId="0" borderId="0" pivotButton="0" quotePrefix="0" xfId="1"/>
    <xf numFmtId="43" fontId="4" fillId="0" borderId="0" pivotButton="0" quotePrefix="0" xfId="3"/>
    <xf numFmtId="9" fontId="1" fillId="3" borderId="4" pivotButton="0" quotePrefix="0" xfId="2"/>
    <xf numFmtId="9" fontId="1" fillId="3" borderId="5" pivotButton="0" quotePrefix="0" xfId="2"/>
    <xf numFmtId="43" fontId="1" fillId="3" borderId="4" pivotButton="0" quotePrefix="0" xfId="3"/>
    <xf numFmtId="43" fontId="1" fillId="3" borderId="1" pivotButton="0" quotePrefix="0" xfId="3"/>
    <xf numFmtId="0" fontId="12" fillId="0" borderId="0" pivotButton="0" quotePrefix="0" xfId="7"/>
    <xf numFmtId="164" fontId="4" fillId="3" borderId="1" applyAlignment="1" pivotButton="0" quotePrefix="0" xfId="4">
      <alignment horizontal="right"/>
    </xf>
    <xf numFmtId="0" fontId="9" fillId="0" borderId="2" applyAlignment="1" pivotButton="0" quotePrefix="0" xfId="3">
      <alignment horizontal="center"/>
    </xf>
    <xf numFmtId="0" fontId="14" fillId="0" borderId="15" applyAlignment="1" pivotButton="0" quotePrefix="0" xfId="3">
      <alignment horizontal="center"/>
    </xf>
    <xf numFmtId="0" fontId="14" fillId="0" borderId="12" applyAlignment="1" pivotButton="0" quotePrefix="0" xfId="3">
      <alignment horizontal="center"/>
    </xf>
    <xf numFmtId="0" fontId="14" fillId="0" borderId="16" applyAlignment="1" pivotButton="0" quotePrefix="0" xfId="3">
      <alignment horizontal="center"/>
    </xf>
    <xf numFmtId="0" fontId="2" fillId="0" borderId="15" applyAlignment="1" pivotButton="0" quotePrefix="0" xfId="3">
      <alignment horizontal="center"/>
    </xf>
    <xf numFmtId="0" fontId="2" fillId="0" borderId="12" applyAlignment="1" pivotButton="0" quotePrefix="0" xfId="3">
      <alignment horizontal="center"/>
    </xf>
    <xf numFmtId="0" fontId="2" fillId="0" borderId="16" applyAlignment="1" pivotButton="0" quotePrefix="0" xfId="3">
      <alignment horizontal="center"/>
    </xf>
    <xf numFmtId="2" fontId="1" fillId="0" borderId="1" pivotButton="0" quotePrefix="0" xfId="4"/>
    <xf numFmtId="2" fontId="1" fillId="0" borderId="0" pivotButton="0" quotePrefix="0" xfId="3"/>
    <xf numFmtId="0" fontId="0" fillId="0" borderId="2" pivotButton="0" quotePrefix="0" xfId="0"/>
    <xf numFmtId="0" fontId="14" fillId="0" borderId="11" applyAlignment="1" pivotButton="0" quotePrefix="0" xfId="3">
      <alignment horizontal="center"/>
    </xf>
    <xf numFmtId="0" fontId="0" fillId="0" borderId="12" pivotButton="0" quotePrefix="0" xfId="0"/>
    <xf numFmtId="0" fontId="0" fillId="0" borderId="16" pivotButton="0" quotePrefix="0" xfId="0"/>
    <xf numFmtId="0" fontId="2" fillId="0" borderId="11" applyAlignment="1" pivotButton="0" quotePrefix="0" xfId="3">
      <alignment horizontal="center"/>
    </xf>
  </cellXfs>
  <cellStyles count="8">
    <cellStyle name="Normal" xfId="0" builtinId="0"/>
    <cellStyle name="Comma" xfId="1" builtinId="3"/>
    <cellStyle name="Percent" xfId="2" builtinId="5"/>
    <cellStyle name="Normal 2" xfId="3"/>
    <cellStyle name="Comma 2 4" xfId="4"/>
    <cellStyle name="Percent 2" xfId="5"/>
    <cellStyle name="Comma 4" xfId="6"/>
    <cellStyle name="Normal 5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Kaushal Navalakha</author>
  </authors>
  <commentList>
    <comment ref="AN71" authorId="0" shapeId="0">
      <text>
        <t>For the calculation of average salary, HC for the month cosidered for post acq. Period.</t>
      </text>
    </comment>
    <comment ref="AP71" authorId="0" shapeId="0">
      <text>
        <t>For the calculation of average salary, HC for the month cosidered for post acq. Period.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 autoPageBreaks="0"/>
  </sheetPr>
  <dimension ref="B1:BM100"/>
  <sheetViews>
    <sheetView showGridLines="0" tabSelected="1" zoomScale="80" zoomScaleNormal="80" workbookViewId="0">
      <pane xSplit="2" ySplit="5" topLeftCell="AH6" activePane="bottomRight" state="frozen"/>
      <selection activeCell="AI9" sqref="AI9"/>
      <selection pane="topRight" activeCell="AI9" sqref="AI9"/>
      <selection pane="bottomLeft" activeCell="AI9" sqref="AI9"/>
      <selection pane="bottomRight" activeCell="BJ43" sqref="BJ43"/>
    </sheetView>
  </sheetViews>
  <sheetFormatPr baseColWidth="8" defaultColWidth="9.140625" defaultRowHeight="15" outlineLevelRow="1"/>
  <cols>
    <col width="1.28515625" customWidth="1" style="1" min="1" max="1"/>
    <col width="29.28515625" bestFit="1" customWidth="1" style="1" min="2" max="2"/>
    <col hidden="1" outlineLevel="1" width="16" customWidth="1" style="1" min="3" max="3"/>
    <col hidden="1" outlineLevel="1" width="17" customWidth="1" style="1" min="4" max="4"/>
    <col hidden="1" outlineLevel="1" width="15.85546875" customWidth="1" style="1" min="5" max="5"/>
    <col hidden="1" collapsed="1" width="13.5703125" customWidth="1" style="1" min="6" max="6"/>
    <col hidden="1" outlineLevel="1" width="15.28515625" customWidth="1" style="1" min="7" max="7"/>
    <col hidden="1" outlineLevel="1" width="16.42578125" customWidth="1" style="1" min="8" max="8"/>
    <col hidden="1" outlineLevel="1" width="16.28515625" customWidth="1" style="1" min="9" max="9"/>
    <col hidden="1" collapsed="1" width="13.28515625" customWidth="1" style="1" min="10" max="10"/>
    <col hidden="1" outlineLevel="1" width="16" customWidth="1" style="1" min="11" max="11"/>
    <col hidden="1" outlineLevel="1" width="16.5703125" customWidth="1" style="1" min="12" max="12"/>
    <col hidden="1" outlineLevel="1" width="18.42578125" customWidth="1" style="1" min="13" max="13"/>
    <col hidden="1" collapsed="1" width="13.85546875" customWidth="1" style="1" min="14" max="14"/>
    <col hidden="1" outlineLevel="1" width="18" customWidth="1" style="1" min="15" max="16"/>
    <col hidden="1" outlineLevel="1" width="13.85546875" customWidth="1" style="1" min="17" max="17"/>
    <col hidden="1" collapsed="1" width="18.85546875" customWidth="1" style="1" min="18" max="18"/>
    <col hidden="1" outlineLevel="1" width="14.5703125" customWidth="1" style="1" min="19" max="21"/>
    <col collapsed="1" width="14.5703125" customWidth="1" style="1" min="22" max="22"/>
    <col hidden="1" outlineLevel="1" width="14.5703125" customWidth="1" style="1" min="23" max="25"/>
    <col collapsed="1" width="14.5703125" customWidth="1" style="1" min="26" max="26"/>
    <col hidden="1" outlineLevel="1" width="14.5703125" customWidth="1" style="1" min="27" max="29"/>
    <col collapsed="1" width="14.5703125" customWidth="1" style="1" min="30" max="30"/>
    <col hidden="1" outlineLevel="1" width="14.5703125" customWidth="1" style="1" min="31" max="33"/>
    <col collapsed="1" width="14.5703125" customWidth="1" style="1" min="34" max="34"/>
    <col hidden="1" outlineLevel="1" width="14.5703125" customWidth="1" style="1" min="35" max="37"/>
    <col collapsed="1" width="14.5703125" customWidth="1" style="1" min="38" max="38"/>
    <col hidden="1" outlineLevel="1" width="14.5703125" customWidth="1" style="1" min="39" max="41"/>
    <col collapsed="1" width="16.85546875" customWidth="1" style="1" min="42" max="42"/>
    <col hidden="1" outlineLevel="1" width="14.5703125" customWidth="1" style="1" min="43" max="44"/>
    <col hidden="1" outlineLevel="1" width="15.85546875" customWidth="1" style="1" min="45" max="45"/>
    <col collapsed="1" width="16" customWidth="1" style="1" min="46" max="46"/>
    <col hidden="1" outlineLevel="1" width="15.85546875" customWidth="1" style="1" min="47" max="49"/>
    <col collapsed="1" width="16" customWidth="1" style="1" min="50" max="50"/>
    <col width="15.85546875" customWidth="1" style="1" min="51" max="53"/>
    <col width="16" customWidth="1" style="1" min="54" max="54"/>
    <col width="14.42578125" customWidth="1" style="1" min="55" max="58"/>
    <col width="3.28515625" customWidth="1" style="1" min="59" max="59"/>
    <col width="11.7109375" bestFit="1" customWidth="1" style="1" min="60" max="60"/>
    <col width="10.85546875" bestFit="1" customWidth="1" style="1" min="61" max="61"/>
    <col width="11.28515625" bestFit="1" customWidth="1" style="1" min="62" max="62"/>
    <col width="12.28515625" bestFit="1" customWidth="1" style="1" min="63" max="63"/>
    <col width="12.140625" bestFit="1" customWidth="1" style="1" min="64" max="64"/>
    <col width="11.42578125" bestFit="1" customWidth="1" style="1" min="65" max="65"/>
    <col width="9.140625" customWidth="1" style="1" min="66" max="16384"/>
  </cols>
  <sheetData>
    <row r="1"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3" t="n"/>
      <c r="BD1" s="3" t="n"/>
      <c r="BE1" s="3" t="n"/>
      <c r="BF1" s="3" t="n"/>
      <c r="BG1" s="3" t="n"/>
    </row>
    <row r="2"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V2" s="60" t="n"/>
      <c r="Z2" s="6" t="n"/>
      <c r="AD2" s="6" t="n"/>
      <c r="AO2" s="2" t="n"/>
      <c r="AS2" s="60" t="n"/>
      <c r="AT2" s="60" t="n"/>
      <c r="AU2" s="60" t="n"/>
      <c r="AV2" s="12" t="n"/>
      <c r="AW2" s="12" t="n"/>
      <c r="AX2" s="60" t="n"/>
      <c r="AY2" s="12" t="n"/>
      <c r="AZ2" s="12" t="n"/>
      <c r="BA2" s="12" t="n"/>
      <c r="BB2" s="60" t="n"/>
      <c r="BC2" s="12" t="n"/>
      <c r="BD2" s="12" t="n"/>
      <c r="BE2" s="12" t="n"/>
      <c r="BF2" s="12" t="n"/>
      <c r="BG2" s="12" t="n"/>
      <c r="BH2" s="161" t="n"/>
      <c r="BI2" s="161" t="n"/>
      <c r="BJ2" s="161" t="n"/>
      <c r="BK2" s="161" t="n"/>
      <c r="BL2" s="161" t="n"/>
      <c r="BM2" s="161" t="n"/>
    </row>
    <row r="3" ht="18.75" customHeight="1">
      <c r="B3" s="8" t="inlineStr">
        <is>
          <t>RapDev</t>
        </is>
      </c>
      <c r="F3" s="9" t="n"/>
      <c r="J3" s="9" t="n"/>
      <c r="K3" s="10" t="n"/>
      <c r="N3" s="9" t="n"/>
      <c r="O3" s="9" t="n"/>
      <c r="P3" s="9" t="n"/>
      <c r="Q3" s="9" t="n"/>
      <c r="R3" s="9" t="n"/>
      <c r="S3" s="11">
        <f>10^6</f>
        <v/>
      </c>
      <c r="T3" s="60" t="n"/>
      <c r="U3" s="60" t="n"/>
      <c r="V3" s="60" t="n"/>
      <c r="W3" s="60" t="n"/>
      <c r="X3" s="60" t="n"/>
      <c r="Y3" s="60" t="n"/>
      <c r="Z3" s="60" t="n"/>
      <c r="AA3" s="60" t="n"/>
      <c r="AB3" s="60" t="n"/>
      <c r="AC3" s="60" t="n"/>
      <c r="AD3" s="60" t="n"/>
      <c r="AE3" s="60" t="n"/>
      <c r="AF3" s="60" t="n"/>
      <c r="AG3" s="60" t="n"/>
      <c r="AH3" s="60" t="n"/>
      <c r="AI3" s="60" t="n"/>
      <c r="AJ3" s="60" t="n"/>
      <c r="AK3" s="60" t="n"/>
      <c r="AL3" s="60" t="n"/>
      <c r="AM3" s="60" t="n"/>
      <c r="AN3" s="60" t="n"/>
      <c r="AO3" s="60" t="n"/>
      <c r="AP3" s="60" t="n"/>
      <c r="AQ3" s="60" t="n"/>
      <c r="AR3" s="60" t="n"/>
      <c r="AS3" s="60" t="n"/>
      <c r="AT3" s="60" t="n"/>
      <c r="AU3" s="60" t="n"/>
      <c r="AV3" s="60" t="n"/>
      <c r="AW3" s="60" t="n"/>
      <c r="AX3" s="60" t="n"/>
      <c r="AY3" s="12" t="n"/>
      <c r="AZ3" s="12" t="n"/>
      <c r="BA3" s="12" t="n"/>
      <c r="BB3" s="60" t="n"/>
      <c r="BC3" s="12" t="n"/>
      <c r="BD3" s="12" t="n"/>
      <c r="BE3" s="12" t="n"/>
      <c r="BF3" s="12" t="n"/>
      <c r="BG3" s="12" t="n"/>
      <c r="BH3" s="160" t="n"/>
      <c r="BI3" s="160" t="n"/>
      <c r="BJ3" s="160" t="n"/>
      <c r="BK3" s="160" t="n"/>
      <c r="BL3" s="160" t="n"/>
      <c r="BM3" s="160" t="n"/>
    </row>
    <row r="4"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Y4" s="14" t="n"/>
      <c r="AA4" s="14" t="n"/>
      <c r="AB4" s="14" t="n"/>
      <c r="AC4" s="14" t="n"/>
      <c r="AD4" s="14" t="n"/>
      <c r="AE4" s="14" t="n"/>
      <c r="AG4" s="14" t="n"/>
      <c r="AH4" s="14" t="n"/>
      <c r="AI4" s="14" t="n"/>
      <c r="AJ4" s="14" t="n"/>
      <c r="AK4" s="14" t="n"/>
      <c r="AL4" s="14" t="n"/>
      <c r="AM4" s="14" t="n"/>
      <c r="AN4" s="6" t="n"/>
      <c r="AO4" s="6" t="n"/>
      <c r="AP4" s="15" t="n"/>
      <c r="AQ4" s="6" t="n"/>
      <c r="AR4" s="16" t="n">
        <v>3.28783178</v>
      </c>
      <c r="AS4" s="16" t="n"/>
      <c r="AU4" s="16" t="n"/>
      <c r="AV4" s="16" t="n"/>
      <c r="AW4" s="16" t="n"/>
      <c r="AY4" s="12" t="n"/>
      <c r="AZ4" s="16" t="n"/>
      <c r="BA4" s="16" t="n"/>
      <c r="BC4" s="14" t="n"/>
      <c r="BD4" s="14" t="n"/>
      <c r="BE4" s="14" t="n"/>
      <c r="BF4" s="14" t="inlineStr">
        <is>
          <t>Amount in M$</t>
        </is>
      </c>
      <c r="BG4" s="17" t="n"/>
      <c r="BH4" s="168" t="inlineStr">
        <is>
          <t>Old Forecast</t>
        </is>
      </c>
      <c r="BI4" s="177" t="n"/>
      <c r="BJ4" s="177" t="n"/>
      <c r="BK4" s="177" t="n"/>
      <c r="BL4" s="177" t="n"/>
      <c r="BM4" s="177" t="n"/>
    </row>
    <row r="5" ht="30" customFormat="1" customHeight="1" s="24">
      <c r="B5" s="18" t="n"/>
      <c r="C5" s="19" t="inlineStr">
        <is>
          <t>Apr'23 (A)</t>
        </is>
      </c>
      <c r="D5" s="19" t="inlineStr">
        <is>
          <t>May'23 (A)</t>
        </is>
      </c>
      <c r="E5" s="19" t="inlineStr">
        <is>
          <t>Jun'23 (A)</t>
        </is>
      </c>
      <c r="F5" s="19" t="inlineStr">
        <is>
          <t>Q1' 24</t>
        </is>
      </c>
      <c r="G5" s="19" t="inlineStr">
        <is>
          <t>Jul'23 (A)</t>
        </is>
      </c>
      <c r="H5" s="19" t="inlineStr">
        <is>
          <t>Aug'23 (A)</t>
        </is>
      </c>
      <c r="I5" s="19" t="inlineStr">
        <is>
          <t>Sep'23 (A)</t>
        </is>
      </c>
      <c r="J5" s="19" t="inlineStr">
        <is>
          <t>Q2' 24</t>
        </is>
      </c>
      <c r="K5" s="19" t="inlineStr">
        <is>
          <t>Oct'23 (A)</t>
        </is>
      </c>
      <c r="L5" s="19" t="inlineStr">
        <is>
          <t>Nov'23 (A)</t>
        </is>
      </c>
      <c r="M5" s="19" t="inlineStr">
        <is>
          <t>Dec'23 (A)</t>
        </is>
      </c>
      <c r="N5" s="19" t="inlineStr">
        <is>
          <t>Q3' 24</t>
        </is>
      </c>
      <c r="O5" s="19" t="inlineStr">
        <is>
          <t>Jan'24 (A)</t>
        </is>
      </c>
      <c r="P5" s="19" t="inlineStr">
        <is>
          <t>Feb'24 (A)</t>
        </is>
      </c>
      <c r="Q5" s="19" t="inlineStr">
        <is>
          <t>Mar'24 (A)</t>
        </is>
      </c>
      <c r="R5" s="19" t="inlineStr">
        <is>
          <t>Q4' 24</t>
        </is>
      </c>
      <c r="S5" s="19" t="inlineStr">
        <is>
          <t>Apr' 24 (A)</t>
        </is>
      </c>
      <c r="T5" s="19" t="inlineStr">
        <is>
          <t>May' 24 (A)</t>
        </is>
      </c>
      <c r="U5" s="19" t="inlineStr">
        <is>
          <t>Jun' 24 (A)</t>
        </is>
      </c>
      <c r="V5" s="19" t="inlineStr">
        <is>
          <t>Q1' 25</t>
        </is>
      </c>
      <c r="W5" s="19" t="inlineStr">
        <is>
          <t>Jul' 24 (A)</t>
        </is>
      </c>
      <c r="X5" s="19" t="inlineStr">
        <is>
          <t>Aug' 24 (A)</t>
        </is>
      </c>
      <c r="Y5" s="19" t="inlineStr">
        <is>
          <t>Sep' 24 (A)</t>
        </is>
      </c>
      <c r="Z5" s="19" t="inlineStr">
        <is>
          <t>Q2' 25</t>
        </is>
      </c>
      <c r="AA5" s="19" t="inlineStr">
        <is>
          <t>Oct' 24 (A)</t>
        </is>
      </c>
      <c r="AB5" s="19" t="inlineStr">
        <is>
          <t>Nov' 24 (A)</t>
        </is>
      </c>
      <c r="AC5" s="19" t="inlineStr">
        <is>
          <t>Dec' 24 (A)</t>
        </is>
      </c>
      <c r="AD5" s="19" t="inlineStr">
        <is>
          <t>Q3' 25</t>
        </is>
      </c>
      <c r="AE5" s="19" t="inlineStr">
        <is>
          <t>Jan' 25 (A)</t>
        </is>
      </c>
      <c r="AF5" s="19" t="inlineStr">
        <is>
          <t>Feb' 25 (A)</t>
        </is>
      </c>
      <c r="AG5" s="19" t="inlineStr">
        <is>
          <t>Mar' 25 (A)</t>
        </is>
      </c>
      <c r="AH5" s="19" t="inlineStr">
        <is>
          <t>Q4' 25</t>
        </is>
      </c>
      <c r="AI5" s="19" t="inlineStr">
        <is>
          <t>Apr' 25 (A)</t>
        </is>
      </c>
      <c r="AJ5" s="19" t="inlineStr">
        <is>
          <t>May' 25 (A)</t>
        </is>
      </c>
      <c r="AK5" s="19" t="inlineStr">
        <is>
          <t>Jun' 25 (A)</t>
        </is>
      </c>
      <c r="AL5" s="19" t="inlineStr">
        <is>
          <t xml:space="preserve">Q1' 26 </t>
        </is>
      </c>
      <c r="AM5" s="19" t="inlineStr">
        <is>
          <t>Jul' 25 (A)</t>
        </is>
      </c>
      <c r="AN5" s="20" t="inlineStr">
        <is>
          <t>Aug' 25 (A) post acq.</t>
        </is>
      </c>
      <c r="AO5" s="19" t="inlineStr">
        <is>
          <t>Sep' 25 (A)</t>
        </is>
      </c>
      <c r="AP5" s="21" t="inlineStr">
        <is>
          <t>Q2' 26 (A)
Post acq. Data</t>
        </is>
      </c>
      <c r="AQ5" s="19" t="inlineStr">
        <is>
          <t>Oct' 25 (A)</t>
        </is>
      </c>
      <c r="AR5" s="19" t="inlineStr">
        <is>
          <t>Nov' 25 (A)</t>
        </is>
      </c>
      <c r="AS5" s="19" t="inlineStr">
        <is>
          <t>Dec' 25 (A)</t>
        </is>
      </c>
      <c r="AT5" s="19" t="inlineStr">
        <is>
          <t>Q3' 26 (A)</t>
        </is>
      </c>
      <c r="AU5" s="19" t="inlineStr">
        <is>
          <t>Jan' 26 (A)</t>
        </is>
      </c>
      <c r="AV5" s="19" t="inlineStr">
        <is>
          <t>Feb' 26 (A)</t>
        </is>
      </c>
      <c r="AW5" s="19" t="inlineStr">
        <is>
          <t>Mar' 26 (A)</t>
        </is>
      </c>
      <c r="AX5" s="19" t="inlineStr">
        <is>
          <t>Q4' 26 (A)</t>
        </is>
      </c>
      <c r="AY5" s="19" t="inlineStr">
        <is>
          <t>Apr' 26 (A)</t>
        </is>
      </c>
      <c r="AZ5" s="19" t="inlineStr">
        <is>
          <t>May' 26 (A)</t>
        </is>
      </c>
      <c r="BA5" s="19" t="inlineStr">
        <is>
          <t>June' 26 (A)</t>
        </is>
      </c>
      <c r="BB5" s="19" t="inlineStr">
        <is>
          <t>Q1' 27 (A)</t>
        </is>
      </c>
      <c r="BC5" s="22" t="inlineStr">
        <is>
          <t>Jul' 26(F)</t>
        </is>
      </c>
      <c r="BD5" s="22" t="inlineStr">
        <is>
          <t>Aug' 26 (F)</t>
        </is>
      </c>
      <c r="BE5" s="22" t="inlineStr">
        <is>
          <t>Sep' 26 (F)</t>
        </is>
      </c>
      <c r="BF5" s="22" t="inlineStr">
        <is>
          <t>Q2' 27 (F)</t>
        </is>
      </c>
      <c r="BG5" s="23" t="n"/>
      <c r="BH5" s="22" t="inlineStr">
        <is>
          <t>Jun' 26 (F)</t>
        </is>
      </c>
      <c r="BI5" s="22" t="inlineStr">
        <is>
          <t>Q1' 27(F)</t>
        </is>
      </c>
      <c r="BJ5" s="22" t="inlineStr">
        <is>
          <t>Jul' 26 (F)</t>
        </is>
      </c>
      <c r="BK5" s="22" t="inlineStr">
        <is>
          <t>Aug' 26 (F)</t>
        </is>
      </c>
      <c r="BL5" s="22" t="inlineStr">
        <is>
          <t>Sep' 26 (F)</t>
        </is>
      </c>
      <c r="BM5" s="22" t="inlineStr">
        <is>
          <t>Q2' 27 (F)</t>
        </is>
      </c>
    </row>
    <row r="6">
      <c r="B6" s="25" t="inlineStr">
        <is>
          <t>Revenue</t>
        </is>
      </c>
      <c r="C6" s="26" t="n"/>
      <c r="D6" s="26" t="n"/>
      <c r="E6" s="26" t="n"/>
      <c r="F6" s="27" t="n"/>
      <c r="G6" s="26" t="n"/>
      <c r="H6" s="26" t="n"/>
      <c r="I6" s="26" t="n"/>
      <c r="J6" s="27" t="n"/>
      <c r="K6" s="26" t="n"/>
      <c r="L6" s="26" t="n"/>
      <c r="M6" s="26" t="n"/>
      <c r="N6" s="27" t="n"/>
      <c r="O6" s="26" t="n"/>
      <c r="P6" s="26" t="n"/>
      <c r="Q6" s="26" t="n"/>
      <c r="R6" s="27" t="n"/>
      <c r="S6" s="28">
        <f>2021268.83191114/(10^6)</f>
        <v/>
      </c>
      <c r="T6" s="28">
        <f>1937205.76665855/(10^6)</f>
        <v/>
      </c>
      <c r="U6" s="28">
        <f>1841991.38287313/(10^6)</f>
        <v/>
      </c>
      <c r="V6" s="29">
        <f>SUM(S6:U6)</f>
        <v/>
      </c>
      <c r="W6" s="11">
        <f>2076433.24479633/(10^6)</f>
        <v/>
      </c>
      <c r="X6" s="11">
        <f>2158987.97783874/(10^6)</f>
        <v/>
      </c>
      <c r="Y6" s="11">
        <f>2162731.39066316/(10^6)</f>
        <v/>
      </c>
      <c r="Z6" s="29">
        <f>SUM(W6:Y6)</f>
        <v/>
      </c>
      <c r="AA6" s="11">
        <f>2755585.93116713/(10^6)</f>
        <v/>
      </c>
      <c r="AB6" s="11">
        <f>2442049.95461671/(10^6)</f>
        <v/>
      </c>
      <c r="AC6" s="11">
        <f>2422930.07020424/(10^6)</f>
        <v/>
      </c>
      <c r="AD6" s="30">
        <f>SUM(AA6:AC6)</f>
        <v/>
      </c>
      <c r="AE6" s="11">
        <f>2571976.37753607/(10^6)</f>
        <v/>
      </c>
      <c r="AF6" s="11">
        <f>2423065.04305868/(10^6)</f>
        <v/>
      </c>
      <c r="AG6" s="11">
        <f>2499061.64448663/(10^6)</f>
        <v/>
      </c>
      <c r="AH6" s="30">
        <f>SUM(AE6:AG6)</f>
        <v/>
      </c>
      <c r="AI6" s="11">
        <f>2703690.89925538/(10^6)</f>
        <v/>
      </c>
      <c r="AJ6" s="11">
        <f>2611160.56896519/(10^6)</f>
        <v/>
      </c>
      <c r="AK6" s="11">
        <f>2628893.745682/(10^6)</f>
        <v/>
      </c>
      <c r="AL6" s="30">
        <f>SUM(AI6:AK6)</f>
        <v/>
      </c>
      <c r="AM6" s="11">
        <f>3022779.74030557/(10^6)</f>
        <v/>
      </c>
      <c r="AN6" s="11" t="n">
        <v>2.01459616</v>
      </c>
      <c r="AO6" s="11" t="n">
        <v>3.0815474401</v>
      </c>
      <c r="AP6" s="29">
        <f>SUM(AM6:AO6)</f>
        <v/>
      </c>
      <c r="AQ6" s="29" t="n">
        <v>4.02109172</v>
      </c>
      <c r="AR6" s="29" t="n">
        <v>3.28783178</v>
      </c>
      <c r="AS6" s="29" t="n">
        <v>3.64135814</v>
      </c>
      <c r="AT6" s="30">
        <f>SUM(AQ6:AS6)</f>
        <v/>
      </c>
      <c r="AU6" s="29" t="n">
        <v>4.08157871</v>
      </c>
      <c r="AV6" s="29" t="n">
        <v>4.04456143</v>
      </c>
      <c r="AW6" s="29" t="n">
        <v>4.44810062</v>
      </c>
      <c r="AX6" s="30">
        <f>SUM(AU6:AW6)</f>
        <v/>
      </c>
      <c r="AY6" s="29" t="n">
        <v>4.65301857</v>
      </c>
      <c r="AZ6" s="29" t="n">
        <v>4.354971509999999</v>
      </c>
      <c r="BA6" s="164" t="n">
        <v>4.70207487</v>
      </c>
      <c r="BB6" s="30">
        <f>SUM(AY6:BA6)</f>
        <v/>
      </c>
      <c r="BC6" s="176">
        <f>4856920/(10^6)</f>
        <v/>
      </c>
      <c r="BD6" s="176">
        <f>4758424/(10^6)</f>
        <v/>
      </c>
      <c r="BE6" s="176">
        <f>4867288/(10^6)</f>
        <v/>
      </c>
      <c r="BF6" s="30">
        <f>SUM(BC6:BE6)</f>
        <v/>
      </c>
      <c r="BG6" s="31" t="n"/>
      <c r="BH6" s="32" t="n">
        <v>4.569664</v>
      </c>
      <c r="BI6" s="32" t="n">
        <v>13.57765408</v>
      </c>
      <c r="BJ6" s="32" t="n">
        <v>4.85692</v>
      </c>
      <c r="BK6" s="32" t="n">
        <v>4.758424</v>
      </c>
      <c r="BL6" s="32" t="n">
        <v>4.867288</v>
      </c>
      <c r="BM6" s="32" t="n">
        <v>14.482632</v>
      </c>
    </row>
    <row r="7">
      <c r="B7" s="25" t="inlineStr">
        <is>
          <t>Avg. working days</t>
        </is>
      </c>
      <c r="C7" s="33" t="n"/>
      <c r="D7" s="33" t="n"/>
      <c r="E7" s="33" t="n"/>
      <c r="F7" s="27" t="n"/>
      <c r="G7" s="33" t="n"/>
      <c r="H7" s="33" t="n"/>
      <c r="I7" s="33" t="n"/>
      <c r="J7" s="27" t="n"/>
      <c r="K7" s="33" t="n"/>
      <c r="L7" s="33" t="n"/>
      <c r="M7" s="33" t="n"/>
      <c r="N7" s="27" t="n"/>
      <c r="O7" s="33" t="n"/>
      <c r="P7" s="33" t="n"/>
      <c r="Q7" s="33" t="n"/>
      <c r="R7" s="27" t="n"/>
      <c r="S7" s="66" t="n">
        <v>22</v>
      </c>
      <c r="T7" s="66" t="n">
        <v>21</v>
      </c>
      <c r="U7" s="66" t="n">
        <v>21</v>
      </c>
      <c r="V7" s="30">
        <f>AVERAGE(S7:U7)</f>
        <v/>
      </c>
      <c r="W7" s="66" t="n">
        <v>22</v>
      </c>
      <c r="X7" s="66" t="n">
        <v>22</v>
      </c>
      <c r="Y7" s="66" t="n">
        <v>20</v>
      </c>
      <c r="Z7" s="30">
        <f>AVERAGE(W7:Y7)</f>
        <v/>
      </c>
      <c r="AA7" s="66" t="n">
        <v>23</v>
      </c>
      <c r="AB7" s="66" t="n">
        <v>19</v>
      </c>
      <c r="AC7" s="66" t="n">
        <v>21</v>
      </c>
      <c r="AD7" s="30">
        <f>AVERAGE(AA7:AC7)</f>
        <v/>
      </c>
      <c r="AE7" s="66" t="n">
        <v>21</v>
      </c>
      <c r="AF7" s="66" t="n">
        <v>20</v>
      </c>
      <c r="AG7" s="30" t="n">
        <v>21</v>
      </c>
      <c r="AH7" s="30">
        <f>AVERAGE(AE7:AG7)</f>
        <v/>
      </c>
      <c r="AI7" s="30" t="n">
        <v>22</v>
      </c>
      <c r="AJ7" s="30" t="n">
        <v>21</v>
      </c>
      <c r="AK7" s="30" t="n">
        <v>20</v>
      </c>
      <c r="AL7" s="30">
        <f>AVERAGE(AI7:AK7)</f>
        <v/>
      </c>
      <c r="AM7" s="30" t="n">
        <v>22</v>
      </c>
      <c r="AN7" s="30" t="n">
        <v>13</v>
      </c>
      <c r="AO7" s="30" t="n">
        <v>21</v>
      </c>
      <c r="AP7" s="30">
        <f>AVERAGE(AN7:AO7)</f>
        <v/>
      </c>
      <c r="AQ7" s="30" t="n">
        <v>23</v>
      </c>
      <c r="AR7" s="30" t="n">
        <v>18</v>
      </c>
      <c r="AS7" s="30" t="n">
        <v>22</v>
      </c>
      <c r="AT7" s="30">
        <f>AVERAGE(AQ7:AS7)</f>
        <v/>
      </c>
      <c r="AU7" s="30" t="n">
        <v>22</v>
      </c>
      <c r="AV7" s="30" t="n">
        <v>22</v>
      </c>
      <c r="AW7" s="30" t="n">
        <v>22</v>
      </c>
      <c r="AX7" s="30">
        <f>AVERAGE(AU7:AW7)</f>
        <v/>
      </c>
      <c r="AY7" s="30" t="n">
        <v>22</v>
      </c>
      <c r="AZ7" s="30" t="n">
        <v>21</v>
      </c>
      <c r="BA7" s="30" t="n">
        <v>22</v>
      </c>
      <c r="BB7" s="30">
        <f>AVERAGE(AY7:BA7)</f>
        <v/>
      </c>
      <c r="BC7" s="66" t="n">
        <v>21.5</v>
      </c>
      <c r="BD7" s="66" t="n">
        <v>19</v>
      </c>
      <c r="BE7" s="66" t="n">
        <v>20</v>
      </c>
      <c r="BF7" s="30">
        <f>AVERAGE(BC7:BE7)</f>
        <v/>
      </c>
      <c r="BH7" s="66" t="n"/>
      <c r="BI7" s="66" t="n"/>
      <c r="BJ7" s="66" t="n"/>
      <c r="BK7" s="66" t="n"/>
      <c r="BL7" s="66" t="n"/>
      <c r="BM7" s="66" t="n"/>
    </row>
    <row r="8">
      <c r="B8" s="25" t="inlineStr">
        <is>
          <t>Revenue Growth CC (YOY)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35" t="n">
        <v>0.45</v>
      </c>
      <c r="AM8" s="66" t="n"/>
      <c r="AN8" s="66" t="n"/>
      <c r="AO8" s="66" t="n"/>
      <c r="AP8" s="35" t="n">
        <v>0.51</v>
      </c>
      <c r="AQ8" s="35" t="n"/>
      <c r="AR8" s="35" t="n"/>
      <c r="AS8" s="35" t="n"/>
      <c r="AT8" s="35" t="n">
        <v>0.47</v>
      </c>
      <c r="AU8" s="35" t="n">
        <v>0.5869425340174059</v>
      </c>
      <c r="AV8" s="35" t="n">
        <v>0.6926959489877322</v>
      </c>
      <c r="AW8" s="35" t="n">
        <v>0.8639520334303579</v>
      </c>
      <c r="AX8" s="35" t="n">
        <v>0.7232560587868815</v>
      </c>
      <c r="AY8" s="35" t="n">
        <v>0.6875787439158574</v>
      </c>
      <c r="AZ8" s="35" t="n">
        <v>0.5910262018581787</v>
      </c>
      <c r="BA8" s="162" t="n"/>
      <c r="BB8" s="162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</row>
    <row r="9">
      <c r="B9" s="36" t="inlineStr">
        <is>
          <t>Revenue Growth CC (YTD)</t>
        </is>
      </c>
      <c r="C9" s="37" t="n"/>
      <c r="D9" s="37" t="n"/>
      <c r="E9" s="37" t="n"/>
      <c r="F9" s="38" t="n"/>
      <c r="G9" s="37" t="n"/>
      <c r="H9" s="37" t="n"/>
      <c r="I9" s="37" t="n"/>
      <c r="J9" s="38" t="n"/>
      <c r="K9" s="37" t="n"/>
      <c r="L9" s="37" t="n"/>
      <c r="M9" s="37" t="n"/>
      <c r="N9" s="38" t="n"/>
      <c r="O9" s="37" t="n"/>
      <c r="P9" s="37" t="n"/>
      <c r="Q9" s="37" t="n"/>
      <c r="R9" s="38" t="n"/>
      <c r="S9" s="52" t="n"/>
      <c r="T9" s="52" t="n"/>
      <c r="U9" s="52" t="n"/>
      <c r="V9" s="40" t="n"/>
      <c r="W9" s="40" t="n"/>
      <c r="X9" s="40" t="n"/>
      <c r="Y9" s="52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>
        <v>0.48</v>
      </c>
      <c r="AR9" s="40" t="n">
        <v>0.46</v>
      </c>
      <c r="AS9" s="40" t="n">
        <v>0.423133017783863</v>
      </c>
      <c r="AT9" s="40" t="n">
        <v>0.48</v>
      </c>
      <c r="AU9" s="40" t="n">
        <v>0.4947212989275547</v>
      </c>
      <c r="AV9" s="40" t="n">
        <v>0.51</v>
      </c>
      <c r="AW9" s="41" t="n">
        <v>0.5454583137345761</v>
      </c>
      <c r="AX9" s="40" t="n"/>
      <c r="AY9" s="41" t="n">
        <v>0.6875788395625708</v>
      </c>
      <c r="AZ9" s="41" t="n">
        <v>0.6522603465651349</v>
      </c>
      <c r="BA9" s="163" t="n"/>
      <c r="BB9" s="40" t="n"/>
      <c r="BC9" s="40" t="n"/>
      <c r="BD9" s="40" t="n"/>
      <c r="BE9" s="40" t="n"/>
      <c r="BF9" s="40" t="n"/>
      <c r="BG9" s="42" t="n"/>
      <c r="BH9" s="40" t="n"/>
      <c r="BI9" s="40" t="n"/>
      <c r="BJ9" s="40" t="n"/>
      <c r="BK9" s="40" t="n"/>
      <c r="BL9" s="40" t="n"/>
      <c r="BM9" s="40" t="n"/>
    </row>
    <row r="10">
      <c r="AQ10" s="6" t="n"/>
      <c r="AR10" s="43" t="n"/>
      <c r="AS10" s="6" t="n"/>
      <c r="AU10" s="6" t="n"/>
      <c r="AV10" s="6" t="n"/>
      <c r="AW10" s="6" t="n"/>
      <c r="AX10" s="44" t="n"/>
      <c r="AY10" s="6" t="n"/>
      <c r="AZ10" s="6" t="n"/>
      <c r="BA10" s="1" t="inlineStr">
        <is>
          <t>Revenue, Growth % will be updated by us</t>
        </is>
      </c>
      <c r="BB10" s="44" t="n"/>
      <c r="BH10" s="6" t="n"/>
      <c r="BI10" s="6" t="n"/>
    </row>
    <row r="11">
      <c r="B11" s="45" t="inlineStr">
        <is>
          <t>Gross Margins</t>
        </is>
      </c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11">
        <f>1006034.83191114/(10^6)</f>
        <v/>
      </c>
      <c r="T11" s="11">
        <f>1197636.76665855/(10^6)</f>
        <v/>
      </c>
      <c r="U11" s="11">
        <f>1128488.38287313/(10^6)</f>
        <v/>
      </c>
      <c r="V11" s="11">
        <f>SUM(S11:U11)</f>
        <v/>
      </c>
      <c r="W11" s="11">
        <f>1353415.24479633/(10^6)</f>
        <v/>
      </c>
      <c r="X11" s="11">
        <f>881488.977838739/(10^6)</f>
        <v/>
      </c>
      <c r="Y11" s="11">
        <f>1316733.39066316/(10^6)</f>
        <v/>
      </c>
      <c r="Z11" s="11">
        <f>SUM(W11:Y11)</f>
        <v/>
      </c>
      <c r="AA11" s="11">
        <f>1813541.93116713/(10^6)</f>
        <v/>
      </c>
      <c r="AB11" s="11">
        <f>1499581.95461671/(10^6)</f>
        <v/>
      </c>
      <c r="AC11" s="11">
        <f>1358375.07020424/(10^6)</f>
        <v/>
      </c>
      <c r="AD11" s="11">
        <f>SUM(AA11:AC11)</f>
        <v/>
      </c>
      <c r="AE11" s="11">
        <f>1452050.37753607/(10^6)</f>
        <v/>
      </c>
      <c r="AF11" s="11">
        <f>1374720.04305868/(10^6)</f>
        <v/>
      </c>
      <c r="AG11" s="11">
        <f>1442013.64448663/(10^6)</f>
        <v/>
      </c>
      <c r="AH11" s="11">
        <f>SUM(AE11:AG11)</f>
        <v/>
      </c>
      <c r="AI11" s="11">
        <f>1655361.89925538/(10^6)</f>
        <v/>
      </c>
      <c r="AJ11" s="11">
        <f>1451246.56896519/(10^6)</f>
        <v/>
      </c>
      <c r="AK11" s="11">
        <f>1490806.745682/(10^6)</f>
        <v/>
      </c>
      <c r="AL11" s="11">
        <f>SUM(AI11:AK11)</f>
        <v/>
      </c>
      <c r="AM11" s="11">
        <f>1782172.74030557/(10^6)</f>
        <v/>
      </c>
      <c r="AN11" s="11" t="n">
        <v>1.24144837</v>
      </c>
      <c r="AO11" s="11" t="n">
        <v>1.6310614601</v>
      </c>
      <c r="AP11" s="47">
        <f>SUM(AM11:AO11)</f>
        <v/>
      </c>
      <c r="AQ11" s="11" t="n">
        <v>2.4174232</v>
      </c>
      <c r="AR11" s="11" t="n">
        <v>1.78229189</v>
      </c>
      <c r="AS11" s="11" t="n">
        <v>1.95444205</v>
      </c>
      <c r="AT11" s="11">
        <f>SUM(AQ11:AS11)</f>
        <v/>
      </c>
      <c r="AU11" s="11" t="n">
        <v>2.28562606</v>
      </c>
      <c r="AV11" s="11" t="n">
        <v>2.37803465</v>
      </c>
      <c r="AW11" s="11" t="n">
        <v>2.53858119</v>
      </c>
      <c r="AX11" s="11">
        <f>SUM(AU11:AW11)</f>
        <v/>
      </c>
      <c r="AY11" s="11" t="n">
        <v>2.77307745</v>
      </c>
      <c r="AZ11" s="11" t="n">
        <v>2.62804162</v>
      </c>
      <c r="BA11" s="165" t="n">
        <v>2.85062415</v>
      </c>
      <c r="BB11" s="11">
        <f>SUM(AY11:BA11)</f>
        <v/>
      </c>
      <c r="BC11" s="175">
        <f>2669369/10^6</f>
        <v/>
      </c>
      <c r="BD11" s="175">
        <f>2607457/10^6</f>
        <v/>
      </c>
      <c r="BE11" s="175">
        <f>2564296/10^6</f>
        <v/>
      </c>
      <c r="BF11" s="11">
        <f>SUM(BC11:BE11)</f>
        <v/>
      </c>
      <c r="BG11" s="1" t="inlineStr">
        <is>
          <t>Please Update</t>
        </is>
      </c>
      <c r="BH11" s="48" t="n"/>
      <c r="BI11" s="48" t="n"/>
    </row>
    <row r="12" customFormat="1" s="54">
      <c r="B12" s="49" t="inlineStr">
        <is>
          <t>GM%</t>
        </is>
      </c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1">
        <f>IFERROR(S$11/S$6,0)</f>
        <v/>
      </c>
      <c r="T12" s="51">
        <f>IFERROR(T$11/T$6,0)</f>
        <v/>
      </c>
      <c r="U12" s="51">
        <f>IFERROR(U$11/U$6,0)</f>
        <v/>
      </c>
      <c r="V12" s="51">
        <f>IFERROR(V$11/V$6,0)</f>
        <v/>
      </c>
      <c r="W12" s="51">
        <f>IFERROR(W$11/W$6,0)</f>
        <v/>
      </c>
      <c r="X12" s="51">
        <f>IFERROR(X$11/X$6,0)</f>
        <v/>
      </c>
      <c r="Y12" s="51">
        <f>IFERROR(Y$11/Y$6,0)</f>
        <v/>
      </c>
      <c r="Z12" s="51">
        <f>IFERROR(Z$11/Z$6,0)</f>
        <v/>
      </c>
      <c r="AA12" s="51">
        <f>IFERROR(AA$11/AA$6,0)</f>
        <v/>
      </c>
      <c r="AB12" s="51">
        <f>IFERROR(AB$11/AB$6,0)</f>
        <v/>
      </c>
      <c r="AC12" s="51">
        <f>IFERROR(AC$11/AC$6,0)</f>
        <v/>
      </c>
      <c r="AD12" s="51">
        <f>IFERROR(AD$11/AD$6,0)</f>
        <v/>
      </c>
      <c r="AE12" s="51">
        <f>IFERROR(AE$11/AE$6,0)</f>
        <v/>
      </c>
      <c r="AF12" s="51">
        <f>IFERROR(AF$11/AF$6,0)</f>
        <v/>
      </c>
      <c r="AG12" s="51">
        <f>IFERROR(AG$11/AG$6,0)</f>
        <v/>
      </c>
      <c r="AH12" s="51">
        <f>IFERROR(AH$11/AH$6,0)</f>
        <v/>
      </c>
      <c r="AI12" s="51">
        <f>IFERROR(AI$11/AI$6,0)</f>
        <v/>
      </c>
      <c r="AJ12" s="51">
        <f>IFERROR(AJ$11/AJ$6,0)</f>
        <v/>
      </c>
      <c r="AK12" s="51">
        <f>IFERROR(AK$11/AK$6,0)</f>
        <v/>
      </c>
      <c r="AL12" s="51">
        <f>IFERROR(AL$11/AL$6,0)</f>
        <v/>
      </c>
      <c r="AM12" s="51">
        <f>IFERROR(AM$11/AM$6,0)</f>
        <v/>
      </c>
      <c r="AN12" s="51">
        <f>IFERROR(AN$11/AN$6,0)</f>
        <v/>
      </c>
      <c r="AO12" s="51">
        <f>IFERROR(AO$11/AO$6,0)</f>
        <v/>
      </c>
      <c r="AP12" s="51">
        <f>IFERROR(AP$11/AP$6,0)</f>
        <v/>
      </c>
      <c r="AQ12" s="51">
        <f>IFERROR(AQ$11/AQ$6,0)</f>
        <v/>
      </c>
      <c r="AR12" s="52">
        <f>IFERROR(AR$11/AR$6,0)</f>
        <v/>
      </c>
      <c r="AS12" s="52">
        <f>IFERROR(AS$11/AS$6,0)</f>
        <v/>
      </c>
      <c r="AT12" s="51">
        <f>IFERROR(AT$11/AT$6,0)</f>
        <v/>
      </c>
      <c r="AU12" s="52">
        <f>IFERROR(AU$11/AU$6,0)</f>
        <v/>
      </c>
      <c r="AV12" s="52">
        <f>IFERROR(AV$11/AV$6,0)</f>
        <v/>
      </c>
      <c r="AW12" s="52">
        <f>IFERROR(AW$11/AW$6,0)</f>
        <v/>
      </c>
      <c r="AX12" s="51">
        <f>IFERROR(AX$11/AX$6,0)</f>
        <v/>
      </c>
      <c r="AY12" s="52">
        <f>IFERROR(AY$11/AY$6,0)</f>
        <v/>
      </c>
      <c r="AZ12" s="52">
        <f>IFERROR(AZ$11/AZ$6,0)</f>
        <v/>
      </c>
      <c r="BA12" s="52">
        <f>IFERROR(BA$11/BA$6,0)</f>
        <v/>
      </c>
      <c r="BB12" s="51">
        <f>IFERROR(BB$11/BB$6,0)</f>
        <v/>
      </c>
      <c r="BC12" s="51">
        <f>IFERROR(BC$11/BC$6,0)</f>
        <v/>
      </c>
      <c r="BD12" s="51">
        <f>IFERROR(BD$11/BD$6,0)</f>
        <v/>
      </c>
      <c r="BE12" s="51">
        <f>IFERROR(BE$11/BE$6,0)</f>
        <v/>
      </c>
      <c r="BF12" s="51">
        <f>IFERROR(BF$11/BF$6,0)</f>
        <v/>
      </c>
      <c r="BG12" s="53" t="n"/>
      <c r="BH12" s="48" t="n"/>
      <c r="BI12" s="48" t="n"/>
    </row>
    <row r="13">
      <c r="AQ13" s="6" t="n"/>
      <c r="AR13" s="43" t="n"/>
      <c r="AS13" s="6" t="n"/>
      <c r="AU13" s="6" t="n"/>
      <c r="AV13" s="6" t="n"/>
      <c r="AW13" s="6" t="n"/>
      <c r="AY13" s="6" t="n"/>
      <c r="AZ13" s="6" t="n"/>
      <c r="BA13" s="166" t="inlineStr">
        <is>
          <t>GM &amp; EBITDA will be updated by us</t>
        </is>
      </c>
    </row>
    <row r="14">
      <c r="B14" s="45" t="inlineStr">
        <is>
          <t>Adjusted EBITDA</t>
        </is>
      </c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11">
        <f>-153725.168088862/(10^6)</f>
        <v/>
      </c>
      <c r="T14" s="11">
        <f>-66411.2333414506/(10^6)</f>
        <v/>
      </c>
      <c r="U14" s="11">
        <f>-196688.617126865/(10^6)</f>
        <v/>
      </c>
      <c r="V14" s="11">
        <f>SUM(S14:U14)</f>
        <v/>
      </c>
      <c r="W14" s="11">
        <f>204696.24479633/(10^6)</f>
        <v/>
      </c>
      <c r="X14" s="11">
        <f>-201491.022161261/(10^6)</f>
        <v/>
      </c>
      <c r="Y14" s="11">
        <f>139364.390663157/(10^6)</f>
        <v/>
      </c>
      <c r="Z14" s="11">
        <f>SUM(W14:Y14)</f>
        <v/>
      </c>
      <c r="AA14" s="11">
        <f>639272.931167125/(10^6)</f>
        <v/>
      </c>
      <c r="AB14" s="11">
        <f>388766.954616707/(10^6)</f>
        <v/>
      </c>
      <c r="AC14" s="11">
        <f>164892.070204244/(10^6)</f>
        <v/>
      </c>
      <c r="AD14" s="11">
        <f>SUM(AA14:AC14)</f>
        <v/>
      </c>
      <c r="AE14" s="11">
        <f>102251.377536072/(10^6)</f>
        <v/>
      </c>
      <c r="AF14" s="11">
        <f>371082.043058681/(10^6)</f>
        <v/>
      </c>
      <c r="AG14" s="11">
        <f>369651.644486635/(10^6)</f>
        <v/>
      </c>
      <c r="AH14" s="11">
        <f>SUM(AE14:AG14)</f>
        <v/>
      </c>
      <c r="AI14" s="11">
        <f>241363.899255378/(10^6)</f>
        <v/>
      </c>
      <c r="AJ14" s="64">
        <f>226.568965186831/(10^6)</f>
        <v/>
      </c>
      <c r="AK14" s="11">
        <f>128595.745682003/(10^6)</f>
        <v/>
      </c>
      <c r="AL14" s="11">
        <f>SUM(AI14:AK14)</f>
        <v/>
      </c>
      <c r="AM14" s="11">
        <f>445072.740305569/(10^6)</f>
        <v/>
      </c>
      <c r="AN14" s="11" t="n">
        <v>0.3901152461728394</v>
      </c>
      <c r="AO14" s="11" t="n">
        <v>0.2054604702999997</v>
      </c>
      <c r="AP14" s="11">
        <f>SUM(AM14:AO14)</f>
        <v/>
      </c>
      <c r="AQ14" s="11" t="n">
        <v>0.7537543500000001</v>
      </c>
      <c r="AR14" s="11" t="n">
        <v>0.2963990195999998</v>
      </c>
      <c r="AS14" s="11" t="n">
        <v>1.10230974</v>
      </c>
      <c r="AT14" s="11">
        <f>SUM(AQ14:AS14)</f>
        <v/>
      </c>
      <c r="AU14" s="11" t="n">
        <v>0.4753349600000002</v>
      </c>
      <c r="AV14" s="11" t="n">
        <v>0.5744103200000003</v>
      </c>
      <c r="AW14" s="11" t="n">
        <v>0.6946171872999999</v>
      </c>
      <c r="AX14" s="11">
        <f>SUM(AU14:AW14)</f>
        <v/>
      </c>
      <c r="AY14" s="11" t="n">
        <v>1.0384999</v>
      </c>
      <c r="AZ14" s="11" t="n">
        <v>0.5433301899999993</v>
      </c>
      <c r="BA14" s="165" t="n">
        <v>0.48424085</v>
      </c>
      <c r="BB14" s="11">
        <f>SUM(AY14:BA14)</f>
        <v/>
      </c>
      <c r="BC14" s="11" t="n">
        <v>0.91309</v>
      </c>
      <c r="BD14" s="11" t="n">
        <v>0.778289</v>
      </c>
      <c r="BE14" s="11" t="n">
        <v>0.789712</v>
      </c>
      <c r="BF14" s="176">
        <f>2481091/(10^6)</f>
        <v/>
      </c>
      <c r="BG14" s="1" t="inlineStr">
        <is>
          <t>Please Update</t>
        </is>
      </c>
    </row>
    <row r="15">
      <c r="B15" s="36" t="inlineStr">
        <is>
          <t>Adj. EBITDA %</t>
        </is>
      </c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52">
        <f>IFERROR(S$14/S$6,0)</f>
        <v/>
      </c>
      <c r="T15" s="52">
        <f>IFERROR(T$14/T$6,0)</f>
        <v/>
      </c>
      <c r="U15" s="52">
        <f>IFERROR(U$14/U$6,0)</f>
        <v/>
      </c>
      <c r="V15" s="52">
        <f>IFERROR(V$14/V$6,0)</f>
        <v/>
      </c>
      <c r="W15" s="52">
        <f>IFERROR(W$14/W$6,0)</f>
        <v/>
      </c>
      <c r="X15" s="52">
        <f>IFERROR(X$14/X$6,0)</f>
        <v/>
      </c>
      <c r="Y15" s="52">
        <f>IFERROR(Y$14/Y$6,0)</f>
        <v/>
      </c>
      <c r="Z15" s="52">
        <f>IFERROR(Z$14/Z$6,0)</f>
        <v/>
      </c>
      <c r="AA15" s="52">
        <f>IFERROR(AA$14/AA$6,0)</f>
        <v/>
      </c>
      <c r="AB15" s="52">
        <f>IFERROR(AB$14/AB$6,0)</f>
        <v/>
      </c>
      <c r="AC15" s="52">
        <f>IFERROR(AC$14/AC$6,0)</f>
        <v/>
      </c>
      <c r="AD15" s="51">
        <f>IFERROR(AD$14/AD$6,0)</f>
        <v/>
      </c>
      <c r="AE15" s="52">
        <f>IFERROR(AE$14/AE$6,0)</f>
        <v/>
      </c>
      <c r="AF15" s="52">
        <f>IFERROR(AF$14/AF$6,0)</f>
        <v/>
      </c>
      <c r="AG15" s="52">
        <f>IFERROR(AG$14/AG$6,0)</f>
        <v/>
      </c>
      <c r="AH15" s="51">
        <f>IFERROR(AH$14/AH$6,0)</f>
        <v/>
      </c>
      <c r="AI15" s="52">
        <f>IFERROR(AI$14/AI$6,0)</f>
        <v/>
      </c>
      <c r="AJ15" s="52">
        <f>IFERROR(AJ$14/AJ$6,0)</f>
        <v/>
      </c>
      <c r="AK15" s="52">
        <f>IFERROR(AK$14/AK$6,0)</f>
        <v/>
      </c>
      <c r="AL15" s="51">
        <f>IFERROR(AL$14/AL$6,0)</f>
        <v/>
      </c>
      <c r="AM15" s="52">
        <f>IFERROR(AM$14/AM$6,0)</f>
        <v/>
      </c>
      <c r="AN15" s="52">
        <f>IFERROR(AN$14/AN$6,0)</f>
        <v/>
      </c>
      <c r="AO15" s="52">
        <f>IFERROR(AO$14/AO$6,0)</f>
        <v/>
      </c>
      <c r="AP15" s="51">
        <f>IFERROR(AP$14/AP$6,0)</f>
        <v/>
      </c>
      <c r="AQ15" s="52">
        <f>IFERROR(AQ$14/AQ$6,0)</f>
        <v/>
      </c>
      <c r="AR15" s="52">
        <f>IFERROR(AR$14/AR$6,0)</f>
        <v/>
      </c>
      <c r="AS15" s="52">
        <f>IFERROR(AS$14/AS$6,0)</f>
        <v/>
      </c>
      <c r="AT15" s="51">
        <f>IFERROR(AT$14/AT$6,0)</f>
        <v/>
      </c>
      <c r="AU15" s="52">
        <f>IFERROR(AU$14/AU$6,0)</f>
        <v/>
      </c>
      <c r="AV15" s="52">
        <f>IFERROR(AV$14/AV$6,0)</f>
        <v/>
      </c>
      <c r="AW15" s="52">
        <f>IFERROR(AW$14/AW$6,0)</f>
        <v/>
      </c>
      <c r="AX15" s="51">
        <f>IFERROR(AX$14/AX$6,0)</f>
        <v/>
      </c>
      <c r="AY15" s="52">
        <f>IFERROR(AY$14/AY$6,0)</f>
        <v/>
      </c>
      <c r="AZ15" s="52">
        <f>IFERROR(AZ$14/AZ$6,0)</f>
        <v/>
      </c>
      <c r="BA15" s="52">
        <f>IFERROR(BA$14/BA$6,0)</f>
        <v/>
      </c>
      <c r="BB15" s="51">
        <f>IFERROR(BB$14/BB$6,0)</f>
        <v/>
      </c>
      <c r="BC15" s="51">
        <f>IFERROR(BC$14/BC$6,0)</f>
        <v/>
      </c>
      <c r="BD15" s="51">
        <f>IFERROR(BD$14/BD$6,0)</f>
        <v/>
      </c>
      <c r="BE15" s="51">
        <f>IFERROR(BE$14/BE$6,0)</f>
        <v/>
      </c>
      <c r="BF15" s="51">
        <f>IFERROR(BF$14/BF$6,0)</f>
        <v/>
      </c>
      <c r="BG15" s="54" t="n"/>
    </row>
    <row r="17">
      <c r="B17" s="45" t="inlineStr">
        <is>
          <t>Revenue Per Day</t>
        </is>
      </c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11">
        <f>IFERROR(S$6/S$7,0)</f>
        <v/>
      </c>
      <c r="T17" s="11">
        <f>IFERROR(T$6/T$7,0)</f>
        <v/>
      </c>
      <c r="U17" s="11">
        <f>IFERROR(U$6/U$7,0)</f>
        <v/>
      </c>
      <c r="V17" s="11">
        <f>IFERROR(V$6/3/V$7,0)</f>
        <v/>
      </c>
      <c r="W17" s="11">
        <f>IFERROR(W$6/W$7,0)</f>
        <v/>
      </c>
      <c r="X17" s="11">
        <f>IFERROR(X$6/X$7,0)</f>
        <v/>
      </c>
      <c r="Y17" s="11">
        <f>IFERROR(Y$6/Y$7,0)</f>
        <v/>
      </c>
      <c r="Z17" s="11">
        <f>IFERROR(Z$6/3/Z$7,0)</f>
        <v/>
      </c>
      <c r="AA17" s="11">
        <f>IFERROR(AA$6/AA$7,0)</f>
        <v/>
      </c>
      <c r="AB17" s="11">
        <f>IFERROR(AB$6/AB$7,0)</f>
        <v/>
      </c>
      <c r="AC17" s="11">
        <f>IFERROR(AC$6/AC$7,0)</f>
        <v/>
      </c>
      <c r="AD17" s="11">
        <f>IFERROR(AD$6/3/AD$7,0)</f>
        <v/>
      </c>
      <c r="AE17" s="11">
        <f>IFERROR(AE$6/AE$7,0)</f>
        <v/>
      </c>
      <c r="AF17" s="11">
        <f>IFERROR(AF$6/AF$7,0)</f>
        <v/>
      </c>
      <c r="AG17" s="11">
        <f>IFERROR(AG$6/AG$7,0)</f>
        <v/>
      </c>
      <c r="AH17" s="11">
        <f>IFERROR(AH$6/3/AH$7,0)</f>
        <v/>
      </c>
      <c r="AI17" s="11">
        <f>IFERROR(AI$6/AI$7,0)</f>
        <v/>
      </c>
      <c r="AJ17" s="11">
        <f>IFERROR(AJ$6/AJ$7,0)</f>
        <v/>
      </c>
      <c r="AK17" s="11">
        <f>IFERROR(AK$6/AK$7,0)</f>
        <v/>
      </c>
      <c r="AL17" s="11">
        <f>IFERROR(AL$6/3/AL$7,0)</f>
        <v/>
      </c>
      <c r="AM17" s="11">
        <f>IFERROR(AM$6/AM$7,0)</f>
        <v/>
      </c>
      <c r="AN17" s="11">
        <f>IFERROR(AN$6/AN$7,0)</f>
        <v/>
      </c>
      <c r="AO17" s="11">
        <f>IFERROR(AO$6/AO$7,0)</f>
        <v/>
      </c>
      <c r="AP17" s="11">
        <f>AVERAGE(AM17:AO17)</f>
        <v/>
      </c>
      <c r="AQ17" s="11">
        <f>IFERROR(AQ$6/AQ$7,0)</f>
        <v/>
      </c>
      <c r="AR17" s="11">
        <f>IFERROR(AR$6/AR$7,0)</f>
        <v/>
      </c>
      <c r="AS17" s="11">
        <f>IFERROR(AS$6/AS$7,0)</f>
        <v/>
      </c>
      <c r="AT17" s="11">
        <f>IFERROR(AT$6/3/AT$7,0)</f>
        <v/>
      </c>
      <c r="AU17" s="11">
        <f>IFERROR(AU$6/AU$7,0)</f>
        <v/>
      </c>
      <c r="AV17" s="11">
        <f>IFERROR(AV$6/AV$7,0)</f>
        <v/>
      </c>
      <c r="AW17" s="11">
        <f>IFERROR(AW$6/AW$7,0)</f>
        <v/>
      </c>
      <c r="AX17" s="11">
        <f>IFERROR(AX$6/3/AX$7,0)</f>
        <v/>
      </c>
      <c r="AY17" s="11">
        <f>IFERROR(AY$6/AY$7,0)</f>
        <v/>
      </c>
      <c r="AZ17" s="11">
        <f>IFERROR(AZ$6/AZ$7,0)</f>
        <v/>
      </c>
      <c r="BA17" s="11">
        <f>IFERROR(BA$6/BA$7,0)</f>
        <v/>
      </c>
      <c r="BB17" s="11">
        <f>IFERROR(BB$6/3/BB$7,0)</f>
        <v/>
      </c>
    </row>
    <row r="18" customFormat="1" s="125">
      <c r="B18" s="56" t="inlineStr">
        <is>
          <t>Revenue Per Employee</t>
        </is>
      </c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67">
        <f>IFERROR((S$6/S$43*12)*(10^3),0)</f>
        <v/>
      </c>
      <c r="T18" s="67">
        <f>IFERROR((T$6/T$43*12)*(10^3),0)</f>
        <v/>
      </c>
      <c r="U18" s="67">
        <f>IFERROR((U$6/U$43*12)*(10^3),0)</f>
        <v/>
      </c>
      <c r="V18" s="67">
        <f>IFERROR((V$6/V$43*4)*(10^3),0)</f>
        <v/>
      </c>
      <c r="W18" s="67">
        <f>IFERROR((W$6/W$43*12)*(10^3),0)</f>
        <v/>
      </c>
      <c r="X18" s="67">
        <f>IFERROR((X$6/X$43*12)*(10^3),0)</f>
        <v/>
      </c>
      <c r="Y18" s="67">
        <f>IFERROR((Y$6/Y$43*12)*(10^3),0)</f>
        <v/>
      </c>
      <c r="Z18" s="67">
        <f>IFERROR((Z$6/Z$43*4)*(10^3),0)</f>
        <v/>
      </c>
      <c r="AA18" s="67">
        <f>IFERROR((AA$6/AA$43*12)*(10^3),0)</f>
        <v/>
      </c>
      <c r="AB18" s="67">
        <f>IFERROR((AB$6/AB$43*12)*(10^3),0)</f>
        <v/>
      </c>
      <c r="AC18" s="67">
        <f>IFERROR((AC$6/AC$43*12)*(10^3),0)</f>
        <v/>
      </c>
      <c r="AD18" s="67">
        <f>IFERROR((AD$6/AD$43*4)*(10^3),0)</f>
        <v/>
      </c>
      <c r="AE18" s="67">
        <f>IFERROR((AE$6/AE$43*12)*(10^3),0)</f>
        <v/>
      </c>
      <c r="AF18" s="67">
        <f>IFERROR((AF$6/AF$43*12)*(10^3),0)</f>
        <v/>
      </c>
      <c r="AG18" s="67">
        <f>IFERROR((AG$6/AG$43*12)*(10^3),0)</f>
        <v/>
      </c>
      <c r="AH18" s="67">
        <f>IFERROR((AH$6/AH$43*4)*(10^3),0)</f>
        <v/>
      </c>
      <c r="AI18" s="67">
        <f>IFERROR((AI$6/AI$43*12)*(10^3),0)</f>
        <v/>
      </c>
      <c r="AJ18" s="67">
        <f>IFERROR((AJ$6/AJ$43*12)*(10^3),0)</f>
        <v/>
      </c>
      <c r="AK18" s="67">
        <f>IFERROR((AK$6/AK$43*12)*(10^3),0)</f>
        <v/>
      </c>
      <c r="AL18" s="67">
        <f>IFERROR((AL$6/AL$43*4)*(10^3),0)</f>
        <v/>
      </c>
      <c r="AM18" s="67">
        <f>IFERROR((AM$6/AM$43*12)*(10^3),0)</f>
        <v/>
      </c>
      <c r="AN18" s="67">
        <f>IFERROR((AN$6/AN$43*12)*(10^3),0)</f>
        <v/>
      </c>
      <c r="AO18" s="67">
        <f>IFERROR((AO$6/AO$43*12)*(10^3),0)</f>
        <v/>
      </c>
      <c r="AP18" s="67">
        <f>IFERROR((AP$6/AP$43*4)*(10^3),0)</f>
        <v/>
      </c>
      <c r="AQ18" s="67">
        <f>IFERROR((AQ$6/AQ$43*12)*(10^3),0)</f>
        <v/>
      </c>
      <c r="AR18" s="67">
        <f>IFERROR((AR$6/AR$43*12)*(10^3),0)</f>
        <v/>
      </c>
      <c r="AS18" s="67">
        <f>IFERROR((AS$6/AS$43*12)*(10^3),0)</f>
        <v/>
      </c>
      <c r="AT18" s="67">
        <f>IFERROR((AT$6/AT$43*4)*(10^3),0)</f>
        <v/>
      </c>
      <c r="AU18" s="67">
        <f>IFERROR((AU$6/AU$43*12)*(10^3),0)</f>
        <v/>
      </c>
      <c r="AV18" s="67">
        <f>IFERROR((AV$6/AV$43*12)*(10^3),0)</f>
        <v/>
      </c>
      <c r="AW18" s="67">
        <f>IFERROR((AW$6/AW$43*12)*(10^3),0)</f>
        <v/>
      </c>
      <c r="AX18" s="67">
        <f>IFERROR((AX$6/AX$43*4)*(10^3),0)</f>
        <v/>
      </c>
      <c r="AY18" s="67">
        <f>IFERROR((AY$6/AY$43*12)*(10^3),0)</f>
        <v/>
      </c>
      <c r="AZ18" s="67">
        <f>IFERROR((AZ$6/AZ$43*12)*(10^3),0)</f>
        <v/>
      </c>
      <c r="BA18" s="67">
        <f>IFERROR((BA$6/BA$43*12)*(10^3),0)</f>
        <v/>
      </c>
      <c r="BB18" s="67">
        <f>IFERROR((BB$6/BB$43*4)*(10^3),0)</f>
        <v/>
      </c>
    </row>
    <row r="19"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48" t="n"/>
      <c r="AC19" s="48" t="n"/>
      <c r="AD19" s="60" t="n"/>
      <c r="AE19" s="48" t="n"/>
      <c r="AF19" s="48" t="n"/>
      <c r="AG19" s="48" t="n"/>
      <c r="AH19" s="60" t="n"/>
      <c r="AI19" s="48" t="n"/>
      <c r="AJ19" s="48" t="n"/>
      <c r="AK19" s="48" t="n"/>
      <c r="AL19" s="60" t="n"/>
      <c r="AM19" s="48" t="n"/>
      <c r="AN19" s="48" t="n"/>
      <c r="AO19" s="48" t="n"/>
      <c r="AP19" s="60" t="n"/>
      <c r="AQ19" s="48" t="n"/>
      <c r="AR19" s="48" t="n"/>
      <c r="AS19" s="48" t="n"/>
      <c r="AT19" s="60" t="n"/>
      <c r="AU19" s="48" t="n"/>
      <c r="AV19" s="48" t="n"/>
      <c r="AW19" s="48" t="n"/>
      <c r="AX19" s="60" t="n"/>
      <c r="AY19" s="48" t="n"/>
      <c r="AZ19" s="48" t="n"/>
      <c r="BA19" s="48" t="n"/>
      <c r="BB19" s="60" t="n"/>
    </row>
    <row r="20" ht="12.75" customHeight="1">
      <c r="B20" s="61" t="inlineStr">
        <is>
          <t>Average Billing rate</t>
        </is>
      </c>
      <c r="AN20" s="6" t="n"/>
    </row>
    <row r="21">
      <c r="B21" s="62" t="inlineStr">
        <is>
          <t xml:space="preserve">Onsite </t>
        </is>
      </c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4" t="n">
        <v>339.2526378195506</v>
      </c>
      <c r="T21" s="64" t="n">
        <v>310.5331949038987</v>
      </c>
      <c r="U21" s="64" t="n">
        <v>324.1309073069945</v>
      </c>
      <c r="V21" s="65">
        <f>IFERROR(AVERAGE(S21:U21),0)</f>
        <v/>
      </c>
      <c r="W21" s="64" t="n">
        <v>315.214811634543</v>
      </c>
      <c r="X21" s="64" t="n">
        <v>315.372772450006</v>
      </c>
      <c r="Y21" s="64" t="n">
        <v>314.7603274903174</v>
      </c>
      <c r="Z21" s="65">
        <f>IFERROR(AVERAGE(W21:Y21),0)</f>
        <v/>
      </c>
      <c r="AA21" s="64" t="n">
        <v>322.7710309994486</v>
      </c>
      <c r="AB21" s="64" t="n">
        <v>318.4805593475122</v>
      </c>
      <c r="AC21" s="64" t="n">
        <v>305.7827892405998</v>
      </c>
      <c r="AD21" s="65">
        <f>IFERROR(AVERAGE(AA21:AC21),0)</f>
        <v/>
      </c>
      <c r="AE21" s="64" t="n">
        <v>311.3170883259291</v>
      </c>
      <c r="AF21" s="64" t="n">
        <v>301.1279564982847</v>
      </c>
      <c r="AG21" s="64" t="n">
        <v>306.6192658059142</v>
      </c>
      <c r="AH21" s="65">
        <f>IFERROR(AVERAGE(AE21:AG21),0)</f>
        <v/>
      </c>
      <c r="AI21" s="64" t="n">
        <v>303.9420056882196</v>
      </c>
      <c r="AJ21" s="64" t="n">
        <v>283.2356931340204</v>
      </c>
      <c r="AK21" s="64" t="n">
        <v>275.6244158771438</v>
      </c>
      <c r="AL21" s="65">
        <f>IFERROR(AVERAGE(AI21:AK21),0)</f>
        <v/>
      </c>
      <c r="AM21" s="64" t="n">
        <v>279.3988273744915</v>
      </c>
      <c r="AN21" s="64" t="n">
        <v>290.88</v>
      </c>
      <c r="AO21" s="64" t="n">
        <v>296.6164370235692</v>
      </c>
      <c r="AP21" s="65">
        <f>IFERROR(AVERAGE(AN21:AO21),0)</f>
        <v/>
      </c>
      <c r="AQ21" s="64" t="n">
        <v>296.5741118387838</v>
      </c>
      <c r="AR21" s="64" t="n">
        <v>299.12</v>
      </c>
      <c r="AS21" s="64" t="n">
        <v>298.6396901698506</v>
      </c>
      <c r="AT21" s="65">
        <f>AVERAGE(AQ21:AS21)</f>
        <v/>
      </c>
      <c r="AU21" s="64" t="n">
        <v>301.89</v>
      </c>
      <c r="AV21" s="64" t="n">
        <v>302.85</v>
      </c>
      <c r="AW21" s="64" t="n">
        <v>305.4897033409771</v>
      </c>
      <c r="AX21" s="64">
        <f>AVERAGE(AU21:AW21)</f>
        <v/>
      </c>
      <c r="AY21" s="65" t="n">
        <v>318</v>
      </c>
      <c r="AZ21" s="65" t="n">
        <v>322.1</v>
      </c>
      <c r="BA21" s="65" t="n">
        <v>317.9145486457155</v>
      </c>
      <c r="BB21" s="64">
        <f>AVERAGE(AY21:BA21)</f>
        <v/>
      </c>
      <c r="BC21" s="1" t="inlineStr">
        <is>
          <t>Please Update</t>
        </is>
      </c>
    </row>
    <row r="22">
      <c r="B22" s="25" t="inlineStr">
        <is>
          <t>Offshore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66" t="n"/>
      <c r="T22" s="66" t="n"/>
      <c r="U22" s="66" t="n"/>
      <c r="V22" s="66">
        <f>IFERROR(AVERAGE(S22:U22),0)</f>
        <v/>
      </c>
      <c r="W22" s="66" t="n"/>
      <c r="X22" s="66" t="n"/>
      <c r="Y22" s="66" t="n"/>
      <c r="Z22" s="66">
        <f>IFERROR(AVERAGE(W22:Y22),0)</f>
        <v/>
      </c>
      <c r="AA22" s="66" t="n"/>
      <c r="AB22" s="66" t="n"/>
      <c r="AC22" s="66" t="n"/>
      <c r="AD22" s="66">
        <f>IFERROR(AVERAGE(AA22:AC22),0)</f>
        <v/>
      </c>
      <c r="AE22" s="66" t="n"/>
      <c r="AF22" s="66" t="n"/>
      <c r="AG22" s="66" t="n"/>
      <c r="AH22" s="66">
        <f>IFERROR(AVERAGE(AE22:AG22),0)</f>
        <v/>
      </c>
      <c r="AI22" s="66" t="n"/>
      <c r="AJ22" s="66" t="n"/>
      <c r="AK22" s="66" t="n"/>
      <c r="AL22" s="66">
        <f>IFERROR(AVERAGE(AI22:AK22),0)</f>
        <v/>
      </c>
      <c r="AM22" s="66" t="n"/>
      <c r="AN22" s="66" t="n"/>
      <c r="AO22" s="66" t="n"/>
      <c r="AP22" s="66">
        <f>IFERROR(AVERAGE(AM22:AO22),0)</f>
        <v/>
      </c>
      <c r="AQ22" s="66" t="n">
        <v>0</v>
      </c>
      <c r="AR22" s="66" t="n">
        <v>0</v>
      </c>
      <c r="AS22" s="66" t="n">
        <v>0</v>
      </c>
      <c r="AT22" s="66">
        <f>AVERAGE(AQ22:AS22)</f>
        <v/>
      </c>
      <c r="AU22" s="66" t="n">
        <v>0</v>
      </c>
      <c r="AV22" s="66" t="n">
        <v>0</v>
      </c>
      <c r="AW22" s="66" t="n">
        <v>0</v>
      </c>
      <c r="AX22" s="66">
        <f>AVERAGE(AU22:AW22)</f>
        <v/>
      </c>
      <c r="AY22" s="66" t="n">
        <v>0</v>
      </c>
      <c r="AZ22" s="66" t="n">
        <v>0</v>
      </c>
      <c r="BA22" s="66" t="n"/>
      <c r="BB22" s="66">
        <f>AVERAGE(AY22:BA22)</f>
        <v/>
      </c>
    </row>
    <row r="23">
      <c r="B23" s="36" t="inlineStr">
        <is>
          <t>Nearshore</t>
        </is>
      </c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67" t="n"/>
      <c r="T23" s="67" t="n"/>
      <c r="U23" s="67" t="n"/>
      <c r="V23" s="67">
        <f>IFERROR(AVERAGE(S23:U23),0)</f>
        <v/>
      </c>
      <c r="W23" s="67" t="n"/>
      <c r="X23" s="67" t="n"/>
      <c r="Y23" s="67" t="n"/>
      <c r="Z23" s="67">
        <f>IFERROR(AVERAGE(W23:Y23),0)</f>
        <v/>
      </c>
      <c r="AA23" s="67" t="n"/>
      <c r="AB23" s="67" t="n"/>
      <c r="AC23" s="67" t="n"/>
      <c r="AD23" s="67">
        <f>IFERROR(AVERAGE(AA23:AC23),0)</f>
        <v/>
      </c>
      <c r="AE23" s="67" t="n"/>
      <c r="AF23" s="67" t="n"/>
      <c r="AG23" s="67" t="n"/>
      <c r="AH23" s="67">
        <f>IFERROR(AVERAGE(AE23:AG23),0)</f>
        <v/>
      </c>
      <c r="AI23" s="67" t="n"/>
      <c r="AJ23" s="67" t="n"/>
      <c r="AK23" s="67" t="n"/>
      <c r="AL23" s="67">
        <f>IFERROR(AVERAGE(AI23:AK23),0)</f>
        <v/>
      </c>
      <c r="AM23" s="67" t="n"/>
      <c r="AN23" s="67" t="n"/>
      <c r="AO23" s="67" t="n"/>
      <c r="AP23" s="67">
        <f>IFERROR(AVERAGE(AM23:AO23),0)</f>
        <v/>
      </c>
      <c r="AQ23" s="67" t="n">
        <v>0</v>
      </c>
      <c r="AR23" s="67" t="n">
        <v>0</v>
      </c>
      <c r="AS23" s="67" t="n">
        <v>0</v>
      </c>
      <c r="AT23" s="67">
        <f>AVERAGE(AQ23:AS23)</f>
        <v/>
      </c>
      <c r="AU23" s="67" t="n">
        <v>0</v>
      </c>
      <c r="AV23" s="67" t="n">
        <v>0</v>
      </c>
      <c r="AW23" s="67" t="n">
        <v>0</v>
      </c>
      <c r="AX23" s="67">
        <f>AVERAGE(AU23:AW23)</f>
        <v/>
      </c>
      <c r="AY23" s="67" t="n">
        <v>0</v>
      </c>
      <c r="AZ23" s="67" t="n">
        <v>0</v>
      </c>
      <c r="BA23" s="67" t="n"/>
      <c r="BB23" s="67">
        <f>AVERAGE(AY23:BA23)</f>
        <v/>
      </c>
    </row>
    <row r="24">
      <c r="F24" s="6" t="n"/>
      <c r="J24" s="6" t="n"/>
      <c r="N24" s="6" t="n"/>
      <c r="R24" s="6" t="n"/>
      <c r="V24" s="6" t="n"/>
      <c r="Z24" s="6" t="n"/>
      <c r="AD24" s="6" t="n"/>
      <c r="AH24" s="6" t="n"/>
      <c r="AL24" s="6" t="n"/>
      <c r="AP24" s="6" t="n"/>
      <c r="AT24" s="6" t="n"/>
      <c r="AX24" s="6" t="n"/>
      <c r="BB24" s="6" t="n"/>
    </row>
    <row r="25">
      <c r="B25" s="68" t="inlineStr">
        <is>
          <t>Employee Headcount</t>
        </is>
      </c>
      <c r="F25" s="6" t="n"/>
      <c r="J25" s="6" t="n"/>
      <c r="N25" s="6" t="n"/>
      <c r="R25" s="6" t="n"/>
      <c r="V25" s="6" t="n"/>
      <c r="Z25" s="6" t="n"/>
      <c r="AD25" s="6" t="n"/>
      <c r="AH25" s="6" t="n"/>
      <c r="AL25" s="6" t="n"/>
      <c r="AP25" s="6" t="n"/>
      <c r="AT25" s="6" t="n"/>
      <c r="AX25" s="6" t="n"/>
      <c r="BB25" s="6" t="n"/>
    </row>
    <row r="26">
      <c r="B26" s="62" t="inlineStr">
        <is>
          <t xml:space="preserve">Onsite </t>
        </is>
      </c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70">
        <f>SUM(S27:S29)</f>
        <v/>
      </c>
      <c r="T26" s="70">
        <f>SUM(T27:T29)</f>
        <v/>
      </c>
      <c r="U26" s="70">
        <f>SUM(U27:U29)</f>
        <v/>
      </c>
      <c r="V26" s="70">
        <f>IFERROR(AVERAGE(S26:U26),0)</f>
        <v/>
      </c>
      <c r="W26" s="70">
        <f>SUM(W27:W29)</f>
        <v/>
      </c>
      <c r="X26" s="70">
        <f>SUM(X27:X29)</f>
        <v/>
      </c>
      <c r="Y26" s="70">
        <f>SUM(Y27:Y29)</f>
        <v/>
      </c>
      <c r="Z26" s="70">
        <f>IFERROR(AVERAGE(W26:Y26),0)</f>
        <v/>
      </c>
      <c r="AA26" s="70">
        <f>SUM(AA27:AA29)</f>
        <v/>
      </c>
      <c r="AB26" s="70">
        <f>SUM(AB27:AB29)</f>
        <v/>
      </c>
      <c r="AC26" s="70">
        <f>SUM(AC27:AC29)</f>
        <v/>
      </c>
      <c r="AD26" s="70">
        <f>IFERROR(AVERAGE(AA26:AC26),0)</f>
        <v/>
      </c>
      <c r="AE26" s="70">
        <f>SUM(AE27:AE29)</f>
        <v/>
      </c>
      <c r="AF26" s="70">
        <f>SUM(AF27:AF29)</f>
        <v/>
      </c>
      <c r="AG26" s="70">
        <f>SUM(AG27:AG29)</f>
        <v/>
      </c>
      <c r="AH26" s="70">
        <f>IFERROR(AVERAGE(AE26:AG26),0)</f>
        <v/>
      </c>
      <c r="AI26" s="70">
        <f>SUM(AI27:AI29)</f>
        <v/>
      </c>
      <c r="AJ26" s="70">
        <f>SUM(AJ27:AJ29)</f>
        <v/>
      </c>
      <c r="AK26" s="70">
        <f>SUM(AK27:AK29)</f>
        <v/>
      </c>
      <c r="AL26" s="70">
        <f>IFERROR(AVERAGE(AI26:AK26),0)</f>
        <v/>
      </c>
      <c r="AM26" s="70">
        <f>SUM(AM27:AM29)</f>
        <v/>
      </c>
      <c r="AN26" s="70">
        <f>SUM(AN27:AN29)</f>
        <v/>
      </c>
      <c r="AO26" s="70">
        <f>SUM(AO27:AO29)</f>
        <v/>
      </c>
      <c r="AP26" s="70">
        <f>IFERROR(AVERAGE(AN26:AO26),0)</f>
        <v/>
      </c>
      <c r="AQ26" s="70">
        <f>SUM(AQ27:AQ29)</f>
        <v/>
      </c>
      <c r="AR26" s="70">
        <f>SUM(AR27:AR29)</f>
        <v/>
      </c>
      <c r="AS26" s="70">
        <f>SUM(AS27:AS29)</f>
        <v/>
      </c>
      <c r="AT26" s="70">
        <f>IFERROR(AVERAGE(AQ26:AS26),0)</f>
        <v/>
      </c>
      <c r="AU26" s="70">
        <f>SUM(AU27:AU29)</f>
        <v/>
      </c>
      <c r="AV26" s="70">
        <f>SUM(AV27:AV29)</f>
        <v/>
      </c>
      <c r="AW26" s="70">
        <f>SUM(AW27:AW29)</f>
        <v/>
      </c>
      <c r="AX26" s="70">
        <f>IFERROR(AVERAGE(AU26:AW26),0)</f>
        <v/>
      </c>
      <c r="AY26" s="71">
        <f>SUM(AY27:AY29)</f>
        <v/>
      </c>
      <c r="AZ26" s="71">
        <f>SUM(AZ27:AZ29)</f>
        <v/>
      </c>
      <c r="BA26" s="167">
        <f>SUM(BA27:BA29)</f>
        <v/>
      </c>
      <c r="BB26" s="70">
        <f>IFERROR(AVERAGE(AY26:BA26),0)</f>
        <v/>
      </c>
      <c r="BC26" s="1" t="inlineStr">
        <is>
          <t>HC details will be updated by us</t>
        </is>
      </c>
    </row>
    <row r="27" outlineLevel="1" ht="15" customHeight="1">
      <c r="B27" s="72" t="inlineStr">
        <is>
          <t>COR</t>
        </is>
      </c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4" t="n">
        <v>50</v>
      </c>
      <c r="T27" s="74" t="n">
        <v>50</v>
      </c>
      <c r="U27" s="74" t="n">
        <v>51</v>
      </c>
      <c r="V27" s="74">
        <f>IFERROR(AVERAGE(S27:U27),0)</f>
        <v/>
      </c>
      <c r="W27" s="74" t="n">
        <v>53</v>
      </c>
      <c r="X27" s="74" t="n">
        <v>56</v>
      </c>
      <c r="Y27" s="74" t="n">
        <v>57</v>
      </c>
      <c r="Z27" s="74">
        <f>IFERROR(AVERAGE(W27:Y27),0)</f>
        <v/>
      </c>
      <c r="AA27" s="74" t="n">
        <v>58</v>
      </c>
      <c r="AB27" s="74" t="n">
        <v>62</v>
      </c>
      <c r="AC27" s="74" t="n">
        <v>63</v>
      </c>
      <c r="AD27" s="74">
        <f>IFERROR(AVERAGE(AA27:AC27),0)</f>
        <v/>
      </c>
      <c r="AE27" s="74" t="n">
        <v>65</v>
      </c>
      <c r="AF27" s="74" t="n">
        <v>68</v>
      </c>
      <c r="AG27" s="74" t="n">
        <v>67</v>
      </c>
      <c r="AH27" s="74">
        <f>IFERROR(AVERAGE(AE27:AG27),0)</f>
        <v/>
      </c>
      <c r="AI27" s="74" t="n">
        <v>70</v>
      </c>
      <c r="AJ27" s="74" t="n">
        <v>73</v>
      </c>
      <c r="AK27" s="74" t="n">
        <v>76</v>
      </c>
      <c r="AL27" s="74">
        <f>IFERROR(AVERAGE(AI27:AK27),0)</f>
        <v/>
      </c>
      <c r="AM27" s="74" t="n">
        <v>78</v>
      </c>
      <c r="AN27" s="74" t="n">
        <v>81</v>
      </c>
      <c r="AO27" s="74" t="n">
        <v>93</v>
      </c>
      <c r="AP27" s="74">
        <f>IFERROR(AVERAGE(AN27:AO27),0)</f>
        <v/>
      </c>
      <c r="AQ27" s="74" t="n">
        <v>91</v>
      </c>
      <c r="AR27" s="74" t="n">
        <v>99</v>
      </c>
      <c r="AS27" s="74" t="n">
        <v>107</v>
      </c>
      <c r="AT27" s="74">
        <f>IFERROR(AVERAGE(AQ27:AS27),0)</f>
        <v/>
      </c>
      <c r="AU27" s="74" t="n">
        <v>105</v>
      </c>
      <c r="AV27" s="74" t="n">
        <v>110</v>
      </c>
      <c r="AW27" s="74" t="n">
        <v>110</v>
      </c>
      <c r="AX27" s="74">
        <f>IFERROR(AVERAGE(AU27:AW27),0)</f>
        <v/>
      </c>
      <c r="AY27" s="74" t="n">
        <v>110</v>
      </c>
      <c r="AZ27" s="74" t="n">
        <v>113</v>
      </c>
      <c r="BA27" s="74" t="n">
        <v>106</v>
      </c>
      <c r="BB27" s="74">
        <f>IFERROR(AVERAGE(AY27:BA27),0)</f>
        <v/>
      </c>
    </row>
    <row r="28" outlineLevel="1" ht="15" customHeight="1">
      <c r="B28" s="72" t="inlineStr">
        <is>
          <t>S&amp;M</t>
        </is>
      </c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4" t="n">
        <v>26</v>
      </c>
      <c r="T28" s="74" t="n">
        <v>29</v>
      </c>
      <c r="U28" s="74" t="n">
        <v>28</v>
      </c>
      <c r="V28" s="74">
        <f>IFERROR(AVERAGE(S28:U28),0)</f>
        <v/>
      </c>
      <c r="W28" s="74" t="n">
        <v>29</v>
      </c>
      <c r="X28" s="74" t="n">
        <v>30</v>
      </c>
      <c r="Y28" s="74" t="n">
        <v>29</v>
      </c>
      <c r="Z28" s="74">
        <f>IFERROR(AVERAGE(W28:Y28),0)</f>
        <v/>
      </c>
      <c r="AA28" s="74" t="n">
        <v>29</v>
      </c>
      <c r="AB28" s="74" t="n">
        <v>29</v>
      </c>
      <c r="AC28" s="74" t="n">
        <v>28</v>
      </c>
      <c r="AD28" s="74">
        <f>IFERROR(AVERAGE(AA28:AC28),0)</f>
        <v/>
      </c>
      <c r="AE28" s="74" t="n">
        <v>28</v>
      </c>
      <c r="AF28" s="74" t="n">
        <v>27</v>
      </c>
      <c r="AG28" s="74" t="n">
        <v>27</v>
      </c>
      <c r="AH28" s="74">
        <f>IFERROR(AVERAGE(AE28:AG28),0)</f>
        <v/>
      </c>
      <c r="AI28" s="74" t="n">
        <v>27</v>
      </c>
      <c r="AJ28" s="74" t="n">
        <v>26</v>
      </c>
      <c r="AK28" s="74" t="n">
        <v>27</v>
      </c>
      <c r="AL28" s="74">
        <f>IFERROR(AVERAGE(AI28:AK28),0)</f>
        <v/>
      </c>
      <c r="AM28" s="74" t="n">
        <v>26</v>
      </c>
      <c r="AN28" s="74" t="n">
        <v>25</v>
      </c>
      <c r="AO28" s="74" t="n">
        <v>24</v>
      </c>
      <c r="AP28" s="74">
        <f>IFERROR(AVERAGE(AN28:AO28),0)</f>
        <v/>
      </c>
      <c r="AQ28" s="74" t="n">
        <v>26</v>
      </c>
      <c r="AR28" s="74" t="n">
        <v>27</v>
      </c>
      <c r="AS28" s="74" t="n">
        <v>28</v>
      </c>
      <c r="AT28" s="74">
        <f>IFERROR(AVERAGE(AQ28:AS28),0)</f>
        <v/>
      </c>
      <c r="AU28" s="74" t="n">
        <v>28</v>
      </c>
      <c r="AV28" s="74" t="n">
        <v>28</v>
      </c>
      <c r="AW28" s="74" t="n">
        <v>34</v>
      </c>
      <c r="AX28" s="74">
        <f>IFERROR(AVERAGE(AU28:AW28),0)</f>
        <v/>
      </c>
      <c r="AY28" s="74" t="n">
        <v>34</v>
      </c>
      <c r="AZ28" s="74" t="n">
        <v>31</v>
      </c>
      <c r="BA28" s="74" t="n">
        <v>30</v>
      </c>
      <c r="BB28" s="74">
        <f>IFERROR(AVERAGE(AY28:BA28),0)</f>
        <v/>
      </c>
    </row>
    <row r="29" outlineLevel="1" ht="15" customHeight="1">
      <c r="B29" s="72" t="inlineStr">
        <is>
          <t>G&amp;A</t>
        </is>
      </c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4" t="n">
        <v>7</v>
      </c>
      <c r="T29" s="74" t="n">
        <v>7</v>
      </c>
      <c r="U29" s="74" t="n">
        <v>7</v>
      </c>
      <c r="V29" s="74">
        <f>IFERROR(AVERAGE(S29:U29),0)</f>
        <v/>
      </c>
      <c r="W29" s="74" t="n">
        <v>7</v>
      </c>
      <c r="X29" s="74" t="n">
        <v>6</v>
      </c>
      <c r="Y29" s="74" t="n">
        <v>6</v>
      </c>
      <c r="Z29" s="74">
        <f>IFERROR(AVERAGE(W29:Y29),0)</f>
        <v/>
      </c>
      <c r="AA29" s="74" t="n">
        <v>6</v>
      </c>
      <c r="AB29" s="74" t="n">
        <v>7</v>
      </c>
      <c r="AC29" s="74" t="n">
        <v>7</v>
      </c>
      <c r="AD29" s="74">
        <f>IFERROR(AVERAGE(AA29:AC29),0)</f>
        <v/>
      </c>
      <c r="AE29" s="74" t="n">
        <v>7</v>
      </c>
      <c r="AF29" s="74" t="n">
        <v>7</v>
      </c>
      <c r="AG29" s="74" t="n">
        <v>7</v>
      </c>
      <c r="AH29" s="74">
        <f>IFERROR(AVERAGE(AE29:AG29),0)</f>
        <v/>
      </c>
      <c r="AI29" s="74" t="n">
        <v>8</v>
      </c>
      <c r="AJ29" s="74" t="n">
        <v>10</v>
      </c>
      <c r="AK29" s="74" t="n">
        <v>10</v>
      </c>
      <c r="AL29" s="74">
        <f>IFERROR(AVERAGE(AI29:AK29),0)</f>
        <v/>
      </c>
      <c r="AM29" s="74" t="n">
        <v>10</v>
      </c>
      <c r="AN29" s="74" t="n">
        <v>10</v>
      </c>
      <c r="AO29" s="74" t="n">
        <v>11</v>
      </c>
      <c r="AP29" s="74">
        <f>IFERROR(AVERAGE(AN29:AO29),0)</f>
        <v/>
      </c>
      <c r="AQ29" s="74" t="n">
        <v>16</v>
      </c>
      <c r="AR29" s="74" t="n">
        <v>15</v>
      </c>
      <c r="AS29" s="74" t="n">
        <v>17</v>
      </c>
      <c r="AT29" s="74">
        <f>IFERROR(AVERAGE(AQ29:AS29),0)</f>
        <v/>
      </c>
      <c r="AU29" s="74" t="n">
        <v>16</v>
      </c>
      <c r="AV29" s="74" t="n">
        <v>16</v>
      </c>
      <c r="AW29" s="74" t="n">
        <v>17</v>
      </c>
      <c r="AX29" s="74">
        <f>IFERROR(AVERAGE(AU29:AW29),0)</f>
        <v/>
      </c>
      <c r="AY29" s="74" t="n">
        <v>16</v>
      </c>
      <c r="AZ29" s="74" t="n">
        <v>23</v>
      </c>
      <c r="BA29" s="74" t="n">
        <v>12</v>
      </c>
      <c r="BB29" s="74">
        <f>IFERROR(AVERAGE(AY29:BA29),0)</f>
        <v/>
      </c>
    </row>
    <row r="30" ht="12" customHeight="1">
      <c r="B30" s="25" t="inlineStr">
        <is>
          <t>Offshore</t>
        </is>
      </c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4">
        <f>SUM(S31:S33)</f>
        <v/>
      </c>
      <c r="T30" s="74">
        <f>SUM(T31:T33)</f>
        <v/>
      </c>
      <c r="U30" s="74">
        <f>SUM(U31:U33)</f>
        <v/>
      </c>
      <c r="V30" s="74">
        <f>IFERROR(AVERAGE(S30:U30),0)</f>
        <v/>
      </c>
      <c r="W30" s="74">
        <f>SUM(W31:W33)</f>
        <v/>
      </c>
      <c r="X30" s="74">
        <f>SUM(X31:X33)</f>
        <v/>
      </c>
      <c r="Y30" s="74">
        <f>SUM(Y31:Y33)</f>
        <v/>
      </c>
      <c r="Z30" s="74">
        <f>IFERROR(AVERAGE(W30:Y30),0)</f>
        <v/>
      </c>
      <c r="AA30" s="74">
        <f>SUM(AA31:AA33)</f>
        <v/>
      </c>
      <c r="AB30" s="74">
        <f>SUM(AB31:AB33)</f>
        <v/>
      </c>
      <c r="AC30" s="74">
        <f>SUM(AC31:AC33)</f>
        <v/>
      </c>
      <c r="AD30" s="74">
        <f>IFERROR(AVERAGE(AA30:AC30),0)</f>
        <v/>
      </c>
      <c r="AE30" s="74">
        <f>SUM(AE31:AE33)</f>
        <v/>
      </c>
      <c r="AF30" s="74">
        <f>SUM(AF31:AF33)</f>
        <v/>
      </c>
      <c r="AG30" s="74">
        <f>SUM(AG31:AG33)</f>
        <v/>
      </c>
      <c r="AH30" s="74">
        <f>IFERROR(AVERAGE(AE30:AG30),0)</f>
        <v/>
      </c>
      <c r="AI30" s="74">
        <f>SUM(AI31:AI33)</f>
        <v/>
      </c>
      <c r="AJ30" s="74">
        <f>SUM(AJ31:AJ33)</f>
        <v/>
      </c>
      <c r="AK30" s="74">
        <f>SUM(AK31:AK33)</f>
        <v/>
      </c>
      <c r="AL30" s="74">
        <f>IFERROR(AVERAGE(AI30:AK30),0)</f>
        <v/>
      </c>
      <c r="AM30" s="74">
        <f>SUM(AM31:AM33)</f>
        <v/>
      </c>
      <c r="AN30" s="74">
        <f>SUM(AN31:AN33)</f>
        <v/>
      </c>
      <c r="AO30" s="74">
        <f>SUM(AO31:AO33)</f>
        <v/>
      </c>
      <c r="AP30" s="74">
        <f>IFERROR(AVERAGE(AN30:AO30),0)</f>
        <v/>
      </c>
      <c r="AQ30" s="74">
        <f>SUM(AQ31:AQ33)</f>
        <v/>
      </c>
      <c r="AR30" s="74">
        <f>SUM(AR31:AR33)</f>
        <v/>
      </c>
      <c r="AS30" s="74">
        <f>SUM(AS31:AS33)</f>
        <v/>
      </c>
      <c r="AT30" s="74">
        <f>IFERROR(AVERAGE(AQ30:AS30),0)</f>
        <v/>
      </c>
      <c r="AU30" s="74">
        <f>SUM(AU31:AU33)</f>
        <v/>
      </c>
      <c r="AV30" s="74">
        <f>SUM(AV31:AV33)</f>
        <v/>
      </c>
      <c r="AW30" s="74">
        <f>SUM(AW31:AW33)</f>
        <v/>
      </c>
      <c r="AX30" s="74">
        <f>IFERROR(AVERAGE(AU30:AW30),0)</f>
        <v/>
      </c>
      <c r="AY30" s="74">
        <f>SUM(AY31:AY33)</f>
        <v/>
      </c>
      <c r="AZ30" s="74">
        <f>SUM(AZ31:AZ33)</f>
        <v/>
      </c>
      <c r="BA30" s="74">
        <f>SUM(BA31:BA33)</f>
        <v/>
      </c>
      <c r="BB30" s="74">
        <f>IFERROR(AVERAGE(AY30:BA30),0)</f>
        <v/>
      </c>
    </row>
    <row r="31" hidden="1" outlineLevel="1" ht="12" customHeight="1">
      <c r="B31" s="72" t="inlineStr">
        <is>
          <t>COR</t>
        </is>
      </c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4" t="n"/>
      <c r="T31" s="74" t="n"/>
      <c r="U31" s="74" t="n"/>
      <c r="V31" s="74">
        <f>IFERROR(AVERAGE(S31:U31),0)</f>
        <v/>
      </c>
      <c r="W31" s="74" t="n"/>
      <c r="X31" s="74" t="n"/>
      <c r="Y31" s="74" t="n"/>
      <c r="Z31" s="74">
        <f>IFERROR(AVERAGE(W31:Y31),0)</f>
        <v/>
      </c>
      <c r="AA31" s="74" t="n"/>
      <c r="AB31" s="74" t="n"/>
      <c r="AC31" s="74" t="n"/>
      <c r="AD31" s="74">
        <f>IFERROR(AVERAGE(AA31:AC31),0)</f>
        <v/>
      </c>
      <c r="AE31" s="74" t="n"/>
      <c r="AF31" s="74" t="n"/>
      <c r="AG31" s="74" t="n"/>
      <c r="AH31" s="74">
        <f>IFERROR(AVERAGE(AE31:AG31),0)</f>
        <v/>
      </c>
      <c r="AI31" s="74" t="n"/>
      <c r="AJ31" s="74" t="n"/>
      <c r="AK31" s="74" t="n"/>
      <c r="AL31" s="74">
        <f>IFERROR(AVERAGE(AI31:AK31),0)</f>
        <v/>
      </c>
      <c r="AM31" s="74" t="n"/>
      <c r="AN31" s="74" t="n"/>
      <c r="AO31" s="74" t="n"/>
      <c r="AP31" s="74">
        <f>IFERROR(AVERAGE(AN31:AO31),0)</f>
        <v/>
      </c>
      <c r="AQ31" s="74" t="n">
        <v>0</v>
      </c>
      <c r="AR31" s="74" t="n">
        <v>0</v>
      </c>
      <c r="AS31" s="74" t="n">
        <v>0</v>
      </c>
      <c r="AT31" s="74">
        <f>IFERROR(AVERAGE(AQ31:AS31),0)</f>
        <v/>
      </c>
      <c r="AU31" s="74" t="n">
        <v>0</v>
      </c>
      <c r="AV31" s="74" t="n">
        <v>0</v>
      </c>
      <c r="AW31" s="74" t="n">
        <v>0</v>
      </c>
      <c r="AX31" s="74">
        <f>IFERROR(AVERAGE(AU31:AW31),0)</f>
        <v/>
      </c>
      <c r="AY31" s="74" t="n">
        <v>0</v>
      </c>
      <c r="AZ31" s="74" t="n">
        <v>0</v>
      </c>
      <c r="BA31" s="74" t="n">
        <v>8</v>
      </c>
      <c r="BB31" s="74">
        <f>IFERROR(AVERAGE(AY31:BA31),0)</f>
        <v/>
      </c>
    </row>
    <row r="32" hidden="1" outlineLevel="1" ht="12" customHeight="1">
      <c r="B32" s="72" t="inlineStr">
        <is>
          <t>S&amp;M</t>
        </is>
      </c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4" t="n"/>
      <c r="T32" s="74" t="n"/>
      <c r="U32" s="74" t="n"/>
      <c r="V32" s="74">
        <f>IFERROR(AVERAGE(S32:U32),0)</f>
        <v/>
      </c>
      <c r="W32" s="74" t="n"/>
      <c r="X32" s="74" t="n"/>
      <c r="Y32" s="74" t="n"/>
      <c r="Z32" s="74">
        <f>IFERROR(AVERAGE(W32:Y32),0)</f>
        <v/>
      </c>
      <c r="AA32" s="74" t="n"/>
      <c r="AB32" s="74" t="n"/>
      <c r="AC32" s="74" t="n"/>
      <c r="AD32" s="74">
        <f>IFERROR(AVERAGE(AA32:AC32),0)</f>
        <v/>
      </c>
      <c r="AE32" s="74" t="n"/>
      <c r="AF32" s="74" t="n"/>
      <c r="AG32" s="74" t="n"/>
      <c r="AH32" s="74">
        <f>IFERROR(AVERAGE(AE32:AG32),0)</f>
        <v/>
      </c>
      <c r="AI32" s="74" t="n"/>
      <c r="AJ32" s="74" t="n"/>
      <c r="AK32" s="74" t="n"/>
      <c r="AL32" s="74">
        <f>IFERROR(AVERAGE(AI32:AK32),0)</f>
        <v/>
      </c>
      <c r="AM32" s="74" t="n"/>
      <c r="AN32" s="74" t="n"/>
      <c r="AO32" s="74" t="n"/>
      <c r="AP32" s="74">
        <f>IFERROR(AVERAGE(AN32:AO32),0)</f>
        <v/>
      </c>
      <c r="AQ32" s="74" t="n">
        <v>0</v>
      </c>
      <c r="AR32" s="74" t="n">
        <v>0</v>
      </c>
      <c r="AS32" s="74" t="n">
        <v>0</v>
      </c>
      <c r="AT32" s="74">
        <f>IFERROR(AVERAGE(AQ32:AS32),0)</f>
        <v/>
      </c>
      <c r="AU32" s="74" t="n">
        <v>0</v>
      </c>
      <c r="AV32" s="74" t="n">
        <v>0</v>
      </c>
      <c r="AW32" s="74" t="n">
        <v>0</v>
      </c>
      <c r="AX32" s="74">
        <f>IFERROR(AVERAGE(AU32:AW32),0)</f>
        <v/>
      </c>
      <c r="AY32" s="74" t="n">
        <v>0</v>
      </c>
      <c r="AZ32" s="74" t="n">
        <v>0</v>
      </c>
      <c r="BA32" s="74" t="n">
        <v>7</v>
      </c>
      <c r="BB32" s="74">
        <f>IFERROR(AVERAGE(AY32:BA32),0)</f>
        <v/>
      </c>
    </row>
    <row r="33" hidden="1" outlineLevel="1" ht="12" customHeight="1">
      <c r="B33" s="72" t="inlineStr">
        <is>
          <t>G&amp;A</t>
        </is>
      </c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4" t="n"/>
      <c r="T33" s="74" t="n"/>
      <c r="U33" s="74" t="n"/>
      <c r="V33" s="74">
        <f>IFERROR(AVERAGE(S33:U33),0)</f>
        <v/>
      </c>
      <c r="W33" s="74" t="n"/>
      <c r="X33" s="74" t="n"/>
      <c r="Y33" s="74" t="n"/>
      <c r="Z33" s="74">
        <f>IFERROR(AVERAGE(W33:Y33),0)</f>
        <v/>
      </c>
      <c r="AA33" s="74" t="n"/>
      <c r="AB33" s="74" t="n"/>
      <c r="AC33" s="74" t="n"/>
      <c r="AD33" s="74">
        <f>IFERROR(AVERAGE(AA33:AC33),0)</f>
        <v/>
      </c>
      <c r="AE33" s="74" t="n"/>
      <c r="AF33" s="74" t="n"/>
      <c r="AG33" s="74" t="n"/>
      <c r="AH33" s="74">
        <f>IFERROR(AVERAGE(AE33:AG33),0)</f>
        <v/>
      </c>
      <c r="AI33" s="74" t="n"/>
      <c r="AJ33" s="74" t="n"/>
      <c r="AK33" s="74" t="n"/>
      <c r="AL33" s="74">
        <f>IFERROR(AVERAGE(AI33:AK33),0)</f>
        <v/>
      </c>
      <c r="AM33" s="74" t="n"/>
      <c r="AN33" s="74" t="n"/>
      <c r="AO33" s="74" t="n"/>
      <c r="AP33" s="74">
        <f>IFERROR(AVERAGE(AN33:AO33),0)</f>
        <v/>
      </c>
      <c r="AQ33" s="74" t="n">
        <v>0</v>
      </c>
      <c r="AR33" s="74" t="n">
        <v>0</v>
      </c>
      <c r="AS33" s="74" t="n">
        <v>0</v>
      </c>
      <c r="AT33" s="74">
        <f>IFERROR(AVERAGE(AQ33:AS33),0)</f>
        <v/>
      </c>
      <c r="AU33" s="74" t="n">
        <v>0</v>
      </c>
      <c r="AV33" s="74" t="n">
        <v>0</v>
      </c>
      <c r="AW33" s="74" t="n">
        <v>0</v>
      </c>
      <c r="AX33" s="74">
        <f>IFERROR(AVERAGE(AU33:AW33),0)</f>
        <v/>
      </c>
      <c r="AY33" s="74" t="n">
        <v>0</v>
      </c>
      <c r="AZ33" s="74" t="n">
        <v>0</v>
      </c>
      <c r="BA33" s="74" t="n">
        <v>0</v>
      </c>
      <c r="BB33" s="74">
        <f>IFERROR(AVERAGE(AY33:BA33),0)</f>
        <v/>
      </c>
    </row>
    <row r="34" collapsed="1">
      <c r="B34" s="25" t="inlineStr">
        <is>
          <t>Nearshore</t>
        </is>
      </c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4">
        <f>SUM(S35:S37)</f>
        <v/>
      </c>
      <c r="T34" s="74">
        <f>SUM(T35:T37)</f>
        <v/>
      </c>
      <c r="U34" s="74">
        <f>SUM(U35:U37)</f>
        <v/>
      </c>
      <c r="V34" s="74">
        <f>IFERROR(AVERAGE(S34:U34),0)</f>
        <v/>
      </c>
      <c r="W34" s="74">
        <f>SUM(W35:W37)</f>
        <v/>
      </c>
      <c r="X34" s="74">
        <f>SUM(X35:X37)</f>
        <v/>
      </c>
      <c r="Y34" s="74">
        <f>SUM(Y35:Y37)</f>
        <v/>
      </c>
      <c r="Z34" s="74">
        <f>IFERROR(AVERAGE(W34:Y34),0)</f>
        <v/>
      </c>
      <c r="AA34" s="74">
        <f>SUM(AA35:AA37)</f>
        <v/>
      </c>
      <c r="AB34" s="74">
        <f>SUM(AB35:AB37)</f>
        <v/>
      </c>
      <c r="AC34" s="74">
        <f>SUM(AC35:AC37)</f>
        <v/>
      </c>
      <c r="AD34" s="74">
        <f>IFERROR(AVERAGE(AA34:AC34),0)</f>
        <v/>
      </c>
      <c r="AE34" s="74">
        <f>SUM(AE35:AE37)</f>
        <v/>
      </c>
      <c r="AF34" s="74">
        <f>SUM(AF35:AF37)</f>
        <v/>
      </c>
      <c r="AG34" s="74">
        <f>SUM(AG35:AG37)</f>
        <v/>
      </c>
      <c r="AH34" s="74">
        <f>IFERROR(AVERAGE(AE34:AG34),0)</f>
        <v/>
      </c>
      <c r="AI34" s="74">
        <f>SUM(AI35:AI37)</f>
        <v/>
      </c>
      <c r="AJ34" s="74">
        <f>SUM(AJ35:AJ37)</f>
        <v/>
      </c>
      <c r="AK34" s="74">
        <f>SUM(AK35:AK37)</f>
        <v/>
      </c>
      <c r="AL34" s="74">
        <f>IFERROR(AVERAGE(AI34:AK34),0)</f>
        <v/>
      </c>
      <c r="AM34" s="74">
        <f>SUM(AM35:AM37)</f>
        <v/>
      </c>
      <c r="AN34" s="74">
        <f>SUM(AN35:AN37)</f>
        <v/>
      </c>
      <c r="AO34" s="74">
        <f>SUM(AO35:AO37)</f>
        <v/>
      </c>
      <c r="AP34" s="74">
        <f>IFERROR(AVERAGE(AN34:AO34),0)</f>
        <v/>
      </c>
      <c r="AQ34" s="74">
        <f>SUM(AQ35:AQ37)</f>
        <v/>
      </c>
      <c r="AR34" s="74">
        <f>SUM(AR35:AR37)</f>
        <v/>
      </c>
      <c r="AS34" s="74">
        <f>SUM(AS35:AS37)</f>
        <v/>
      </c>
      <c r="AT34" s="74">
        <f>IFERROR(AVERAGE(AQ34:AS34),0)</f>
        <v/>
      </c>
      <c r="AU34" s="74">
        <f>SUM(AU35:AU37)</f>
        <v/>
      </c>
      <c r="AV34" s="74">
        <f>SUM(AV35:AV37)</f>
        <v/>
      </c>
      <c r="AW34" s="74">
        <f>SUM(AW35:AW37)</f>
        <v/>
      </c>
      <c r="AX34" s="74">
        <f>IFERROR(AVERAGE(AU34:AW34),0)</f>
        <v/>
      </c>
      <c r="AY34" s="74">
        <f>SUM(AY35:AY37)</f>
        <v/>
      </c>
      <c r="AZ34" s="74">
        <f>SUM(AZ35:AZ37)</f>
        <v/>
      </c>
      <c r="BA34" s="74">
        <f>SUM(BA35:BA37)</f>
        <v/>
      </c>
      <c r="BB34" s="74">
        <f>IFERROR(AVERAGE(AY34:BA34),0)</f>
        <v/>
      </c>
    </row>
    <row r="35" hidden="1" outlineLevel="1" ht="15" customHeight="1">
      <c r="B35" s="72" t="inlineStr">
        <is>
          <t>COR</t>
        </is>
      </c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4" t="n"/>
      <c r="T35" s="74" t="n"/>
      <c r="U35" s="74" t="n"/>
      <c r="V35" s="74">
        <f>IFERROR(AVERAGE(S35:U35),0)</f>
        <v/>
      </c>
      <c r="W35" s="74" t="n"/>
      <c r="X35" s="74" t="n"/>
      <c r="Y35" s="74" t="n"/>
      <c r="Z35" s="74">
        <f>IFERROR(AVERAGE(W35:Y35),0)</f>
        <v/>
      </c>
      <c r="AA35" s="74" t="n"/>
      <c r="AB35" s="74" t="n"/>
      <c r="AC35" s="74" t="n"/>
      <c r="AD35" s="74">
        <f>IFERROR(AVERAGE(AA35:AC35),0)</f>
        <v/>
      </c>
      <c r="AE35" s="74" t="n"/>
      <c r="AF35" s="74" t="n"/>
      <c r="AG35" s="74" t="n"/>
      <c r="AH35" s="74">
        <f>IFERROR(AVERAGE(AE35:AG35),0)</f>
        <v/>
      </c>
      <c r="AI35" s="74" t="n"/>
      <c r="AJ35" s="74" t="n"/>
      <c r="AK35" s="74" t="n"/>
      <c r="AL35" s="74">
        <f>IFERROR(AVERAGE(AI35:AK35),0)</f>
        <v/>
      </c>
      <c r="AM35" s="74" t="n"/>
      <c r="AN35" s="74" t="n"/>
      <c r="AO35" s="74" t="n"/>
      <c r="AP35" s="74">
        <f>IFERROR(AVERAGE(AN35:AO35),0)</f>
        <v/>
      </c>
      <c r="AQ35" s="74" t="n">
        <v>0</v>
      </c>
      <c r="AR35" s="74" t="n">
        <v>0</v>
      </c>
      <c r="AS35" s="74" t="n">
        <v>0</v>
      </c>
      <c r="AT35" s="74">
        <f>IFERROR(AVERAGE(AQ35:AS35),0)</f>
        <v/>
      </c>
      <c r="AU35" s="74" t="n">
        <v>0</v>
      </c>
      <c r="AV35" s="74" t="n">
        <v>0</v>
      </c>
      <c r="AW35" s="74" t="n">
        <v>0</v>
      </c>
      <c r="AX35" s="74">
        <f>IFERROR(AVERAGE(AU35:AW35),0)</f>
        <v/>
      </c>
      <c r="AY35" s="74" t="n">
        <v>0</v>
      </c>
      <c r="AZ35" s="74" t="n">
        <v>0</v>
      </c>
      <c r="BA35" s="74" t="n">
        <v>2</v>
      </c>
      <c r="BB35" s="74">
        <f>IFERROR(AVERAGE(AY35:BA35),0)</f>
        <v/>
      </c>
    </row>
    <row r="36" hidden="1" outlineLevel="1" ht="15" customHeight="1">
      <c r="B36" s="72" t="inlineStr">
        <is>
          <t>S&amp;M</t>
        </is>
      </c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4" t="n"/>
      <c r="T36" s="74" t="n"/>
      <c r="U36" s="74" t="n"/>
      <c r="V36" s="74">
        <f>IFERROR(AVERAGE(S36:U36),0)</f>
        <v/>
      </c>
      <c r="W36" s="74" t="n"/>
      <c r="X36" s="74" t="n"/>
      <c r="Y36" s="74" t="n"/>
      <c r="Z36" s="74">
        <f>IFERROR(AVERAGE(W36:Y36),0)</f>
        <v/>
      </c>
      <c r="AA36" s="74" t="n"/>
      <c r="AB36" s="74" t="n"/>
      <c r="AC36" s="74" t="n"/>
      <c r="AD36" s="74">
        <f>IFERROR(AVERAGE(AA36:AC36),0)</f>
        <v/>
      </c>
      <c r="AE36" s="74" t="n"/>
      <c r="AF36" s="74" t="n"/>
      <c r="AG36" s="74" t="n"/>
      <c r="AH36" s="74">
        <f>IFERROR(AVERAGE(AE36:AG36),0)</f>
        <v/>
      </c>
      <c r="AI36" s="74" t="n"/>
      <c r="AJ36" s="74" t="n"/>
      <c r="AK36" s="74" t="n"/>
      <c r="AL36" s="74">
        <f>IFERROR(AVERAGE(AI36:AK36),0)</f>
        <v/>
      </c>
      <c r="AM36" s="74" t="n"/>
      <c r="AN36" s="74" t="n"/>
      <c r="AO36" s="74" t="n"/>
      <c r="AP36" s="74">
        <f>IFERROR(AVERAGE(AN36:AO36),0)</f>
        <v/>
      </c>
      <c r="AQ36" s="74" t="n">
        <v>0</v>
      </c>
      <c r="AR36" s="74" t="n">
        <v>0</v>
      </c>
      <c r="AS36" s="74" t="n">
        <v>0</v>
      </c>
      <c r="AT36" s="74">
        <f>IFERROR(AVERAGE(AQ36:AS36),0)</f>
        <v/>
      </c>
      <c r="AU36" s="74" t="n">
        <v>0</v>
      </c>
      <c r="AV36" s="74" t="n">
        <v>0</v>
      </c>
      <c r="AW36" s="74" t="n">
        <v>0</v>
      </c>
      <c r="AX36" s="74">
        <f>IFERROR(AVERAGE(AU36:AW36),0)</f>
        <v/>
      </c>
      <c r="AY36" s="74" t="n">
        <v>0</v>
      </c>
      <c r="AZ36" s="74" t="n">
        <v>0</v>
      </c>
      <c r="BA36" s="74" t="n">
        <v>0</v>
      </c>
      <c r="BB36" s="74">
        <f>IFERROR(AVERAGE(AY36:BA36),0)</f>
        <v/>
      </c>
    </row>
    <row r="37" hidden="1" outlineLevel="1" ht="15" customHeight="1">
      <c r="B37" s="72" t="inlineStr">
        <is>
          <t>G&amp;A</t>
        </is>
      </c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4" t="n"/>
      <c r="T37" s="74" t="n"/>
      <c r="U37" s="74" t="n"/>
      <c r="V37" s="74">
        <f>IFERROR(AVERAGE(S37:U37),0)</f>
        <v/>
      </c>
      <c r="W37" s="74" t="n"/>
      <c r="X37" s="74" t="n"/>
      <c r="Y37" s="74" t="n"/>
      <c r="Z37" s="74">
        <f>IFERROR(AVERAGE(W37:Y37),0)</f>
        <v/>
      </c>
      <c r="AA37" s="74" t="n"/>
      <c r="AB37" s="74" t="n"/>
      <c r="AC37" s="74" t="n"/>
      <c r="AD37" s="74">
        <f>IFERROR(AVERAGE(AA37:AC37),0)</f>
        <v/>
      </c>
      <c r="AE37" s="74" t="n"/>
      <c r="AF37" s="74" t="n"/>
      <c r="AG37" s="74" t="n"/>
      <c r="AH37" s="74">
        <f>IFERROR(AVERAGE(AE37:AG37),0)</f>
        <v/>
      </c>
      <c r="AI37" s="74" t="n"/>
      <c r="AJ37" s="74" t="n"/>
      <c r="AK37" s="74" t="n"/>
      <c r="AL37" s="74">
        <f>IFERROR(AVERAGE(AI37:AK37),0)</f>
        <v/>
      </c>
      <c r="AM37" s="74" t="n"/>
      <c r="AN37" s="74" t="n"/>
      <c r="AO37" s="74" t="n"/>
      <c r="AP37" s="74">
        <f>IFERROR(AVERAGE(AN37:AO37),0)</f>
        <v/>
      </c>
      <c r="AQ37" s="74" t="n">
        <v>0</v>
      </c>
      <c r="AR37" s="74" t="n">
        <v>0</v>
      </c>
      <c r="AS37" s="74" t="n">
        <v>0</v>
      </c>
      <c r="AT37" s="74">
        <f>IFERROR(AVERAGE(AQ37:AS37),0)</f>
        <v/>
      </c>
      <c r="AU37" s="74" t="n">
        <v>0</v>
      </c>
      <c r="AV37" s="74" t="n">
        <v>0</v>
      </c>
      <c r="AW37" s="74" t="n">
        <v>0</v>
      </c>
      <c r="AX37" s="74">
        <f>IFERROR(AVERAGE(AU37:AW37),0)</f>
        <v/>
      </c>
      <c r="AY37" s="74" t="n">
        <v>0</v>
      </c>
      <c r="AZ37" s="74" t="n">
        <v>0</v>
      </c>
      <c r="BA37" s="74" t="n">
        <v>0</v>
      </c>
      <c r="BB37" s="74">
        <f>IFERROR(AVERAGE(AY37:BA37),0)</f>
        <v/>
      </c>
    </row>
    <row r="38" collapsed="1">
      <c r="B38" s="75" t="inlineStr">
        <is>
          <t>Total Employee Headcount</t>
        </is>
      </c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7">
        <f>S26+S30+S34</f>
        <v/>
      </c>
      <c r="T38" s="77">
        <f>T26+T30+T34</f>
        <v/>
      </c>
      <c r="U38" s="77">
        <f>U26+U30+U34</f>
        <v/>
      </c>
      <c r="V38" s="77">
        <f>V26+V30+V34</f>
        <v/>
      </c>
      <c r="W38" s="77">
        <f>W26+W30+W34</f>
        <v/>
      </c>
      <c r="X38" s="77">
        <f>X26+X30+X34</f>
        <v/>
      </c>
      <c r="Y38" s="77">
        <f>Y26+Y30+Y34</f>
        <v/>
      </c>
      <c r="Z38" s="77">
        <f>Z26+Z30+Z34</f>
        <v/>
      </c>
      <c r="AA38" s="77">
        <f>AA26+AA30+AA34</f>
        <v/>
      </c>
      <c r="AB38" s="77">
        <f>AB26+AB30+AB34</f>
        <v/>
      </c>
      <c r="AC38" s="77">
        <f>AC26+AC30+AC34</f>
        <v/>
      </c>
      <c r="AD38" s="77">
        <f>AD26+AD30+AD34</f>
        <v/>
      </c>
      <c r="AE38" s="77">
        <f>AE26+AE30+AE34</f>
        <v/>
      </c>
      <c r="AF38" s="77">
        <f>AF26+AF30+AF34</f>
        <v/>
      </c>
      <c r="AG38" s="77">
        <f>AG26+AG30+AG34</f>
        <v/>
      </c>
      <c r="AH38" s="77">
        <f>AH26+AH30+AH34</f>
        <v/>
      </c>
      <c r="AI38" s="77">
        <f>AI26+AI30+AI34</f>
        <v/>
      </c>
      <c r="AJ38" s="77">
        <f>AJ26+AJ30+AJ34</f>
        <v/>
      </c>
      <c r="AK38" s="77">
        <f>AK26+AK30+AK34</f>
        <v/>
      </c>
      <c r="AL38" s="77">
        <f>AL26+AL30+AL34</f>
        <v/>
      </c>
      <c r="AM38" s="77">
        <f>AM26+AM30+AM34</f>
        <v/>
      </c>
      <c r="AN38" s="77">
        <f>AN26+AN30+AN34</f>
        <v/>
      </c>
      <c r="AO38" s="77">
        <f>AO26+AO30+AO34</f>
        <v/>
      </c>
      <c r="AP38" s="77">
        <f>AP26+AP30+AP34</f>
        <v/>
      </c>
      <c r="AQ38" s="77">
        <f>AQ26+AQ30+AQ34</f>
        <v/>
      </c>
      <c r="AR38" s="77">
        <f>AR26+AR30+AR34</f>
        <v/>
      </c>
      <c r="AS38" s="77">
        <f>AS26+AS30+AS34</f>
        <v/>
      </c>
      <c r="AT38" s="77">
        <f>AT26+AT30+AT34</f>
        <v/>
      </c>
      <c r="AU38" s="77">
        <f>AU26+AU30+AU34</f>
        <v/>
      </c>
      <c r="AV38" s="77">
        <f>AV26+AV30+AV34</f>
        <v/>
      </c>
      <c r="AW38" s="77">
        <f>AW26+AW30+AW34</f>
        <v/>
      </c>
      <c r="AX38" s="77">
        <f>AX26+AX30+AX34</f>
        <v/>
      </c>
      <c r="AY38" s="77">
        <f>AY26+AY30+AY34</f>
        <v/>
      </c>
      <c r="AZ38" s="77">
        <f>AZ26+AZ30+AZ34</f>
        <v/>
      </c>
      <c r="BA38" s="77">
        <f>BA26+BA30+BA34</f>
        <v/>
      </c>
      <c r="BB38" s="77">
        <f>BB26+BB30+BB34</f>
        <v/>
      </c>
    </row>
    <row r="39">
      <c r="B39" s="75" t="inlineStr">
        <is>
          <t>Contractors</t>
        </is>
      </c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4">
        <f>SUM(S40:S42)</f>
        <v/>
      </c>
      <c r="T39" s="74">
        <f>SUM(T40:T42)</f>
        <v/>
      </c>
      <c r="U39" s="74">
        <f>SUM(U40:U42)</f>
        <v/>
      </c>
      <c r="V39" s="74">
        <f>IFERROR(AVERAGE(S39:U39),0)</f>
        <v/>
      </c>
      <c r="W39" s="74">
        <f>SUM(W40:W42)</f>
        <v/>
      </c>
      <c r="X39" s="74">
        <f>SUM(X40:X42)</f>
        <v/>
      </c>
      <c r="Y39" s="74">
        <f>SUM(Y40:Y42)</f>
        <v/>
      </c>
      <c r="Z39" s="74">
        <f>IFERROR(AVERAGE(W39:Y39),0)</f>
        <v/>
      </c>
      <c r="AA39" s="74">
        <f>SUM(AA40:AA42)</f>
        <v/>
      </c>
      <c r="AB39" s="74">
        <f>SUM(AB40:AB42)</f>
        <v/>
      </c>
      <c r="AC39" s="74">
        <f>SUM(AC40:AC42)</f>
        <v/>
      </c>
      <c r="AD39" s="74">
        <f>IFERROR(AVERAGE(AA39:AC39),0)</f>
        <v/>
      </c>
      <c r="AE39" s="74">
        <f>SUM(AE40:AE42)</f>
        <v/>
      </c>
      <c r="AF39" s="74">
        <f>SUM(AF40:AF42)</f>
        <v/>
      </c>
      <c r="AG39" s="74">
        <f>SUM(AG40:AG42)</f>
        <v/>
      </c>
      <c r="AH39" s="74">
        <f>IFERROR(AVERAGE(AE39:AG39),0)</f>
        <v/>
      </c>
      <c r="AI39" s="74">
        <f>SUM(AI40:AI42)</f>
        <v/>
      </c>
      <c r="AJ39" s="74">
        <f>SUM(AJ40:AJ42)</f>
        <v/>
      </c>
      <c r="AK39" s="74">
        <f>SUM(AK40:AK42)</f>
        <v/>
      </c>
      <c r="AL39" s="74">
        <f>IFERROR(AVERAGE(AI39:AK39),0)</f>
        <v/>
      </c>
      <c r="AM39" s="74">
        <f>SUM(AM40:AM42)</f>
        <v/>
      </c>
      <c r="AN39" s="74">
        <f>SUM(AN40:AN42)</f>
        <v/>
      </c>
      <c r="AO39" s="74">
        <f>SUM(AO40:AO42)</f>
        <v/>
      </c>
      <c r="AP39" s="74">
        <f>IFERROR(AVERAGE(AN39:AO39),0)</f>
        <v/>
      </c>
      <c r="AQ39" s="74">
        <f>SUM(AQ40:AQ42)</f>
        <v/>
      </c>
      <c r="AR39" s="74">
        <f>SUM(AR40:AR42)</f>
        <v/>
      </c>
      <c r="AS39" s="74">
        <f>SUM(AS40:AS42)</f>
        <v/>
      </c>
      <c r="AT39" s="74">
        <f>IFERROR(AVERAGE(AQ39:AS39),0)</f>
        <v/>
      </c>
      <c r="AU39" s="74">
        <f>SUM(AU40:AU42)</f>
        <v/>
      </c>
      <c r="AV39" s="74">
        <f>SUM(AV40:AV42)</f>
        <v/>
      </c>
      <c r="AW39" s="74">
        <f>SUM(AW40:AW42)</f>
        <v/>
      </c>
      <c r="AX39" s="74">
        <f>IFERROR(AVERAGE(AU39:AW39),0)</f>
        <v/>
      </c>
      <c r="AY39" s="74">
        <f>SUM(AY40:AY42)</f>
        <v/>
      </c>
      <c r="AZ39" s="74">
        <f>SUM(AZ40:AZ42)</f>
        <v/>
      </c>
      <c r="BA39" s="74">
        <f>SUM(BA40:BA42)</f>
        <v/>
      </c>
      <c r="BB39" s="74">
        <f>IFERROR(AVERAGE(AY39:BA39),0)</f>
        <v/>
      </c>
    </row>
    <row r="40" hidden="1" outlineLevel="1" ht="15" customHeight="1">
      <c r="B40" s="78" t="inlineStr">
        <is>
          <t xml:space="preserve">Onsite </t>
        </is>
      </c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4" t="n"/>
      <c r="T40" s="74" t="n"/>
      <c r="U40" s="74" t="n"/>
      <c r="V40" s="74">
        <f>IFERROR(AVERAGE(S40:U40),0)</f>
        <v/>
      </c>
      <c r="W40" s="74" t="n"/>
      <c r="X40" s="74" t="n"/>
      <c r="Y40" s="74" t="n"/>
      <c r="Z40" s="74">
        <f>IFERROR(AVERAGE(W40:Y40),0)</f>
        <v/>
      </c>
      <c r="AA40" s="74" t="n"/>
      <c r="AB40" s="74" t="n"/>
      <c r="AC40" s="74" t="n"/>
      <c r="AD40" s="74">
        <f>IFERROR(AVERAGE(AA40:AC40),0)</f>
        <v/>
      </c>
      <c r="AE40" s="74" t="n"/>
      <c r="AF40" s="74" t="n"/>
      <c r="AG40" s="74" t="n"/>
      <c r="AH40" s="74">
        <f>IFERROR(AVERAGE(AE40:AG40),0)</f>
        <v/>
      </c>
      <c r="AI40" s="74" t="n"/>
      <c r="AJ40" s="74" t="n"/>
      <c r="AK40" s="74" t="n"/>
      <c r="AL40" s="74">
        <f>IFERROR(AVERAGE(AI40:AK40),0)</f>
        <v/>
      </c>
      <c r="AM40" s="74" t="n">
        <v>0</v>
      </c>
      <c r="AN40" s="74" t="n">
        <v>1</v>
      </c>
      <c r="AO40" s="74" t="n">
        <v>1</v>
      </c>
      <c r="AP40" s="74">
        <f>IFERROR(AVERAGE(AN40:AO40),0)</f>
        <v/>
      </c>
      <c r="AQ40" s="74" t="n">
        <v>0</v>
      </c>
      <c r="AR40" s="74" t="n">
        <v>0</v>
      </c>
      <c r="AS40" s="74" t="n">
        <v>0</v>
      </c>
      <c r="AT40" s="74">
        <f>IFERROR(AVERAGE(AQ40:AS40),0)</f>
        <v/>
      </c>
      <c r="AU40" s="74" t="n">
        <v>0</v>
      </c>
      <c r="AV40" s="74" t="n">
        <v>0</v>
      </c>
      <c r="AW40" s="74" t="n">
        <v>0</v>
      </c>
      <c r="AX40" s="74">
        <f>IFERROR(AVERAGE(AU40:AW40),0)</f>
        <v/>
      </c>
      <c r="AY40" s="74" t="n">
        <v>0</v>
      </c>
      <c r="AZ40" s="74" t="n">
        <v>0</v>
      </c>
      <c r="BA40" s="74" t="n">
        <v>0</v>
      </c>
      <c r="BB40" s="74">
        <f>IFERROR(AVERAGE(AY40:BA40),0)</f>
        <v/>
      </c>
    </row>
    <row r="41" hidden="1" outlineLevel="1" ht="15" customHeight="1">
      <c r="B41" s="78" t="inlineStr">
        <is>
          <t>Offshore</t>
        </is>
      </c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4" t="n"/>
      <c r="T41" s="74" t="n"/>
      <c r="U41" s="74" t="n"/>
      <c r="V41" s="74">
        <f>IFERROR(AVERAGE(S41:U41),0)</f>
        <v/>
      </c>
      <c r="W41" s="74" t="n"/>
      <c r="X41" s="74" t="n"/>
      <c r="Y41" s="74" t="n"/>
      <c r="Z41" s="74">
        <f>IFERROR(AVERAGE(W41:Y41),0)</f>
        <v/>
      </c>
      <c r="AA41" s="74" t="n"/>
      <c r="AB41" s="74" t="n"/>
      <c r="AC41" s="74" t="n"/>
      <c r="AD41" s="74">
        <f>IFERROR(AVERAGE(AA41:AC41),0)</f>
        <v/>
      </c>
      <c r="AE41" s="74" t="n"/>
      <c r="AF41" s="74" t="n"/>
      <c r="AG41" s="74" t="n"/>
      <c r="AH41" s="74">
        <f>IFERROR(AVERAGE(AE41:AG41),0)</f>
        <v/>
      </c>
      <c r="AI41" s="74" t="n"/>
      <c r="AJ41" s="74" t="n"/>
      <c r="AK41" s="74" t="n"/>
      <c r="AL41" s="74">
        <f>IFERROR(AVERAGE(AI41:AK41),0)</f>
        <v/>
      </c>
      <c r="AM41" s="74" t="n"/>
      <c r="AN41" s="74" t="n"/>
      <c r="AO41" s="74" t="n"/>
      <c r="AP41" s="74">
        <f>IFERROR(AVERAGE(AN41:AO41),0)</f>
        <v/>
      </c>
      <c r="AQ41" s="74" t="n">
        <v>0</v>
      </c>
      <c r="AR41" s="74" t="n">
        <v>0</v>
      </c>
      <c r="AS41" s="74" t="n">
        <v>0</v>
      </c>
      <c r="AT41" s="74">
        <f>IFERROR(AVERAGE(AQ41:AS41),0)</f>
        <v/>
      </c>
      <c r="AU41" s="74" t="n">
        <v>0</v>
      </c>
      <c r="AV41" s="74" t="n">
        <v>0</v>
      </c>
      <c r="AW41" s="74" t="n">
        <v>0</v>
      </c>
      <c r="AX41" s="74">
        <f>IFERROR(AVERAGE(AU41:AW41),0)</f>
        <v/>
      </c>
      <c r="AY41" s="74" t="n">
        <v>0</v>
      </c>
      <c r="AZ41" s="74" t="n">
        <v>0</v>
      </c>
      <c r="BA41" s="74" t="n">
        <v>0</v>
      </c>
      <c r="BB41" s="74">
        <f>IFERROR(AVERAGE(AY41:BA41),0)</f>
        <v/>
      </c>
    </row>
    <row r="42" hidden="1" outlineLevel="1" ht="15" customHeight="1">
      <c r="B42" s="25" t="inlineStr">
        <is>
          <t>Nearshore</t>
        </is>
      </c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4" t="n"/>
      <c r="T42" s="74" t="n"/>
      <c r="U42" s="74" t="n"/>
      <c r="V42" s="74">
        <f>IFERROR(AVERAGE(S42:U42),0)</f>
        <v/>
      </c>
      <c r="W42" s="74" t="n"/>
      <c r="X42" s="74" t="n"/>
      <c r="Y42" s="74" t="n"/>
      <c r="Z42" s="74">
        <f>IFERROR(AVERAGE(W42:Y42),0)</f>
        <v/>
      </c>
      <c r="AA42" s="74" t="n"/>
      <c r="AB42" s="74" t="n"/>
      <c r="AC42" s="74" t="n"/>
      <c r="AD42" s="74">
        <f>IFERROR(AVERAGE(AA42:AC42),0)</f>
        <v/>
      </c>
      <c r="AE42" s="74" t="n"/>
      <c r="AF42" s="74" t="n"/>
      <c r="AG42" s="74" t="n"/>
      <c r="AH42" s="74">
        <f>IFERROR(AVERAGE(AE42:AG42),0)</f>
        <v/>
      </c>
      <c r="AI42" s="74" t="n"/>
      <c r="AJ42" s="74" t="n"/>
      <c r="AK42" s="74" t="n"/>
      <c r="AL42" s="74">
        <f>IFERROR(AVERAGE(AI42:AK42),0)</f>
        <v/>
      </c>
      <c r="AM42" s="74" t="n"/>
      <c r="AN42" s="74" t="n"/>
      <c r="AO42" s="74" t="n"/>
      <c r="AP42" s="74">
        <f>IFERROR(AVERAGE(AN42:AO42),0)</f>
        <v/>
      </c>
      <c r="AQ42" s="74" t="n">
        <v>0</v>
      </c>
      <c r="AR42" s="74" t="n">
        <v>0</v>
      </c>
      <c r="AS42" s="74" t="n">
        <v>0</v>
      </c>
      <c r="AT42" s="74">
        <f>IFERROR(AVERAGE(AQ42:AS42),0)</f>
        <v/>
      </c>
      <c r="AU42" s="74" t="n">
        <v>0</v>
      </c>
      <c r="AV42" s="74" t="n">
        <v>0</v>
      </c>
      <c r="AW42" s="74" t="n">
        <v>0</v>
      </c>
      <c r="AX42" s="74">
        <f>IFERROR(AVERAGE(AU42:AW42),0)</f>
        <v/>
      </c>
      <c r="AY42" s="74" t="n">
        <v>0</v>
      </c>
      <c r="AZ42" s="74" t="n">
        <v>0</v>
      </c>
      <c r="BA42" s="74" t="n">
        <v>0</v>
      </c>
      <c r="BB42" s="74">
        <f>IFERROR(AVERAGE(AY42:BA42),0)</f>
        <v/>
      </c>
    </row>
    <row r="43" collapsed="1">
      <c r="B43" s="56" t="inlineStr">
        <is>
          <t>Total Emp &amp; Contractor Head Count</t>
        </is>
      </c>
      <c r="C43" s="79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80">
        <f>SUM(S38:S39)</f>
        <v/>
      </c>
      <c r="T43" s="80">
        <f>SUM(T38:T39)</f>
        <v/>
      </c>
      <c r="U43" s="80">
        <f>SUM(U38:U39)</f>
        <v/>
      </c>
      <c r="V43" s="80">
        <f>SUM(V38:V39)</f>
        <v/>
      </c>
      <c r="W43" s="80">
        <f>SUM(W38:W39)</f>
        <v/>
      </c>
      <c r="X43" s="80">
        <f>SUM(X38:X39)</f>
        <v/>
      </c>
      <c r="Y43" s="80">
        <f>SUM(Y38:Y39)</f>
        <v/>
      </c>
      <c r="Z43" s="80">
        <f>SUM(Z38:Z39)</f>
        <v/>
      </c>
      <c r="AA43" s="80">
        <f>SUM(AA38:AA39)</f>
        <v/>
      </c>
      <c r="AB43" s="80">
        <f>SUM(AB38:AB39)</f>
        <v/>
      </c>
      <c r="AC43" s="80">
        <f>SUM(AC38:AC39)</f>
        <v/>
      </c>
      <c r="AD43" s="80">
        <f>SUM(AD38:AD39)</f>
        <v/>
      </c>
      <c r="AE43" s="80">
        <f>SUM(AE38:AE39)</f>
        <v/>
      </c>
      <c r="AF43" s="80">
        <f>SUM(AF38:AF39)</f>
        <v/>
      </c>
      <c r="AG43" s="80">
        <f>SUM(AG38:AG39)</f>
        <v/>
      </c>
      <c r="AH43" s="80">
        <f>SUM(AH38:AH39)</f>
        <v/>
      </c>
      <c r="AI43" s="80">
        <f>SUM(AI38:AI39)</f>
        <v/>
      </c>
      <c r="AJ43" s="80">
        <f>SUM(AJ38:AJ39)</f>
        <v/>
      </c>
      <c r="AK43" s="80">
        <f>SUM(AK38:AK39)</f>
        <v/>
      </c>
      <c r="AL43" s="80">
        <f>SUM(AL38:AL39)</f>
        <v/>
      </c>
      <c r="AM43" s="80">
        <f>SUM(AM38:AM39)</f>
        <v/>
      </c>
      <c r="AN43" s="80">
        <f>SUM(AN38:AN39)</f>
        <v/>
      </c>
      <c r="AO43" s="80">
        <f>SUM(AO38:AO39)</f>
        <v/>
      </c>
      <c r="AP43" s="80">
        <f>SUM(AP38:AP39)</f>
        <v/>
      </c>
      <c r="AQ43" s="80">
        <f>SUM(AQ38:AQ39)</f>
        <v/>
      </c>
      <c r="AR43" s="80">
        <f>SUM(AR38:AR39)</f>
        <v/>
      </c>
      <c r="AS43" s="80">
        <f>SUM(AS38:AS39)</f>
        <v/>
      </c>
      <c r="AT43" s="80">
        <f>SUM(AT38:AT39)</f>
        <v/>
      </c>
      <c r="AU43" s="80">
        <f>SUM(AU38:AU39)</f>
        <v/>
      </c>
      <c r="AV43" s="80">
        <f>SUM(AV38:AV39)</f>
        <v/>
      </c>
      <c r="AW43" s="80">
        <f>SUM(AW38:AW39)</f>
        <v/>
      </c>
      <c r="AX43" s="80">
        <f>SUM(AX38:AX39)</f>
        <v/>
      </c>
      <c r="AY43" s="80">
        <f>SUM(AY38:AY39)</f>
        <v/>
      </c>
      <c r="AZ43" s="80">
        <f>SUM(AZ38:AZ39)</f>
        <v/>
      </c>
      <c r="BA43" s="80">
        <f>SUM(BA38:BA39)</f>
        <v/>
      </c>
      <c r="BB43" s="80">
        <f>SUM(BB38:BB39)</f>
        <v/>
      </c>
    </row>
    <row r="44">
      <c r="B44" s="81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1" t="n"/>
      <c r="V44" s="61" t="n"/>
      <c r="W44" s="61" t="n"/>
      <c r="X44" s="61" t="n"/>
      <c r="Y44" s="61" t="n"/>
      <c r="Z44" s="61" t="n"/>
      <c r="AA44" s="61" t="n"/>
      <c r="AB44" s="61" t="n"/>
      <c r="AC44" s="61" t="n"/>
      <c r="AD44" s="61" t="n"/>
      <c r="AE44" s="61" t="n"/>
      <c r="AF44" s="61" t="n"/>
      <c r="AG44" s="61" t="n"/>
      <c r="AH44" s="61" t="n"/>
      <c r="AI44" s="61" t="n"/>
      <c r="AJ44" s="61" t="n"/>
      <c r="AK44" s="61" t="n"/>
      <c r="AL44" s="61" t="n"/>
      <c r="AM44" s="61" t="n"/>
      <c r="AN44" s="61" t="n"/>
      <c r="AO44" s="61" t="n"/>
      <c r="AP44" s="61" t="n"/>
      <c r="AQ44" s="61" t="n"/>
      <c r="AR44" s="61" t="n"/>
      <c r="AS44" s="61" t="n"/>
      <c r="AT44" s="61" t="n"/>
      <c r="AU44" s="61" t="n"/>
      <c r="AV44" s="61" t="n"/>
      <c r="AW44" s="61" t="n"/>
      <c r="AX44" s="61" t="n"/>
      <c r="AY44" s="61" t="n"/>
      <c r="AZ44" s="61" t="n"/>
      <c r="BA44" s="61" t="n"/>
      <c r="BB44" s="61" t="n"/>
    </row>
    <row r="45">
      <c r="B45" s="82" t="inlineStr">
        <is>
          <t>Net Head Count Change</t>
        </is>
      </c>
      <c r="C45" s="83" t="n"/>
      <c r="D45" s="83" t="n"/>
      <c r="E45" s="83" t="n"/>
      <c r="F45" s="84" t="n"/>
      <c r="G45" s="83" t="n"/>
      <c r="H45" s="83" t="n"/>
      <c r="I45" s="83" t="n"/>
      <c r="J45" s="84" t="n"/>
      <c r="K45" s="83" t="n"/>
      <c r="L45" s="83" t="n"/>
      <c r="M45" s="83" t="n"/>
      <c r="N45" s="84" t="n"/>
      <c r="O45" s="83" t="n"/>
      <c r="P45" s="83" t="n"/>
      <c r="Q45" s="83" t="n"/>
      <c r="R45" s="84" t="n"/>
      <c r="S45" s="82" t="n"/>
      <c r="T45" s="82" t="n"/>
      <c r="U45" s="82" t="n"/>
      <c r="V45" s="85" t="n"/>
      <c r="W45" s="82" t="n"/>
      <c r="X45" s="82" t="n"/>
      <c r="Y45" s="82" t="n"/>
      <c r="Z45" s="85" t="n"/>
      <c r="AA45" s="82" t="n"/>
      <c r="AB45" s="82" t="n"/>
      <c r="AC45" s="82" t="n"/>
      <c r="AD45" s="85" t="n"/>
      <c r="AE45" s="82" t="n"/>
      <c r="AF45" s="82" t="n"/>
      <c r="AG45" s="82" t="n"/>
      <c r="AH45" s="85" t="n"/>
      <c r="AI45" s="82" t="n"/>
      <c r="AJ45" s="82" t="n"/>
      <c r="AK45" s="82" t="n"/>
      <c r="AL45" s="85" t="n"/>
      <c r="AM45" s="82" t="n"/>
      <c r="AN45" s="82" t="n"/>
      <c r="AO45" s="82" t="n"/>
      <c r="AP45" s="85" t="n"/>
      <c r="AQ45" s="82" t="n"/>
      <c r="AR45" s="82" t="n"/>
      <c r="AS45" s="82" t="n"/>
      <c r="AT45" s="85" t="n"/>
      <c r="AU45" s="82" t="n"/>
      <c r="AV45" s="82" t="n"/>
      <c r="AW45" s="82" t="n"/>
      <c r="AX45" s="85" t="n"/>
      <c r="AY45" s="82" t="n"/>
      <c r="AZ45" s="82" t="n"/>
      <c r="BA45" s="82" t="n"/>
      <c r="BB45" s="85" t="n"/>
    </row>
    <row r="46">
      <c r="B46" s="78" t="inlineStr">
        <is>
          <t xml:space="preserve">Onsite </t>
        </is>
      </c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86" t="n"/>
      <c r="Q46" s="86" t="n"/>
      <c r="R46" s="86" t="n"/>
      <c r="S46" s="87" t="n"/>
      <c r="T46" s="87">
        <f>(T26-S26)+(T40-S40)</f>
        <v/>
      </c>
      <c r="U46" s="87">
        <f>(U26-T26)+(U40-T40)</f>
        <v/>
      </c>
      <c r="V46" s="87">
        <f>SUM(S46:U46)</f>
        <v/>
      </c>
      <c r="W46" s="87">
        <f>(W26-U26)+(W40-U40)</f>
        <v/>
      </c>
      <c r="X46" s="87">
        <f>(X26-W26)+(X40-W40)</f>
        <v/>
      </c>
      <c r="Y46" s="87">
        <f>(Y26-X26)+(Y40-X40)</f>
        <v/>
      </c>
      <c r="Z46" s="87">
        <f>SUM(W46:Y46)</f>
        <v/>
      </c>
      <c r="AA46" s="87">
        <f>(AA26-Y26)+(AA40-Y40)</f>
        <v/>
      </c>
      <c r="AB46" s="87">
        <f>(AB26-AA26)+(AB40-AA40)</f>
        <v/>
      </c>
      <c r="AC46" s="87">
        <f>(AC26-AB26)+(AC40-AB40)</f>
        <v/>
      </c>
      <c r="AD46" s="87">
        <f>SUM(AA46:AC46)</f>
        <v/>
      </c>
      <c r="AE46" s="87">
        <f>(AE26-AC26)+(AE40-AC40)</f>
        <v/>
      </c>
      <c r="AF46" s="87">
        <f>(AF26-AE26)+(AF40-AE40)</f>
        <v/>
      </c>
      <c r="AG46" s="87">
        <f>(AG26-AF26)+(AG40-AF40)</f>
        <v/>
      </c>
      <c r="AH46" s="87">
        <f>SUM(AE46:AG46)</f>
        <v/>
      </c>
      <c r="AI46" s="87">
        <f>(AI26-AG26)+(AI40-AG40)</f>
        <v/>
      </c>
      <c r="AJ46" s="87">
        <f>(AJ26-AI26)+(AJ40-AI40)</f>
        <v/>
      </c>
      <c r="AK46" s="87">
        <f>(AK26-AJ26)+(AK40-AJ40)</f>
        <v/>
      </c>
      <c r="AL46" s="87">
        <f>SUM(AI46:AK46)</f>
        <v/>
      </c>
      <c r="AM46" s="87">
        <f>(AM26-AK26)+(AM40-AK40)</f>
        <v/>
      </c>
      <c r="AN46" s="87">
        <f>(AN26-AM26)+(AN40-AM40)</f>
        <v/>
      </c>
      <c r="AO46" s="87">
        <f>(AO26-AN26)+(AO40-AN40)</f>
        <v/>
      </c>
      <c r="AP46" s="87">
        <f>SUM(AN46:AO46)</f>
        <v/>
      </c>
      <c r="AQ46" s="87">
        <f>(AQ26-AO26)+(AQ40-AO40)</f>
        <v/>
      </c>
      <c r="AR46" s="87">
        <f>(AR26-AQ26)+(AR40-AQ40)</f>
        <v/>
      </c>
      <c r="AS46" s="87">
        <f>(AS26-AR26)+(AS40-AR40)</f>
        <v/>
      </c>
      <c r="AT46" s="87">
        <f>SUM(AQ46:AS46)</f>
        <v/>
      </c>
      <c r="AU46" s="87">
        <f>(AU26-AS26)+(AU40-AS40)</f>
        <v/>
      </c>
      <c r="AV46" s="87">
        <f>(AV26-AU26)+(AV40-AU40)</f>
        <v/>
      </c>
      <c r="AW46" s="87">
        <f>(AW26-AV26)+(AW40-AV40)</f>
        <v/>
      </c>
      <c r="AX46" s="87">
        <f>SUM(AU46:AW46)</f>
        <v/>
      </c>
      <c r="AY46" s="87">
        <f>(AY26-AW26)+(AY40-AW40)</f>
        <v/>
      </c>
      <c r="AZ46" s="87">
        <f>(AZ26-AY26)+(AZ40-AY40)</f>
        <v/>
      </c>
      <c r="BA46" s="87">
        <f>(BA26-AZ26)+(BA40-AZ40)</f>
        <v/>
      </c>
      <c r="BB46" s="87">
        <f>SUM(AY46:BA46)</f>
        <v/>
      </c>
    </row>
    <row r="47">
      <c r="B47" s="78" t="inlineStr">
        <is>
          <t>Offshore</t>
        </is>
      </c>
      <c r="C47" s="86" t="n"/>
      <c r="D47" s="86" t="n"/>
      <c r="E47" s="86" t="n"/>
      <c r="F47" s="86" t="n"/>
      <c r="G47" s="86" t="n"/>
      <c r="H47" s="86" t="n"/>
      <c r="I47" s="86" t="n"/>
      <c r="J47" s="86" t="n"/>
      <c r="K47" s="86" t="n"/>
      <c r="L47" s="86" t="n"/>
      <c r="M47" s="86" t="n"/>
      <c r="N47" s="86" t="n"/>
      <c r="O47" s="86" t="n"/>
      <c r="P47" s="86" t="n"/>
      <c r="Q47" s="86" t="n"/>
      <c r="R47" s="86" t="n"/>
      <c r="S47" s="87" t="n"/>
      <c r="T47" s="87">
        <f>(T30-S30)+(T41-S41)</f>
        <v/>
      </c>
      <c r="U47" s="87">
        <f>(U30-T30)+(U41-T41)</f>
        <v/>
      </c>
      <c r="V47" s="87">
        <f>SUM(S47:U47)</f>
        <v/>
      </c>
      <c r="W47" s="87">
        <f>(W30-U30)+(W41-U41)</f>
        <v/>
      </c>
      <c r="X47" s="87">
        <f>(X30-W30)+(X41-W41)</f>
        <v/>
      </c>
      <c r="Y47" s="87">
        <f>(Y30-X30)+(Y41-X41)</f>
        <v/>
      </c>
      <c r="Z47" s="87">
        <f>SUM(W47:Y47)</f>
        <v/>
      </c>
      <c r="AA47" s="87">
        <f>(AA30-Y30)+(AA41-Y41)</f>
        <v/>
      </c>
      <c r="AB47" s="87">
        <f>(AB30-AA30)+(AB41-AA41)</f>
        <v/>
      </c>
      <c r="AC47" s="87">
        <f>(AC30-AB30)+(AC41-AB41)</f>
        <v/>
      </c>
      <c r="AD47" s="87">
        <f>SUM(AA47:AC47)</f>
        <v/>
      </c>
      <c r="AE47" s="87">
        <f>(AE30-AC30)+(AE41-AC41)</f>
        <v/>
      </c>
      <c r="AF47" s="87">
        <f>(AF30-AE30)+(AF41-AE41)</f>
        <v/>
      </c>
      <c r="AG47" s="87">
        <f>(AG30-AF30)+(AG41-AF41)</f>
        <v/>
      </c>
      <c r="AH47" s="87">
        <f>SUM(AE47:AG47)</f>
        <v/>
      </c>
      <c r="AI47" s="87">
        <f>(AI30-AG30)+(AI41-AG41)</f>
        <v/>
      </c>
      <c r="AJ47" s="87">
        <f>(AJ30-AI30)+(AJ41-AI41)</f>
        <v/>
      </c>
      <c r="AK47" s="87">
        <f>(AK30-AJ30)+(AK41-AJ41)</f>
        <v/>
      </c>
      <c r="AL47" s="87">
        <f>SUM(AI47:AK47)</f>
        <v/>
      </c>
      <c r="AM47" s="87">
        <f>(AM30-AK30)+(AM41-AK41)</f>
        <v/>
      </c>
      <c r="AN47" s="87">
        <f>(AN30-AM30)+(AN41-AM41)</f>
        <v/>
      </c>
      <c r="AO47" s="87">
        <f>(AO30-AN30)+(AO41-AN41)</f>
        <v/>
      </c>
      <c r="AP47" s="87">
        <f>SUM(AN47:AO47)</f>
        <v/>
      </c>
      <c r="AQ47" s="87">
        <f>(AQ30-AO30)+(AQ41-AO41)</f>
        <v/>
      </c>
      <c r="AR47" s="87">
        <f>(AR30-AQ30)+(AR41-AQ41)</f>
        <v/>
      </c>
      <c r="AS47" s="87">
        <f>(AS30-AR30)+(AS41-AR41)</f>
        <v/>
      </c>
      <c r="AT47" s="87">
        <f>SUM(AQ47:AS47)</f>
        <v/>
      </c>
      <c r="AU47" s="87">
        <f>(AU30-AS30)+(AU41-AS41)</f>
        <v/>
      </c>
      <c r="AV47" s="87">
        <f>(AV30-AU30)+(AV41-AU41)</f>
        <v/>
      </c>
      <c r="AW47" s="87">
        <f>(AW30-AV30)+(AW41-AV41)</f>
        <v/>
      </c>
      <c r="AX47" s="87">
        <f>SUM(AU47:AW47)</f>
        <v/>
      </c>
      <c r="AY47" s="87">
        <f>(AY30-AW30)+(AY41-AW41)</f>
        <v/>
      </c>
      <c r="AZ47" s="87">
        <f>(AZ30-AY30)+(AZ41-AY41)</f>
        <v/>
      </c>
      <c r="BA47" s="87">
        <f>(BA30-AZ30)+(BA41-AZ41)</f>
        <v/>
      </c>
      <c r="BB47" s="87">
        <f>SUM(AY47:BA47)</f>
        <v/>
      </c>
    </row>
    <row r="48">
      <c r="B48" s="88" t="inlineStr">
        <is>
          <t>Nearshore</t>
        </is>
      </c>
      <c r="C48" s="89" t="n"/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90" t="n"/>
      <c r="T48" s="90">
        <f>(T34-S34)+(T42-S42)</f>
        <v/>
      </c>
      <c r="U48" s="90">
        <f>(U34-T34)+(U42-T42)</f>
        <v/>
      </c>
      <c r="V48" s="90">
        <f>SUM(S48:U48)</f>
        <v/>
      </c>
      <c r="W48" s="90">
        <f>(W34-U34)+(W42-U42)</f>
        <v/>
      </c>
      <c r="X48" s="90">
        <f>(X34-W34)+(X42-W42)</f>
        <v/>
      </c>
      <c r="Y48" s="90">
        <f>(Y34-X34)+(Y42-X42)</f>
        <v/>
      </c>
      <c r="Z48" s="90">
        <f>SUM(W48:Y48)</f>
        <v/>
      </c>
      <c r="AA48" s="90">
        <f>(AA34-Y34)+(AA42-Y42)</f>
        <v/>
      </c>
      <c r="AB48" s="90">
        <f>(AB34-AA34)+(AB42-AA42)</f>
        <v/>
      </c>
      <c r="AC48" s="90">
        <f>(AC34-AB34)+(AC42-AB42)</f>
        <v/>
      </c>
      <c r="AD48" s="90">
        <f>SUM(AA48:AC48)</f>
        <v/>
      </c>
      <c r="AE48" s="90">
        <f>(AE34-AC34)+(AE42-AC42)</f>
        <v/>
      </c>
      <c r="AF48" s="90">
        <f>(AF34-AE34)+(AF42-AE42)</f>
        <v/>
      </c>
      <c r="AG48" s="90">
        <f>(AG34-AF34)+(AG42-AF42)</f>
        <v/>
      </c>
      <c r="AH48" s="90">
        <f>SUM(AE48:AG48)</f>
        <v/>
      </c>
      <c r="AI48" s="90">
        <f>(AI34-AG34)+(AI42-AG42)</f>
        <v/>
      </c>
      <c r="AJ48" s="90">
        <f>(AJ34-AI34)+(AJ42-AI42)</f>
        <v/>
      </c>
      <c r="AK48" s="90">
        <f>(AK34-AJ34)+(AK42-AJ42)</f>
        <v/>
      </c>
      <c r="AL48" s="90">
        <f>SUM(AI48:AK48)</f>
        <v/>
      </c>
      <c r="AM48" s="90">
        <f>(AM34-AK34)+(AM42-AK42)</f>
        <v/>
      </c>
      <c r="AN48" s="90">
        <f>(AN34-AM34)+(AN42-AM42)</f>
        <v/>
      </c>
      <c r="AO48" s="90">
        <f>(AO34-AN34)+(AO42-AN42)</f>
        <v/>
      </c>
      <c r="AP48" s="90">
        <f>SUM(AN48:AO48)</f>
        <v/>
      </c>
      <c r="AQ48" s="90">
        <f>(AQ34-AO34)+(AQ42-AO42)</f>
        <v/>
      </c>
      <c r="AR48" s="90">
        <f>(AR34-AQ34)+(AR42-AQ42)</f>
        <v/>
      </c>
      <c r="AS48" s="90">
        <f>(AS34-AR34)+(AS42-AR42)</f>
        <v/>
      </c>
      <c r="AT48" s="90">
        <f>SUM(AQ48:AS48)</f>
        <v/>
      </c>
      <c r="AU48" s="90">
        <f>(AU34-AS34)+(AU42-AS42)</f>
        <v/>
      </c>
      <c r="AV48" s="90">
        <f>(AV34-AU34)+(AV42-AU42)</f>
        <v/>
      </c>
      <c r="AW48" s="90">
        <f>(AW34-AV34)+(AW42-AV42)</f>
        <v/>
      </c>
      <c r="AX48" s="90">
        <f>SUM(AU48:AW48)</f>
        <v/>
      </c>
      <c r="AY48" s="90">
        <f>(AY34-AW34)+(AY42-AW42)</f>
        <v/>
      </c>
      <c r="AZ48" s="90">
        <f>(AZ34-AY34)+(AZ42-AY42)</f>
        <v/>
      </c>
      <c r="BA48" s="90">
        <f>(BA34-AZ34)+(BA42-AZ42)</f>
        <v/>
      </c>
      <c r="BB48" s="90">
        <f>SUM(AY48:BA48)</f>
        <v/>
      </c>
    </row>
    <row r="49"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  <c r="AA49" s="61" t="n"/>
      <c r="AB49" s="61" t="n"/>
      <c r="AC49" s="61" t="n"/>
      <c r="AD49" s="61" t="n"/>
      <c r="AE49" s="61" t="n"/>
      <c r="AF49" s="61" t="n"/>
      <c r="AG49" s="61" t="n"/>
      <c r="AH49" s="61" t="n"/>
      <c r="AI49" s="61" t="n"/>
      <c r="AJ49" s="61" t="n"/>
      <c r="AK49" s="61" t="n"/>
      <c r="AL49" s="61" t="n"/>
      <c r="AM49" s="61" t="n"/>
      <c r="AN49" s="61" t="n"/>
      <c r="AO49" s="61" t="n"/>
      <c r="AP49" s="61" t="n"/>
      <c r="AQ49" s="61" t="n"/>
      <c r="AR49" s="61" t="n"/>
      <c r="AS49" s="61" t="n"/>
      <c r="AT49" s="61" t="n"/>
      <c r="AU49" s="61" t="n"/>
      <c r="AV49" s="61" t="n"/>
      <c r="AW49" s="61" t="n"/>
      <c r="AX49" s="61" t="n"/>
      <c r="AY49" s="61" t="n"/>
      <c r="AZ49" s="61" t="n"/>
      <c r="BA49" s="61" t="n"/>
      <c r="BB49" s="61" t="n"/>
    </row>
    <row r="50">
      <c r="B50" s="91" t="inlineStr">
        <is>
          <t>Contractor Mix</t>
        </is>
      </c>
      <c r="C50" s="92" t="n"/>
      <c r="D50" s="92" t="n"/>
      <c r="E50" s="92" t="n"/>
      <c r="F50" s="92" t="n"/>
      <c r="G50" s="92" t="n"/>
      <c r="H50" s="92" t="n"/>
      <c r="I50" s="92" t="n"/>
      <c r="J50" s="92" t="n"/>
      <c r="K50" s="92" t="n"/>
      <c r="L50" s="92" t="n"/>
      <c r="M50" s="92" t="n"/>
      <c r="N50" s="92" t="n"/>
      <c r="O50" s="92" t="n"/>
      <c r="P50" s="92" t="n"/>
      <c r="Q50" s="92" t="n"/>
      <c r="R50" s="92" t="n"/>
      <c r="S50" s="93">
        <f>IFERROR(S39/S43,0)</f>
        <v/>
      </c>
      <c r="T50" s="93">
        <f>IFERROR(T39/T43,0)</f>
        <v/>
      </c>
      <c r="U50" s="93">
        <f>IFERROR(U39/U43,0)</f>
        <v/>
      </c>
      <c r="V50" s="93">
        <f>IFERROR(V39/V43,0)</f>
        <v/>
      </c>
      <c r="W50" s="93">
        <f>IFERROR(W39/W43,0)</f>
        <v/>
      </c>
      <c r="X50" s="93">
        <f>IFERROR(X39/X43,0)</f>
        <v/>
      </c>
      <c r="Y50" s="93">
        <f>IFERROR(Y39/Y43,0)</f>
        <v/>
      </c>
      <c r="Z50" s="93">
        <f>IFERROR(Z39/Z43,0)</f>
        <v/>
      </c>
      <c r="AA50" s="93">
        <f>IFERROR(AA39/AA43,0)</f>
        <v/>
      </c>
      <c r="AB50" s="93">
        <f>IFERROR(AB39/AB43,0)</f>
        <v/>
      </c>
      <c r="AC50" s="93">
        <f>IFERROR(AC39/AC43,0)</f>
        <v/>
      </c>
      <c r="AD50" s="93">
        <f>IFERROR(AD39/AD43,0)</f>
        <v/>
      </c>
      <c r="AE50" s="93">
        <f>IFERROR(AE39/AE43,0)</f>
        <v/>
      </c>
      <c r="AF50" s="93">
        <f>IFERROR(AF39/AF43,0)</f>
        <v/>
      </c>
      <c r="AG50" s="93">
        <f>IFERROR(AG39/AG43,0)</f>
        <v/>
      </c>
      <c r="AH50" s="93">
        <f>IFERROR(AH39/AH43,0)</f>
        <v/>
      </c>
      <c r="AI50" s="93">
        <f>IFERROR(AI39/AI43,0)</f>
        <v/>
      </c>
      <c r="AJ50" s="93">
        <f>IFERROR(AJ39/AJ43,0)</f>
        <v/>
      </c>
      <c r="AK50" s="93">
        <f>IFERROR(AK39/AK43,0)</f>
        <v/>
      </c>
      <c r="AL50" s="93">
        <f>IFERROR(AL39/AL43,0)</f>
        <v/>
      </c>
      <c r="AM50" s="93">
        <f>IFERROR(AM39/AM43,0)</f>
        <v/>
      </c>
      <c r="AN50" s="93">
        <f>IFERROR(AN39/AN43,0)</f>
        <v/>
      </c>
      <c r="AO50" s="93">
        <f>IFERROR(AO39/AO43,0)</f>
        <v/>
      </c>
      <c r="AP50" s="93">
        <f>IFERROR(AP39/AP43,0)</f>
        <v/>
      </c>
      <c r="AQ50" s="93">
        <f>IFERROR(AQ39/AQ43,0)</f>
        <v/>
      </c>
      <c r="AR50" s="93">
        <f>IFERROR(AR39/AR43,0)</f>
        <v/>
      </c>
      <c r="AS50" s="93">
        <f>IFERROR(AS39/AS43,0)</f>
        <v/>
      </c>
      <c r="AT50" s="93">
        <f>IFERROR(AT39/AT43,0)</f>
        <v/>
      </c>
      <c r="AU50" s="93">
        <f>IFERROR(AU39/AU43,0)</f>
        <v/>
      </c>
      <c r="AV50" s="93">
        <f>IFERROR(AV39/AV43,0)</f>
        <v/>
      </c>
      <c r="AW50" s="93">
        <f>IFERROR(AW39/AW43,0)</f>
        <v/>
      </c>
      <c r="AX50" s="93">
        <f>IFERROR(AX39/AX43,0)</f>
        <v/>
      </c>
      <c r="AY50" s="93">
        <f>IFERROR(AY39/AY43,0)</f>
        <v/>
      </c>
      <c r="AZ50" s="93">
        <f>IFERROR(AZ39/AZ43,0)</f>
        <v/>
      </c>
      <c r="BA50" s="93">
        <f>IFERROR(BA39/BA43,0)</f>
        <v/>
      </c>
      <c r="BB50" s="93">
        <f>IFERROR(BB39/BB43,0)</f>
        <v/>
      </c>
    </row>
    <row r="51">
      <c r="B51" s="94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8" t="n"/>
      <c r="AK51" s="68" t="n"/>
      <c r="AL51" s="68" t="n"/>
      <c r="AM51" s="68" t="n"/>
      <c r="AN51" s="68" t="n"/>
      <c r="AO51" s="68" t="n"/>
      <c r="AP51" s="68" t="n"/>
      <c r="AQ51" s="68" t="n"/>
      <c r="AR51" s="68" t="n"/>
      <c r="AS51" s="68" t="n"/>
      <c r="AT51" s="68" t="n"/>
      <c r="AU51" s="68" t="n"/>
      <c r="AV51" s="68" t="n"/>
      <c r="AW51" s="68" t="n"/>
      <c r="AX51" s="68" t="n"/>
      <c r="AY51" s="68" t="n"/>
      <c r="AZ51" s="68" t="n"/>
      <c r="BA51" s="68" t="n"/>
      <c r="BB51" s="68" t="n"/>
    </row>
    <row r="52">
      <c r="B52" s="91" t="inlineStr">
        <is>
          <t>Utilization</t>
        </is>
      </c>
      <c r="C52" s="95" t="n"/>
      <c r="D52" s="95" t="n"/>
      <c r="E52" s="95" t="n"/>
      <c r="F52" s="92" t="n"/>
      <c r="G52" s="95" t="n"/>
      <c r="H52" s="95" t="n"/>
      <c r="I52" s="95" t="n"/>
      <c r="J52" s="92" t="n"/>
      <c r="K52" s="95" t="n"/>
      <c r="L52" s="95" t="n"/>
      <c r="M52" s="95" t="n"/>
      <c r="N52" s="92" t="n"/>
      <c r="O52" s="95" t="n"/>
      <c r="P52" s="95" t="n"/>
      <c r="Q52" s="95" t="n"/>
      <c r="R52" s="92" t="n"/>
      <c r="S52" s="96" t="n">
        <v>0.7366666666666671</v>
      </c>
      <c r="T52" s="96" t="n">
        <v>0.7843531468531474</v>
      </c>
      <c r="U52" s="96" t="n">
        <v>0.7180069930069934</v>
      </c>
      <c r="V52" s="93">
        <f>IFERROR(AVERAGE(S52:U52),0)</f>
        <v/>
      </c>
      <c r="W52" s="96" t="n">
        <v>0.79489966555184</v>
      </c>
      <c r="X52" s="96" t="n">
        <v>0.7764913657770806</v>
      </c>
      <c r="Y52" s="96" t="n">
        <v>0.7464932126696836</v>
      </c>
      <c r="Z52" s="93">
        <f>IFERROR(AVERAGE(W52:Y52),0)</f>
        <v/>
      </c>
      <c r="AA52" s="96" t="n">
        <v>0.908823529411765</v>
      </c>
      <c r="AB52" s="96" t="n">
        <v>0.7341093117408907</v>
      </c>
      <c r="AC52" s="96" t="n">
        <v>0.729269882659713</v>
      </c>
      <c r="AD52" s="93">
        <f>IFERROR(AVERAGE(AA52:AC52),0)</f>
        <v/>
      </c>
      <c r="AE52" s="96" t="n">
        <v>0.7616346153846153</v>
      </c>
      <c r="AF52" s="96" t="n">
        <v>0.728411910669975</v>
      </c>
      <c r="AG52" s="96" t="n">
        <v>0.7458385876418662</v>
      </c>
      <c r="AH52" s="93">
        <f>IFERROR(AVERAGE(AE52:AG52),0)</f>
        <v/>
      </c>
      <c r="AI52" s="96" t="n">
        <v>0.7530594405594402</v>
      </c>
      <c r="AJ52" s="96" t="n">
        <v>0.7418197474167619</v>
      </c>
      <c r="AK52" s="96" t="n">
        <v>0.7394648829431434</v>
      </c>
      <c r="AL52" s="93">
        <f>IFERROR(AVERAGE(AI52:AK52),0)</f>
        <v/>
      </c>
      <c r="AM52" s="96" t="n">
        <v>0.8227564102564097</v>
      </c>
      <c r="AN52" s="96" t="n">
        <v>0.7083076923076917</v>
      </c>
      <c r="AO52" s="96" t="n">
        <v>0.7836303939962468</v>
      </c>
      <c r="AP52" s="93">
        <f>IFERROR(AVERAGE(AM52:AO52),0)</f>
        <v/>
      </c>
      <c r="AQ52" s="96" t="n">
        <v>0.8793269230769221</v>
      </c>
      <c r="AR52" s="96" t="n">
        <v>0.58</v>
      </c>
      <c r="AS52" s="96" t="n">
        <v>0.57</v>
      </c>
      <c r="AT52" s="93">
        <f>IFERROR(AVERAGE(AQ52:AS52),0)</f>
        <v/>
      </c>
      <c r="AU52" s="96" t="n">
        <v>0.711</v>
      </c>
      <c r="AV52" s="96" t="n">
        <v>0.7</v>
      </c>
      <c r="AW52" s="96" t="n">
        <v>0.71</v>
      </c>
      <c r="AX52" s="93">
        <f>IFERROR(AVERAGE(AU52:AW52),0)</f>
        <v/>
      </c>
      <c r="AY52" s="96" t="n">
        <v>0.7098</v>
      </c>
      <c r="AZ52" s="96" t="n">
        <v>0.67</v>
      </c>
      <c r="BA52" s="96" t="n">
        <v>0.7234941944847602</v>
      </c>
      <c r="BB52" s="93">
        <f>IFERROR(AVERAGE(AY52:BA52),0)</f>
        <v/>
      </c>
      <c r="BC52" s="1" t="inlineStr">
        <is>
          <t>Please Update</t>
        </is>
      </c>
    </row>
    <row r="53" ht="12.75" customHeight="1">
      <c r="B53" s="61" t="n"/>
      <c r="S53" s="60" t="n"/>
    </row>
    <row r="54" customFormat="1" s="61">
      <c r="B54" s="45" t="inlineStr">
        <is>
          <t>Unbilled AR</t>
        </is>
      </c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8">
        <f>S55+S60</f>
        <v/>
      </c>
      <c r="T54" s="98">
        <f>T55+T60</f>
        <v/>
      </c>
      <c r="U54" s="98">
        <f>U55+U60</f>
        <v/>
      </c>
      <c r="V54" s="98">
        <f>U54</f>
        <v/>
      </c>
      <c r="W54" s="98">
        <f>W55+W60</f>
        <v/>
      </c>
      <c r="X54" s="98">
        <f>X55+X60</f>
        <v/>
      </c>
      <c r="Y54" s="98">
        <f>Y55+Y60</f>
        <v/>
      </c>
      <c r="Z54" s="98">
        <f>Y54</f>
        <v/>
      </c>
      <c r="AA54" s="98">
        <f>AA55+AA60</f>
        <v/>
      </c>
      <c r="AB54" s="98">
        <f>AB55+AB60</f>
        <v/>
      </c>
      <c r="AC54" s="98">
        <f>AC55+AC60</f>
        <v/>
      </c>
      <c r="AD54" s="98">
        <f>AC54</f>
        <v/>
      </c>
      <c r="AE54" s="98">
        <f>AE55+AE60</f>
        <v/>
      </c>
      <c r="AF54" s="98">
        <f>AF55+AF60</f>
        <v/>
      </c>
      <c r="AG54" s="98">
        <f>AG55+AG60</f>
        <v/>
      </c>
      <c r="AH54" s="98">
        <f>AG54</f>
        <v/>
      </c>
      <c r="AI54" s="98">
        <f>AI55+AI60</f>
        <v/>
      </c>
      <c r="AJ54" s="98">
        <f>AJ55+AJ60</f>
        <v/>
      </c>
      <c r="AK54" s="98">
        <f>AK55+AK60</f>
        <v/>
      </c>
      <c r="AL54" s="98">
        <f>AK54</f>
        <v/>
      </c>
      <c r="AM54" s="98">
        <f>AM55+AM60</f>
        <v/>
      </c>
      <c r="AN54" s="98">
        <f>AN55+AN60</f>
        <v/>
      </c>
      <c r="AO54" s="98">
        <f>AO55+AO60</f>
        <v/>
      </c>
      <c r="AP54" s="98">
        <f>AO54</f>
        <v/>
      </c>
      <c r="AQ54" s="98">
        <f>AQ55+AQ60</f>
        <v/>
      </c>
      <c r="AR54" s="98">
        <f>AR55+AR60</f>
        <v/>
      </c>
      <c r="AS54" s="98">
        <f>AS55+AS60</f>
        <v/>
      </c>
      <c r="AT54" s="98">
        <f>AS54</f>
        <v/>
      </c>
      <c r="AU54" s="98">
        <f>AU55+AU60</f>
        <v/>
      </c>
      <c r="AV54" s="98">
        <f>AV55+AV60</f>
        <v/>
      </c>
      <c r="AW54" s="98">
        <f>AW55+AW60</f>
        <v/>
      </c>
      <c r="AX54" s="98">
        <f>AW54</f>
        <v/>
      </c>
      <c r="AY54" s="98">
        <f>AY55+AY60</f>
        <v/>
      </c>
      <c r="AZ54" s="98">
        <f>AZ55+AZ60</f>
        <v/>
      </c>
      <c r="BA54" s="98">
        <f>BA55+BA60</f>
        <v/>
      </c>
      <c r="BB54" s="98">
        <f>IFERROR(AVERAGE(AY54:BA54),0)</f>
        <v/>
      </c>
      <c r="BC54" s="1" t="inlineStr">
        <is>
          <t>Please Update</t>
        </is>
      </c>
    </row>
    <row r="55" customFormat="1" s="61">
      <c r="B55" s="75" t="inlineStr">
        <is>
          <t>T &amp; M</t>
        </is>
      </c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100">
        <f>SUM(S56:S59)</f>
        <v/>
      </c>
      <c r="T55" s="100">
        <f>SUM(T56:T59)</f>
        <v/>
      </c>
      <c r="U55" s="100">
        <f>SUM(U56:U59)</f>
        <v/>
      </c>
      <c r="V55" s="100">
        <f>U55</f>
        <v/>
      </c>
      <c r="W55" s="100">
        <f>SUM(W56:W59)</f>
        <v/>
      </c>
      <c r="X55" s="100">
        <f>SUM(X56:X59)</f>
        <v/>
      </c>
      <c r="Y55" s="100">
        <f>SUM(Y56:Y59)</f>
        <v/>
      </c>
      <c r="Z55" s="100">
        <f>Y55</f>
        <v/>
      </c>
      <c r="AA55" s="100">
        <f>SUM(AA56:AA59)</f>
        <v/>
      </c>
      <c r="AB55" s="100">
        <f>SUM(AB56:AB59)</f>
        <v/>
      </c>
      <c r="AC55" s="100">
        <f>SUM(AC56:AC59)</f>
        <v/>
      </c>
      <c r="AD55" s="100">
        <f>AC55</f>
        <v/>
      </c>
      <c r="AE55" s="100">
        <f>SUM(AE56:AE59)</f>
        <v/>
      </c>
      <c r="AF55" s="100">
        <f>SUM(AF56:AF59)</f>
        <v/>
      </c>
      <c r="AG55" s="100">
        <f>SUM(AG56:AG59)</f>
        <v/>
      </c>
      <c r="AH55" s="100">
        <f>AG55</f>
        <v/>
      </c>
      <c r="AI55" s="100">
        <f>SUM(AI56:AI59)</f>
        <v/>
      </c>
      <c r="AJ55" s="100">
        <f>SUM(AJ56:AJ59)</f>
        <v/>
      </c>
      <c r="AK55" s="100">
        <f>SUM(AK56:AK59)</f>
        <v/>
      </c>
      <c r="AL55" s="100">
        <f>AK55</f>
        <v/>
      </c>
      <c r="AM55" s="100">
        <f>SUM(AM56:AM59)</f>
        <v/>
      </c>
      <c r="AN55" s="100">
        <f>SUM(AN56:AN59)</f>
        <v/>
      </c>
      <c r="AO55" s="100">
        <f>SUM(AO56:AO59)</f>
        <v/>
      </c>
      <c r="AP55" s="100">
        <f>AO55</f>
        <v/>
      </c>
      <c r="AQ55" s="100">
        <f>SUM(AQ56:AQ59)</f>
        <v/>
      </c>
      <c r="AR55" s="100">
        <f>SUM(AR56:AR59)</f>
        <v/>
      </c>
      <c r="AS55" s="100">
        <f>SUM(AS56:AS59)</f>
        <v/>
      </c>
      <c r="AT55" s="100">
        <f>AS55</f>
        <v/>
      </c>
      <c r="AU55" s="100">
        <f>SUM(AU56:AU59)</f>
        <v/>
      </c>
      <c r="AV55" s="100">
        <f>SUM(AV56:AV59)</f>
        <v/>
      </c>
      <c r="AW55" s="100">
        <f>SUM(AW56:AW59)</f>
        <v/>
      </c>
      <c r="AX55" s="100">
        <f>AW55</f>
        <v/>
      </c>
      <c r="AY55" s="100">
        <f>SUM(AY56:AY59)</f>
        <v/>
      </c>
      <c r="AZ55" s="100">
        <f>SUM(AZ56:AZ59)</f>
        <v/>
      </c>
      <c r="BA55" s="100">
        <f>SUM(BA56:BA59)</f>
        <v/>
      </c>
      <c r="BB55" s="100">
        <f>IFERROR(AVERAGE(AY55:BA55),0)</f>
        <v/>
      </c>
    </row>
    <row r="56">
      <c r="B56" s="25" t="inlineStr">
        <is>
          <t>0-60</t>
        </is>
      </c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66">
        <f>95261.6434142463/(10^6)</f>
        <v/>
      </c>
      <c r="T56" s="101">
        <f>124770.164489685/(10^6)</f>
        <v/>
      </c>
      <c r="U56" s="125">
        <f>26209.527825523/(10^6)</f>
        <v/>
      </c>
      <c r="V56" s="66">
        <f>U56</f>
        <v/>
      </c>
      <c r="W56" s="66">
        <f>29914.5935998004/(10^6)</f>
        <v/>
      </c>
      <c r="X56" s="66">
        <f>54719.4889341069/(10^6)</f>
        <v/>
      </c>
      <c r="Y56" s="66">
        <f>63385.3715130201/(10^6)</f>
        <v/>
      </c>
      <c r="Z56" s="66">
        <f>Y56</f>
        <v/>
      </c>
      <c r="AA56" s="66">
        <f>97139.0584146342/(10^6)</f>
        <v/>
      </c>
      <c r="AB56" s="66">
        <f>51315.5157635137/(10^6)</f>
        <v/>
      </c>
      <c r="AC56" s="66">
        <f>60441.4814874059/(10^6)</f>
        <v/>
      </c>
      <c r="AD56" s="66">
        <f>AC56</f>
        <v/>
      </c>
      <c r="AE56" s="66">
        <f>30660.9488408645/(10^6)</f>
        <v/>
      </c>
      <c r="AF56" s="66">
        <f>29494.8624652626/(10^6)</f>
        <v/>
      </c>
      <c r="AG56" s="66">
        <f>38447.9819344007/(10^6)</f>
        <v/>
      </c>
      <c r="AH56" s="66">
        <f>AG56</f>
        <v/>
      </c>
      <c r="AI56" s="66">
        <f>122423.083879261/(10^6)</f>
        <v/>
      </c>
      <c r="AJ56" s="66">
        <f>99482.0078672183/(10^6)</f>
        <v/>
      </c>
      <c r="AK56" s="66">
        <f>74438.8196689936/(10^6)</f>
        <v/>
      </c>
      <c r="AL56" s="66">
        <f>AK56</f>
        <v/>
      </c>
      <c r="AM56" s="66">
        <f>110731.068421331/(10^6)</f>
        <v/>
      </c>
      <c r="AN56" s="66">
        <f>186265.947436611/(10^6)</f>
        <v/>
      </c>
      <c r="AO56" s="66">
        <f>161211.942892158/(10^6)</f>
        <v/>
      </c>
      <c r="AP56" s="66">
        <f>AO56</f>
        <v/>
      </c>
      <c r="AQ56" s="66">
        <f>154013.858227397/(10^6)</f>
        <v/>
      </c>
      <c r="AR56" s="66" t="n">
        <v>0</v>
      </c>
      <c r="AS56" s="66" t="n">
        <v>0.2</v>
      </c>
      <c r="AT56" s="66">
        <f>AS56</f>
        <v/>
      </c>
      <c r="AU56" s="66" t="n">
        <v>0.16461715</v>
      </c>
      <c r="AV56" s="66" t="n">
        <v>0.18924168</v>
      </c>
      <c r="AW56" s="66" t="n">
        <v>0.11829857</v>
      </c>
      <c r="AX56" s="66">
        <f>AW56</f>
        <v/>
      </c>
      <c r="AY56" s="66" t="n">
        <v>0.16443</v>
      </c>
      <c r="AZ56" s="66" t="n">
        <v>0.7</v>
      </c>
      <c r="BA56" s="66" t="n">
        <v>0.09787469120950872</v>
      </c>
      <c r="BB56" s="66">
        <f>IFERROR(AVERAGE(AY56:BA56),0)</f>
        <v/>
      </c>
    </row>
    <row r="57">
      <c r="B57" s="25" t="inlineStr">
        <is>
          <t>61-90</t>
        </is>
      </c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66" t="n"/>
      <c r="T57" s="66" t="n"/>
      <c r="U57" s="66" t="n"/>
      <c r="V57" s="66">
        <f>U57</f>
        <v/>
      </c>
      <c r="W57" s="66" t="n"/>
      <c r="X57" s="66" t="n"/>
      <c r="Y57" s="66" t="n"/>
      <c r="Z57" s="66">
        <f>Y57</f>
        <v/>
      </c>
      <c r="AA57" s="66" t="n"/>
      <c r="AB57" s="66" t="n"/>
      <c r="AC57" s="66" t="n"/>
      <c r="AD57" s="66">
        <f>AC57</f>
        <v/>
      </c>
      <c r="AE57" s="66" t="n"/>
      <c r="AF57" s="66" t="n"/>
      <c r="AG57" s="66" t="n"/>
      <c r="AH57" s="66">
        <f>AG57</f>
        <v/>
      </c>
      <c r="AI57" s="66" t="n"/>
      <c r="AJ57" s="66" t="n"/>
      <c r="AK57" s="66" t="n"/>
      <c r="AL57" s="66">
        <f>AK57</f>
        <v/>
      </c>
      <c r="AM57" s="66" t="n"/>
      <c r="AN57" s="66" t="n"/>
      <c r="AO57" s="66" t="n"/>
      <c r="AP57" s="66">
        <f>AO57</f>
        <v/>
      </c>
      <c r="AQ57" s="66" t="n">
        <v>0</v>
      </c>
      <c r="AR57" s="66" t="n">
        <v>0</v>
      </c>
      <c r="AS57" s="66" t="n">
        <v>0</v>
      </c>
      <c r="AT57" s="66">
        <f>AS57</f>
        <v/>
      </c>
      <c r="AU57" s="66" t="n">
        <v>0</v>
      </c>
      <c r="AV57" s="66" t="n">
        <v>0</v>
      </c>
      <c r="AW57" s="66" t="n">
        <v>0</v>
      </c>
      <c r="AX57" s="66">
        <f>AW57</f>
        <v/>
      </c>
      <c r="AY57" s="66" t="n">
        <v>0</v>
      </c>
      <c r="AZ57" s="66" t="n">
        <v>0</v>
      </c>
      <c r="BA57" s="66" t="n">
        <v>0</v>
      </c>
      <c r="BB57" s="66">
        <f>IFERROR(AVERAGE(AY57:BA57),0)</f>
        <v/>
      </c>
    </row>
    <row r="58">
      <c r="B58" s="25" t="inlineStr">
        <is>
          <t>91-180</t>
        </is>
      </c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66" t="n"/>
      <c r="T58" s="66" t="n"/>
      <c r="U58" s="66" t="n"/>
      <c r="V58" s="66">
        <f>U58</f>
        <v/>
      </c>
      <c r="W58" s="66" t="n"/>
      <c r="X58" s="66" t="n"/>
      <c r="Y58" s="66" t="n"/>
      <c r="Z58" s="66">
        <f>Y58</f>
        <v/>
      </c>
      <c r="AA58" s="66" t="n"/>
      <c r="AB58" s="66" t="n"/>
      <c r="AC58" s="66" t="n"/>
      <c r="AD58" s="66">
        <f>AC58</f>
        <v/>
      </c>
      <c r="AE58" s="66" t="n"/>
      <c r="AF58" s="66" t="n"/>
      <c r="AG58" s="66" t="n"/>
      <c r="AH58" s="66">
        <f>AG58</f>
        <v/>
      </c>
      <c r="AI58" s="66" t="n"/>
      <c r="AJ58" s="66" t="n"/>
      <c r="AK58" s="66" t="n"/>
      <c r="AL58" s="66">
        <f>AK58</f>
        <v/>
      </c>
      <c r="AM58" s="66" t="n"/>
      <c r="AN58" s="66" t="n"/>
      <c r="AO58" s="66" t="n"/>
      <c r="AP58" s="66">
        <f>AO58</f>
        <v/>
      </c>
      <c r="AQ58" s="66" t="n">
        <v>0</v>
      </c>
      <c r="AR58" s="66" t="n">
        <v>0</v>
      </c>
      <c r="AS58" s="66" t="n">
        <v>0</v>
      </c>
      <c r="AT58" s="66">
        <f>AS58</f>
        <v/>
      </c>
      <c r="AU58" s="66" t="n">
        <v>0</v>
      </c>
      <c r="AV58" s="66" t="n">
        <v>0</v>
      </c>
      <c r="AW58" s="66" t="n">
        <v>0</v>
      </c>
      <c r="AX58" s="66">
        <f>AW58</f>
        <v/>
      </c>
      <c r="AY58" s="66" t="n">
        <v>0</v>
      </c>
      <c r="AZ58" s="66" t="n">
        <v>0</v>
      </c>
      <c r="BA58" s="66" t="n">
        <v>0</v>
      </c>
      <c r="BB58" s="66">
        <f>IFERROR(AVERAGE(AY58:BA58),0)</f>
        <v/>
      </c>
    </row>
    <row r="59">
      <c r="B59" s="25" t="inlineStr">
        <is>
          <t>&gt;181</t>
        </is>
      </c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66" t="n"/>
      <c r="T59" s="66" t="n"/>
      <c r="U59" s="66" t="n"/>
      <c r="V59" s="66">
        <f>U59</f>
        <v/>
      </c>
      <c r="W59" s="66" t="n"/>
      <c r="X59" s="66" t="n"/>
      <c r="Y59" s="66" t="n"/>
      <c r="Z59" s="66">
        <f>Y59</f>
        <v/>
      </c>
      <c r="AA59" s="66" t="n"/>
      <c r="AB59" s="66" t="n"/>
      <c r="AC59" s="66" t="n"/>
      <c r="AD59" s="66">
        <f>AC59</f>
        <v/>
      </c>
      <c r="AE59" s="66" t="n"/>
      <c r="AF59" s="66" t="n"/>
      <c r="AG59" s="66" t="n"/>
      <c r="AH59" s="66">
        <f>AG59</f>
        <v/>
      </c>
      <c r="AI59" s="66" t="n"/>
      <c r="AJ59" s="66" t="n"/>
      <c r="AK59" s="66" t="n"/>
      <c r="AL59" s="66">
        <f>AK59</f>
        <v/>
      </c>
      <c r="AM59" s="66" t="n"/>
      <c r="AN59" s="66" t="n"/>
      <c r="AO59" s="66" t="n"/>
      <c r="AP59" s="66">
        <f>AO59</f>
        <v/>
      </c>
      <c r="AQ59" s="66" t="n">
        <v>0</v>
      </c>
      <c r="AR59" s="66" t="n">
        <v>0</v>
      </c>
      <c r="AS59" s="66" t="n">
        <v>0</v>
      </c>
      <c r="AT59" s="66">
        <f>AS59</f>
        <v/>
      </c>
      <c r="AU59" s="66" t="n">
        <v>0</v>
      </c>
      <c r="AV59" s="66" t="n">
        <v>0</v>
      </c>
      <c r="AW59" s="66" t="n">
        <v>0</v>
      </c>
      <c r="AX59" s="66">
        <f>AW59</f>
        <v/>
      </c>
      <c r="AY59" s="66" t="n">
        <v>0</v>
      </c>
      <c r="AZ59" s="66" t="n">
        <v>0</v>
      </c>
      <c r="BA59" s="66" t="n">
        <v>0</v>
      </c>
      <c r="BB59" s="66">
        <f>IFERROR(AVERAGE(AY59:BA59),0)</f>
        <v/>
      </c>
    </row>
    <row r="60" customFormat="1" s="61">
      <c r="B60" s="75" t="inlineStr">
        <is>
          <t>Fixed Price</t>
        </is>
      </c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100">
        <f>SUM(S61:S64)</f>
        <v/>
      </c>
      <c r="T60" s="100">
        <f>SUM(T61:T64)</f>
        <v/>
      </c>
      <c r="U60" s="100">
        <f>SUM(U61:U64)</f>
        <v/>
      </c>
      <c r="V60" s="100">
        <f>U60</f>
        <v/>
      </c>
      <c r="W60" s="100">
        <f>SUM(W61:W64)</f>
        <v/>
      </c>
      <c r="X60" s="100">
        <f>SUM(X61:X64)</f>
        <v/>
      </c>
      <c r="Y60" s="100">
        <f>SUM(Y61:Y64)</f>
        <v/>
      </c>
      <c r="Z60" s="100">
        <f>Y60</f>
        <v/>
      </c>
      <c r="AA60" s="100">
        <f>SUM(AA61:AA64)</f>
        <v/>
      </c>
      <c r="AB60" s="100">
        <f>SUM(AB61:AB64)</f>
        <v/>
      </c>
      <c r="AC60" s="100">
        <f>SUM(AC61:AC64)</f>
        <v/>
      </c>
      <c r="AD60" s="100">
        <f>AC60</f>
        <v/>
      </c>
      <c r="AE60" s="100">
        <f>SUM(AE61:AE64)</f>
        <v/>
      </c>
      <c r="AF60" s="100">
        <f>SUM(AF61:AF64)</f>
        <v/>
      </c>
      <c r="AG60" s="100">
        <f>SUM(AG61:AG64)</f>
        <v/>
      </c>
      <c r="AH60" s="100">
        <f>AG60</f>
        <v/>
      </c>
      <c r="AI60" s="100">
        <f>SUM(AI61:AI64)</f>
        <v/>
      </c>
      <c r="AJ60" s="100">
        <f>SUM(AJ61:AJ64)</f>
        <v/>
      </c>
      <c r="AK60" s="100">
        <f>SUM(AK61:AK64)</f>
        <v/>
      </c>
      <c r="AL60" s="100">
        <f>AK60</f>
        <v/>
      </c>
      <c r="AM60" s="100">
        <f>SUM(AM61:AM64)</f>
        <v/>
      </c>
      <c r="AN60" s="100">
        <f>SUM(AN61:AN64)</f>
        <v/>
      </c>
      <c r="AO60" s="100">
        <f>SUM(AO61:AO64)</f>
        <v/>
      </c>
      <c r="AP60" s="100">
        <f>AO60</f>
        <v/>
      </c>
      <c r="AQ60" s="100">
        <f>SUM(AQ61:AQ64)</f>
        <v/>
      </c>
      <c r="AR60" s="100">
        <f>SUM(AR61:AR64)</f>
        <v/>
      </c>
      <c r="AS60" s="100">
        <f>SUM(AS61:AS64)</f>
        <v/>
      </c>
      <c r="AT60" s="100">
        <f>AS60</f>
        <v/>
      </c>
      <c r="AU60" s="100">
        <f>SUM(AU61:AU64)</f>
        <v/>
      </c>
      <c r="AV60" s="100">
        <f>SUM(AV61:AV64)</f>
        <v/>
      </c>
      <c r="AW60" s="100">
        <f>SUM(AW61:AW64)</f>
        <v/>
      </c>
      <c r="AX60" s="100">
        <f>AW60</f>
        <v/>
      </c>
      <c r="AY60" s="100">
        <f>SUM(AY61:AY64)</f>
        <v/>
      </c>
      <c r="AZ60" s="100">
        <f>SUM(AZ61:AZ64)</f>
        <v/>
      </c>
      <c r="BA60" s="100">
        <f>SUM(BA61:BA64)</f>
        <v/>
      </c>
      <c r="BB60" s="100">
        <f>IFERROR(AVERAGE(AY60:BA60),0)</f>
        <v/>
      </c>
    </row>
    <row r="61">
      <c r="B61" s="25" t="inlineStr">
        <is>
          <t>0-60</t>
        </is>
      </c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66">
        <f>229806.283878698/(10^6)</f>
        <v/>
      </c>
      <c r="T61" s="66">
        <f>261295.844865492/(10^6)</f>
        <v/>
      </c>
      <c r="U61" s="66">
        <f>188642.050993779/(10^6)</f>
        <v/>
      </c>
      <c r="V61" s="66">
        <f>U61</f>
        <v/>
      </c>
      <c r="W61" s="66">
        <f>281244.428894143/(10^6)</f>
        <v/>
      </c>
      <c r="X61" s="66">
        <f>279047.344227012/(10^6)</f>
        <v/>
      </c>
      <c r="Y61" s="66">
        <f>477307.950650546/(10^6)</f>
        <v/>
      </c>
      <c r="Z61" s="66">
        <f>Y61</f>
        <v/>
      </c>
      <c r="AA61" s="66">
        <f>559564.016456077/(10^6)</f>
        <v/>
      </c>
      <c r="AB61" s="66">
        <f>338069.34477287/(10^6)</f>
        <v/>
      </c>
      <c r="AC61" s="66">
        <f>526796.317896715/(10^6)</f>
        <v/>
      </c>
      <c r="AD61" s="66">
        <f>AC61</f>
        <v/>
      </c>
      <c r="AE61" s="66">
        <f>658482.724177678/(10^6)</f>
        <v/>
      </c>
      <c r="AF61" s="66">
        <f>418561.159822918/(10^6)</f>
        <v/>
      </c>
      <c r="AG61" s="66">
        <f>609705.874765879/(10^6)</f>
        <v/>
      </c>
      <c r="AH61" s="66">
        <f>AG61</f>
        <v/>
      </c>
      <c r="AI61" s="66">
        <f>719271.26626816/(10^6)</f>
        <v/>
      </c>
      <c r="AJ61" s="66">
        <f>862958.115692216/(10^6)</f>
        <v/>
      </c>
      <c r="AK61" s="66">
        <f>883796.955164389/(10^6)</f>
        <v/>
      </c>
      <c r="AL61" s="66">
        <f>AK61</f>
        <v/>
      </c>
      <c r="AM61" s="66">
        <f>1410657.84468988/(10^6)</f>
        <v/>
      </c>
      <c r="AN61" s="66">
        <f>1345043.47322454/(10^6)</f>
        <v/>
      </c>
      <c r="AO61" s="66">
        <f>1685296.07984444/(10^6)</f>
        <v/>
      </c>
      <c r="AP61" s="66">
        <f>AO61</f>
        <v/>
      </c>
      <c r="AQ61" s="66">
        <f>2156627.33204023/(10^6)</f>
        <v/>
      </c>
      <c r="AR61" s="66" t="n">
        <v>1.77180741</v>
      </c>
      <c r="AS61" s="66" t="n">
        <v>1.7</v>
      </c>
      <c r="AT61" s="66">
        <f>AS61</f>
        <v/>
      </c>
      <c r="AU61" s="66" t="n">
        <v>1.68657863</v>
      </c>
      <c r="AV61" s="66" t="n">
        <v>1.6</v>
      </c>
      <c r="AW61" s="66" t="n">
        <v>1.35031166</v>
      </c>
      <c r="AX61" s="66">
        <f>AW61</f>
        <v/>
      </c>
      <c r="AY61" s="66" t="n">
        <v>2.10906432</v>
      </c>
      <c r="AZ61" s="66" t="n">
        <v>1.5</v>
      </c>
      <c r="BA61" s="66" t="n">
        <v>3.742523464228783</v>
      </c>
      <c r="BB61" s="66">
        <f>IFERROR(AVERAGE(AY61:BA61),0)</f>
        <v/>
      </c>
    </row>
    <row r="62">
      <c r="B62" s="25" t="inlineStr">
        <is>
          <t>61-90</t>
        </is>
      </c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66" t="n"/>
      <c r="T62" s="66" t="n"/>
      <c r="U62" s="66" t="n"/>
      <c r="V62" s="66">
        <f>U62</f>
        <v/>
      </c>
      <c r="W62" s="66" t="n"/>
      <c r="X62" s="66" t="n"/>
      <c r="Y62" s="66" t="n"/>
      <c r="Z62" s="66">
        <f>Y62</f>
        <v/>
      </c>
      <c r="AA62" s="66" t="n"/>
      <c r="AB62" s="66" t="n"/>
      <c r="AC62" s="66" t="n"/>
      <c r="AD62" s="66">
        <f>AC62</f>
        <v/>
      </c>
      <c r="AE62" s="66" t="n"/>
      <c r="AF62" s="66" t="n"/>
      <c r="AG62" s="66" t="n"/>
      <c r="AH62" s="66">
        <f>AG62</f>
        <v/>
      </c>
      <c r="AI62" s="66" t="n"/>
      <c r="AJ62" s="66" t="n"/>
      <c r="AK62" s="66" t="n"/>
      <c r="AL62" s="66">
        <f>AK62</f>
        <v/>
      </c>
      <c r="AM62" s="66" t="n"/>
      <c r="AN62" s="66" t="n"/>
      <c r="AO62" s="66" t="n"/>
      <c r="AP62" s="66">
        <f>AO62</f>
        <v/>
      </c>
      <c r="AQ62" s="66" t="n">
        <v>0</v>
      </c>
      <c r="AR62" s="66" t="n">
        <v>0</v>
      </c>
      <c r="AS62" s="66" t="n">
        <v>0</v>
      </c>
      <c r="AT62" s="66">
        <f>AS62</f>
        <v/>
      </c>
      <c r="AU62" s="66" t="n">
        <v>0</v>
      </c>
      <c r="AV62" s="66" t="n">
        <v>0</v>
      </c>
      <c r="AW62" s="66" t="n">
        <v>0</v>
      </c>
      <c r="AX62" s="66">
        <f>AW62</f>
        <v/>
      </c>
      <c r="AY62" s="66" t="n">
        <v>0</v>
      </c>
      <c r="AZ62" s="66" t="n">
        <v>0</v>
      </c>
      <c r="BA62" s="66" t="n">
        <v>0</v>
      </c>
      <c r="BB62" s="66">
        <f>IFERROR(AVERAGE(AY62:BA62),0)</f>
        <v/>
      </c>
    </row>
    <row r="63">
      <c r="B63" s="25" t="inlineStr">
        <is>
          <t>91-180</t>
        </is>
      </c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66" t="n"/>
      <c r="T63" s="66" t="n"/>
      <c r="U63" s="66" t="n"/>
      <c r="V63" s="66">
        <f>U63</f>
        <v/>
      </c>
      <c r="W63" s="66" t="n"/>
      <c r="X63" s="66" t="n"/>
      <c r="Y63" s="66" t="n"/>
      <c r="Z63" s="66">
        <f>Y63</f>
        <v/>
      </c>
      <c r="AA63" s="66" t="n"/>
      <c r="AB63" s="66" t="n"/>
      <c r="AC63" s="66" t="n"/>
      <c r="AD63" s="66">
        <f>AC63</f>
        <v/>
      </c>
      <c r="AE63" s="66" t="n"/>
      <c r="AF63" s="66" t="n"/>
      <c r="AG63" s="66" t="n"/>
      <c r="AH63" s="66">
        <f>AG63</f>
        <v/>
      </c>
      <c r="AI63" s="66" t="n"/>
      <c r="AJ63" s="66" t="n"/>
      <c r="AK63" s="66" t="n"/>
      <c r="AL63" s="66">
        <f>AK63</f>
        <v/>
      </c>
      <c r="AM63" s="66" t="n"/>
      <c r="AN63" s="66" t="n"/>
      <c r="AO63" s="66" t="n"/>
      <c r="AP63" s="66">
        <f>AO63</f>
        <v/>
      </c>
      <c r="AQ63" s="66" t="n">
        <v>0</v>
      </c>
      <c r="AR63" s="66" t="n">
        <v>0</v>
      </c>
      <c r="AS63" s="66" t="n">
        <v>0</v>
      </c>
      <c r="AT63" s="66">
        <f>AS63</f>
        <v/>
      </c>
      <c r="AU63" s="66" t="n">
        <v>0</v>
      </c>
      <c r="AV63" s="66" t="n">
        <v>0</v>
      </c>
      <c r="AW63" s="66" t="n">
        <v>0</v>
      </c>
      <c r="AX63" s="66">
        <f>AW63</f>
        <v/>
      </c>
      <c r="AY63" s="66" t="n">
        <v>0</v>
      </c>
      <c r="AZ63" s="66" t="n">
        <v>0</v>
      </c>
      <c r="BA63" s="66" t="n">
        <v>0</v>
      </c>
      <c r="BB63" s="66">
        <f>IFERROR(AVERAGE(AY63:BA63),0)</f>
        <v/>
      </c>
    </row>
    <row r="64">
      <c r="B64" s="36" t="inlineStr">
        <is>
          <t>&gt;181</t>
        </is>
      </c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67" t="n"/>
      <c r="T64" s="67" t="n"/>
      <c r="U64" s="67" t="n"/>
      <c r="V64" s="67">
        <f>U64</f>
        <v/>
      </c>
      <c r="W64" s="67" t="n"/>
      <c r="X64" s="67" t="n"/>
      <c r="Y64" s="67" t="n"/>
      <c r="Z64" s="67">
        <f>Y64</f>
        <v/>
      </c>
      <c r="AA64" s="67" t="n"/>
      <c r="AB64" s="67" t="n"/>
      <c r="AC64" s="67" t="n"/>
      <c r="AD64" s="67">
        <f>AC64</f>
        <v/>
      </c>
      <c r="AE64" s="67" t="n"/>
      <c r="AF64" s="67" t="n"/>
      <c r="AG64" s="67" t="n"/>
      <c r="AH64" s="67">
        <f>AG64</f>
        <v/>
      </c>
      <c r="AI64" s="67" t="n"/>
      <c r="AJ64" s="67" t="n"/>
      <c r="AK64" s="67" t="n"/>
      <c r="AL64" s="67">
        <f>AK64</f>
        <v/>
      </c>
      <c r="AM64" s="67" t="n"/>
      <c r="AN64" s="67" t="n"/>
      <c r="AO64" s="67" t="n"/>
      <c r="AP64" s="67">
        <f>AO64</f>
        <v/>
      </c>
      <c r="AQ64" s="67" t="n">
        <v>0</v>
      </c>
      <c r="AR64" s="67" t="n">
        <v>0</v>
      </c>
      <c r="AS64" s="67" t="n">
        <v>0</v>
      </c>
      <c r="AT64" s="67">
        <f>AS64</f>
        <v/>
      </c>
      <c r="AU64" s="67" t="n">
        <v>0</v>
      </c>
      <c r="AV64" s="67" t="n">
        <v>0</v>
      </c>
      <c r="AW64" s="67" t="n">
        <v>0</v>
      </c>
      <c r="AX64" s="67">
        <f>AW64</f>
        <v/>
      </c>
      <c r="AY64" s="67" t="n">
        <v>0</v>
      </c>
      <c r="AZ64" s="67" t="n">
        <v>0</v>
      </c>
      <c r="BA64" s="67" t="n">
        <v>0</v>
      </c>
      <c r="BB64" s="67">
        <f>IFERROR(AVERAGE(AY64:BA64),0)</f>
        <v/>
      </c>
    </row>
    <row r="65" ht="8.25" customHeight="1">
      <c r="B65" s="102" t="n"/>
    </row>
    <row r="66" customFormat="1" s="61">
      <c r="B66" s="91" t="inlineStr">
        <is>
          <t>Overdue AR</t>
        </is>
      </c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92" t="n"/>
      <c r="M66" s="92" t="n"/>
      <c r="N66" s="92" t="n"/>
      <c r="O66" s="92" t="n"/>
      <c r="P66" s="92" t="n"/>
      <c r="Q66" s="92" t="n"/>
      <c r="R66" s="92" t="n"/>
      <c r="S66" s="93" t="n">
        <v>0.4345534641679196</v>
      </c>
      <c r="T66" s="93" t="n">
        <v>0.1918360405885763</v>
      </c>
      <c r="U66" s="93" t="n">
        <v>0.2246250710266447</v>
      </c>
      <c r="V66" s="93">
        <f>U66</f>
        <v/>
      </c>
      <c r="W66" s="93" t="n">
        <v>0.1820790895143594</v>
      </c>
      <c r="X66" s="93" t="n">
        <v>0.1873502266033232</v>
      </c>
      <c r="Y66" s="93" t="n">
        <v>0.3761556754232201</v>
      </c>
      <c r="Z66" s="93">
        <f>Y66</f>
        <v/>
      </c>
      <c r="AA66" s="93" t="n">
        <v>0.2327294065850635</v>
      </c>
      <c r="AB66" s="93" t="n">
        <v>0.1299703350648404</v>
      </c>
      <c r="AC66" s="93" t="n">
        <v>0.4097428029211601</v>
      </c>
      <c r="AD66" s="93">
        <f>AC66</f>
        <v/>
      </c>
      <c r="AE66" s="93" t="n">
        <v>0.3398061321327174</v>
      </c>
      <c r="AF66" s="93" t="n">
        <v>0.08574295402028008</v>
      </c>
      <c r="AG66" s="93" t="n">
        <v>0.3281159736310079</v>
      </c>
      <c r="AH66" s="93">
        <f>AG66</f>
        <v/>
      </c>
      <c r="AI66" s="93" t="n">
        <v>0.2195270013014868</v>
      </c>
      <c r="AJ66" s="93" t="n">
        <v>0.4013526131236022</v>
      </c>
      <c r="AK66" s="93" t="n">
        <v>0.1616435703486115</v>
      </c>
      <c r="AL66" s="93">
        <f>AK66</f>
        <v/>
      </c>
      <c r="AM66" s="93" t="n">
        <v>0.2036914329231977</v>
      </c>
      <c r="AN66" s="93" t="n">
        <v>0.3701891861184251</v>
      </c>
      <c r="AO66" s="93" t="n">
        <v>0.3083432706858995</v>
      </c>
      <c r="AP66" s="93">
        <f>AO66</f>
        <v/>
      </c>
      <c r="AQ66" s="93" t="n">
        <v>0.1937090008314526</v>
      </c>
      <c r="AR66" s="93" t="n">
        <v>0.26872</v>
      </c>
      <c r="AS66" s="93" t="n">
        <v>0.23</v>
      </c>
      <c r="AT66" s="93">
        <f>AS66</f>
        <v/>
      </c>
      <c r="AU66" s="93" t="n">
        <v>0.4</v>
      </c>
      <c r="AV66" s="93" t="n">
        <v>0.3104938254768113</v>
      </c>
      <c r="AW66" s="93" t="n">
        <v>0.293079185793731</v>
      </c>
      <c r="AX66" s="93">
        <f>AW66</f>
        <v/>
      </c>
      <c r="AY66" s="96" t="n">
        <v>0.2792671558993158</v>
      </c>
      <c r="AZ66" s="96" t="n">
        <v>0.2787061302467679</v>
      </c>
      <c r="BA66" s="96" t="n">
        <v>0.2748749966790678</v>
      </c>
      <c r="BB66" s="93">
        <f>BA66</f>
        <v/>
      </c>
      <c r="BC66" s="1" t="inlineStr">
        <is>
          <t>Please Update</t>
        </is>
      </c>
    </row>
    <row r="67" customFormat="1" s="61">
      <c r="C67" s="68" t="n"/>
      <c r="D67" s="68" t="n"/>
      <c r="E67" s="68" t="n"/>
      <c r="F67" s="68" t="n"/>
      <c r="G67" s="68" t="n"/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  <c r="AA67" s="68" t="n"/>
      <c r="AB67" s="68" t="n"/>
      <c r="AC67" s="68" t="n"/>
      <c r="AD67" s="68" t="n"/>
      <c r="AE67" s="68" t="n"/>
      <c r="AF67" s="68" t="n"/>
      <c r="AG67" s="68" t="n"/>
      <c r="AH67" s="68" t="n"/>
      <c r="AI67" s="68" t="n"/>
      <c r="AJ67" s="68" t="n"/>
      <c r="AK67" s="68" t="n"/>
      <c r="AL67" s="68" t="n"/>
      <c r="AM67" s="68" t="n"/>
      <c r="AN67" s="68" t="n"/>
      <c r="AO67" s="68" t="n"/>
      <c r="AP67" s="68" t="n"/>
      <c r="AQ67" s="68" t="n"/>
      <c r="AR67" s="68" t="n"/>
      <c r="AS67" s="68" t="n"/>
      <c r="AT67" s="68" t="n"/>
      <c r="AU67" s="68" t="n"/>
      <c r="AV67" s="68" t="n"/>
      <c r="AW67" s="68" t="n"/>
      <c r="AX67" s="68" t="n"/>
      <c r="AY67" s="68" t="n"/>
      <c r="AZ67" s="68" t="n"/>
      <c r="BA67" s="68" t="n"/>
      <c r="BB67" s="68" t="n"/>
    </row>
    <row r="68" ht="18" customHeight="1">
      <c r="B68" s="61" t="inlineStr">
        <is>
          <t>Average Salary</t>
        </is>
      </c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103" t="n"/>
      <c r="AC68" s="103" t="n"/>
      <c r="AD68" s="60" t="n"/>
      <c r="AE68" s="103" t="n"/>
      <c r="AF68" s="103" t="n"/>
      <c r="AG68" s="103" t="n"/>
      <c r="AH68" s="60" t="n"/>
      <c r="AI68" s="103" t="n"/>
      <c r="AJ68" s="103" t="n"/>
      <c r="AK68" s="103" t="n"/>
      <c r="AL68" s="60" t="n"/>
      <c r="AM68" s="103" t="n"/>
      <c r="AN68" s="103" t="n"/>
      <c r="AO68" s="103" t="n"/>
      <c r="AP68" s="60" t="n"/>
      <c r="AQ68" s="103" t="n"/>
      <c r="AR68" s="103" t="n"/>
      <c r="AS68" s="103" t="n"/>
      <c r="AT68" s="60" t="n"/>
      <c r="AU68" s="103" t="n"/>
      <c r="AV68" s="103" t="n"/>
      <c r="AW68" s="103" t="n"/>
      <c r="AX68" s="60" t="n"/>
      <c r="AY68" s="103" t="n"/>
      <c r="AZ68" s="103" t="n"/>
      <c r="BA68" s="103" t="n"/>
      <c r="BB68" s="60" t="n"/>
    </row>
    <row r="69" outlineLevel="1" ht="14.25" customHeight="1">
      <c r="B69" s="62" t="n"/>
      <c r="C69" s="104" t="n"/>
      <c r="D69" s="104" t="n"/>
      <c r="E69" s="104" t="n"/>
      <c r="F69" s="47" t="n"/>
      <c r="G69" s="104" t="n"/>
      <c r="H69" s="104" t="n"/>
      <c r="I69" s="104" t="n"/>
      <c r="J69" s="47" t="n"/>
      <c r="K69" s="104" t="n"/>
      <c r="L69" s="104" t="n"/>
      <c r="M69" s="104" t="n"/>
      <c r="N69" s="47" t="n"/>
      <c r="O69" s="104" t="n"/>
      <c r="P69" s="104" t="n"/>
      <c r="Q69" s="104" t="n"/>
      <c r="R69" s="47" t="n"/>
      <c r="S69" s="104" t="n"/>
      <c r="T69" s="104" t="n"/>
      <c r="U69" s="104" t="n"/>
      <c r="V69" s="47" t="n"/>
      <c r="W69" s="104" t="n"/>
      <c r="X69" s="104" t="n"/>
      <c r="Y69" s="104" t="n"/>
      <c r="Z69" s="47" t="n"/>
      <c r="AA69" s="104" t="n"/>
      <c r="AB69" s="104" t="n"/>
      <c r="AC69" s="104" t="n"/>
      <c r="AD69" s="47" t="n"/>
      <c r="AE69" s="104" t="n"/>
      <c r="AF69" s="104" t="n"/>
      <c r="AG69" s="104" t="n"/>
      <c r="AH69" s="47" t="n"/>
      <c r="AI69" s="104" t="n"/>
      <c r="AJ69" s="104" t="n"/>
      <c r="AK69" s="104" t="n"/>
      <c r="AL69" s="47" t="n"/>
      <c r="AM69" s="104" t="n"/>
      <c r="AN69" s="104" t="n"/>
      <c r="AO69" s="104" t="n"/>
      <c r="AP69" s="47" t="n"/>
      <c r="AQ69" s="104" t="n"/>
      <c r="AR69" s="104" t="n"/>
      <c r="AS69" s="104" t="n"/>
      <c r="AT69" s="47" t="n"/>
      <c r="AU69" s="104" t="n"/>
      <c r="AV69" s="104" t="n"/>
      <c r="AW69" s="104" t="n"/>
      <c r="AX69" s="47" t="n"/>
      <c r="AY69" s="104" t="n"/>
      <c r="AZ69" s="104" t="n"/>
      <c r="BA69" s="104" t="n"/>
      <c r="BB69" s="47" t="n"/>
    </row>
    <row r="70" outlineLevel="1" ht="18" customHeight="1">
      <c r="B70" s="62" t="inlineStr">
        <is>
          <t xml:space="preserve">Onsite </t>
        </is>
      </c>
      <c r="C70" s="105" t="n"/>
      <c r="D70" s="105" t="n"/>
      <c r="E70" s="105" t="n"/>
      <c r="F70" s="106" t="n"/>
      <c r="G70" s="105" t="n"/>
      <c r="H70" s="105" t="n"/>
      <c r="I70" s="105" t="n"/>
      <c r="J70" s="106" t="n"/>
      <c r="K70" s="105" t="n"/>
      <c r="L70" s="105" t="n"/>
      <c r="M70" s="105" t="n"/>
      <c r="N70" s="106" t="n"/>
      <c r="O70" s="105" t="n"/>
      <c r="P70" s="105" t="n"/>
      <c r="Q70" s="105" t="n"/>
      <c r="R70" s="106" t="n"/>
      <c r="S70" s="65" t="n">
        <v>964465.16</v>
      </c>
      <c r="T70" s="65" t="n">
        <v>668705.5600000001</v>
      </c>
      <c r="U70" s="65" t="n">
        <v>660084.88</v>
      </c>
      <c r="V70" s="107">
        <f>SUM(S70:U70)</f>
        <v/>
      </c>
      <c r="W70" s="65" t="n">
        <v>679212.33</v>
      </c>
      <c r="X70" s="65" t="n">
        <v>1193685.28</v>
      </c>
      <c r="Y70" s="65" t="n">
        <v>808177.29</v>
      </c>
      <c r="Z70" s="107">
        <f>SUM(W70:Y70)</f>
        <v/>
      </c>
      <c r="AA70" s="65" t="n">
        <v>917065.52</v>
      </c>
      <c r="AB70" s="65" t="n">
        <v>913572.35</v>
      </c>
      <c r="AC70" s="65" t="n">
        <v>1149417.64</v>
      </c>
      <c r="AD70" s="107">
        <f>SUM(AA70:AC70)</f>
        <v/>
      </c>
      <c r="AE70" s="65" t="n">
        <v>1074072.62</v>
      </c>
      <c r="AF70" s="65" t="n">
        <v>972128.36</v>
      </c>
      <c r="AG70" s="65" t="n">
        <v>1017806.61</v>
      </c>
      <c r="AH70" s="107">
        <f>SUM(AE70:AG70)</f>
        <v/>
      </c>
      <c r="AI70" s="65" t="n">
        <v>1041916.49</v>
      </c>
      <c r="AJ70" s="65" t="n">
        <v>1097457.11</v>
      </c>
      <c r="AK70" s="65" t="n">
        <v>1133747.7</v>
      </c>
      <c r="AL70" s="107">
        <f>SUM(AI70:AK70)</f>
        <v/>
      </c>
      <c r="AM70" s="65" t="n">
        <v>1233284.25</v>
      </c>
      <c r="AN70" s="65" t="n">
        <v>659256.5</v>
      </c>
      <c r="AO70" s="65" t="n">
        <v>1410267.11</v>
      </c>
      <c r="AP70" s="107">
        <f>SUM(AN70:AO70)</f>
        <v/>
      </c>
      <c r="AQ70" s="104" t="n">
        <v>1553187.47</v>
      </c>
      <c r="AR70" s="104" t="n">
        <v>1448357.43</v>
      </c>
      <c r="AS70" s="104" t="n">
        <v>1662915.88</v>
      </c>
      <c r="AT70" s="107">
        <f>SUM(AQ70:AS70)</f>
        <v/>
      </c>
      <c r="AU70" s="104" t="n">
        <v>1727039.58</v>
      </c>
      <c r="AV70" s="104" t="n">
        <v>1597744.31</v>
      </c>
      <c r="AW70" s="104" t="n">
        <v>1857535.16</v>
      </c>
      <c r="AX70" s="107">
        <f>SUM(AU70:AW70)</f>
        <v/>
      </c>
      <c r="AY70" s="65" t="n">
        <v>1811393.68</v>
      </c>
      <c r="AZ70" s="65" t="n">
        <v>1687630.53</v>
      </c>
      <c r="BA70" s="65" t="n">
        <v>2160358.18</v>
      </c>
      <c r="BB70" s="107">
        <f>SUM(AY70:BA70)</f>
        <v/>
      </c>
      <c r="BC70" s="1" t="inlineStr">
        <is>
          <t>Salary details will be updated by us</t>
        </is>
      </c>
    </row>
    <row r="71" ht="12.75" customHeight="1">
      <c r="B71" s="45" t="inlineStr">
        <is>
          <t>Onsite (Avg. Salary)</t>
        </is>
      </c>
      <c r="C71" s="106" t="n"/>
      <c r="D71" s="106" t="n"/>
      <c r="E71" s="106" t="n"/>
      <c r="F71" s="106" t="n"/>
      <c r="G71" s="106" t="n"/>
      <c r="H71" s="106" t="n"/>
      <c r="I71" s="106" t="n"/>
      <c r="J71" s="106" t="n"/>
      <c r="K71" s="106" t="n"/>
      <c r="L71" s="106" t="n"/>
      <c r="M71" s="106" t="n"/>
      <c r="N71" s="106" t="n"/>
      <c r="O71" s="106" t="n"/>
      <c r="P71" s="106" t="n"/>
      <c r="Q71" s="106" t="n"/>
      <c r="R71" s="106" t="n"/>
      <c r="S71" s="107">
        <f>IFERROR(S70/S27,0)</f>
        <v/>
      </c>
      <c r="T71" s="107">
        <f>IFERROR(T70/T27,0)</f>
        <v/>
      </c>
      <c r="U71" s="107">
        <f>IFERROR(U70/U27,0)</f>
        <v/>
      </c>
      <c r="V71" s="107">
        <f>IFERROR(V70/V27/3,0)</f>
        <v/>
      </c>
      <c r="W71" s="107">
        <f>IFERROR(W70/W27,0)</f>
        <v/>
      </c>
      <c r="X71" s="107">
        <f>IFERROR(X70/X27,0)</f>
        <v/>
      </c>
      <c r="Y71" s="107">
        <f>IFERROR(Y70/Y27,0)</f>
        <v/>
      </c>
      <c r="Z71" s="107">
        <f>IFERROR(Z70/Z27/3,0)</f>
        <v/>
      </c>
      <c r="AA71" s="107">
        <f>IFERROR(AA70/AA27,0)</f>
        <v/>
      </c>
      <c r="AB71" s="107">
        <f>IFERROR(AB70/AB27,0)</f>
        <v/>
      </c>
      <c r="AC71" s="107">
        <f>IFERROR(AC70/AC27,0)</f>
        <v/>
      </c>
      <c r="AD71" s="107">
        <f>IFERROR(AD70/AD27/3,0)</f>
        <v/>
      </c>
      <c r="AE71" s="107">
        <f>IFERROR(AE70/AE27,0)</f>
        <v/>
      </c>
      <c r="AF71" s="107">
        <f>IFERROR(AF70/AF27,0)</f>
        <v/>
      </c>
      <c r="AG71" s="107">
        <f>IFERROR(AG70/AG27,0)</f>
        <v/>
      </c>
      <c r="AH71" s="107">
        <f>IFERROR(AH70/AH27/3,0)</f>
        <v/>
      </c>
      <c r="AI71" s="107">
        <f>IFERROR(AI70/AI27,0)</f>
        <v/>
      </c>
      <c r="AJ71" s="107">
        <f>IFERROR(AJ70/AJ27,0)</f>
        <v/>
      </c>
      <c r="AK71" s="107">
        <f>IFERROR(AK70/AK27,0)</f>
        <v/>
      </c>
      <c r="AL71" s="107">
        <f>IFERROR(AL70/AL27/3,0)</f>
        <v/>
      </c>
      <c r="AM71" s="107">
        <f>IFERROR(AM70/AM27,0)</f>
        <v/>
      </c>
      <c r="AN71" s="107">
        <f>(IFERROR(AN70/(AN27/31*16),0))</f>
        <v/>
      </c>
      <c r="AO71" s="107">
        <f>IFERROR(AO70/AO27,0)</f>
        <v/>
      </c>
      <c r="AP71" s="107">
        <f>IFERROR(AP70/AP27/1.5,0)</f>
        <v/>
      </c>
      <c r="AQ71" s="107">
        <f>IFERROR(AQ70/AQ27,0)</f>
        <v/>
      </c>
      <c r="AR71" s="107">
        <f>IFERROR(AR70/AR27,0)</f>
        <v/>
      </c>
      <c r="AS71" s="107">
        <f>IFERROR(AS70/AS27,0)</f>
        <v/>
      </c>
      <c r="AT71" s="107">
        <f>IFERROR(AT70/AT27/3,0)</f>
        <v/>
      </c>
      <c r="AU71" s="107">
        <f>IFERROR(AU70/AU27,0)</f>
        <v/>
      </c>
      <c r="AV71" s="107">
        <f>IFERROR(AV70/AV27,0)</f>
        <v/>
      </c>
      <c r="AW71" s="107">
        <f>IFERROR(AW70/AW27,0)</f>
        <v/>
      </c>
      <c r="AX71" s="107">
        <f>IFERROR(AX70/AX27/3,0)</f>
        <v/>
      </c>
      <c r="AY71" s="107">
        <f>IFERROR(AY70/AY27,0)</f>
        <v/>
      </c>
      <c r="AZ71" s="107">
        <f>IFERROR(AZ70/AZ27,0)</f>
        <v/>
      </c>
      <c r="BA71" s="107">
        <f>IFERROR(BA70/BA27,0)</f>
        <v/>
      </c>
      <c r="BB71" s="107">
        <f>IFERROR(BB70/BB27/3,0)</f>
        <v/>
      </c>
    </row>
    <row r="72" hidden="1" outlineLevel="1" ht="12.75" customHeight="1">
      <c r="B72" s="25" t="inlineStr">
        <is>
          <t>Offshore</t>
        </is>
      </c>
      <c r="C72" s="108" t="n"/>
      <c r="D72" s="108" t="n"/>
      <c r="E72" s="108" t="n"/>
      <c r="F72" s="109" t="n"/>
      <c r="G72" s="108" t="n"/>
      <c r="H72" s="108" t="n"/>
      <c r="I72" s="108" t="n"/>
      <c r="J72" s="109" t="n"/>
      <c r="K72" s="108" t="n"/>
      <c r="L72" s="108" t="n"/>
      <c r="M72" s="108" t="n"/>
      <c r="N72" s="109" t="n"/>
      <c r="O72" s="108" t="n"/>
      <c r="P72" s="108" t="n"/>
      <c r="Q72" s="108" t="n"/>
      <c r="R72" s="109" t="n"/>
      <c r="S72" s="110" t="n"/>
      <c r="T72" s="110" t="n"/>
      <c r="U72" s="110" t="n"/>
      <c r="V72" s="111">
        <f>SUM(S72:U72)</f>
        <v/>
      </c>
      <c r="W72" s="110" t="n"/>
      <c r="X72" s="110" t="n"/>
      <c r="Y72" s="110" t="n"/>
      <c r="Z72" s="111">
        <f>SUM(W72:Y72)</f>
        <v/>
      </c>
      <c r="AA72" s="110" t="n"/>
      <c r="AB72" s="110" t="n"/>
      <c r="AC72" s="110" t="n"/>
      <c r="AD72" s="111">
        <f>SUM(AA72:AC72)</f>
        <v/>
      </c>
      <c r="AE72" s="110" t="n"/>
      <c r="AF72" s="110" t="n"/>
      <c r="AG72" s="110" t="n"/>
      <c r="AH72" s="111">
        <f>SUM(AE72:AG72)</f>
        <v/>
      </c>
      <c r="AI72" s="110" t="n"/>
      <c r="AJ72" s="110" t="n"/>
      <c r="AK72" s="110" t="n"/>
      <c r="AL72" s="111">
        <f>SUM(AI72:AK72)</f>
        <v/>
      </c>
      <c r="AM72" s="110" t="n"/>
      <c r="AN72" s="110" t="n"/>
      <c r="AO72" s="110" t="n"/>
      <c r="AP72" s="111">
        <f>SUM(AM72:AO72)</f>
        <v/>
      </c>
      <c r="AQ72" s="110" t="n">
        <v>0</v>
      </c>
      <c r="AR72" s="110" t="n">
        <v>0</v>
      </c>
      <c r="AS72" s="110" t="n">
        <v>0</v>
      </c>
      <c r="AT72" s="111">
        <f>SUM(AQ72:AS72)</f>
        <v/>
      </c>
      <c r="AU72" s="110" t="n">
        <v>0</v>
      </c>
      <c r="AV72" s="110" t="n">
        <v>0</v>
      </c>
      <c r="AW72" s="110" t="n">
        <v>0</v>
      </c>
      <c r="AX72" s="111">
        <f>SUM(AU72:AW72)</f>
        <v/>
      </c>
      <c r="AY72" s="110" t="n">
        <v>0</v>
      </c>
      <c r="AZ72" s="110" t="n">
        <v>0</v>
      </c>
      <c r="BA72" s="110" t="n">
        <v>0</v>
      </c>
      <c r="BB72" s="111">
        <f>SUM(AY72:BA72)</f>
        <v/>
      </c>
    </row>
    <row r="73" collapsed="1" ht="12.75" customHeight="1">
      <c r="B73" s="75" t="inlineStr">
        <is>
          <t>Offshore (Avg. Salary)</t>
        </is>
      </c>
      <c r="C73" s="109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109" t="n"/>
      <c r="N73" s="109" t="n"/>
      <c r="O73" s="109" t="n"/>
      <c r="P73" s="109" t="n"/>
      <c r="Q73" s="109" t="n"/>
      <c r="R73" s="109" t="n"/>
      <c r="S73" s="111">
        <f>IFERROR(S72/S31,0)</f>
        <v/>
      </c>
      <c r="T73" s="111">
        <f>IFERROR(T72/T31,0)</f>
        <v/>
      </c>
      <c r="U73" s="111">
        <f>IFERROR(U72/U31,0)</f>
        <v/>
      </c>
      <c r="V73" s="111">
        <f>IFERROR(V72/V31/3,0)</f>
        <v/>
      </c>
      <c r="W73" s="111">
        <f>IFERROR(W72/W31,0)</f>
        <v/>
      </c>
      <c r="X73" s="111">
        <f>IFERROR(X72/X31,0)</f>
        <v/>
      </c>
      <c r="Y73" s="111">
        <f>IFERROR(Y72/Y31,0)</f>
        <v/>
      </c>
      <c r="Z73" s="111">
        <f>IFERROR(Z72/Z31/3,0)</f>
        <v/>
      </c>
      <c r="AA73" s="111">
        <f>IFERROR(AA72/AA31,0)</f>
        <v/>
      </c>
      <c r="AB73" s="111">
        <f>IFERROR(AB72/AB31,0)</f>
        <v/>
      </c>
      <c r="AC73" s="111">
        <f>IFERROR(AC72/AC31,0)</f>
        <v/>
      </c>
      <c r="AD73" s="111">
        <f>IFERROR(AD72/AD31/3,0)</f>
        <v/>
      </c>
      <c r="AE73" s="111">
        <f>IFERROR(AE72/AE31,0)</f>
        <v/>
      </c>
      <c r="AF73" s="111">
        <f>IFERROR(AF72/AF31,0)</f>
        <v/>
      </c>
      <c r="AG73" s="111">
        <f>IFERROR(AG72/AG31,0)</f>
        <v/>
      </c>
      <c r="AH73" s="111">
        <f>IFERROR(AH72/AH31/3,0)</f>
        <v/>
      </c>
      <c r="AI73" s="111">
        <f>IFERROR(AI72/AI31,0)</f>
        <v/>
      </c>
      <c r="AJ73" s="111">
        <f>IFERROR(AJ72/AJ31,0)</f>
        <v/>
      </c>
      <c r="AK73" s="111">
        <f>IFERROR(AK72/AK31,0)</f>
        <v/>
      </c>
      <c r="AL73" s="111">
        <f>IFERROR(AL72/AL31/3,0)</f>
        <v/>
      </c>
      <c r="AM73" s="111">
        <f>IFERROR(AM72/AM31,0)</f>
        <v/>
      </c>
      <c r="AN73" s="111">
        <f>IFERROR(AN72/AN31,0)</f>
        <v/>
      </c>
      <c r="AO73" s="111">
        <f>IFERROR(AO72/AO31,0)</f>
        <v/>
      </c>
      <c r="AP73" s="111">
        <f>IFERROR(AP72/AP31/3,0)</f>
        <v/>
      </c>
      <c r="AQ73" s="111">
        <f>IFERROR(AQ72/AQ31,0)</f>
        <v/>
      </c>
      <c r="AR73" s="111">
        <f>IFERROR(AR72/AR31,0)</f>
        <v/>
      </c>
      <c r="AS73" s="111">
        <f>IFERROR(AS72/AS31,0)</f>
        <v/>
      </c>
      <c r="AT73" s="111">
        <f>IFERROR(AT72/AT31/3,0)</f>
        <v/>
      </c>
      <c r="AU73" s="111">
        <f>IFERROR(AU72/AU31,0)</f>
        <v/>
      </c>
      <c r="AV73" s="111">
        <f>IFERROR(AV72/AV31,0)</f>
        <v/>
      </c>
      <c r="AW73" s="111">
        <f>IFERROR(AW72/AW31,0)</f>
        <v/>
      </c>
      <c r="AX73" s="111">
        <f>IFERROR(AX72/AX31/3,0)</f>
        <v/>
      </c>
      <c r="AY73" s="111">
        <f>IFERROR(AY72/AY31,0)</f>
        <v/>
      </c>
      <c r="AZ73" s="111">
        <f>IFERROR(AZ72/AZ31,0)</f>
        <v/>
      </c>
      <c r="BA73" s="111">
        <f>IFERROR(BA72/BA31,0)</f>
        <v/>
      </c>
      <c r="BB73" s="111">
        <f>IFERROR(BB72/BB31/3,0)</f>
        <v/>
      </c>
    </row>
    <row r="74" hidden="1" outlineLevel="1" ht="12.75" customHeight="1">
      <c r="B74" s="25" t="inlineStr">
        <is>
          <t>Nearshore</t>
        </is>
      </c>
      <c r="C74" s="108" t="n"/>
      <c r="D74" s="108" t="n"/>
      <c r="E74" s="108" t="n"/>
      <c r="F74" s="109" t="n"/>
      <c r="G74" s="108" t="n"/>
      <c r="H74" s="108" t="n"/>
      <c r="I74" s="108" t="n"/>
      <c r="J74" s="109" t="n"/>
      <c r="K74" s="108" t="n"/>
      <c r="L74" s="108" t="n"/>
      <c r="M74" s="108" t="n"/>
      <c r="N74" s="109" t="n"/>
      <c r="O74" s="108" t="n"/>
      <c r="P74" s="108" t="n"/>
      <c r="Q74" s="108" t="n"/>
      <c r="R74" s="109" t="n"/>
      <c r="S74" s="110" t="n"/>
      <c r="T74" s="110" t="n"/>
      <c r="U74" s="110" t="n"/>
      <c r="V74" s="111">
        <f>SUM(S74:U74)</f>
        <v/>
      </c>
      <c r="W74" s="110" t="n"/>
      <c r="X74" s="110" t="n"/>
      <c r="Y74" s="110" t="n"/>
      <c r="Z74" s="111">
        <f>SUM(W74:Y74)</f>
        <v/>
      </c>
      <c r="AA74" s="110" t="n"/>
      <c r="AB74" s="110" t="n"/>
      <c r="AC74" s="110" t="n"/>
      <c r="AD74" s="111">
        <f>SUM(AA74:AC74)</f>
        <v/>
      </c>
      <c r="AE74" s="110" t="n"/>
      <c r="AF74" s="110" t="n"/>
      <c r="AG74" s="110" t="n"/>
      <c r="AH74" s="111">
        <f>SUM(AE74:AG74)</f>
        <v/>
      </c>
      <c r="AI74" s="110" t="n"/>
      <c r="AJ74" s="110" t="n"/>
      <c r="AK74" s="110" t="n"/>
      <c r="AL74" s="111">
        <f>SUM(AI74:AK74)</f>
        <v/>
      </c>
      <c r="AM74" s="110" t="n"/>
      <c r="AN74" s="110" t="n"/>
      <c r="AO74" s="110" t="n"/>
      <c r="AP74" s="111">
        <f>SUM(AM74:AO74)</f>
        <v/>
      </c>
      <c r="AQ74" s="110" t="n">
        <v>0</v>
      </c>
      <c r="AR74" s="110" t="n">
        <v>0</v>
      </c>
      <c r="AS74" s="110" t="n">
        <v>0</v>
      </c>
      <c r="AT74" s="111">
        <f>SUM(AQ74:AS74)</f>
        <v/>
      </c>
      <c r="AU74" s="110" t="n">
        <v>0</v>
      </c>
      <c r="AV74" s="110" t="n">
        <v>0</v>
      </c>
      <c r="AW74" s="110" t="n">
        <v>0</v>
      </c>
      <c r="AX74" s="111">
        <f>SUM(AU74:AW74)</f>
        <v/>
      </c>
      <c r="AY74" s="110" t="n">
        <v>0</v>
      </c>
      <c r="AZ74" s="110" t="n">
        <v>0</v>
      </c>
      <c r="BA74" s="110" t="n">
        <v>0</v>
      </c>
      <c r="BB74" s="111">
        <f>SUM(AY74:BA74)</f>
        <v/>
      </c>
    </row>
    <row r="75" collapsed="1" ht="12.75" customHeight="1">
      <c r="B75" s="56" t="inlineStr">
        <is>
          <t>Nearshore (Avg. Salary)</t>
        </is>
      </c>
      <c r="C75" s="112" t="n"/>
      <c r="D75" s="112" t="n"/>
      <c r="E75" s="112" t="n"/>
      <c r="F75" s="112" t="n"/>
      <c r="G75" s="112" t="n"/>
      <c r="H75" s="112" t="n"/>
      <c r="I75" s="112" t="n"/>
      <c r="J75" s="112" t="n"/>
      <c r="K75" s="112" t="n"/>
      <c r="L75" s="112" t="n"/>
      <c r="M75" s="112" t="n"/>
      <c r="N75" s="112" t="n"/>
      <c r="O75" s="112" t="n"/>
      <c r="P75" s="112" t="n"/>
      <c r="Q75" s="112" t="n"/>
      <c r="R75" s="112" t="n"/>
      <c r="S75" s="113">
        <f>IFERROR(S74/S35,0)</f>
        <v/>
      </c>
      <c r="T75" s="113">
        <f>IFERROR(T74/T35,0)</f>
        <v/>
      </c>
      <c r="U75" s="113">
        <f>IFERROR(U74/U35,0)</f>
        <v/>
      </c>
      <c r="V75" s="113">
        <f>IFERROR(V74/V35/3,0)</f>
        <v/>
      </c>
      <c r="W75" s="113">
        <f>IFERROR(W74/W35,0)</f>
        <v/>
      </c>
      <c r="X75" s="113">
        <f>IFERROR(X74/X35,0)</f>
        <v/>
      </c>
      <c r="Y75" s="113">
        <f>IFERROR(Y74/Y35,0)</f>
        <v/>
      </c>
      <c r="Z75" s="113">
        <f>IFERROR(Z74/Z35/3,0)</f>
        <v/>
      </c>
      <c r="AA75" s="113">
        <f>IFERROR(AA74/AA35,0)</f>
        <v/>
      </c>
      <c r="AB75" s="113">
        <f>IFERROR(AB74/AB35,0)</f>
        <v/>
      </c>
      <c r="AC75" s="113">
        <f>IFERROR(AC74/AC35,0)</f>
        <v/>
      </c>
      <c r="AD75" s="113">
        <f>IFERROR(AD74/AD35/3,0)</f>
        <v/>
      </c>
      <c r="AE75" s="113">
        <f>IFERROR(AE74/AE35,0)</f>
        <v/>
      </c>
      <c r="AF75" s="113">
        <f>IFERROR(AF74/AF35,0)</f>
        <v/>
      </c>
      <c r="AG75" s="113">
        <f>IFERROR(AG74/AG35,0)</f>
        <v/>
      </c>
      <c r="AH75" s="113">
        <f>IFERROR(AH74/AH35/3,0)</f>
        <v/>
      </c>
      <c r="AI75" s="113">
        <f>IFERROR(AI74/AI35,0)</f>
        <v/>
      </c>
      <c r="AJ75" s="113">
        <f>IFERROR(AJ74/AJ35,0)</f>
        <v/>
      </c>
      <c r="AK75" s="113">
        <f>IFERROR(AK74/AK35,0)</f>
        <v/>
      </c>
      <c r="AL75" s="113">
        <f>IFERROR(AL74/AL35/3,0)</f>
        <v/>
      </c>
      <c r="AM75" s="113">
        <f>IFERROR(AM74/AM35,0)</f>
        <v/>
      </c>
      <c r="AN75" s="113">
        <f>IFERROR(AN74/AN35,0)</f>
        <v/>
      </c>
      <c r="AO75" s="113">
        <f>IFERROR(AO74/AO35,0)</f>
        <v/>
      </c>
      <c r="AP75" s="113">
        <f>IFERROR(AP74/AP35/3,0)</f>
        <v/>
      </c>
      <c r="AQ75" s="113">
        <f>IFERROR(AQ74/AQ35,0)</f>
        <v/>
      </c>
      <c r="AR75" s="113">
        <f>IFERROR(AR74/AR35,0)</f>
        <v/>
      </c>
      <c r="AS75" s="113">
        <f>IFERROR(AS74/AS35,0)</f>
        <v/>
      </c>
      <c r="AT75" s="113">
        <f>IFERROR(AT74/AT35/3,0)</f>
        <v/>
      </c>
      <c r="AU75" s="113">
        <f>IFERROR(AU74/AU35,0)</f>
        <v/>
      </c>
      <c r="AV75" s="113">
        <f>IFERROR(AV74/AV35,0)</f>
        <v/>
      </c>
      <c r="AW75" s="113">
        <f>IFERROR(AW74/AW35,0)</f>
        <v/>
      </c>
      <c r="AX75" s="113">
        <f>IFERROR(AX74/AX35/3,0)</f>
        <v/>
      </c>
      <c r="AY75" s="113">
        <f>IFERROR(AY74/AY35,0)</f>
        <v/>
      </c>
      <c r="AZ75" s="113">
        <f>IFERROR(AZ74/AZ35,0)</f>
        <v/>
      </c>
      <c r="BA75" s="113">
        <f>IFERROR(BA74/BA35,0)</f>
        <v/>
      </c>
      <c r="BB75" s="113">
        <f>IFERROR(BB74/BB35/3,0)</f>
        <v/>
      </c>
    </row>
    <row r="76" ht="12.75" customHeight="1">
      <c r="B76" s="61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5" t="n"/>
      <c r="T76" s="115" t="n"/>
      <c r="U76" s="115" t="n"/>
      <c r="V76" s="115" t="n"/>
      <c r="W76" s="115" t="n"/>
      <c r="X76" s="115" t="n"/>
      <c r="Y76" s="115" t="n"/>
      <c r="Z76" s="115" t="n"/>
      <c r="AA76" s="115" t="n"/>
      <c r="AB76" s="115" t="n"/>
      <c r="AC76" s="115" t="n"/>
      <c r="AD76" s="116" t="n"/>
      <c r="AE76" s="115" t="n"/>
      <c r="AF76" s="115" t="n"/>
      <c r="AG76" s="115" t="n"/>
      <c r="AH76" s="116" t="n"/>
      <c r="AI76" s="116" t="n"/>
      <c r="AJ76" s="116" t="n"/>
      <c r="AK76" s="116" t="n"/>
      <c r="AL76" s="116" t="n"/>
      <c r="AM76" s="116" t="n"/>
      <c r="AN76" s="116" t="n"/>
      <c r="AO76" s="116" t="n"/>
      <c r="AP76" s="116" t="n"/>
      <c r="AQ76" s="115" t="n"/>
      <c r="AR76" s="115" t="n"/>
      <c r="AS76" s="115" t="n"/>
      <c r="AT76" s="116" t="n"/>
      <c r="AU76" s="115" t="n"/>
      <c r="AV76" s="115" t="n"/>
      <c r="AW76" s="115" t="n"/>
      <c r="AX76" s="116" t="n"/>
      <c r="AY76" s="115" t="n"/>
      <c r="AZ76" s="115" t="n"/>
      <c r="BA76" s="115" t="n"/>
      <c r="BB76" s="116" t="n"/>
    </row>
    <row r="77">
      <c r="B77" s="117" t="inlineStr">
        <is>
          <t>% of Sub-prime of overall Billable count</t>
        </is>
      </c>
      <c r="C77" s="118" t="n"/>
      <c r="D77" s="118" t="n"/>
      <c r="E77" s="118" t="n"/>
      <c r="F77" s="118" t="n"/>
      <c r="G77" s="118" t="n"/>
      <c r="H77" s="118" t="n"/>
      <c r="I77" s="118" t="n"/>
      <c r="J77" s="119" t="n"/>
      <c r="K77" s="118" t="n"/>
      <c r="L77" s="118" t="n"/>
      <c r="M77" s="118" t="n"/>
      <c r="N77" s="119" t="n"/>
      <c r="O77" s="119" t="n"/>
      <c r="P77" s="119" t="n"/>
      <c r="Q77" s="119" t="n"/>
      <c r="R77" s="119" t="n"/>
      <c r="S77" s="118" t="n"/>
      <c r="T77" s="118" t="n"/>
      <c r="U77" s="118" t="n"/>
      <c r="V77" s="118" t="n"/>
      <c r="W77" s="118" t="n"/>
      <c r="X77" s="118" t="n"/>
      <c r="Y77" s="118" t="n"/>
      <c r="Z77" s="118" t="n"/>
      <c r="AA77" s="118" t="n"/>
      <c r="AB77" s="118" t="n"/>
      <c r="AC77" s="118" t="n"/>
      <c r="AD77" s="120" t="n"/>
      <c r="AE77" s="119" t="n"/>
      <c r="AF77" s="119" t="n"/>
      <c r="AG77" s="119" t="n"/>
      <c r="AH77" s="120" t="n"/>
      <c r="AI77" s="120" t="n"/>
      <c r="AJ77" s="120" t="n"/>
      <c r="AK77" s="120" t="n"/>
      <c r="AL77" s="120" t="n"/>
      <c r="AM77" s="118" t="n"/>
      <c r="AN77" s="118" t="n"/>
      <c r="AO77" s="118" t="n"/>
      <c r="AP77" s="118" t="n"/>
      <c r="AQ77" s="93" t="n">
        <v>0</v>
      </c>
      <c r="AR77" s="93" t="n">
        <v>0</v>
      </c>
      <c r="AS77" s="93" t="n">
        <v>0</v>
      </c>
      <c r="AT77" s="121">
        <f>AS77</f>
        <v/>
      </c>
      <c r="AU77" s="122" t="n">
        <v>0</v>
      </c>
      <c r="AV77" s="93" t="n">
        <v>0</v>
      </c>
      <c r="AW77" s="93" t="n">
        <v>0</v>
      </c>
      <c r="AX77" s="121">
        <f>AW77</f>
        <v/>
      </c>
      <c r="AY77" s="93" t="n">
        <v>0</v>
      </c>
      <c r="AZ77" s="93" t="n">
        <v>0</v>
      </c>
      <c r="BA77" s="93" t="n">
        <v>0</v>
      </c>
      <c r="BB77" s="121">
        <f>BA77</f>
        <v/>
      </c>
      <c r="BC77" s="1" t="inlineStr">
        <is>
          <t>Please Update</t>
        </is>
      </c>
    </row>
    <row r="78">
      <c r="B78" s="123" t="n"/>
      <c r="J78" s="124" t="n"/>
      <c r="N78" s="124" t="n"/>
      <c r="O78" s="124" t="n"/>
      <c r="P78" s="124" t="n"/>
      <c r="Q78" s="124" t="n"/>
      <c r="R78" s="124" t="n"/>
      <c r="AD78" s="125" t="n"/>
      <c r="AE78" s="124" t="n"/>
      <c r="AF78" s="124" t="n"/>
      <c r="AG78" s="124" t="n"/>
      <c r="AH78" s="125" t="n"/>
      <c r="AI78" s="125" t="n"/>
      <c r="AJ78" s="125" t="n"/>
      <c r="AK78" s="125" t="n"/>
      <c r="AL78" s="125" t="n"/>
      <c r="AQ78" s="68" t="n"/>
      <c r="AR78" s="68" t="n"/>
      <c r="AS78" s="68" t="n"/>
      <c r="AT78" s="126" t="n"/>
      <c r="AU78" s="127" t="n"/>
      <c r="AV78" s="68" t="n"/>
      <c r="AW78" s="68" t="n"/>
      <c r="AX78" s="126" t="n"/>
      <c r="AY78" s="68" t="n"/>
      <c r="AZ78" s="68" t="n"/>
      <c r="BA78" s="68" t="n"/>
      <c r="BB78" s="126" t="n"/>
    </row>
    <row r="79">
      <c r="B79" s="117" t="inlineStr">
        <is>
          <t>T&amp;M%</t>
        </is>
      </c>
      <c r="C79" s="117" t="n"/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  <c r="P79" s="117" t="n"/>
      <c r="Q79" s="117" t="n"/>
      <c r="R79" s="117" t="n"/>
      <c r="S79" s="117" t="n"/>
      <c r="T79" s="117" t="n"/>
      <c r="U79" s="117" t="n"/>
      <c r="V79" s="117" t="n"/>
      <c r="W79" s="117" t="n"/>
      <c r="X79" s="117" t="n"/>
      <c r="Y79" s="117" t="n"/>
      <c r="Z79" s="117" t="n"/>
      <c r="AA79" s="117" t="n"/>
      <c r="AB79" s="117" t="n"/>
      <c r="AC79" s="117" t="n"/>
      <c r="AD79" s="117" t="n"/>
      <c r="AE79" s="117" t="n"/>
      <c r="AF79" s="117" t="n"/>
      <c r="AG79" s="117" t="n"/>
      <c r="AH79" s="117" t="n"/>
      <c r="AI79" s="117" t="n"/>
      <c r="AJ79" s="117" t="n"/>
      <c r="AK79" s="117" t="n"/>
      <c r="AL79" s="117" t="n"/>
      <c r="AM79" s="117" t="n"/>
      <c r="AN79" s="130" t="n">
        <v>0.2212618039589319</v>
      </c>
      <c r="AO79" s="130" t="n">
        <v>0.2069889535869107</v>
      </c>
      <c r="AP79" s="129">
        <f>AVERAGE(AM79:AO79)</f>
        <v/>
      </c>
      <c r="AQ79" s="130" t="n">
        <v>0.2026072060844369</v>
      </c>
      <c r="AR79" s="130" t="n">
        <v>0.1700511926929958</v>
      </c>
      <c r="AS79" s="130" t="n">
        <v>0.1884527899349474</v>
      </c>
      <c r="AT79" s="129">
        <f>AVERAGE(AQ79:AS79)</f>
        <v/>
      </c>
      <c r="AU79" s="130" t="n">
        <v>0.1841871622267453</v>
      </c>
      <c r="AV79" s="130" t="n">
        <v>0.1303680780905954</v>
      </c>
      <c r="AW79" s="130" t="n">
        <v>0.1282122080141118</v>
      </c>
      <c r="AX79" s="129">
        <f>AVERAGE(AU79:AW79)</f>
        <v/>
      </c>
      <c r="AY79" s="130" t="n">
        <v>0.1299125701871882</v>
      </c>
      <c r="AZ79" s="130" t="n">
        <v>0.05</v>
      </c>
      <c r="BA79" s="130" t="inlineStr">
        <is>
          <t>Please Update</t>
        </is>
      </c>
      <c r="BB79" s="129">
        <f>AVERAGE(AY79:BA79)</f>
        <v/>
      </c>
      <c r="BC79" s="1" t="inlineStr">
        <is>
          <t>Revenue type will be updated by us</t>
        </is>
      </c>
    </row>
    <row r="80">
      <c r="B80" s="117" t="inlineStr">
        <is>
          <t>FP%</t>
        </is>
      </c>
      <c r="C80" s="117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  <c r="P80" s="117" t="n"/>
      <c r="Q80" s="117" t="n"/>
      <c r="R80" s="117" t="n"/>
      <c r="S80" s="117" t="n"/>
      <c r="T80" s="117" t="n"/>
      <c r="U80" s="117" t="n"/>
      <c r="V80" s="117" t="n"/>
      <c r="W80" s="117" t="n"/>
      <c r="X80" s="117" t="n"/>
      <c r="Y80" s="117" t="n"/>
      <c r="Z80" s="117" t="n"/>
      <c r="AA80" s="117" t="n"/>
      <c r="AB80" s="117" t="n"/>
      <c r="AC80" s="117" t="n"/>
      <c r="AD80" s="117" t="n"/>
      <c r="AE80" s="117" t="n"/>
      <c r="AF80" s="117" t="n"/>
      <c r="AG80" s="117" t="n"/>
      <c r="AH80" s="117" t="n"/>
      <c r="AI80" s="117" t="n"/>
      <c r="AJ80" s="117" t="n"/>
      <c r="AK80" s="117" t="n"/>
      <c r="AL80" s="117" t="n"/>
      <c r="AM80" s="117" t="n"/>
      <c r="AN80" s="130" t="n">
        <v>0.7787381960410681</v>
      </c>
      <c r="AO80" s="130" t="n">
        <v>0.7930110464130893</v>
      </c>
      <c r="AP80" s="129">
        <f>AVERAGE(AM80:AO80)</f>
        <v/>
      </c>
      <c r="AQ80" s="130" t="n">
        <v>0.7973927939155631</v>
      </c>
      <c r="AR80" s="130" t="n">
        <v>0.8299488073070042</v>
      </c>
      <c r="AS80" s="130" t="n">
        <v>0.8115472100650526</v>
      </c>
      <c r="AT80" s="129">
        <f>AVERAGE(AQ80:AS80)</f>
        <v/>
      </c>
      <c r="AU80" s="130" t="n">
        <v>0.8158128377732546</v>
      </c>
      <c r="AV80" s="130" t="n">
        <v>0.8696319219094046</v>
      </c>
      <c r="AW80" s="130" t="n">
        <v>0.8717877919858882</v>
      </c>
      <c r="AX80" s="129">
        <f>AVERAGE(AU80:AW80)</f>
        <v/>
      </c>
      <c r="AY80" s="130" t="n">
        <v>0.870087429812812</v>
      </c>
      <c r="AZ80" s="130" t="n">
        <v>0.95</v>
      </c>
      <c r="BA80" s="130" t="inlineStr">
        <is>
          <t>Please Update</t>
        </is>
      </c>
      <c r="BB80" s="129">
        <f>AVERAGE(AY80:BA80)</f>
        <v/>
      </c>
    </row>
    <row r="81">
      <c r="F81" s="124" t="n"/>
      <c r="J81" s="125" t="n"/>
      <c r="K81" s="125" t="n"/>
      <c r="L81" s="125" t="n"/>
      <c r="M81" s="125" t="n"/>
      <c r="N81" s="125" t="n"/>
      <c r="O81" s="125" t="n"/>
      <c r="AH81" s="124" t="n"/>
      <c r="AI81" s="124" t="n"/>
      <c r="AJ81" s="124" t="n"/>
      <c r="AK81" s="124" t="n"/>
      <c r="AL81" s="124" t="n"/>
      <c r="AM81" s="124" t="n"/>
      <c r="AN81" s="124" t="n"/>
      <c r="AO81" s="124" t="n"/>
      <c r="AP81" s="124" t="n"/>
      <c r="AQ81" s="124" t="n"/>
      <c r="AR81" s="124" t="n"/>
      <c r="AS81" s="124" t="n"/>
      <c r="AT81" s="124" t="n"/>
      <c r="AX81" s="124" t="n"/>
      <c r="BB81" s="124" t="n"/>
    </row>
    <row r="82" ht="18.75" customHeight="1">
      <c r="B82" s="131" t="inlineStr">
        <is>
          <t>Y-o-Y Growth: Top 5 Accounts</t>
        </is>
      </c>
    </row>
    <row r="83" ht="16.5" customHeight="1" thickBot="1">
      <c r="B83" s="178" t="inlineStr">
        <is>
          <t>Revenue FY 24-25</t>
        </is>
      </c>
      <c r="C83" s="179" t="n"/>
      <c r="D83" s="179" t="n"/>
      <c r="E83" s="179" t="n"/>
      <c r="F83" s="179" t="n"/>
      <c r="G83" s="179" t="n"/>
      <c r="H83" s="179" t="n"/>
      <c r="I83" s="179" t="n"/>
      <c r="J83" s="179" t="n"/>
      <c r="K83" s="179" t="n"/>
      <c r="L83" s="179" t="n"/>
      <c r="M83" s="179" t="n"/>
      <c r="N83" s="179" t="n"/>
      <c r="O83" s="179" t="n"/>
      <c r="P83" s="179" t="n"/>
      <c r="Q83" s="179" t="n"/>
      <c r="R83" s="179" t="n"/>
      <c r="S83" s="180" t="n"/>
      <c r="T83" s="181" t="inlineStr">
        <is>
          <t>Revenue FY 25-26</t>
        </is>
      </c>
      <c r="U83" s="179" t="n"/>
      <c r="V83" s="179" t="n"/>
      <c r="W83" s="179" t="n"/>
      <c r="X83" s="179" t="n"/>
      <c r="Y83" s="179" t="n"/>
      <c r="Z83" s="179" t="n"/>
      <c r="AA83" s="179" t="n"/>
      <c r="AB83" s="179" t="n"/>
      <c r="AC83" s="179" t="n"/>
      <c r="AD83" s="179" t="n"/>
      <c r="AE83" s="179" t="n"/>
      <c r="AF83" s="179" t="n"/>
      <c r="AG83" s="179" t="n"/>
      <c r="AH83" s="179" t="n"/>
      <c r="AI83" s="179" t="n"/>
      <c r="AJ83" s="180" t="n"/>
    </row>
    <row r="84" ht="45" customFormat="1" customHeight="1" s="141">
      <c r="B84" s="132" t="inlineStr">
        <is>
          <t>Customer Name</t>
        </is>
      </c>
      <c r="C84" s="132" t="inlineStr">
        <is>
          <t>Apr'24 CC (Q)</t>
        </is>
      </c>
      <c r="D84" s="132" t="inlineStr">
        <is>
          <t>May'24 CC (Q)</t>
        </is>
      </c>
      <c r="E84" s="132" t="inlineStr">
        <is>
          <t>Jun'24 CC (Q)</t>
        </is>
      </c>
      <c r="F84" s="132" t="inlineStr">
        <is>
          <t>Q1'25 AMJ (CCQ)</t>
        </is>
      </c>
      <c r="G84" s="132" t="inlineStr">
        <is>
          <t>Jul'24 CC (Q)</t>
        </is>
      </c>
      <c r="H84" s="132" t="inlineStr">
        <is>
          <t>Aug'24 CC (Q)</t>
        </is>
      </c>
      <c r="I84" s="132" t="inlineStr">
        <is>
          <t>Sep'24 CC (Q)</t>
        </is>
      </c>
      <c r="J84" s="132" t="inlineStr">
        <is>
          <t>Q2'25 JAS (CCQ)</t>
        </is>
      </c>
      <c r="K84" s="132" t="inlineStr">
        <is>
          <t>Oct'24 CC (Q)</t>
        </is>
      </c>
      <c r="L84" s="132" t="inlineStr">
        <is>
          <t>Nov'24 CC (Q)</t>
        </is>
      </c>
      <c r="M84" s="132" t="inlineStr">
        <is>
          <t>Dec'24 CC (Q)</t>
        </is>
      </c>
      <c r="N84" s="132" t="inlineStr">
        <is>
          <t>Q3'25 OND (CCQ)</t>
        </is>
      </c>
      <c r="O84" s="133" t="inlineStr">
        <is>
          <t>Jan'25 CC (Q)</t>
        </is>
      </c>
      <c r="P84" s="133" t="inlineStr">
        <is>
          <t>Feb'25 CC (Q)</t>
        </is>
      </c>
      <c r="Q84" s="133" t="inlineStr">
        <is>
          <t>Mar'25 CC (Q)</t>
        </is>
      </c>
      <c r="R84" s="132" t="inlineStr">
        <is>
          <t>Q4'25 JFM (CCQ)</t>
        </is>
      </c>
      <c r="S84" s="134" t="inlineStr">
        <is>
          <t>FY 2024 Revenue in CC (Y)</t>
        </is>
      </c>
      <c r="T84" s="135" t="inlineStr">
        <is>
          <t>Apr'25 CC (Q)</t>
        </is>
      </c>
      <c r="U84" s="135" t="inlineStr">
        <is>
          <t>May'25 CC (Q)</t>
        </is>
      </c>
      <c r="V84" s="135" t="inlineStr">
        <is>
          <t>Jun'25 CC (Q)</t>
        </is>
      </c>
      <c r="W84" s="136" t="inlineStr">
        <is>
          <t>Q1'26 AMJ (CCQ)</t>
        </is>
      </c>
      <c r="X84" s="135" t="inlineStr">
        <is>
          <t>Jul'25 (A)</t>
        </is>
      </c>
      <c r="Y84" s="135" t="inlineStr">
        <is>
          <t>Aug'25 (A)</t>
        </is>
      </c>
      <c r="Z84" s="135" t="inlineStr">
        <is>
          <t>Sep'25 (A)</t>
        </is>
      </c>
      <c r="AA84" s="135" t="inlineStr">
        <is>
          <t>Q2'26 JAS (A)</t>
        </is>
      </c>
      <c r="AB84" s="135" t="inlineStr">
        <is>
          <t>Oct'25 (A)</t>
        </is>
      </c>
      <c r="AC84" s="135" t="inlineStr">
        <is>
          <t>Nov'25 (A)</t>
        </is>
      </c>
      <c r="AD84" s="137" t="inlineStr">
        <is>
          <t>Dec'25 (A)</t>
        </is>
      </c>
      <c r="AE84" s="137" t="inlineStr">
        <is>
          <t>Q3'26 OND (A)</t>
        </is>
      </c>
      <c r="AF84" s="137" t="inlineStr">
        <is>
          <t>Jan'26 (A)</t>
        </is>
      </c>
      <c r="AG84" s="137" t="inlineStr">
        <is>
          <t>Feb'26 (A)</t>
        </is>
      </c>
      <c r="AH84" s="137" t="inlineStr">
        <is>
          <t>Mar'26 (A)</t>
        </is>
      </c>
      <c r="AI84" s="137" t="inlineStr">
        <is>
          <t>Q4'26 JFM (A)</t>
        </is>
      </c>
      <c r="AJ84" s="138" t="inlineStr">
        <is>
          <t>FY 26 Revenue in CC (Y)</t>
        </is>
      </c>
      <c r="AK84" s="139" t="inlineStr">
        <is>
          <t>YTD June'25 (CC)</t>
        </is>
      </c>
      <c r="AL84" s="139" t="inlineStr">
        <is>
          <t>Apr'26 (A)</t>
        </is>
      </c>
      <c r="AM84" s="139" t="inlineStr">
        <is>
          <t>May'26 (A)</t>
        </is>
      </c>
      <c r="AN84" s="139" t="inlineStr">
        <is>
          <t>Jun'26 (A)</t>
        </is>
      </c>
      <c r="AO84" s="139" t="inlineStr">
        <is>
          <t>Q1'27 AMJ (A)</t>
        </is>
      </c>
      <c r="AP84" s="139" t="inlineStr">
        <is>
          <t>Q1 'FY 27 (Rev Growth CC)</t>
        </is>
      </c>
      <c r="AQ84" s="139" t="inlineStr">
        <is>
          <t>YTD June'26</t>
        </is>
      </c>
      <c r="AR84" s="140" t="inlineStr">
        <is>
          <t>YTD June-26 vs YTD June-25</t>
        </is>
      </c>
      <c r="AS84" s="1" t="n"/>
      <c r="AT84" s="1" t="n"/>
      <c r="AU84" s="1" t="n"/>
    </row>
    <row r="85">
      <c r="B85" s="142" t="inlineStr">
        <is>
          <t>Revenue by Services</t>
        </is>
      </c>
      <c r="C85" s="143" t="n"/>
      <c r="D85" s="143" t="n"/>
      <c r="E85" s="143" t="n"/>
      <c r="F85" s="143">
        <f>SUM(C85:E85)</f>
        <v/>
      </c>
      <c r="G85" s="143" t="n"/>
      <c r="H85" s="143" t="n"/>
      <c r="I85" s="143" t="n"/>
      <c r="J85" s="143">
        <f>SUM(G85:I85)</f>
        <v/>
      </c>
      <c r="K85" s="143" t="n"/>
      <c r="L85" s="143" t="n"/>
      <c r="M85" s="143" t="n"/>
      <c r="N85" s="143">
        <f>SUM(K85:M85)</f>
        <v/>
      </c>
      <c r="O85" s="143" t="n"/>
      <c r="P85" s="143" t="n"/>
      <c r="Q85" s="143" t="n"/>
      <c r="R85" s="143">
        <f>SUM(O85:Q85)</f>
        <v/>
      </c>
      <c r="S85" s="143">
        <f>R85+N85+J85+F85</f>
        <v/>
      </c>
      <c r="T85" s="143" t="n"/>
      <c r="U85" s="143" t="n"/>
      <c r="V85" s="143" t="n"/>
      <c r="W85" s="143">
        <f>SUM(T85:V85)</f>
        <v/>
      </c>
      <c r="X85" s="143" t="n"/>
      <c r="Y85" s="143" t="n"/>
      <c r="Z85" s="143" t="n"/>
      <c r="AA85" s="143">
        <f>SUM(X85:Z85)</f>
        <v/>
      </c>
      <c r="AB85" s="143" t="n"/>
      <c r="AC85" s="143" t="n"/>
      <c r="AD85" s="143" t="n"/>
      <c r="AE85" s="143" t="n"/>
      <c r="AF85" s="143" t="n"/>
      <c r="AG85" s="143" t="n"/>
      <c r="AH85" s="143" t="n"/>
      <c r="AI85" s="143" t="n"/>
      <c r="AJ85" s="143" t="n"/>
      <c r="AK85" s="143" t="n"/>
      <c r="AL85" s="143" t="n"/>
      <c r="AM85" s="143" t="n"/>
      <c r="AN85" s="144" t="n"/>
      <c r="AO85" s="145" t="n"/>
      <c r="AP85" s="144" t="n"/>
      <c r="AQ85" s="146" t="n"/>
      <c r="AR85" s="147" t="n"/>
    </row>
    <row r="86">
      <c r="B86" s="142" t="inlineStr">
        <is>
          <t>Service Now</t>
        </is>
      </c>
      <c r="C86" s="143" t="n">
        <v>1020053.956731006</v>
      </c>
      <c r="D86" s="143" t="n">
        <v>1109833.714341727</v>
      </c>
      <c r="E86" s="143" t="n">
        <v>1109862.258970614</v>
      </c>
      <c r="F86" s="143" t="n">
        <v>3239749.930043348</v>
      </c>
      <c r="G86" s="143" t="n">
        <v>1239694.236705521</v>
      </c>
      <c r="H86" s="143" t="n">
        <v>1316700.513313332</v>
      </c>
      <c r="I86" s="143" t="n">
        <v>1272558.066209201</v>
      </c>
      <c r="J86" s="143" t="n">
        <v>3828952.816228053</v>
      </c>
      <c r="K86" s="143" t="n">
        <v>1542980</v>
      </c>
      <c r="L86" s="143" t="n">
        <v>1371117</v>
      </c>
      <c r="M86" s="143" t="n">
        <v>1355678</v>
      </c>
      <c r="N86" s="143" t="n">
        <v>4269775</v>
      </c>
      <c r="O86" s="143" t="n">
        <v>1482199.625725485</v>
      </c>
      <c r="P86" s="143" t="n">
        <v>1514737.672457261</v>
      </c>
      <c r="Q86" s="143" t="n">
        <v>1646326.688059782</v>
      </c>
      <c r="R86" s="143">
        <f>SUM(O86:Q86)</f>
        <v/>
      </c>
      <c r="S86" s="143">
        <f>F86+J86+N86+R86</f>
        <v/>
      </c>
      <c r="T86" s="143" t="n">
        <v>1813365</v>
      </c>
      <c r="U86" s="143" t="n">
        <v>1872954</v>
      </c>
      <c r="V86" s="143" t="n">
        <v>1916510</v>
      </c>
      <c r="W86" s="143" t="n">
        <v>5602829</v>
      </c>
      <c r="X86" s="143" t="n">
        <v>2300265</v>
      </c>
      <c r="Y86" s="143" t="n">
        <v>2040001</v>
      </c>
      <c r="Z86" s="143" t="n">
        <v>2467819</v>
      </c>
      <c r="AA86" s="143" t="n">
        <v>6808085</v>
      </c>
      <c r="AB86" s="143" t="n">
        <v>3030409</v>
      </c>
      <c r="AC86" s="143" t="n">
        <v>2302940</v>
      </c>
      <c r="AD86" s="143" t="n">
        <v>2618999</v>
      </c>
      <c r="AE86" s="143" t="n">
        <v>7952348</v>
      </c>
      <c r="AF86" s="143" t="n">
        <v>2942832</v>
      </c>
      <c r="AG86" s="143" t="n">
        <v>2880949</v>
      </c>
      <c r="AH86" s="143" t="n">
        <v>3281965</v>
      </c>
      <c r="AI86" s="143">
        <f>SUM(AF86:AH86)</f>
        <v/>
      </c>
      <c r="AJ86" s="143">
        <f>AI86+AE86+AA86+W86</f>
        <v/>
      </c>
      <c r="AK86" s="143" t="n"/>
      <c r="AL86" s="143" t="n">
        <v>3213205</v>
      </c>
      <c r="AM86" s="143" t="n">
        <v>2681128.21</v>
      </c>
      <c r="AN86" s="144" t="n"/>
      <c r="AO86" s="144">
        <f>SUM(AL86:AN86)</f>
        <v/>
      </c>
      <c r="AP86" s="144" t="n"/>
      <c r="AQ86" s="146">
        <f>SUM(AL86:AN86)</f>
        <v/>
      </c>
      <c r="AR86" s="147">
        <f>AQ86/AK86-1</f>
        <v/>
      </c>
    </row>
    <row r="87">
      <c r="B87" s="142" t="inlineStr">
        <is>
          <t>Data Dog</t>
        </is>
      </c>
      <c r="C87" s="143" t="n">
        <v>952348</v>
      </c>
      <c r="D87" s="143" t="n">
        <v>758336</v>
      </c>
      <c r="E87" s="143" t="n">
        <v>701160</v>
      </c>
      <c r="F87" s="143" t="n">
        <v>2411844</v>
      </c>
      <c r="G87" s="143" t="n">
        <v>817554</v>
      </c>
      <c r="H87" s="143" t="n">
        <v>805292</v>
      </c>
      <c r="I87" s="143" t="n">
        <v>862120</v>
      </c>
      <c r="J87" s="143" t="n">
        <v>2484966</v>
      </c>
      <c r="K87" s="143" t="n">
        <v>1209692</v>
      </c>
      <c r="L87" s="143" t="n">
        <v>1014296</v>
      </c>
      <c r="M87" s="143" t="n">
        <v>933914</v>
      </c>
      <c r="N87" s="143" t="n">
        <v>3157902</v>
      </c>
      <c r="O87" s="143" t="n">
        <v>1038791</v>
      </c>
      <c r="P87" s="143" t="n">
        <v>874682</v>
      </c>
      <c r="Q87" s="143" t="n">
        <v>740055</v>
      </c>
      <c r="R87" s="143">
        <f>SUM(O87:Q87)</f>
        <v/>
      </c>
      <c r="S87" s="143">
        <f>F87+J87+N87+R87</f>
        <v/>
      </c>
      <c r="T87" s="143" t="n">
        <v>904972</v>
      </c>
      <c r="U87" s="143" t="n">
        <v>860629</v>
      </c>
      <c r="V87" s="143" t="n">
        <v>824679</v>
      </c>
      <c r="W87" s="143" t="n">
        <v>2590280</v>
      </c>
      <c r="X87" s="143" t="n">
        <v>840985</v>
      </c>
      <c r="Y87" s="143" t="n">
        <v>884213</v>
      </c>
      <c r="Z87" s="143" t="n">
        <v>997340</v>
      </c>
      <c r="AA87" s="143" t="n">
        <v>2722538</v>
      </c>
      <c r="AB87" s="143" t="n">
        <v>990683</v>
      </c>
      <c r="AC87" s="143" t="n">
        <v>984892</v>
      </c>
      <c r="AD87" s="143" t="n">
        <v>1022359</v>
      </c>
      <c r="AE87" s="143" t="n">
        <v>2997934</v>
      </c>
      <c r="AF87" s="143" t="n">
        <v>1138747</v>
      </c>
      <c r="AG87" s="143" t="n">
        <v>1163612</v>
      </c>
      <c r="AH87" s="143" t="n">
        <v>1166136</v>
      </c>
      <c r="AI87" s="143">
        <f>SUM(AF87:AH87)</f>
        <v/>
      </c>
      <c r="AJ87" s="143">
        <f>AI87+AE87+AA87+W87</f>
        <v/>
      </c>
      <c r="AK87" s="143" t="n"/>
      <c r="AL87" s="143" t="n">
        <v>1439814</v>
      </c>
      <c r="AM87" s="143" t="n">
        <v>1673843.26</v>
      </c>
      <c r="AN87" s="144" t="n"/>
      <c r="AO87" s="144">
        <f>SUM(AL87:AN87)</f>
        <v/>
      </c>
      <c r="AP87" s="144" t="n"/>
      <c r="AQ87" s="146">
        <f>SUM(AL87:AN87)</f>
        <v/>
      </c>
      <c r="AR87" s="147">
        <f>AQ87/AK87-1</f>
        <v/>
      </c>
    </row>
    <row r="88" customFormat="1" s="61">
      <c r="B88" s="148" t="inlineStr">
        <is>
          <t>Total</t>
        </is>
      </c>
      <c r="C88" s="149">
        <f>SUM(C85:C87)</f>
        <v/>
      </c>
      <c r="D88" s="149">
        <f>SUM(D85:D87)</f>
        <v/>
      </c>
      <c r="E88" s="149">
        <f>SUM(E85:E87)</f>
        <v/>
      </c>
      <c r="F88" s="149">
        <f>SUM(F85:F87)</f>
        <v/>
      </c>
      <c r="G88" s="149">
        <f>SUM(G85:G87)</f>
        <v/>
      </c>
      <c r="H88" s="149">
        <f>SUM(H85:H87)</f>
        <v/>
      </c>
      <c r="I88" s="149">
        <f>SUM(I85:I87)</f>
        <v/>
      </c>
      <c r="J88" s="149">
        <f>SUM(J85:J87)</f>
        <v/>
      </c>
      <c r="K88" s="149">
        <f>SUM(K85:K87)</f>
        <v/>
      </c>
      <c r="L88" s="149">
        <f>SUM(L85:L87)</f>
        <v/>
      </c>
      <c r="M88" s="149">
        <f>SUM(M85:M87)</f>
        <v/>
      </c>
      <c r="N88" s="149">
        <f>SUM(N85:N87)</f>
        <v/>
      </c>
      <c r="O88" s="149">
        <f>SUM(O85:O87)</f>
        <v/>
      </c>
      <c r="P88" s="149">
        <f>SUM(P85:P87)</f>
        <v/>
      </c>
      <c r="Q88" s="149">
        <f>SUM(Q85:Q87)</f>
        <v/>
      </c>
      <c r="R88" s="149">
        <f>SUM(R85:R87)</f>
        <v/>
      </c>
      <c r="S88" s="149">
        <f>SUM(S85:S87)</f>
        <v/>
      </c>
      <c r="T88" s="149">
        <f>SUM(T85:T87)</f>
        <v/>
      </c>
      <c r="U88" s="149">
        <f>SUM(U85:U87)</f>
        <v/>
      </c>
      <c r="V88" s="149">
        <f>SUM(V85:V87)</f>
        <v/>
      </c>
      <c r="W88" s="149">
        <f>SUM(W85:W87)</f>
        <v/>
      </c>
      <c r="X88" s="149">
        <f>SUM(X85:X87)</f>
        <v/>
      </c>
      <c r="Y88" s="149">
        <f>SUM(Y85:Y87)</f>
        <v/>
      </c>
      <c r="Z88" s="149">
        <f>SUM(Z85:Z87)</f>
        <v/>
      </c>
      <c r="AA88" s="149">
        <f>SUM(AA85:AA87)</f>
        <v/>
      </c>
      <c r="AB88" s="149">
        <f>SUM(AB85:AB87)</f>
        <v/>
      </c>
      <c r="AC88" s="149">
        <f>SUM(AC85:AC87)</f>
        <v/>
      </c>
      <c r="AD88" s="149">
        <f>SUM(AD85:AD87)</f>
        <v/>
      </c>
      <c r="AE88" s="149">
        <f>SUM(AB88:AD88)</f>
        <v/>
      </c>
      <c r="AF88" s="149">
        <f>SUM(AF86:AF87)</f>
        <v/>
      </c>
      <c r="AG88" s="149">
        <f>SUM(AG86:AG87)</f>
        <v/>
      </c>
      <c r="AH88" s="149">
        <f>SUM(AH86:AH87)</f>
        <v/>
      </c>
      <c r="AI88" s="149">
        <f>SUM(AF88:AH88)</f>
        <v/>
      </c>
      <c r="AJ88" s="149">
        <f>SUM(AJ86:AJ87)</f>
        <v/>
      </c>
      <c r="AK88" s="149">
        <f>SUM(AK86:AK87)</f>
        <v/>
      </c>
      <c r="AL88" s="149">
        <f>SUM(AL86:AL87)</f>
        <v/>
      </c>
      <c r="AM88" s="149">
        <f>SUM(AM86:AM87)</f>
        <v/>
      </c>
      <c r="AN88" s="149" t="n"/>
      <c r="AO88" s="149">
        <f>SUM(AL88:AN88)</f>
        <v/>
      </c>
      <c r="AP88" s="150">
        <f>AO88/W88-1</f>
        <v/>
      </c>
      <c r="AQ88" s="149">
        <f>SUM(AQ86:AQ87)</f>
        <v/>
      </c>
      <c r="AR88" s="151">
        <f>AQ88/AK88-1</f>
        <v/>
      </c>
    </row>
    <row r="90">
      <c r="C90" s="60" t="n"/>
      <c r="D90" s="60" t="n"/>
      <c r="E90" s="60" t="n"/>
      <c r="F90" s="60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T90" s="60" t="n"/>
      <c r="U90" s="60" t="n"/>
      <c r="V90" s="60" t="n"/>
      <c r="W90" s="60" t="n"/>
      <c r="X90" s="60" t="n"/>
      <c r="Y90" s="60" t="n"/>
      <c r="Z90" s="60" t="n"/>
      <c r="AA90" s="60" t="n"/>
      <c r="AB90" s="60" t="n"/>
      <c r="AC90" s="60" t="n"/>
      <c r="AD90" s="60" t="n"/>
      <c r="AE90" s="60" t="n"/>
      <c r="AF90" s="60" t="n"/>
      <c r="AG90" s="60" t="n"/>
      <c r="AH90" s="60" t="n"/>
      <c r="AI90" s="60" t="n"/>
      <c r="AJ90" s="60" t="n"/>
      <c r="AK90" s="60" t="n"/>
      <c r="AL90" s="60" t="n"/>
      <c r="AM90" s="60" t="n"/>
    </row>
    <row r="91" hidden="1"/>
    <row r="92" hidden="1">
      <c r="AL92" s="152" t="n"/>
      <c r="AM92" s="152" t="n"/>
      <c r="AN92" s="152" t="n"/>
      <c r="AO92" s="152" t="n"/>
      <c r="AP92" s="152" t="n"/>
    </row>
    <row r="93" hidden="1">
      <c r="AL93" s="153" t="n"/>
      <c r="AM93" s="154" t="n"/>
      <c r="AN93" s="154" t="n"/>
      <c r="AO93" s="154" t="n"/>
      <c r="AP93" s="154" t="n"/>
    </row>
    <row r="94" hidden="1">
      <c r="AL94" s="155" t="n"/>
      <c r="AM94" s="156" t="n"/>
      <c r="AN94" s="156" t="n"/>
      <c r="AO94" s="156" t="n"/>
      <c r="AP94" s="156" t="n"/>
    </row>
    <row r="95" hidden="1">
      <c r="AL95" s="157" t="n"/>
      <c r="AM95" s="157" t="n"/>
      <c r="AN95" s="157" t="n"/>
      <c r="AO95" s="157" t="n"/>
      <c r="AP95" s="157" t="n"/>
    </row>
    <row r="96" hidden="1">
      <c r="AL96" s="155" t="n"/>
      <c r="AM96" s="156" t="n"/>
      <c r="AN96" s="156" t="n"/>
      <c r="AO96" s="156" t="n"/>
      <c r="AP96" s="156" t="n"/>
    </row>
    <row r="97" hidden="1">
      <c r="AL97" s="158" t="n"/>
      <c r="AM97" s="159" t="n"/>
      <c r="AN97" s="159" t="n"/>
      <c r="AO97" s="159" t="n"/>
      <c r="AP97" s="159" t="n"/>
    </row>
    <row r="98" hidden="1"/>
    <row r="99"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</row>
    <row r="100"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</row>
  </sheetData>
  <mergeCells count="3">
    <mergeCell ref="T83:AJ83"/>
    <mergeCell ref="B83:S83"/>
    <mergeCell ref="BH4:B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Kaushal Navalakha</dc:creator>
  <dcterms:created xsi:type="dcterms:W3CDTF">2026-07-14T14:06:07Z</dcterms:created>
  <dcterms:modified xsi:type="dcterms:W3CDTF">2026-07-16T19:10:29Z</dcterms:modified>
  <cp:lastModifiedBy>Zayn Moselhy</cp:lastModifiedBy>
</cp:coreProperties>
</file>