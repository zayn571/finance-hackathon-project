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ment Listing" sheetId="1" r:id="rId4"/>
    <sheet state="visible" name="HC by Month" sheetId="2" r:id="rId5"/>
    <sheet state="visible" name="Key" sheetId="3" r:id="rId6"/>
  </sheets>
  <definedNames>
    <definedName hidden="1" localSheetId="0" name="_xlnm._FilterDatabase">'Department Listing'!$A$1:$R$273</definedName>
    <definedName hidden="1" localSheetId="1" name="_xlnm._FilterDatabase">'HC by Month'!$A$12:$BA$282</definedName>
    <definedName hidden="1" localSheetId="2" name="_xlnm._FilterDatabase">Key!$B$1:$J$1</definedName>
  </definedNames>
  <calcPr/>
  <extLst>
    <ext uri="GoogleSheetsCustomDataVersion2">
      <go:sheetsCustomData xmlns:go="http://customooxmlschemas.google.com/" r:id="rId7" roundtripDataChecksum="kkIvp7Yf/8m6bkAotwi97rQF9sclH44piIZteuT2BqQ="/>
    </ext>
  </extLst>
</workbook>
</file>

<file path=xl/sharedStrings.xml><?xml version="1.0" encoding="utf-8"?>
<sst xmlns="http://schemas.openxmlformats.org/spreadsheetml/2006/main" count="4612" uniqueCount="671">
  <si>
    <t>Employee #</t>
  </si>
  <si>
    <t>First Name</t>
  </si>
  <si>
    <t>Last Name</t>
  </si>
  <si>
    <t>Last name, First name</t>
  </si>
  <si>
    <t>Gender</t>
  </si>
  <si>
    <t>Hire Date</t>
  </si>
  <si>
    <t>Employment Status</t>
  </si>
  <si>
    <t>Employment Status: Date</t>
  </si>
  <si>
    <t>Division</t>
  </si>
  <si>
    <t>Department</t>
  </si>
  <si>
    <t>Location</t>
  </si>
  <si>
    <t>Job Title</t>
  </si>
  <si>
    <t>Teams</t>
  </si>
  <si>
    <t>Billable Status</t>
  </si>
  <si>
    <t>Employee Level</t>
  </si>
  <si>
    <t>State</t>
  </si>
  <si>
    <t>QBO Department</t>
  </si>
  <si>
    <t>Prefix- Travel</t>
  </si>
  <si>
    <t>Prefix- Payroll</t>
  </si>
  <si>
    <t>Tameem</t>
  </si>
  <si>
    <t>Hourani</t>
  </si>
  <si>
    <t>Hourani, Tameem</t>
  </si>
  <si>
    <t>Male</t>
  </si>
  <si>
    <t>Full-Time</t>
  </si>
  <si>
    <t>Operations</t>
  </si>
  <si>
    <t>Boylston</t>
  </si>
  <si>
    <t>Principal</t>
  </si>
  <si>
    <t>400- Synechron:410- Digital platforms G&amp;A</t>
  </si>
  <si>
    <t>No</t>
  </si>
  <si>
    <t>L7</t>
  </si>
  <si>
    <t>MA</t>
  </si>
  <si>
    <t>Jonathan</t>
  </si>
  <si>
    <t>Giara</t>
  </si>
  <si>
    <t>Giara, Jonathan</t>
  </si>
  <si>
    <t>ServiceNow</t>
  </si>
  <si>
    <t>Engineering</t>
  </si>
  <si>
    <t>Remote</t>
  </si>
  <si>
    <t>ServiceNow Architect</t>
  </si>
  <si>
    <t>300- ServiceNow:320- Engineering</t>
  </si>
  <si>
    <t>Yes</t>
  </si>
  <si>
    <t>L5</t>
  </si>
  <si>
    <t>IL</t>
  </si>
  <si>
    <t>Connor</t>
  </si>
  <si>
    <t>Brackett</t>
  </si>
  <si>
    <t>Brackett, Connor</t>
  </si>
  <si>
    <t>Sales</t>
  </si>
  <si>
    <t>Director of Sales</t>
  </si>
  <si>
    <t>300- ServiceNow:330- Sales</t>
  </si>
  <si>
    <t>Jeffrey</t>
  </si>
  <si>
    <t>Mu</t>
  </si>
  <si>
    <t>Mu, Jeffrey</t>
  </si>
  <si>
    <t>Sr ServiceNow Engineer</t>
  </si>
  <si>
    <t>L3</t>
  </si>
  <si>
    <t>NY</t>
  </si>
  <si>
    <t>Erik</t>
  </si>
  <si>
    <t>Williams</t>
  </si>
  <si>
    <t>Williams, Erik</t>
  </si>
  <si>
    <t>Strategy</t>
  </si>
  <si>
    <t>Sr Engagement Manager</t>
  </si>
  <si>
    <t>L4</t>
  </si>
  <si>
    <t>NH</t>
  </si>
  <si>
    <t>Logan</t>
  </si>
  <si>
    <t>Rohloff</t>
  </si>
  <si>
    <t>Rohloff, Logan</t>
  </si>
  <si>
    <t>Datadog</t>
  </si>
  <si>
    <t>Sr Engineering Manager - Datadog</t>
  </si>
  <si>
    <t>200- Datadog:230- Sales</t>
  </si>
  <si>
    <t>Reese</t>
  </si>
  <si>
    <t>Boisse</t>
  </si>
  <si>
    <t>Boisse, Reese</t>
  </si>
  <si>
    <t>Sr Solutions Engineer</t>
  </si>
  <si>
    <t>Reuben</t>
  </si>
  <si>
    <t>Stump</t>
  </si>
  <si>
    <t>Stump, Reuben</t>
  </si>
  <si>
    <t>Principal Cloud Architect</t>
  </si>
  <si>
    <t>200- Datadog:220- Engineering</t>
  </si>
  <si>
    <t>PA</t>
  </si>
  <si>
    <t>Elias</t>
  </si>
  <si>
    <t>Kapetanopoulos</t>
  </si>
  <si>
    <t>Kapetanopoulos, Elias</t>
  </si>
  <si>
    <t>Director of Engineering - ServiceNow</t>
  </si>
  <si>
    <t>Christian</t>
  </si>
  <si>
    <t>Moua</t>
  </si>
  <si>
    <t>Moua, Christian</t>
  </si>
  <si>
    <t>ServiceNow Engineer</t>
  </si>
  <si>
    <t>L2</t>
  </si>
  <si>
    <t>RI</t>
  </si>
  <si>
    <t>Jesse</t>
  </si>
  <si>
    <t>Eddy</t>
  </si>
  <si>
    <t>Eddy, Jesse</t>
  </si>
  <si>
    <t>Sr Account Executive</t>
  </si>
  <si>
    <t>Tomas</t>
  </si>
  <si>
    <t>Cespedes</t>
  </si>
  <si>
    <t>Cespedes, Tomas</t>
  </si>
  <si>
    <t>Colin</t>
  </si>
  <si>
    <t>Galanaugh</t>
  </si>
  <si>
    <t>Galanaugh, Colin</t>
  </si>
  <si>
    <t>Matthew</t>
  </si>
  <si>
    <t>Hyman</t>
  </si>
  <si>
    <t>Hyman, Matthew</t>
  </si>
  <si>
    <t>NC</t>
  </si>
  <si>
    <t>Mitchell</t>
  </si>
  <si>
    <t>Nethercott</t>
  </si>
  <si>
    <t>Nethercott, Mitchell</t>
  </si>
  <si>
    <t>Tech Lead - Datadog</t>
  </si>
  <si>
    <t>Deaner</t>
  </si>
  <si>
    <t>Deaner, Mitchell</t>
  </si>
  <si>
    <t>Non-US</t>
  </si>
  <si>
    <t>Bizkaia</t>
  </si>
  <si>
    <t>Lyndsey</t>
  </si>
  <si>
    <t>Cohen</t>
  </si>
  <si>
    <t>Cohen, Lyndsey</t>
  </si>
  <si>
    <t>Female</t>
  </si>
  <si>
    <t>DevOps Queen</t>
  </si>
  <si>
    <t>FL</t>
  </si>
  <si>
    <t>Dor</t>
  </si>
  <si>
    <t>Vaknin</t>
  </si>
  <si>
    <t>Vaknin, Dor</t>
  </si>
  <si>
    <t>Sr. Engineering Manager - ServiceNow</t>
  </si>
  <si>
    <t>Paul</t>
  </si>
  <si>
    <t>Kim</t>
  </si>
  <si>
    <t>Kim, Paul</t>
  </si>
  <si>
    <t>Datadog Engineer</t>
  </si>
  <si>
    <t>Alexander</t>
  </si>
  <si>
    <t>Glenn</t>
  </si>
  <si>
    <t>Glenn, Alexander</t>
  </si>
  <si>
    <t>Solutions Engineer</t>
  </si>
  <si>
    <t>Nadege</t>
  </si>
  <si>
    <t>Le Goff</t>
  </si>
  <si>
    <t>Le Goff, Nadege</t>
  </si>
  <si>
    <t>Project Management</t>
  </si>
  <si>
    <t>Sr Project Manager</t>
  </si>
  <si>
    <t>300- ServiceNow:310- Delivery</t>
  </si>
  <si>
    <t>Kyle</t>
  </si>
  <si>
    <t>Brueckner</t>
  </si>
  <si>
    <t>Brueckner, Kyle</t>
  </si>
  <si>
    <t>Engineering Manager - ServiceNow</t>
  </si>
  <si>
    <t>Ashley</t>
  </si>
  <si>
    <t>Karpel</t>
  </si>
  <si>
    <t>Karpel, Ashley</t>
  </si>
  <si>
    <t>Account Executive</t>
  </si>
  <si>
    <t>Shakara</t>
  </si>
  <si>
    <t>Whitehead</t>
  </si>
  <si>
    <t>Whitehead, Shakara</t>
  </si>
  <si>
    <t>NJ</t>
  </si>
  <si>
    <t>Michael</t>
  </si>
  <si>
    <t>Christensen</t>
  </si>
  <si>
    <t>Christensen, Michael</t>
  </si>
  <si>
    <t>Sr. Datadog Engineer</t>
  </si>
  <si>
    <t>MI</t>
  </si>
  <si>
    <t>Pooja Pandurang</t>
  </si>
  <si>
    <t>Manjeshwar</t>
  </si>
  <si>
    <t>Manjeshwar, Pooja Pandurang</t>
  </si>
  <si>
    <t>ServiceNow Developer</t>
  </si>
  <si>
    <t>Patrick</t>
  </si>
  <si>
    <t>Dennis</t>
  </si>
  <si>
    <t>Dennis, Patrick</t>
  </si>
  <si>
    <t>Technical Program Manager</t>
  </si>
  <si>
    <t>CA</t>
  </si>
  <si>
    <t>Daniel</t>
  </si>
  <si>
    <t>Bench</t>
  </si>
  <si>
    <t>Bench, Daniel</t>
  </si>
  <si>
    <t>ID</t>
  </si>
  <si>
    <t>Morris</t>
  </si>
  <si>
    <t>Morris, Matthew</t>
  </si>
  <si>
    <t>Principal Solutions Engineer</t>
  </si>
  <si>
    <t>TN</t>
  </si>
  <si>
    <t>Alta</t>
  </si>
  <si>
    <t>Abel</t>
  </si>
  <si>
    <t>Abel, Alta</t>
  </si>
  <si>
    <t>People Operations</t>
  </si>
  <si>
    <t>Chief of Stuff</t>
  </si>
  <si>
    <t>Hamilton</t>
  </si>
  <si>
    <t>Hamilton, Daniel</t>
  </si>
  <si>
    <t>Senior Datadog Delivery Manager</t>
  </si>
  <si>
    <t>200- Datadog:210- Delivery</t>
  </si>
  <si>
    <t>Ben</t>
  </si>
  <si>
    <t>Savage</t>
  </si>
  <si>
    <t>Savage, Ben</t>
  </si>
  <si>
    <t>ServiceNow Tech Lead</t>
  </si>
  <si>
    <t>TX</t>
  </si>
  <si>
    <t>Robert</t>
  </si>
  <si>
    <t>Witty</t>
  </si>
  <si>
    <t>Witty, Robert</t>
  </si>
  <si>
    <t>MO</t>
  </si>
  <si>
    <t>Chloe</t>
  </si>
  <si>
    <t>Brant</t>
  </si>
  <si>
    <t>Brant, Chloe</t>
  </si>
  <si>
    <t>Account Executive - Commercial East</t>
  </si>
  <si>
    <t>Jessy</t>
  </si>
  <si>
    <t>Lamontagne</t>
  </si>
  <si>
    <t>Lamontagne, Jessy</t>
  </si>
  <si>
    <t>Sales Operations Lead</t>
  </si>
  <si>
    <t>Zachary</t>
  </si>
  <si>
    <t>Kenyon</t>
  </si>
  <si>
    <t>Kenyon, Zachary</t>
  </si>
  <si>
    <t>Ayaan</t>
  </si>
  <si>
    <t>Israni</t>
  </si>
  <si>
    <t>Israni, Ayaan</t>
  </si>
  <si>
    <t>100- Operations:110- G&amp;A</t>
  </si>
  <si>
    <t>L6</t>
  </si>
  <si>
    <t>Danielle</t>
  </si>
  <si>
    <t>Severs</t>
  </si>
  <si>
    <t>Severs, Danielle</t>
  </si>
  <si>
    <t>Sr. ServiceNow Delivery Manager</t>
  </si>
  <si>
    <t>OH</t>
  </si>
  <si>
    <t>William</t>
  </si>
  <si>
    <t>Sanderford</t>
  </si>
  <si>
    <t>Sanderford, William</t>
  </si>
  <si>
    <t>MS</t>
  </si>
  <si>
    <t>Luis</t>
  </si>
  <si>
    <t>Gallego Cardona</t>
  </si>
  <si>
    <t>Gallego Cardona, Luis</t>
  </si>
  <si>
    <t>CT</t>
  </si>
  <si>
    <t>Kolosky</t>
  </si>
  <si>
    <t>Kolosky, Robert</t>
  </si>
  <si>
    <t>ServiceNow Engineering Manager</t>
  </si>
  <si>
    <t>Elyse</t>
  </si>
  <si>
    <t>Neumeier</t>
  </si>
  <si>
    <t>Neumeier, Elyse</t>
  </si>
  <si>
    <t>Woman of the People</t>
  </si>
  <si>
    <t>Tanner</t>
  </si>
  <si>
    <t>Ylvisaker</t>
  </si>
  <si>
    <t>Ylvisaker, Tanner</t>
  </si>
  <si>
    <t>MN</t>
  </si>
  <si>
    <t>Heidi</t>
  </si>
  <si>
    <t>Gold</t>
  </si>
  <si>
    <t>Gold, Heidi</t>
  </si>
  <si>
    <t>Technical Project Manager</t>
  </si>
  <si>
    <t>Roy Jr</t>
  </si>
  <si>
    <t>Roy Jr, Daniel</t>
  </si>
  <si>
    <t>Datadog Engineering Manager</t>
  </si>
  <si>
    <t>Jay</t>
  </si>
  <si>
    <t>Barker</t>
  </si>
  <si>
    <t>Barker, Jay</t>
  </si>
  <si>
    <t>Director of Engineering</t>
  </si>
  <si>
    <t>Leslee</t>
  </si>
  <si>
    <t>Brady</t>
  </si>
  <si>
    <t>Brady, Leslee</t>
  </si>
  <si>
    <t>L1</t>
  </si>
  <si>
    <t>SC</t>
  </si>
  <si>
    <t>Vincent</t>
  </si>
  <si>
    <t>Planz</t>
  </si>
  <si>
    <t>Planz, Vincent</t>
  </si>
  <si>
    <t>Finance</t>
  </si>
  <si>
    <t>Head of Accounting &amp; Finance</t>
  </si>
  <si>
    <t>Aaron</t>
  </si>
  <si>
    <t>Rhodes</t>
  </si>
  <si>
    <t>Rhodes, Aaron</t>
  </si>
  <si>
    <t>Ana</t>
  </si>
  <si>
    <t>Grămadă</t>
  </si>
  <si>
    <t>Grămadă, Ana</t>
  </si>
  <si>
    <t>Zurich</t>
  </si>
  <si>
    <t>Nikita</t>
  </si>
  <si>
    <t>Ashok</t>
  </si>
  <si>
    <t>Ashok, Nikita</t>
  </si>
  <si>
    <t>Marketing</t>
  </si>
  <si>
    <t>Marketing Manager</t>
  </si>
  <si>
    <t>100- Operations:120- Marketing</t>
  </si>
  <si>
    <t>Hamburg</t>
  </si>
  <si>
    <t>Watson</t>
  </si>
  <si>
    <t>Watson, William</t>
  </si>
  <si>
    <t>John</t>
  </si>
  <si>
    <t>Taylor</t>
  </si>
  <si>
    <t>Taylor, John</t>
  </si>
  <si>
    <t>Jacob</t>
  </si>
  <si>
    <t>McKenna</t>
  </si>
  <si>
    <t>McKenna, Jacob</t>
  </si>
  <si>
    <t>Toni</t>
  </si>
  <si>
    <t>Manning</t>
  </si>
  <si>
    <t>Manning, Toni</t>
  </si>
  <si>
    <t>Head of Marketing</t>
  </si>
  <si>
    <t>Greater London</t>
  </si>
  <si>
    <t>Kirolous</t>
  </si>
  <si>
    <t>Shihataa</t>
  </si>
  <si>
    <t>Shihataa, Kirolous</t>
  </si>
  <si>
    <t>Michele</t>
  </si>
  <si>
    <t>Cox</t>
  </si>
  <si>
    <t>Cox, Michele</t>
  </si>
  <si>
    <t>Project Manager</t>
  </si>
  <si>
    <t>David</t>
  </si>
  <si>
    <t>Seney</t>
  </si>
  <si>
    <t>Seney, David</t>
  </si>
  <si>
    <t>Scott</t>
  </si>
  <si>
    <t>Essler</t>
  </si>
  <si>
    <t>Essler, Scott</t>
  </si>
  <si>
    <t>Sales Manager</t>
  </si>
  <si>
    <t>Andrew</t>
  </si>
  <si>
    <t>Bissel</t>
  </si>
  <si>
    <t>Bissel, Andrew</t>
  </si>
  <si>
    <t>Security Engineer</t>
  </si>
  <si>
    <t>Donovan</t>
  </si>
  <si>
    <t>Donovan, Patrick</t>
  </si>
  <si>
    <t>Mooney</t>
  </si>
  <si>
    <t>Mooney, Daniel</t>
  </si>
  <si>
    <t>Sr. Account Executive</t>
  </si>
  <si>
    <t>Belfast</t>
  </si>
  <si>
    <t>Jackson</t>
  </si>
  <si>
    <t>Donahoe</t>
  </si>
  <si>
    <t>Donahoe, Jackson</t>
  </si>
  <si>
    <t>Commercial Account Manager</t>
  </si>
  <si>
    <t>Karalyn</t>
  </si>
  <si>
    <t>Sims</t>
  </si>
  <si>
    <t>Sims, Karalyn</t>
  </si>
  <si>
    <t>Marketing Coordinator</t>
  </si>
  <si>
    <t>Ryan</t>
  </si>
  <si>
    <t>McStravick</t>
  </si>
  <si>
    <t>McStravick, Ryan</t>
  </si>
  <si>
    <t>Gary</t>
  </si>
  <si>
    <t>Passaglia</t>
  </si>
  <si>
    <t>Passaglia, Gary</t>
  </si>
  <si>
    <t>Hannah</t>
  </si>
  <si>
    <t>Farley</t>
  </si>
  <si>
    <t>Farley, Hannah</t>
  </si>
  <si>
    <t>Anthony</t>
  </si>
  <si>
    <t>Tambash</t>
  </si>
  <si>
    <t>Tambash, Anthony</t>
  </si>
  <si>
    <t>Henrich</t>
  </si>
  <si>
    <t>Henrich, Ryan</t>
  </si>
  <si>
    <t>Director, Sales - Security</t>
  </si>
  <si>
    <t>UT</t>
  </si>
  <si>
    <t>Lankford</t>
  </si>
  <si>
    <t>Lankford, Robert</t>
  </si>
  <si>
    <t>Sr ServiceNow Developer</t>
  </si>
  <si>
    <t>KY</t>
  </si>
  <si>
    <t>Dwight</t>
  </si>
  <si>
    <t>Henderson Jr</t>
  </si>
  <si>
    <t>Henderson Jr, Dwight</t>
  </si>
  <si>
    <t>Throckmorton</t>
  </si>
  <si>
    <t>Throckmorton, Daniel</t>
  </si>
  <si>
    <t>WA</t>
  </si>
  <si>
    <t>Benjamin</t>
  </si>
  <si>
    <t>Roberts</t>
  </si>
  <si>
    <t>Roberts, Benjamin</t>
  </si>
  <si>
    <t>Cloud Engineer</t>
  </si>
  <si>
    <t>Lauren</t>
  </si>
  <si>
    <t>Lechleitner</t>
  </si>
  <si>
    <t>Lechleitner, Lauren</t>
  </si>
  <si>
    <t>Recruiter</t>
  </si>
  <si>
    <t>Adam</t>
  </si>
  <si>
    <t>Hansen</t>
  </si>
  <si>
    <t>Hansen, Adam</t>
  </si>
  <si>
    <t>Kevin</t>
  </si>
  <si>
    <t>Montes de Oca</t>
  </si>
  <si>
    <t>Montes de Oca, Kevin</t>
  </si>
  <si>
    <t>CO</t>
  </si>
  <si>
    <t>Scalia</t>
  </si>
  <si>
    <t>Scalia, Michael</t>
  </si>
  <si>
    <t>Stricklin</t>
  </si>
  <si>
    <t>Stricklin, Jonathan</t>
  </si>
  <si>
    <t>Gabriel</t>
  </si>
  <si>
    <t>Sanna</t>
  </si>
  <si>
    <t>Sanna, Gabriel</t>
  </si>
  <si>
    <t>Jason</t>
  </si>
  <si>
    <t>Speet</t>
  </si>
  <si>
    <t>Speet, Jason</t>
  </si>
  <si>
    <t>Mickenzi</t>
  </si>
  <si>
    <t>Krpec</t>
  </si>
  <si>
    <t>Krpec, Mickenzi</t>
  </si>
  <si>
    <t>Operations Coordinator</t>
  </si>
  <si>
    <t>Kanneti</t>
  </si>
  <si>
    <t>Jhansi</t>
  </si>
  <si>
    <t>Jhansi, Kanneti</t>
  </si>
  <si>
    <t>MDD</t>
  </si>
  <si>
    <t>Fox</t>
  </si>
  <si>
    <t>Fox, Jason</t>
  </si>
  <si>
    <t>MSOC</t>
  </si>
  <si>
    <t>SOC Manager</t>
  </si>
  <si>
    <t>Meghan</t>
  </si>
  <si>
    <t>Murray</t>
  </si>
  <si>
    <t>Murray, Meghan</t>
  </si>
  <si>
    <t>Austin</t>
  </si>
  <si>
    <t>Nadler</t>
  </si>
  <si>
    <t>Nadler, Austin</t>
  </si>
  <si>
    <t>Frederick</t>
  </si>
  <si>
    <t>Simpson</t>
  </si>
  <si>
    <t>Simpson, Frederick</t>
  </si>
  <si>
    <t>Paid Intern</t>
  </si>
  <si>
    <t>Finance/Vintern</t>
  </si>
  <si>
    <t>L0</t>
  </si>
  <si>
    <t>Dhanraj</t>
  </si>
  <si>
    <t>Poojari</t>
  </si>
  <si>
    <t>Poojari, Dhanraj</t>
  </si>
  <si>
    <t>ON</t>
  </si>
  <si>
    <t>Warrick</t>
  </si>
  <si>
    <t>Warrick, Andrew</t>
  </si>
  <si>
    <t>VA</t>
  </si>
  <si>
    <t>Oliver</t>
  </si>
  <si>
    <t>McCaffrey</t>
  </si>
  <si>
    <t>McCaffrey, Oliver</t>
  </si>
  <si>
    <t>County Down</t>
  </si>
  <si>
    <t>Sarah</t>
  </si>
  <si>
    <t>Dwyer</t>
  </si>
  <si>
    <t>Dwyer, Sarah</t>
  </si>
  <si>
    <t>Zaynaldine</t>
  </si>
  <si>
    <t>Moselhy</t>
  </si>
  <si>
    <t>Moselhy, Zaynaldine</t>
  </si>
  <si>
    <t>Strategy &amp; Ops</t>
  </si>
  <si>
    <t>Ebert</t>
  </si>
  <si>
    <t>Ebert, Kevin</t>
  </si>
  <si>
    <t>Head of Sales</t>
  </si>
  <si>
    <t>Kelly</t>
  </si>
  <si>
    <t>Kelly, Ryan</t>
  </si>
  <si>
    <t>Nestor</t>
  </si>
  <si>
    <t>Abad Rodriguez</t>
  </si>
  <si>
    <t>Abad Rodriguez, Nestor</t>
  </si>
  <si>
    <t>Tom</t>
  </si>
  <si>
    <t>He</t>
  </si>
  <si>
    <t>He, Tom</t>
  </si>
  <si>
    <t>James</t>
  </si>
  <si>
    <t>Whitehead, James</t>
  </si>
  <si>
    <t>Derbyshire</t>
  </si>
  <si>
    <t>Woolf</t>
  </si>
  <si>
    <t>Woolf, Jacob</t>
  </si>
  <si>
    <t>Heidebritta</t>
  </si>
  <si>
    <t>Frank</t>
  </si>
  <si>
    <t>Frank, Heidebritta</t>
  </si>
  <si>
    <t>Sean</t>
  </si>
  <si>
    <t>McDonough</t>
  </si>
  <si>
    <t>McDonough, Sean</t>
  </si>
  <si>
    <t>Lead SOC Analyst</t>
  </si>
  <si>
    <t>Ona</t>
  </si>
  <si>
    <t>Kolosky, Ona</t>
  </si>
  <si>
    <t>OCM Lead</t>
  </si>
  <si>
    <t>Saurabh</t>
  </si>
  <si>
    <t>Premraj</t>
  </si>
  <si>
    <t>Premraj, Saurabh</t>
  </si>
  <si>
    <t>McCall</t>
  </si>
  <si>
    <t>McCall, Michael</t>
  </si>
  <si>
    <t>Bowers</t>
  </si>
  <si>
    <t>Bowers, Andrew</t>
  </si>
  <si>
    <t>GA</t>
  </si>
  <si>
    <t>Sachs</t>
  </si>
  <si>
    <t>Sachs, David</t>
  </si>
  <si>
    <t>Bryan</t>
  </si>
  <si>
    <t>Kuhlman</t>
  </si>
  <si>
    <t>Kuhlman, Bryan</t>
  </si>
  <si>
    <t>Stacey</t>
  </si>
  <si>
    <t>Pevec</t>
  </si>
  <si>
    <t>Pevec, Stacey</t>
  </si>
  <si>
    <t>Blauvelt</t>
  </si>
  <si>
    <t>Blauvelt, Daniel</t>
  </si>
  <si>
    <t>Junior ServiceNow Developer</t>
  </si>
  <si>
    <t>Tim</t>
  </si>
  <si>
    <t>Marro</t>
  </si>
  <si>
    <t>Marro, Tim</t>
  </si>
  <si>
    <t>Sakshi</t>
  </si>
  <si>
    <t>Sasalate</t>
  </si>
  <si>
    <t>Sasalate, Sakshi</t>
  </si>
  <si>
    <t>Timothy</t>
  </si>
  <si>
    <t>Lau</t>
  </si>
  <si>
    <t>Lau, Timothy</t>
  </si>
  <si>
    <t>Halstead</t>
  </si>
  <si>
    <t>Halstead, Andrew</t>
  </si>
  <si>
    <t>Sven</t>
  </si>
  <si>
    <t>Zhang</t>
  </si>
  <si>
    <t>Zhang, Sven</t>
  </si>
  <si>
    <t>Sr. ServiceNow Engineer</t>
  </si>
  <si>
    <t>AB</t>
  </si>
  <si>
    <t>Lee</t>
  </si>
  <si>
    <t>Lee, Tim</t>
  </si>
  <si>
    <t>Tokuya</t>
  </si>
  <si>
    <t>Takahashi</t>
  </si>
  <si>
    <t>Takahashi, Tokuya</t>
  </si>
  <si>
    <t>Israel</t>
  </si>
  <si>
    <t>Baral</t>
  </si>
  <si>
    <t>Baral, Israel</t>
  </si>
  <si>
    <t>Dean</t>
  </si>
  <si>
    <t>DeMonte</t>
  </si>
  <si>
    <t>DeMonte, Dean</t>
  </si>
  <si>
    <t>Berkshire</t>
  </si>
  <si>
    <t>Masse</t>
  </si>
  <si>
    <t>Masse, Anthony</t>
  </si>
  <si>
    <t>Caroline</t>
  </si>
  <si>
    <t>Foglietta</t>
  </si>
  <si>
    <t>Foglietta, Caroline</t>
  </si>
  <si>
    <t>Tang</t>
  </si>
  <si>
    <t>Tang, Kevin</t>
  </si>
  <si>
    <t>Rory</t>
  </si>
  <si>
    <t>Siedler</t>
  </si>
  <si>
    <t>Siedler, Rory</t>
  </si>
  <si>
    <t>Girouard</t>
  </si>
  <si>
    <t>Girouard, James</t>
  </si>
  <si>
    <t>SD</t>
  </si>
  <si>
    <t>Hale</t>
  </si>
  <si>
    <t>Hale, Ryan</t>
  </si>
  <si>
    <t>WI</t>
  </si>
  <si>
    <t>Thompson</t>
  </si>
  <si>
    <t>Thompson, Jonathan</t>
  </si>
  <si>
    <t>WV</t>
  </si>
  <si>
    <t>Darshilkumar</t>
  </si>
  <si>
    <t>Shah</t>
  </si>
  <si>
    <t>Shah, Darshilkumar</t>
  </si>
  <si>
    <t>Noah</t>
  </si>
  <si>
    <t>Zahrt</t>
  </si>
  <si>
    <t>Zahrt, Noah</t>
  </si>
  <si>
    <t>Maci</t>
  </si>
  <si>
    <t>Villavicencio</t>
  </si>
  <si>
    <t>Villavicencio, Maci</t>
  </si>
  <si>
    <t>Skoczen</t>
  </si>
  <si>
    <t>Skoczen, McKenna</t>
  </si>
  <si>
    <t>Security Operations Center Analyst</t>
  </si>
  <si>
    <t>Shawn</t>
  </si>
  <si>
    <t>Roche</t>
  </si>
  <si>
    <t>Roche, Shawn</t>
  </si>
  <si>
    <t>Baker</t>
  </si>
  <si>
    <t>Baker, Gary</t>
  </si>
  <si>
    <t>Yadwinder</t>
  </si>
  <si>
    <t>Singh</t>
  </si>
  <si>
    <t>Singh, Yadwinder</t>
  </si>
  <si>
    <t>Brooke</t>
  </si>
  <si>
    <t>Berg</t>
  </si>
  <si>
    <t>Berg, Brooke</t>
  </si>
  <si>
    <t>O'Shaughnessy</t>
  </si>
  <si>
    <t>O'Shaughnessy, James</t>
  </si>
  <si>
    <t>Brianne</t>
  </si>
  <si>
    <t>Gallagher</t>
  </si>
  <si>
    <t>Gallagher, Brianne</t>
  </si>
  <si>
    <t>Maile</t>
  </si>
  <si>
    <t>Call</t>
  </si>
  <si>
    <t>Call, Maile</t>
  </si>
  <si>
    <t>Staake</t>
  </si>
  <si>
    <t>Staake, Jason</t>
  </si>
  <si>
    <t>Nicholas</t>
  </si>
  <si>
    <t>Stauffer</t>
  </si>
  <si>
    <t>Stauffer, Nicholas</t>
  </si>
  <si>
    <t>Jeremy</t>
  </si>
  <si>
    <t>Pope</t>
  </si>
  <si>
    <t>Pope, Jeremy</t>
  </si>
  <si>
    <t>Cody</t>
  </si>
  <si>
    <t>Sandford</t>
  </si>
  <si>
    <t>Sandford, Cody</t>
  </si>
  <si>
    <t>Eric</t>
  </si>
  <si>
    <t>Rabkin</t>
  </si>
  <si>
    <t>Rabkin, Eric</t>
  </si>
  <si>
    <t>Accounting Analyst</t>
  </si>
  <si>
    <t>Owen</t>
  </si>
  <si>
    <t>Walsh</t>
  </si>
  <si>
    <t>Walsh, Owen</t>
  </si>
  <si>
    <t>Technical Recruiter</t>
  </si>
  <si>
    <t>Angel</t>
  </si>
  <si>
    <t>Angelov</t>
  </si>
  <si>
    <t>Angelov, Angel</t>
  </si>
  <si>
    <t>Sofia City Province</t>
  </si>
  <si>
    <t>Joseph</t>
  </si>
  <si>
    <t>Martinez</t>
  </si>
  <si>
    <t>Martinez, Joseph</t>
  </si>
  <si>
    <t>Favian</t>
  </si>
  <si>
    <t>Velasco</t>
  </si>
  <si>
    <t>Velasco, Favian</t>
  </si>
  <si>
    <t>Harry</t>
  </si>
  <si>
    <t>Tomczyk</t>
  </si>
  <si>
    <t>Tomczyk, Harry</t>
  </si>
  <si>
    <t>Bense</t>
  </si>
  <si>
    <t>Bense, Kyle</t>
  </si>
  <si>
    <t>AZ</t>
  </si>
  <si>
    <t>Luke</t>
  </si>
  <si>
    <t>Covalt</t>
  </si>
  <si>
    <t>Covalt, Luke</t>
  </si>
  <si>
    <t>Gage</t>
  </si>
  <si>
    <t>Howell</t>
  </si>
  <si>
    <t>Howell, Gage</t>
  </si>
  <si>
    <t>Fellows</t>
  </si>
  <si>
    <t>Fellows, Andrew</t>
  </si>
  <si>
    <t>Gabriella</t>
  </si>
  <si>
    <t>Catalano</t>
  </si>
  <si>
    <t>Catalano, Gabriella</t>
  </si>
  <si>
    <t>Salvatore</t>
  </si>
  <si>
    <t>Costa</t>
  </si>
  <si>
    <t>Costa, Salvatore</t>
  </si>
  <si>
    <t>Senior Solutions Engineer</t>
  </si>
  <si>
    <t>Brendan</t>
  </si>
  <si>
    <t>Nolan</t>
  </si>
  <si>
    <t>Nolan, Brendan</t>
  </si>
  <si>
    <t>Talon</t>
  </si>
  <si>
    <t>Walz</t>
  </si>
  <si>
    <t>Walz, Talon</t>
  </si>
  <si>
    <t>Hennessy</t>
  </si>
  <si>
    <t>Hennessy, Daniel</t>
  </si>
  <si>
    <t>Sr Cloud Engineer</t>
  </si>
  <si>
    <t>Northern Ireland</t>
  </si>
  <si>
    <t>Christopher</t>
  </si>
  <si>
    <t>Turner</t>
  </si>
  <si>
    <t>Turner, Christopher</t>
  </si>
  <si>
    <t>Evan</t>
  </si>
  <si>
    <t>Mitchell, Evan</t>
  </si>
  <si>
    <t>Sr Cloud Engineering Manager</t>
  </si>
  <si>
    <t>Tyler</t>
  </si>
  <si>
    <t>Grimshaw</t>
  </si>
  <si>
    <t>Grimshaw, Tyler</t>
  </si>
  <si>
    <t>Samara</t>
  </si>
  <si>
    <t>McVey</t>
  </si>
  <si>
    <t>McVey, Samara</t>
  </si>
  <si>
    <t>PM Intern</t>
  </si>
  <si>
    <t>Jacy</t>
  </si>
  <si>
    <t>Hennawy</t>
  </si>
  <si>
    <t>Hennawy, Jacy</t>
  </si>
  <si>
    <t>People Ops</t>
  </si>
  <si>
    <t>Brian</t>
  </si>
  <si>
    <t>McGonigal</t>
  </si>
  <si>
    <t>McGonigal, Brian</t>
  </si>
  <si>
    <t>Dean, James</t>
  </si>
  <si>
    <t>Kent</t>
  </si>
  <si>
    <t>Marsha</t>
  </si>
  <si>
    <t>Whitman</t>
  </si>
  <si>
    <t>Whitman, Marsha</t>
  </si>
  <si>
    <t>Senior Program Manager</t>
  </si>
  <si>
    <t>Button</t>
  </si>
  <si>
    <t>Button, Michael</t>
  </si>
  <si>
    <t>IT Support</t>
  </si>
  <si>
    <t>Robin</t>
  </si>
  <si>
    <t>Wiggs</t>
  </si>
  <si>
    <t>Wiggs, Robin</t>
  </si>
  <si>
    <t>West Sussex</t>
  </si>
  <si>
    <t>Fennell</t>
  </si>
  <si>
    <t>Fennell, John</t>
  </si>
  <si>
    <t>Associate Brand Manager</t>
  </si>
  <si>
    <t>Vivian</t>
  </si>
  <si>
    <t>Wu</t>
  </si>
  <si>
    <t>Wu, Vivian</t>
  </si>
  <si>
    <t>People Ops Generalist</t>
  </si>
  <si>
    <t>Mendes</t>
  </si>
  <si>
    <t>Mendes, Jackson</t>
  </si>
  <si>
    <t>ServiceNow Intern</t>
  </si>
  <si>
    <t>Samantha</t>
  </si>
  <si>
    <t>Purpura</t>
  </si>
  <si>
    <t>Purpura, Samantha</t>
  </si>
  <si>
    <t>Platform Operations Coordinator</t>
  </si>
  <si>
    <t>Jamie</t>
  </si>
  <si>
    <t>Cosgrove</t>
  </si>
  <si>
    <t>Cosgrove, Jamie</t>
  </si>
  <si>
    <t>Contractor/Consultant</t>
  </si>
  <si>
    <t>Lenny</t>
  </si>
  <si>
    <t>Caraballo</t>
  </si>
  <si>
    <t>Caraballo, Lenny</t>
  </si>
  <si>
    <t>Managed Datadog Engineer</t>
  </si>
  <si>
    <t>Nguyen</t>
  </si>
  <si>
    <t>Nguyen, Anthony</t>
  </si>
  <si>
    <t>VIC</t>
  </si>
  <si>
    <t>Paulina</t>
  </si>
  <si>
    <t>Mateo</t>
  </si>
  <si>
    <t>Mateo, Paulina</t>
  </si>
  <si>
    <t>OCM Specialist</t>
  </si>
  <si>
    <t>Kean</t>
  </si>
  <si>
    <t>Weng, Yap</t>
  </si>
  <si>
    <t>Weng, Yap, Kean</t>
  </si>
  <si>
    <t>Jared</t>
  </si>
  <si>
    <t>Kennedy</t>
  </si>
  <si>
    <t>Kennedy, Jared</t>
  </si>
  <si>
    <t>NSW</t>
  </si>
  <si>
    <t>COR</t>
  </si>
  <si>
    <t>S&amp;M</t>
  </si>
  <si>
    <t>G&amp;A</t>
  </si>
  <si>
    <t>Pd Intern</t>
  </si>
  <si>
    <t>Contractor</t>
  </si>
  <si>
    <t>Ck</t>
  </si>
  <si>
    <t>Termed</t>
  </si>
  <si>
    <t>Attrition</t>
  </si>
  <si>
    <t>Voluntary</t>
  </si>
  <si>
    <t>MoM Chg</t>
  </si>
  <si>
    <t>Dept</t>
  </si>
  <si>
    <t>Key</t>
  </si>
  <si>
    <t>Billable</t>
  </si>
  <si>
    <t>Prefix- Personnel</t>
  </si>
  <si>
    <t>SYNE Classification</t>
  </si>
  <si>
    <t>HC By Month Key</t>
  </si>
  <si>
    <t>General &amp; Administrative:G&amp;A- Travel Expenses:</t>
  </si>
  <si>
    <t>General &amp; Administrative:G&amp;A- Personnel Expenses:</t>
  </si>
  <si>
    <t>Sales &amp; Marketing:Sales &amp; Marketing- Travel Expenses:</t>
  </si>
  <si>
    <t>Sales &amp; Marketing:Sales &amp; Marketing- Personnel Expenses: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</si>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</sst>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yyyy-mm-dd h:mm:ss"/>
  </numFmts>
  <fonts count="7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Arial"/>
    </font>
    <font>
      <sz val="11.0"/>
      <color theme="1"/>
      <name val="Calibri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rgb="FFFFFFCC"/>
      </patternFill>
    </fill>
  </fills>
  <borders count="3">
    <border/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left" vertical="center"/>
    </xf>
    <xf borderId="2" fillId="3" fontId="2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left" readingOrder="0" vertical="center"/>
    </xf>
    <xf borderId="2" fillId="3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center"/>
    </xf>
    <xf borderId="2" fillId="4" fontId="2" numFmtId="0" xfId="0" applyAlignment="1" applyBorder="1" applyFill="1" applyFont="1">
      <alignment horizontal="left" vertical="center"/>
    </xf>
    <xf borderId="0" fillId="0" fontId="2" numFmtId="10" xfId="0" applyAlignment="1" applyFont="1" applyNumberFormat="1">
      <alignment horizontal="left" vertical="center"/>
    </xf>
    <xf borderId="0" fillId="0" fontId="3" numFmtId="14" xfId="0" applyAlignment="1" applyFont="1" applyNumberFormat="1">
      <alignment horizontal="left" shrinkToFit="0" vertical="center" wrapText="1"/>
    </xf>
    <xf borderId="0" fillId="0" fontId="3" numFmtId="1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3" width="11.75"/>
    <col customWidth="1" min="4" max="4" width="17.88"/>
    <col customWidth="1" min="5" max="5" width="10.38"/>
    <col customWidth="1" min="6" max="6" width="11.25"/>
    <col customWidth="1" min="7" max="7" width="14.25"/>
    <col customWidth="1" min="8" max="8" width="14.88"/>
    <col customWidth="1" min="9" max="9" width="12.13"/>
    <col customWidth="1" min="10" max="10" width="15.63"/>
    <col customWidth="1" min="11" max="11" width="10.63"/>
    <col customWidth="1" min="12" max="12" width="32.38"/>
    <col customWidth="1" min="13" max="13" width="11.88"/>
    <col customWidth="1" min="14" max="14" width="11.13"/>
    <col customWidth="1" min="15" max="15" width="9.13"/>
    <col customWidth="1" min="16" max="16" width="29.88"/>
    <col customWidth="1" min="17" max="17" width="32.25"/>
    <col customWidth="1" min="18" max="18" width="28.38"/>
    <col customWidth="1" min="19" max="19" width="45.38"/>
    <col customWidth="1" min="20" max="20" width="7.88"/>
    <col customWidth="1" min="21" max="21" width="29.88"/>
    <col customWidth="1" min="22" max="26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3"/>
      <c r="W1" s="3"/>
      <c r="X1" s="3"/>
      <c r="Y1" s="3"/>
      <c r="Z1" s="3"/>
    </row>
    <row r="2" ht="12.75" customHeight="1">
      <c r="A2" s="4">
        <v>1.0</v>
      </c>
      <c r="B2" s="5" t="s">
        <v>19</v>
      </c>
      <c r="C2" s="5" t="s">
        <v>20</v>
      </c>
      <c r="D2" s="5" t="s">
        <v>21</v>
      </c>
      <c r="E2" s="5" t="s">
        <v>22</v>
      </c>
      <c r="F2" s="6">
        <v>43651.0</v>
      </c>
      <c r="G2" s="5" t="s">
        <v>23</v>
      </c>
      <c r="H2" s="6">
        <v>45884.0</v>
      </c>
      <c r="I2" s="5" t="s">
        <v>24</v>
      </c>
      <c r="J2" s="5" t="s">
        <v>24</v>
      </c>
      <c r="K2" s="5" t="s">
        <v>25</v>
      </c>
      <c r="L2" s="5" t="s">
        <v>26</v>
      </c>
      <c r="M2" s="7" t="s">
        <v>27</v>
      </c>
      <c r="N2" s="5" t="s">
        <v>28</v>
      </c>
      <c r="O2" s="5" t="s">
        <v>29</v>
      </c>
      <c r="P2" s="5" t="s">
        <v>30</v>
      </c>
      <c r="Q2" s="7" t="str">
        <f t="shared" ref="Q2:Q174" si="1">M2</f>
        <v>400- Synechron:410- Digital platforms G&amp;A</v>
      </c>
      <c r="R2" s="7" t="str">
        <f t="array" ref="R2">IF($N2="Yes","Cost of Goods Sold:COGS- Travel Expenses:",IF($N2="No",XLOOKUP($Q2,Key!$I:$I,Key!$J:$J),"Review Billable Status"))</f>
        <v>General &amp; Administrative:G&amp;A- Travel Expenses:</v>
      </c>
      <c r="S2" s="7" t="str">
        <f t="array" ref="S2">IF($N2="Yes","Cost of Goods Sold:COGS- Personnel Expense:",IF($N2="No",XLOOKUP($Q2,Key!$I:$I,Key!$K:$K),"Review Billable Status"))</f>
        <v>General &amp; Administrative:G&amp;A- Personnel Expenses:</v>
      </c>
      <c r="T2" s="5"/>
      <c r="U2" s="5"/>
      <c r="V2" s="5"/>
      <c r="W2" s="8"/>
      <c r="X2" s="8"/>
      <c r="Y2" s="8"/>
      <c r="Z2" s="8"/>
    </row>
    <row r="3" ht="12.75" customHeight="1">
      <c r="A3" s="4">
        <v>2.0</v>
      </c>
      <c r="B3" s="5" t="s">
        <v>31</v>
      </c>
      <c r="C3" s="5" t="s">
        <v>32</v>
      </c>
      <c r="D3" s="5" t="s">
        <v>33</v>
      </c>
      <c r="E3" s="5" t="s">
        <v>22</v>
      </c>
      <c r="F3" s="6">
        <v>43647.0</v>
      </c>
      <c r="G3" s="5" t="s">
        <v>23</v>
      </c>
      <c r="H3" s="6">
        <v>43773.0</v>
      </c>
      <c r="I3" s="5" t="s">
        <v>34</v>
      </c>
      <c r="J3" s="5" t="s">
        <v>35</v>
      </c>
      <c r="K3" s="5" t="s">
        <v>36</v>
      </c>
      <c r="L3" s="5" t="s">
        <v>37</v>
      </c>
      <c r="M3" s="7" t="s">
        <v>38</v>
      </c>
      <c r="N3" s="5" t="s">
        <v>39</v>
      </c>
      <c r="O3" s="5" t="s">
        <v>40</v>
      </c>
      <c r="P3" s="5" t="s">
        <v>41</v>
      </c>
      <c r="Q3" s="7" t="str">
        <f t="shared" si="1"/>
        <v>300- ServiceNow:320- Engineering</v>
      </c>
      <c r="R3" s="7" t="str">
        <f t="array" ref="R3">IF($N3="Yes","Cost of Goods Sold:COGS- Travel Expenses:",IF($N3="No",XLOOKUP($Q3,Key!$I:$I,Key!$J:$J),"Review Billable Status"))</f>
        <v>Cost of Goods Sold:COGS- Travel Expenses:</v>
      </c>
      <c r="S3" s="7" t="str">
        <f t="array" ref="S3">IF($N3="Yes","Cost of Goods Sold:COGS- Personnel Expense:",IF($N3="No",XLOOKUP($Q3,Key!$I:$I,Key!$K:$K),"Review Billable Status"))</f>
        <v>Cost of Goods Sold:COGS- Personnel Expense:</v>
      </c>
      <c r="T3" s="5"/>
      <c r="U3" s="5"/>
      <c r="V3" s="5"/>
      <c r="W3" s="8"/>
      <c r="X3" s="8"/>
      <c r="Y3" s="8"/>
      <c r="Z3" s="8"/>
    </row>
    <row r="4" ht="12.75" customHeight="1">
      <c r="A4" s="4">
        <v>3.0</v>
      </c>
      <c r="B4" s="5" t="s">
        <v>42</v>
      </c>
      <c r="C4" s="5" t="s">
        <v>43</v>
      </c>
      <c r="D4" s="5" t="s">
        <v>44</v>
      </c>
      <c r="E4" s="5" t="s">
        <v>22</v>
      </c>
      <c r="F4" s="6">
        <v>43773.0</v>
      </c>
      <c r="G4" s="5" t="s">
        <v>23</v>
      </c>
      <c r="H4" s="6">
        <v>43773.0</v>
      </c>
      <c r="I4" s="5" t="s">
        <v>34</v>
      </c>
      <c r="J4" s="5" t="s">
        <v>45</v>
      </c>
      <c r="K4" s="5" t="s">
        <v>25</v>
      </c>
      <c r="L4" s="5" t="s">
        <v>46</v>
      </c>
      <c r="M4" s="7" t="s">
        <v>47</v>
      </c>
      <c r="N4" s="5" t="s">
        <v>28</v>
      </c>
      <c r="O4" s="5" t="s">
        <v>40</v>
      </c>
      <c r="P4" s="5" t="s">
        <v>30</v>
      </c>
      <c r="Q4" s="7" t="str">
        <f t="shared" si="1"/>
        <v>300- ServiceNow:330- Sales</v>
      </c>
      <c r="R4" s="7" t="str">
        <f t="array" ref="R4">IF($N4="Yes","Cost of Goods Sold:COGS- Travel Expenses:",IF($N4="No",XLOOKUP($Q4,Key!$I:$I,Key!$J:$J),"Review Billable Status"))</f>
        <v>Sales &amp; Marketing:Sales &amp; Marketing- Travel Expenses:</v>
      </c>
      <c r="S4" s="7" t="str">
        <f t="array" ref="S4">IF($N4="Yes","Cost of Goods Sold:COGS- Personnel Expense:",IF($N4="No",XLOOKUP($Q4,Key!$I:$I,Key!$K:$K),"Review Billable Status"))</f>
        <v>Sales &amp; Marketing:Sales &amp; Marketing- Personnel Expenses:</v>
      </c>
      <c r="T4" s="5"/>
      <c r="U4" s="5"/>
      <c r="V4" s="5"/>
      <c r="W4" s="8"/>
      <c r="X4" s="8"/>
      <c r="Y4" s="8"/>
      <c r="Z4" s="8"/>
    </row>
    <row r="5" ht="12.75" customHeight="1">
      <c r="A5" s="4">
        <v>4.0</v>
      </c>
      <c r="B5" s="5" t="s">
        <v>48</v>
      </c>
      <c r="C5" s="5" t="s">
        <v>49</v>
      </c>
      <c r="D5" s="5" t="s">
        <v>50</v>
      </c>
      <c r="E5" s="5" t="s">
        <v>22</v>
      </c>
      <c r="F5" s="6">
        <v>43754.0</v>
      </c>
      <c r="G5" s="5" t="s">
        <v>23</v>
      </c>
      <c r="H5" s="6">
        <v>43754.0</v>
      </c>
      <c r="I5" s="5" t="s">
        <v>34</v>
      </c>
      <c r="J5" s="5" t="s">
        <v>35</v>
      </c>
      <c r="K5" s="5" t="s">
        <v>25</v>
      </c>
      <c r="L5" s="5" t="s">
        <v>51</v>
      </c>
      <c r="M5" s="7" t="s">
        <v>38</v>
      </c>
      <c r="N5" s="5" t="s">
        <v>39</v>
      </c>
      <c r="O5" s="5" t="s">
        <v>52</v>
      </c>
      <c r="P5" s="5" t="s">
        <v>53</v>
      </c>
      <c r="Q5" s="7" t="str">
        <f t="shared" si="1"/>
        <v>300- ServiceNow:320- Engineering</v>
      </c>
      <c r="R5" s="7" t="str">
        <f t="array" ref="R5">IF($N5="Yes","Cost of Goods Sold:COGS- Travel Expenses:",IF($N5="No",XLOOKUP($Q5,Key!$I:$I,Key!$J:$J),"Review Billable Status"))</f>
        <v>Cost of Goods Sold:COGS- Travel Expenses:</v>
      </c>
      <c r="S5" s="7" t="str">
        <f t="array" ref="S5">IF($N5="Yes","Cost of Goods Sold:COGS- Personnel Expense:",IF($N5="No",XLOOKUP($Q5,Key!$I:$I,Key!$K:$K),"Review Billable Status"))</f>
        <v>Cost of Goods Sold:COGS- Personnel Expense:</v>
      </c>
      <c r="T5" s="5"/>
      <c r="U5" s="5"/>
      <c r="V5" s="5"/>
      <c r="W5" s="8"/>
      <c r="X5" s="8"/>
      <c r="Y5" s="8"/>
      <c r="Z5" s="8"/>
    </row>
    <row r="6" ht="12.75" customHeight="1">
      <c r="A6" s="4">
        <v>7.0</v>
      </c>
      <c r="B6" s="5" t="s">
        <v>54</v>
      </c>
      <c r="C6" s="5" t="s">
        <v>55</v>
      </c>
      <c r="D6" s="5" t="s">
        <v>56</v>
      </c>
      <c r="E6" s="5" t="s">
        <v>22</v>
      </c>
      <c r="F6" s="6">
        <v>43885.0</v>
      </c>
      <c r="G6" s="5" t="s">
        <v>23</v>
      </c>
      <c r="H6" s="6">
        <v>43885.0</v>
      </c>
      <c r="I6" s="5" t="s">
        <v>24</v>
      </c>
      <c r="J6" s="5" t="s">
        <v>57</v>
      </c>
      <c r="K6" s="5" t="s">
        <v>36</v>
      </c>
      <c r="L6" s="5" t="s">
        <v>58</v>
      </c>
      <c r="M6" s="7" t="s">
        <v>27</v>
      </c>
      <c r="N6" s="5" t="s">
        <v>39</v>
      </c>
      <c r="O6" s="5" t="s">
        <v>59</v>
      </c>
      <c r="P6" s="5" t="s">
        <v>60</v>
      </c>
      <c r="Q6" s="7" t="str">
        <f t="shared" si="1"/>
        <v>400- Synechron:410- Digital platforms G&amp;A</v>
      </c>
      <c r="R6" s="7" t="str">
        <f t="array" ref="R6">IF($N6="Yes","Cost of Goods Sold:COGS- Travel Expenses:",IF($N6="No",XLOOKUP($Q6,Key!$I:$I,Key!$J:$J),"Review Billable Status"))</f>
        <v>Cost of Goods Sold:COGS- Travel Expenses:</v>
      </c>
      <c r="S6" s="7" t="str">
        <f t="array" ref="S6">IF($N6="Yes","Cost of Goods Sold:COGS- Personnel Expense:",IF($N6="No",XLOOKUP($Q6,Key!$I:$I,Key!$K:$K),"Review Billable Status"))</f>
        <v>Cost of Goods Sold:COGS- Personnel Expense:</v>
      </c>
      <c r="T6" s="5"/>
      <c r="U6" s="5"/>
      <c r="V6" s="5"/>
      <c r="W6" s="8"/>
      <c r="X6" s="8"/>
      <c r="Y6" s="8"/>
      <c r="Z6" s="8"/>
    </row>
    <row r="7" ht="12.75" customHeight="1">
      <c r="A7" s="4">
        <v>8.0</v>
      </c>
      <c r="B7" s="5" t="s">
        <v>61</v>
      </c>
      <c r="C7" s="5" t="s">
        <v>62</v>
      </c>
      <c r="D7" s="5" t="s">
        <v>63</v>
      </c>
      <c r="E7" s="5" t="s">
        <v>22</v>
      </c>
      <c r="F7" s="6">
        <v>43906.0</v>
      </c>
      <c r="G7" s="5" t="s">
        <v>23</v>
      </c>
      <c r="H7" s="6">
        <v>43906.0</v>
      </c>
      <c r="I7" s="5" t="s">
        <v>64</v>
      </c>
      <c r="J7" s="5" t="s">
        <v>35</v>
      </c>
      <c r="K7" s="5" t="s">
        <v>25</v>
      </c>
      <c r="L7" s="5" t="s">
        <v>65</v>
      </c>
      <c r="M7" s="7" t="s">
        <v>66</v>
      </c>
      <c r="N7" s="5" t="s">
        <v>39</v>
      </c>
      <c r="O7" s="5" t="s">
        <v>59</v>
      </c>
      <c r="P7" s="5" t="s">
        <v>30</v>
      </c>
      <c r="Q7" s="7" t="str">
        <f t="shared" si="1"/>
        <v>200- Datadog:230- Sales</v>
      </c>
      <c r="R7" s="7" t="str">
        <f t="array" ref="R7">IF($N7="Yes","Cost of Goods Sold:COGS- Travel Expenses:",IF($N7="No",XLOOKUP($Q7,Key!$I:$I,Key!$J:$J),"Review Billable Status"))</f>
        <v>Cost of Goods Sold:COGS- Travel Expenses:</v>
      </c>
      <c r="S7" s="7" t="str">
        <f t="array" ref="S7">IF($N7="Yes","Cost of Goods Sold:COGS- Personnel Expense:",IF($N7="No",XLOOKUP($Q7,Key!$I:$I,Key!$K:$K),"Review Billable Status"))</f>
        <v>Cost of Goods Sold:COGS- Personnel Expense:</v>
      </c>
      <c r="T7" s="5"/>
      <c r="U7" s="5"/>
      <c r="V7" s="5"/>
      <c r="W7" s="8"/>
      <c r="X7" s="8"/>
      <c r="Y7" s="8"/>
      <c r="Z7" s="8"/>
    </row>
    <row r="8" ht="12.75" customHeight="1">
      <c r="A8" s="4">
        <v>9.0</v>
      </c>
      <c r="B8" s="5" t="s">
        <v>67</v>
      </c>
      <c r="C8" s="5" t="s">
        <v>68</v>
      </c>
      <c r="D8" s="5" t="s">
        <v>69</v>
      </c>
      <c r="E8" s="5" t="s">
        <v>22</v>
      </c>
      <c r="F8" s="6">
        <v>43927.0</v>
      </c>
      <c r="G8" s="5" t="s">
        <v>23</v>
      </c>
      <c r="H8" s="6">
        <v>43927.0</v>
      </c>
      <c r="I8" s="5" t="s">
        <v>34</v>
      </c>
      <c r="J8" s="5" t="s">
        <v>45</v>
      </c>
      <c r="K8" s="5" t="s">
        <v>25</v>
      </c>
      <c r="L8" s="5" t="s">
        <v>70</v>
      </c>
      <c r="M8" s="7" t="s">
        <v>47</v>
      </c>
      <c r="N8" s="5" t="s">
        <v>28</v>
      </c>
      <c r="O8" s="5" t="s">
        <v>52</v>
      </c>
      <c r="P8" s="5" t="s">
        <v>30</v>
      </c>
      <c r="Q8" s="7" t="str">
        <f t="shared" si="1"/>
        <v>300- ServiceNow:330- Sales</v>
      </c>
      <c r="R8" s="7" t="str">
        <f t="array" ref="R8">IF($N8="Yes","Cost of Goods Sold:COGS- Travel Expenses:",IF($N8="No",XLOOKUP($Q8,Key!$I:$I,Key!$J:$J),"Review Billable Status"))</f>
        <v>Sales &amp; Marketing:Sales &amp; Marketing- Travel Expenses:</v>
      </c>
      <c r="S8" s="7" t="str">
        <f t="array" ref="S8">IF($N8="Yes","Cost of Goods Sold:COGS- Personnel Expense:",IF($N8="No",XLOOKUP($Q8,Key!$I:$I,Key!$K:$K),"Review Billable Status"))</f>
        <v>Sales &amp; Marketing:Sales &amp; Marketing- Personnel Expenses:</v>
      </c>
      <c r="T8" s="5"/>
      <c r="U8" s="5"/>
      <c r="V8" s="5"/>
      <c r="W8" s="8"/>
      <c r="X8" s="8"/>
      <c r="Y8" s="8"/>
      <c r="Z8" s="8"/>
    </row>
    <row r="9" ht="12.75" customHeight="1">
      <c r="A9" s="4">
        <v>10.0</v>
      </c>
      <c r="B9" s="5" t="s">
        <v>71</v>
      </c>
      <c r="C9" s="5" t="s">
        <v>72</v>
      </c>
      <c r="D9" s="5" t="s">
        <v>73</v>
      </c>
      <c r="E9" s="5" t="s">
        <v>22</v>
      </c>
      <c r="F9" s="6">
        <v>43985.0</v>
      </c>
      <c r="G9" s="5" t="s">
        <v>23</v>
      </c>
      <c r="H9" s="6">
        <v>43985.0</v>
      </c>
      <c r="I9" s="5" t="s">
        <v>64</v>
      </c>
      <c r="J9" s="5" t="s">
        <v>35</v>
      </c>
      <c r="K9" s="5" t="s">
        <v>36</v>
      </c>
      <c r="L9" s="5" t="s">
        <v>74</v>
      </c>
      <c r="M9" s="7" t="s">
        <v>75</v>
      </c>
      <c r="N9" s="5" t="s">
        <v>39</v>
      </c>
      <c r="O9" s="5" t="s">
        <v>40</v>
      </c>
      <c r="P9" s="5" t="s">
        <v>76</v>
      </c>
      <c r="Q9" s="7" t="str">
        <f t="shared" si="1"/>
        <v>200- Datadog:220- Engineering</v>
      </c>
      <c r="R9" s="7" t="str">
        <f t="array" ref="R9">IF($N9="Yes","Cost of Goods Sold:COGS- Travel Expenses:",IF($N9="No",XLOOKUP($Q9,Key!$I:$I,Key!$J:$J),"Review Billable Status"))</f>
        <v>Cost of Goods Sold:COGS- Travel Expenses:</v>
      </c>
      <c r="S9" s="7" t="str">
        <f t="array" ref="S9">IF($N9="Yes","Cost of Goods Sold:COGS- Personnel Expense:",IF($N9="No",XLOOKUP($Q9,Key!$I:$I,Key!$K:$K),"Review Billable Status"))</f>
        <v>Cost of Goods Sold:COGS- Personnel Expense:</v>
      </c>
      <c r="T9" s="5"/>
      <c r="U9" s="5"/>
      <c r="V9" s="5"/>
      <c r="W9" s="8"/>
      <c r="X9" s="8"/>
      <c r="Y9" s="8"/>
      <c r="Z9" s="8"/>
    </row>
    <row r="10" ht="12.75" customHeight="1">
      <c r="A10" s="4">
        <v>12.0</v>
      </c>
      <c r="B10" s="5" t="s">
        <v>77</v>
      </c>
      <c r="C10" s="5" t="s">
        <v>78</v>
      </c>
      <c r="D10" s="5" t="s">
        <v>79</v>
      </c>
      <c r="E10" s="5" t="s">
        <v>22</v>
      </c>
      <c r="F10" s="6">
        <v>44060.0</v>
      </c>
      <c r="G10" s="5" t="s">
        <v>23</v>
      </c>
      <c r="H10" s="6">
        <v>44060.0</v>
      </c>
      <c r="I10" s="5" t="s">
        <v>34</v>
      </c>
      <c r="J10" s="5" t="s">
        <v>35</v>
      </c>
      <c r="K10" s="5" t="s">
        <v>25</v>
      </c>
      <c r="L10" s="5" t="s">
        <v>80</v>
      </c>
      <c r="M10" s="7" t="s">
        <v>38</v>
      </c>
      <c r="N10" s="5" t="s">
        <v>28</v>
      </c>
      <c r="O10" s="5" t="s">
        <v>40</v>
      </c>
      <c r="P10" s="5" t="s">
        <v>30</v>
      </c>
      <c r="Q10" s="7" t="str">
        <f t="shared" si="1"/>
        <v>300- ServiceNow:320- Engineering</v>
      </c>
      <c r="R10" s="7" t="str">
        <f t="array" ref="R10">IF($N10="Yes","Cost of Goods Sold:COGS- Travel Expenses:",IF($N10="No",XLOOKUP($Q10,Key!$I:$I,Key!$J:$J),"Review Billable Status"))</f>
        <v>General &amp; Administrative:G&amp;A- Travel Expenses:</v>
      </c>
      <c r="S10" s="7" t="str">
        <f t="array" ref="S10">IF($N10="Yes","Cost of Goods Sold:COGS- Personnel Expense:",IF($N10="No",XLOOKUP($Q10,Key!$I:$I,Key!$K:$K),"Review Billable Status"))</f>
        <v>General &amp; Administrative:G&amp;A- Personnel Expenses:</v>
      </c>
      <c r="T10" s="5"/>
      <c r="U10" s="5"/>
      <c r="V10" s="5"/>
      <c r="W10" s="8"/>
      <c r="X10" s="8"/>
      <c r="Y10" s="8"/>
      <c r="Z10" s="8"/>
    </row>
    <row r="11" ht="12.75" customHeight="1">
      <c r="A11" s="4">
        <v>14.0</v>
      </c>
      <c r="B11" s="5" t="s">
        <v>81</v>
      </c>
      <c r="C11" s="5" t="s">
        <v>82</v>
      </c>
      <c r="D11" s="5" t="s">
        <v>83</v>
      </c>
      <c r="E11" s="5" t="s">
        <v>22</v>
      </c>
      <c r="F11" s="6">
        <v>44088.0</v>
      </c>
      <c r="G11" s="5" t="s">
        <v>23</v>
      </c>
      <c r="H11" s="6">
        <v>44088.0</v>
      </c>
      <c r="I11" s="5" t="s">
        <v>34</v>
      </c>
      <c r="J11" s="5" t="s">
        <v>35</v>
      </c>
      <c r="K11" s="5" t="s">
        <v>25</v>
      </c>
      <c r="L11" s="5" t="s">
        <v>84</v>
      </c>
      <c r="M11" s="7" t="s">
        <v>38</v>
      </c>
      <c r="N11" s="5" t="s">
        <v>39</v>
      </c>
      <c r="O11" s="5" t="s">
        <v>85</v>
      </c>
      <c r="P11" s="5" t="s">
        <v>86</v>
      </c>
      <c r="Q11" s="7" t="str">
        <f t="shared" si="1"/>
        <v>300- ServiceNow:320- Engineering</v>
      </c>
      <c r="R11" s="7" t="str">
        <f t="array" ref="R11">IF($N11="Yes","Cost of Goods Sold:COGS- Travel Expenses:",IF($N11="No",XLOOKUP($Q11,Key!$I:$I,Key!$J:$J),"Review Billable Status"))</f>
        <v>Cost of Goods Sold:COGS- Travel Expenses:</v>
      </c>
      <c r="S11" s="7" t="str">
        <f t="array" ref="S11">IF($N11="Yes","Cost of Goods Sold:COGS- Personnel Expense:",IF($N11="No",XLOOKUP($Q11,Key!$I:$I,Key!$K:$K),"Review Billable Status"))</f>
        <v>Cost of Goods Sold:COGS- Personnel Expense:</v>
      </c>
      <c r="T11" s="5"/>
      <c r="U11" s="5"/>
      <c r="V11" s="5"/>
      <c r="W11" s="8"/>
      <c r="X11" s="8"/>
      <c r="Y11" s="8"/>
      <c r="Z11" s="8"/>
    </row>
    <row r="12" ht="12.75" customHeight="1">
      <c r="A12" s="4">
        <v>15.0</v>
      </c>
      <c r="B12" s="5" t="s">
        <v>87</v>
      </c>
      <c r="C12" s="5" t="s">
        <v>88</v>
      </c>
      <c r="D12" s="5" t="s">
        <v>89</v>
      </c>
      <c r="E12" s="5" t="s">
        <v>22</v>
      </c>
      <c r="F12" s="6">
        <v>44102.0</v>
      </c>
      <c r="G12" s="5" t="s">
        <v>23</v>
      </c>
      <c r="H12" s="6">
        <v>44102.0</v>
      </c>
      <c r="I12" s="5" t="s">
        <v>64</v>
      </c>
      <c r="J12" s="5" t="s">
        <v>45</v>
      </c>
      <c r="K12" s="5" t="s">
        <v>25</v>
      </c>
      <c r="L12" s="5" t="s">
        <v>90</v>
      </c>
      <c r="M12" s="7" t="s">
        <v>66</v>
      </c>
      <c r="N12" s="5" t="s">
        <v>28</v>
      </c>
      <c r="O12" s="5" t="s">
        <v>52</v>
      </c>
      <c r="P12" s="5" t="s">
        <v>30</v>
      </c>
      <c r="Q12" s="7" t="str">
        <f t="shared" si="1"/>
        <v>200- Datadog:230- Sales</v>
      </c>
      <c r="R12" s="7" t="str">
        <f t="array" ref="R12">IF($N12="Yes","Cost of Goods Sold:COGS- Travel Expenses:",IF($N12="No",XLOOKUP($Q12,Key!$I:$I,Key!$J:$J),"Review Billable Status"))</f>
        <v>Sales &amp; Marketing:Sales &amp; Marketing- Travel Expenses:</v>
      </c>
      <c r="S12" s="7" t="str">
        <f t="array" ref="S12">IF($N12="Yes","Cost of Goods Sold:COGS- Personnel Expense:",IF($N12="No",XLOOKUP($Q12,Key!$I:$I,Key!$K:$K),"Review Billable Status"))</f>
        <v>Sales &amp; Marketing:Sales &amp; Marketing- Personnel Expenses:</v>
      </c>
      <c r="T12" s="5"/>
      <c r="U12" s="5"/>
      <c r="V12" s="5"/>
      <c r="W12" s="8"/>
      <c r="X12" s="8"/>
      <c r="Y12" s="8"/>
      <c r="Z12" s="8"/>
    </row>
    <row r="13" ht="12.75" customHeight="1">
      <c r="A13" s="4">
        <v>18.0</v>
      </c>
      <c r="B13" s="5" t="s">
        <v>91</v>
      </c>
      <c r="C13" s="5" t="s">
        <v>92</v>
      </c>
      <c r="D13" s="5" t="s">
        <v>93</v>
      </c>
      <c r="E13" s="5" t="s">
        <v>22</v>
      </c>
      <c r="F13" s="6">
        <v>44151.0</v>
      </c>
      <c r="G13" s="5" t="s">
        <v>23</v>
      </c>
      <c r="H13" s="6">
        <v>44151.0</v>
      </c>
      <c r="I13" s="5" t="s">
        <v>64</v>
      </c>
      <c r="J13" s="5" t="s">
        <v>45</v>
      </c>
      <c r="K13" s="5" t="s">
        <v>25</v>
      </c>
      <c r="L13" s="5" t="s">
        <v>70</v>
      </c>
      <c r="M13" s="7" t="s">
        <v>66</v>
      </c>
      <c r="N13" s="5" t="s">
        <v>28</v>
      </c>
      <c r="O13" s="5" t="s">
        <v>59</v>
      </c>
      <c r="P13" s="5" t="s">
        <v>30</v>
      </c>
      <c r="Q13" s="7" t="str">
        <f t="shared" si="1"/>
        <v>200- Datadog:230- Sales</v>
      </c>
      <c r="R13" s="7" t="str">
        <f t="array" ref="R13">IF($N13="Yes","Cost of Goods Sold:COGS- Travel Expenses:",IF($N13="No",XLOOKUP($Q13,Key!$I:$I,Key!$J:$J),"Review Billable Status"))</f>
        <v>Sales &amp; Marketing:Sales &amp; Marketing- Travel Expenses:</v>
      </c>
      <c r="S13" s="7" t="str">
        <f t="array" ref="S13">IF($N13="Yes","Cost of Goods Sold:COGS- Personnel Expense:",IF($N13="No",XLOOKUP($Q13,Key!$I:$I,Key!$K:$K),"Review Billable Status"))</f>
        <v>Sales &amp; Marketing:Sales &amp; Marketing- Personnel Expenses:</v>
      </c>
      <c r="T13" s="5"/>
      <c r="U13" s="5"/>
      <c r="V13" s="5"/>
      <c r="W13" s="8"/>
      <c r="X13" s="8"/>
      <c r="Y13" s="8"/>
      <c r="Z13" s="8"/>
    </row>
    <row r="14" ht="12.75" customHeight="1">
      <c r="A14" s="4">
        <v>19.0</v>
      </c>
      <c r="B14" s="5" t="s">
        <v>94</v>
      </c>
      <c r="C14" s="5" t="s">
        <v>95</v>
      </c>
      <c r="D14" s="5" t="s">
        <v>96</v>
      </c>
      <c r="E14" s="5" t="s">
        <v>22</v>
      </c>
      <c r="F14" s="6">
        <v>44228.0</v>
      </c>
      <c r="G14" s="5" t="s">
        <v>23</v>
      </c>
      <c r="H14" s="6">
        <v>44228.0</v>
      </c>
      <c r="I14" s="5" t="s">
        <v>64</v>
      </c>
      <c r="J14" s="5" t="s">
        <v>45</v>
      </c>
      <c r="K14" s="5" t="s">
        <v>25</v>
      </c>
      <c r="L14" s="5" t="s">
        <v>90</v>
      </c>
      <c r="M14" s="7" t="s">
        <v>66</v>
      </c>
      <c r="N14" s="5" t="s">
        <v>28</v>
      </c>
      <c r="O14" s="5" t="s">
        <v>52</v>
      </c>
      <c r="P14" s="5" t="s">
        <v>30</v>
      </c>
      <c r="Q14" s="7" t="str">
        <f t="shared" si="1"/>
        <v>200- Datadog:230- Sales</v>
      </c>
      <c r="R14" s="7" t="str">
        <f t="array" ref="R14">IF($N14="Yes","Cost of Goods Sold:COGS- Travel Expenses:",IF($N14="No",XLOOKUP($Q14,Key!$I:$I,Key!$J:$J),"Review Billable Status"))</f>
        <v>Sales &amp; Marketing:Sales &amp; Marketing- Travel Expenses:</v>
      </c>
      <c r="S14" s="7" t="str">
        <f t="array" ref="S14">IF($N14="Yes","Cost of Goods Sold:COGS- Personnel Expense:",IF($N14="No",XLOOKUP($Q14,Key!$I:$I,Key!$K:$K),"Review Billable Status"))</f>
        <v>Sales &amp; Marketing:Sales &amp; Marketing- Personnel Expenses:</v>
      </c>
      <c r="T14" s="5"/>
      <c r="U14" s="5"/>
      <c r="V14" s="5"/>
      <c r="W14" s="8"/>
      <c r="X14" s="8"/>
      <c r="Y14" s="8"/>
      <c r="Z14" s="8"/>
    </row>
    <row r="15" ht="12.75" customHeight="1">
      <c r="A15" s="4">
        <v>24.0</v>
      </c>
      <c r="B15" s="5" t="s">
        <v>97</v>
      </c>
      <c r="C15" s="5" t="s">
        <v>98</v>
      </c>
      <c r="D15" s="5" t="s">
        <v>99</v>
      </c>
      <c r="E15" s="5" t="s">
        <v>22</v>
      </c>
      <c r="F15" s="6">
        <v>44348.0</v>
      </c>
      <c r="G15" s="5" t="s">
        <v>23</v>
      </c>
      <c r="H15" s="6">
        <v>44348.0</v>
      </c>
      <c r="I15" s="5" t="s">
        <v>34</v>
      </c>
      <c r="J15" s="5" t="s">
        <v>45</v>
      </c>
      <c r="K15" s="5" t="s">
        <v>36</v>
      </c>
      <c r="L15" s="5" t="s">
        <v>90</v>
      </c>
      <c r="M15" s="7" t="s">
        <v>47</v>
      </c>
      <c r="N15" s="5" t="s">
        <v>28</v>
      </c>
      <c r="O15" s="5" t="s">
        <v>52</v>
      </c>
      <c r="P15" s="5" t="s">
        <v>100</v>
      </c>
      <c r="Q15" s="7" t="str">
        <f t="shared" si="1"/>
        <v>300- ServiceNow:330- Sales</v>
      </c>
      <c r="R15" s="7" t="str">
        <f t="array" ref="R15">IF($N15="Yes","Cost of Goods Sold:COGS- Travel Expenses:",IF($N15="No",XLOOKUP($Q15,Key!$I:$I,Key!$J:$J),"Review Billable Status"))</f>
        <v>Sales &amp; Marketing:Sales &amp; Marketing- Travel Expenses:</v>
      </c>
      <c r="S15" s="7" t="str">
        <f t="array" ref="S15">IF($N15="Yes","Cost of Goods Sold:COGS- Personnel Expense:",IF($N15="No",XLOOKUP($Q15,Key!$I:$I,Key!$K:$K),"Review Billable Status"))</f>
        <v>Sales &amp; Marketing:Sales &amp; Marketing- Personnel Expenses:</v>
      </c>
      <c r="T15" s="5"/>
      <c r="U15" s="5"/>
      <c r="V15" s="5"/>
      <c r="W15" s="8"/>
      <c r="X15" s="8"/>
      <c r="Y15" s="8"/>
      <c r="Z15" s="8"/>
    </row>
    <row r="16" ht="12.75" customHeight="1">
      <c r="A16" s="4">
        <v>25.0</v>
      </c>
      <c r="B16" s="5" t="s">
        <v>101</v>
      </c>
      <c r="C16" s="5" t="s">
        <v>102</v>
      </c>
      <c r="D16" s="5" t="s">
        <v>103</v>
      </c>
      <c r="E16" s="5" t="s">
        <v>22</v>
      </c>
      <c r="F16" s="6">
        <v>44361.0</v>
      </c>
      <c r="G16" s="5" t="s">
        <v>23</v>
      </c>
      <c r="H16" s="6">
        <v>44361.0</v>
      </c>
      <c r="I16" s="5" t="s">
        <v>64</v>
      </c>
      <c r="J16" s="5" t="s">
        <v>35</v>
      </c>
      <c r="K16" s="5" t="s">
        <v>25</v>
      </c>
      <c r="L16" s="5" t="s">
        <v>104</v>
      </c>
      <c r="M16" s="7" t="s">
        <v>75</v>
      </c>
      <c r="N16" s="5" t="s">
        <v>39</v>
      </c>
      <c r="O16" s="5" t="s">
        <v>59</v>
      </c>
      <c r="P16" s="5" t="s">
        <v>30</v>
      </c>
      <c r="Q16" s="7" t="str">
        <f t="shared" si="1"/>
        <v>200- Datadog:220- Engineering</v>
      </c>
      <c r="R16" s="7" t="str">
        <f t="array" ref="R16">IF($N16="Yes","Cost of Goods Sold:COGS- Travel Expenses:",IF($N16="No",XLOOKUP($Q16,Key!$I:$I,Key!$J:$J),"Review Billable Status"))</f>
        <v>Cost of Goods Sold:COGS- Travel Expenses:</v>
      </c>
      <c r="S16" s="7" t="str">
        <f t="array" ref="S16">IF($N16="Yes","Cost of Goods Sold:COGS- Personnel Expense:",IF($N16="No",XLOOKUP($Q16,Key!$I:$I,Key!$K:$K),"Review Billable Status"))</f>
        <v>Cost of Goods Sold:COGS- Personnel Expense:</v>
      </c>
      <c r="T16" s="5"/>
      <c r="U16" s="5"/>
      <c r="V16" s="5"/>
      <c r="W16" s="8"/>
      <c r="X16" s="8"/>
      <c r="Y16" s="8"/>
      <c r="Z16" s="8"/>
    </row>
    <row r="17" ht="12.75" customHeight="1">
      <c r="A17" s="4">
        <v>26.0</v>
      </c>
      <c r="B17" s="5" t="s">
        <v>101</v>
      </c>
      <c r="C17" s="5" t="s">
        <v>105</v>
      </c>
      <c r="D17" s="5" t="s">
        <v>106</v>
      </c>
      <c r="E17" s="5" t="s">
        <v>22</v>
      </c>
      <c r="F17" s="6">
        <v>44383.0</v>
      </c>
      <c r="G17" s="5" t="s">
        <v>23</v>
      </c>
      <c r="H17" s="6">
        <v>44383.0</v>
      </c>
      <c r="I17" s="5" t="s">
        <v>34</v>
      </c>
      <c r="J17" s="5" t="s">
        <v>35</v>
      </c>
      <c r="K17" s="5" t="s">
        <v>107</v>
      </c>
      <c r="L17" s="5" t="s">
        <v>51</v>
      </c>
      <c r="M17" s="7" t="s">
        <v>38</v>
      </c>
      <c r="N17" s="5" t="s">
        <v>39</v>
      </c>
      <c r="O17" s="5" t="s">
        <v>52</v>
      </c>
      <c r="P17" s="5" t="s">
        <v>108</v>
      </c>
      <c r="Q17" s="7" t="str">
        <f t="shared" si="1"/>
        <v>300- ServiceNow:320- Engineering</v>
      </c>
      <c r="R17" s="7" t="str">
        <f t="array" ref="R17">IF($N17="Yes","Cost of Goods Sold:COGS- Travel Expenses:",IF($N17="No",XLOOKUP($Q17,Key!$I:$I,Key!$J:$J),"Review Billable Status"))</f>
        <v>Cost of Goods Sold:COGS- Travel Expenses:</v>
      </c>
      <c r="S17" s="7" t="str">
        <f t="array" ref="S17">IF($N17="Yes","Cost of Goods Sold:COGS- Personnel Expense:",IF($N17="No",XLOOKUP($Q17,Key!$I:$I,Key!$K:$K),"Review Billable Status"))</f>
        <v>Cost of Goods Sold:COGS- Personnel Expense:</v>
      </c>
      <c r="T17" s="5"/>
      <c r="U17" s="5"/>
      <c r="V17" s="5"/>
      <c r="W17" s="8"/>
      <c r="X17" s="8"/>
      <c r="Y17" s="8"/>
      <c r="Z17" s="8"/>
    </row>
    <row r="18" ht="12.75" customHeight="1">
      <c r="A18" s="4">
        <v>27.0</v>
      </c>
      <c r="B18" s="5" t="s">
        <v>109</v>
      </c>
      <c r="C18" s="5" t="s">
        <v>110</v>
      </c>
      <c r="D18" s="5" t="s">
        <v>111</v>
      </c>
      <c r="E18" s="5" t="s">
        <v>112</v>
      </c>
      <c r="F18" s="6">
        <v>44383.0</v>
      </c>
      <c r="G18" s="5" t="s">
        <v>23</v>
      </c>
      <c r="H18" s="6">
        <v>44383.0</v>
      </c>
      <c r="I18" s="5" t="s">
        <v>34</v>
      </c>
      <c r="J18" s="5" t="s">
        <v>35</v>
      </c>
      <c r="K18" s="5" t="s">
        <v>36</v>
      </c>
      <c r="L18" s="5" t="s">
        <v>113</v>
      </c>
      <c r="M18" s="7" t="s">
        <v>38</v>
      </c>
      <c r="N18" s="5" t="s">
        <v>39</v>
      </c>
      <c r="O18" s="5" t="s">
        <v>59</v>
      </c>
      <c r="P18" s="5" t="s">
        <v>114</v>
      </c>
      <c r="Q18" s="7" t="str">
        <f t="shared" si="1"/>
        <v>300- ServiceNow:320- Engineering</v>
      </c>
      <c r="R18" s="7" t="str">
        <f t="array" ref="R18">IF($N18="Yes","Cost of Goods Sold:COGS- Travel Expenses:",IF($N18="No",XLOOKUP($Q18,Key!$I:$I,Key!$J:$J),"Review Billable Status"))</f>
        <v>Cost of Goods Sold:COGS- Travel Expenses:</v>
      </c>
      <c r="S18" s="7" t="str">
        <f t="array" ref="S18">IF($N18="Yes","Cost of Goods Sold:COGS- Personnel Expense:",IF($N18="No",XLOOKUP($Q18,Key!$I:$I,Key!$K:$K),"Review Billable Status"))</f>
        <v>Cost of Goods Sold:COGS- Personnel Expense:</v>
      </c>
      <c r="T18" s="5"/>
      <c r="U18" s="5"/>
      <c r="V18" s="5"/>
      <c r="W18" s="8"/>
      <c r="X18" s="8"/>
      <c r="Y18" s="8"/>
      <c r="Z18" s="8"/>
    </row>
    <row r="19" ht="12.75" customHeight="1">
      <c r="A19" s="4">
        <v>28.0</v>
      </c>
      <c r="B19" s="5" t="s">
        <v>115</v>
      </c>
      <c r="C19" s="5" t="s">
        <v>116</v>
      </c>
      <c r="D19" s="5" t="s">
        <v>117</v>
      </c>
      <c r="E19" s="5" t="s">
        <v>22</v>
      </c>
      <c r="F19" s="6">
        <v>44383.0</v>
      </c>
      <c r="G19" s="5" t="s">
        <v>23</v>
      </c>
      <c r="H19" s="6">
        <v>44383.0</v>
      </c>
      <c r="I19" s="5" t="s">
        <v>34</v>
      </c>
      <c r="J19" s="5" t="s">
        <v>35</v>
      </c>
      <c r="K19" s="5" t="s">
        <v>25</v>
      </c>
      <c r="L19" s="5" t="s">
        <v>118</v>
      </c>
      <c r="M19" s="7" t="s">
        <v>38</v>
      </c>
      <c r="N19" s="5" t="s">
        <v>39</v>
      </c>
      <c r="O19" s="5" t="s">
        <v>59</v>
      </c>
      <c r="P19" s="5" t="s">
        <v>30</v>
      </c>
      <c r="Q19" s="7" t="str">
        <f t="shared" si="1"/>
        <v>300- ServiceNow:320- Engineering</v>
      </c>
      <c r="R19" s="7" t="str">
        <f t="array" ref="R19">IF($N19="Yes","Cost of Goods Sold:COGS- Travel Expenses:",IF($N19="No",XLOOKUP($Q19,Key!$I:$I,Key!$J:$J),"Review Billable Status"))</f>
        <v>Cost of Goods Sold:COGS- Travel Expenses:</v>
      </c>
      <c r="S19" s="7" t="str">
        <f t="array" ref="S19">IF($N19="Yes","Cost of Goods Sold:COGS- Personnel Expense:",IF($N19="No",XLOOKUP($Q19,Key!$I:$I,Key!$K:$K),"Review Billable Status"))</f>
        <v>Cost of Goods Sold:COGS- Personnel Expense:</v>
      </c>
      <c r="T19" s="5"/>
      <c r="U19" s="5"/>
      <c r="V19" s="5"/>
      <c r="W19" s="8"/>
      <c r="X19" s="8"/>
      <c r="Y19" s="8"/>
      <c r="Z19" s="8"/>
    </row>
    <row r="20" ht="12.75" customHeight="1">
      <c r="A20" s="4">
        <v>31.0</v>
      </c>
      <c r="B20" s="5" t="s">
        <v>119</v>
      </c>
      <c r="C20" s="5" t="s">
        <v>120</v>
      </c>
      <c r="D20" s="5" t="s">
        <v>121</v>
      </c>
      <c r="E20" s="5" t="s">
        <v>22</v>
      </c>
      <c r="F20" s="6">
        <v>44410.0</v>
      </c>
      <c r="G20" s="5" t="s">
        <v>23</v>
      </c>
      <c r="H20" s="6">
        <v>44410.0</v>
      </c>
      <c r="I20" s="5" t="s">
        <v>64</v>
      </c>
      <c r="J20" s="5" t="s">
        <v>35</v>
      </c>
      <c r="K20" s="5" t="s">
        <v>25</v>
      </c>
      <c r="L20" s="5" t="s">
        <v>122</v>
      </c>
      <c r="M20" s="7" t="s">
        <v>75</v>
      </c>
      <c r="N20" s="5" t="s">
        <v>39</v>
      </c>
      <c r="O20" s="5" t="s">
        <v>85</v>
      </c>
      <c r="P20" s="5" t="s">
        <v>30</v>
      </c>
      <c r="Q20" s="7" t="str">
        <f t="shared" si="1"/>
        <v>200- Datadog:220- Engineering</v>
      </c>
      <c r="R20" s="7" t="str">
        <f t="array" ref="R20">IF($N20="Yes","Cost of Goods Sold:COGS- Travel Expenses:",IF($N20="No",XLOOKUP($Q20,Key!$I:$I,Key!$J:$J),"Review Billable Status"))</f>
        <v>Cost of Goods Sold:COGS- Travel Expenses:</v>
      </c>
      <c r="S20" s="7" t="str">
        <f t="array" ref="S20">IF($N20="Yes","Cost of Goods Sold:COGS- Personnel Expense:",IF($N20="No",XLOOKUP($Q20,Key!$I:$I,Key!$K:$K),"Review Billable Status"))</f>
        <v>Cost of Goods Sold:COGS- Personnel Expense:</v>
      </c>
      <c r="T20" s="5"/>
      <c r="U20" s="5"/>
      <c r="V20" s="5"/>
      <c r="W20" s="8"/>
      <c r="X20" s="8"/>
      <c r="Y20" s="8"/>
      <c r="Z20" s="8"/>
    </row>
    <row r="21" ht="12.75" customHeight="1">
      <c r="A21" s="4">
        <v>34.0</v>
      </c>
      <c r="B21" s="5" t="s">
        <v>123</v>
      </c>
      <c r="C21" s="5" t="s">
        <v>124</v>
      </c>
      <c r="D21" s="5" t="s">
        <v>125</v>
      </c>
      <c r="E21" s="5" t="s">
        <v>22</v>
      </c>
      <c r="F21" s="6">
        <v>44452.0</v>
      </c>
      <c r="G21" s="5" t="s">
        <v>23</v>
      </c>
      <c r="H21" s="6">
        <v>44452.0</v>
      </c>
      <c r="I21" s="5" t="s">
        <v>64</v>
      </c>
      <c r="J21" s="5" t="s">
        <v>45</v>
      </c>
      <c r="K21" s="5" t="s">
        <v>25</v>
      </c>
      <c r="L21" s="5" t="s">
        <v>126</v>
      </c>
      <c r="M21" s="7" t="s">
        <v>66</v>
      </c>
      <c r="N21" s="5" t="s">
        <v>28</v>
      </c>
      <c r="O21" s="5" t="s">
        <v>52</v>
      </c>
      <c r="P21" s="5" t="s">
        <v>30</v>
      </c>
      <c r="Q21" s="7" t="str">
        <f t="shared" si="1"/>
        <v>200- Datadog:230- Sales</v>
      </c>
      <c r="R21" s="7" t="str">
        <f t="array" ref="R21">IF($N21="Yes","Cost of Goods Sold:COGS- Travel Expenses:",IF($N21="No",XLOOKUP($Q21,Key!$I:$I,Key!$J:$J),"Review Billable Status"))</f>
        <v>Sales &amp; Marketing:Sales &amp; Marketing- Travel Expenses:</v>
      </c>
      <c r="S21" s="7" t="str">
        <f t="array" ref="S21">IF($N21="Yes","Cost of Goods Sold:COGS- Personnel Expense:",IF($N21="No",XLOOKUP($Q21,Key!$I:$I,Key!$K:$K),"Review Billable Status"))</f>
        <v>Sales &amp; Marketing:Sales &amp; Marketing- Personnel Expenses:</v>
      </c>
      <c r="T21" s="5"/>
      <c r="U21" s="5"/>
      <c r="V21" s="5"/>
      <c r="W21" s="8"/>
      <c r="X21" s="8"/>
      <c r="Y21" s="8"/>
      <c r="Z21" s="8"/>
    </row>
    <row r="22" ht="12.75" customHeight="1">
      <c r="A22" s="4">
        <v>37.0</v>
      </c>
      <c r="B22" s="5" t="s">
        <v>127</v>
      </c>
      <c r="C22" s="5" t="s">
        <v>128</v>
      </c>
      <c r="D22" s="5" t="s">
        <v>129</v>
      </c>
      <c r="E22" s="5" t="s">
        <v>112</v>
      </c>
      <c r="F22" s="6">
        <v>44473.0</v>
      </c>
      <c r="G22" s="5" t="s">
        <v>23</v>
      </c>
      <c r="H22" s="6">
        <v>44473.0</v>
      </c>
      <c r="I22" s="5" t="s">
        <v>34</v>
      </c>
      <c r="J22" s="5" t="s">
        <v>130</v>
      </c>
      <c r="K22" s="5" t="s">
        <v>25</v>
      </c>
      <c r="L22" s="5" t="s">
        <v>131</v>
      </c>
      <c r="M22" s="7" t="s">
        <v>132</v>
      </c>
      <c r="N22" s="5" t="s">
        <v>39</v>
      </c>
      <c r="O22" s="5" t="s">
        <v>52</v>
      </c>
      <c r="P22" s="5" t="s">
        <v>30</v>
      </c>
      <c r="Q22" s="7" t="str">
        <f t="shared" si="1"/>
        <v>300- ServiceNow:310- Delivery</v>
      </c>
      <c r="R22" s="7" t="str">
        <f t="array" ref="R22">IF($N22="Yes","Cost of Goods Sold:COGS- Travel Expenses:",IF($N22="No",XLOOKUP($Q22,Key!$I:$I,Key!$J:$J),"Review Billable Status"))</f>
        <v>Cost of Goods Sold:COGS- Travel Expenses:</v>
      </c>
      <c r="S22" s="7" t="str">
        <f t="array" ref="S22">IF($N22="Yes","Cost of Goods Sold:COGS- Personnel Expense:",IF($N22="No",XLOOKUP($Q22,Key!$I:$I,Key!$K:$K),"Review Billable Status"))</f>
        <v>Cost of Goods Sold:COGS- Personnel Expense:</v>
      </c>
      <c r="T22" s="5"/>
      <c r="U22" s="5"/>
      <c r="V22" s="5"/>
      <c r="W22" s="8"/>
      <c r="X22" s="8"/>
      <c r="Y22" s="8"/>
      <c r="Z22" s="8"/>
    </row>
    <row r="23" ht="12.75" customHeight="1">
      <c r="A23" s="4">
        <v>39.0</v>
      </c>
      <c r="B23" s="5" t="s">
        <v>133</v>
      </c>
      <c r="C23" s="5" t="s">
        <v>134</v>
      </c>
      <c r="D23" s="5" t="s">
        <v>135</v>
      </c>
      <c r="E23" s="5" t="s">
        <v>22</v>
      </c>
      <c r="F23" s="6">
        <v>44494.0</v>
      </c>
      <c r="G23" s="5" t="s">
        <v>23</v>
      </c>
      <c r="H23" s="6">
        <v>44494.0</v>
      </c>
      <c r="I23" s="5" t="s">
        <v>34</v>
      </c>
      <c r="J23" s="5" t="s">
        <v>35</v>
      </c>
      <c r="K23" s="5" t="s">
        <v>36</v>
      </c>
      <c r="L23" s="5" t="s">
        <v>136</v>
      </c>
      <c r="M23" s="7" t="s">
        <v>38</v>
      </c>
      <c r="N23" s="5" t="s">
        <v>39</v>
      </c>
      <c r="O23" s="5" t="s">
        <v>40</v>
      </c>
      <c r="P23" s="5" t="s">
        <v>100</v>
      </c>
      <c r="Q23" s="7" t="str">
        <f t="shared" si="1"/>
        <v>300- ServiceNow:320- Engineering</v>
      </c>
      <c r="R23" s="7" t="str">
        <f t="array" ref="R23">IF($N23="Yes","Cost of Goods Sold:COGS- Travel Expenses:",IF($N23="No",XLOOKUP($Q23,Key!$I:$I,Key!$J:$J),"Review Billable Status"))</f>
        <v>Cost of Goods Sold:COGS- Travel Expenses:</v>
      </c>
      <c r="S23" s="7" t="str">
        <f t="array" ref="S23">IF($N23="Yes","Cost of Goods Sold:COGS- Personnel Expense:",IF($N23="No",XLOOKUP($Q23,Key!$I:$I,Key!$K:$K),"Review Billable Status"))</f>
        <v>Cost of Goods Sold:COGS- Personnel Expense:</v>
      </c>
      <c r="T23" s="5"/>
      <c r="U23" s="5"/>
      <c r="V23" s="5"/>
      <c r="W23" s="8"/>
      <c r="X23" s="8"/>
      <c r="Y23" s="8"/>
      <c r="Z23" s="8"/>
    </row>
    <row r="24" ht="12.75" customHeight="1">
      <c r="A24" s="4">
        <v>42.0</v>
      </c>
      <c r="B24" s="5" t="s">
        <v>137</v>
      </c>
      <c r="C24" s="5" t="s">
        <v>138</v>
      </c>
      <c r="D24" s="5" t="s">
        <v>139</v>
      </c>
      <c r="E24" s="5" t="s">
        <v>112</v>
      </c>
      <c r="F24" s="6">
        <v>44536.0</v>
      </c>
      <c r="G24" s="5" t="s">
        <v>23</v>
      </c>
      <c r="H24" s="6">
        <v>44536.0</v>
      </c>
      <c r="I24" s="5" t="s">
        <v>34</v>
      </c>
      <c r="J24" s="5" t="s">
        <v>45</v>
      </c>
      <c r="K24" s="5" t="s">
        <v>25</v>
      </c>
      <c r="L24" s="5" t="s">
        <v>140</v>
      </c>
      <c r="M24" s="7" t="s">
        <v>47</v>
      </c>
      <c r="N24" s="5" t="s">
        <v>28</v>
      </c>
      <c r="O24" s="5" t="s">
        <v>85</v>
      </c>
      <c r="P24" s="5" t="s">
        <v>30</v>
      </c>
      <c r="Q24" s="7" t="str">
        <f t="shared" si="1"/>
        <v>300- ServiceNow:330- Sales</v>
      </c>
      <c r="R24" s="7" t="str">
        <f t="array" ref="R24">IF($N24="Yes","Cost of Goods Sold:COGS- Travel Expenses:",IF($N24="No",XLOOKUP($Q24,Key!$I:$I,Key!$J:$J),"Review Billable Status"))</f>
        <v>Sales &amp; Marketing:Sales &amp; Marketing- Travel Expenses:</v>
      </c>
      <c r="S24" s="7" t="str">
        <f t="array" ref="S24">IF($N24="Yes","Cost of Goods Sold:COGS- Personnel Expense:",IF($N24="No",XLOOKUP($Q24,Key!$I:$I,Key!$K:$K),"Review Billable Status"))</f>
        <v>Sales &amp; Marketing:Sales &amp; Marketing- Personnel Expenses:</v>
      </c>
      <c r="T24" s="5"/>
      <c r="U24" s="5"/>
      <c r="V24" s="5"/>
      <c r="W24" s="8"/>
      <c r="X24" s="8"/>
      <c r="Y24" s="8"/>
      <c r="Z24" s="8"/>
    </row>
    <row r="25" ht="12.75" customHeight="1">
      <c r="A25" s="4">
        <v>50.0</v>
      </c>
      <c r="B25" s="5" t="s">
        <v>141</v>
      </c>
      <c r="C25" s="5" t="s">
        <v>142</v>
      </c>
      <c r="D25" s="5" t="s">
        <v>143</v>
      </c>
      <c r="E25" s="5" t="s">
        <v>112</v>
      </c>
      <c r="F25" s="6">
        <v>44599.0</v>
      </c>
      <c r="G25" s="5" t="s">
        <v>23</v>
      </c>
      <c r="H25" s="6">
        <v>44599.0</v>
      </c>
      <c r="I25" s="5" t="s">
        <v>34</v>
      </c>
      <c r="J25" s="5" t="s">
        <v>35</v>
      </c>
      <c r="K25" s="5" t="s">
        <v>36</v>
      </c>
      <c r="L25" s="5" t="s">
        <v>84</v>
      </c>
      <c r="M25" s="7" t="s">
        <v>38</v>
      </c>
      <c r="N25" s="5" t="s">
        <v>39</v>
      </c>
      <c r="O25" s="5" t="s">
        <v>85</v>
      </c>
      <c r="P25" s="5" t="s">
        <v>144</v>
      </c>
      <c r="Q25" s="7" t="str">
        <f t="shared" si="1"/>
        <v>300- ServiceNow:320- Engineering</v>
      </c>
      <c r="R25" s="7" t="str">
        <f t="array" ref="R25">IF($N25="Yes","Cost of Goods Sold:COGS- Travel Expenses:",IF($N25="No",XLOOKUP($Q25,Key!$I:$I,Key!$J:$J),"Review Billable Status"))</f>
        <v>Cost of Goods Sold:COGS- Travel Expenses:</v>
      </c>
      <c r="S25" s="7" t="str">
        <f t="array" ref="S25">IF($N25="Yes","Cost of Goods Sold:COGS- Personnel Expense:",IF($N25="No",XLOOKUP($Q25,Key!$I:$I,Key!$K:$K),"Review Billable Status"))</f>
        <v>Cost of Goods Sold:COGS- Personnel Expense:</v>
      </c>
      <c r="T25" s="5"/>
      <c r="U25" s="5"/>
      <c r="V25" s="5"/>
      <c r="W25" s="8"/>
      <c r="X25" s="8"/>
      <c r="Y25" s="8"/>
      <c r="Z25" s="8"/>
    </row>
    <row r="26" ht="12.75" customHeight="1">
      <c r="A26" s="4">
        <v>58.0</v>
      </c>
      <c r="B26" s="5" t="s">
        <v>145</v>
      </c>
      <c r="C26" s="5" t="s">
        <v>146</v>
      </c>
      <c r="D26" s="5" t="s">
        <v>147</v>
      </c>
      <c r="E26" s="5" t="s">
        <v>22</v>
      </c>
      <c r="F26" s="6">
        <v>44641.0</v>
      </c>
      <c r="G26" s="5" t="s">
        <v>23</v>
      </c>
      <c r="H26" s="6">
        <v>44641.0</v>
      </c>
      <c r="I26" s="5" t="s">
        <v>64</v>
      </c>
      <c r="J26" s="5" t="s">
        <v>35</v>
      </c>
      <c r="K26" s="5" t="s">
        <v>36</v>
      </c>
      <c r="L26" s="5" t="s">
        <v>148</v>
      </c>
      <c r="M26" s="7" t="s">
        <v>75</v>
      </c>
      <c r="N26" s="5" t="s">
        <v>39</v>
      </c>
      <c r="O26" s="5" t="s">
        <v>52</v>
      </c>
      <c r="P26" s="5" t="s">
        <v>149</v>
      </c>
      <c r="Q26" s="7" t="str">
        <f t="shared" si="1"/>
        <v>200- Datadog:220- Engineering</v>
      </c>
      <c r="R26" s="7" t="str">
        <f t="array" ref="R26">IF($N26="Yes","Cost of Goods Sold:COGS- Travel Expenses:",IF($N26="No",XLOOKUP($Q26,Key!$I:$I,Key!$J:$J),"Review Billable Status"))</f>
        <v>Cost of Goods Sold:COGS- Travel Expenses:</v>
      </c>
      <c r="S26" s="7" t="str">
        <f t="array" ref="S26">IF($N26="Yes","Cost of Goods Sold:COGS- Personnel Expense:",IF($N26="No",XLOOKUP($Q26,Key!$I:$I,Key!$K:$K),"Review Billable Status"))</f>
        <v>Cost of Goods Sold:COGS- Personnel Expense:</v>
      </c>
      <c r="T26" s="5"/>
      <c r="U26" s="5"/>
      <c r="V26" s="5"/>
      <c r="W26" s="8"/>
      <c r="X26" s="8"/>
      <c r="Y26" s="8"/>
      <c r="Z26" s="8"/>
    </row>
    <row r="27" ht="12.75" customHeight="1">
      <c r="A27" s="4">
        <v>60.0</v>
      </c>
      <c r="B27" s="5" t="s">
        <v>150</v>
      </c>
      <c r="C27" s="5" t="s">
        <v>151</v>
      </c>
      <c r="D27" s="5" t="s">
        <v>152</v>
      </c>
      <c r="E27" s="5" t="s">
        <v>112</v>
      </c>
      <c r="F27" s="6">
        <v>44679.0</v>
      </c>
      <c r="G27" s="5" t="s">
        <v>23</v>
      </c>
      <c r="H27" s="6">
        <v>44679.0</v>
      </c>
      <c r="I27" s="5" t="s">
        <v>34</v>
      </c>
      <c r="J27" s="5" t="s">
        <v>35</v>
      </c>
      <c r="K27" s="5" t="s">
        <v>25</v>
      </c>
      <c r="L27" s="5" t="s">
        <v>153</v>
      </c>
      <c r="M27" s="7" t="s">
        <v>38</v>
      </c>
      <c r="N27" s="5" t="s">
        <v>39</v>
      </c>
      <c r="O27" s="5" t="s">
        <v>85</v>
      </c>
      <c r="P27" s="5" t="s">
        <v>30</v>
      </c>
      <c r="Q27" s="7" t="str">
        <f t="shared" si="1"/>
        <v>300- ServiceNow:320- Engineering</v>
      </c>
      <c r="R27" s="7" t="str">
        <f t="array" ref="R27">IF($N27="Yes","Cost of Goods Sold:COGS- Travel Expenses:",IF($N27="No",XLOOKUP($Q27,Key!$I:$I,Key!$J:$J),"Review Billable Status"))</f>
        <v>Cost of Goods Sold:COGS- Travel Expenses:</v>
      </c>
      <c r="S27" s="7" t="str">
        <f t="array" ref="S27">IF($N27="Yes","Cost of Goods Sold:COGS- Personnel Expense:",IF($N27="No",XLOOKUP($Q27,Key!$I:$I,Key!$K:$K),"Review Billable Status"))</f>
        <v>Cost of Goods Sold:COGS- Personnel Expense:</v>
      </c>
      <c r="T27" s="5"/>
      <c r="U27" s="5"/>
      <c r="V27" s="5"/>
      <c r="W27" s="8"/>
      <c r="X27" s="8"/>
      <c r="Y27" s="8"/>
      <c r="Z27" s="8"/>
    </row>
    <row r="28" ht="12.75" customHeight="1">
      <c r="A28" s="4">
        <v>65.0</v>
      </c>
      <c r="B28" s="5" t="s">
        <v>154</v>
      </c>
      <c r="C28" s="5" t="s">
        <v>155</v>
      </c>
      <c r="D28" s="5" t="s">
        <v>156</v>
      </c>
      <c r="E28" s="5" t="s">
        <v>22</v>
      </c>
      <c r="F28" s="6">
        <v>44733.0</v>
      </c>
      <c r="G28" s="5" t="s">
        <v>23</v>
      </c>
      <c r="H28" s="6">
        <v>44733.0</v>
      </c>
      <c r="I28" s="5" t="s">
        <v>34</v>
      </c>
      <c r="J28" s="5" t="s">
        <v>130</v>
      </c>
      <c r="K28" s="5" t="s">
        <v>36</v>
      </c>
      <c r="L28" s="5" t="s">
        <v>157</v>
      </c>
      <c r="M28" s="7" t="s">
        <v>132</v>
      </c>
      <c r="N28" s="5" t="s">
        <v>39</v>
      </c>
      <c r="O28" s="5" t="s">
        <v>59</v>
      </c>
      <c r="P28" s="5" t="s">
        <v>158</v>
      </c>
      <c r="Q28" s="7" t="str">
        <f t="shared" si="1"/>
        <v>300- ServiceNow:310- Delivery</v>
      </c>
      <c r="R28" s="7" t="str">
        <f t="array" ref="R28">IF($N28="Yes","Cost of Goods Sold:COGS- Travel Expenses:",IF($N28="No",XLOOKUP($Q28,Key!$I:$I,Key!$J:$J),"Review Billable Status"))</f>
        <v>Cost of Goods Sold:COGS- Travel Expenses:</v>
      </c>
      <c r="S28" s="7" t="str">
        <f t="array" ref="S28">IF($N28="Yes","Cost of Goods Sold:COGS- Personnel Expense:",IF($N28="No",XLOOKUP($Q28,Key!$I:$I,Key!$K:$K),"Review Billable Status"))</f>
        <v>Cost of Goods Sold:COGS- Personnel Expense:</v>
      </c>
      <c r="T28" s="5"/>
      <c r="U28" s="5"/>
      <c r="V28" s="5"/>
      <c r="W28" s="8"/>
      <c r="X28" s="8"/>
      <c r="Y28" s="8"/>
      <c r="Z28" s="8"/>
    </row>
    <row r="29" ht="12.75" customHeight="1">
      <c r="A29" s="4">
        <v>66.0</v>
      </c>
      <c r="B29" s="5" t="s">
        <v>159</v>
      </c>
      <c r="C29" s="5" t="s">
        <v>160</v>
      </c>
      <c r="D29" s="5" t="s">
        <v>161</v>
      </c>
      <c r="E29" s="5" t="s">
        <v>22</v>
      </c>
      <c r="F29" s="6">
        <v>44739.0</v>
      </c>
      <c r="G29" s="5" t="s">
        <v>23</v>
      </c>
      <c r="H29" s="6">
        <v>44739.0</v>
      </c>
      <c r="I29" s="5" t="s">
        <v>34</v>
      </c>
      <c r="J29" s="5" t="s">
        <v>35</v>
      </c>
      <c r="K29" s="5" t="s">
        <v>36</v>
      </c>
      <c r="L29" s="5" t="s">
        <v>51</v>
      </c>
      <c r="M29" s="7" t="s">
        <v>38</v>
      </c>
      <c r="N29" s="5" t="s">
        <v>39</v>
      </c>
      <c r="O29" s="5" t="s">
        <v>52</v>
      </c>
      <c r="P29" s="5" t="s">
        <v>162</v>
      </c>
      <c r="Q29" s="7" t="str">
        <f t="shared" si="1"/>
        <v>300- ServiceNow:320- Engineering</v>
      </c>
      <c r="R29" s="7" t="str">
        <f t="array" ref="R29">IF($N29="Yes","Cost of Goods Sold:COGS- Travel Expenses:",IF($N29="No",XLOOKUP($Q29,Key!$I:$I,Key!$J:$J),"Review Billable Status"))</f>
        <v>Cost of Goods Sold:COGS- Travel Expenses:</v>
      </c>
      <c r="S29" s="7" t="str">
        <f t="array" ref="S29">IF($N29="Yes","Cost of Goods Sold:COGS- Personnel Expense:",IF($N29="No",XLOOKUP($Q29,Key!$I:$I,Key!$K:$K),"Review Billable Status"))</f>
        <v>Cost of Goods Sold:COGS- Personnel Expense:</v>
      </c>
      <c r="T29" s="5"/>
      <c r="U29" s="5"/>
      <c r="V29" s="5"/>
      <c r="W29" s="8"/>
      <c r="X29" s="8"/>
      <c r="Y29" s="8"/>
      <c r="Z29" s="8"/>
    </row>
    <row r="30" ht="12.75" customHeight="1">
      <c r="A30" s="4">
        <v>67.0</v>
      </c>
      <c r="B30" s="5" t="s">
        <v>97</v>
      </c>
      <c r="C30" s="5" t="s">
        <v>163</v>
      </c>
      <c r="D30" s="5" t="s">
        <v>164</v>
      </c>
      <c r="E30" s="5" t="s">
        <v>22</v>
      </c>
      <c r="F30" s="6">
        <v>44732.0</v>
      </c>
      <c r="G30" s="5" t="s">
        <v>23</v>
      </c>
      <c r="H30" s="6">
        <v>44732.0</v>
      </c>
      <c r="I30" s="5" t="s">
        <v>34</v>
      </c>
      <c r="J30" s="5" t="s">
        <v>45</v>
      </c>
      <c r="K30" s="5" t="s">
        <v>36</v>
      </c>
      <c r="L30" s="5" t="s">
        <v>165</v>
      </c>
      <c r="M30" s="7" t="s">
        <v>47</v>
      </c>
      <c r="N30" s="5" t="s">
        <v>28</v>
      </c>
      <c r="O30" s="5" t="s">
        <v>59</v>
      </c>
      <c r="P30" s="5" t="s">
        <v>166</v>
      </c>
      <c r="Q30" s="7" t="str">
        <f t="shared" si="1"/>
        <v>300- ServiceNow:330- Sales</v>
      </c>
      <c r="R30" s="7" t="str">
        <f t="array" ref="R30">IF($N30="Yes","Cost of Goods Sold:COGS- Travel Expenses:",IF($N30="No",XLOOKUP($Q30,Key!$I:$I,Key!$J:$J),"Review Billable Status"))</f>
        <v>Sales &amp; Marketing:Sales &amp; Marketing- Travel Expenses:</v>
      </c>
      <c r="S30" s="7" t="str">
        <f t="array" ref="S30">IF($N30="Yes","Cost of Goods Sold:COGS- Personnel Expense:",IF($N30="No",XLOOKUP($Q30,Key!$I:$I,Key!$K:$K),"Review Billable Status"))</f>
        <v>Sales &amp; Marketing:Sales &amp; Marketing- Personnel Expenses:</v>
      </c>
      <c r="T30" s="5"/>
      <c r="U30" s="5"/>
      <c r="V30" s="5"/>
      <c r="W30" s="8"/>
      <c r="X30" s="8"/>
      <c r="Y30" s="8"/>
      <c r="Z30" s="8"/>
    </row>
    <row r="31" ht="12.75" customHeight="1">
      <c r="A31" s="4">
        <v>69.0</v>
      </c>
      <c r="B31" s="5" t="s">
        <v>167</v>
      </c>
      <c r="C31" s="5" t="s">
        <v>168</v>
      </c>
      <c r="D31" s="5" t="s">
        <v>169</v>
      </c>
      <c r="E31" s="5" t="s">
        <v>112</v>
      </c>
      <c r="F31" s="6">
        <v>44753.0</v>
      </c>
      <c r="G31" s="5" t="s">
        <v>23</v>
      </c>
      <c r="H31" s="6">
        <v>44753.0</v>
      </c>
      <c r="I31" s="5" t="s">
        <v>24</v>
      </c>
      <c r="J31" s="5" t="s">
        <v>170</v>
      </c>
      <c r="K31" s="5" t="s">
        <v>25</v>
      </c>
      <c r="L31" s="5" t="s">
        <v>171</v>
      </c>
      <c r="M31" s="7" t="s">
        <v>27</v>
      </c>
      <c r="N31" s="5" t="s">
        <v>28</v>
      </c>
      <c r="O31" s="5" t="s">
        <v>52</v>
      </c>
      <c r="P31" s="5" t="s">
        <v>30</v>
      </c>
      <c r="Q31" s="7" t="str">
        <f t="shared" si="1"/>
        <v>400- Synechron:410- Digital platforms G&amp;A</v>
      </c>
      <c r="R31" s="7" t="str">
        <f t="array" ref="R31">IF($N31="Yes","Cost of Goods Sold:COGS- Travel Expenses:",IF($N31="No",XLOOKUP($Q31,Key!$I:$I,Key!$J:$J),"Review Billable Status"))</f>
        <v>General &amp; Administrative:G&amp;A- Travel Expenses:</v>
      </c>
      <c r="S31" s="7" t="str">
        <f t="array" ref="S31">IF($N31="Yes","Cost of Goods Sold:COGS- Personnel Expense:",IF($N31="No",XLOOKUP($Q31,Key!$I:$I,Key!$K:$K),"Review Billable Status"))</f>
        <v>General &amp; Administrative:G&amp;A- Personnel Expenses:</v>
      </c>
      <c r="T31" s="5"/>
      <c r="U31" s="5"/>
      <c r="V31" s="5"/>
      <c r="W31" s="8"/>
      <c r="X31" s="8"/>
      <c r="Y31" s="8"/>
      <c r="Z31" s="8"/>
    </row>
    <row r="32" ht="12.75" customHeight="1">
      <c r="A32" s="4">
        <v>70.0</v>
      </c>
      <c r="B32" s="5" t="s">
        <v>159</v>
      </c>
      <c r="C32" s="5" t="s">
        <v>172</v>
      </c>
      <c r="D32" s="5" t="s">
        <v>173</v>
      </c>
      <c r="E32" s="5" t="s">
        <v>22</v>
      </c>
      <c r="F32" s="6">
        <v>44767.0</v>
      </c>
      <c r="G32" s="5" t="s">
        <v>23</v>
      </c>
      <c r="H32" s="6">
        <v>44767.0</v>
      </c>
      <c r="I32" s="5" t="s">
        <v>64</v>
      </c>
      <c r="J32" s="5" t="s">
        <v>130</v>
      </c>
      <c r="K32" s="5" t="s">
        <v>25</v>
      </c>
      <c r="L32" s="5" t="s">
        <v>174</v>
      </c>
      <c r="M32" s="7" t="s">
        <v>175</v>
      </c>
      <c r="N32" s="5" t="s">
        <v>39</v>
      </c>
      <c r="O32" s="5" t="s">
        <v>59</v>
      </c>
      <c r="P32" s="5" t="s">
        <v>30</v>
      </c>
      <c r="Q32" s="7" t="str">
        <f t="shared" si="1"/>
        <v>200- Datadog:210- Delivery</v>
      </c>
      <c r="R32" s="7" t="str">
        <f t="array" ref="R32">IF($N32="Yes","Cost of Goods Sold:COGS- Travel Expenses:",IF($N32="No",XLOOKUP($Q32,Key!$I:$I,Key!$J:$J),"Review Billable Status"))</f>
        <v>Cost of Goods Sold:COGS- Travel Expenses:</v>
      </c>
      <c r="S32" s="7" t="str">
        <f t="array" ref="S32">IF($N32="Yes","Cost of Goods Sold:COGS- Personnel Expense:",IF($N32="No",XLOOKUP($Q32,Key!$I:$I,Key!$K:$K),"Review Billable Status"))</f>
        <v>Cost of Goods Sold:COGS- Personnel Expense:</v>
      </c>
      <c r="T32" s="5"/>
      <c r="U32" s="5"/>
      <c r="V32" s="5"/>
      <c r="W32" s="8"/>
      <c r="X32" s="8"/>
      <c r="Y32" s="8"/>
      <c r="Z32" s="8"/>
    </row>
    <row r="33" ht="12.75" customHeight="1">
      <c r="A33" s="4">
        <v>71.0</v>
      </c>
      <c r="B33" s="5" t="s">
        <v>176</v>
      </c>
      <c r="C33" s="5" t="s">
        <v>177</v>
      </c>
      <c r="D33" s="5" t="s">
        <v>178</v>
      </c>
      <c r="E33" s="5" t="s">
        <v>22</v>
      </c>
      <c r="F33" s="6">
        <v>44772.0</v>
      </c>
      <c r="G33" s="5" t="s">
        <v>23</v>
      </c>
      <c r="H33" s="6">
        <v>44772.0</v>
      </c>
      <c r="I33" s="5" t="s">
        <v>34</v>
      </c>
      <c r="J33" s="5" t="s">
        <v>35</v>
      </c>
      <c r="K33" s="5" t="s">
        <v>107</v>
      </c>
      <c r="L33" s="5" t="s">
        <v>179</v>
      </c>
      <c r="M33" s="7" t="s">
        <v>38</v>
      </c>
      <c r="N33" s="5" t="s">
        <v>39</v>
      </c>
      <c r="O33" s="5" t="s">
        <v>59</v>
      </c>
      <c r="P33" s="5" t="s">
        <v>180</v>
      </c>
      <c r="Q33" s="7" t="str">
        <f t="shared" si="1"/>
        <v>300- ServiceNow:320- Engineering</v>
      </c>
      <c r="R33" s="7" t="str">
        <f t="array" ref="R33">IF($N33="Yes","Cost of Goods Sold:COGS- Travel Expenses:",IF($N33="No",XLOOKUP($Q33,Key!$I:$I,Key!$J:$J),"Review Billable Status"))</f>
        <v>Cost of Goods Sold:COGS- Travel Expenses:</v>
      </c>
      <c r="S33" s="7" t="str">
        <f t="array" ref="S33">IF($N33="Yes","Cost of Goods Sold:COGS- Personnel Expense:",IF($N33="No",XLOOKUP($Q33,Key!$I:$I,Key!$K:$K),"Review Billable Status"))</f>
        <v>Cost of Goods Sold:COGS- Personnel Expense:</v>
      </c>
      <c r="T33" s="5"/>
      <c r="U33" s="5"/>
      <c r="V33" s="5"/>
      <c r="W33" s="8"/>
      <c r="X33" s="8"/>
      <c r="Y33" s="8"/>
      <c r="Z33" s="8"/>
    </row>
    <row r="34" ht="12.75" customHeight="1">
      <c r="A34" s="4">
        <v>74.0</v>
      </c>
      <c r="B34" s="5" t="s">
        <v>181</v>
      </c>
      <c r="C34" s="5" t="s">
        <v>182</v>
      </c>
      <c r="D34" s="5" t="s">
        <v>183</v>
      </c>
      <c r="E34" s="5" t="s">
        <v>22</v>
      </c>
      <c r="F34" s="6">
        <v>44795.0</v>
      </c>
      <c r="G34" s="5" t="s">
        <v>23</v>
      </c>
      <c r="H34" s="6">
        <v>44795.0</v>
      </c>
      <c r="I34" s="5" t="s">
        <v>34</v>
      </c>
      <c r="J34" s="5" t="s">
        <v>35</v>
      </c>
      <c r="K34" s="5" t="s">
        <v>36</v>
      </c>
      <c r="L34" s="5" t="s">
        <v>51</v>
      </c>
      <c r="M34" s="7" t="s">
        <v>38</v>
      </c>
      <c r="N34" s="5" t="s">
        <v>39</v>
      </c>
      <c r="O34" s="5" t="s">
        <v>52</v>
      </c>
      <c r="P34" s="5" t="s">
        <v>184</v>
      </c>
      <c r="Q34" s="7" t="str">
        <f t="shared" si="1"/>
        <v>300- ServiceNow:320- Engineering</v>
      </c>
      <c r="R34" s="7" t="str">
        <f t="array" ref="R34">IF($N34="Yes","Cost of Goods Sold:COGS- Travel Expenses:",IF($N34="No",XLOOKUP($Q34,Key!$I:$I,Key!$J:$J),"Review Billable Status"))</f>
        <v>Cost of Goods Sold:COGS- Travel Expenses:</v>
      </c>
      <c r="S34" s="7" t="str">
        <f t="array" ref="S34">IF($N34="Yes","Cost of Goods Sold:COGS- Personnel Expense:",IF($N34="No",XLOOKUP($Q34,Key!$I:$I,Key!$K:$K),"Review Billable Status"))</f>
        <v>Cost of Goods Sold:COGS- Personnel Expense:</v>
      </c>
      <c r="T34" s="5"/>
      <c r="U34" s="5"/>
      <c r="V34" s="5"/>
      <c r="W34" s="8"/>
      <c r="X34" s="8"/>
      <c r="Y34" s="8"/>
      <c r="Z34" s="8"/>
    </row>
    <row r="35" ht="12.75" customHeight="1">
      <c r="A35" s="4">
        <v>77.0</v>
      </c>
      <c r="B35" s="5" t="s">
        <v>185</v>
      </c>
      <c r="C35" s="5" t="s">
        <v>186</v>
      </c>
      <c r="D35" s="5" t="s">
        <v>187</v>
      </c>
      <c r="E35" s="5" t="s">
        <v>112</v>
      </c>
      <c r="F35" s="6">
        <v>44810.0</v>
      </c>
      <c r="G35" s="5" t="s">
        <v>23</v>
      </c>
      <c r="H35" s="6">
        <v>44810.0</v>
      </c>
      <c r="I35" s="5" t="s">
        <v>34</v>
      </c>
      <c r="J35" s="5" t="s">
        <v>45</v>
      </c>
      <c r="K35" s="5" t="s">
        <v>36</v>
      </c>
      <c r="L35" s="5" t="s">
        <v>188</v>
      </c>
      <c r="M35" s="7" t="s">
        <v>47</v>
      </c>
      <c r="N35" s="5" t="s">
        <v>28</v>
      </c>
      <c r="O35" s="5" t="s">
        <v>85</v>
      </c>
      <c r="P35" s="5" t="s">
        <v>76</v>
      </c>
      <c r="Q35" s="7" t="str">
        <f t="shared" si="1"/>
        <v>300- ServiceNow:330- Sales</v>
      </c>
      <c r="R35" s="7" t="str">
        <f t="array" ref="R35">IF($N35="Yes","Cost of Goods Sold:COGS- Travel Expenses:",IF($N35="No",XLOOKUP($Q35,Key!$I:$I,Key!$J:$J),"Review Billable Status"))</f>
        <v>Sales &amp; Marketing:Sales &amp; Marketing- Travel Expenses:</v>
      </c>
      <c r="S35" s="7" t="str">
        <f t="array" ref="S35">IF($N35="Yes","Cost of Goods Sold:COGS- Personnel Expense:",IF($N35="No",XLOOKUP($Q35,Key!$I:$I,Key!$K:$K),"Review Billable Status"))</f>
        <v>Sales &amp; Marketing:Sales &amp; Marketing- Personnel Expenses:</v>
      </c>
      <c r="T35" s="5"/>
      <c r="U35" s="5"/>
      <c r="V35" s="5"/>
      <c r="W35" s="8"/>
      <c r="X35" s="8"/>
      <c r="Y35" s="8"/>
      <c r="Z35" s="8"/>
    </row>
    <row r="36" ht="12.75" customHeight="1">
      <c r="A36" s="4">
        <v>79.0</v>
      </c>
      <c r="B36" s="5" t="s">
        <v>189</v>
      </c>
      <c r="C36" s="5" t="s">
        <v>190</v>
      </c>
      <c r="D36" s="5" t="s">
        <v>191</v>
      </c>
      <c r="E36" s="5" t="s">
        <v>22</v>
      </c>
      <c r="F36" s="6">
        <v>44810.0</v>
      </c>
      <c r="G36" s="5" t="s">
        <v>23</v>
      </c>
      <c r="H36" s="6">
        <v>44810.0</v>
      </c>
      <c r="I36" s="5" t="s">
        <v>24</v>
      </c>
      <c r="J36" s="5" t="s">
        <v>45</v>
      </c>
      <c r="K36" s="5" t="s">
        <v>36</v>
      </c>
      <c r="L36" s="5" t="s">
        <v>192</v>
      </c>
      <c r="M36" s="7" t="s">
        <v>66</v>
      </c>
      <c r="N36" s="5" t="s">
        <v>28</v>
      </c>
      <c r="O36" s="5" t="s">
        <v>85</v>
      </c>
      <c r="P36" s="5" t="s">
        <v>60</v>
      </c>
      <c r="Q36" s="7" t="str">
        <f t="shared" si="1"/>
        <v>200- Datadog:230- Sales</v>
      </c>
      <c r="R36" s="7" t="str">
        <f t="array" ref="R36">IF($N36="Yes","Cost of Goods Sold:COGS- Travel Expenses:",IF($N36="No",XLOOKUP($Q36,Key!$I:$I,Key!$J:$J),"Review Billable Status"))</f>
        <v>Sales &amp; Marketing:Sales &amp; Marketing- Travel Expenses:</v>
      </c>
      <c r="S36" s="7" t="str">
        <f t="array" ref="S36">IF($N36="Yes","Cost of Goods Sold:COGS- Personnel Expense:",IF($N36="No",XLOOKUP($Q36,Key!$I:$I,Key!$K:$K),"Review Billable Status"))</f>
        <v>Sales &amp; Marketing:Sales &amp; Marketing- Personnel Expenses:</v>
      </c>
      <c r="T36" s="5"/>
      <c r="U36" s="5"/>
      <c r="V36" s="5"/>
      <c r="W36" s="8"/>
      <c r="X36" s="8"/>
      <c r="Y36" s="8"/>
      <c r="Z36" s="8"/>
    </row>
    <row r="37" ht="12.75" customHeight="1">
      <c r="A37" s="4">
        <v>83.0</v>
      </c>
      <c r="B37" s="5" t="s">
        <v>193</v>
      </c>
      <c r="C37" s="5" t="s">
        <v>194</v>
      </c>
      <c r="D37" s="5" t="s">
        <v>195</v>
      </c>
      <c r="E37" s="5" t="s">
        <v>22</v>
      </c>
      <c r="F37" s="6">
        <v>44851.0</v>
      </c>
      <c r="G37" s="5" t="s">
        <v>23</v>
      </c>
      <c r="H37" s="6">
        <v>44851.0</v>
      </c>
      <c r="I37" s="5" t="s">
        <v>34</v>
      </c>
      <c r="J37" s="5" t="s">
        <v>35</v>
      </c>
      <c r="K37" s="5" t="s">
        <v>36</v>
      </c>
      <c r="L37" s="5" t="s">
        <v>179</v>
      </c>
      <c r="M37" s="7" t="s">
        <v>38</v>
      </c>
      <c r="N37" s="5" t="s">
        <v>39</v>
      </c>
      <c r="O37" s="5" t="s">
        <v>59</v>
      </c>
      <c r="P37" s="5" t="s">
        <v>158</v>
      </c>
      <c r="Q37" s="7" t="str">
        <f t="shared" si="1"/>
        <v>300- ServiceNow:320- Engineering</v>
      </c>
      <c r="R37" s="7" t="str">
        <f t="array" ref="R37">IF($N37="Yes","Cost of Goods Sold:COGS- Travel Expenses:",IF($N37="No",XLOOKUP($Q37,Key!$I:$I,Key!$J:$J),"Review Billable Status"))</f>
        <v>Cost of Goods Sold:COGS- Travel Expenses:</v>
      </c>
      <c r="S37" s="7" t="str">
        <f t="array" ref="S37">IF($N37="Yes","Cost of Goods Sold:COGS- Personnel Expense:",IF($N37="No",XLOOKUP($Q37,Key!$I:$I,Key!$K:$K),"Review Billable Status"))</f>
        <v>Cost of Goods Sold:COGS- Personnel Expense:</v>
      </c>
      <c r="T37" s="5"/>
      <c r="U37" s="5"/>
      <c r="V37" s="5"/>
      <c r="W37" s="8"/>
      <c r="X37" s="8"/>
      <c r="Y37" s="8"/>
      <c r="Z37" s="8"/>
    </row>
    <row r="38" ht="12.75" customHeight="1">
      <c r="A38" s="4">
        <v>84.0</v>
      </c>
      <c r="B38" s="5" t="s">
        <v>196</v>
      </c>
      <c r="C38" s="5" t="s">
        <v>197</v>
      </c>
      <c r="D38" s="5" t="s">
        <v>198</v>
      </c>
      <c r="E38" s="5" t="s">
        <v>22</v>
      </c>
      <c r="F38" s="6">
        <v>44872.0</v>
      </c>
      <c r="G38" s="5" t="s">
        <v>23</v>
      </c>
      <c r="H38" s="6">
        <v>44872.0</v>
      </c>
      <c r="I38" s="5" t="s">
        <v>24</v>
      </c>
      <c r="J38" s="5" t="s">
        <v>57</v>
      </c>
      <c r="K38" s="5" t="s">
        <v>25</v>
      </c>
      <c r="L38" s="5" t="s">
        <v>26</v>
      </c>
      <c r="M38" s="7" t="s">
        <v>199</v>
      </c>
      <c r="N38" s="5" t="s">
        <v>28</v>
      </c>
      <c r="O38" s="5" t="s">
        <v>200</v>
      </c>
      <c r="P38" s="5" t="s">
        <v>30</v>
      </c>
      <c r="Q38" s="7" t="str">
        <f t="shared" si="1"/>
        <v>100- Operations:110- G&amp;A</v>
      </c>
      <c r="R38" s="7" t="str">
        <f t="array" ref="R38">IF($N38="Yes","Cost of Goods Sold:COGS- Travel Expenses:",IF($N38="No",XLOOKUP($Q38,Key!$I:$I,Key!$J:$J),"Review Billable Status"))</f>
        <v>General &amp; Administrative:G&amp;A- Travel Expenses:</v>
      </c>
      <c r="S38" s="7" t="str">
        <f t="array" ref="S38">IF($N38="Yes","Cost of Goods Sold:COGS- Personnel Expense:",IF($N38="No",XLOOKUP($Q38,Key!$I:$I,Key!$K:$K),"Review Billable Status"))</f>
        <v>General &amp; Administrative:G&amp;A- Personnel Expenses:</v>
      </c>
      <c r="T38" s="5"/>
      <c r="U38" s="5"/>
      <c r="V38" s="5"/>
      <c r="W38" s="8"/>
      <c r="X38" s="8"/>
      <c r="Y38" s="8"/>
      <c r="Z38" s="8"/>
    </row>
    <row r="39" ht="12.75" customHeight="1">
      <c r="A39" s="4">
        <v>85.0</v>
      </c>
      <c r="B39" s="5" t="s">
        <v>201</v>
      </c>
      <c r="C39" s="5" t="s">
        <v>202</v>
      </c>
      <c r="D39" s="5" t="s">
        <v>203</v>
      </c>
      <c r="E39" s="5" t="s">
        <v>112</v>
      </c>
      <c r="F39" s="6">
        <v>44872.0</v>
      </c>
      <c r="G39" s="5" t="s">
        <v>23</v>
      </c>
      <c r="H39" s="6">
        <v>44872.0</v>
      </c>
      <c r="I39" s="5" t="s">
        <v>34</v>
      </c>
      <c r="J39" s="5" t="s">
        <v>130</v>
      </c>
      <c r="K39" s="5" t="s">
        <v>36</v>
      </c>
      <c r="L39" s="5" t="s">
        <v>204</v>
      </c>
      <c r="M39" s="7" t="s">
        <v>132</v>
      </c>
      <c r="N39" s="5" t="s">
        <v>39</v>
      </c>
      <c r="O39" s="5" t="s">
        <v>59</v>
      </c>
      <c r="P39" s="5" t="s">
        <v>205</v>
      </c>
      <c r="Q39" s="7" t="str">
        <f t="shared" si="1"/>
        <v>300- ServiceNow:310- Delivery</v>
      </c>
      <c r="R39" s="7" t="str">
        <f t="array" ref="R39">IF($N39="Yes","Cost of Goods Sold:COGS- Travel Expenses:",IF($N39="No",XLOOKUP($Q39,Key!$I:$I,Key!$J:$J),"Review Billable Status"))</f>
        <v>Cost of Goods Sold:COGS- Travel Expenses:</v>
      </c>
      <c r="S39" s="7" t="str">
        <f t="array" ref="S39">IF($N39="Yes","Cost of Goods Sold:COGS- Personnel Expense:",IF($N39="No",XLOOKUP($Q39,Key!$I:$I,Key!$K:$K),"Review Billable Status"))</f>
        <v>Cost of Goods Sold:COGS- Personnel Expense:</v>
      </c>
      <c r="T39" s="5"/>
      <c r="U39" s="5"/>
      <c r="V39" s="5"/>
      <c r="W39" s="8"/>
      <c r="X39" s="8"/>
      <c r="Y39" s="8"/>
      <c r="Z39" s="8"/>
    </row>
    <row r="40" ht="12.75" customHeight="1">
      <c r="A40" s="4">
        <v>87.0</v>
      </c>
      <c r="B40" s="5" t="s">
        <v>206</v>
      </c>
      <c r="C40" s="5" t="s">
        <v>207</v>
      </c>
      <c r="D40" s="5" t="s">
        <v>208</v>
      </c>
      <c r="E40" s="5" t="s">
        <v>22</v>
      </c>
      <c r="F40" s="6">
        <v>44873.0</v>
      </c>
      <c r="G40" s="5" t="s">
        <v>23</v>
      </c>
      <c r="H40" s="6">
        <v>44873.0</v>
      </c>
      <c r="I40" s="5" t="s">
        <v>34</v>
      </c>
      <c r="J40" s="5" t="s">
        <v>35</v>
      </c>
      <c r="K40" s="5" t="s">
        <v>36</v>
      </c>
      <c r="L40" s="5" t="s">
        <v>84</v>
      </c>
      <c r="M40" s="7" t="s">
        <v>38</v>
      </c>
      <c r="N40" s="5" t="s">
        <v>39</v>
      </c>
      <c r="O40" s="5" t="s">
        <v>52</v>
      </c>
      <c r="P40" s="5" t="s">
        <v>209</v>
      </c>
      <c r="Q40" s="7" t="str">
        <f t="shared" si="1"/>
        <v>300- ServiceNow:320- Engineering</v>
      </c>
      <c r="R40" s="7" t="str">
        <f t="array" ref="R40">IF($N40="Yes","Cost of Goods Sold:COGS- Travel Expenses:",IF($N40="No",XLOOKUP($Q40,Key!$I:$I,Key!$J:$J),"Review Billable Status"))</f>
        <v>Cost of Goods Sold:COGS- Travel Expenses:</v>
      </c>
      <c r="S40" s="7" t="str">
        <f t="array" ref="S40">IF($N40="Yes","Cost of Goods Sold:COGS- Personnel Expense:",IF($N40="No",XLOOKUP($Q40,Key!$I:$I,Key!$K:$K),"Review Billable Status"))</f>
        <v>Cost of Goods Sold:COGS- Personnel Expense:</v>
      </c>
      <c r="T40" s="5"/>
      <c r="U40" s="5"/>
      <c r="V40" s="5"/>
      <c r="W40" s="8"/>
      <c r="X40" s="8"/>
      <c r="Y40" s="8"/>
      <c r="Z40" s="8"/>
    </row>
    <row r="41" ht="12.75" customHeight="1">
      <c r="A41" s="4">
        <v>89.0</v>
      </c>
      <c r="B41" s="5" t="s">
        <v>210</v>
      </c>
      <c r="C41" s="5" t="s">
        <v>211</v>
      </c>
      <c r="D41" s="5" t="s">
        <v>212</v>
      </c>
      <c r="E41" s="5" t="s">
        <v>22</v>
      </c>
      <c r="F41" s="6">
        <v>44879.0</v>
      </c>
      <c r="G41" s="5" t="s">
        <v>23</v>
      </c>
      <c r="H41" s="6">
        <v>44879.0</v>
      </c>
      <c r="I41" s="5" t="s">
        <v>64</v>
      </c>
      <c r="J41" s="5" t="s">
        <v>35</v>
      </c>
      <c r="K41" s="5" t="s">
        <v>36</v>
      </c>
      <c r="L41" s="5" t="s">
        <v>104</v>
      </c>
      <c r="M41" s="7" t="s">
        <v>75</v>
      </c>
      <c r="N41" s="5" t="s">
        <v>39</v>
      </c>
      <c r="O41" s="5" t="s">
        <v>59</v>
      </c>
      <c r="P41" s="5" t="s">
        <v>213</v>
      </c>
      <c r="Q41" s="7" t="str">
        <f t="shared" si="1"/>
        <v>200- Datadog:220- Engineering</v>
      </c>
      <c r="R41" s="7" t="str">
        <f t="array" ref="R41">IF($N41="Yes","Cost of Goods Sold:COGS- Travel Expenses:",IF($N41="No",XLOOKUP($Q41,Key!$I:$I,Key!$J:$J),"Review Billable Status"))</f>
        <v>Cost of Goods Sold:COGS- Travel Expenses:</v>
      </c>
      <c r="S41" s="7" t="str">
        <f t="array" ref="S41">IF($N41="Yes","Cost of Goods Sold:COGS- Personnel Expense:",IF($N41="No",XLOOKUP($Q41,Key!$I:$I,Key!$K:$K),"Review Billable Status"))</f>
        <v>Cost of Goods Sold:COGS- Personnel Expense:</v>
      </c>
      <c r="T41" s="5"/>
      <c r="U41" s="5"/>
      <c r="V41" s="5"/>
      <c r="W41" s="8"/>
      <c r="X41" s="8"/>
      <c r="Y41" s="8"/>
      <c r="Z41" s="8"/>
    </row>
    <row r="42" ht="12.75" customHeight="1">
      <c r="A42" s="4">
        <v>91.0</v>
      </c>
      <c r="B42" s="5" t="s">
        <v>181</v>
      </c>
      <c r="C42" s="5" t="s">
        <v>214</v>
      </c>
      <c r="D42" s="5" t="s">
        <v>215</v>
      </c>
      <c r="E42" s="5" t="s">
        <v>22</v>
      </c>
      <c r="F42" s="6">
        <v>44900.0</v>
      </c>
      <c r="G42" s="5" t="s">
        <v>23</v>
      </c>
      <c r="H42" s="6">
        <v>44900.0</v>
      </c>
      <c r="I42" s="5" t="s">
        <v>34</v>
      </c>
      <c r="J42" s="5" t="s">
        <v>35</v>
      </c>
      <c r="K42" s="5" t="s">
        <v>36</v>
      </c>
      <c r="L42" s="5" t="s">
        <v>216</v>
      </c>
      <c r="M42" s="7" t="s">
        <v>38</v>
      </c>
      <c r="N42" s="5" t="s">
        <v>39</v>
      </c>
      <c r="O42" s="5" t="s">
        <v>40</v>
      </c>
      <c r="P42" s="5" t="s">
        <v>158</v>
      </c>
      <c r="Q42" s="7" t="str">
        <f t="shared" si="1"/>
        <v>300- ServiceNow:320- Engineering</v>
      </c>
      <c r="R42" s="7" t="str">
        <f t="array" ref="R42">IF($N42="Yes","Cost of Goods Sold:COGS- Travel Expenses:",IF($N42="No",XLOOKUP($Q42,Key!$I:$I,Key!$J:$J),"Review Billable Status"))</f>
        <v>Cost of Goods Sold:COGS- Travel Expenses:</v>
      </c>
      <c r="S42" s="7" t="str">
        <f t="array" ref="S42">IF($N42="Yes","Cost of Goods Sold:COGS- Personnel Expense:",IF($N42="No",XLOOKUP($Q42,Key!$I:$I,Key!$K:$K),"Review Billable Status"))</f>
        <v>Cost of Goods Sold:COGS- Personnel Expense:</v>
      </c>
      <c r="T42" s="5"/>
      <c r="U42" s="5"/>
      <c r="V42" s="5"/>
      <c r="W42" s="8"/>
      <c r="X42" s="8"/>
      <c r="Y42" s="8"/>
      <c r="Z42" s="8"/>
    </row>
    <row r="43" ht="12.75" customHeight="1">
      <c r="A43" s="4">
        <v>98.0</v>
      </c>
      <c r="B43" s="5" t="s">
        <v>217</v>
      </c>
      <c r="C43" s="5" t="s">
        <v>218</v>
      </c>
      <c r="D43" s="5" t="s">
        <v>219</v>
      </c>
      <c r="E43" s="5" t="s">
        <v>112</v>
      </c>
      <c r="F43" s="6">
        <v>44963.0</v>
      </c>
      <c r="G43" s="5" t="s">
        <v>23</v>
      </c>
      <c r="H43" s="6">
        <v>44963.0</v>
      </c>
      <c r="I43" s="5" t="s">
        <v>24</v>
      </c>
      <c r="J43" s="5" t="s">
        <v>24</v>
      </c>
      <c r="K43" s="5" t="s">
        <v>25</v>
      </c>
      <c r="L43" s="5" t="s">
        <v>220</v>
      </c>
      <c r="M43" s="7" t="s">
        <v>199</v>
      </c>
      <c r="N43" s="5" t="s">
        <v>28</v>
      </c>
      <c r="O43" s="5" t="s">
        <v>200</v>
      </c>
      <c r="P43" s="5" t="s">
        <v>30</v>
      </c>
      <c r="Q43" s="7" t="str">
        <f t="shared" si="1"/>
        <v>100- Operations:110- G&amp;A</v>
      </c>
      <c r="R43" s="7" t="str">
        <f t="array" ref="R43">IF($N43="Yes","Cost of Goods Sold:COGS- Travel Expenses:",IF($N43="No",XLOOKUP($Q43,Key!$I:$I,Key!$J:$J),"Review Billable Status"))</f>
        <v>General &amp; Administrative:G&amp;A- Travel Expenses:</v>
      </c>
      <c r="S43" s="7" t="str">
        <f t="array" ref="S43">IF($N43="Yes","Cost of Goods Sold:COGS- Personnel Expense:",IF($N43="No",XLOOKUP($Q43,Key!$I:$I,Key!$K:$K),"Review Billable Status"))</f>
        <v>General &amp; Administrative:G&amp;A- Personnel Expenses:</v>
      </c>
      <c r="T43" s="5"/>
      <c r="U43" s="5"/>
      <c r="V43" s="5"/>
      <c r="W43" s="8"/>
      <c r="X43" s="8"/>
      <c r="Y43" s="8"/>
      <c r="Z43" s="8"/>
    </row>
    <row r="44" ht="12.75" customHeight="1">
      <c r="A44" s="4">
        <v>99.0</v>
      </c>
      <c r="B44" s="5" t="s">
        <v>221</v>
      </c>
      <c r="C44" s="5" t="s">
        <v>222</v>
      </c>
      <c r="D44" s="5" t="s">
        <v>223</v>
      </c>
      <c r="E44" s="5" t="s">
        <v>22</v>
      </c>
      <c r="F44" s="6">
        <v>44984.0</v>
      </c>
      <c r="G44" s="5" t="s">
        <v>23</v>
      </c>
      <c r="H44" s="6">
        <v>44984.0</v>
      </c>
      <c r="I44" s="5" t="s">
        <v>34</v>
      </c>
      <c r="J44" s="5" t="s">
        <v>35</v>
      </c>
      <c r="K44" s="5" t="s">
        <v>36</v>
      </c>
      <c r="L44" s="5" t="s">
        <v>84</v>
      </c>
      <c r="M44" s="7" t="s">
        <v>38</v>
      </c>
      <c r="N44" s="5" t="s">
        <v>39</v>
      </c>
      <c r="O44" s="5" t="s">
        <v>85</v>
      </c>
      <c r="P44" s="5" t="s">
        <v>224</v>
      </c>
      <c r="Q44" s="7" t="str">
        <f t="shared" si="1"/>
        <v>300- ServiceNow:320- Engineering</v>
      </c>
      <c r="R44" s="7" t="str">
        <f t="array" ref="R44">IF($N44="Yes","Cost of Goods Sold:COGS- Travel Expenses:",IF($N44="No",XLOOKUP($Q44,Key!$I:$I,Key!$J:$J),"Review Billable Status"))</f>
        <v>Cost of Goods Sold:COGS- Travel Expenses:</v>
      </c>
      <c r="S44" s="7" t="str">
        <f t="array" ref="S44">IF($N44="Yes","Cost of Goods Sold:COGS- Personnel Expense:",IF($N44="No",XLOOKUP($Q44,Key!$I:$I,Key!$K:$K),"Review Billable Status"))</f>
        <v>Cost of Goods Sold:COGS- Personnel Expense:</v>
      </c>
      <c r="T44" s="5"/>
      <c r="U44" s="5"/>
      <c r="V44" s="5"/>
      <c r="W44" s="8"/>
      <c r="X44" s="8"/>
      <c r="Y44" s="8"/>
      <c r="Z44" s="8"/>
    </row>
    <row r="45" ht="12.75" customHeight="1">
      <c r="A45" s="4">
        <v>100.0</v>
      </c>
      <c r="B45" s="5" t="s">
        <v>225</v>
      </c>
      <c r="C45" s="5" t="s">
        <v>226</v>
      </c>
      <c r="D45" s="5" t="s">
        <v>227</v>
      </c>
      <c r="E45" s="5" t="s">
        <v>112</v>
      </c>
      <c r="F45" s="6">
        <v>44984.0</v>
      </c>
      <c r="G45" s="5" t="s">
        <v>23</v>
      </c>
      <c r="H45" s="6">
        <v>44984.0</v>
      </c>
      <c r="I45" s="5" t="s">
        <v>64</v>
      </c>
      <c r="J45" s="5" t="s">
        <v>130</v>
      </c>
      <c r="K45" s="5" t="s">
        <v>25</v>
      </c>
      <c r="L45" s="5" t="s">
        <v>228</v>
      </c>
      <c r="M45" s="7" t="s">
        <v>175</v>
      </c>
      <c r="N45" s="5" t="s">
        <v>39</v>
      </c>
      <c r="O45" s="5" t="s">
        <v>59</v>
      </c>
      <c r="P45" s="5" t="s">
        <v>30</v>
      </c>
      <c r="Q45" s="7" t="str">
        <f t="shared" si="1"/>
        <v>200- Datadog:210- Delivery</v>
      </c>
      <c r="R45" s="7" t="str">
        <f t="array" ref="R45">IF($N45="Yes","Cost of Goods Sold:COGS- Travel Expenses:",IF($N45="No",XLOOKUP($Q45,Key!$I:$I,Key!$J:$J),"Review Billable Status"))</f>
        <v>Cost of Goods Sold:COGS- Travel Expenses:</v>
      </c>
      <c r="S45" s="7" t="str">
        <f t="array" ref="S45">IF($N45="Yes","Cost of Goods Sold:COGS- Personnel Expense:",IF($N45="No",XLOOKUP($Q45,Key!$I:$I,Key!$K:$K),"Review Billable Status"))</f>
        <v>Cost of Goods Sold:COGS- Personnel Expense:</v>
      </c>
      <c r="T45" s="5"/>
      <c r="U45" s="5"/>
      <c r="V45" s="5"/>
      <c r="W45" s="8"/>
      <c r="X45" s="8"/>
      <c r="Y45" s="8"/>
      <c r="Z45" s="8"/>
    </row>
    <row r="46" ht="12.75" customHeight="1">
      <c r="A46" s="4">
        <v>101.0</v>
      </c>
      <c r="B46" s="5" t="s">
        <v>159</v>
      </c>
      <c r="C46" s="5" t="s">
        <v>229</v>
      </c>
      <c r="D46" s="5" t="s">
        <v>230</v>
      </c>
      <c r="E46" s="5" t="s">
        <v>22</v>
      </c>
      <c r="F46" s="6">
        <v>44984.0</v>
      </c>
      <c r="G46" s="5" t="s">
        <v>23</v>
      </c>
      <c r="H46" s="6">
        <v>44984.0</v>
      </c>
      <c r="I46" s="5" t="s">
        <v>64</v>
      </c>
      <c r="J46" s="5" t="s">
        <v>35</v>
      </c>
      <c r="K46" s="5" t="s">
        <v>25</v>
      </c>
      <c r="L46" s="5" t="s">
        <v>231</v>
      </c>
      <c r="M46" s="7" t="s">
        <v>75</v>
      </c>
      <c r="N46" s="5" t="s">
        <v>39</v>
      </c>
      <c r="O46" s="5" t="s">
        <v>59</v>
      </c>
      <c r="P46" s="5" t="s">
        <v>30</v>
      </c>
      <c r="Q46" s="7" t="str">
        <f t="shared" si="1"/>
        <v>200- Datadog:220- Engineering</v>
      </c>
      <c r="R46" s="7" t="str">
        <f t="array" ref="R46">IF($N46="Yes","Cost of Goods Sold:COGS- Travel Expenses:",IF($N46="No",XLOOKUP($Q46,Key!$I:$I,Key!$J:$J),"Review Billable Status"))</f>
        <v>Cost of Goods Sold:COGS- Travel Expenses:</v>
      </c>
      <c r="S46" s="7" t="str">
        <f t="array" ref="S46">IF($N46="Yes","Cost of Goods Sold:COGS- Personnel Expense:",IF($N46="No",XLOOKUP($Q46,Key!$I:$I,Key!$K:$K),"Review Billable Status"))</f>
        <v>Cost of Goods Sold:COGS- Personnel Expense:</v>
      </c>
      <c r="T46" s="5"/>
      <c r="U46" s="5"/>
      <c r="V46" s="5"/>
      <c r="W46" s="8"/>
      <c r="X46" s="8"/>
      <c r="Y46" s="8"/>
      <c r="Z46" s="8"/>
    </row>
    <row r="47" ht="12.75" customHeight="1">
      <c r="A47" s="4">
        <v>102.0</v>
      </c>
      <c r="B47" s="5" t="s">
        <v>232</v>
      </c>
      <c r="C47" s="5" t="s">
        <v>233</v>
      </c>
      <c r="D47" s="5" t="s">
        <v>234</v>
      </c>
      <c r="E47" s="5" t="s">
        <v>22</v>
      </c>
      <c r="F47" s="6">
        <v>44991.0</v>
      </c>
      <c r="G47" s="5" t="s">
        <v>23</v>
      </c>
      <c r="H47" s="6">
        <v>44991.0</v>
      </c>
      <c r="I47" s="5" t="s">
        <v>64</v>
      </c>
      <c r="J47" s="5" t="s">
        <v>35</v>
      </c>
      <c r="K47" s="5" t="s">
        <v>25</v>
      </c>
      <c r="L47" s="5" t="s">
        <v>235</v>
      </c>
      <c r="M47" s="7" t="s">
        <v>75</v>
      </c>
      <c r="N47" s="5" t="s">
        <v>28</v>
      </c>
      <c r="O47" s="5" t="s">
        <v>40</v>
      </c>
      <c r="P47" s="5" t="s">
        <v>30</v>
      </c>
      <c r="Q47" s="7" t="str">
        <f t="shared" si="1"/>
        <v>200- Datadog:220- Engineering</v>
      </c>
      <c r="R47" s="7" t="str">
        <f t="array" ref="R47">IF($N47="Yes","Cost of Goods Sold:COGS- Travel Expenses:",IF($N47="No",XLOOKUP($Q47,Key!$I:$I,Key!$J:$J),"Review Billable Status"))</f>
        <v>General &amp; Administrative:G&amp;A- Travel Expenses:</v>
      </c>
      <c r="S47" s="7" t="str">
        <f t="array" ref="S47">IF($N47="Yes","Cost of Goods Sold:COGS- Personnel Expense:",IF($N47="No",XLOOKUP($Q47,Key!$I:$I,Key!$K:$K),"Review Billable Status"))</f>
        <v>General &amp; Administrative:G&amp;A- Personnel Expenses:</v>
      </c>
      <c r="T47" s="5"/>
      <c r="U47" s="5"/>
      <c r="V47" s="5"/>
      <c r="W47" s="8"/>
      <c r="X47" s="8"/>
      <c r="Y47" s="8"/>
      <c r="Z47" s="8"/>
    </row>
    <row r="48" ht="12.75" customHeight="1">
      <c r="A48" s="4">
        <v>103.0</v>
      </c>
      <c r="B48" s="5" t="s">
        <v>236</v>
      </c>
      <c r="C48" s="5" t="s">
        <v>237</v>
      </c>
      <c r="D48" s="5" t="s">
        <v>238</v>
      </c>
      <c r="E48" s="5" t="s">
        <v>112</v>
      </c>
      <c r="F48" s="6">
        <v>44991.0</v>
      </c>
      <c r="G48" s="5" t="s">
        <v>23</v>
      </c>
      <c r="H48" s="6">
        <v>44991.0</v>
      </c>
      <c r="I48" s="5" t="s">
        <v>24</v>
      </c>
      <c r="J48" s="5" t="s">
        <v>45</v>
      </c>
      <c r="K48" s="5" t="s">
        <v>36</v>
      </c>
      <c r="L48" s="5" t="s">
        <v>140</v>
      </c>
      <c r="M48" s="7" t="s">
        <v>199</v>
      </c>
      <c r="N48" s="5" t="s">
        <v>28</v>
      </c>
      <c r="O48" s="5" t="s">
        <v>239</v>
      </c>
      <c r="P48" s="5" t="s">
        <v>240</v>
      </c>
      <c r="Q48" s="7" t="str">
        <f t="shared" si="1"/>
        <v>100- Operations:110- G&amp;A</v>
      </c>
      <c r="R48" s="7" t="str">
        <f t="array" ref="R48">IF($N48="Yes","Cost of Goods Sold:COGS- Travel Expenses:",IF($N48="No",XLOOKUP($Q48,Key!$I:$I,Key!$J:$J),"Review Billable Status"))</f>
        <v>General &amp; Administrative:G&amp;A- Travel Expenses:</v>
      </c>
      <c r="S48" s="7" t="str">
        <f t="array" ref="S48">IF($N48="Yes","Cost of Goods Sold:COGS- Personnel Expense:",IF($N48="No",XLOOKUP($Q48,Key!$I:$I,Key!$K:$K),"Review Billable Status"))</f>
        <v>General &amp; Administrative:G&amp;A- Personnel Expenses:</v>
      </c>
      <c r="T48" s="5"/>
      <c r="U48" s="5"/>
      <c r="V48" s="5"/>
      <c r="W48" s="8"/>
      <c r="X48" s="8"/>
      <c r="Y48" s="8"/>
      <c r="Z48" s="8"/>
    </row>
    <row r="49" ht="12.75" customHeight="1">
      <c r="A49" s="4">
        <v>107.0</v>
      </c>
      <c r="B49" s="5" t="s">
        <v>241</v>
      </c>
      <c r="C49" s="5" t="s">
        <v>242</v>
      </c>
      <c r="D49" s="5" t="s">
        <v>243</v>
      </c>
      <c r="E49" s="5" t="s">
        <v>22</v>
      </c>
      <c r="F49" s="6">
        <v>45054.0</v>
      </c>
      <c r="G49" s="5" t="s">
        <v>23</v>
      </c>
      <c r="H49" s="6">
        <v>45054.0</v>
      </c>
      <c r="I49" s="5" t="s">
        <v>24</v>
      </c>
      <c r="J49" s="5" t="s">
        <v>244</v>
      </c>
      <c r="K49" s="5" t="s">
        <v>25</v>
      </c>
      <c r="L49" s="5" t="s">
        <v>245</v>
      </c>
      <c r="M49" s="7" t="s">
        <v>199</v>
      </c>
      <c r="N49" s="5" t="s">
        <v>28</v>
      </c>
      <c r="O49" s="5" t="s">
        <v>59</v>
      </c>
      <c r="P49" s="5" t="s">
        <v>30</v>
      </c>
      <c r="Q49" s="7" t="str">
        <f t="shared" si="1"/>
        <v>100- Operations:110- G&amp;A</v>
      </c>
      <c r="R49" s="7" t="str">
        <f t="array" ref="R49">IF($N49="Yes","Cost of Goods Sold:COGS- Travel Expenses:",IF($N49="No",XLOOKUP($Q49,Key!$I:$I,Key!$J:$J),"Review Billable Status"))</f>
        <v>General &amp; Administrative:G&amp;A- Travel Expenses:</v>
      </c>
      <c r="S49" s="7" t="str">
        <f t="array" ref="S49">IF($N49="Yes","Cost of Goods Sold:COGS- Personnel Expense:",IF($N49="No",XLOOKUP($Q49,Key!$I:$I,Key!$K:$K),"Review Billable Status"))</f>
        <v>General &amp; Administrative:G&amp;A- Personnel Expenses:</v>
      </c>
      <c r="T49" s="5"/>
      <c r="U49" s="5"/>
      <c r="V49" s="5"/>
      <c r="W49" s="8"/>
      <c r="X49" s="8"/>
      <c r="Y49" s="8"/>
      <c r="Z49" s="8"/>
    </row>
    <row r="50" ht="12.75" customHeight="1">
      <c r="A50" s="4">
        <v>109.0</v>
      </c>
      <c r="B50" s="5" t="s">
        <v>246</v>
      </c>
      <c r="C50" s="5" t="s">
        <v>247</v>
      </c>
      <c r="D50" s="5" t="s">
        <v>248</v>
      </c>
      <c r="E50" s="5" t="s">
        <v>22</v>
      </c>
      <c r="F50" s="6">
        <v>45068.0</v>
      </c>
      <c r="G50" s="5" t="s">
        <v>23</v>
      </c>
      <c r="H50" s="6">
        <v>45068.0</v>
      </c>
      <c r="I50" s="5" t="s">
        <v>64</v>
      </c>
      <c r="J50" s="5" t="s">
        <v>35</v>
      </c>
      <c r="K50" s="5" t="s">
        <v>25</v>
      </c>
      <c r="L50" s="5" t="s">
        <v>104</v>
      </c>
      <c r="M50" s="7" t="s">
        <v>75</v>
      </c>
      <c r="N50" s="5" t="s">
        <v>39</v>
      </c>
      <c r="O50" s="5" t="s">
        <v>59</v>
      </c>
      <c r="P50" s="5" t="s">
        <v>30</v>
      </c>
      <c r="Q50" s="7" t="str">
        <f t="shared" si="1"/>
        <v>200- Datadog:220- Engineering</v>
      </c>
      <c r="R50" s="7" t="str">
        <f t="array" ref="R50">IF($N50="Yes","Cost of Goods Sold:COGS- Travel Expenses:",IF($N50="No",XLOOKUP($Q50,Key!$I:$I,Key!$J:$J),"Review Billable Status"))</f>
        <v>Cost of Goods Sold:COGS- Travel Expenses:</v>
      </c>
      <c r="S50" s="7" t="str">
        <f t="array" ref="S50">IF($N50="Yes","Cost of Goods Sold:COGS- Personnel Expense:",IF($N50="No",XLOOKUP($Q50,Key!$I:$I,Key!$K:$K),"Review Billable Status"))</f>
        <v>Cost of Goods Sold:COGS- Personnel Expense:</v>
      </c>
      <c r="T50" s="5"/>
      <c r="U50" s="5"/>
      <c r="V50" s="5"/>
      <c r="W50" s="8"/>
      <c r="X50" s="8"/>
      <c r="Y50" s="8"/>
      <c r="Z50" s="8"/>
    </row>
    <row r="51" ht="12.75" customHeight="1">
      <c r="A51" s="4">
        <v>110.0</v>
      </c>
      <c r="B51" s="5" t="s">
        <v>249</v>
      </c>
      <c r="C51" s="5" t="s">
        <v>250</v>
      </c>
      <c r="D51" s="5" t="s">
        <v>251</v>
      </c>
      <c r="E51" s="5" t="s">
        <v>112</v>
      </c>
      <c r="F51" s="6">
        <v>44137.0</v>
      </c>
      <c r="G51" s="5" t="s">
        <v>23</v>
      </c>
      <c r="H51" s="6">
        <v>44137.0</v>
      </c>
      <c r="I51" s="5" t="s">
        <v>34</v>
      </c>
      <c r="J51" s="5" t="s">
        <v>130</v>
      </c>
      <c r="K51" s="5" t="s">
        <v>107</v>
      </c>
      <c r="L51" s="5" t="s">
        <v>228</v>
      </c>
      <c r="M51" s="7" t="s">
        <v>132</v>
      </c>
      <c r="N51" s="5" t="s">
        <v>39</v>
      </c>
      <c r="O51" s="5" t="s">
        <v>40</v>
      </c>
      <c r="P51" s="5" t="s">
        <v>252</v>
      </c>
      <c r="Q51" s="7" t="str">
        <f t="shared" si="1"/>
        <v>300- ServiceNow:310- Delivery</v>
      </c>
      <c r="R51" s="7" t="str">
        <f t="array" ref="R51">IF($N51="Yes","Cost of Goods Sold:COGS- Travel Expenses:",IF($N51="No",XLOOKUP($Q51,Key!$I:$I,Key!$J:$J),"Review Billable Status"))</f>
        <v>Cost of Goods Sold:COGS- Travel Expenses:</v>
      </c>
      <c r="S51" s="7" t="str">
        <f t="array" ref="S51">IF($N51="Yes","Cost of Goods Sold:COGS- Personnel Expense:",IF($N51="No",XLOOKUP($Q51,Key!$I:$I,Key!$K:$K),"Review Billable Status"))</f>
        <v>Cost of Goods Sold:COGS- Personnel Expense:</v>
      </c>
      <c r="T51" s="5"/>
      <c r="U51" s="5"/>
      <c r="V51" s="5"/>
      <c r="W51" s="8"/>
      <c r="X51" s="8"/>
      <c r="Y51" s="8"/>
      <c r="Z51" s="8"/>
    </row>
    <row r="52" ht="12.75" customHeight="1">
      <c r="A52" s="4">
        <v>111.0</v>
      </c>
      <c r="B52" s="5" t="s">
        <v>253</v>
      </c>
      <c r="C52" s="5" t="s">
        <v>254</v>
      </c>
      <c r="D52" s="5" t="s">
        <v>255</v>
      </c>
      <c r="E52" s="5" t="s">
        <v>112</v>
      </c>
      <c r="F52" s="6">
        <v>44838.0</v>
      </c>
      <c r="G52" s="5" t="s">
        <v>23</v>
      </c>
      <c r="H52" s="6">
        <v>44838.0</v>
      </c>
      <c r="I52" s="5" t="s">
        <v>24</v>
      </c>
      <c r="J52" s="5" t="s">
        <v>256</v>
      </c>
      <c r="K52" s="5" t="s">
        <v>107</v>
      </c>
      <c r="L52" s="5" t="s">
        <v>257</v>
      </c>
      <c r="M52" s="7" t="s">
        <v>258</v>
      </c>
      <c r="N52" s="5" t="s">
        <v>28</v>
      </c>
      <c r="O52" s="5" t="s">
        <v>52</v>
      </c>
      <c r="P52" s="5" t="s">
        <v>259</v>
      </c>
      <c r="Q52" s="7" t="str">
        <f t="shared" si="1"/>
        <v>100- Operations:120- Marketing</v>
      </c>
      <c r="R52" s="7" t="str">
        <f t="array" ref="R52">IF($N52="Yes","Cost of Goods Sold:COGS- Travel Expenses:",IF($N52="No",XLOOKUP($Q52,Key!$I:$I,Key!$J:$J),"Review Billable Status"))</f>
        <v>Sales &amp; Marketing:Sales &amp; Marketing- Travel Expenses:</v>
      </c>
      <c r="S52" s="7" t="str">
        <f t="array" ref="S52">IF($N52="Yes","Cost of Goods Sold:COGS- Personnel Expense:",IF($N52="No",XLOOKUP($Q52,Key!$I:$I,Key!$K:$K),"Review Billable Status"))</f>
        <v>Sales &amp; Marketing:Sales &amp; Marketing- Personnel Expenses:</v>
      </c>
      <c r="T52" s="5"/>
      <c r="U52" s="5"/>
      <c r="V52" s="5"/>
      <c r="W52" s="8"/>
      <c r="X52" s="8"/>
      <c r="Y52" s="8"/>
      <c r="Z52" s="8"/>
    </row>
    <row r="53" ht="12.75" customHeight="1">
      <c r="A53" s="4">
        <v>116.0</v>
      </c>
      <c r="B53" s="5" t="s">
        <v>206</v>
      </c>
      <c r="C53" s="5" t="s">
        <v>260</v>
      </c>
      <c r="D53" s="5" t="s">
        <v>261</v>
      </c>
      <c r="E53" s="5" t="s">
        <v>22</v>
      </c>
      <c r="F53" s="6">
        <v>45082.0</v>
      </c>
      <c r="G53" s="5" t="s">
        <v>23</v>
      </c>
      <c r="H53" s="6">
        <v>46113.0</v>
      </c>
      <c r="I53" s="5" t="s">
        <v>34</v>
      </c>
      <c r="J53" s="5" t="s">
        <v>35</v>
      </c>
      <c r="K53" s="5" t="s">
        <v>25</v>
      </c>
      <c r="L53" s="5" t="s">
        <v>153</v>
      </c>
      <c r="M53" s="7" t="s">
        <v>38</v>
      </c>
      <c r="N53" s="5" t="s">
        <v>39</v>
      </c>
      <c r="O53" s="5" t="s">
        <v>239</v>
      </c>
      <c r="P53" s="5" t="s">
        <v>30</v>
      </c>
      <c r="Q53" s="7" t="str">
        <f t="shared" si="1"/>
        <v>300- ServiceNow:320- Engineering</v>
      </c>
      <c r="R53" s="7" t="str">
        <f t="array" ref="R53">IF($N53="Yes","Cost of Goods Sold:COGS- Travel Expenses:",IF($N53="No",XLOOKUP($Q53,Key!$I:$I,Key!$J:$J),"Review Billable Status"))</f>
        <v>Cost of Goods Sold:COGS- Travel Expenses:</v>
      </c>
      <c r="S53" s="7" t="str">
        <f t="array" ref="S53">IF($N53="Yes","Cost of Goods Sold:COGS- Personnel Expense:",IF($N53="No",XLOOKUP($Q53,Key!$I:$I,Key!$K:$K),"Review Billable Status"))</f>
        <v>Cost of Goods Sold:COGS- Personnel Expense:</v>
      </c>
      <c r="T53" s="5"/>
      <c r="U53" s="5"/>
      <c r="V53" s="5"/>
      <c r="W53" s="8"/>
      <c r="X53" s="8"/>
      <c r="Y53" s="8"/>
      <c r="Z53" s="8"/>
    </row>
    <row r="54" ht="12.75" customHeight="1">
      <c r="A54" s="4">
        <v>118.0</v>
      </c>
      <c r="B54" s="5" t="s">
        <v>262</v>
      </c>
      <c r="C54" s="5" t="s">
        <v>263</v>
      </c>
      <c r="D54" s="5" t="s">
        <v>264</v>
      </c>
      <c r="E54" s="5" t="s">
        <v>22</v>
      </c>
      <c r="F54" s="6">
        <v>45107.0</v>
      </c>
      <c r="G54" s="5" t="s">
        <v>23</v>
      </c>
      <c r="H54" s="6">
        <v>45107.0</v>
      </c>
      <c r="I54" s="5" t="s">
        <v>34</v>
      </c>
      <c r="J54" s="5" t="s">
        <v>45</v>
      </c>
      <c r="K54" s="5" t="s">
        <v>36</v>
      </c>
      <c r="L54" s="5" t="s">
        <v>140</v>
      </c>
      <c r="M54" s="7" t="s">
        <v>47</v>
      </c>
      <c r="N54" s="5" t="s">
        <v>28</v>
      </c>
      <c r="O54" s="5" t="s">
        <v>59</v>
      </c>
      <c r="P54" s="5" t="s">
        <v>41</v>
      </c>
      <c r="Q54" s="7" t="str">
        <f t="shared" si="1"/>
        <v>300- ServiceNow:330- Sales</v>
      </c>
      <c r="R54" s="7" t="str">
        <f t="array" ref="R54">IF($N54="Yes","Cost of Goods Sold:COGS- Travel Expenses:",IF($N54="No",XLOOKUP($Q54,Key!$I:$I,Key!$J:$J),"Review Billable Status"))</f>
        <v>Sales &amp; Marketing:Sales &amp; Marketing- Travel Expenses:</v>
      </c>
      <c r="S54" s="7" t="str">
        <f t="array" ref="S54">IF($N54="Yes","Cost of Goods Sold:COGS- Personnel Expense:",IF($N54="No",XLOOKUP($Q54,Key!$I:$I,Key!$K:$K),"Review Billable Status"))</f>
        <v>Sales &amp; Marketing:Sales &amp; Marketing- Personnel Expenses:</v>
      </c>
      <c r="T54" s="5"/>
      <c r="U54" s="5"/>
      <c r="V54" s="5"/>
      <c r="W54" s="8"/>
      <c r="X54" s="8"/>
      <c r="Y54" s="8"/>
      <c r="Z54" s="8"/>
    </row>
    <row r="55" ht="12.75" customHeight="1">
      <c r="A55" s="4">
        <v>120.0</v>
      </c>
      <c r="B55" s="5" t="s">
        <v>265</v>
      </c>
      <c r="C55" s="5" t="s">
        <v>266</v>
      </c>
      <c r="D55" s="5" t="s">
        <v>267</v>
      </c>
      <c r="E55" s="5" t="s">
        <v>22</v>
      </c>
      <c r="F55" s="6">
        <v>45145.0</v>
      </c>
      <c r="G55" s="5" t="s">
        <v>23</v>
      </c>
      <c r="H55" s="6">
        <v>45145.0</v>
      </c>
      <c r="I55" s="5" t="s">
        <v>34</v>
      </c>
      <c r="J55" s="5" t="s">
        <v>35</v>
      </c>
      <c r="K55" s="5" t="s">
        <v>36</v>
      </c>
      <c r="L55" s="5" t="s">
        <v>37</v>
      </c>
      <c r="M55" s="7" t="s">
        <v>38</v>
      </c>
      <c r="N55" s="5" t="s">
        <v>39</v>
      </c>
      <c r="O55" s="5" t="s">
        <v>59</v>
      </c>
      <c r="P55" s="5" t="s">
        <v>149</v>
      </c>
      <c r="Q55" s="7" t="str">
        <f t="shared" si="1"/>
        <v>300- ServiceNow:320- Engineering</v>
      </c>
      <c r="R55" s="7" t="str">
        <f t="array" ref="R55">IF($N55="Yes","Cost of Goods Sold:COGS- Travel Expenses:",IF($N55="No",XLOOKUP($Q55,Key!$I:$I,Key!$J:$J),"Review Billable Status"))</f>
        <v>Cost of Goods Sold:COGS- Travel Expenses:</v>
      </c>
      <c r="S55" s="7" t="str">
        <f t="array" ref="S55">IF($N55="Yes","Cost of Goods Sold:COGS- Personnel Expense:",IF($N55="No",XLOOKUP($Q55,Key!$I:$I,Key!$K:$K),"Review Billable Status"))</f>
        <v>Cost of Goods Sold:COGS- Personnel Expense:</v>
      </c>
      <c r="T55" s="5"/>
      <c r="U55" s="5"/>
      <c r="V55" s="5"/>
      <c r="W55" s="8"/>
      <c r="X55" s="8"/>
      <c r="Y55" s="8"/>
      <c r="Z55" s="8"/>
    </row>
    <row r="56" ht="12.75" customHeight="1">
      <c r="A56" s="4">
        <v>121.0</v>
      </c>
      <c r="B56" s="5" t="s">
        <v>268</v>
      </c>
      <c r="C56" s="5" t="s">
        <v>269</v>
      </c>
      <c r="D56" s="5" t="s">
        <v>270</v>
      </c>
      <c r="E56" s="5" t="s">
        <v>112</v>
      </c>
      <c r="F56" s="6">
        <v>45174.0</v>
      </c>
      <c r="G56" s="5" t="s">
        <v>23</v>
      </c>
      <c r="H56" s="6">
        <v>45173.0</v>
      </c>
      <c r="I56" s="5" t="s">
        <v>24</v>
      </c>
      <c r="J56" s="5" t="s">
        <v>256</v>
      </c>
      <c r="K56" s="5" t="s">
        <v>107</v>
      </c>
      <c r="L56" s="5" t="s">
        <v>271</v>
      </c>
      <c r="M56" s="7" t="s">
        <v>258</v>
      </c>
      <c r="N56" s="5" t="s">
        <v>28</v>
      </c>
      <c r="O56" s="5" t="s">
        <v>40</v>
      </c>
      <c r="P56" s="5" t="s">
        <v>272</v>
      </c>
      <c r="Q56" s="7" t="str">
        <f t="shared" si="1"/>
        <v>100- Operations:120- Marketing</v>
      </c>
      <c r="R56" s="7" t="str">
        <f t="array" ref="R56">IF($N56="Yes","Cost of Goods Sold:COGS- Travel Expenses:",IF($N56="No",XLOOKUP($Q56,Key!$I:$I,Key!$J:$J),"Review Billable Status"))</f>
        <v>Sales &amp; Marketing:Sales &amp; Marketing- Travel Expenses:</v>
      </c>
      <c r="S56" s="7" t="str">
        <f t="array" ref="S56">IF($N56="Yes","Cost of Goods Sold:COGS- Personnel Expense:",IF($N56="No",XLOOKUP($Q56,Key!$I:$I,Key!$K:$K),"Review Billable Status"))</f>
        <v>Sales &amp; Marketing:Sales &amp; Marketing- Personnel Expenses:</v>
      </c>
      <c r="T56" s="5"/>
      <c r="U56" s="5"/>
      <c r="V56" s="5"/>
      <c r="W56" s="8"/>
      <c r="X56" s="8"/>
      <c r="Y56" s="8"/>
      <c r="Z56" s="8"/>
    </row>
    <row r="57" ht="12.75" customHeight="1">
      <c r="A57" s="4">
        <v>124.0</v>
      </c>
      <c r="B57" s="5" t="s">
        <v>273</v>
      </c>
      <c r="C57" s="5" t="s">
        <v>274</v>
      </c>
      <c r="D57" s="5" t="s">
        <v>275</v>
      </c>
      <c r="E57" s="5" t="s">
        <v>22</v>
      </c>
      <c r="F57" s="6">
        <v>45125.0</v>
      </c>
      <c r="G57" s="5" t="s">
        <v>23</v>
      </c>
      <c r="H57" s="6">
        <v>45125.0</v>
      </c>
      <c r="I57" s="5" t="s">
        <v>34</v>
      </c>
      <c r="J57" s="5" t="s">
        <v>35</v>
      </c>
      <c r="K57" s="5" t="s">
        <v>36</v>
      </c>
      <c r="L57" s="5" t="s">
        <v>179</v>
      </c>
      <c r="M57" s="7" t="s">
        <v>38</v>
      </c>
      <c r="N57" s="5" t="s">
        <v>39</v>
      </c>
      <c r="O57" s="5" t="s">
        <v>59</v>
      </c>
      <c r="P57" s="5" t="s">
        <v>166</v>
      </c>
      <c r="Q57" s="7" t="str">
        <f t="shared" si="1"/>
        <v>300- ServiceNow:320- Engineering</v>
      </c>
      <c r="R57" s="7" t="str">
        <f t="array" ref="R57">IF($N57="Yes","Cost of Goods Sold:COGS- Travel Expenses:",IF($N57="No",XLOOKUP($Q57,Key!$I:$I,Key!$J:$J),"Review Billable Status"))</f>
        <v>Cost of Goods Sold:COGS- Travel Expenses:</v>
      </c>
      <c r="S57" s="7" t="str">
        <f t="array" ref="S57">IF($N57="Yes","Cost of Goods Sold:COGS- Personnel Expense:",IF($N57="No",XLOOKUP($Q57,Key!$I:$I,Key!$K:$K),"Review Billable Status"))</f>
        <v>Cost of Goods Sold:COGS- Personnel Expense:</v>
      </c>
      <c r="T57" s="5"/>
      <c r="U57" s="5"/>
      <c r="V57" s="5"/>
      <c r="W57" s="8"/>
      <c r="X57" s="8"/>
      <c r="Y57" s="8"/>
      <c r="Z57" s="8"/>
    </row>
    <row r="58" ht="12.75" customHeight="1">
      <c r="A58" s="4">
        <v>130.0</v>
      </c>
      <c r="B58" s="5" t="s">
        <v>276</v>
      </c>
      <c r="C58" s="5" t="s">
        <v>277</v>
      </c>
      <c r="D58" s="5" t="s">
        <v>278</v>
      </c>
      <c r="E58" s="5" t="s">
        <v>112</v>
      </c>
      <c r="F58" s="6">
        <v>45194.0</v>
      </c>
      <c r="G58" s="5" t="s">
        <v>23</v>
      </c>
      <c r="H58" s="6">
        <v>45194.0</v>
      </c>
      <c r="I58" s="5" t="s">
        <v>34</v>
      </c>
      <c r="J58" s="5" t="s">
        <v>130</v>
      </c>
      <c r="K58" s="5" t="s">
        <v>25</v>
      </c>
      <c r="L58" s="5" t="s">
        <v>279</v>
      </c>
      <c r="M58" s="7" t="s">
        <v>132</v>
      </c>
      <c r="N58" s="5" t="s">
        <v>39</v>
      </c>
      <c r="O58" s="5" t="s">
        <v>52</v>
      </c>
      <c r="P58" s="5" t="s">
        <v>30</v>
      </c>
      <c r="Q58" s="7" t="str">
        <f t="shared" si="1"/>
        <v>300- ServiceNow:310- Delivery</v>
      </c>
      <c r="R58" s="7" t="str">
        <f t="array" ref="R58">IF($N58="Yes","Cost of Goods Sold:COGS- Travel Expenses:",IF($N58="No",XLOOKUP($Q58,Key!$I:$I,Key!$J:$J),"Review Billable Status"))</f>
        <v>Cost of Goods Sold:COGS- Travel Expenses:</v>
      </c>
      <c r="S58" s="7" t="str">
        <f t="array" ref="S58">IF($N58="Yes","Cost of Goods Sold:COGS- Personnel Expense:",IF($N58="No",XLOOKUP($Q58,Key!$I:$I,Key!$K:$K),"Review Billable Status"))</f>
        <v>Cost of Goods Sold:COGS- Personnel Expense:</v>
      </c>
      <c r="T58" s="5"/>
      <c r="U58" s="5"/>
      <c r="V58" s="5"/>
      <c r="W58" s="8"/>
      <c r="X58" s="8"/>
      <c r="Y58" s="8"/>
      <c r="Z58" s="8"/>
    </row>
    <row r="59" ht="12.75" customHeight="1">
      <c r="A59" s="4">
        <v>131.0</v>
      </c>
      <c r="B59" s="5" t="s">
        <v>280</v>
      </c>
      <c r="C59" s="5" t="s">
        <v>281</v>
      </c>
      <c r="D59" s="5" t="s">
        <v>282</v>
      </c>
      <c r="E59" s="5" t="s">
        <v>22</v>
      </c>
      <c r="F59" s="6">
        <v>45201.0</v>
      </c>
      <c r="G59" s="5" t="s">
        <v>23</v>
      </c>
      <c r="H59" s="6">
        <v>45201.0</v>
      </c>
      <c r="I59" s="5" t="s">
        <v>64</v>
      </c>
      <c r="J59" s="5" t="s">
        <v>130</v>
      </c>
      <c r="K59" s="5" t="s">
        <v>25</v>
      </c>
      <c r="L59" s="5" t="s">
        <v>279</v>
      </c>
      <c r="M59" s="7" t="s">
        <v>175</v>
      </c>
      <c r="N59" s="5" t="s">
        <v>39</v>
      </c>
      <c r="O59" s="5" t="s">
        <v>52</v>
      </c>
      <c r="P59" s="5" t="s">
        <v>30</v>
      </c>
      <c r="Q59" s="7" t="str">
        <f t="shared" si="1"/>
        <v>200- Datadog:210- Delivery</v>
      </c>
      <c r="R59" s="7" t="str">
        <f t="array" ref="R59">IF($N59="Yes","Cost of Goods Sold:COGS- Travel Expenses:",IF($N59="No",XLOOKUP($Q59,Key!$I:$I,Key!$J:$J),"Review Billable Status"))</f>
        <v>Cost of Goods Sold:COGS- Travel Expenses:</v>
      </c>
      <c r="S59" s="7" t="str">
        <f t="array" ref="S59">IF($N59="Yes","Cost of Goods Sold:COGS- Personnel Expense:",IF($N59="No",XLOOKUP($Q59,Key!$I:$I,Key!$K:$K),"Review Billable Status"))</f>
        <v>Cost of Goods Sold:COGS- Personnel Expense:</v>
      </c>
      <c r="T59" s="5"/>
      <c r="U59" s="5"/>
      <c r="V59" s="5"/>
      <c r="W59" s="8"/>
      <c r="X59" s="8"/>
      <c r="Y59" s="8"/>
      <c r="Z59" s="8"/>
    </row>
    <row r="60" ht="12.75" customHeight="1">
      <c r="A60" s="4">
        <v>134.0</v>
      </c>
      <c r="B60" s="5" t="s">
        <v>283</v>
      </c>
      <c r="C60" s="5" t="s">
        <v>284</v>
      </c>
      <c r="D60" s="5" t="s">
        <v>285</v>
      </c>
      <c r="E60" s="5" t="s">
        <v>22</v>
      </c>
      <c r="F60" s="6">
        <v>45201.0</v>
      </c>
      <c r="G60" s="5" t="s">
        <v>23</v>
      </c>
      <c r="H60" s="6">
        <v>45201.0</v>
      </c>
      <c r="I60" s="5" t="s">
        <v>64</v>
      </c>
      <c r="J60" s="5" t="s">
        <v>45</v>
      </c>
      <c r="K60" s="5" t="s">
        <v>25</v>
      </c>
      <c r="L60" s="5" t="s">
        <v>286</v>
      </c>
      <c r="M60" s="7" t="s">
        <v>66</v>
      </c>
      <c r="N60" s="5" t="s">
        <v>28</v>
      </c>
      <c r="O60" s="5" t="s">
        <v>59</v>
      </c>
      <c r="P60" s="5" t="s">
        <v>30</v>
      </c>
      <c r="Q60" s="7" t="str">
        <f t="shared" si="1"/>
        <v>200- Datadog:230- Sales</v>
      </c>
      <c r="R60" s="7" t="str">
        <f t="array" ref="R60">IF($N60="Yes","Cost of Goods Sold:COGS- Travel Expenses:",IF($N60="No",XLOOKUP($Q60,Key!$I:$I,Key!$J:$J),"Review Billable Status"))</f>
        <v>Sales &amp; Marketing:Sales &amp; Marketing- Travel Expenses:</v>
      </c>
      <c r="S60" s="7" t="str">
        <f t="array" ref="S60">IF($N60="Yes","Cost of Goods Sold:COGS- Personnel Expense:",IF($N60="No",XLOOKUP($Q60,Key!$I:$I,Key!$K:$K),"Review Billable Status"))</f>
        <v>Sales &amp; Marketing:Sales &amp; Marketing- Personnel Expenses:</v>
      </c>
      <c r="T60" s="5"/>
      <c r="U60" s="5"/>
      <c r="V60" s="5"/>
      <c r="W60" s="8"/>
      <c r="X60" s="8"/>
      <c r="Y60" s="8"/>
      <c r="Z60" s="8"/>
    </row>
    <row r="61" ht="12.75" customHeight="1">
      <c r="A61" s="4">
        <v>135.0</v>
      </c>
      <c r="B61" s="5" t="s">
        <v>287</v>
      </c>
      <c r="C61" s="5" t="s">
        <v>288</v>
      </c>
      <c r="D61" s="5" t="s">
        <v>289</v>
      </c>
      <c r="E61" s="5" t="s">
        <v>22</v>
      </c>
      <c r="F61" s="6">
        <v>45209.0</v>
      </c>
      <c r="G61" s="5" t="s">
        <v>23</v>
      </c>
      <c r="H61" s="6">
        <v>45209.0</v>
      </c>
      <c r="I61" s="5" t="s">
        <v>64</v>
      </c>
      <c r="J61" s="5" t="s">
        <v>35</v>
      </c>
      <c r="K61" s="5" t="s">
        <v>25</v>
      </c>
      <c r="L61" s="5" t="s">
        <v>290</v>
      </c>
      <c r="M61" s="7" t="s">
        <v>75</v>
      </c>
      <c r="N61" s="5" t="s">
        <v>39</v>
      </c>
      <c r="O61" s="5" t="s">
        <v>85</v>
      </c>
      <c r="P61" s="5" t="s">
        <v>30</v>
      </c>
      <c r="Q61" s="7" t="str">
        <f t="shared" si="1"/>
        <v>200- Datadog:220- Engineering</v>
      </c>
      <c r="R61" s="7" t="str">
        <f t="array" ref="R61">IF($N61="Yes","Cost of Goods Sold:COGS- Travel Expenses:",IF($N61="No",XLOOKUP($Q61,Key!$I:$I,Key!$J:$J),"Review Billable Status"))</f>
        <v>Cost of Goods Sold:COGS- Travel Expenses:</v>
      </c>
      <c r="S61" s="7" t="str">
        <f t="array" ref="S61">IF($N61="Yes","Cost of Goods Sold:COGS- Personnel Expense:",IF($N61="No",XLOOKUP($Q61,Key!$I:$I,Key!$K:$K),"Review Billable Status"))</f>
        <v>Cost of Goods Sold:COGS- Personnel Expense:</v>
      </c>
      <c r="T61" s="5"/>
      <c r="U61" s="5"/>
      <c r="V61" s="5"/>
      <c r="W61" s="8"/>
      <c r="X61" s="8"/>
      <c r="Y61" s="8"/>
      <c r="Z61" s="8"/>
    </row>
    <row r="62" ht="12.75" customHeight="1">
      <c r="A62" s="4">
        <v>137.0</v>
      </c>
      <c r="B62" s="5" t="s">
        <v>154</v>
      </c>
      <c r="C62" s="5" t="s">
        <v>291</v>
      </c>
      <c r="D62" s="5" t="s">
        <v>292</v>
      </c>
      <c r="E62" s="5" t="s">
        <v>22</v>
      </c>
      <c r="F62" s="6">
        <v>45229.0</v>
      </c>
      <c r="G62" s="5" t="s">
        <v>23</v>
      </c>
      <c r="H62" s="6">
        <v>45229.0</v>
      </c>
      <c r="I62" s="5" t="s">
        <v>64</v>
      </c>
      <c r="J62" s="5" t="s">
        <v>130</v>
      </c>
      <c r="K62" s="5" t="s">
        <v>25</v>
      </c>
      <c r="L62" s="5" t="s">
        <v>279</v>
      </c>
      <c r="M62" s="7" t="s">
        <v>175</v>
      </c>
      <c r="N62" s="5" t="s">
        <v>39</v>
      </c>
      <c r="O62" s="5" t="s">
        <v>52</v>
      </c>
      <c r="P62" s="5" t="s">
        <v>30</v>
      </c>
      <c r="Q62" s="7" t="str">
        <f t="shared" si="1"/>
        <v>200- Datadog:210- Delivery</v>
      </c>
      <c r="R62" s="7" t="str">
        <f t="array" ref="R62">IF($N62="Yes","Cost of Goods Sold:COGS- Travel Expenses:",IF($N62="No",XLOOKUP($Q62,Key!$I:$I,Key!$J:$J),"Review Billable Status"))</f>
        <v>Cost of Goods Sold:COGS- Travel Expenses:</v>
      </c>
      <c r="S62" s="7" t="str">
        <f t="array" ref="S62">IF($N62="Yes","Cost of Goods Sold:COGS- Personnel Expense:",IF($N62="No",XLOOKUP($Q62,Key!$I:$I,Key!$K:$K),"Review Billable Status"))</f>
        <v>Cost of Goods Sold:COGS- Personnel Expense:</v>
      </c>
      <c r="T62" s="5"/>
      <c r="U62" s="5"/>
      <c r="V62" s="5"/>
      <c r="W62" s="8"/>
      <c r="X62" s="8"/>
      <c r="Y62" s="8"/>
      <c r="Z62" s="8"/>
    </row>
    <row r="63" ht="12.75" customHeight="1">
      <c r="A63" s="4">
        <v>141.0</v>
      </c>
      <c r="B63" s="5" t="s">
        <v>159</v>
      </c>
      <c r="C63" s="5" t="s">
        <v>293</v>
      </c>
      <c r="D63" s="5" t="s">
        <v>294</v>
      </c>
      <c r="E63" s="5" t="s">
        <v>22</v>
      </c>
      <c r="F63" s="6">
        <v>45299.0</v>
      </c>
      <c r="G63" s="5" t="s">
        <v>23</v>
      </c>
      <c r="H63" s="6">
        <v>45299.0</v>
      </c>
      <c r="I63" s="5" t="s">
        <v>34</v>
      </c>
      <c r="J63" s="5" t="s">
        <v>45</v>
      </c>
      <c r="K63" s="5" t="s">
        <v>107</v>
      </c>
      <c r="L63" s="5" t="s">
        <v>295</v>
      </c>
      <c r="M63" s="7" t="s">
        <v>47</v>
      </c>
      <c r="N63" s="5" t="s">
        <v>28</v>
      </c>
      <c r="O63" s="5" t="s">
        <v>52</v>
      </c>
      <c r="P63" s="5" t="s">
        <v>296</v>
      </c>
      <c r="Q63" s="7" t="str">
        <f t="shared" si="1"/>
        <v>300- ServiceNow:330- Sales</v>
      </c>
      <c r="R63" s="7" t="str">
        <f t="array" ref="R63">IF($N63="Yes","Cost of Goods Sold:COGS- Travel Expenses:",IF($N63="No",XLOOKUP($Q63,Key!$I:$I,Key!$J:$J),"Review Billable Status"))</f>
        <v>Sales &amp; Marketing:Sales &amp; Marketing- Travel Expenses:</v>
      </c>
      <c r="S63" s="7" t="str">
        <f t="array" ref="S63">IF($N63="Yes","Cost of Goods Sold:COGS- Personnel Expense:",IF($N63="No",XLOOKUP($Q63,Key!$I:$I,Key!$K:$K),"Review Billable Status"))</f>
        <v>Sales &amp; Marketing:Sales &amp; Marketing- Personnel Expenses:</v>
      </c>
      <c r="T63" s="5"/>
      <c r="U63" s="5"/>
      <c r="V63" s="5"/>
      <c r="W63" s="8"/>
      <c r="X63" s="8"/>
      <c r="Y63" s="8"/>
      <c r="Z63" s="8"/>
    </row>
    <row r="64" ht="12.75" customHeight="1">
      <c r="A64" s="4">
        <v>143.0</v>
      </c>
      <c r="B64" s="5" t="s">
        <v>297</v>
      </c>
      <c r="C64" s="5" t="s">
        <v>298</v>
      </c>
      <c r="D64" s="5" t="s">
        <v>299</v>
      </c>
      <c r="E64" s="5" t="s">
        <v>22</v>
      </c>
      <c r="F64" s="6">
        <v>45425.0</v>
      </c>
      <c r="G64" s="5" t="s">
        <v>23</v>
      </c>
      <c r="H64" s="6">
        <v>45810.0</v>
      </c>
      <c r="I64" s="5" t="s">
        <v>64</v>
      </c>
      <c r="J64" s="5" t="s">
        <v>45</v>
      </c>
      <c r="K64" s="5" t="s">
        <v>25</v>
      </c>
      <c r="L64" s="5" t="s">
        <v>300</v>
      </c>
      <c r="M64" s="7" t="s">
        <v>66</v>
      </c>
      <c r="N64" s="5" t="s">
        <v>28</v>
      </c>
      <c r="O64" s="5" t="s">
        <v>239</v>
      </c>
      <c r="P64" s="5" t="s">
        <v>30</v>
      </c>
      <c r="Q64" s="7" t="str">
        <f t="shared" si="1"/>
        <v>200- Datadog:230- Sales</v>
      </c>
      <c r="R64" s="7" t="str">
        <f t="array" ref="R64">IF($N64="Yes","Cost of Goods Sold:COGS- Travel Expenses:",IF($N64="No",XLOOKUP($Q64,Key!$I:$I,Key!$J:$J),"Review Billable Status"))</f>
        <v>Sales &amp; Marketing:Sales &amp; Marketing- Travel Expenses:</v>
      </c>
      <c r="S64" s="7" t="str">
        <f t="array" ref="S64">IF($N64="Yes","Cost of Goods Sold:COGS- Personnel Expense:",IF($N64="No",XLOOKUP($Q64,Key!$I:$I,Key!$K:$K),"Review Billable Status"))</f>
        <v>Sales &amp; Marketing:Sales &amp; Marketing- Personnel Expenses:</v>
      </c>
      <c r="T64" s="5"/>
      <c r="U64" s="5"/>
      <c r="V64" s="5"/>
      <c r="W64" s="8"/>
      <c r="X64" s="8"/>
      <c r="Y64" s="8"/>
      <c r="Z64" s="8"/>
    </row>
    <row r="65" ht="12.75" customHeight="1">
      <c r="A65" s="4">
        <v>144.0</v>
      </c>
      <c r="B65" s="5" t="s">
        <v>301</v>
      </c>
      <c r="C65" s="5" t="s">
        <v>302</v>
      </c>
      <c r="D65" s="5" t="s">
        <v>303</v>
      </c>
      <c r="E65" s="5" t="s">
        <v>112</v>
      </c>
      <c r="F65" s="6">
        <v>45425.0</v>
      </c>
      <c r="G65" s="5" t="s">
        <v>23</v>
      </c>
      <c r="H65" s="6">
        <v>45425.0</v>
      </c>
      <c r="I65" s="5" t="s">
        <v>24</v>
      </c>
      <c r="J65" s="5" t="s">
        <v>256</v>
      </c>
      <c r="K65" s="5" t="s">
        <v>25</v>
      </c>
      <c r="L65" s="5" t="s">
        <v>304</v>
      </c>
      <c r="M65" s="7" t="s">
        <v>258</v>
      </c>
      <c r="N65" s="5" t="s">
        <v>28</v>
      </c>
      <c r="O65" s="5" t="s">
        <v>239</v>
      </c>
      <c r="P65" s="5" t="s">
        <v>30</v>
      </c>
      <c r="Q65" s="7" t="str">
        <f t="shared" si="1"/>
        <v>100- Operations:120- Marketing</v>
      </c>
      <c r="R65" s="7" t="str">
        <f t="array" ref="R65">IF($N65="Yes","Cost of Goods Sold:COGS- Travel Expenses:",IF($N65="No",XLOOKUP($Q65,Key!$I:$I,Key!$J:$J),"Review Billable Status"))</f>
        <v>Sales &amp; Marketing:Sales &amp; Marketing- Travel Expenses:</v>
      </c>
      <c r="S65" s="7" t="str">
        <f t="array" ref="S65">IF($N65="Yes","Cost of Goods Sold:COGS- Personnel Expense:",IF($N65="No",XLOOKUP($Q65,Key!$I:$I,Key!$K:$K),"Review Billable Status"))</f>
        <v>Sales &amp; Marketing:Sales &amp; Marketing- Personnel Expenses:</v>
      </c>
      <c r="T65" s="5"/>
      <c r="U65" s="5"/>
      <c r="V65" s="5"/>
      <c r="W65" s="8"/>
      <c r="X65" s="8"/>
      <c r="Y65" s="8"/>
      <c r="Z65" s="8"/>
    </row>
    <row r="66" ht="12.75" customHeight="1">
      <c r="A66" s="4">
        <v>146.0</v>
      </c>
      <c r="B66" s="5" t="s">
        <v>305</v>
      </c>
      <c r="C66" s="5" t="s">
        <v>306</v>
      </c>
      <c r="D66" s="5" t="s">
        <v>307</v>
      </c>
      <c r="E66" s="5" t="s">
        <v>22</v>
      </c>
      <c r="F66" s="6">
        <v>45446.0</v>
      </c>
      <c r="G66" s="5" t="s">
        <v>23</v>
      </c>
      <c r="H66" s="6">
        <v>45446.0</v>
      </c>
      <c r="I66" s="5" t="s">
        <v>34</v>
      </c>
      <c r="J66" s="5" t="s">
        <v>35</v>
      </c>
      <c r="K66" s="5" t="s">
        <v>36</v>
      </c>
      <c r="L66" s="5" t="s">
        <v>153</v>
      </c>
      <c r="M66" s="7" t="s">
        <v>38</v>
      </c>
      <c r="N66" s="5" t="s">
        <v>39</v>
      </c>
      <c r="O66" s="5" t="s">
        <v>85</v>
      </c>
      <c r="P66" s="5" t="s">
        <v>76</v>
      </c>
      <c r="Q66" s="7" t="str">
        <f t="shared" si="1"/>
        <v>300- ServiceNow:320- Engineering</v>
      </c>
      <c r="R66" s="7" t="str">
        <f t="array" ref="R66">IF($N66="Yes","Cost of Goods Sold:COGS- Travel Expenses:",IF($N66="No",XLOOKUP($Q66,Key!$I:$I,Key!$J:$J),"Review Billable Status"))</f>
        <v>Cost of Goods Sold:COGS- Travel Expenses:</v>
      </c>
      <c r="S66" s="7" t="str">
        <f t="array" ref="S66">IF($N66="Yes","Cost of Goods Sold:COGS- Personnel Expense:",IF($N66="No",XLOOKUP($Q66,Key!$I:$I,Key!$K:$K),"Review Billable Status"))</f>
        <v>Cost of Goods Sold:COGS- Personnel Expense:</v>
      </c>
      <c r="T66" s="5"/>
      <c r="U66" s="5"/>
      <c r="V66" s="5"/>
      <c r="W66" s="8"/>
      <c r="X66" s="8"/>
      <c r="Y66" s="8"/>
      <c r="Z66" s="8"/>
    </row>
    <row r="67" ht="12.75" customHeight="1">
      <c r="A67" s="4">
        <v>148.0</v>
      </c>
      <c r="B67" s="5" t="s">
        <v>308</v>
      </c>
      <c r="C67" s="5" t="s">
        <v>309</v>
      </c>
      <c r="D67" s="5" t="s">
        <v>310</v>
      </c>
      <c r="E67" s="5" t="s">
        <v>22</v>
      </c>
      <c r="F67" s="6">
        <v>45460.0</v>
      </c>
      <c r="G67" s="5" t="s">
        <v>23</v>
      </c>
      <c r="H67" s="6">
        <v>45460.0</v>
      </c>
      <c r="I67" s="5" t="s">
        <v>34</v>
      </c>
      <c r="J67" s="5" t="s">
        <v>45</v>
      </c>
      <c r="K67" s="5" t="s">
        <v>36</v>
      </c>
      <c r="L67" s="5" t="s">
        <v>70</v>
      </c>
      <c r="M67" s="7" t="s">
        <v>47</v>
      </c>
      <c r="N67" s="5" t="s">
        <v>28</v>
      </c>
      <c r="O67" s="5" t="s">
        <v>59</v>
      </c>
      <c r="P67" s="5" t="s">
        <v>158</v>
      </c>
      <c r="Q67" s="7" t="str">
        <f t="shared" si="1"/>
        <v>300- ServiceNow:330- Sales</v>
      </c>
      <c r="R67" s="7" t="str">
        <f t="array" ref="R67">IF($N67="Yes","Cost of Goods Sold:COGS- Travel Expenses:",IF($N67="No",XLOOKUP($Q67,Key!$I:$I,Key!$J:$J),"Review Billable Status"))</f>
        <v>Sales &amp; Marketing:Sales &amp; Marketing- Travel Expenses:</v>
      </c>
      <c r="S67" s="7" t="str">
        <f t="array" ref="S67">IF($N67="Yes","Cost of Goods Sold:COGS- Personnel Expense:",IF($N67="No",XLOOKUP($Q67,Key!$I:$I,Key!$K:$K),"Review Billable Status"))</f>
        <v>Sales &amp; Marketing:Sales &amp; Marketing- Personnel Expenses:</v>
      </c>
      <c r="T67" s="5"/>
      <c r="U67" s="5"/>
      <c r="V67" s="5"/>
      <c r="W67" s="8"/>
      <c r="X67" s="8"/>
      <c r="Y67" s="8"/>
      <c r="Z67" s="8"/>
    </row>
    <row r="68" ht="12.75" customHeight="1">
      <c r="A68" s="4">
        <v>149.0</v>
      </c>
      <c r="B68" s="5" t="s">
        <v>311</v>
      </c>
      <c r="C68" s="5" t="s">
        <v>312</v>
      </c>
      <c r="D68" s="5" t="s">
        <v>313</v>
      </c>
      <c r="E68" s="5" t="s">
        <v>112</v>
      </c>
      <c r="F68" s="6">
        <v>45474.0</v>
      </c>
      <c r="G68" s="5" t="s">
        <v>23</v>
      </c>
      <c r="H68" s="6">
        <v>45474.0</v>
      </c>
      <c r="I68" s="5" t="s">
        <v>34</v>
      </c>
      <c r="J68" s="5" t="s">
        <v>130</v>
      </c>
      <c r="K68" s="5" t="s">
        <v>25</v>
      </c>
      <c r="L68" s="5" t="s">
        <v>228</v>
      </c>
      <c r="M68" s="7" t="s">
        <v>132</v>
      </c>
      <c r="N68" s="5" t="s">
        <v>39</v>
      </c>
      <c r="O68" s="5" t="s">
        <v>52</v>
      </c>
      <c r="P68" s="5" t="s">
        <v>30</v>
      </c>
      <c r="Q68" s="7" t="str">
        <f t="shared" si="1"/>
        <v>300- ServiceNow:310- Delivery</v>
      </c>
      <c r="R68" s="7" t="str">
        <f t="array" ref="R68">IF($N68="Yes","Cost of Goods Sold:COGS- Travel Expenses:",IF($N68="No",XLOOKUP($Q68,Key!$I:$I,Key!$J:$J),"Review Billable Status"))</f>
        <v>Cost of Goods Sold:COGS- Travel Expenses:</v>
      </c>
      <c r="S68" s="7" t="str">
        <f t="array" ref="S68">IF($N68="Yes","Cost of Goods Sold:COGS- Personnel Expense:",IF($N68="No",XLOOKUP($Q68,Key!$I:$I,Key!$K:$K),"Review Billable Status"))</f>
        <v>Cost of Goods Sold:COGS- Personnel Expense:</v>
      </c>
      <c r="T68" s="5"/>
      <c r="U68" s="5"/>
      <c r="V68" s="5"/>
      <c r="W68" s="8"/>
      <c r="X68" s="8"/>
      <c r="Y68" s="8"/>
      <c r="Z68" s="8"/>
    </row>
    <row r="69" ht="12.75" customHeight="1">
      <c r="A69" s="4">
        <v>152.0</v>
      </c>
      <c r="B69" s="5" t="s">
        <v>314</v>
      </c>
      <c r="C69" s="5" t="s">
        <v>315</v>
      </c>
      <c r="D69" s="5" t="s">
        <v>316</v>
      </c>
      <c r="E69" s="5" t="s">
        <v>22</v>
      </c>
      <c r="F69" s="6">
        <v>45495.0</v>
      </c>
      <c r="G69" s="5" t="s">
        <v>23</v>
      </c>
      <c r="H69" s="6">
        <v>45495.0</v>
      </c>
      <c r="I69" s="5" t="s">
        <v>34</v>
      </c>
      <c r="J69" s="5" t="s">
        <v>35</v>
      </c>
      <c r="K69" s="5" t="s">
        <v>36</v>
      </c>
      <c r="L69" s="5" t="s">
        <v>84</v>
      </c>
      <c r="M69" s="7" t="s">
        <v>38</v>
      </c>
      <c r="N69" s="5" t="s">
        <v>39</v>
      </c>
      <c r="O69" s="5" t="s">
        <v>85</v>
      </c>
      <c r="P69" s="5" t="s">
        <v>205</v>
      </c>
      <c r="Q69" s="7" t="str">
        <f t="shared" si="1"/>
        <v>300- ServiceNow:320- Engineering</v>
      </c>
      <c r="R69" s="7" t="str">
        <f t="array" ref="R69">IF($N69="Yes","Cost of Goods Sold:COGS- Travel Expenses:",IF($N69="No",XLOOKUP($Q69,Key!$I:$I,Key!$J:$J),"Review Billable Status"))</f>
        <v>Cost of Goods Sold:COGS- Travel Expenses:</v>
      </c>
      <c r="S69" s="7" t="str">
        <f t="array" ref="S69">IF($N69="Yes","Cost of Goods Sold:COGS- Personnel Expense:",IF($N69="No",XLOOKUP($Q69,Key!$I:$I,Key!$K:$K),"Review Billable Status"))</f>
        <v>Cost of Goods Sold:COGS- Personnel Expense:</v>
      </c>
      <c r="T69" s="5"/>
      <c r="U69" s="5"/>
      <c r="V69" s="5"/>
      <c r="W69" s="8"/>
      <c r="X69" s="8"/>
      <c r="Y69" s="8"/>
      <c r="Z69" s="8"/>
    </row>
    <row r="70" ht="12.75" customHeight="1">
      <c r="A70" s="4">
        <v>154.0</v>
      </c>
      <c r="B70" s="5" t="s">
        <v>305</v>
      </c>
      <c r="C70" s="5" t="s">
        <v>317</v>
      </c>
      <c r="D70" s="5" t="s">
        <v>318</v>
      </c>
      <c r="E70" s="5" t="s">
        <v>22</v>
      </c>
      <c r="F70" s="6">
        <v>45502.0</v>
      </c>
      <c r="G70" s="5" t="s">
        <v>23</v>
      </c>
      <c r="H70" s="6">
        <v>45502.0</v>
      </c>
      <c r="I70" s="5" t="s">
        <v>64</v>
      </c>
      <c r="J70" s="5" t="s">
        <v>45</v>
      </c>
      <c r="K70" s="5" t="s">
        <v>36</v>
      </c>
      <c r="L70" s="5" t="s">
        <v>319</v>
      </c>
      <c r="M70" s="7" t="s">
        <v>66</v>
      </c>
      <c r="N70" s="5" t="s">
        <v>28</v>
      </c>
      <c r="O70" s="5" t="s">
        <v>59</v>
      </c>
      <c r="P70" s="5" t="s">
        <v>320</v>
      </c>
      <c r="Q70" s="7" t="str">
        <f t="shared" si="1"/>
        <v>200- Datadog:230- Sales</v>
      </c>
      <c r="R70" s="7" t="str">
        <f t="array" ref="R70">IF($N70="Yes","Cost of Goods Sold:COGS- Travel Expenses:",IF($N70="No",XLOOKUP($Q70,Key!$I:$I,Key!$J:$J),"Review Billable Status"))</f>
        <v>Sales &amp; Marketing:Sales &amp; Marketing- Travel Expenses:</v>
      </c>
      <c r="S70" s="7" t="str">
        <f t="array" ref="S70">IF($N70="Yes","Cost of Goods Sold:COGS- Personnel Expense:",IF($N70="No",XLOOKUP($Q70,Key!$I:$I,Key!$K:$K),"Review Billable Status"))</f>
        <v>Sales &amp; Marketing:Sales &amp; Marketing- Personnel Expenses:</v>
      </c>
      <c r="T70" s="5"/>
      <c r="U70" s="5"/>
      <c r="V70" s="5"/>
      <c r="W70" s="8"/>
      <c r="X70" s="8"/>
      <c r="Y70" s="8"/>
      <c r="Z70" s="8"/>
    </row>
    <row r="71" ht="12.75" customHeight="1">
      <c r="A71" s="4">
        <v>155.0</v>
      </c>
      <c r="B71" s="5" t="s">
        <v>181</v>
      </c>
      <c r="C71" s="5" t="s">
        <v>321</v>
      </c>
      <c r="D71" s="5" t="s">
        <v>322</v>
      </c>
      <c r="E71" s="5" t="s">
        <v>22</v>
      </c>
      <c r="F71" s="6">
        <v>45505.0</v>
      </c>
      <c r="G71" s="5" t="s">
        <v>23</v>
      </c>
      <c r="H71" s="6">
        <v>45505.0</v>
      </c>
      <c r="I71" s="5" t="s">
        <v>34</v>
      </c>
      <c r="J71" s="5" t="s">
        <v>35</v>
      </c>
      <c r="K71" s="5" t="s">
        <v>36</v>
      </c>
      <c r="L71" s="5" t="s">
        <v>323</v>
      </c>
      <c r="M71" s="7" t="s">
        <v>38</v>
      </c>
      <c r="N71" s="5" t="s">
        <v>39</v>
      </c>
      <c r="O71" s="5" t="s">
        <v>52</v>
      </c>
      <c r="P71" s="5" t="s">
        <v>324</v>
      </c>
      <c r="Q71" s="7" t="str">
        <f t="shared" si="1"/>
        <v>300- ServiceNow:320- Engineering</v>
      </c>
      <c r="R71" s="7" t="str">
        <f t="array" ref="R71">IF($N71="Yes","Cost of Goods Sold:COGS- Travel Expenses:",IF($N71="No",XLOOKUP($Q71,Key!$I:$I,Key!$J:$J),"Review Billable Status"))</f>
        <v>Cost of Goods Sold:COGS- Travel Expenses:</v>
      </c>
      <c r="S71" s="7" t="str">
        <f t="array" ref="S71">IF($N71="Yes","Cost of Goods Sold:COGS- Personnel Expense:",IF($N71="No",XLOOKUP($Q71,Key!$I:$I,Key!$K:$K),"Review Billable Status"))</f>
        <v>Cost of Goods Sold:COGS- Personnel Expense:</v>
      </c>
      <c r="T71" s="5"/>
      <c r="U71" s="5"/>
      <c r="V71" s="5"/>
      <c r="W71" s="8"/>
      <c r="X71" s="8"/>
      <c r="Y71" s="8"/>
      <c r="Z71" s="8"/>
    </row>
    <row r="72" ht="12.75" customHeight="1">
      <c r="A72" s="4">
        <v>156.0</v>
      </c>
      <c r="B72" s="5" t="s">
        <v>325</v>
      </c>
      <c r="C72" s="5" t="s">
        <v>326</v>
      </c>
      <c r="D72" s="5" t="s">
        <v>327</v>
      </c>
      <c r="E72" s="5" t="s">
        <v>22</v>
      </c>
      <c r="F72" s="6">
        <v>45516.0</v>
      </c>
      <c r="G72" s="5" t="s">
        <v>23</v>
      </c>
      <c r="H72" s="6">
        <v>45516.0</v>
      </c>
      <c r="I72" s="5" t="s">
        <v>64</v>
      </c>
      <c r="J72" s="5" t="s">
        <v>45</v>
      </c>
      <c r="K72" s="5" t="s">
        <v>25</v>
      </c>
      <c r="L72" s="5" t="s">
        <v>90</v>
      </c>
      <c r="M72" s="7" t="s">
        <v>66</v>
      </c>
      <c r="N72" s="5" t="s">
        <v>28</v>
      </c>
      <c r="O72" s="5" t="s">
        <v>85</v>
      </c>
      <c r="P72" s="5" t="s">
        <v>30</v>
      </c>
      <c r="Q72" s="7" t="str">
        <f t="shared" si="1"/>
        <v>200- Datadog:230- Sales</v>
      </c>
      <c r="R72" s="7" t="str">
        <f t="array" ref="R72">IF($N72="Yes","Cost of Goods Sold:COGS- Travel Expenses:",IF($N72="No",XLOOKUP($Q72,Key!$I:$I,Key!$J:$J),"Review Billable Status"))</f>
        <v>Sales &amp; Marketing:Sales &amp; Marketing- Travel Expenses:</v>
      </c>
      <c r="S72" s="7" t="str">
        <f t="array" ref="S72">IF($N72="Yes","Cost of Goods Sold:COGS- Personnel Expense:",IF($N72="No",XLOOKUP($Q72,Key!$I:$I,Key!$K:$K),"Review Billable Status"))</f>
        <v>Sales &amp; Marketing:Sales &amp; Marketing- Personnel Expenses:</v>
      </c>
      <c r="T72" s="5"/>
      <c r="U72" s="5"/>
      <c r="V72" s="5"/>
      <c r="W72" s="8"/>
      <c r="X72" s="8"/>
      <c r="Y72" s="8"/>
      <c r="Z72" s="8"/>
    </row>
    <row r="73" ht="12.75" customHeight="1">
      <c r="A73" s="4">
        <v>157.0</v>
      </c>
      <c r="B73" s="5" t="s">
        <v>159</v>
      </c>
      <c r="C73" s="5" t="s">
        <v>328</v>
      </c>
      <c r="D73" s="5" t="s">
        <v>329</v>
      </c>
      <c r="E73" s="5" t="s">
        <v>22</v>
      </c>
      <c r="F73" s="6">
        <v>45523.0</v>
      </c>
      <c r="G73" s="5" t="s">
        <v>23</v>
      </c>
      <c r="H73" s="6">
        <v>45523.0</v>
      </c>
      <c r="I73" s="5" t="s">
        <v>34</v>
      </c>
      <c r="J73" s="5" t="s">
        <v>35</v>
      </c>
      <c r="K73" s="5" t="s">
        <v>36</v>
      </c>
      <c r="L73" s="5" t="s">
        <v>179</v>
      </c>
      <c r="M73" s="7" t="s">
        <v>38</v>
      </c>
      <c r="N73" s="5" t="s">
        <v>39</v>
      </c>
      <c r="O73" s="5" t="s">
        <v>59</v>
      </c>
      <c r="P73" s="5" t="s">
        <v>330</v>
      </c>
      <c r="Q73" s="7" t="str">
        <f t="shared" si="1"/>
        <v>300- ServiceNow:320- Engineering</v>
      </c>
      <c r="R73" s="7" t="str">
        <f t="array" ref="R73">IF($N73="Yes","Cost of Goods Sold:COGS- Travel Expenses:",IF($N73="No",XLOOKUP($Q73,Key!$I:$I,Key!$J:$J),"Review Billable Status"))</f>
        <v>Cost of Goods Sold:COGS- Travel Expenses:</v>
      </c>
      <c r="S73" s="7" t="str">
        <f t="array" ref="S73">IF($N73="Yes","Cost of Goods Sold:COGS- Personnel Expense:",IF($N73="No",XLOOKUP($Q73,Key!$I:$I,Key!$K:$K),"Review Billable Status"))</f>
        <v>Cost of Goods Sold:COGS- Personnel Expense:</v>
      </c>
      <c r="T73" s="5"/>
      <c r="U73" s="5"/>
      <c r="V73" s="5"/>
      <c r="W73" s="8"/>
      <c r="X73" s="8"/>
      <c r="Y73" s="8"/>
      <c r="Z73" s="8"/>
    </row>
    <row r="74" ht="12.75" customHeight="1">
      <c r="A74" s="4">
        <v>159.0</v>
      </c>
      <c r="B74" s="5" t="s">
        <v>331</v>
      </c>
      <c r="C74" s="5" t="s">
        <v>332</v>
      </c>
      <c r="D74" s="5" t="s">
        <v>333</v>
      </c>
      <c r="E74" s="5" t="s">
        <v>22</v>
      </c>
      <c r="F74" s="6">
        <v>45533.0</v>
      </c>
      <c r="G74" s="5" t="s">
        <v>23</v>
      </c>
      <c r="H74" s="6">
        <v>45533.0</v>
      </c>
      <c r="I74" s="5" t="s">
        <v>64</v>
      </c>
      <c r="J74" s="5" t="s">
        <v>35</v>
      </c>
      <c r="K74" s="5" t="s">
        <v>25</v>
      </c>
      <c r="L74" s="5" t="s">
        <v>334</v>
      </c>
      <c r="M74" s="7" t="s">
        <v>75</v>
      </c>
      <c r="N74" s="5" t="s">
        <v>39</v>
      </c>
      <c r="O74" s="5" t="s">
        <v>52</v>
      </c>
      <c r="P74" s="5" t="s">
        <v>30</v>
      </c>
      <c r="Q74" s="7" t="str">
        <f t="shared" si="1"/>
        <v>200- Datadog:220- Engineering</v>
      </c>
      <c r="R74" s="7" t="str">
        <f t="array" ref="R74">IF($N74="Yes","Cost of Goods Sold:COGS- Travel Expenses:",IF($N74="No",XLOOKUP($Q74,Key!$I:$I,Key!$J:$J),"Review Billable Status"))</f>
        <v>Cost of Goods Sold:COGS- Travel Expenses:</v>
      </c>
      <c r="S74" s="7" t="str">
        <f t="array" ref="S74">IF($N74="Yes","Cost of Goods Sold:COGS- Personnel Expense:",IF($N74="No",XLOOKUP($Q74,Key!$I:$I,Key!$K:$K),"Review Billable Status"))</f>
        <v>Cost of Goods Sold:COGS- Personnel Expense:</v>
      </c>
      <c r="T74" s="5"/>
      <c r="U74" s="5"/>
      <c r="V74" s="5"/>
      <c r="W74" s="8"/>
      <c r="X74" s="8"/>
      <c r="Y74" s="8"/>
      <c r="Z74" s="8"/>
    </row>
    <row r="75" ht="12.75" customHeight="1">
      <c r="A75" s="4">
        <v>160.0</v>
      </c>
      <c r="B75" s="5" t="s">
        <v>335</v>
      </c>
      <c r="C75" s="5" t="s">
        <v>336</v>
      </c>
      <c r="D75" s="5" t="s">
        <v>337</v>
      </c>
      <c r="E75" s="5" t="s">
        <v>112</v>
      </c>
      <c r="F75" s="6">
        <v>45524.0</v>
      </c>
      <c r="G75" s="5" t="s">
        <v>23</v>
      </c>
      <c r="H75" s="6">
        <v>45691.0</v>
      </c>
      <c r="I75" s="5" t="s">
        <v>24</v>
      </c>
      <c r="J75" s="5" t="s">
        <v>170</v>
      </c>
      <c r="K75" s="5" t="s">
        <v>36</v>
      </c>
      <c r="L75" s="5" t="s">
        <v>338</v>
      </c>
      <c r="M75" s="7" t="s">
        <v>199</v>
      </c>
      <c r="N75" s="5" t="s">
        <v>28</v>
      </c>
      <c r="O75" s="5" t="s">
        <v>239</v>
      </c>
      <c r="P75" s="5" t="s">
        <v>76</v>
      </c>
      <c r="Q75" s="7" t="str">
        <f t="shared" si="1"/>
        <v>100- Operations:110- G&amp;A</v>
      </c>
      <c r="R75" s="7" t="str">
        <f t="array" ref="R75">IF($N75="Yes","Cost of Goods Sold:COGS- Travel Expenses:",IF($N75="No",XLOOKUP($Q75,Key!$I:$I,Key!$J:$J),"Review Billable Status"))</f>
        <v>General &amp; Administrative:G&amp;A- Travel Expenses:</v>
      </c>
      <c r="S75" s="7" t="str">
        <f t="array" ref="S75">IF($N75="Yes","Cost of Goods Sold:COGS- Personnel Expense:",IF($N75="No",XLOOKUP($Q75,Key!$I:$I,Key!$K:$K),"Review Billable Status"))</f>
        <v>General &amp; Administrative:G&amp;A- Personnel Expenses:</v>
      </c>
      <c r="T75" s="5"/>
      <c r="U75" s="5"/>
      <c r="V75" s="5"/>
      <c r="W75" s="8"/>
      <c r="X75" s="8"/>
      <c r="Y75" s="8"/>
      <c r="Z75" s="8"/>
    </row>
    <row r="76" ht="12.75" customHeight="1">
      <c r="A76" s="4">
        <v>164.0</v>
      </c>
      <c r="B76" s="5" t="s">
        <v>339</v>
      </c>
      <c r="C76" s="5" t="s">
        <v>340</v>
      </c>
      <c r="D76" s="5" t="s">
        <v>341</v>
      </c>
      <c r="E76" s="5" t="s">
        <v>22</v>
      </c>
      <c r="F76" s="6">
        <v>45565.0</v>
      </c>
      <c r="G76" s="5" t="s">
        <v>23</v>
      </c>
      <c r="H76" s="6">
        <v>45565.0</v>
      </c>
      <c r="I76" s="5" t="s">
        <v>34</v>
      </c>
      <c r="J76" s="5" t="s">
        <v>35</v>
      </c>
      <c r="K76" s="5" t="s">
        <v>36</v>
      </c>
      <c r="L76" s="5" t="s">
        <v>323</v>
      </c>
      <c r="M76" s="7" t="s">
        <v>38</v>
      </c>
      <c r="N76" s="5" t="s">
        <v>39</v>
      </c>
      <c r="O76" s="5" t="s">
        <v>52</v>
      </c>
      <c r="P76" s="5" t="s">
        <v>149</v>
      </c>
      <c r="Q76" s="7" t="str">
        <f t="shared" si="1"/>
        <v>300- ServiceNow:320- Engineering</v>
      </c>
      <c r="R76" s="7" t="str">
        <f t="array" ref="R76">IF($N76="Yes","Cost of Goods Sold:COGS- Travel Expenses:",IF($N76="No",XLOOKUP($Q76,Key!$I:$I,Key!$J:$J),"Review Billable Status"))</f>
        <v>Cost of Goods Sold:COGS- Travel Expenses:</v>
      </c>
      <c r="S76" s="7" t="str">
        <f t="array" ref="S76">IF($N76="Yes","Cost of Goods Sold:COGS- Personnel Expense:",IF($N76="No",XLOOKUP($Q76,Key!$I:$I,Key!$K:$K),"Review Billable Status"))</f>
        <v>Cost of Goods Sold:COGS- Personnel Expense:</v>
      </c>
      <c r="T76" s="5"/>
      <c r="U76" s="5"/>
      <c r="V76" s="5"/>
      <c r="W76" s="8"/>
      <c r="X76" s="8"/>
      <c r="Y76" s="8"/>
      <c r="Z76" s="8"/>
    </row>
    <row r="77" ht="12.75" customHeight="1">
      <c r="A77" s="4">
        <v>165.0</v>
      </c>
      <c r="B77" s="5" t="s">
        <v>342</v>
      </c>
      <c r="C77" s="5" t="s">
        <v>343</v>
      </c>
      <c r="D77" s="5" t="s">
        <v>344</v>
      </c>
      <c r="E77" s="5" t="s">
        <v>22</v>
      </c>
      <c r="F77" s="6">
        <v>45572.0</v>
      </c>
      <c r="G77" s="5" t="s">
        <v>23</v>
      </c>
      <c r="H77" s="6">
        <v>45572.0</v>
      </c>
      <c r="I77" s="5" t="s">
        <v>34</v>
      </c>
      <c r="J77" s="5" t="s">
        <v>35</v>
      </c>
      <c r="K77" s="5" t="s">
        <v>36</v>
      </c>
      <c r="L77" s="5" t="s">
        <v>153</v>
      </c>
      <c r="M77" s="7" t="s">
        <v>38</v>
      </c>
      <c r="N77" s="5" t="s">
        <v>39</v>
      </c>
      <c r="O77" s="5" t="s">
        <v>85</v>
      </c>
      <c r="P77" s="5" t="s">
        <v>345</v>
      </c>
      <c r="Q77" s="7" t="str">
        <f t="shared" si="1"/>
        <v>300- ServiceNow:320- Engineering</v>
      </c>
      <c r="R77" s="7" t="str">
        <f t="array" ref="R77">IF($N77="Yes","Cost of Goods Sold:COGS- Travel Expenses:",IF($N77="No",XLOOKUP($Q77,Key!$I:$I,Key!$J:$J),"Review Billable Status"))</f>
        <v>Cost of Goods Sold:COGS- Travel Expenses:</v>
      </c>
      <c r="S77" s="7" t="str">
        <f t="array" ref="S77">IF($N77="Yes","Cost of Goods Sold:COGS- Personnel Expense:",IF($N77="No",XLOOKUP($Q77,Key!$I:$I,Key!$K:$K),"Review Billable Status"))</f>
        <v>Cost of Goods Sold:COGS- Personnel Expense:</v>
      </c>
      <c r="T77" s="5"/>
      <c r="U77" s="5"/>
      <c r="V77" s="5"/>
      <c r="W77" s="8"/>
      <c r="X77" s="8"/>
      <c r="Y77" s="8"/>
      <c r="Z77" s="8"/>
    </row>
    <row r="78" ht="12.75" customHeight="1">
      <c r="A78" s="4">
        <v>166.0</v>
      </c>
      <c r="B78" s="5" t="s">
        <v>145</v>
      </c>
      <c r="C78" s="5" t="s">
        <v>346</v>
      </c>
      <c r="D78" s="5" t="s">
        <v>347</v>
      </c>
      <c r="E78" s="5" t="s">
        <v>22</v>
      </c>
      <c r="F78" s="6">
        <v>45600.0</v>
      </c>
      <c r="G78" s="5" t="s">
        <v>23</v>
      </c>
      <c r="H78" s="6">
        <v>45600.0</v>
      </c>
      <c r="I78" s="5" t="s">
        <v>34</v>
      </c>
      <c r="J78" s="5" t="s">
        <v>35</v>
      </c>
      <c r="K78" s="5" t="s">
        <v>25</v>
      </c>
      <c r="L78" s="5" t="s">
        <v>216</v>
      </c>
      <c r="M78" s="7" t="s">
        <v>38</v>
      </c>
      <c r="N78" s="5" t="s">
        <v>39</v>
      </c>
      <c r="O78" s="5" t="s">
        <v>59</v>
      </c>
      <c r="P78" s="5" t="s">
        <v>30</v>
      </c>
      <c r="Q78" s="7" t="str">
        <f t="shared" si="1"/>
        <v>300- ServiceNow:320- Engineering</v>
      </c>
      <c r="R78" s="7" t="str">
        <f t="array" ref="R78">IF($N78="Yes","Cost of Goods Sold:COGS- Travel Expenses:",IF($N78="No",XLOOKUP($Q78,Key!$I:$I,Key!$J:$J),"Review Billable Status"))</f>
        <v>Cost of Goods Sold:COGS- Travel Expenses:</v>
      </c>
      <c r="S78" s="7" t="str">
        <f t="array" ref="S78">IF($N78="Yes","Cost of Goods Sold:COGS- Personnel Expense:",IF($N78="No",XLOOKUP($Q78,Key!$I:$I,Key!$K:$K),"Review Billable Status"))</f>
        <v>Cost of Goods Sold:COGS- Personnel Expense:</v>
      </c>
      <c r="T78" s="5"/>
      <c r="U78" s="5"/>
      <c r="V78" s="5"/>
      <c r="W78" s="8"/>
      <c r="X78" s="8"/>
      <c r="Y78" s="8"/>
      <c r="Z78" s="8"/>
    </row>
    <row r="79" ht="12.75" customHeight="1">
      <c r="A79" s="4">
        <v>167.0</v>
      </c>
      <c r="B79" s="5" t="s">
        <v>31</v>
      </c>
      <c r="C79" s="5" t="s">
        <v>348</v>
      </c>
      <c r="D79" s="5" t="s">
        <v>349</v>
      </c>
      <c r="E79" s="5" t="s">
        <v>22</v>
      </c>
      <c r="F79" s="6">
        <v>45607.0</v>
      </c>
      <c r="G79" s="5" t="s">
        <v>23</v>
      </c>
      <c r="H79" s="6">
        <v>45607.0</v>
      </c>
      <c r="I79" s="5" t="s">
        <v>34</v>
      </c>
      <c r="J79" s="5" t="s">
        <v>35</v>
      </c>
      <c r="K79" s="5" t="s">
        <v>36</v>
      </c>
      <c r="L79" s="5" t="s">
        <v>323</v>
      </c>
      <c r="M79" s="7" t="s">
        <v>38</v>
      </c>
      <c r="N79" s="5" t="s">
        <v>39</v>
      </c>
      <c r="O79" s="5" t="s">
        <v>52</v>
      </c>
      <c r="P79" s="5" t="s">
        <v>180</v>
      </c>
      <c r="Q79" s="7" t="str">
        <f t="shared" si="1"/>
        <v>300- ServiceNow:320- Engineering</v>
      </c>
      <c r="R79" s="7" t="str">
        <f t="array" ref="R79">IF($N79="Yes","Cost of Goods Sold:COGS- Travel Expenses:",IF($N79="No",XLOOKUP($Q79,Key!$I:$I,Key!$J:$J),"Review Billable Status"))</f>
        <v>Cost of Goods Sold:COGS- Travel Expenses:</v>
      </c>
      <c r="S79" s="7" t="str">
        <f t="array" ref="S79">IF($N79="Yes","Cost of Goods Sold:COGS- Personnel Expense:",IF($N79="No",XLOOKUP($Q79,Key!$I:$I,Key!$K:$K),"Review Billable Status"))</f>
        <v>Cost of Goods Sold:COGS- Personnel Expense:</v>
      </c>
      <c r="T79" s="5"/>
      <c r="U79" s="5"/>
      <c r="V79" s="5"/>
      <c r="W79" s="8"/>
      <c r="X79" s="8"/>
      <c r="Y79" s="8"/>
      <c r="Z79" s="8"/>
    </row>
    <row r="80" ht="12.75" customHeight="1">
      <c r="A80" s="4">
        <v>168.0</v>
      </c>
      <c r="B80" s="5" t="s">
        <v>350</v>
      </c>
      <c r="C80" s="5" t="s">
        <v>351</v>
      </c>
      <c r="D80" s="5" t="s">
        <v>352</v>
      </c>
      <c r="E80" s="5" t="s">
        <v>22</v>
      </c>
      <c r="F80" s="6">
        <v>45600.0</v>
      </c>
      <c r="G80" s="5" t="s">
        <v>23</v>
      </c>
      <c r="H80" s="6">
        <v>45600.0</v>
      </c>
      <c r="I80" s="5" t="s">
        <v>64</v>
      </c>
      <c r="J80" s="5" t="s">
        <v>35</v>
      </c>
      <c r="K80" s="5" t="s">
        <v>25</v>
      </c>
      <c r="L80" s="5" t="s">
        <v>334</v>
      </c>
      <c r="M80" s="7" t="s">
        <v>75</v>
      </c>
      <c r="N80" s="5" t="s">
        <v>39</v>
      </c>
      <c r="O80" s="5" t="s">
        <v>52</v>
      </c>
      <c r="P80" s="5" t="s">
        <v>30</v>
      </c>
      <c r="Q80" s="7" t="str">
        <f t="shared" si="1"/>
        <v>200- Datadog:220- Engineering</v>
      </c>
      <c r="R80" s="7" t="str">
        <f t="array" ref="R80">IF($N80="Yes","Cost of Goods Sold:COGS- Travel Expenses:",IF($N80="No",XLOOKUP($Q80,Key!$I:$I,Key!$J:$J),"Review Billable Status"))</f>
        <v>Cost of Goods Sold:COGS- Travel Expenses:</v>
      </c>
      <c r="S80" s="7" t="str">
        <f t="array" ref="S80">IF($N80="Yes","Cost of Goods Sold:COGS- Personnel Expense:",IF($N80="No",XLOOKUP($Q80,Key!$I:$I,Key!$K:$K),"Review Billable Status"))</f>
        <v>Cost of Goods Sold:COGS- Personnel Expense:</v>
      </c>
      <c r="T80" s="5"/>
      <c r="U80" s="5"/>
      <c r="V80" s="5"/>
      <c r="W80" s="8"/>
      <c r="X80" s="8"/>
      <c r="Y80" s="8"/>
      <c r="Z80" s="8"/>
    </row>
    <row r="81" ht="12.75" customHeight="1">
      <c r="A81" s="4">
        <v>169.0</v>
      </c>
      <c r="B81" s="5" t="s">
        <v>353</v>
      </c>
      <c r="C81" s="5" t="s">
        <v>354</v>
      </c>
      <c r="D81" s="5" t="s">
        <v>355</v>
      </c>
      <c r="E81" s="5" t="s">
        <v>22</v>
      </c>
      <c r="F81" s="6">
        <v>45621.0</v>
      </c>
      <c r="G81" s="5" t="s">
        <v>23</v>
      </c>
      <c r="H81" s="6">
        <v>45621.0</v>
      </c>
      <c r="I81" s="5" t="s">
        <v>34</v>
      </c>
      <c r="J81" s="5" t="s">
        <v>35</v>
      </c>
      <c r="K81" s="5" t="s">
        <v>36</v>
      </c>
      <c r="L81" s="5" t="s">
        <v>153</v>
      </c>
      <c r="M81" s="7" t="s">
        <v>38</v>
      </c>
      <c r="N81" s="5" t="s">
        <v>39</v>
      </c>
      <c r="O81" s="5" t="s">
        <v>85</v>
      </c>
      <c r="P81" s="5" t="s">
        <v>149</v>
      </c>
      <c r="Q81" s="7" t="str">
        <f t="shared" si="1"/>
        <v>300- ServiceNow:320- Engineering</v>
      </c>
      <c r="R81" s="7" t="str">
        <f t="array" ref="R81">IF($N81="Yes","Cost of Goods Sold:COGS- Travel Expenses:",IF($N81="No",XLOOKUP($Q81,Key!$I:$I,Key!$J:$J),"Review Billable Status"))</f>
        <v>Cost of Goods Sold:COGS- Travel Expenses:</v>
      </c>
      <c r="S81" s="7" t="str">
        <f t="array" ref="S81">IF($N81="Yes","Cost of Goods Sold:COGS- Personnel Expense:",IF($N81="No",XLOOKUP($Q81,Key!$I:$I,Key!$K:$K),"Review Billable Status"))</f>
        <v>Cost of Goods Sold:COGS- Personnel Expense:</v>
      </c>
      <c r="T81" s="5"/>
      <c r="U81" s="5"/>
      <c r="V81" s="5"/>
      <c r="W81" s="8"/>
      <c r="X81" s="8"/>
      <c r="Y81" s="8"/>
      <c r="Z81" s="8"/>
    </row>
    <row r="82" ht="12.75" customHeight="1">
      <c r="A82" s="4">
        <v>170.0</v>
      </c>
      <c r="B82" s="5" t="s">
        <v>356</v>
      </c>
      <c r="C82" s="5" t="s">
        <v>357</v>
      </c>
      <c r="D82" s="5" t="s">
        <v>358</v>
      </c>
      <c r="E82" s="5" t="s">
        <v>112</v>
      </c>
      <c r="F82" s="6">
        <v>45621.0</v>
      </c>
      <c r="G82" s="5" t="s">
        <v>23</v>
      </c>
      <c r="H82" s="6">
        <v>45656.0</v>
      </c>
      <c r="I82" s="5" t="s">
        <v>24</v>
      </c>
      <c r="J82" s="5" t="s">
        <v>24</v>
      </c>
      <c r="K82" s="5" t="s">
        <v>25</v>
      </c>
      <c r="L82" s="5" t="s">
        <v>359</v>
      </c>
      <c r="M82" s="7" t="s">
        <v>199</v>
      </c>
      <c r="N82" s="5" t="s">
        <v>28</v>
      </c>
      <c r="O82" s="5" t="s">
        <v>85</v>
      </c>
      <c r="P82" s="5" t="s">
        <v>30</v>
      </c>
      <c r="Q82" s="7" t="str">
        <f t="shared" si="1"/>
        <v>100- Operations:110- G&amp;A</v>
      </c>
      <c r="R82" s="7" t="str">
        <f t="array" ref="R82">IF($N82="Yes","Cost of Goods Sold:COGS- Travel Expenses:",IF($N82="No",XLOOKUP($Q82,Key!$I:$I,Key!$J:$J),"Review Billable Status"))</f>
        <v>General &amp; Administrative:G&amp;A- Travel Expenses:</v>
      </c>
      <c r="S82" s="7" t="str">
        <f t="array" ref="S82">IF($N82="Yes","Cost of Goods Sold:COGS- Personnel Expense:",IF($N82="No",XLOOKUP($Q82,Key!$I:$I,Key!$K:$K),"Review Billable Status"))</f>
        <v>General &amp; Administrative:G&amp;A- Personnel Expenses:</v>
      </c>
      <c r="T82" s="5"/>
      <c r="U82" s="5"/>
      <c r="V82" s="5"/>
      <c r="W82" s="8"/>
      <c r="X82" s="8"/>
      <c r="Y82" s="8"/>
      <c r="Z82" s="8"/>
    </row>
    <row r="83" ht="12.75" customHeight="1">
      <c r="A83" s="4">
        <v>171.0</v>
      </c>
      <c r="B83" s="5" t="s">
        <v>360</v>
      </c>
      <c r="C83" s="5" t="s">
        <v>361</v>
      </c>
      <c r="D83" s="5" t="s">
        <v>362</v>
      </c>
      <c r="E83" s="5" t="s">
        <v>112</v>
      </c>
      <c r="F83" s="6">
        <v>45628.0</v>
      </c>
      <c r="G83" s="5" t="s">
        <v>23</v>
      </c>
      <c r="H83" s="6">
        <v>45628.0</v>
      </c>
      <c r="I83" s="5" t="s">
        <v>64</v>
      </c>
      <c r="J83" s="5" t="s">
        <v>363</v>
      </c>
      <c r="K83" s="5" t="s">
        <v>25</v>
      </c>
      <c r="L83" s="5" t="s">
        <v>334</v>
      </c>
      <c r="M83" s="7" t="s">
        <v>75</v>
      </c>
      <c r="N83" s="5" t="s">
        <v>39</v>
      </c>
      <c r="O83" s="5" t="s">
        <v>239</v>
      </c>
      <c r="P83" s="5" t="s">
        <v>30</v>
      </c>
      <c r="Q83" s="7" t="str">
        <f t="shared" si="1"/>
        <v>200- Datadog:220- Engineering</v>
      </c>
      <c r="R83" s="7" t="str">
        <f t="array" ref="R83">IF($N83="Yes","Cost of Goods Sold:COGS- Travel Expenses:",IF($N83="No",XLOOKUP($Q83,Key!$I:$I,Key!$J:$J),"Review Billable Status"))</f>
        <v>Cost of Goods Sold:COGS- Travel Expenses:</v>
      </c>
      <c r="S83" s="7" t="str">
        <f t="array" ref="S83">IF($N83="Yes","Cost of Goods Sold:COGS- Personnel Expense:",IF($N83="No",XLOOKUP($Q83,Key!$I:$I,Key!$K:$K),"Review Billable Status"))</f>
        <v>Cost of Goods Sold:COGS- Personnel Expense:</v>
      </c>
      <c r="T83" s="5"/>
      <c r="U83" s="5"/>
      <c r="V83" s="5"/>
      <c r="W83" s="8"/>
      <c r="X83" s="8"/>
      <c r="Y83" s="8"/>
      <c r="Z83" s="8"/>
    </row>
    <row r="84" ht="12.75" customHeight="1">
      <c r="A84" s="4">
        <v>172.0</v>
      </c>
      <c r="B84" s="5" t="s">
        <v>353</v>
      </c>
      <c r="C84" s="5" t="s">
        <v>364</v>
      </c>
      <c r="D84" s="5" t="s">
        <v>365</v>
      </c>
      <c r="E84" s="5" t="s">
        <v>22</v>
      </c>
      <c r="F84" s="6">
        <v>45635.0</v>
      </c>
      <c r="G84" s="5" t="s">
        <v>23</v>
      </c>
      <c r="H84" s="6">
        <v>45635.0</v>
      </c>
      <c r="I84" s="5" t="s">
        <v>64</v>
      </c>
      <c r="J84" s="5" t="s">
        <v>366</v>
      </c>
      <c r="K84" s="5" t="s">
        <v>25</v>
      </c>
      <c r="L84" s="5" t="s">
        <v>367</v>
      </c>
      <c r="M84" s="7" t="s">
        <v>75</v>
      </c>
      <c r="N84" s="5" t="s">
        <v>39</v>
      </c>
      <c r="O84" s="5" t="s">
        <v>52</v>
      </c>
      <c r="P84" s="5" t="s">
        <v>60</v>
      </c>
      <c r="Q84" s="7" t="str">
        <f t="shared" si="1"/>
        <v>200- Datadog:220- Engineering</v>
      </c>
      <c r="R84" s="7" t="str">
        <f t="array" ref="R84">IF($N84="Yes","Cost of Goods Sold:COGS- Travel Expenses:",IF($N84="No",XLOOKUP($Q84,Key!$I:$I,Key!$J:$J),"Review Billable Status"))</f>
        <v>Cost of Goods Sold:COGS- Travel Expenses:</v>
      </c>
      <c r="S84" s="7" t="str">
        <f t="array" ref="S84">IF($N84="Yes","Cost of Goods Sold:COGS- Personnel Expense:",IF($N84="No",XLOOKUP($Q84,Key!$I:$I,Key!$K:$K),"Review Billable Status"))</f>
        <v>Cost of Goods Sold:COGS- Personnel Expense:</v>
      </c>
      <c r="T84" s="5"/>
      <c r="U84" s="5"/>
      <c r="V84" s="5"/>
      <c r="W84" s="8"/>
      <c r="X84" s="8"/>
      <c r="Y84" s="8"/>
      <c r="Z84" s="8"/>
    </row>
    <row r="85" ht="12.75" customHeight="1">
      <c r="A85" s="4">
        <v>175.0</v>
      </c>
      <c r="B85" s="5" t="s">
        <v>368</v>
      </c>
      <c r="C85" s="5" t="s">
        <v>369</v>
      </c>
      <c r="D85" s="5" t="s">
        <v>370</v>
      </c>
      <c r="E85" s="5" t="s">
        <v>112</v>
      </c>
      <c r="F85" s="6">
        <v>45684.0</v>
      </c>
      <c r="G85" s="5" t="s">
        <v>23</v>
      </c>
      <c r="H85" s="6">
        <v>45684.0</v>
      </c>
      <c r="I85" s="5" t="s">
        <v>34</v>
      </c>
      <c r="J85" s="5" t="s">
        <v>130</v>
      </c>
      <c r="K85" s="5" t="s">
        <v>25</v>
      </c>
      <c r="L85" s="5" t="s">
        <v>279</v>
      </c>
      <c r="M85" s="7" t="s">
        <v>132</v>
      </c>
      <c r="N85" s="5" t="s">
        <v>39</v>
      </c>
      <c r="O85" s="5" t="s">
        <v>85</v>
      </c>
      <c r="P85" s="5" t="s">
        <v>30</v>
      </c>
      <c r="Q85" s="7" t="str">
        <f t="shared" si="1"/>
        <v>300- ServiceNow:310- Delivery</v>
      </c>
      <c r="R85" s="7" t="str">
        <f t="array" ref="R85">IF($N85="Yes","Cost of Goods Sold:COGS- Travel Expenses:",IF($N85="No",XLOOKUP($Q85,Key!$I:$I,Key!$J:$J),"Review Billable Status"))</f>
        <v>Cost of Goods Sold:COGS- Travel Expenses:</v>
      </c>
      <c r="S85" s="7" t="str">
        <f t="array" ref="S85">IF($N85="Yes","Cost of Goods Sold:COGS- Personnel Expense:",IF($N85="No",XLOOKUP($Q85,Key!$I:$I,Key!$K:$K),"Review Billable Status"))</f>
        <v>Cost of Goods Sold:COGS- Personnel Expense:</v>
      </c>
      <c r="T85" s="5"/>
      <c r="U85" s="5"/>
      <c r="V85" s="5"/>
      <c r="W85" s="8"/>
      <c r="X85" s="8"/>
      <c r="Y85" s="8"/>
      <c r="Z85" s="8"/>
    </row>
    <row r="86" ht="12.75" customHeight="1">
      <c r="A86" s="4">
        <v>176.0</v>
      </c>
      <c r="B86" s="5" t="s">
        <v>371</v>
      </c>
      <c r="C86" s="5" t="s">
        <v>372</v>
      </c>
      <c r="D86" s="5" t="s">
        <v>373</v>
      </c>
      <c r="E86" s="5" t="s">
        <v>22</v>
      </c>
      <c r="F86" s="6">
        <v>45687.0</v>
      </c>
      <c r="G86" s="5" t="s">
        <v>23</v>
      </c>
      <c r="H86" s="6">
        <v>45687.0</v>
      </c>
      <c r="I86" s="5" t="s">
        <v>34</v>
      </c>
      <c r="J86" s="5" t="s">
        <v>35</v>
      </c>
      <c r="K86" s="5" t="s">
        <v>36</v>
      </c>
      <c r="L86" s="5" t="s">
        <v>153</v>
      </c>
      <c r="M86" s="7" t="s">
        <v>38</v>
      </c>
      <c r="N86" s="5" t="s">
        <v>39</v>
      </c>
      <c r="O86" s="5" t="s">
        <v>85</v>
      </c>
      <c r="P86" s="5" t="s">
        <v>41</v>
      </c>
      <c r="Q86" s="7" t="str">
        <f t="shared" si="1"/>
        <v>300- ServiceNow:320- Engineering</v>
      </c>
      <c r="R86" s="7" t="str">
        <f t="array" ref="R86">IF($N86="Yes","Cost of Goods Sold:COGS- Travel Expenses:",IF($N86="No",XLOOKUP($Q86,Key!$I:$I,Key!$J:$J),"Review Billable Status"))</f>
        <v>Cost of Goods Sold:COGS- Travel Expenses:</v>
      </c>
      <c r="S86" s="7" t="str">
        <f t="array" ref="S86">IF($N86="Yes","Cost of Goods Sold:COGS- Personnel Expense:",IF($N86="No",XLOOKUP($Q86,Key!$I:$I,Key!$K:$K),"Review Billable Status"))</f>
        <v>Cost of Goods Sold:COGS- Personnel Expense:</v>
      </c>
      <c r="T86" s="5"/>
      <c r="U86" s="5"/>
      <c r="V86" s="5"/>
      <c r="W86" s="8"/>
      <c r="X86" s="8"/>
      <c r="Y86" s="8"/>
      <c r="Z86" s="8"/>
    </row>
    <row r="87" ht="12.75" customHeight="1">
      <c r="A87" s="4">
        <v>177.0</v>
      </c>
      <c r="B87" s="5" t="s">
        <v>374</v>
      </c>
      <c r="C87" s="5" t="s">
        <v>375</v>
      </c>
      <c r="D87" s="5" t="s">
        <v>376</v>
      </c>
      <c r="E87" s="5" t="s">
        <v>22</v>
      </c>
      <c r="F87" s="6">
        <v>46153.0</v>
      </c>
      <c r="G87" s="5" t="s">
        <v>377</v>
      </c>
      <c r="H87" s="6">
        <v>46153.0</v>
      </c>
      <c r="I87" s="5" t="s">
        <v>24</v>
      </c>
      <c r="J87" s="5" t="s">
        <v>24</v>
      </c>
      <c r="K87" s="5" t="s">
        <v>25</v>
      </c>
      <c r="L87" s="5" t="s">
        <v>378</v>
      </c>
      <c r="M87" s="7" t="s">
        <v>199</v>
      </c>
      <c r="N87" s="5" t="s">
        <v>28</v>
      </c>
      <c r="O87" s="5" t="s">
        <v>379</v>
      </c>
      <c r="P87" s="5" t="s">
        <v>30</v>
      </c>
      <c r="Q87" s="7" t="str">
        <f t="shared" si="1"/>
        <v>100- Operations:110- G&amp;A</v>
      </c>
      <c r="R87" s="7" t="str">
        <f t="array" ref="R87">IF($N87="Yes","Cost of Goods Sold:COGS- Travel Expenses:",IF($N87="No",XLOOKUP($Q87,Key!$I:$I,Key!$J:$J),"Review Billable Status"))</f>
        <v>General &amp; Administrative:G&amp;A- Travel Expenses:</v>
      </c>
      <c r="S87" s="7" t="str">
        <f t="array" ref="S87">IF($N87="Yes","Cost of Goods Sold:COGS- Personnel Expense:",IF($N87="No",XLOOKUP($Q87,Key!$I:$I,Key!$K:$K),"Review Billable Status"))</f>
        <v>General &amp; Administrative:G&amp;A- Personnel Expenses:</v>
      </c>
      <c r="T87" s="5"/>
      <c r="U87" s="5"/>
      <c r="V87" s="5"/>
      <c r="W87" s="8"/>
      <c r="X87" s="8"/>
      <c r="Y87" s="8"/>
      <c r="Z87" s="8"/>
    </row>
    <row r="88" ht="12.75" customHeight="1">
      <c r="A88" s="4">
        <v>178.0</v>
      </c>
      <c r="B88" s="5" t="s">
        <v>380</v>
      </c>
      <c r="C88" s="5" t="s">
        <v>381</v>
      </c>
      <c r="D88" s="5" t="s">
        <v>382</v>
      </c>
      <c r="E88" s="5" t="s">
        <v>22</v>
      </c>
      <c r="F88" s="6">
        <v>45705.0</v>
      </c>
      <c r="G88" s="5" t="s">
        <v>23</v>
      </c>
      <c r="H88" s="6">
        <v>45705.0</v>
      </c>
      <c r="I88" s="5" t="s">
        <v>34</v>
      </c>
      <c r="J88" s="5" t="s">
        <v>35</v>
      </c>
      <c r="K88" s="5" t="s">
        <v>107</v>
      </c>
      <c r="L88" s="5" t="s">
        <v>51</v>
      </c>
      <c r="M88" s="7" t="s">
        <v>38</v>
      </c>
      <c r="N88" s="5" t="s">
        <v>39</v>
      </c>
      <c r="O88" s="5" t="s">
        <v>52</v>
      </c>
      <c r="P88" s="5" t="s">
        <v>383</v>
      </c>
      <c r="Q88" s="7" t="str">
        <f t="shared" si="1"/>
        <v>300- ServiceNow:320- Engineering</v>
      </c>
      <c r="R88" s="7" t="str">
        <f t="array" ref="R88">IF($N88="Yes","Cost of Goods Sold:COGS- Travel Expenses:",IF($N88="No",XLOOKUP($Q88,Key!$I:$I,Key!$J:$J),"Review Billable Status"))</f>
        <v>Cost of Goods Sold:COGS- Travel Expenses:</v>
      </c>
      <c r="S88" s="7" t="str">
        <f t="array" ref="S88">IF($N88="Yes","Cost of Goods Sold:COGS- Personnel Expense:",IF($N88="No",XLOOKUP($Q88,Key!$I:$I,Key!$K:$K),"Review Billable Status"))</f>
        <v>Cost of Goods Sold:COGS- Personnel Expense:</v>
      </c>
      <c r="T88" s="5"/>
      <c r="U88" s="5"/>
      <c r="V88" s="5"/>
      <c r="W88" s="8"/>
      <c r="X88" s="8"/>
      <c r="Y88" s="8"/>
      <c r="Z88" s="8"/>
    </row>
    <row r="89" ht="12.75" customHeight="1">
      <c r="A89" s="4">
        <v>180.0</v>
      </c>
      <c r="B89" s="5" t="s">
        <v>287</v>
      </c>
      <c r="C89" s="5" t="s">
        <v>384</v>
      </c>
      <c r="D89" s="5" t="s">
        <v>385</v>
      </c>
      <c r="E89" s="5" t="s">
        <v>22</v>
      </c>
      <c r="F89" s="6">
        <v>45693.0</v>
      </c>
      <c r="G89" s="5" t="s">
        <v>23</v>
      </c>
      <c r="H89" s="6">
        <v>45693.0</v>
      </c>
      <c r="I89" s="5" t="s">
        <v>34</v>
      </c>
      <c r="J89" s="5" t="s">
        <v>35</v>
      </c>
      <c r="K89" s="5" t="s">
        <v>36</v>
      </c>
      <c r="L89" s="5" t="s">
        <v>153</v>
      </c>
      <c r="M89" s="7" t="s">
        <v>38</v>
      </c>
      <c r="N89" s="5" t="s">
        <v>39</v>
      </c>
      <c r="O89" s="5" t="s">
        <v>85</v>
      </c>
      <c r="P89" s="5" t="s">
        <v>386</v>
      </c>
      <c r="Q89" s="7" t="str">
        <f t="shared" si="1"/>
        <v>300- ServiceNow:320- Engineering</v>
      </c>
      <c r="R89" s="7" t="str">
        <f t="array" ref="R89">IF($N89="Yes","Cost of Goods Sold:COGS- Travel Expenses:",IF($N89="No",XLOOKUP($Q89,Key!$I:$I,Key!$J:$J),"Review Billable Status"))</f>
        <v>Cost of Goods Sold:COGS- Travel Expenses:</v>
      </c>
      <c r="S89" s="7" t="str">
        <f t="array" ref="S89">IF($N89="Yes","Cost of Goods Sold:COGS- Personnel Expense:",IF($N89="No",XLOOKUP($Q89,Key!$I:$I,Key!$K:$K),"Review Billable Status"))</f>
        <v>Cost of Goods Sold:COGS- Personnel Expense:</v>
      </c>
      <c r="T89" s="5"/>
      <c r="U89" s="5"/>
      <c r="V89" s="5"/>
      <c r="W89" s="8"/>
      <c r="X89" s="8"/>
      <c r="Y89" s="8"/>
      <c r="Z89" s="8"/>
    </row>
    <row r="90" ht="12.75" customHeight="1">
      <c r="A90" s="4">
        <v>181.0</v>
      </c>
      <c r="B90" s="5" t="s">
        <v>387</v>
      </c>
      <c r="C90" s="5" t="s">
        <v>388</v>
      </c>
      <c r="D90" s="5" t="s">
        <v>389</v>
      </c>
      <c r="E90" s="5" t="s">
        <v>22</v>
      </c>
      <c r="F90" s="6">
        <v>45761.0</v>
      </c>
      <c r="G90" s="5" t="s">
        <v>23</v>
      </c>
      <c r="H90" s="6">
        <v>45761.0</v>
      </c>
      <c r="I90" s="5" t="s">
        <v>34</v>
      </c>
      <c r="J90" s="5" t="s">
        <v>130</v>
      </c>
      <c r="K90" s="5" t="s">
        <v>107</v>
      </c>
      <c r="L90" s="5" t="s">
        <v>279</v>
      </c>
      <c r="M90" s="7" t="s">
        <v>132</v>
      </c>
      <c r="N90" s="5" t="s">
        <v>39</v>
      </c>
      <c r="O90" s="5" t="s">
        <v>85</v>
      </c>
      <c r="P90" s="5" t="s">
        <v>390</v>
      </c>
      <c r="Q90" s="7" t="str">
        <f t="shared" si="1"/>
        <v>300- ServiceNow:310- Delivery</v>
      </c>
      <c r="R90" s="7" t="str">
        <f t="array" ref="R90">IF($N90="Yes","Cost of Goods Sold:COGS- Travel Expenses:",IF($N90="No",XLOOKUP($Q90,Key!$I:$I,Key!$J:$J),"Review Billable Status"))</f>
        <v>Cost of Goods Sold:COGS- Travel Expenses:</v>
      </c>
      <c r="S90" s="7" t="str">
        <f t="array" ref="S90">IF($N90="Yes","Cost of Goods Sold:COGS- Personnel Expense:",IF($N90="No",XLOOKUP($Q90,Key!$I:$I,Key!$K:$K),"Review Billable Status"))</f>
        <v>Cost of Goods Sold:COGS- Personnel Expense:</v>
      </c>
      <c r="T90" s="5"/>
      <c r="U90" s="5"/>
      <c r="V90" s="5"/>
      <c r="W90" s="8"/>
      <c r="X90" s="8"/>
      <c r="Y90" s="8"/>
      <c r="Z90" s="8"/>
    </row>
    <row r="91" ht="12.75" customHeight="1">
      <c r="A91" s="4">
        <v>183.0</v>
      </c>
      <c r="B91" s="5" t="s">
        <v>391</v>
      </c>
      <c r="C91" s="5" t="s">
        <v>392</v>
      </c>
      <c r="D91" s="5" t="s">
        <v>393</v>
      </c>
      <c r="E91" s="5" t="s">
        <v>112</v>
      </c>
      <c r="F91" s="6">
        <v>45734.0</v>
      </c>
      <c r="G91" s="5" t="s">
        <v>23</v>
      </c>
      <c r="H91" s="6">
        <v>45734.0</v>
      </c>
      <c r="I91" s="5" t="s">
        <v>64</v>
      </c>
      <c r="J91" s="5" t="s">
        <v>130</v>
      </c>
      <c r="K91" s="5" t="s">
        <v>25</v>
      </c>
      <c r="L91" s="5" t="s">
        <v>279</v>
      </c>
      <c r="M91" s="7" t="s">
        <v>175</v>
      </c>
      <c r="N91" s="5" t="s">
        <v>39</v>
      </c>
      <c r="O91" s="5" t="s">
        <v>52</v>
      </c>
      <c r="P91" s="5" t="s">
        <v>30</v>
      </c>
      <c r="Q91" s="7" t="str">
        <f t="shared" si="1"/>
        <v>200- Datadog:210- Delivery</v>
      </c>
      <c r="R91" s="7" t="str">
        <f t="array" ref="R91">IF($N91="Yes","Cost of Goods Sold:COGS- Travel Expenses:",IF($N91="No",XLOOKUP($Q91,Key!$I:$I,Key!$J:$J),"Review Billable Status"))</f>
        <v>Cost of Goods Sold:COGS- Travel Expenses:</v>
      </c>
      <c r="S91" s="7" t="str">
        <f t="array" ref="S91">IF($N91="Yes","Cost of Goods Sold:COGS- Personnel Expense:",IF($N91="No",XLOOKUP($Q91,Key!$I:$I,Key!$K:$K),"Review Billable Status"))</f>
        <v>Cost of Goods Sold:COGS- Personnel Expense:</v>
      </c>
      <c r="T91" s="5"/>
      <c r="U91" s="5"/>
      <c r="V91" s="5"/>
      <c r="W91" s="8"/>
      <c r="X91" s="8"/>
      <c r="Y91" s="8"/>
      <c r="Z91" s="8"/>
    </row>
    <row r="92" ht="12.75" customHeight="1">
      <c r="A92" s="4">
        <v>184.0</v>
      </c>
      <c r="B92" s="5" t="s">
        <v>394</v>
      </c>
      <c r="C92" s="5" t="s">
        <v>395</v>
      </c>
      <c r="D92" s="5" t="s">
        <v>396</v>
      </c>
      <c r="E92" s="5" t="s">
        <v>22</v>
      </c>
      <c r="F92" s="6">
        <v>45804.0</v>
      </c>
      <c r="G92" s="5" t="s">
        <v>377</v>
      </c>
      <c r="H92" s="6">
        <v>45804.0</v>
      </c>
      <c r="I92" s="5" t="s">
        <v>24</v>
      </c>
      <c r="J92" s="5" t="s">
        <v>57</v>
      </c>
      <c r="K92" s="5" t="s">
        <v>25</v>
      </c>
      <c r="L92" s="5" t="s">
        <v>397</v>
      </c>
      <c r="M92" s="7" t="s">
        <v>199</v>
      </c>
      <c r="N92" s="5" t="s">
        <v>28</v>
      </c>
      <c r="O92" s="5" t="s">
        <v>379</v>
      </c>
      <c r="P92" s="5" t="s">
        <v>30</v>
      </c>
      <c r="Q92" s="7" t="str">
        <f t="shared" si="1"/>
        <v>100- Operations:110- G&amp;A</v>
      </c>
      <c r="R92" s="7" t="str">
        <f t="array" ref="R92">IF($N92="Yes","Cost of Goods Sold:COGS- Travel Expenses:",IF($N92="No",XLOOKUP($Q92,Key!$I:$I,Key!$J:$J),"Review Billable Status"))</f>
        <v>General &amp; Administrative:G&amp;A- Travel Expenses:</v>
      </c>
      <c r="S92" s="7" t="str">
        <f t="array" ref="S92">IF($N92="Yes","Cost of Goods Sold:COGS- Personnel Expense:",IF($N92="No",XLOOKUP($Q92,Key!$I:$I,Key!$K:$K),"Review Billable Status"))</f>
        <v>General &amp; Administrative:G&amp;A- Personnel Expenses:</v>
      </c>
      <c r="T92" s="5"/>
      <c r="U92" s="5"/>
      <c r="V92" s="5"/>
      <c r="W92" s="8"/>
      <c r="X92" s="8"/>
      <c r="Y92" s="8"/>
      <c r="Z92" s="8"/>
    </row>
    <row r="93" ht="12.75" customHeight="1">
      <c r="A93" s="4">
        <v>187.0</v>
      </c>
      <c r="B93" s="5" t="s">
        <v>342</v>
      </c>
      <c r="C93" s="5" t="s">
        <v>398</v>
      </c>
      <c r="D93" s="5" t="s">
        <v>399</v>
      </c>
      <c r="E93" s="5" t="s">
        <v>22</v>
      </c>
      <c r="F93" s="6">
        <v>45748.0</v>
      </c>
      <c r="G93" s="5" t="s">
        <v>23</v>
      </c>
      <c r="H93" s="6">
        <v>45748.0</v>
      </c>
      <c r="I93" s="5" t="s">
        <v>24</v>
      </c>
      <c r="J93" s="5" t="s">
        <v>45</v>
      </c>
      <c r="K93" s="5" t="s">
        <v>25</v>
      </c>
      <c r="L93" s="5" t="s">
        <v>400</v>
      </c>
      <c r="M93" s="7" t="s">
        <v>199</v>
      </c>
      <c r="N93" s="5" t="s">
        <v>28</v>
      </c>
      <c r="O93" s="5" t="s">
        <v>200</v>
      </c>
      <c r="P93" s="5" t="s">
        <v>30</v>
      </c>
      <c r="Q93" s="7" t="str">
        <f t="shared" si="1"/>
        <v>100- Operations:110- G&amp;A</v>
      </c>
      <c r="R93" s="7" t="str">
        <f t="array" ref="R93">IF($N93="Yes","Cost of Goods Sold:COGS- Travel Expenses:",IF($N93="No",XLOOKUP($Q93,Key!$I:$I,Key!$J:$J),"Review Billable Status"))</f>
        <v>General &amp; Administrative:G&amp;A- Travel Expenses:</v>
      </c>
      <c r="S93" s="7" t="str">
        <f t="array" ref="S93">IF($N93="Yes","Cost of Goods Sold:COGS- Personnel Expense:",IF($N93="No",XLOOKUP($Q93,Key!$I:$I,Key!$K:$K),"Review Billable Status"))</f>
        <v>General &amp; Administrative:G&amp;A- Personnel Expenses:</v>
      </c>
      <c r="T93" s="5"/>
      <c r="U93" s="5"/>
      <c r="V93" s="5"/>
      <c r="W93" s="8"/>
      <c r="X93" s="8"/>
      <c r="Y93" s="8"/>
      <c r="Z93" s="8"/>
    </row>
    <row r="94" ht="12.75" customHeight="1">
      <c r="A94" s="4">
        <v>189.0</v>
      </c>
      <c r="B94" s="5" t="s">
        <v>305</v>
      </c>
      <c r="C94" s="5" t="s">
        <v>401</v>
      </c>
      <c r="D94" s="5" t="s">
        <v>402</v>
      </c>
      <c r="E94" s="5" t="s">
        <v>22</v>
      </c>
      <c r="F94" s="6">
        <v>45768.0</v>
      </c>
      <c r="G94" s="5" t="s">
        <v>23</v>
      </c>
      <c r="H94" s="6">
        <v>45768.0</v>
      </c>
      <c r="I94" s="5" t="s">
        <v>64</v>
      </c>
      <c r="J94" s="5" t="s">
        <v>35</v>
      </c>
      <c r="K94" s="5" t="s">
        <v>25</v>
      </c>
      <c r="L94" s="5" t="s">
        <v>334</v>
      </c>
      <c r="M94" s="7" t="s">
        <v>75</v>
      </c>
      <c r="N94" s="5" t="s">
        <v>39</v>
      </c>
      <c r="O94" s="5" t="s">
        <v>85</v>
      </c>
      <c r="P94" s="5" t="s">
        <v>60</v>
      </c>
      <c r="Q94" s="7" t="str">
        <f t="shared" si="1"/>
        <v>200- Datadog:220- Engineering</v>
      </c>
      <c r="R94" s="7" t="str">
        <f t="array" ref="R94">IF($N94="Yes","Cost of Goods Sold:COGS- Travel Expenses:",IF($N94="No",XLOOKUP($Q94,Key!$I:$I,Key!$J:$J),"Review Billable Status"))</f>
        <v>Cost of Goods Sold:COGS- Travel Expenses:</v>
      </c>
      <c r="S94" s="7" t="str">
        <f t="array" ref="S94">IF($N94="Yes","Cost of Goods Sold:COGS- Personnel Expense:",IF($N94="No",XLOOKUP($Q94,Key!$I:$I,Key!$K:$K),"Review Billable Status"))</f>
        <v>Cost of Goods Sold:COGS- Personnel Expense:</v>
      </c>
      <c r="T94" s="5"/>
      <c r="U94" s="5"/>
      <c r="V94" s="5"/>
      <c r="W94" s="8"/>
      <c r="X94" s="8"/>
      <c r="Y94" s="8"/>
      <c r="Z94" s="8"/>
    </row>
    <row r="95" ht="12.75" customHeight="1">
      <c r="A95" s="4">
        <v>190.0</v>
      </c>
      <c r="B95" s="5" t="s">
        <v>403</v>
      </c>
      <c r="C95" s="5" t="s">
        <v>404</v>
      </c>
      <c r="D95" s="5" t="s">
        <v>405</v>
      </c>
      <c r="E95" s="5" t="s">
        <v>22</v>
      </c>
      <c r="F95" s="6">
        <v>45810.0</v>
      </c>
      <c r="G95" s="5" t="s">
        <v>23</v>
      </c>
      <c r="H95" s="6">
        <v>45810.0</v>
      </c>
      <c r="I95" s="5" t="s">
        <v>34</v>
      </c>
      <c r="J95" s="5" t="s">
        <v>45</v>
      </c>
      <c r="K95" s="5" t="s">
        <v>107</v>
      </c>
      <c r="L95" s="5" t="s">
        <v>126</v>
      </c>
      <c r="M95" s="7" t="s">
        <v>47</v>
      </c>
      <c r="N95" s="5" t="s">
        <v>28</v>
      </c>
      <c r="O95" s="5" t="s">
        <v>85</v>
      </c>
      <c r="P95" s="5" t="s">
        <v>108</v>
      </c>
      <c r="Q95" s="7" t="str">
        <f t="shared" si="1"/>
        <v>300- ServiceNow:330- Sales</v>
      </c>
      <c r="R95" s="7" t="str">
        <f t="array" ref="R95">IF($N95="Yes","Cost of Goods Sold:COGS- Travel Expenses:",IF($N95="No",XLOOKUP($Q95,Key!$I:$I,Key!$J:$J),"Review Billable Status"))</f>
        <v>Sales &amp; Marketing:Sales &amp; Marketing- Travel Expenses:</v>
      </c>
      <c r="S95" s="7" t="str">
        <f t="array" ref="S95">IF($N95="Yes","Cost of Goods Sold:COGS- Personnel Expense:",IF($N95="No",XLOOKUP($Q95,Key!$I:$I,Key!$K:$K),"Review Billable Status"))</f>
        <v>Sales &amp; Marketing:Sales &amp; Marketing- Personnel Expenses:</v>
      </c>
      <c r="T95" s="5"/>
      <c r="U95" s="5"/>
      <c r="V95" s="5"/>
      <c r="W95" s="8"/>
      <c r="X95" s="8"/>
      <c r="Y95" s="8"/>
      <c r="Z95" s="8"/>
    </row>
    <row r="96" ht="12.75" customHeight="1">
      <c r="A96" s="4">
        <v>191.0</v>
      </c>
      <c r="B96" s="5" t="s">
        <v>406</v>
      </c>
      <c r="C96" s="5" t="s">
        <v>407</v>
      </c>
      <c r="D96" s="5" t="s">
        <v>408</v>
      </c>
      <c r="E96" s="5" t="s">
        <v>22</v>
      </c>
      <c r="F96" s="6">
        <v>45789.0</v>
      </c>
      <c r="G96" s="5" t="s">
        <v>23</v>
      </c>
      <c r="H96" s="6">
        <v>45903.0</v>
      </c>
      <c r="I96" s="5" t="s">
        <v>34</v>
      </c>
      <c r="J96" s="5" t="s">
        <v>35</v>
      </c>
      <c r="K96" s="5" t="s">
        <v>25</v>
      </c>
      <c r="L96" s="5" t="s">
        <v>153</v>
      </c>
      <c r="M96" s="7" t="s">
        <v>38</v>
      </c>
      <c r="N96" s="5" t="s">
        <v>39</v>
      </c>
      <c r="O96" s="5" t="s">
        <v>85</v>
      </c>
      <c r="P96" s="5" t="s">
        <v>30</v>
      </c>
      <c r="Q96" s="7" t="str">
        <f t="shared" si="1"/>
        <v>300- ServiceNow:320- Engineering</v>
      </c>
      <c r="R96" s="7" t="str">
        <f t="array" ref="R96">IF($N96="Yes","Cost of Goods Sold:COGS- Travel Expenses:",IF($N96="No",XLOOKUP($Q96,Key!$I:$I,Key!$J:$J),"Review Billable Status"))</f>
        <v>Cost of Goods Sold:COGS- Travel Expenses:</v>
      </c>
      <c r="S96" s="7" t="str">
        <f t="array" ref="S96">IF($N96="Yes","Cost of Goods Sold:COGS- Personnel Expense:",IF($N96="No",XLOOKUP($Q96,Key!$I:$I,Key!$K:$K),"Review Billable Status"))</f>
        <v>Cost of Goods Sold:COGS- Personnel Expense:</v>
      </c>
      <c r="T96" s="5"/>
      <c r="U96" s="5"/>
      <c r="V96" s="5"/>
      <c r="W96" s="8"/>
      <c r="X96" s="8"/>
      <c r="Y96" s="8"/>
      <c r="Z96" s="8"/>
    </row>
    <row r="97" ht="12.75" customHeight="1">
      <c r="A97" s="4">
        <v>193.0</v>
      </c>
      <c r="B97" s="5" t="s">
        <v>409</v>
      </c>
      <c r="C97" s="5" t="s">
        <v>142</v>
      </c>
      <c r="D97" s="5" t="s">
        <v>410</v>
      </c>
      <c r="E97" s="5" t="s">
        <v>22</v>
      </c>
      <c r="F97" s="6">
        <v>45831.0</v>
      </c>
      <c r="G97" s="5" t="s">
        <v>23</v>
      </c>
      <c r="H97" s="6">
        <v>45831.0</v>
      </c>
      <c r="I97" s="5" t="s">
        <v>64</v>
      </c>
      <c r="J97" s="5" t="s">
        <v>35</v>
      </c>
      <c r="K97" s="5" t="s">
        <v>107</v>
      </c>
      <c r="L97" s="5" t="s">
        <v>334</v>
      </c>
      <c r="M97" s="7" t="s">
        <v>75</v>
      </c>
      <c r="N97" s="5" t="s">
        <v>39</v>
      </c>
      <c r="O97" s="5" t="s">
        <v>52</v>
      </c>
      <c r="P97" s="5" t="s">
        <v>411</v>
      </c>
      <c r="Q97" s="7" t="str">
        <f t="shared" si="1"/>
        <v>200- Datadog:220- Engineering</v>
      </c>
      <c r="R97" s="7" t="str">
        <f t="array" ref="R97">IF($N97="Yes","Cost of Goods Sold:COGS- Travel Expenses:",IF($N97="No",XLOOKUP($Q97,Key!$I:$I,Key!$J:$J),"Review Billable Status"))</f>
        <v>Cost of Goods Sold:COGS- Travel Expenses:</v>
      </c>
      <c r="S97" s="7" t="str">
        <f t="array" ref="S97">IF($N97="Yes","Cost of Goods Sold:COGS- Personnel Expense:",IF($N97="No",XLOOKUP($Q97,Key!$I:$I,Key!$K:$K),"Review Billable Status"))</f>
        <v>Cost of Goods Sold:COGS- Personnel Expense:</v>
      </c>
      <c r="T97" s="5"/>
      <c r="U97" s="5"/>
      <c r="V97" s="5"/>
      <c r="W97" s="8"/>
      <c r="X97" s="8"/>
      <c r="Y97" s="8"/>
      <c r="Z97" s="8"/>
    </row>
    <row r="98" ht="12.75" customHeight="1">
      <c r="A98" s="4">
        <v>194.0</v>
      </c>
      <c r="B98" s="5" t="s">
        <v>265</v>
      </c>
      <c r="C98" s="5" t="s">
        <v>412</v>
      </c>
      <c r="D98" s="5" t="s">
        <v>413</v>
      </c>
      <c r="E98" s="5" t="s">
        <v>22</v>
      </c>
      <c r="F98" s="6">
        <v>45810.0</v>
      </c>
      <c r="G98" s="5" t="s">
        <v>23</v>
      </c>
      <c r="H98" s="6">
        <v>45810.0</v>
      </c>
      <c r="I98" s="5" t="s">
        <v>34</v>
      </c>
      <c r="J98" s="5" t="s">
        <v>35</v>
      </c>
      <c r="K98" s="5" t="s">
        <v>36</v>
      </c>
      <c r="L98" s="5" t="s">
        <v>153</v>
      </c>
      <c r="M98" s="7" t="s">
        <v>38</v>
      </c>
      <c r="N98" s="5" t="s">
        <v>39</v>
      </c>
      <c r="O98" s="5" t="s">
        <v>52</v>
      </c>
      <c r="P98" s="5" t="s">
        <v>180</v>
      </c>
      <c r="Q98" s="7" t="str">
        <f t="shared" si="1"/>
        <v>300- ServiceNow:320- Engineering</v>
      </c>
      <c r="R98" s="7" t="str">
        <f t="array" ref="R98">IF($N98="Yes","Cost of Goods Sold:COGS- Travel Expenses:",IF($N98="No",XLOOKUP($Q98,Key!$I:$I,Key!$J:$J),"Review Billable Status"))</f>
        <v>Cost of Goods Sold:COGS- Travel Expenses:</v>
      </c>
      <c r="S98" s="7" t="str">
        <f t="array" ref="S98">IF($N98="Yes","Cost of Goods Sold:COGS- Personnel Expense:",IF($N98="No",XLOOKUP($Q98,Key!$I:$I,Key!$K:$K),"Review Billable Status"))</f>
        <v>Cost of Goods Sold:COGS- Personnel Expense:</v>
      </c>
      <c r="T98" s="5"/>
      <c r="U98" s="5"/>
      <c r="V98" s="5"/>
      <c r="W98" s="8"/>
      <c r="X98" s="8"/>
      <c r="Y98" s="8"/>
      <c r="Z98" s="8"/>
    </row>
    <row r="99" ht="12.75" customHeight="1">
      <c r="A99" s="4">
        <v>195.0</v>
      </c>
      <c r="B99" s="5" t="s">
        <v>414</v>
      </c>
      <c r="C99" s="5" t="s">
        <v>415</v>
      </c>
      <c r="D99" s="5" t="s">
        <v>416</v>
      </c>
      <c r="E99" s="5" t="s">
        <v>112</v>
      </c>
      <c r="F99" s="6">
        <v>45804.0</v>
      </c>
      <c r="G99" s="5" t="s">
        <v>23</v>
      </c>
      <c r="H99" s="6">
        <v>45804.0</v>
      </c>
      <c r="I99" s="5" t="s">
        <v>34</v>
      </c>
      <c r="J99" s="5" t="s">
        <v>130</v>
      </c>
      <c r="K99" s="5" t="s">
        <v>25</v>
      </c>
      <c r="L99" s="5" t="s">
        <v>279</v>
      </c>
      <c r="M99" s="7" t="s">
        <v>132</v>
      </c>
      <c r="N99" s="5" t="s">
        <v>39</v>
      </c>
      <c r="O99" s="5" t="s">
        <v>52</v>
      </c>
      <c r="P99" s="5" t="s">
        <v>30</v>
      </c>
      <c r="Q99" s="7" t="str">
        <f t="shared" si="1"/>
        <v>300- ServiceNow:310- Delivery</v>
      </c>
      <c r="R99" s="7" t="str">
        <f t="array" ref="R99">IF($N99="Yes","Cost of Goods Sold:COGS- Travel Expenses:",IF($N99="No",XLOOKUP($Q99,Key!$I:$I,Key!$J:$J),"Review Billable Status"))</f>
        <v>Cost of Goods Sold:COGS- Travel Expenses:</v>
      </c>
      <c r="S99" s="7" t="str">
        <f t="array" ref="S99">IF($N99="Yes","Cost of Goods Sold:COGS- Personnel Expense:",IF($N99="No",XLOOKUP($Q99,Key!$I:$I,Key!$K:$K),"Review Billable Status"))</f>
        <v>Cost of Goods Sold:COGS- Personnel Expense:</v>
      </c>
      <c r="T99" s="5"/>
      <c r="U99" s="5"/>
      <c r="V99" s="5"/>
      <c r="W99" s="8"/>
      <c r="X99" s="8"/>
      <c r="Y99" s="8"/>
      <c r="Z99" s="8"/>
    </row>
    <row r="100" ht="12.75" customHeight="1">
      <c r="A100" s="4">
        <v>197.0</v>
      </c>
      <c r="B100" s="5" t="s">
        <v>417</v>
      </c>
      <c r="C100" s="5" t="s">
        <v>418</v>
      </c>
      <c r="D100" s="5" t="s">
        <v>419</v>
      </c>
      <c r="E100" s="5" t="s">
        <v>22</v>
      </c>
      <c r="F100" s="6">
        <v>45859.0</v>
      </c>
      <c r="G100" s="5" t="s">
        <v>23</v>
      </c>
      <c r="H100" s="6">
        <v>45859.0</v>
      </c>
      <c r="I100" s="5" t="s">
        <v>64</v>
      </c>
      <c r="J100" s="5" t="s">
        <v>366</v>
      </c>
      <c r="K100" s="5" t="s">
        <v>25</v>
      </c>
      <c r="L100" s="5" t="s">
        <v>420</v>
      </c>
      <c r="M100" s="7" t="s">
        <v>75</v>
      </c>
      <c r="N100" s="5" t="s">
        <v>39</v>
      </c>
      <c r="O100" s="5" t="s">
        <v>52</v>
      </c>
      <c r="P100" s="5" t="s">
        <v>30</v>
      </c>
      <c r="Q100" s="7" t="str">
        <f t="shared" si="1"/>
        <v>200- Datadog:220- Engineering</v>
      </c>
      <c r="R100" s="7" t="str">
        <f t="array" ref="R100">IF($N100="Yes","Cost of Goods Sold:COGS- Travel Expenses:",IF($N100="No",XLOOKUP($Q100,Key!$I:$I,Key!$J:$J),"Review Billable Status"))</f>
        <v>Cost of Goods Sold:COGS- Travel Expenses:</v>
      </c>
      <c r="S100" s="7" t="str">
        <f t="array" ref="S100">IF($N100="Yes","Cost of Goods Sold:COGS- Personnel Expense:",IF($N100="No",XLOOKUP($Q100,Key!$I:$I,Key!$K:$K),"Review Billable Status"))</f>
        <v>Cost of Goods Sold:COGS- Personnel Expense:</v>
      </c>
      <c r="T100" s="5"/>
      <c r="U100" s="5"/>
      <c r="V100" s="5"/>
      <c r="W100" s="8"/>
      <c r="X100" s="8"/>
      <c r="Y100" s="8"/>
      <c r="Z100" s="8"/>
    </row>
    <row r="101" ht="12.75" customHeight="1">
      <c r="A101" s="4">
        <v>198.0</v>
      </c>
      <c r="B101" s="5" t="s">
        <v>421</v>
      </c>
      <c r="C101" s="5" t="s">
        <v>214</v>
      </c>
      <c r="D101" s="5" t="s">
        <v>422</v>
      </c>
      <c r="E101" s="5" t="s">
        <v>112</v>
      </c>
      <c r="F101" s="6">
        <v>45849.0</v>
      </c>
      <c r="G101" s="5" t="s">
        <v>23</v>
      </c>
      <c r="H101" s="6">
        <v>45849.0</v>
      </c>
      <c r="I101" s="5" t="s">
        <v>34</v>
      </c>
      <c r="J101" s="5" t="s">
        <v>35</v>
      </c>
      <c r="K101" s="5" t="s">
        <v>36</v>
      </c>
      <c r="L101" s="5" t="s">
        <v>423</v>
      </c>
      <c r="M101" s="7" t="s">
        <v>38</v>
      </c>
      <c r="N101" s="5" t="s">
        <v>39</v>
      </c>
      <c r="O101" s="5" t="s">
        <v>52</v>
      </c>
      <c r="P101" s="5" t="s">
        <v>158</v>
      </c>
      <c r="Q101" s="7" t="str">
        <f t="shared" si="1"/>
        <v>300- ServiceNow:320- Engineering</v>
      </c>
      <c r="R101" s="7" t="str">
        <f t="array" ref="R101">IF($N101="Yes","Cost of Goods Sold:COGS- Travel Expenses:",IF($N101="No",XLOOKUP($Q101,Key!$I:$I,Key!$J:$J),"Review Billable Status"))</f>
        <v>Cost of Goods Sold:COGS- Travel Expenses:</v>
      </c>
      <c r="S101" s="7" t="str">
        <f t="array" ref="S101">IF($N101="Yes","Cost of Goods Sold:COGS- Personnel Expense:",IF($N101="No",XLOOKUP($Q101,Key!$I:$I,Key!$K:$K),"Review Billable Status"))</f>
        <v>Cost of Goods Sold:COGS- Personnel Expense:</v>
      </c>
      <c r="T101" s="5"/>
      <c r="U101" s="5"/>
      <c r="V101" s="5"/>
      <c r="W101" s="8"/>
      <c r="X101" s="8"/>
      <c r="Y101" s="8"/>
      <c r="Z101" s="8"/>
    </row>
    <row r="102" ht="12.75" customHeight="1">
      <c r="A102" s="4">
        <v>199.0</v>
      </c>
      <c r="B102" s="5" t="s">
        <v>424</v>
      </c>
      <c r="C102" s="5" t="s">
        <v>425</v>
      </c>
      <c r="D102" s="5" t="s">
        <v>426</v>
      </c>
      <c r="E102" s="5" t="s">
        <v>22</v>
      </c>
      <c r="F102" s="6">
        <v>45898.0</v>
      </c>
      <c r="G102" s="5" t="s">
        <v>23</v>
      </c>
      <c r="H102" s="6">
        <v>45898.0</v>
      </c>
      <c r="I102" s="5" t="s">
        <v>64</v>
      </c>
      <c r="J102" s="5" t="s">
        <v>35</v>
      </c>
      <c r="K102" s="5" t="s">
        <v>25</v>
      </c>
      <c r="L102" s="5" t="s">
        <v>334</v>
      </c>
      <c r="M102" s="7" t="s">
        <v>75</v>
      </c>
      <c r="N102" s="5" t="s">
        <v>39</v>
      </c>
      <c r="O102" s="5" t="s">
        <v>52</v>
      </c>
      <c r="P102" s="5" t="s">
        <v>30</v>
      </c>
      <c r="Q102" s="7" t="str">
        <f t="shared" si="1"/>
        <v>200- Datadog:220- Engineering</v>
      </c>
      <c r="R102" s="7" t="str">
        <f t="array" ref="R102">IF($N102="Yes","Cost of Goods Sold:COGS- Travel Expenses:",IF($N102="No",XLOOKUP($Q102,Key!$I:$I,Key!$J:$J),"Review Billable Status"))</f>
        <v>Cost of Goods Sold:COGS- Travel Expenses:</v>
      </c>
      <c r="S102" s="7" t="str">
        <f t="array" ref="S102">IF($N102="Yes","Cost of Goods Sold:COGS- Personnel Expense:",IF($N102="No",XLOOKUP($Q102,Key!$I:$I,Key!$K:$K),"Review Billable Status"))</f>
        <v>Cost of Goods Sold:COGS- Personnel Expense:</v>
      </c>
      <c r="T102" s="5"/>
      <c r="U102" s="5"/>
      <c r="V102" s="5"/>
      <c r="W102" s="8"/>
      <c r="X102" s="8"/>
      <c r="Y102" s="8"/>
      <c r="Z102" s="8"/>
    </row>
    <row r="103" ht="12.75" customHeight="1">
      <c r="A103" s="4">
        <v>200.0</v>
      </c>
      <c r="B103" s="5" t="s">
        <v>145</v>
      </c>
      <c r="C103" s="5" t="s">
        <v>427</v>
      </c>
      <c r="D103" s="5" t="s">
        <v>428</v>
      </c>
      <c r="E103" s="5" t="s">
        <v>22</v>
      </c>
      <c r="F103" s="6">
        <v>45866.0</v>
      </c>
      <c r="G103" s="5" t="s">
        <v>23</v>
      </c>
      <c r="H103" s="6">
        <v>45866.0</v>
      </c>
      <c r="I103" s="5" t="s">
        <v>34</v>
      </c>
      <c r="J103" s="5" t="s">
        <v>35</v>
      </c>
      <c r="K103" s="5" t="s">
        <v>25</v>
      </c>
      <c r="L103" s="5" t="s">
        <v>323</v>
      </c>
      <c r="M103" s="7" t="s">
        <v>38</v>
      </c>
      <c r="N103" s="5" t="s">
        <v>39</v>
      </c>
      <c r="O103" s="5" t="s">
        <v>52</v>
      </c>
      <c r="P103" s="5" t="s">
        <v>213</v>
      </c>
      <c r="Q103" s="7" t="str">
        <f t="shared" si="1"/>
        <v>300- ServiceNow:320- Engineering</v>
      </c>
      <c r="R103" s="7" t="str">
        <f t="array" ref="R103">IF($N103="Yes","Cost of Goods Sold:COGS- Travel Expenses:",IF($N103="No",XLOOKUP($Q103,Key!$I:$I,Key!$J:$J),"Review Billable Status"))</f>
        <v>Cost of Goods Sold:COGS- Travel Expenses:</v>
      </c>
      <c r="S103" s="7" t="str">
        <f t="array" ref="S103">IF($N103="Yes","Cost of Goods Sold:COGS- Personnel Expense:",IF($N103="No",XLOOKUP($Q103,Key!$I:$I,Key!$K:$K),"Review Billable Status"))</f>
        <v>Cost of Goods Sold:COGS- Personnel Expense:</v>
      </c>
      <c r="T103" s="5"/>
      <c r="U103" s="5"/>
      <c r="V103" s="5"/>
      <c r="W103" s="8"/>
      <c r="X103" s="8"/>
      <c r="Y103" s="8"/>
      <c r="Z103" s="8"/>
    </row>
    <row r="104" ht="12.75" customHeight="1">
      <c r="A104" s="4">
        <v>201.0</v>
      </c>
      <c r="B104" s="5" t="s">
        <v>287</v>
      </c>
      <c r="C104" s="5" t="s">
        <v>429</v>
      </c>
      <c r="D104" s="5" t="s">
        <v>430</v>
      </c>
      <c r="E104" s="5" t="s">
        <v>22</v>
      </c>
      <c r="F104" s="6">
        <v>45877.0</v>
      </c>
      <c r="G104" s="5" t="s">
        <v>23</v>
      </c>
      <c r="H104" s="6">
        <v>45877.0</v>
      </c>
      <c r="I104" s="5" t="s">
        <v>34</v>
      </c>
      <c r="J104" s="5" t="s">
        <v>35</v>
      </c>
      <c r="K104" s="5" t="s">
        <v>36</v>
      </c>
      <c r="L104" s="5" t="s">
        <v>153</v>
      </c>
      <c r="M104" s="7" t="s">
        <v>38</v>
      </c>
      <c r="N104" s="5" t="s">
        <v>39</v>
      </c>
      <c r="O104" s="5" t="s">
        <v>85</v>
      </c>
      <c r="P104" s="5" t="s">
        <v>431</v>
      </c>
      <c r="Q104" s="7" t="str">
        <f t="shared" si="1"/>
        <v>300- ServiceNow:320- Engineering</v>
      </c>
      <c r="R104" s="7" t="str">
        <f t="array" ref="R104">IF($N104="Yes","Cost of Goods Sold:COGS- Travel Expenses:",IF($N104="No",XLOOKUP($Q104,Key!$I:$I,Key!$J:$J),"Review Billable Status"))</f>
        <v>Cost of Goods Sold:COGS- Travel Expenses:</v>
      </c>
      <c r="S104" s="7" t="str">
        <f t="array" ref="S104">IF($N104="Yes","Cost of Goods Sold:COGS- Personnel Expense:",IF($N104="No",XLOOKUP($Q104,Key!$I:$I,Key!$K:$K),"Review Billable Status"))</f>
        <v>Cost of Goods Sold:COGS- Personnel Expense:</v>
      </c>
      <c r="T104" s="5"/>
      <c r="U104" s="5"/>
      <c r="V104" s="5"/>
      <c r="W104" s="8"/>
      <c r="X104" s="8"/>
      <c r="Y104" s="8"/>
      <c r="Z104" s="8"/>
    </row>
    <row r="105" ht="12.75" customHeight="1">
      <c r="A105" s="4">
        <v>202.0</v>
      </c>
      <c r="B105" s="5" t="s">
        <v>280</v>
      </c>
      <c r="C105" s="5" t="s">
        <v>432</v>
      </c>
      <c r="D105" s="5" t="s">
        <v>433</v>
      </c>
      <c r="E105" s="5" t="s">
        <v>22</v>
      </c>
      <c r="F105" s="6">
        <v>45887.0</v>
      </c>
      <c r="G105" s="5" t="s">
        <v>23</v>
      </c>
      <c r="H105" s="6">
        <v>45887.0</v>
      </c>
      <c r="I105" s="5" t="s">
        <v>64</v>
      </c>
      <c r="J105" s="5" t="s">
        <v>35</v>
      </c>
      <c r="K105" s="5" t="s">
        <v>25</v>
      </c>
      <c r="L105" s="5" t="s">
        <v>334</v>
      </c>
      <c r="M105" s="7" t="s">
        <v>75</v>
      </c>
      <c r="N105" s="5" t="s">
        <v>39</v>
      </c>
      <c r="O105" s="5" t="s">
        <v>85</v>
      </c>
      <c r="P105" s="5" t="s">
        <v>30</v>
      </c>
      <c r="Q105" s="7" t="str">
        <f t="shared" si="1"/>
        <v>200- Datadog:220- Engineering</v>
      </c>
      <c r="R105" s="7" t="str">
        <f t="array" ref="R105">IF($N105="Yes","Cost of Goods Sold:COGS- Travel Expenses:",IF($N105="No",XLOOKUP($Q105,Key!$I:$I,Key!$J:$J),"Review Billable Status"))</f>
        <v>Cost of Goods Sold:COGS- Travel Expenses:</v>
      </c>
      <c r="S105" s="7" t="str">
        <f t="array" ref="S105">IF($N105="Yes","Cost of Goods Sold:COGS- Personnel Expense:",IF($N105="No",XLOOKUP($Q105,Key!$I:$I,Key!$K:$K),"Review Billable Status"))</f>
        <v>Cost of Goods Sold:COGS- Personnel Expense:</v>
      </c>
      <c r="T105" s="5"/>
      <c r="U105" s="5"/>
      <c r="V105" s="5"/>
      <c r="W105" s="8"/>
      <c r="X105" s="8"/>
      <c r="Y105" s="8"/>
      <c r="Z105" s="8"/>
    </row>
    <row r="106" ht="12.75" customHeight="1">
      <c r="A106" s="4">
        <v>204.0</v>
      </c>
      <c r="B106" s="5" t="s">
        <v>434</v>
      </c>
      <c r="C106" s="5" t="s">
        <v>435</v>
      </c>
      <c r="D106" s="5" t="s">
        <v>436</v>
      </c>
      <c r="E106" s="5" t="s">
        <v>22</v>
      </c>
      <c r="F106" s="6">
        <v>45890.0</v>
      </c>
      <c r="G106" s="5" t="s">
        <v>23</v>
      </c>
      <c r="H106" s="6">
        <v>45890.0</v>
      </c>
      <c r="I106" s="5" t="s">
        <v>34</v>
      </c>
      <c r="J106" s="5" t="s">
        <v>130</v>
      </c>
      <c r="K106" s="5" t="s">
        <v>25</v>
      </c>
      <c r="L106" s="5" t="s">
        <v>279</v>
      </c>
      <c r="M106" s="7" t="s">
        <v>132</v>
      </c>
      <c r="N106" s="5" t="s">
        <v>39</v>
      </c>
      <c r="O106" s="5" t="s">
        <v>85</v>
      </c>
      <c r="P106" s="5" t="s">
        <v>30</v>
      </c>
      <c r="Q106" s="7" t="str">
        <f t="shared" si="1"/>
        <v>300- ServiceNow:310- Delivery</v>
      </c>
      <c r="R106" s="7" t="str">
        <f t="array" ref="R106">IF($N106="Yes","Cost of Goods Sold:COGS- Travel Expenses:",IF($N106="No",XLOOKUP($Q106,Key!$I:$I,Key!$J:$J),"Review Billable Status"))</f>
        <v>Cost of Goods Sold:COGS- Travel Expenses:</v>
      </c>
      <c r="S106" s="7" t="str">
        <f t="array" ref="S106">IF($N106="Yes","Cost of Goods Sold:COGS- Personnel Expense:",IF($N106="No",XLOOKUP($Q106,Key!$I:$I,Key!$K:$K),"Review Billable Status"))</f>
        <v>Cost of Goods Sold:COGS- Personnel Expense:</v>
      </c>
      <c r="T106" s="5"/>
      <c r="U106" s="5"/>
      <c r="V106" s="5"/>
      <c r="W106" s="8"/>
      <c r="X106" s="8"/>
      <c r="Y106" s="8"/>
      <c r="Z106" s="8"/>
    </row>
    <row r="107" ht="12.75" customHeight="1">
      <c r="A107" s="4">
        <v>205.0</v>
      </c>
      <c r="B107" s="5" t="s">
        <v>437</v>
      </c>
      <c r="C107" s="5" t="s">
        <v>438</v>
      </c>
      <c r="D107" s="5" t="s">
        <v>439</v>
      </c>
      <c r="E107" s="5" t="s">
        <v>112</v>
      </c>
      <c r="F107" s="6">
        <v>45902.0</v>
      </c>
      <c r="G107" s="5" t="s">
        <v>23</v>
      </c>
      <c r="H107" s="6">
        <v>45902.0</v>
      </c>
      <c r="I107" s="5" t="s">
        <v>34</v>
      </c>
      <c r="J107" s="5" t="s">
        <v>35</v>
      </c>
      <c r="K107" s="5" t="s">
        <v>36</v>
      </c>
      <c r="L107" s="5" t="s">
        <v>179</v>
      </c>
      <c r="M107" s="7" t="s">
        <v>38</v>
      </c>
      <c r="N107" s="5" t="s">
        <v>28</v>
      </c>
      <c r="O107" s="5" t="s">
        <v>59</v>
      </c>
      <c r="P107" s="5" t="s">
        <v>114</v>
      </c>
      <c r="Q107" s="7" t="str">
        <f t="shared" si="1"/>
        <v>300- ServiceNow:320- Engineering</v>
      </c>
      <c r="R107" s="7" t="str">
        <f t="array" ref="R107">IF($N107="Yes","Cost of Goods Sold:COGS- Travel Expenses:",IF($N107="No",XLOOKUP($Q107,Key!$I:$I,Key!$J:$J),"Review Billable Status"))</f>
        <v>General &amp; Administrative:G&amp;A- Travel Expenses:</v>
      </c>
      <c r="S107" s="7" t="str">
        <f t="array" ref="S107">IF($N107="Yes","Cost of Goods Sold:COGS- Personnel Expense:",IF($N107="No",XLOOKUP($Q107,Key!$I:$I,Key!$K:$K),"Review Billable Status"))</f>
        <v>General &amp; Administrative:G&amp;A- Personnel Expenses:</v>
      </c>
      <c r="T107" s="5"/>
      <c r="U107" s="5"/>
      <c r="V107" s="5"/>
      <c r="W107" s="8"/>
      <c r="X107" s="8"/>
      <c r="Y107" s="8"/>
      <c r="Z107" s="8"/>
    </row>
    <row r="108" ht="12.75" customHeight="1">
      <c r="A108" s="4">
        <v>207.0</v>
      </c>
      <c r="B108" s="5" t="s">
        <v>159</v>
      </c>
      <c r="C108" s="5" t="s">
        <v>440</v>
      </c>
      <c r="D108" s="5" t="s">
        <v>441</v>
      </c>
      <c r="E108" s="5" t="s">
        <v>22</v>
      </c>
      <c r="F108" s="6">
        <v>45902.0</v>
      </c>
      <c r="G108" s="5" t="s">
        <v>23</v>
      </c>
      <c r="H108" s="6">
        <v>45902.0</v>
      </c>
      <c r="I108" s="5" t="s">
        <v>34</v>
      </c>
      <c r="J108" s="5" t="s">
        <v>35</v>
      </c>
      <c r="K108" s="5" t="s">
        <v>25</v>
      </c>
      <c r="L108" s="5" t="s">
        <v>442</v>
      </c>
      <c r="M108" s="7" t="s">
        <v>38</v>
      </c>
      <c r="N108" s="5" t="s">
        <v>39</v>
      </c>
      <c r="O108" s="5" t="s">
        <v>239</v>
      </c>
      <c r="P108" s="5" t="s">
        <v>30</v>
      </c>
      <c r="Q108" s="7" t="str">
        <f t="shared" si="1"/>
        <v>300- ServiceNow:320- Engineering</v>
      </c>
      <c r="R108" s="7" t="str">
        <f t="array" ref="R108">IF($N108="Yes","Cost of Goods Sold:COGS- Travel Expenses:",IF($N108="No",XLOOKUP($Q108,Key!$I:$I,Key!$J:$J),"Review Billable Status"))</f>
        <v>Cost of Goods Sold:COGS- Travel Expenses:</v>
      </c>
      <c r="S108" s="7" t="str">
        <f t="array" ref="S108">IF($N108="Yes","Cost of Goods Sold:COGS- Personnel Expense:",IF($N108="No",XLOOKUP($Q108,Key!$I:$I,Key!$K:$K),"Review Billable Status"))</f>
        <v>Cost of Goods Sold:COGS- Personnel Expense:</v>
      </c>
      <c r="T108" s="5"/>
      <c r="U108" s="5"/>
      <c r="V108" s="5"/>
      <c r="W108" s="8"/>
      <c r="X108" s="8"/>
      <c r="Y108" s="8"/>
      <c r="Z108" s="8"/>
    </row>
    <row r="109" ht="12.75" customHeight="1">
      <c r="A109" s="4">
        <v>208.0</v>
      </c>
      <c r="B109" s="5" t="s">
        <v>443</v>
      </c>
      <c r="C109" s="5" t="s">
        <v>444</v>
      </c>
      <c r="D109" s="5" t="s">
        <v>445</v>
      </c>
      <c r="E109" s="5" t="s">
        <v>22</v>
      </c>
      <c r="F109" s="6">
        <v>45902.0</v>
      </c>
      <c r="G109" s="5" t="s">
        <v>23</v>
      </c>
      <c r="H109" s="6">
        <v>45902.0</v>
      </c>
      <c r="I109" s="5" t="s">
        <v>34</v>
      </c>
      <c r="J109" s="5" t="s">
        <v>35</v>
      </c>
      <c r="K109" s="5" t="s">
        <v>25</v>
      </c>
      <c r="L109" s="5" t="s">
        <v>442</v>
      </c>
      <c r="M109" s="7" t="s">
        <v>38</v>
      </c>
      <c r="N109" s="5" t="s">
        <v>39</v>
      </c>
      <c r="O109" s="5" t="s">
        <v>239</v>
      </c>
      <c r="P109" s="5" t="s">
        <v>30</v>
      </c>
      <c r="Q109" s="7" t="str">
        <f t="shared" si="1"/>
        <v>300- ServiceNow:320- Engineering</v>
      </c>
      <c r="R109" s="7" t="str">
        <f t="array" ref="R109">IF($N109="Yes","Cost of Goods Sold:COGS- Travel Expenses:",IF($N109="No",XLOOKUP($Q109,Key!$I:$I,Key!$J:$J),"Review Billable Status"))</f>
        <v>Cost of Goods Sold:COGS- Travel Expenses:</v>
      </c>
      <c r="S109" s="7" t="str">
        <f t="array" ref="S109">IF($N109="Yes","Cost of Goods Sold:COGS- Personnel Expense:",IF($N109="No",XLOOKUP($Q109,Key!$I:$I,Key!$K:$K),"Review Billable Status"))</f>
        <v>Cost of Goods Sold:COGS- Personnel Expense:</v>
      </c>
      <c r="T109" s="5"/>
      <c r="U109" s="5"/>
      <c r="V109" s="5"/>
      <c r="W109" s="8"/>
      <c r="X109" s="8"/>
      <c r="Y109" s="8"/>
      <c r="Z109" s="8"/>
    </row>
    <row r="110" ht="12.75" customHeight="1">
      <c r="A110" s="4">
        <v>209.0</v>
      </c>
      <c r="B110" s="5" t="s">
        <v>446</v>
      </c>
      <c r="C110" s="5" t="s">
        <v>447</v>
      </c>
      <c r="D110" s="5" t="s">
        <v>448</v>
      </c>
      <c r="E110" s="5" t="s">
        <v>112</v>
      </c>
      <c r="F110" s="6">
        <v>45908.0</v>
      </c>
      <c r="G110" s="5" t="s">
        <v>23</v>
      </c>
      <c r="H110" s="6">
        <v>45908.0</v>
      </c>
      <c r="I110" s="5" t="s">
        <v>34</v>
      </c>
      <c r="J110" s="5" t="s">
        <v>35</v>
      </c>
      <c r="K110" s="5" t="s">
        <v>25</v>
      </c>
      <c r="L110" s="5" t="s">
        <v>442</v>
      </c>
      <c r="M110" s="7" t="s">
        <v>38</v>
      </c>
      <c r="N110" s="5" t="s">
        <v>39</v>
      </c>
      <c r="O110" s="5" t="s">
        <v>239</v>
      </c>
      <c r="P110" s="5" t="s">
        <v>30</v>
      </c>
      <c r="Q110" s="7" t="str">
        <f t="shared" si="1"/>
        <v>300- ServiceNow:320- Engineering</v>
      </c>
      <c r="R110" s="7" t="str">
        <f t="array" ref="R110">IF($N110="Yes","Cost of Goods Sold:COGS- Travel Expenses:",IF($N110="No",XLOOKUP($Q110,Key!$I:$I,Key!$J:$J),"Review Billable Status"))</f>
        <v>Cost of Goods Sold:COGS- Travel Expenses:</v>
      </c>
      <c r="S110" s="7" t="str">
        <f t="array" ref="S110">IF($N110="Yes","Cost of Goods Sold:COGS- Personnel Expense:",IF($N110="No",XLOOKUP($Q110,Key!$I:$I,Key!$K:$K),"Review Billable Status"))</f>
        <v>Cost of Goods Sold:COGS- Personnel Expense:</v>
      </c>
      <c r="T110" s="5"/>
      <c r="U110" s="5"/>
      <c r="V110" s="5"/>
      <c r="W110" s="8"/>
      <c r="X110" s="8"/>
      <c r="Y110" s="8"/>
      <c r="Z110" s="8"/>
    </row>
    <row r="111" ht="12.75" customHeight="1">
      <c r="A111" s="4">
        <v>210.0</v>
      </c>
      <c r="B111" s="5" t="s">
        <v>449</v>
      </c>
      <c r="C111" s="5" t="s">
        <v>450</v>
      </c>
      <c r="D111" s="5" t="s">
        <v>451</v>
      </c>
      <c r="E111" s="5" t="s">
        <v>22</v>
      </c>
      <c r="F111" s="6">
        <v>45915.0</v>
      </c>
      <c r="G111" s="5" t="s">
        <v>23</v>
      </c>
      <c r="H111" s="6">
        <v>45915.0</v>
      </c>
      <c r="I111" s="5" t="s">
        <v>64</v>
      </c>
      <c r="J111" s="5" t="s">
        <v>35</v>
      </c>
      <c r="K111" s="5" t="s">
        <v>25</v>
      </c>
      <c r="L111" s="5" t="s">
        <v>334</v>
      </c>
      <c r="M111" s="7" t="s">
        <v>75</v>
      </c>
      <c r="N111" s="5" t="s">
        <v>39</v>
      </c>
      <c r="O111" s="5" t="s">
        <v>85</v>
      </c>
      <c r="P111" s="5" t="s">
        <v>30</v>
      </c>
      <c r="Q111" s="7" t="str">
        <f t="shared" si="1"/>
        <v>200- Datadog:220- Engineering</v>
      </c>
      <c r="R111" s="7" t="str">
        <f t="array" ref="R111">IF($N111="Yes","Cost of Goods Sold:COGS- Travel Expenses:",IF($N111="No",XLOOKUP($Q111,Key!$I:$I,Key!$J:$J),"Review Billable Status"))</f>
        <v>Cost of Goods Sold:COGS- Travel Expenses:</v>
      </c>
      <c r="S111" s="7" t="str">
        <f t="array" ref="S111">IF($N111="Yes","Cost of Goods Sold:COGS- Personnel Expense:",IF($N111="No",XLOOKUP($Q111,Key!$I:$I,Key!$K:$K),"Review Billable Status"))</f>
        <v>Cost of Goods Sold:COGS- Personnel Expense:</v>
      </c>
      <c r="T111" s="5"/>
      <c r="U111" s="5"/>
      <c r="V111" s="5"/>
      <c r="W111" s="8"/>
      <c r="X111" s="8"/>
      <c r="Y111" s="8"/>
      <c r="Z111" s="8"/>
    </row>
    <row r="112" ht="12.75" customHeight="1">
      <c r="A112" s="4">
        <v>211.0</v>
      </c>
      <c r="B112" s="5" t="s">
        <v>287</v>
      </c>
      <c r="C112" s="5" t="s">
        <v>452</v>
      </c>
      <c r="D112" s="5" t="s">
        <v>453</v>
      </c>
      <c r="E112" s="5" t="s">
        <v>22</v>
      </c>
      <c r="F112" s="6">
        <v>45902.0</v>
      </c>
      <c r="G112" s="5" t="s">
        <v>23</v>
      </c>
      <c r="H112" s="6">
        <v>45902.0</v>
      </c>
      <c r="I112" s="5" t="s">
        <v>34</v>
      </c>
      <c r="J112" s="5" t="s">
        <v>35</v>
      </c>
      <c r="K112" s="5" t="s">
        <v>36</v>
      </c>
      <c r="L112" s="5" t="s">
        <v>153</v>
      </c>
      <c r="M112" s="7" t="s">
        <v>38</v>
      </c>
      <c r="N112" s="5" t="s">
        <v>39</v>
      </c>
      <c r="O112" s="5" t="s">
        <v>85</v>
      </c>
      <c r="P112" s="5" t="s">
        <v>330</v>
      </c>
      <c r="Q112" s="7" t="str">
        <f t="shared" si="1"/>
        <v>300- ServiceNow:320- Engineering</v>
      </c>
      <c r="R112" s="7" t="str">
        <f t="array" ref="R112">IF($N112="Yes","Cost of Goods Sold:COGS- Travel Expenses:",IF($N112="No",XLOOKUP($Q112,Key!$I:$I,Key!$J:$J),"Review Billable Status"))</f>
        <v>Cost of Goods Sold:COGS- Travel Expenses:</v>
      </c>
      <c r="S112" s="7" t="str">
        <f t="array" ref="S112">IF($N112="Yes","Cost of Goods Sold:COGS- Personnel Expense:",IF($N112="No",XLOOKUP($Q112,Key!$I:$I,Key!$K:$K),"Review Billable Status"))</f>
        <v>Cost of Goods Sold:COGS- Personnel Expense:</v>
      </c>
      <c r="T112" s="5"/>
      <c r="U112" s="5"/>
      <c r="V112" s="5"/>
      <c r="W112" s="8"/>
      <c r="X112" s="8"/>
      <c r="Y112" s="8"/>
      <c r="Z112" s="8"/>
    </row>
    <row r="113" ht="12.75" customHeight="1">
      <c r="A113" s="4">
        <v>212.0</v>
      </c>
      <c r="B113" s="5" t="s">
        <v>454</v>
      </c>
      <c r="C113" s="5" t="s">
        <v>455</v>
      </c>
      <c r="D113" s="5" t="s">
        <v>456</v>
      </c>
      <c r="E113" s="5" t="s">
        <v>22</v>
      </c>
      <c r="F113" s="6">
        <v>45915.0</v>
      </c>
      <c r="G113" s="5" t="s">
        <v>23</v>
      </c>
      <c r="H113" s="6">
        <v>45915.0</v>
      </c>
      <c r="I113" s="5" t="s">
        <v>34</v>
      </c>
      <c r="J113" s="5" t="s">
        <v>35</v>
      </c>
      <c r="K113" s="5" t="s">
        <v>107</v>
      </c>
      <c r="L113" s="5" t="s">
        <v>457</v>
      </c>
      <c r="M113" s="7" t="s">
        <v>38</v>
      </c>
      <c r="N113" s="5" t="s">
        <v>39</v>
      </c>
      <c r="O113" s="5" t="s">
        <v>52</v>
      </c>
      <c r="P113" s="5" t="s">
        <v>458</v>
      </c>
      <c r="Q113" s="7" t="str">
        <f t="shared" si="1"/>
        <v>300- ServiceNow:320- Engineering</v>
      </c>
      <c r="R113" s="7" t="str">
        <f t="array" ref="R113">IF($N113="Yes","Cost of Goods Sold:COGS- Travel Expenses:",IF($N113="No",XLOOKUP($Q113,Key!$I:$I,Key!$J:$J),"Review Billable Status"))</f>
        <v>Cost of Goods Sold:COGS- Travel Expenses:</v>
      </c>
      <c r="S113" s="7" t="str">
        <f t="array" ref="S113">IF($N113="Yes","Cost of Goods Sold:COGS- Personnel Expense:",IF($N113="No",XLOOKUP($Q113,Key!$I:$I,Key!$K:$K),"Review Billable Status"))</f>
        <v>Cost of Goods Sold:COGS- Personnel Expense:</v>
      </c>
      <c r="T113" s="5"/>
      <c r="U113" s="5"/>
      <c r="V113" s="5"/>
      <c r="W113" s="8"/>
      <c r="X113" s="8"/>
      <c r="Y113" s="8"/>
      <c r="Z113" s="8"/>
    </row>
    <row r="114" ht="12.75" customHeight="1">
      <c r="A114" s="4">
        <v>213.0</v>
      </c>
      <c r="B114" s="5" t="s">
        <v>443</v>
      </c>
      <c r="C114" s="5" t="s">
        <v>459</v>
      </c>
      <c r="D114" s="5" t="s">
        <v>460</v>
      </c>
      <c r="E114" s="5" t="s">
        <v>22</v>
      </c>
      <c r="F114" s="6">
        <v>45908.0</v>
      </c>
      <c r="G114" s="5" t="s">
        <v>23</v>
      </c>
      <c r="H114" s="6">
        <v>45908.0</v>
      </c>
      <c r="I114" s="5" t="s">
        <v>34</v>
      </c>
      <c r="J114" s="5" t="s">
        <v>130</v>
      </c>
      <c r="K114" s="5" t="s">
        <v>25</v>
      </c>
      <c r="L114" s="5" t="s">
        <v>131</v>
      </c>
      <c r="M114" s="7" t="s">
        <v>132</v>
      </c>
      <c r="N114" s="5" t="s">
        <v>39</v>
      </c>
      <c r="O114" s="5" t="s">
        <v>52</v>
      </c>
      <c r="P114" s="5" t="s">
        <v>30</v>
      </c>
      <c r="Q114" s="7" t="str">
        <f t="shared" si="1"/>
        <v>300- ServiceNow:310- Delivery</v>
      </c>
      <c r="R114" s="7" t="str">
        <f t="array" ref="R114">IF($N114="Yes","Cost of Goods Sold:COGS- Travel Expenses:",IF($N114="No",XLOOKUP($Q114,Key!$I:$I,Key!$J:$J),"Review Billable Status"))</f>
        <v>Cost of Goods Sold:COGS- Travel Expenses:</v>
      </c>
      <c r="S114" s="7" t="str">
        <f t="array" ref="S114">IF($N114="Yes","Cost of Goods Sold:COGS- Personnel Expense:",IF($N114="No",XLOOKUP($Q114,Key!$I:$I,Key!$K:$K),"Review Billable Status"))</f>
        <v>Cost of Goods Sold:COGS- Personnel Expense:</v>
      </c>
      <c r="T114" s="5"/>
      <c r="U114" s="5"/>
      <c r="V114" s="5"/>
      <c r="W114" s="8"/>
      <c r="X114" s="8"/>
      <c r="Y114" s="8"/>
      <c r="Z114" s="8"/>
    </row>
    <row r="115" ht="12.75" customHeight="1">
      <c r="A115" s="4">
        <v>214.0</v>
      </c>
      <c r="B115" s="5" t="s">
        <v>461</v>
      </c>
      <c r="C115" s="5" t="s">
        <v>462</v>
      </c>
      <c r="D115" s="5" t="s">
        <v>463</v>
      </c>
      <c r="E115" s="5" t="s">
        <v>22</v>
      </c>
      <c r="F115" s="6">
        <v>45915.0</v>
      </c>
      <c r="G115" s="5" t="s">
        <v>23</v>
      </c>
      <c r="H115" s="6">
        <v>45915.0</v>
      </c>
      <c r="I115" s="5" t="s">
        <v>34</v>
      </c>
      <c r="J115" s="5" t="s">
        <v>35</v>
      </c>
      <c r="K115" s="5" t="s">
        <v>36</v>
      </c>
      <c r="L115" s="5" t="s">
        <v>153</v>
      </c>
      <c r="M115" s="7" t="s">
        <v>38</v>
      </c>
      <c r="N115" s="5" t="s">
        <v>39</v>
      </c>
      <c r="O115" s="5" t="s">
        <v>239</v>
      </c>
      <c r="P115" s="5" t="s">
        <v>149</v>
      </c>
      <c r="Q115" s="7" t="str">
        <f t="shared" si="1"/>
        <v>300- ServiceNow:320- Engineering</v>
      </c>
      <c r="R115" s="7" t="str">
        <f t="array" ref="R115">IF($N115="Yes","Cost of Goods Sold:COGS- Travel Expenses:",IF($N115="No",XLOOKUP($Q115,Key!$I:$I,Key!$J:$J),"Review Billable Status"))</f>
        <v>Cost of Goods Sold:COGS- Travel Expenses:</v>
      </c>
      <c r="S115" s="7" t="str">
        <f t="array" ref="S115">IF($N115="Yes","Cost of Goods Sold:COGS- Personnel Expense:",IF($N115="No",XLOOKUP($Q115,Key!$I:$I,Key!$K:$K),"Review Billable Status"))</f>
        <v>Cost of Goods Sold:COGS- Personnel Expense:</v>
      </c>
      <c r="T115" s="5"/>
      <c r="U115" s="5"/>
      <c r="V115" s="5"/>
      <c r="W115" s="8"/>
      <c r="X115" s="8"/>
      <c r="Y115" s="8"/>
      <c r="Z115" s="8"/>
    </row>
    <row r="116" ht="12.75" customHeight="1">
      <c r="A116" s="4">
        <v>215.0</v>
      </c>
      <c r="B116" s="5" t="s">
        <v>464</v>
      </c>
      <c r="C116" s="5" t="s">
        <v>465</v>
      </c>
      <c r="D116" s="5" t="s">
        <v>466</v>
      </c>
      <c r="E116" s="5" t="s">
        <v>22</v>
      </c>
      <c r="F116" s="6">
        <v>45917.0</v>
      </c>
      <c r="G116" s="5" t="s">
        <v>23</v>
      </c>
      <c r="H116" s="6">
        <v>45917.0</v>
      </c>
      <c r="I116" s="5" t="s">
        <v>34</v>
      </c>
      <c r="J116" s="5" t="s">
        <v>35</v>
      </c>
      <c r="K116" s="5" t="s">
        <v>36</v>
      </c>
      <c r="L116" s="5" t="s">
        <v>153</v>
      </c>
      <c r="M116" s="7" t="s">
        <v>38</v>
      </c>
      <c r="N116" s="5" t="s">
        <v>39</v>
      </c>
      <c r="O116" s="5" t="s">
        <v>85</v>
      </c>
      <c r="P116" s="5" t="s">
        <v>41</v>
      </c>
      <c r="Q116" s="7" t="str">
        <f t="shared" si="1"/>
        <v>300- ServiceNow:320- Engineering</v>
      </c>
      <c r="R116" s="7" t="str">
        <f t="array" ref="R116">IF($N116="Yes","Cost of Goods Sold:COGS- Travel Expenses:",IF($N116="No",XLOOKUP($Q116,Key!$I:$I,Key!$J:$J),"Review Billable Status"))</f>
        <v>Cost of Goods Sold:COGS- Travel Expenses:</v>
      </c>
      <c r="S116" s="7" t="str">
        <f t="array" ref="S116">IF($N116="Yes","Cost of Goods Sold:COGS- Personnel Expense:",IF($N116="No",XLOOKUP($Q116,Key!$I:$I,Key!$K:$K),"Review Billable Status"))</f>
        <v>Cost of Goods Sold:COGS- Personnel Expense:</v>
      </c>
      <c r="T116" s="5"/>
      <c r="U116" s="5"/>
      <c r="V116" s="5"/>
      <c r="W116" s="8"/>
      <c r="X116" s="8"/>
      <c r="Y116" s="8"/>
      <c r="Z116" s="8"/>
    </row>
    <row r="117" ht="12.75" customHeight="1">
      <c r="A117" s="4">
        <v>216.0</v>
      </c>
      <c r="B117" s="5" t="s">
        <v>467</v>
      </c>
      <c r="C117" s="5" t="s">
        <v>468</v>
      </c>
      <c r="D117" s="5" t="s">
        <v>469</v>
      </c>
      <c r="E117" s="5" t="s">
        <v>22</v>
      </c>
      <c r="F117" s="6">
        <v>45936.0</v>
      </c>
      <c r="G117" s="5" t="s">
        <v>23</v>
      </c>
      <c r="H117" s="6">
        <v>45936.0</v>
      </c>
      <c r="I117" s="5" t="s">
        <v>64</v>
      </c>
      <c r="J117" s="5" t="s">
        <v>45</v>
      </c>
      <c r="K117" s="5" t="s">
        <v>107</v>
      </c>
      <c r="L117" s="5" t="s">
        <v>295</v>
      </c>
      <c r="M117" s="7" t="s">
        <v>66</v>
      </c>
      <c r="N117" s="5" t="s">
        <v>28</v>
      </c>
      <c r="O117" s="5" t="s">
        <v>52</v>
      </c>
      <c r="P117" s="5" t="s">
        <v>470</v>
      </c>
      <c r="Q117" s="7" t="str">
        <f t="shared" si="1"/>
        <v>200- Datadog:230- Sales</v>
      </c>
      <c r="R117" s="7" t="str">
        <f t="array" ref="R117">IF($N117="Yes","Cost of Goods Sold:COGS- Travel Expenses:",IF($N117="No",XLOOKUP($Q117,Key!$I:$I,Key!$J:$J),"Review Billable Status"))</f>
        <v>Sales &amp; Marketing:Sales &amp; Marketing- Travel Expenses:</v>
      </c>
      <c r="S117" s="7" t="str">
        <f t="array" ref="S117">IF($N117="Yes","Cost of Goods Sold:COGS- Personnel Expense:",IF($N117="No",XLOOKUP($Q117,Key!$I:$I,Key!$K:$K),"Review Billable Status"))</f>
        <v>Sales &amp; Marketing:Sales &amp; Marketing- Personnel Expenses:</v>
      </c>
      <c r="T117" s="5"/>
      <c r="U117" s="5"/>
      <c r="V117" s="5"/>
      <c r="W117" s="8"/>
      <c r="X117" s="8"/>
      <c r="Y117" s="8"/>
      <c r="Z117" s="8"/>
    </row>
    <row r="118" ht="12.75" customHeight="1">
      <c r="A118" s="4">
        <v>217.0</v>
      </c>
      <c r="B118" s="5" t="s">
        <v>314</v>
      </c>
      <c r="C118" s="5" t="s">
        <v>471</v>
      </c>
      <c r="D118" s="5" t="s">
        <v>472</v>
      </c>
      <c r="E118" s="5" t="s">
        <v>22</v>
      </c>
      <c r="F118" s="6">
        <v>45929.0</v>
      </c>
      <c r="G118" s="5" t="s">
        <v>23</v>
      </c>
      <c r="H118" s="6">
        <v>45929.0</v>
      </c>
      <c r="I118" s="5" t="s">
        <v>64</v>
      </c>
      <c r="J118" s="5" t="s">
        <v>363</v>
      </c>
      <c r="K118" s="5" t="s">
        <v>25</v>
      </c>
      <c r="L118" s="5" t="s">
        <v>334</v>
      </c>
      <c r="M118" s="7" t="s">
        <v>75</v>
      </c>
      <c r="N118" s="5" t="s">
        <v>39</v>
      </c>
      <c r="O118" s="5" t="s">
        <v>239</v>
      </c>
      <c r="P118" s="5" t="s">
        <v>60</v>
      </c>
      <c r="Q118" s="7" t="str">
        <f t="shared" si="1"/>
        <v>200- Datadog:220- Engineering</v>
      </c>
      <c r="R118" s="7" t="str">
        <f t="array" ref="R118">IF($N118="Yes","Cost of Goods Sold:COGS- Travel Expenses:",IF($N118="No",XLOOKUP($Q118,Key!$I:$I,Key!$J:$J),"Review Billable Status"))</f>
        <v>Cost of Goods Sold:COGS- Travel Expenses:</v>
      </c>
      <c r="S118" s="7" t="str">
        <f t="array" ref="S118">IF($N118="Yes","Cost of Goods Sold:COGS- Personnel Expense:",IF($N118="No",XLOOKUP($Q118,Key!$I:$I,Key!$K:$K),"Review Billable Status"))</f>
        <v>Cost of Goods Sold:COGS- Personnel Expense:</v>
      </c>
      <c r="T118" s="5"/>
      <c r="U118" s="5"/>
      <c r="V118" s="5"/>
      <c r="W118" s="8"/>
      <c r="X118" s="8"/>
      <c r="Y118" s="8"/>
      <c r="Z118" s="8"/>
    </row>
    <row r="119" ht="12.75" customHeight="1">
      <c r="A119" s="4">
        <v>218.0</v>
      </c>
      <c r="B119" s="5" t="s">
        <v>473</v>
      </c>
      <c r="C119" s="5" t="s">
        <v>474</v>
      </c>
      <c r="D119" s="5" t="s">
        <v>475</v>
      </c>
      <c r="E119" s="5" t="s">
        <v>112</v>
      </c>
      <c r="F119" s="6">
        <v>45915.0</v>
      </c>
      <c r="G119" s="5" t="s">
        <v>23</v>
      </c>
      <c r="H119" s="6">
        <v>45915.0</v>
      </c>
      <c r="I119" s="5" t="s">
        <v>34</v>
      </c>
      <c r="J119" s="5" t="s">
        <v>130</v>
      </c>
      <c r="K119" s="5" t="s">
        <v>25</v>
      </c>
      <c r="L119" s="5" t="s">
        <v>131</v>
      </c>
      <c r="M119" s="7" t="s">
        <v>132</v>
      </c>
      <c r="N119" s="5" t="s">
        <v>39</v>
      </c>
      <c r="O119" s="5" t="s">
        <v>52</v>
      </c>
      <c r="P119" s="5" t="s">
        <v>30</v>
      </c>
      <c r="Q119" s="7" t="str">
        <f t="shared" si="1"/>
        <v>300- ServiceNow:310- Delivery</v>
      </c>
      <c r="R119" s="7" t="str">
        <f t="array" ref="R119">IF($N119="Yes","Cost of Goods Sold:COGS- Travel Expenses:",IF($N119="No",XLOOKUP($Q119,Key!$I:$I,Key!$J:$J),"Review Billable Status"))</f>
        <v>Cost of Goods Sold:COGS- Travel Expenses:</v>
      </c>
      <c r="S119" s="7" t="str">
        <f t="array" ref="S119">IF($N119="Yes","Cost of Goods Sold:COGS- Personnel Expense:",IF($N119="No",XLOOKUP($Q119,Key!$I:$I,Key!$K:$K),"Review Billable Status"))</f>
        <v>Cost of Goods Sold:COGS- Personnel Expense:</v>
      </c>
      <c r="T119" s="5"/>
      <c r="U119" s="5"/>
      <c r="V119" s="5"/>
      <c r="W119" s="8"/>
      <c r="X119" s="8"/>
      <c r="Y119" s="8"/>
      <c r="Z119" s="8"/>
    </row>
    <row r="120" ht="12.75" customHeight="1">
      <c r="A120" s="4">
        <v>219.0</v>
      </c>
      <c r="B120" s="5" t="s">
        <v>342</v>
      </c>
      <c r="C120" s="5" t="s">
        <v>476</v>
      </c>
      <c r="D120" s="5" t="s">
        <v>477</v>
      </c>
      <c r="E120" s="5" t="s">
        <v>22</v>
      </c>
      <c r="F120" s="6">
        <v>45922.0</v>
      </c>
      <c r="G120" s="5" t="s">
        <v>23</v>
      </c>
      <c r="H120" s="6">
        <v>45922.0</v>
      </c>
      <c r="I120" s="5" t="s">
        <v>64</v>
      </c>
      <c r="J120" s="5" t="s">
        <v>35</v>
      </c>
      <c r="K120" s="5" t="s">
        <v>25</v>
      </c>
      <c r="L120" s="5" t="s">
        <v>334</v>
      </c>
      <c r="M120" s="7" t="s">
        <v>75</v>
      </c>
      <c r="N120" s="5" t="s">
        <v>39</v>
      </c>
      <c r="O120" s="5" t="s">
        <v>85</v>
      </c>
      <c r="P120" s="5" t="s">
        <v>30</v>
      </c>
      <c r="Q120" s="7" t="str">
        <f t="shared" si="1"/>
        <v>200- Datadog:220- Engineering</v>
      </c>
      <c r="R120" s="7" t="str">
        <f t="array" ref="R120">IF($N120="Yes","Cost of Goods Sold:COGS- Travel Expenses:",IF($N120="No",XLOOKUP($Q120,Key!$I:$I,Key!$J:$J),"Review Billable Status"))</f>
        <v>Cost of Goods Sold:COGS- Travel Expenses:</v>
      </c>
      <c r="S120" s="7" t="str">
        <f t="array" ref="S120">IF($N120="Yes","Cost of Goods Sold:COGS- Personnel Expense:",IF($N120="No",XLOOKUP($Q120,Key!$I:$I,Key!$K:$K),"Review Billable Status"))</f>
        <v>Cost of Goods Sold:COGS- Personnel Expense:</v>
      </c>
      <c r="T120" s="5"/>
      <c r="U120" s="5"/>
      <c r="V120" s="5"/>
      <c r="W120" s="8"/>
      <c r="X120" s="8"/>
      <c r="Y120" s="8"/>
      <c r="Z120" s="8"/>
    </row>
    <row r="121" ht="12.75" customHeight="1">
      <c r="A121" s="4">
        <v>220.0</v>
      </c>
      <c r="B121" s="5" t="s">
        <v>478</v>
      </c>
      <c r="C121" s="5" t="s">
        <v>479</v>
      </c>
      <c r="D121" s="5" t="s">
        <v>480</v>
      </c>
      <c r="E121" s="5" t="s">
        <v>22</v>
      </c>
      <c r="F121" s="6">
        <v>45915.0</v>
      </c>
      <c r="G121" s="5" t="s">
        <v>23</v>
      </c>
      <c r="H121" s="6">
        <v>45915.0</v>
      </c>
      <c r="I121" s="5" t="s">
        <v>34</v>
      </c>
      <c r="J121" s="5" t="s">
        <v>35</v>
      </c>
      <c r="K121" s="5" t="s">
        <v>36</v>
      </c>
      <c r="L121" s="5" t="s">
        <v>153</v>
      </c>
      <c r="M121" s="7" t="s">
        <v>38</v>
      </c>
      <c r="N121" s="5" t="s">
        <v>39</v>
      </c>
      <c r="O121" s="5" t="s">
        <v>85</v>
      </c>
      <c r="P121" s="5" t="s">
        <v>324</v>
      </c>
      <c r="Q121" s="7" t="str">
        <f t="shared" si="1"/>
        <v>300- ServiceNow:320- Engineering</v>
      </c>
      <c r="R121" s="7" t="str">
        <f t="array" ref="R121">IF($N121="Yes","Cost of Goods Sold:COGS- Travel Expenses:",IF($N121="No",XLOOKUP($Q121,Key!$I:$I,Key!$J:$J),"Review Billable Status"))</f>
        <v>Cost of Goods Sold:COGS- Travel Expenses:</v>
      </c>
      <c r="S121" s="7" t="str">
        <f t="array" ref="S121">IF($N121="Yes","Cost of Goods Sold:COGS- Personnel Expense:",IF($N121="No",XLOOKUP($Q121,Key!$I:$I,Key!$K:$K),"Review Billable Status"))</f>
        <v>Cost of Goods Sold:COGS- Personnel Expense:</v>
      </c>
      <c r="T121" s="5"/>
      <c r="U121" s="5"/>
      <c r="V121" s="5"/>
      <c r="W121" s="8"/>
      <c r="X121" s="8"/>
      <c r="Y121" s="8"/>
      <c r="Z121" s="8"/>
    </row>
    <row r="122" ht="12.75" customHeight="1">
      <c r="A122" s="4">
        <v>221.0</v>
      </c>
      <c r="B122" s="5" t="s">
        <v>409</v>
      </c>
      <c r="C122" s="5" t="s">
        <v>481</v>
      </c>
      <c r="D122" s="5" t="s">
        <v>482</v>
      </c>
      <c r="E122" s="5" t="s">
        <v>22</v>
      </c>
      <c r="F122" s="6">
        <v>45936.0</v>
      </c>
      <c r="G122" s="5" t="s">
        <v>23</v>
      </c>
      <c r="H122" s="6">
        <v>45936.0</v>
      </c>
      <c r="I122" s="5" t="s">
        <v>34</v>
      </c>
      <c r="J122" s="5" t="s">
        <v>35</v>
      </c>
      <c r="K122" s="5" t="s">
        <v>36</v>
      </c>
      <c r="L122" s="5" t="s">
        <v>323</v>
      </c>
      <c r="M122" s="7" t="s">
        <v>38</v>
      </c>
      <c r="N122" s="5" t="s">
        <v>39</v>
      </c>
      <c r="O122" s="5" t="s">
        <v>52</v>
      </c>
      <c r="P122" s="5" t="s">
        <v>483</v>
      </c>
      <c r="Q122" s="7" t="str">
        <f t="shared" si="1"/>
        <v>300- ServiceNow:320- Engineering</v>
      </c>
      <c r="R122" s="7" t="str">
        <f t="array" ref="R122">IF($N122="Yes","Cost of Goods Sold:COGS- Travel Expenses:",IF($N122="No",XLOOKUP($Q122,Key!$I:$I,Key!$J:$J),"Review Billable Status"))</f>
        <v>Cost of Goods Sold:COGS- Travel Expenses:</v>
      </c>
      <c r="S122" s="7" t="str">
        <f t="array" ref="S122">IF($N122="Yes","Cost of Goods Sold:COGS- Personnel Expense:",IF($N122="No",XLOOKUP($Q122,Key!$I:$I,Key!$K:$K),"Review Billable Status"))</f>
        <v>Cost of Goods Sold:COGS- Personnel Expense:</v>
      </c>
      <c r="T122" s="5"/>
      <c r="U122" s="5"/>
      <c r="V122" s="5"/>
      <c r="W122" s="8"/>
      <c r="X122" s="8"/>
      <c r="Y122" s="8"/>
      <c r="Z122" s="8"/>
    </row>
    <row r="123" ht="12.75" customHeight="1">
      <c r="A123" s="4">
        <v>222.0</v>
      </c>
      <c r="B123" s="5" t="s">
        <v>305</v>
      </c>
      <c r="C123" s="5" t="s">
        <v>484</v>
      </c>
      <c r="D123" s="5" t="s">
        <v>485</v>
      </c>
      <c r="E123" s="5" t="s">
        <v>22</v>
      </c>
      <c r="F123" s="6">
        <v>45964.0</v>
      </c>
      <c r="G123" s="5" t="s">
        <v>23</v>
      </c>
      <c r="H123" s="6">
        <v>45964.0</v>
      </c>
      <c r="I123" s="5" t="s">
        <v>34</v>
      </c>
      <c r="J123" s="5" t="s">
        <v>45</v>
      </c>
      <c r="K123" s="5" t="s">
        <v>36</v>
      </c>
      <c r="L123" s="5" t="s">
        <v>165</v>
      </c>
      <c r="M123" s="7" t="s">
        <v>47</v>
      </c>
      <c r="N123" s="5" t="s">
        <v>28</v>
      </c>
      <c r="O123" s="5" t="s">
        <v>59</v>
      </c>
      <c r="P123" s="5" t="s">
        <v>486</v>
      </c>
      <c r="Q123" s="7" t="str">
        <f t="shared" si="1"/>
        <v>300- ServiceNow:330- Sales</v>
      </c>
      <c r="R123" s="7" t="str">
        <f t="array" ref="R123">IF($N123="Yes","Cost of Goods Sold:COGS- Travel Expenses:",IF($N123="No",XLOOKUP($Q123,Key!$I:$I,Key!$J:$J),"Review Billable Status"))</f>
        <v>Sales &amp; Marketing:Sales &amp; Marketing- Travel Expenses:</v>
      </c>
      <c r="S123" s="7" t="str">
        <f t="array" ref="S123">IF($N123="Yes","Cost of Goods Sold:COGS- Personnel Expense:",IF($N123="No",XLOOKUP($Q123,Key!$I:$I,Key!$K:$K),"Review Billable Status"))</f>
        <v>Sales &amp; Marketing:Sales &amp; Marketing- Personnel Expenses:</v>
      </c>
      <c r="T123" s="5"/>
      <c r="U123" s="5"/>
      <c r="V123" s="5"/>
      <c r="W123" s="8"/>
      <c r="X123" s="8"/>
      <c r="Y123" s="8"/>
      <c r="Z123" s="8"/>
    </row>
    <row r="124" ht="12.75" customHeight="1">
      <c r="A124" s="4">
        <v>224.0</v>
      </c>
      <c r="B124" s="5" t="s">
        <v>31</v>
      </c>
      <c r="C124" s="5" t="s">
        <v>487</v>
      </c>
      <c r="D124" s="5" t="s">
        <v>488</v>
      </c>
      <c r="E124" s="5" t="s">
        <v>22</v>
      </c>
      <c r="F124" s="6">
        <v>45936.0</v>
      </c>
      <c r="G124" s="5" t="s">
        <v>23</v>
      </c>
      <c r="H124" s="6">
        <v>45936.0</v>
      </c>
      <c r="I124" s="5" t="s">
        <v>34</v>
      </c>
      <c r="J124" s="5" t="s">
        <v>35</v>
      </c>
      <c r="K124" s="5" t="s">
        <v>36</v>
      </c>
      <c r="L124" s="5" t="s">
        <v>153</v>
      </c>
      <c r="M124" s="7" t="s">
        <v>38</v>
      </c>
      <c r="N124" s="5" t="s">
        <v>39</v>
      </c>
      <c r="O124" s="5" t="s">
        <v>85</v>
      </c>
      <c r="P124" s="5" t="s">
        <v>489</v>
      </c>
      <c r="Q124" s="7" t="str">
        <f t="shared" si="1"/>
        <v>300- ServiceNow:320- Engineering</v>
      </c>
      <c r="R124" s="7" t="str">
        <f t="array" ref="R124">IF($N124="Yes","Cost of Goods Sold:COGS- Travel Expenses:",IF($N124="No",XLOOKUP($Q124,Key!$I:$I,Key!$J:$J),"Review Billable Status"))</f>
        <v>Cost of Goods Sold:COGS- Travel Expenses:</v>
      </c>
      <c r="S124" s="7" t="str">
        <f t="array" ref="S124">IF($N124="Yes","Cost of Goods Sold:COGS- Personnel Expense:",IF($N124="No",XLOOKUP($Q124,Key!$I:$I,Key!$K:$K),"Review Billable Status"))</f>
        <v>Cost of Goods Sold:COGS- Personnel Expense:</v>
      </c>
      <c r="T124" s="5"/>
      <c r="U124" s="5"/>
      <c r="V124" s="5"/>
      <c r="W124" s="8"/>
      <c r="X124" s="8"/>
      <c r="Y124" s="8"/>
      <c r="Z124" s="8"/>
    </row>
    <row r="125" ht="12.75" customHeight="1">
      <c r="A125" s="4">
        <v>225.0</v>
      </c>
      <c r="B125" s="5" t="s">
        <v>490</v>
      </c>
      <c r="C125" s="5" t="s">
        <v>491</v>
      </c>
      <c r="D125" s="5" t="s">
        <v>492</v>
      </c>
      <c r="E125" s="5" t="s">
        <v>22</v>
      </c>
      <c r="F125" s="6">
        <v>45964.0</v>
      </c>
      <c r="G125" s="5" t="s">
        <v>23</v>
      </c>
      <c r="H125" s="6">
        <v>45964.0</v>
      </c>
      <c r="I125" s="5" t="s">
        <v>34</v>
      </c>
      <c r="J125" s="5" t="s">
        <v>35</v>
      </c>
      <c r="K125" s="5" t="s">
        <v>25</v>
      </c>
      <c r="L125" s="5" t="s">
        <v>442</v>
      </c>
      <c r="M125" s="7" t="s">
        <v>38</v>
      </c>
      <c r="N125" s="5" t="s">
        <v>39</v>
      </c>
      <c r="O125" s="5" t="s">
        <v>239</v>
      </c>
      <c r="P125" s="5" t="s">
        <v>30</v>
      </c>
      <c r="Q125" s="7" t="str">
        <f t="shared" si="1"/>
        <v>300- ServiceNow:320- Engineering</v>
      </c>
      <c r="R125" s="7" t="str">
        <f t="array" ref="R125">IF($N125="Yes","Cost of Goods Sold:COGS- Travel Expenses:",IF($N125="No",XLOOKUP($Q125,Key!$I:$I,Key!$J:$J),"Review Billable Status"))</f>
        <v>Cost of Goods Sold:COGS- Travel Expenses:</v>
      </c>
      <c r="S125" s="7" t="str">
        <f t="array" ref="S125">IF($N125="Yes","Cost of Goods Sold:COGS- Personnel Expense:",IF($N125="No",XLOOKUP($Q125,Key!$I:$I,Key!$K:$K),"Review Billable Status"))</f>
        <v>Cost of Goods Sold:COGS- Personnel Expense:</v>
      </c>
      <c r="T125" s="5"/>
      <c r="U125" s="5"/>
      <c r="V125" s="5"/>
      <c r="W125" s="8"/>
      <c r="X125" s="8"/>
      <c r="Y125" s="8"/>
      <c r="Z125" s="8"/>
    </row>
    <row r="126" ht="12.75" customHeight="1">
      <c r="A126" s="4">
        <v>228.0</v>
      </c>
      <c r="B126" s="5" t="s">
        <v>493</v>
      </c>
      <c r="C126" s="5" t="s">
        <v>494</v>
      </c>
      <c r="D126" s="5" t="s">
        <v>495</v>
      </c>
      <c r="E126" s="5" t="s">
        <v>22</v>
      </c>
      <c r="F126" s="6">
        <v>46027.0</v>
      </c>
      <c r="G126" s="5" t="s">
        <v>23</v>
      </c>
      <c r="H126" s="6">
        <v>46027.0</v>
      </c>
      <c r="I126" s="5" t="s">
        <v>34</v>
      </c>
      <c r="J126" s="5" t="s">
        <v>35</v>
      </c>
      <c r="K126" s="5" t="s">
        <v>36</v>
      </c>
      <c r="L126" s="5" t="s">
        <v>153</v>
      </c>
      <c r="M126" s="7" t="s">
        <v>38</v>
      </c>
      <c r="N126" s="5" t="s">
        <v>39</v>
      </c>
      <c r="O126" s="5" t="s">
        <v>239</v>
      </c>
      <c r="P126" s="5" t="s">
        <v>486</v>
      </c>
      <c r="Q126" s="7" t="str">
        <f t="shared" si="1"/>
        <v>300- ServiceNow:320- Engineering</v>
      </c>
      <c r="R126" s="7" t="str">
        <f t="array" ref="R126">IF($N126="Yes","Cost of Goods Sold:COGS- Travel Expenses:",IF($N126="No",XLOOKUP($Q126,Key!$I:$I,Key!$J:$J),"Review Billable Status"))</f>
        <v>Cost of Goods Sold:COGS- Travel Expenses:</v>
      </c>
      <c r="S126" s="7" t="str">
        <f t="array" ref="S126">IF($N126="Yes","Cost of Goods Sold:COGS- Personnel Expense:",IF($N126="No",XLOOKUP($Q126,Key!$I:$I,Key!$K:$K),"Review Billable Status"))</f>
        <v>Cost of Goods Sold:COGS- Personnel Expense:</v>
      </c>
      <c r="T126" s="5"/>
      <c r="U126" s="5"/>
      <c r="V126" s="5"/>
      <c r="W126" s="8"/>
      <c r="X126" s="8"/>
      <c r="Y126" s="8"/>
      <c r="Z126" s="8"/>
    </row>
    <row r="127" ht="12.75" customHeight="1">
      <c r="A127" s="4">
        <v>229.0</v>
      </c>
      <c r="B127" s="5" t="s">
        <v>496</v>
      </c>
      <c r="C127" s="5" t="s">
        <v>497</v>
      </c>
      <c r="D127" s="5" t="s">
        <v>498</v>
      </c>
      <c r="E127" s="5" t="s">
        <v>112</v>
      </c>
      <c r="F127" s="6">
        <v>45943.0</v>
      </c>
      <c r="G127" s="5" t="s">
        <v>23</v>
      </c>
      <c r="H127" s="6">
        <v>45943.0</v>
      </c>
      <c r="I127" s="5" t="s">
        <v>64</v>
      </c>
      <c r="J127" s="5" t="s">
        <v>130</v>
      </c>
      <c r="K127" s="5" t="s">
        <v>25</v>
      </c>
      <c r="L127" s="5" t="s">
        <v>131</v>
      </c>
      <c r="M127" s="7" t="s">
        <v>175</v>
      </c>
      <c r="N127" s="5" t="s">
        <v>39</v>
      </c>
      <c r="O127" s="5" t="s">
        <v>52</v>
      </c>
      <c r="P127" s="5" t="s">
        <v>30</v>
      </c>
      <c r="Q127" s="7" t="str">
        <f t="shared" si="1"/>
        <v>200- Datadog:210- Delivery</v>
      </c>
      <c r="R127" s="7" t="str">
        <f t="array" ref="R127">IF($N127="Yes","Cost of Goods Sold:COGS- Travel Expenses:",IF($N127="No",XLOOKUP($Q127,Key!$I:$I,Key!$J:$J),"Review Billable Status"))</f>
        <v>Cost of Goods Sold:COGS- Travel Expenses:</v>
      </c>
      <c r="S127" s="7" t="str">
        <f t="array" ref="S127">IF($N127="Yes","Cost of Goods Sold:COGS- Personnel Expense:",IF($N127="No",XLOOKUP($Q127,Key!$I:$I,Key!$K:$K),"Review Billable Status"))</f>
        <v>Cost of Goods Sold:COGS- Personnel Expense:</v>
      </c>
      <c r="T127" s="5"/>
      <c r="U127" s="5"/>
      <c r="V127" s="5"/>
      <c r="W127" s="8"/>
      <c r="X127" s="8"/>
      <c r="Y127" s="8"/>
      <c r="Z127" s="8"/>
    </row>
    <row r="128" ht="12.75" customHeight="1">
      <c r="A128" s="4">
        <v>232.0</v>
      </c>
      <c r="B128" s="5" t="s">
        <v>266</v>
      </c>
      <c r="C128" s="5" t="s">
        <v>499</v>
      </c>
      <c r="D128" s="5" t="s">
        <v>500</v>
      </c>
      <c r="E128" s="5" t="s">
        <v>112</v>
      </c>
      <c r="F128" s="6">
        <v>45964.0</v>
      </c>
      <c r="G128" s="5" t="s">
        <v>23</v>
      </c>
      <c r="H128" s="6">
        <v>45964.0</v>
      </c>
      <c r="I128" s="5" t="s">
        <v>64</v>
      </c>
      <c r="J128" s="5" t="s">
        <v>366</v>
      </c>
      <c r="K128" s="5" t="s">
        <v>36</v>
      </c>
      <c r="L128" s="5" t="s">
        <v>501</v>
      </c>
      <c r="M128" s="7" t="s">
        <v>75</v>
      </c>
      <c r="N128" s="5" t="s">
        <v>39</v>
      </c>
      <c r="O128" s="5" t="s">
        <v>239</v>
      </c>
      <c r="P128" s="5" t="s">
        <v>205</v>
      </c>
      <c r="Q128" s="7" t="str">
        <f t="shared" si="1"/>
        <v>200- Datadog:220- Engineering</v>
      </c>
      <c r="R128" s="7" t="str">
        <f t="array" ref="R128">IF($N128="Yes","Cost of Goods Sold:COGS- Travel Expenses:",IF($N128="No",XLOOKUP($Q128,Key!$I:$I,Key!$J:$J),"Review Billable Status"))</f>
        <v>Cost of Goods Sold:COGS- Travel Expenses:</v>
      </c>
      <c r="S128" s="7" t="str">
        <f t="array" ref="S128">IF($N128="Yes","Cost of Goods Sold:COGS- Personnel Expense:",IF($N128="No",XLOOKUP($Q128,Key!$I:$I,Key!$K:$K),"Review Billable Status"))</f>
        <v>Cost of Goods Sold:COGS- Personnel Expense:</v>
      </c>
      <c r="T128" s="5"/>
      <c r="U128" s="5"/>
      <c r="V128" s="5"/>
      <c r="W128" s="8"/>
      <c r="X128" s="8"/>
      <c r="Y128" s="8"/>
      <c r="Z128" s="8"/>
    </row>
    <row r="129" ht="12.75" customHeight="1">
      <c r="A129" s="4">
        <v>233.0</v>
      </c>
      <c r="B129" s="5" t="s">
        <v>502</v>
      </c>
      <c r="C129" s="5" t="s">
        <v>503</v>
      </c>
      <c r="D129" s="5" t="s">
        <v>504</v>
      </c>
      <c r="E129" s="5" t="s">
        <v>22</v>
      </c>
      <c r="F129" s="6">
        <v>45964.0</v>
      </c>
      <c r="G129" s="5" t="s">
        <v>23</v>
      </c>
      <c r="H129" s="6">
        <v>45964.0</v>
      </c>
      <c r="I129" s="5" t="s">
        <v>64</v>
      </c>
      <c r="J129" s="5" t="s">
        <v>35</v>
      </c>
      <c r="K129" s="5" t="s">
        <v>25</v>
      </c>
      <c r="L129" s="5" t="s">
        <v>334</v>
      </c>
      <c r="M129" s="7" t="s">
        <v>75</v>
      </c>
      <c r="N129" s="5" t="s">
        <v>39</v>
      </c>
      <c r="O129" s="5" t="s">
        <v>85</v>
      </c>
      <c r="P129" s="5" t="s">
        <v>30</v>
      </c>
      <c r="Q129" s="7" t="str">
        <f t="shared" si="1"/>
        <v>200- Datadog:220- Engineering</v>
      </c>
      <c r="R129" s="7" t="str">
        <f t="array" ref="R129">IF($N129="Yes","Cost of Goods Sold:COGS- Travel Expenses:",IF($N129="No",XLOOKUP($Q129,Key!$I:$I,Key!$J:$J),"Review Billable Status"))</f>
        <v>Cost of Goods Sold:COGS- Travel Expenses:</v>
      </c>
      <c r="S129" s="7" t="str">
        <f t="array" ref="S129">IF($N129="Yes","Cost of Goods Sold:COGS- Personnel Expense:",IF($N129="No",XLOOKUP($Q129,Key!$I:$I,Key!$K:$K),"Review Billable Status"))</f>
        <v>Cost of Goods Sold:COGS- Personnel Expense:</v>
      </c>
      <c r="T129" s="5"/>
      <c r="U129" s="5"/>
      <c r="V129" s="8"/>
      <c r="W129" s="8"/>
      <c r="X129" s="8"/>
      <c r="Y129" s="8"/>
      <c r="Z129" s="8"/>
    </row>
    <row r="130" ht="12.75" customHeight="1">
      <c r="A130" s="4">
        <v>235.0</v>
      </c>
      <c r="B130" s="5" t="s">
        <v>308</v>
      </c>
      <c r="C130" s="5" t="s">
        <v>505</v>
      </c>
      <c r="D130" s="5" t="s">
        <v>506</v>
      </c>
      <c r="E130" s="5" t="s">
        <v>22</v>
      </c>
      <c r="F130" s="6">
        <v>45971.0</v>
      </c>
      <c r="G130" s="5" t="s">
        <v>23</v>
      </c>
      <c r="H130" s="6">
        <v>45971.0</v>
      </c>
      <c r="I130" s="5" t="s">
        <v>34</v>
      </c>
      <c r="J130" s="5" t="s">
        <v>35</v>
      </c>
      <c r="K130" s="5" t="s">
        <v>36</v>
      </c>
      <c r="L130" s="5" t="s">
        <v>323</v>
      </c>
      <c r="M130" s="7" t="s">
        <v>38</v>
      </c>
      <c r="N130" s="5" t="s">
        <v>39</v>
      </c>
      <c r="O130" s="5" t="s">
        <v>52</v>
      </c>
      <c r="P130" s="5" t="s">
        <v>330</v>
      </c>
      <c r="Q130" s="7" t="str">
        <f t="shared" si="1"/>
        <v>300- ServiceNow:320- Engineering</v>
      </c>
      <c r="R130" s="7" t="str">
        <f t="array" ref="R130">IF($N130="Yes","Cost of Goods Sold:COGS- Travel Expenses:",IF($N130="No",XLOOKUP($Q130,Key!$I:$I,Key!$J:$J),"Review Billable Status"))</f>
        <v>Cost of Goods Sold:COGS- Travel Expenses:</v>
      </c>
      <c r="S130" s="7" t="str">
        <f t="array" ref="S130">IF($N130="Yes","Cost of Goods Sold:COGS- Personnel Expense:",IF($N130="No",XLOOKUP($Q130,Key!$I:$I,Key!$K:$K),"Review Billable Status"))</f>
        <v>Cost of Goods Sold:COGS- Personnel Expense:</v>
      </c>
      <c r="T130" s="5"/>
      <c r="U130" s="5"/>
      <c r="V130" s="8"/>
      <c r="W130" s="8"/>
      <c r="X130" s="8"/>
      <c r="Y130" s="8"/>
      <c r="Z130" s="8"/>
    </row>
    <row r="131" ht="12.75" customHeight="1">
      <c r="A131" s="4">
        <v>237.0</v>
      </c>
      <c r="B131" s="5" t="s">
        <v>507</v>
      </c>
      <c r="C131" s="5" t="s">
        <v>508</v>
      </c>
      <c r="D131" s="5" t="s">
        <v>509</v>
      </c>
      <c r="E131" s="5" t="s">
        <v>22</v>
      </c>
      <c r="F131" s="6">
        <v>45964.0</v>
      </c>
      <c r="G131" s="5" t="s">
        <v>23</v>
      </c>
      <c r="H131" s="6">
        <v>45964.0</v>
      </c>
      <c r="I131" s="5" t="s">
        <v>64</v>
      </c>
      <c r="J131" s="5" t="s">
        <v>366</v>
      </c>
      <c r="K131" s="5" t="s">
        <v>36</v>
      </c>
      <c r="L131" s="5" t="s">
        <v>501</v>
      </c>
      <c r="M131" s="7" t="s">
        <v>75</v>
      </c>
      <c r="N131" s="5" t="s">
        <v>39</v>
      </c>
      <c r="O131" s="5" t="s">
        <v>239</v>
      </c>
      <c r="P131" s="5" t="s">
        <v>158</v>
      </c>
      <c r="Q131" s="7" t="str">
        <f t="shared" si="1"/>
        <v>200- Datadog:220- Engineering</v>
      </c>
      <c r="R131" s="7" t="str">
        <f t="array" ref="R131">IF($N131="Yes","Cost of Goods Sold:COGS- Travel Expenses:",IF($N131="No",XLOOKUP($Q131,Key!$I:$I,Key!$J:$J),"Review Billable Status"))</f>
        <v>Cost of Goods Sold:COGS- Travel Expenses:</v>
      </c>
      <c r="S131" s="7" t="str">
        <f t="array" ref="S131">IF($N131="Yes","Cost of Goods Sold:COGS- Personnel Expense:",IF($N131="No",XLOOKUP($Q131,Key!$I:$I,Key!$K:$K),"Review Billable Status"))</f>
        <v>Cost of Goods Sold:COGS- Personnel Expense:</v>
      </c>
      <c r="T131" s="5"/>
      <c r="U131" s="5"/>
      <c r="V131" s="8"/>
      <c r="W131" s="8"/>
      <c r="X131" s="8"/>
      <c r="Y131" s="8"/>
      <c r="Z131" s="8"/>
    </row>
    <row r="132" ht="12.75" customHeight="1">
      <c r="A132" s="4">
        <v>238.0</v>
      </c>
      <c r="B132" s="5" t="s">
        <v>510</v>
      </c>
      <c r="C132" s="5" t="s">
        <v>511</v>
      </c>
      <c r="D132" s="5" t="s">
        <v>512</v>
      </c>
      <c r="E132" s="5" t="s">
        <v>112</v>
      </c>
      <c r="F132" s="6">
        <v>45964.0</v>
      </c>
      <c r="G132" s="5" t="s">
        <v>23</v>
      </c>
      <c r="H132" s="6">
        <v>45964.0</v>
      </c>
      <c r="I132" s="5" t="s">
        <v>24</v>
      </c>
      <c r="J132" s="5" t="s">
        <v>256</v>
      </c>
      <c r="K132" s="5" t="s">
        <v>25</v>
      </c>
      <c r="L132" s="5" t="s">
        <v>304</v>
      </c>
      <c r="M132" s="7" t="s">
        <v>258</v>
      </c>
      <c r="N132" s="5" t="s">
        <v>28</v>
      </c>
      <c r="O132" s="5" t="s">
        <v>239</v>
      </c>
      <c r="P132" s="5" t="s">
        <v>30</v>
      </c>
      <c r="Q132" s="7" t="str">
        <f t="shared" si="1"/>
        <v>100- Operations:120- Marketing</v>
      </c>
      <c r="R132" s="7" t="str">
        <f t="array" ref="R132">IF($N132="Yes","Cost of Goods Sold:COGS- Travel Expenses:",IF($N132="No",XLOOKUP($Q132,Key!$I:$I,Key!$J:$J),"Review Billable Status"))</f>
        <v>Sales &amp; Marketing:Sales &amp; Marketing- Travel Expenses:</v>
      </c>
      <c r="S132" s="7" t="str">
        <f t="array" ref="S132">IF($N132="Yes","Cost of Goods Sold:COGS- Personnel Expense:",IF($N132="No",XLOOKUP($Q132,Key!$I:$I,Key!$K:$K),"Review Billable Status"))</f>
        <v>Sales &amp; Marketing:Sales &amp; Marketing- Personnel Expenses:</v>
      </c>
      <c r="T132" s="5"/>
      <c r="U132" s="5"/>
      <c r="V132" s="8"/>
      <c r="W132" s="8"/>
      <c r="X132" s="8"/>
      <c r="Y132" s="8"/>
      <c r="Z132" s="8"/>
    </row>
    <row r="133" ht="12.75" customHeight="1">
      <c r="A133" s="4">
        <v>239.0</v>
      </c>
      <c r="B133" s="5" t="s">
        <v>409</v>
      </c>
      <c r="C133" s="5" t="s">
        <v>513</v>
      </c>
      <c r="D133" s="5" t="s">
        <v>514</v>
      </c>
      <c r="E133" s="5" t="s">
        <v>22</v>
      </c>
      <c r="F133" s="6">
        <v>45964.0</v>
      </c>
      <c r="G133" s="5" t="s">
        <v>23</v>
      </c>
      <c r="H133" s="6">
        <v>45964.0</v>
      </c>
      <c r="I133" s="5" t="s">
        <v>34</v>
      </c>
      <c r="J133" s="5" t="s">
        <v>130</v>
      </c>
      <c r="K133" s="5" t="s">
        <v>25</v>
      </c>
      <c r="L133" s="5" t="s">
        <v>131</v>
      </c>
      <c r="M133" s="7" t="s">
        <v>132</v>
      </c>
      <c r="N133" s="5" t="s">
        <v>39</v>
      </c>
      <c r="O133" s="5" t="s">
        <v>52</v>
      </c>
      <c r="P133" s="5" t="s">
        <v>30</v>
      </c>
      <c r="Q133" s="7" t="str">
        <f t="shared" si="1"/>
        <v>300- ServiceNow:310- Delivery</v>
      </c>
      <c r="R133" s="7" t="str">
        <f t="array" ref="R133">IF($N133="Yes","Cost of Goods Sold:COGS- Travel Expenses:",IF($N133="No",XLOOKUP($Q133,Key!$I:$I,Key!$J:$J),"Review Billable Status"))</f>
        <v>Cost of Goods Sold:COGS- Travel Expenses:</v>
      </c>
      <c r="S133" s="7" t="str">
        <f t="array" ref="S133">IF($N133="Yes","Cost of Goods Sold:COGS- Personnel Expense:",IF($N133="No",XLOOKUP($Q133,Key!$I:$I,Key!$K:$K),"Review Billable Status"))</f>
        <v>Cost of Goods Sold:COGS- Personnel Expense:</v>
      </c>
      <c r="T133" s="5"/>
      <c r="U133" s="5"/>
      <c r="V133" s="8"/>
      <c r="W133" s="8"/>
      <c r="X133" s="8"/>
      <c r="Y133" s="8"/>
      <c r="Z133" s="8"/>
    </row>
    <row r="134" ht="12.75" customHeight="1">
      <c r="A134" s="4">
        <v>240.0</v>
      </c>
      <c r="B134" s="5" t="s">
        <v>515</v>
      </c>
      <c r="C134" s="5" t="s">
        <v>516</v>
      </c>
      <c r="D134" s="5" t="s">
        <v>517</v>
      </c>
      <c r="E134" s="5" t="s">
        <v>112</v>
      </c>
      <c r="F134" s="6">
        <v>45999.0</v>
      </c>
      <c r="G134" s="5" t="s">
        <v>23</v>
      </c>
      <c r="H134" s="6">
        <v>45999.0</v>
      </c>
      <c r="I134" s="5" t="s">
        <v>34</v>
      </c>
      <c r="J134" s="5" t="s">
        <v>35</v>
      </c>
      <c r="K134" s="5" t="s">
        <v>25</v>
      </c>
      <c r="L134" s="5" t="s">
        <v>179</v>
      </c>
      <c r="M134" s="7" t="s">
        <v>38</v>
      </c>
      <c r="N134" s="5" t="s">
        <v>39</v>
      </c>
      <c r="O134" s="5" t="s">
        <v>59</v>
      </c>
      <c r="P134" s="5" t="s">
        <v>30</v>
      </c>
      <c r="Q134" s="7" t="str">
        <f t="shared" si="1"/>
        <v>300- ServiceNow:320- Engineering</v>
      </c>
      <c r="R134" s="7" t="str">
        <f t="array" ref="R134">IF($N134="Yes","Cost of Goods Sold:COGS- Travel Expenses:",IF($N134="No",XLOOKUP($Q134,Key!$I:$I,Key!$J:$J),"Review Billable Status"))</f>
        <v>Cost of Goods Sold:COGS- Travel Expenses:</v>
      </c>
      <c r="S134" s="7" t="str">
        <f t="array" ref="S134">IF($N134="Yes","Cost of Goods Sold:COGS- Personnel Expense:",IF($N134="No",XLOOKUP($Q134,Key!$I:$I,Key!$K:$K),"Review Billable Status"))</f>
        <v>Cost of Goods Sold:COGS- Personnel Expense:</v>
      </c>
      <c r="T134" s="5"/>
      <c r="U134" s="5"/>
      <c r="V134" s="8"/>
      <c r="W134" s="8"/>
      <c r="X134" s="8"/>
      <c r="Y134" s="8"/>
      <c r="Z134" s="8"/>
    </row>
    <row r="135" ht="12.75" customHeight="1">
      <c r="A135" s="4">
        <v>241.0</v>
      </c>
      <c r="B135" s="5" t="s">
        <v>518</v>
      </c>
      <c r="C135" s="5" t="s">
        <v>519</v>
      </c>
      <c r="D135" s="5" t="s">
        <v>520</v>
      </c>
      <c r="E135" s="5" t="s">
        <v>112</v>
      </c>
      <c r="F135" s="6">
        <v>45992.0</v>
      </c>
      <c r="G135" s="5" t="s">
        <v>23</v>
      </c>
      <c r="H135" s="6">
        <v>45992.0</v>
      </c>
      <c r="I135" s="5" t="s">
        <v>34</v>
      </c>
      <c r="J135" s="5" t="s">
        <v>45</v>
      </c>
      <c r="K135" s="5" t="s">
        <v>36</v>
      </c>
      <c r="L135" s="5" t="s">
        <v>140</v>
      </c>
      <c r="M135" s="7" t="s">
        <v>47</v>
      </c>
      <c r="N135" s="5" t="s">
        <v>28</v>
      </c>
      <c r="O135" s="5" t="s">
        <v>239</v>
      </c>
      <c r="P135" s="5" t="s">
        <v>345</v>
      </c>
      <c r="Q135" s="7" t="str">
        <f t="shared" si="1"/>
        <v>300- ServiceNow:330- Sales</v>
      </c>
      <c r="R135" s="7" t="str">
        <f t="array" ref="R135">IF($N135="Yes","Cost of Goods Sold:COGS- Travel Expenses:",IF($N135="No",XLOOKUP($Q135,Key!$I:$I,Key!$J:$J),"Review Billable Status"))</f>
        <v>Sales &amp; Marketing:Sales &amp; Marketing- Travel Expenses:</v>
      </c>
      <c r="S135" s="7" t="str">
        <f t="array" ref="S135">IF($N135="Yes","Cost of Goods Sold:COGS- Personnel Expense:",IF($N135="No",XLOOKUP($Q135,Key!$I:$I,Key!$K:$K),"Review Billable Status"))</f>
        <v>Sales &amp; Marketing:Sales &amp; Marketing- Personnel Expenses:</v>
      </c>
      <c r="T135" s="5"/>
      <c r="U135" s="5"/>
      <c r="V135" s="8"/>
      <c r="W135" s="8"/>
      <c r="X135" s="8"/>
      <c r="Y135" s="8"/>
      <c r="Z135" s="8"/>
    </row>
    <row r="136" ht="12.75" customHeight="1">
      <c r="A136" s="4">
        <v>242.0</v>
      </c>
      <c r="B136" s="5" t="s">
        <v>353</v>
      </c>
      <c r="C136" s="5" t="s">
        <v>521</v>
      </c>
      <c r="D136" s="5" t="s">
        <v>522</v>
      </c>
      <c r="E136" s="5" t="s">
        <v>22</v>
      </c>
      <c r="F136" s="6">
        <v>45992.0</v>
      </c>
      <c r="G136" s="5" t="s">
        <v>23</v>
      </c>
      <c r="H136" s="6">
        <v>45992.0</v>
      </c>
      <c r="I136" s="5" t="s">
        <v>34</v>
      </c>
      <c r="J136" s="5" t="s">
        <v>35</v>
      </c>
      <c r="K136" s="5" t="s">
        <v>36</v>
      </c>
      <c r="L136" s="5" t="s">
        <v>153</v>
      </c>
      <c r="M136" s="7" t="s">
        <v>38</v>
      </c>
      <c r="N136" s="5" t="s">
        <v>39</v>
      </c>
      <c r="O136" s="5" t="s">
        <v>85</v>
      </c>
      <c r="P136" s="5" t="s">
        <v>114</v>
      </c>
      <c r="Q136" s="7" t="str">
        <f t="shared" si="1"/>
        <v>300- ServiceNow:320- Engineering</v>
      </c>
      <c r="R136" s="7" t="str">
        <f t="array" ref="R136">IF($N136="Yes","Cost of Goods Sold:COGS- Travel Expenses:",IF($N136="No",XLOOKUP($Q136,Key!$I:$I,Key!$J:$J),"Review Billable Status"))</f>
        <v>Cost of Goods Sold:COGS- Travel Expenses:</v>
      </c>
      <c r="S136" s="7" t="str">
        <f t="array" ref="S136">IF($N136="Yes","Cost of Goods Sold:COGS- Personnel Expense:",IF($N136="No",XLOOKUP($Q136,Key!$I:$I,Key!$K:$K),"Review Billable Status"))</f>
        <v>Cost of Goods Sold:COGS- Personnel Expense:</v>
      </c>
      <c r="T136" s="5"/>
      <c r="U136" s="5"/>
      <c r="V136" s="8"/>
      <c r="W136" s="8"/>
      <c r="X136" s="8"/>
      <c r="Y136" s="8"/>
      <c r="Z136" s="8"/>
    </row>
    <row r="137" ht="12.75" customHeight="1">
      <c r="A137" s="4">
        <v>243.0</v>
      </c>
      <c r="B137" s="5" t="s">
        <v>523</v>
      </c>
      <c r="C137" s="5" t="s">
        <v>524</v>
      </c>
      <c r="D137" s="5" t="s">
        <v>525</v>
      </c>
      <c r="E137" s="5" t="s">
        <v>22</v>
      </c>
      <c r="F137" s="6">
        <v>45999.0</v>
      </c>
      <c r="G137" s="5" t="s">
        <v>23</v>
      </c>
      <c r="H137" s="6">
        <v>45999.0</v>
      </c>
      <c r="I137" s="5" t="s">
        <v>34</v>
      </c>
      <c r="J137" s="5" t="s">
        <v>35</v>
      </c>
      <c r="K137" s="5" t="s">
        <v>36</v>
      </c>
      <c r="L137" s="5" t="s">
        <v>153</v>
      </c>
      <c r="M137" s="7" t="s">
        <v>38</v>
      </c>
      <c r="N137" s="5" t="s">
        <v>39</v>
      </c>
      <c r="O137" s="5" t="s">
        <v>85</v>
      </c>
      <c r="P137" s="5" t="s">
        <v>320</v>
      </c>
      <c r="Q137" s="7" t="str">
        <f t="shared" si="1"/>
        <v>300- ServiceNow:320- Engineering</v>
      </c>
      <c r="R137" s="7" t="str">
        <f t="array" ref="R137">IF($N137="Yes","Cost of Goods Sold:COGS- Travel Expenses:",IF($N137="No",XLOOKUP($Q137,Key!$I:$I,Key!$J:$J),"Review Billable Status"))</f>
        <v>Cost of Goods Sold:COGS- Travel Expenses:</v>
      </c>
      <c r="S137" s="7" t="str">
        <f t="array" ref="S137">IF($N137="Yes","Cost of Goods Sold:COGS- Personnel Expense:",IF($N137="No",XLOOKUP($Q137,Key!$I:$I,Key!$K:$K),"Review Billable Status"))</f>
        <v>Cost of Goods Sold:COGS- Personnel Expense:</v>
      </c>
      <c r="T137" s="5"/>
      <c r="U137" s="5"/>
      <c r="V137" s="8"/>
      <c r="W137" s="8"/>
      <c r="X137" s="8"/>
      <c r="Y137" s="8"/>
      <c r="Z137" s="8"/>
    </row>
    <row r="138" ht="12.75" customHeight="1">
      <c r="A138" s="4">
        <v>244.0</v>
      </c>
      <c r="B138" s="5" t="s">
        <v>526</v>
      </c>
      <c r="C138" s="5" t="s">
        <v>527</v>
      </c>
      <c r="D138" s="5" t="s">
        <v>528</v>
      </c>
      <c r="E138" s="5" t="s">
        <v>22</v>
      </c>
      <c r="F138" s="6">
        <v>46006.0</v>
      </c>
      <c r="G138" s="5" t="s">
        <v>23</v>
      </c>
      <c r="H138" s="6">
        <v>46006.0</v>
      </c>
      <c r="I138" s="5" t="s">
        <v>64</v>
      </c>
      <c r="J138" s="5" t="s">
        <v>35</v>
      </c>
      <c r="K138" s="5" t="s">
        <v>25</v>
      </c>
      <c r="L138" s="5" t="s">
        <v>334</v>
      </c>
      <c r="M138" s="7" t="s">
        <v>75</v>
      </c>
      <c r="N138" s="5" t="s">
        <v>39</v>
      </c>
      <c r="O138" s="5" t="s">
        <v>85</v>
      </c>
      <c r="P138" s="5" t="s">
        <v>30</v>
      </c>
      <c r="Q138" s="7" t="str">
        <f t="shared" si="1"/>
        <v>200- Datadog:220- Engineering</v>
      </c>
      <c r="R138" s="7" t="str">
        <f t="array" ref="R138">IF($N138="Yes","Cost of Goods Sold:COGS- Travel Expenses:",IF($N138="No",XLOOKUP($Q138,Key!$I:$I,Key!$J:$J),"Review Billable Status"))</f>
        <v>Cost of Goods Sold:COGS- Travel Expenses:</v>
      </c>
      <c r="S138" s="7" t="str">
        <f t="array" ref="S138">IF($N138="Yes","Cost of Goods Sold:COGS- Personnel Expense:",IF($N138="No",XLOOKUP($Q138,Key!$I:$I,Key!$K:$K),"Review Billable Status"))</f>
        <v>Cost of Goods Sold:COGS- Personnel Expense:</v>
      </c>
      <c r="T138" s="5"/>
      <c r="U138" s="5"/>
      <c r="V138" s="8"/>
      <c r="W138" s="8"/>
      <c r="X138" s="8"/>
      <c r="Y138" s="8"/>
      <c r="Z138" s="8"/>
    </row>
    <row r="139" ht="12.75" customHeight="1">
      <c r="A139" s="4">
        <v>245.0</v>
      </c>
      <c r="B139" s="5" t="s">
        <v>529</v>
      </c>
      <c r="C139" s="5" t="s">
        <v>530</v>
      </c>
      <c r="D139" s="5" t="s">
        <v>531</v>
      </c>
      <c r="E139" s="5" t="s">
        <v>22</v>
      </c>
      <c r="F139" s="6">
        <v>45999.0</v>
      </c>
      <c r="G139" s="5" t="s">
        <v>23</v>
      </c>
      <c r="H139" s="6">
        <v>45999.0</v>
      </c>
      <c r="I139" s="5" t="s">
        <v>34</v>
      </c>
      <c r="J139" s="5" t="s">
        <v>35</v>
      </c>
      <c r="K139" s="5" t="s">
        <v>36</v>
      </c>
      <c r="L139" s="5" t="s">
        <v>153</v>
      </c>
      <c r="M139" s="7" t="s">
        <v>38</v>
      </c>
      <c r="N139" s="5" t="s">
        <v>39</v>
      </c>
      <c r="O139" s="5" t="s">
        <v>85</v>
      </c>
      <c r="P139" s="5" t="s">
        <v>114</v>
      </c>
      <c r="Q139" s="7" t="str">
        <f t="shared" si="1"/>
        <v>300- ServiceNow:320- Engineering</v>
      </c>
      <c r="R139" s="7" t="str">
        <f t="array" ref="R139">IF($N139="Yes","Cost of Goods Sold:COGS- Travel Expenses:",IF($N139="No",XLOOKUP($Q139,Key!$I:$I,Key!$J:$J),"Review Billable Status"))</f>
        <v>Cost of Goods Sold:COGS- Travel Expenses:</v>
      </c>
      <c r="S139" s="7" t="str">
        <f t="array" ref="S139">IF($N139="Yes","Cost of Goods Sold:COGS- Personnel Expense:",IF($N139="No",XLOOKUP($Q139,Key!$I:$I,Key!$K:$K),"Review Billable Status"))</f>
        <v>Cost of Goods Sold:COGS- Personnel Expense:</v>
      </c>
      <c r="T139" s="5"/>
      <c r="U139" s="5"/>
      <c r="V139" s="8"/>
      <c r="W139" s="8"/>
      <c r="X139" s="8"/>
      <c r="Y139" s="8"/>
      <c r="Z139" s="8"/>
    </row>
    <row r="140" ht="12.75" customHeight="1">
      <c r="A140" s="4">
        <v>246.0</v>
      </c>
      <c r="B140" s="5" t="s">
        <v>532</v>
      </c>
      <c r="C140" s="5" t="s">
        <v>533</v>
      </c>
      <c r="D140" s="5" t="s">
        <v>534</v>
      </c>
      <c r="E140" s="5" t="s">
        <v>22</v>
      </c>
      <c r="F140" s="6">
        <v>45999.0</v>
      </c>
      <c r="G140" s="5" t="s">
        <v>23</v>
      </c>
      <c r="H140" s="6">
        <v>45999.0</v>
      </c>
      <c r="I140" s="5" t="s">
        <v>24</v>
      </c>
      <c r="J140" s="5" t="s">
        <v>244</v>
      </c>
      <c r="K140" s="5" t="s">
        <v>25</v>
      </c>
      <c r="L140" s="5" t="s">
        <v>535</v>
      </c>
      <c r="M140" s="7" t="s">
        <v>199</v>
      </c>
      <c r="N140" s="5" t="s">
        <v>28</v>
      </c>
      <c r="O140" s="5" t="s">
        <v>239</v>
      </c>
      <c r="P140" s="5" t="s">
        <v>30</v>
      </c>
      <c r="Q140" s="7" t="str">
        <f t="shared" si="1"/>
        <v>100- Operations:110- G&amp;A</v>
      </c>
      <c r="R140" s="7" t="str">
        <f t="array" ref="R140">IF($N140="Yes","Cost of Goods Sold:COGS- Travel Expenses:",IF($N140="No",XLOOKUP($Q140,Key!$I:$I,Key!$J:$J),"Review Billable Status"))</f>
        <v>General &amp; Administrative:G&amp;A- Travel Expenses:</v>
      </c>
      <c r="S140" s="7" t="str">
        <f t="array" ref="S140">IF($N140="Yes","Cost of Goods Sold:COGS- Personnel Expense:",IF($N140="No",XLOOKUP($Q140,Key!$I:$I,Key!$K:$K),"Review Billable Status"))</f>
        <v>General &amp; Administrative:G&amp;A- Personnel Expenses:</v>
      </c>
      <c r="T140" s="5"/>
      <c r="U140" s="5"/>
      <c r="V140" s="8"/>
      <c r="W140" s="8"/>
      <c r="X140" s="8"/>
      <c r="Y140" s="8"/>
      <c r="Z140" s="8"/>
    </row>
    <row r="141" ht="12.75" customHeight="1">
      <c r="A141" s="4">
        <v>247.0</v>
      </c>
      <c r="B141" s="5" t="s">
        <v>536</v>
      </c>
      <c r="C141" s="5" t="s">
        <v>537</v>
      </c>
      <c r="D141" s="5" t="s">
        <v>538</v>
      </c>
      <c r="E141" s="5" t="s">
        <v>22</v>
      </c>
      <c r="F141" s="6">
        <v>46027.0</v>
      </c>
      <c r="G141" s="5" t="s">
        <v>23</v>
      </c>
      <c r="H141" s="6">
        <v>46027.0</v>
      </c>
      <c r="I141" s="5" t="s">
        <v>24</v>
      </c>
      <c r="J141" s="5" t="s">
        <v>170</v>
      </c>
      <c r="K141" s="5" t="s">
        <v>25</v>
      </c>
      <c r="L141" s="5" t="s">
        <v>539</v>
      </c>
      <c r="M141" s="7" t="s">
        <v>199</v>
      </c>
      <c r="N141" s="5" t="s">
        <v>28</v>
      </c>
      <c r="O141" s="5" t="s">
        <v>239</v>
      </c>
      <c r="P141" s="5" t="s">
        <v>30</v>
      </c>
      <c r="Q141" s="7" t="str">
        <f t="shared" si="1"/>
        <v>100- Operations:110- G&amp;A</v>
      </c>
      <c r="R141" s="7" t="str">
        <f t="array" ref="R141">IF($N141="Yes","Cost of Goods Sold:COGS- Travel Expenses:",IF($N141="No",XLOOKUP($Q141,Key!$I:$I,Key!$J:$J),"Review Billable Status"))</f>
        <v>General &amp; Administrative:G&amp;A- Travel Expenses:</v>
      </c>
      <c r="S141" s="7" t="str">
        <f t="array" ref="S141">IF($N141="Yes","Cost of Goods Sold:COGS- Personnel Expense:",IF($N141="No",XLOOKUP($Q141,Key!$I:$I,Key!$K:$K),"Review Billable Status"))</f>
        <v>General &amp; Administrative:G&amp;A- Personnel Expenses:</v>
      </c>
      <c r="T141" s="5"/>
      <c r="U141" s="5"/>
      <c r="V141" s="8"/>
      <c r="W141" s="8"/>
      <c r="X141" s="8"/>
      <c r="Y141" s="8"/>
      <c r="Z141" s="8"/>
    </row>
    <row r="142" ht="12.75" customHeight="1">
      <c r="A142" s="4">
        <v>248.0</v>
      </c>
      <c r="B142" s="5" t="s">
        <v>540</v>
      </c>
      <c r="C142" s="5" t="s">
        <v>541</v>
      </c>
      <c r="D142" s="5" t="s">
        <v>542</v>
      </c>
      <c r="E142" s="5" t="s">
        <v>22</v>
      </c>
      <c r="F142" s="6">
        <v>46034.0</v>
      </c>
      <c r="G142" s="5" t="s">
        <v>23</v>
      </c>
      <c r="H142" s="6">
        <v>46034.0</v>
      </c>
      <c r="I142" s="5" t="s">
        <v>34</v>
      </c>
      <c r="J142" s="5" t="s">
        <v>35</v>
      </c>
      <c r="K142" s="5" t="s">
        <v>107</v>
      </c>
      <c r="L142" s="5" t="s">
        <v>153</v>
      </c>
      <c r="M142" s="7" t="s">
        <v>38</v>
      </c>
      <c r="N142" s="5" t="s">
        <v>39</v>
      </c>
      <c r="O142" s="5" t="s">
        <v>85</v>
      </c>
      <c r="P142" s="5" t="s">
        <v>543</v>
      </c>
      <c r="Q142" s="7" t="str">
        <f t="shared" si="1"/>
        <v>300- ServiceNow:320- Engineering</v>
      </c>
      <c r="R142" s="7" t="str">
        <f t="array" ref="R142">IF($N142="Yes","Cost of Goods Sold:COGS- Travel Expenses:",IF($N142="No",XLOOKUP($Q142,Key!$I:$I,Key!$J:$J),"Review Billable Status"))</f>
        <v>Cost of Goods Sold:COGS- Travel Expenses:</v>
      </c>
      <c r="S142" s="7" t="str">
        <f t="array" ref="S142">IF($N142="Yes","Cost of Goods Sold:COGS- Personnel Expense:",IF($N142="No",XLOOKUP($Q142,Key!$I:$I,Key!$K:$K),"Review Billable Status"))</f>
        <v>Cost of Goods Sold:COGS- Personnel Expense:</v>
      </c>
      <c r="T142" s="5"/>
      <c r="U142" s="5"/>
      <c r="V142" s="8"/>
      <c r="W142" s="8"/>
      <c r="X142" s="8"/>
      <c r="Y142" s="8"/>
      <c r="Z142" s="8"/>
    </row>
    <row r="143" ht="12.75" customHeight="1">
      <c r="A143" s="4">
        <v>249.0</v>
      </c>
      <c r="B143" s="5" t="s">
        <v>544</v>
      </c>
      <c r="C143" s="5" t="s">
        <v>545</v>
      </c>
      <c r="D143" s="5" t="s">
        <v>546</v>
      </c>
      <c r="E143" s="5" t="s">
        <v>22</v>
      </c>
      <c r="F143" s="6">
        <v>46027.0</v>
      </c>
      <c r="G143" s="5" t="s">
        <v>23</v>
      </c>
      <c r="H143" s="6">
        <v>46027.0</v>
      </c>
      <c r="I143" s="5" t="s">
        <v>34</v>
      </c>
      <c r="J143" s="5" t="s">
        <v>35</v>
      </c>
      <c r="K143" s="5" t="s">
        <v>36</v>
      </c>
      <c r="L143" s="5" t="s">
        <v>153</v>
      </c>
      <c r="M143" s="7" t="s">
        <v>38</v>
      </c>
      <c r="N143" s="5" t="s">
        <v>39</v>
      </c>
      <c r="O143" s="5" t="s">
        <v>85</v>
      </c>
      <c r="P143" s="5" t="s">
        <v>205</v>
      </c>
      <c r="Q143" s="7" t="str">
        <f t="shared" si="1"/>
        <v>300- ServiceNow:320- Engineering</v>
      </c>
      <c r="R143" s="7" t="str">
        <f t="array" ref="R143">IF($N143="Yes","Cost of Goods Sold:COGS- Travel Expenses:",IF($N143="No",XLOOKUP($Q143,Key!$I:$I,Key!$J:$J),"Review Billable Status"))</f>
        <v>Cost of Goods Sold:COGS- Travel Expenses:</v>
      </c>
      <c r="S143" s="7" t="str">
        <f t="array" ref="S143">IF($N143="Yes","Cost of Goods Sold:COGS- Personnel Expense:",IF($N143="No",XLOOKUP($Q143,Key!$I:$I,Key!$K:$K),"Review Billable Status"))</f>
        <v>Cost of Goods Sold:COGS- Personnel Expense:</v>
      </c>
      <c r="T143" s="5"/>
      <c r="U143" s="5"/>
      <c r="V143" s="8"/>
      <c r="W143" s="8"/>
      <c r="X143" s="8"/>
      <c r="Y143" s="8"/>
      <c r="Z143" s="8"/>
    </row>
    <row r="144" ht="12.75" customHeight="1">
      <c r="A144" s="4">
        <v>250.0</v>
      </c>
      <c r="B144" s="5" t="s">
        <v>547</v>
      </c>
      <c r="C144" s="5" t="s">
        <v>548</v>
      </c>
      <c r="D144" s="5" t="s">
        <v>549</v>
      </c>
      <c r="E144" s="5" t="s">
        <v>22</v>
      </c>
      <c r="F144" s="6">
        <v>46013.0</v>
      </c>
      <c r="G144" s="5" t="s">
        <v>23</v>
      </c>
      <c r="H144" s="6">
        <v>46013.0</v>
      </c>
      <c r="I144" s="5" t="s">
        <v>34</v>
      </c>
      <c r="J144" s="5" t="s">
        <v>35</v>
      </c>
      <c r="K144" s="5" t="s">
        <v>36</v>
      </c>
      <c r="L144" s="5" t="s">
        <v>323</v>
      </c>
      <c r="M144" s="7" t="s">
        <v>38</v>
      </c>
      <c r="N144" s="5" t="s">
        <v>39</v>
      </c>
      <c r="O144" s="5" t="s">
        <v>52</v>
      </c>
      <c r="P144" s="5" t="s">
        <v>486</v>
      </c>
      <c r="Q144" s="7" t="str">
        <f t="shared" si="1"/>
        <v>300- ServiceNow:320- Engineering</v>
      </c>
      <c r="R144" s="7" t="str">
        <f t="array" ref="R144">IF($N144="Yes","Cost of Goods Sold:COGS- Travel Expenses:",IF($N144="No",XLOOKUP($Q144,Key!$I:$I,Key!$J:$J),"Review Billable Status"))</f>
        <v>Cost of Goods Sold:COGS- Travel Expenses:</v>
      </c>
      <c r="S144" s="7" t="str">
        <f t="array" ref="S144">IF($N144="Yes","Cost of Goods Sold:COGS- Personnel Expense:",IF($N144="No",XLOOKUP($Q144,Key!$I:$I,Key!$K:$K),"Review Billable Status"))</f>
        <v>Cost of Goods Sold:COGS- Personnel Expense:</v>
      </c>
      <c r="T144" s="5"/>
      <c r="U144" s="5"/>
      <c r="V144" s="8"/>
      <c r="W144" s="8"/>
      <c r="X144" s="8"/>
      <c r="Y144" s="8"/>
      <c r="Z144" s="8"/>
    </row>
    <row r="145" ht="12.75" customHeight="1">
      <c r="A145" s="4">
        <v>251.0</v>
      </c>
      <c r="B145" s="5" t="s">
        <v>550</v>
      </c>
      <c r="C145" s="5" t="s">
        <v>551</v>
      </c>
      <c r="D145" s="5" t="s">
        <v>552</v>
      </c>
      <c r="E145" s="5" t="s">
        <v>22</v>
      </c>
      <c r="F145" s="6">
        <v>46083.0</v>
      </c>
      <c r="G145" s="5" t="s">
        <v>23</v>
      </c>
      <c r="H145" s="6">
        <v>46083.0</v>
      </c>
      <c r="I145" s="5" t="s">
        <v>34</v>
      </c>
      <c r="J145" s="5" t="s">
        <v>45</v>
      </c>
      <c r="K145" s="5" t="s">
        <v>36</v>
      </c>
      <c r="L145" s="5" t="s">
        <v>140</v>
      </c>
      <c r="M145" s="7" t="s">
        <v>47</v>
      </c>
      <c r="N145" s="5" t="s">
        <v>28</v>
      </c>
      <c r="O145" s="5" t="s">
        <v>52</v>
      </c>
      <c r="P145" s="5" t="s">
        <v>158</v>
      </c>
      <c r="Q145" s="7" t="str">
        <f t="shared" si="1"/>
        <v>300- ServiceNow:330- Sales</v>
      </c>
      <c r="R145" s="7" t="str">
        <f t="array" ref="R145">IF($N145="Yes","Cost of Goods Sold:COGS- Travel Expenses:",IF($N145="No",XLOOKUP($Q145,Key!$I:$I,Key!$J:$J),"Review Billable Status"))</f>
        <v>Sales &amp; Marketing:Sales &amp; Marketing- Travel Expenses:</v>
      </c>
      <c r="S145" s="7" t="str">
        <f t="array" ref="S145">IF($N145="Yes","Cost of Goods Sold:COGS- Personnel Expense:",IF($N145="No",XLOOKUP($Q145,Key!$I:$I,Key!$K:$K),"Review Billable Status"))</f>
        <v>Sales &amp; Marketing:Sales &amp; Marketing- Personnel Expenses:</v>
      </c>
      <c r="T145" s="5"/>
      <c r="U145" s="5"/>
      <c r="V145" s="8"/>
      <c r="W145" s="8"/>
      <c r="X145" s="8"/>
      <c r="Y145" s="8"/>
      <c r="Z145" s="8"/>
    </row>
    <row r="146" ht="12.75" customHeight="1">
      <c r="A146" s="4">
        <v>252.0</v>
      </c>
      <c r="B146" s="5" t="s">
        <v>133</v>
      </c>
      <c r="C146" s="5" t="s">
        <v>553</v>
      </c>
      <c r="D146" s="5" t="s">
        <v>554</v>
      </c>
      <c r="E146" s="5" t="s">
        <v>22</v>
      </c>
      <c r="F146" s="6">
        <v>46048.0</v>
      </c>
      <c r="G146" s="5" t="s">
        <v>23</v>
      </c>
      <c r="H146" s="6">
        <v>46048.0</v>
      </c>
      <c r="I146" s="5" t="s">
        <v>34</v>
      </c>
      <c r="J146" s="5" t="s">
        <v>35</v>
      </c>
      <c r="K146" s="5" t="s">
        <v>36</v>
      </c>
      <c r="L146" s="5" t="s">
        <v>323</v>
      </c>
      <c r="M146" s="7" t="s">
        <v>38</v>
      </c>
      <c r="N146" s="5" t="s">
        <v>39</v>
      </c>
      <c r="O146" s="5" t="s">
        <v>52</v>
      </c>
      <c r="P146" s="5" t="s">
        <v>555</v>
      </c>
      <c r="Q146" s="7" t="str">
        <f t="shared" si="1"/>
        <v>300- ServiceNow:320- Engineering</v>
      </c>
      <c r="R146" s="7" t="str">
        <f t="array" ref="R146">IF($N146="Yes","Cost of Goods Sold:COGS- Travel Expenses:",IF($N146="No",XLOOKUP($Q146,Key!$I:$I,Key!$J:$J),"Review Billable Status"))</f>
        <v>Cost of Goods Sold:COGS- Travel Expenses:</v>
      </c>
      <c r="S146" s="7" t="str">
        <f t="array" ref="S146">IF($N146="Yes","Cost of Goods Sold:COGS- Personnel Expense:",IF($N146="No",XLOOKUP($Q146,Key!$I:$I,Key!$K:$K),"Review Billable Status"))</f>
        <v>Cost of Goods Sold:COGS- Personnel Expense:</v>
      </c>
      <c r="T146" s="5"/>
      <c r="U146" s="5"/>
      <c r="V146" s="8"/>
      <c r="W146" s="8"/>
      <c r="X146" s="8"/>
      <c r="Y146" s="8"/>
      <c r="Z146" s="8"/>
    </row>
    <row r="147" ht="12.75" customHeight="1">
      <c r="A147" s="4">
        <v>253.0</v>
      </c>
      <c r="B147" s="5" t="s">
        <v>556</v>
      </c>
      <c r="C147" s="5" t="s">
        <v>557</v>
      </c>
      <c r="D147" s="5" t="s">
        <v>558</v>
      </c>
      <c r="E147" s="5" t="s">
        <v>22</v>
      </c>
      <c r="F147" s="6">
        <v>46069.0</v>
      </c>
      <c r="G147" s="5" t="s">
        <v>23</v>
      </c>
      <c r="H147" s="6">
        <v>46069.0</v>
      </c>
      <c r="I147" s="5" t="s">
        <v>34</v>
      </c>
      <c r="J147" s="5" t="s">
        <v>35</v>
      </c>
      <c r="K147" s="5" t="s">
        <v>36</v>
      </c>
      <c r="L147" s="5" t="s">
        <v>179</v>
      </c>
      <c r="M147" s="7" t="s">
        <v>38</v>
      </c>
      <c r="N147" s="5" t="s">
        <v>39</v>
      </c>
      <c r="O147" s="5" t="s">
        <v>59</v>
      </c>
      <c r="P147" s="5" t="s">
        <v>76</v>
      </c>
      <c r="Q147" s="7" t="str">
        <f t="shared" si="1"/>
        <v>300- ServiceNow:320- Engineering</v>
      </c>
      <c r="R147" s="7" t="str">
        <f t="array" ref="R147">IF($N147="Yes","Cost of Goods Sold:COGS- Travel Expenses:",IF($N147="No",XLOOKUP($Q147,Key!$I:$I,Key!$J:$J),"Review Billable Status"))</f>
        <v>Cost of Goods Sold:COGS- Travel Expenses:</v>
      </c>
      <c r="S147" s="7" t="str">
        <f t="array" ref="S147">IF($N147="Yes","Cost of Goods Sold:COGS- Personnel Expense:",IF($N147="No",XLOOKUP($Q147,Key!$I:$I,Key!$K:$K),"Review Billable Status"))</f>
        <v>Cost of Goods Sold:COGS- Personnel Expense:</v>
      </c>
      <c r="T147" s="5"/>
      <c r="U147" s="5"/>
      <c r="V147" s="8"/>
      <c r="W147" s="8"/>
      <c r="X147" s="8"/>
      <c r="Y147" s="8"/>
      <c r="Z147" s="8"/>
    </row>
    <row r="148" ht="12.75" customHeight="1">
      <c r="A148" s="4">
        <v>254.0</v>
      </c>
      <c r="B148" s="5" t="s">
        <v>559</v>
      </c>
      <c r="C148" s="5" t="s">
        <v>560</v>
      </c>
      <c r="D148" s="5" t="s">
        <v>561</v>
      </c>
      <c r="E148" s="5" t="s">
        <v>22</v>
      </c>
      <c r="F148" s="6">
        <v>46062.0</v>
      </c>
      <c r="G148" s="5" t="s">
        <v>23</v>
      </c>
      <c r="H148" s="6">
        <v>46062.0</v>
      </c>
      <c r="I148" s="5" t="s">
        <v>34</v>
      </c>
      <c r="J148" s="5" t="s">
        <v>35</v>
      </c>
      <c r="K148" s="5" t="s">
        <v>36</v>
      </c>
      <c r="L148" s="5" t="s">
        <v>153</v>
      </c>
      <c r="M148" s="7" t="s">
        <v>38</v>
      </c>
      <c r="N148" s="5" t="s">
        <v>39</v>
      </c>
      <c r="O148" s="5" t="s">
        <v>85</v>
      </c>
      <c r="P148" s="5" t="s">
        <v>205</v>
      </c>
      <c r="Q148" s="7" t="str">
        <f t="shared" si="1"/>
        <v>300- ServiceNow:320- Engineering</v>
      </c>
      <c r="R148" s="7" t="str">
        <f t="array" ref="R148">IF($N148="Yes","Cost of Goods Sold:COGS- Travel Expenses:",IF($N148="No",XLOOKUP($Q148,Key!$I:$I,Key!$J:$J),"Review Billable Status"))</f>
        <v>Cost of Goods Sold:COGS- Travel Expenses:</v>
      </c>
      <c r="S148" s="7" t="str">
        <f t="array" ref="S148">IF($N148="Yes","Cost of Goods Sold:COGS- Personnel Expense:",IF($N148="No",XLOOKUP($Q148,Key!$I:$I,Key!$K:$K),"Review Billable Status"))</f>
        <v>Cost of Goods Sold:COGS- Personnel Expense:</v>
      </c>
      <c r="T148" s="5"/>
      <c r="U148" s="5"/>
      <c r="V148" s="8"/>
      <c r="W148" s="8"/>
      <c r="X148" s="8"/>
      <c r="Y148" s="8"/>
      <c r="Z148" s="8"/>
    </row>
    <row r="149" ht="12.75" customHeight="1">
      <c r="A149" s="4">
        <v>255.0</v>
      </c>
      <c r="B149" s="5" t="s">
        <v>287</v>
      </c>
      <c r="C149" s="5" t="s">
        <v>562</v>
      </c>
      <c r="D149" s="5" t="s">
        <v>563</v>
      </c>
      <c r="E149" s="5" t="s">
        <v>22</v>
      </c>
      <c r="F149" s="6">
        <v>46055.0</v>
      </c>
      <c r="G149" s="5" t="s">
        <v>23</v>
      </c>
      <c r="H149" s="6">
        <v>46055.0</v>
      </c>
      <c r="I149" s="5" t="s">
        <v>64</v>
      </c>
      <c r="J149" s="5" t="s">
        <v>35</v>
      </c>
      <c r="K149" s="5" t="s">
        <v>25</v>
      </c>
      <c r="L149" s="5" t="s">
        <v>334</v>
      </c>
      <c r="M149" s="7" t="s">
        <v>75</v>
      </c>
      <c r="N149" s="5" t="s">
        <v>39</v>
      </c>
      <c r="O149" s="5" t="s">
        <v>85</v>
      </c>
      <c r="P149" s="5" t="s">
        <v>30</v>
      </c>
      <c r="Q149" s="7" t="str">
        <f t="shared" si="1"/>
        <v>200- Datadog:220- Engineering</v>
      </c>
      <c r="R149" s="7" t="str">
        <f t="array" ref="R149">IF($N149="Yes","Cost of Goods Sold:COGS- Travel Expenses:",IF($N149="No",XLOOKUP($Q149,Key!$I:$I,Key!$J:$J),"Review Billable Status"))</f>
        <v>Cost of Goods Sold:COGS- Travel Expenses:</v>
      </c>
      <c r="S149" s="7" t="str">
        <f t="array" ref="S149">IF($N149="Yes","Cost of Goods Sold:COGS- Personnel Expense:",IF($N149="No",XLOOKUP($Q149,Key!$I:$I,Key!$K:$K),"Review Billable Status"))</f>
        <v>Cost of Goods Sold:COGS- Personnel Expense:</v>
      </c>
      <c r="T149" s="5"/>
      <c r="U149" s="5"/>
      <c r="V149" s="8"/>
      <c r="W149" s="8"/>
      <c r="X149" s="8"/>
      <c r="Y149" s="8"/>
      <c r="Z149" s="8"/>
    </row>
    <row r="150" ht="12.75" customHeight="1">
      <c r="A150" s="4">
        <v>256.0</v>
      </c>
      <c r="B150" s="5" t="s">
        <v>564</v>
      </c>
      <c r="C150" s="5" t="s">
        <v>565</v>
      </c>
      <c r="D150" s="5" t="s">
        <v>566</v>
      </c>
      <c r="E150" s="5" t="s">
        <v>112</v>
      </c>
      <c r="F150" s="6">
        <v>46076.0</v>
      </c>
      <c r="G150" s="5" t="s">
        <v>23</v>
      </c>
      <c r="H150" s="6">
        <v>46076.0</v>
      </c>
      <c r="I150" s="5" t="s">
        <v>34</v>
      </c>
      <c r="J150" s="5" t="s">
        <v>130</v>
      </c>
      <c r="K150" s="5" t="s">
        <v>25</v>
      </c>
      <c r="L150" s="5" t="s">
        <v>279</v>
      </c>
      <c r="M150" s="7" t="s">
        <v>132</v>
      </c>
      <c r="N150" s="5" t="s">
        <v>39</v>
      </c>
      <c r="O150" s="5" t="s">
        <v>85</v>
      </c>
      <c r="P150" s="5" t="s">
        <v>30</v>
      </c>
      <c r="Q150" s="7" t="str">
        <f t="shared" si="1"/>
        <v>300- ServiceNow:310- Delivery</v>
      </c>
      <c r="R150" s="7" t="str">
        <f t="array" ref="R150">IF($N150="Yes","Cost of Goods Sold:COGS- Travel Expenses:",IF($N150="No",XLOOKUP($Q150,Key!$I:$I,Key!$J:$J),"Review Billable Status"))</f>
        <v>Cost of Goods Sold:COGS- Travel Expenses:</v>
      </c>
      <c r="S150" s="7" t="str">
        <f t="array" ref="S150">IF($N150="Yes","Cost of Goods Sold:COGS- Personnel Expense:",IF($N150="No",XLOOKUP($Q150,Key!$I:$I,Key!$K:$K),"Review Billable Status"))</f>
        <v>Cost of Goods Sold:COGS- Personnel Expense:</v>
      </c>
      <c r="T150" s="5"/>
      <c r="U150" s="5"/>
      <c r="V150" s="8"/>
      <c r="W150" s="8"/>
      <c r="X150" s="8"/>
      <c r="Y150" s="8"/>
      <c r="Z150" s="8"/>
    </row>
    <row r="151" ht="12.75" customHeight="1">
      <c r="A151" s="4">
        <v>257.0</v>
      </c>
      <c r="B151" s="5" t="s">
        <v>567</v>
      </c>
      <c r="C151" s="5" t="s">
        <v>568</v>
      </c>
      <c r="D151" s="5" t="s">
        <v>569</v>
      </c>
      <c r="E151" s="5" t="s">
        <v>22</v>
      </c>
      <c r="F151" s="6">
        <v>46069.0</v>
      </c>
      <c r="G151" s="5" t="s">
        <v>23</v>
      </c>
      <c r="H151" s="6">
        <v>46069.0</v>
      </c>
      <c r="I151" s="5" t="s">
        <v>34</v>
      </c>
      <c r="J151" s="5" t="s">
        <v>45</v>
      </c>
      <c r="K151" s="5" t="s">
        <v>36</v>
      </c>
      <c r="L151" s="5" t="s">
        <v>570</v>
      </c>
      <c r="M151" s="7" t="s">
        <v>47</v>
      </c>
      <c r="N151" s="5" t="s">
        <v>28</v>
      </c>
      <c r="O151" s="5" t="s">
        <v>52</v>
      </c>
      <c r="P151" s="5" t="s">
        <v>180</v>
      </c>
      <c r="Q151" s="7" t="str">
        <f t="shared" si="1"/>
        <v>300- ServiceNow:330- Sales</v>
      </c>
      <c r="R151" s="7" t="str">
        <f t="array" ref="R151">IF($N151="Yes","Cost of Goods Sold:COGS- Travel Expenses:",IF($N151="No",XLOOKUP($Q151,Key!$I:$I,Key!$J:$J),"Review Billable Status"))</f>
        <v>Sales &amp; Marketing:Sales &amp; Marketing- Travel Expenses:</v>
      </c>
      <c r="S151" s="7" t="str">
        <f t="array" ref="S151">IF($N151="Yes","Cost of Goods Sold:COGS- Personnel Expense:",IF($N151="No",XLOOKUP($Q151,Key!$I:$I,Key!$K:$K),"Review Billable Status"))</f>
        <v>Sales &amp; Marketing:Sales &amp; Marketing- Personnel Expenses:</v>
      </c>
      <c r="T151" s="5"/>
      <c r="U151" s="5"/>
      <c r="V151" s="8"/>
      <c r="W151" s="8"/>
      <c r="X151" s="8"/>
      <c r="Y151" s="8"/>
      <c r="Z151" s="8"/>
    </row>
    <row r="152" ht="12.75" customHeight="1">
      <c r="A152" s="4">
        <v>259.0</v>
      </c>
      <c r="B152" s="5" t="s">
        <v>571</v>
      </c>
      <c r="C152" s="5" t="s">
        <v>572</v>
      </c>
      <c r="D152" s="5" t="s">
        <v>573</v>
      </c>
      <c r="E152" s="5" t="s">
        <v>22</v>
      </c>
      <c r="F152" s="6">
        <v>46084.0</v>
      </c>
      <c r="G152" s="5" t="s">
        <v>23</v>
      </c>
      <c r="H152" s="6">
        <v>46084.0</v>
      </c>
      <c r="I152" s="5" t="s">
        <v>34</v>
      </c>
      <c r="J152" s="5" t="s">
        <v>35</v>
      </c>
      <c r="K152" s="5" t="s">
        <v>36</v>
      </c>
      <c r="L152" s="5" t="s">
        <v>179</v>
      </c>
      <c r="M152" s="7" t="s">
        <v>38</v>
      </c>
      <c r="N152" s="5" t="s">
        <v>39</v>
      </c>
      <c r="O152" s="5" t="s">
        <v>59</v>
      </c>
      <c r="P152" s="5" t="s">
        <v>386</v>
      </c>
      <c r="Q152" s="7" t="str">
        <f t="shared" si="1"/>
        <v>300- ServiceNow:320- Engineering</v>
      </c>
      <c r="R152" s="7" t="str">
        <f t="array" ref="R152">IF($N152="Yes","Cost of Goods Sold:COGS- Travel Expenses:",IF($N152="No",XLOOKUP($Q152,Key!$I:$I,Key!$J:$J),"Review Billable Status"))</f>
        <v>Cost of Goods Sold:COGS- Travel Expenses:</v>
      </c>
      <c r="S152" s="7" t="str">
        <f t="array" ref="S152">IF($N152="Yes","Cost of Goods Sold:COGS- Personnel Expense:",IF($N152="No",XLOOKUP($Q152,Key!$I:$I,Key!$K:$K),"Review Billable Status"))</f>
        <v>Cost of Goods Sold:COGS- Personnel Expense:</v>
      </c>
      <c r="T152" s="5"/>
      <c r="U152" s="5"/>
      <c r="V152" s="8"/>
      <c r="W152" s="8"/>
      <c r="X152" s="8"/>
      <c r="Y152" s="8"/>
      <c r="Z152" s="8"/>
    </row>
    <row r="153" ht="12.75" customHeight="1">
      <c r="A153" s="4">
        <v>260.0</v>
      </c>
      <c r="B153" s="5" t="s">
        <v>574</v>
      </c>
      <c r="C153" s="5" t="s">
        <v>575</v>
      </c>
      <c r="D153" s="5" t="s">
        <v>576</v>
      </c>
      <c r="E153" s="5" t="s">
        <v>22</v>
      </c>
      <c r="F153" s="6">
        <v>46097.0</v>
      </c>
      <c r="G153" s="5" t="s">
        <v>23</v>
      </c>
      <c r="H153" s="6">
        <v>46097.0</v>
      </c>
      <c r="I153" s="5" t="s">
        <v>34</v>
      </c>
      <c r="J153" s="5" t="s">
        <v>35</v>
      </c>
      <c r="K153" s="5" t="s">
        <v>36</v>
      </c>
      <c r="L153" s="5" t="s">
        <v>153</v>
      </c>
      <c r="M153" s="7" t="s">
        <v>38</v>
      </c>
      <c r="N153" s="5" t="s">
        <v>39</v>
      </c>
      <c r="O153" s="5" t="s">
        <v>85</v>
      </c>
      <c r="P153" s="5" t="s">
        <v>320</v>
      </c>
      <c r="Q153" s="7" t="str">
        <f t="shared" si="1"/>
        <v>300- ServiceNow:320- Engineering</v>
      </c>
      <c r="R153" s="7" t="str">
        <f t="array" ref="R153">IF($N153="Yes","Cost of Goods Sold:COGS- Travel Expenses:",IF($N153="No",XLOOKUP($Q153,Key!$I:$I,Key!$J:$J),"Review Billable Status"))</f>
        <v>Cost of Goods Sold:COGS- Travel Expenses:</v>
      </c>
      <c r="S153" s="7" t="str">
        <f t="array" ref="S153">IF($N153="Yes","Cost of Goods Sold:COGS- Personnel Expense:",IF($N153="No",XLOOKUP($Q153,Key!$I:$I,Key!$K:$K),"Review Billable Status"))</f>
        <v>Cost of Goods Sold:COGS- Personnel Expense:</v>
      </c>
      <c r="T153" s="5"/>
      <c r="U153" s="5"/>
      <c r="V153" s="8"/>
      <c r="W153" s="8"/>
      <c r="X153" s="8"/>
      <c r="Y153" s="8"/>
      <c r="Z153" s="8"/>
    </row>
    <row r="154" ht="12.75" customHeight="1">
      <c r="A154" s="4">
        <v>261.0</v>
      </c>
      <c r="B154" s="5" t="s">
        <v>159</v>
      </c>
      <c r="C154" s="5" t="s">
        <v>577</v>
      </c>
      <c r="D154" s="5" t="s">
        <v>578</v>
      </c>
      <c r="E154" s="5" t="s">
        <v>22</v>
      </c>
      <c r="F154" s="6">
        <v>46091.0</v>
      </c>
      <c r="G154" s="5" t="s">
        <v>23</v>
      </c>
      <c r="H154" s="6">
        <v>46091.0</v>
      </c>
      <c r="I154" s="5" t="s">
        <v>64</v>
      </c>
      <c r="J154" s="5" t="s">
        <v>35</v>
      </c>
      <c r="K154" s="5" t="s">
        <v>107</v>
      </c>
      <c r="L154" s="5" t="s">
        <v>579</v>
      </c>
      <c r="M154" s="7" t="s">
        <v>75</v>
      </c>
      <c r="N154" s="5" t="s">
        <v>39</v>
      </c>
      <c r="O154" s="5" t="s">
        <v>52</v>
      </c>
      <c r="P154" s="5" t="s">
        <v>580</v>
      </c>
      <c r="Q154" s="7" t="str">
        <f t="shared" si="1"/>
        <v>200- Datadog:220- Engineering</v>
      </c>
      <c r="R154" s="7" t="str">
        <f t="array" ref="R154">IF($N154="Yes","Cost of Goods Sold:COGS- Travel Expenses:",IF($N154="No",XLOOKUP($Q154,Key!$I:$I,Key!$J:$J),"Review Billable Status"))</f>
        <v>Cost of Goods Sold:COGS- Travel Expenses:</v>
      </c>
      <c r="S154" s="7" t="str">
        <f t="array" ref="S154">IF($N154="Yes","Cost of Goods Sold:COGS- Personnel Expense:",IF($N154="No",XLOOKUP($Q154,Key!$I:$I,Key!$K:$K),"Review Billable Status"))</f>
        <v>Cost of Goods Sold:COGS- Personnel Expense:</v>
      </c>
      <c r="T154" s="5"/>
      <c r="U154" s="5"/>
      <c r="V154" s="8"/>
      <c r="W154" s="8"/>
      <c r="X154" s="8"/>
      <c r="Y154" s="8"/>
      <c r="Z154" s="8"/>
    </row>
    <row r="155" ht="12.75" customHeight="1">
      <c r="A155" s="4">
        <v>262.0</v>
      </c>
      <c r="B155" s="5" t="s">
        <v>581</v>
      </c>
      <c r="C155" s="5" t="s">
        <v>582</v>
      </c>
      <c r="D155" s="5" t="s">
        <v>583</v>
      </c>
      <c r="E155" s="5" t="s">
        <v>22</v>
      </c>
      <c r="F155" s="6">
        <v>46076.0</v>
      </c>
      <c r="G155" s="5" t="s">
        <v>23</v>
      </c>
      <c r="H155" s="6">
        <v>46076.0</v>
      </c>
      <c r="I155" s="5" t="s">
        <v>64</v>
      </c>
      <c r="J155" s="5" t="s">
        <v>35</v>
      </c>
      <c r="K155" s="5" t="s">
        <v>25</v>
      </c>
      <c r="L155" s="5" t="s">
        <v>579</v>
      </c>
      <c r="M155" s="7" t="s">
        <v>75</v>
      </c>
      <c r="N155" s="5" t="s">
        <v>39</v>
      </c>
      <c r="O155" s="5" t="s">
        <v>52</v>
      </c>
      <c r="P155" s="5" t="s">
        <v>30</v>
      </c>
      <c r="Q155" s="7" t="str">
        <f t="shared" si="1"/>
        <v>200- Datadog:220- Engineering</v>
      </c>
      <c r="R155" s="7" t="str">
        <f t="array" ref="R155">IF($N155="Yes","Cost of Goods Sold:COGS- Travel Expenses:",IF($N155="No",XLOOKUP($Q155,Key!$I:$I,Key!$J:$J),"Review Billable Status"))</f>
        <v>Cost of Goods Sold:COGS- Travel Expenses:</v>
      </c>
      <c r="S155" s="7" t="str">
        <f t="array" ref="S155">IF($N155="Yes","Cost of Goods Sold:COGS- Personnel Expense:",IF($N155="No",XLOOKUP($Q155,Key!$I:$I,Key!$K:$K),"Review Billable Status"))</f>
        <v>Cost of Goods Sold:COGS- Personnel Expense:</v>
      </c>
      <c r="T155" s="5"/>
      <c r="U155" s="5"/>
      <c r="V155" s="8"/>
      <c r="W155" s="8"/>
      <c r="X155" s="8"/>
      <c r="Y155" s="8"/>
      <c r="Z155" s="8"/>
    </row>
    <row r="156" ht="12.75" customHeight="1">
      <c r="A156" s="4">
        <v>263.0</v>
      </c>
      <c r="B156" s="5" t="s">
        <v>584</v>
      </c>
      <c r="C156" s="5" t="s">
        <v>101</v>
      </c>
      <c r="D156" s="5" t="s">
        <v>585</v>
      </c>
      <c r="E156" s="5" t="s">
        <v>22</v>
      </c>
      <c r="F156" s="6">
        <v>46083.0</v>
      </c>
      <c r="G156" s="5" t="s">
        <v>23</v>
      </c>
      <c r="H156" s="6">
        <v>46083.0</v>
      </c>
      <c r="I156" s="5" t="s">
        <v>64</v>
      </c>
      <c r="J156" s="5" t="s">
        <v>35</v>
      </c>
      <c r="K156" s="5" t="s">
        <v>25</v>
      </c>
      <c r="L156" s="5" t="s">
        <v>586</v>
      </c>
      <c r="M156" s="7" t="s">
        <v>75</v>
      </c>
      <c r="N156" s="5" t="s">
        <v>39</v>
      </c>
      <c r="O156" s="5" t="s">
        <v>52</v>
      </c>
      <c r="P156" s="5" t="s">
        <v>30</v>
      </c>
      <c r="Q156" s="7" t="str">
        <f t="shared" si="1"/>
        <v>200- Datadog:220- Engineering</v>
      </c>
      <c r="R156" s="7" t="str">
        <f t="array" ref="R156">IF($N156="Yes","Cost of Goods Sold:COGS- Travel Expenses:",IF($N156="No",XLOOKUP($Q156,Key!$I:$I,Key!$J:$J),"Review Billable Status"))</f>
        <v>Cost of Goods Sold:COGS- Travel Expenses:</v>
      </c>
      <c r="S156" s="7" t="str">
        <f t="array" ref="S156">IF($N156="Yes","Cost of Goods Sold:COGS- Personnel Expense:",IF($N156="No",XLOOKUP($Q156,Key!$I:$I,Key!$K:$K),"Review Billable Status"))</f>
        <v>Cost of Goods Sold:COGS- Personnel Expense:</v>
      </c>
      <c r="T156" s="5"/>
      <c r="U156" s="5"/>
      <c r="V156" s="8"/>
      <c r="W156" s="8"/>
      <c r="X156" s="8"/>
      <c r="Y156" s="8"/>
      <c r="Z156" s="8"/>
    </row>
    <row r="157" ht="12.75" customHeight="1">
      <c r="A157" s="4">
        <v>264.0</v>
      </c>
      <c r="B157" s="5" t="s">
        <v>587</v>
      </c>
      <c r="C157" s="5" t="s">
        <v>588</v>
      </c>
      <c r="D157" s="5" t="s">
        <v>589</v>
      </c>
      <c r="E157" s="5" t="s">
        <v>22</v>
      </c>
      <c r="F157" s="6">
        <v>46132.0</v>
      </c>
      <c r="G157" s="5" t="s">
        <v>23</v>
      </c>
      <c r="H157" s="6">
        <v>46132.0</v>
      </c>
      <c r="I157" s="5" t="s">
        <v>64</v>
      </c>
      <c r="J157" s="5" t="s">
        <v>45</v>
      </c>
      <c r="K157" s="5" t="s">
        <v>36</v>
      </c>
      <c r="L157" s="5" t="s">
        <v>140</v>
      </c>
      <c r="M157" s="7" t="s">
        <v>66</v>
      </c>
      <c r="N157" s="5" t="s">
        <v>28</v>
      </c>
      <c r="O157" s="5" t="s">
        <v>52</v>
      </c>
      <c r="P157" s="5" t="s">
        <v>345</v>
      </c>
      <c r="Q157" s="7" t="str">
        <f t="shared" si="1"/>
        <v>200- Datadog:230- Sales</v>
      </c>
      <c r="R157" s="7" t="str">
        <f t="array" ref="R157">IF($N157="Yes","Cost of Goods Sold:COGS- Travel Expenses:",IF($N157="No",XLOOKUP($Q157,Key!$I:$I,Key!$J:$J),"Review Billable Status"))</f>
        <v>Sales &amp; Marketing:Sales &amp; Marketing- Travel Expenses:</v>
      </c>
      <c r="S157" s="7" t="str">
        <f t="array" ref="S157">IF($N157="Yes","Cost of Goods Sold:COGS- Personnel Expense:",IF($N157="No",XLOOKUP($Q157,Key!$I:$I,Key!$K:$K),"Review Billable Status"))</f>
        <v>Sales &amp; Marketing:Sales &amp; Marketing- Personnel Expenses:</v>
      </c>
      <c r="T157" s="5"/>
      <c r="U157" s="5"/>
      <c r="V157" s="8"/>
      <c r="W157" s="8"/>
      <c r="X157" s="8"/>
      <c r="Y157" s="8"/>
      <c r="Z157" s="8"/>
    </row>
    <row r="158" ht="12.75" customHeight="1">
      <c r="A158" s="4">
        <v>266.0</v>
      </c>
      <c r="B158" s="5" t="s">
        <v>590</v>
      </c>
      <c r="C158" s="5" t="s">
        <v>591</v>
      </c>
      <c r="D158" s="5" t="s">
        <v>592</v>
      </c>
      <c r="E158" s="5" t="s">
        <v>112</v>
      </c>
      <c r="F158" s="6">
        <v>46168.0</v>
      </c>
      <c r="G158" s="5" t="s">
        <v>377</v>
      </c>
      <c r="H158" s="6">
        <v>46168.0</v>
      </c>
      <c r="I158" s="5" t="s">
        <v>34</v>
      </c>
      <c r="J158" s="5" t="s">
        <v>130</v>
      </c>
      <c r="K158" s="5" t="s">
        <v>25</v>
      </c>
      <c r="L158" s="5" t="s">
        <v>593</v>
      </c>
      <c r="M158" s="7" t="s">
        <v>132</v>
      </c>
      <c r="N158" s="5" t="s">
        <v>28</v>
      </c>
      <c r="O158" s="5" t="s">
        <v>379</v>
      </c>
      <c r="P158" s="5" t="s">
        <v>30</v>
      </c>
      <c r="Q158" s="7" t="str">
        <f t="shared" si="1"/>
        <v>300- ServiceNow:310- Delivery</v>
      </c>
      <c r="R158" s="7" t="str">
        <f t="array" ref="R158">IF($N158="Yes","Cost of Goods Sold:COGS- Travel Expenses:",IF($N158="No",XLOOKUP($Q158,Key!$I:$I,Key!$J:$J),"Review Billable Status"))</f>
        <v>General &amp; Administrative:G&amp;A- Travel Expenses:</v>
      </c>
      <c r="S158" s="7" t="str">
        <f t="array" ref="S158">IF($N158="Yes","Cost of Goods Sold:COGS- Personnel Expense:",IF($N158="No",XLOOKUP($Q158,Key!$I:$I,Key!$K:$K),"Review Billable Status"))</f>
        <v>General &amp; Administrative:G&amp;A- Personnel Expenses:</v>
      </c>
      <c r="T158" s="5"/>
      <c r="U158" s="5"/>
      <c r="V158" s="8"/>
      <c r="W158" s="8"/>
      <c r="X158" s="8"/>
      <c r="Y158" s="8"/>
      <c r="Z158" s="8"/>
    </row>
    <row r="159" ht="12.75" customHeight="1">
      <c r="A159" s="4">
        <v>268.0</v>
      </c>
      <c r="B159" s="5" t="s">
        <v>594</v>
      </c>
      <c r="C159" s="5" t="s">
        <v>595</v>
      </c>
      <c r="D159" s="5" t="s">
        <v>596</v>
      </c>
      <c r="E159" s="5" t="s">
        <v>112</v>
      </c>
      <c r="F159" s="6">
        <v>46105.0</v>
      </c>
      <c r="G159" s="5" t="s">
        <v>377</v>
      </c>
      <c r="H159" s="6">
        <v>46105.0</v>
      </c>
      <c r="I159" s="5" t="s">
        <v>24</v>
      </c>
      <c r="J159" s="5" t="s">
        <v>170</v>
      </c>
      <c r="K159" s="5" t="s">
        <v>25</v>
      </c>
      <c r="L159" s="5" t="s">
        <v>597</v>
      </c>
      <c r="M159" s="7" t="s">
        <v>199</v>
      </c>
      <c r="N159" s="5" t="s">
        <v>28</v>
      </c>
      <c r="O159" s="5" t="s">
        <v>379</v>
      </c>
      <c r="P159" s="5" t="s">
        <v>30</v>
      </c>
      <c r="Q159" s="7" t="str">
        <f t="shared" si="1"/>
        <v>100- Operations:110- G&amp;A</v>
      </c>
      <c r="R159" s="7" t="str">
        <f t="array" ref="R159">IF($N159="Yes","Cost of Goods Sold:COGS- Travel Expenses:",IF($N159="No",XLOOKUP($Q159,Key!$I:$I,Key!$J:$J),"Review Billable Status"))</f>
        <v>General &amp; Administrative:G&amp;A- Travel Expenses:</v>
      </c>
      <c r="S159" s="7" t="str">
        <f t="array" ref="S159">IF($N159="Yes","Cost of Goods Sold:COGS- Personnel Expense:",IF($N159="No",XLOOKUP($Q159,Key!$I:$I,Key!$K:$K),"Review Billable Status"))</f>
        <v>General &amp; Administrative:G&amp;A- Personnel Expenses:</v>
      </c>
      <c r="T159" s="5"/>
      <c r="U159" s="5"/>
      <c r="V159" s="8"/>
      <c r="W159" s="8"/>
      <c r="X159" s="8"/>
      <c r="Y159" s="8"/>
      <c r="Z159" s="8"/>
    </row>
    <row r="160" ht="12.75" customHeight="1">
      <c r="A160" s="4">
        <v>269.0</v>
      </c>
      <c r="B160" s="5" t="s">
        <v>598</v>
      </c>
      <c r="C160" s="5" t="s">
        <v>599</v>
      </c>
      <c r="D160" s="5" t="s">
        <v>600</v>
      </c>
      <c r="E160" s="5" t="s">
        <v>22</v>
      </c>
      <c r="F160" s="6">
        <v>46118.0</v>
      </c>
      <c r="G160" s="5" t="s">
        <v>23</v>
      </c>
      <c r="H160" s="6">
        <v>46118.0</v>
      </c>
      <c r="I160" s="5" t="s">
        <v>34</v>
      </c>
      <c r="J160" s="5" t="s">
        <v>45</v>
      </c>
      <c r="K160" s="5" t="s">
        <v>36</v>
      </c>
      <c r="L160" s="5" t="s">
        <v>140</v>
      </c>
      <c r="M160" s="7" t="s">
        <v>47</v>
      </c>
      <c r="N160" s="5" t="s">
        <v>28</v>
      </c>
      <c r="O160" s="5" t="s">
        <v>52</v>
      </c>
      <c r="P160" s="5" t="s">
        <v>144</v>
      </c>
      <c r="Q160" s="7" t="str">
        <f t="shared" si="1"/>
        <v>300- ServiceNow:330- Sales</v>
      </c>
      <c r="R160" s="7" t="str">
        <f t="array" ref="R160">IF($N160="Yes","Cost of Goods Sold:COGS- Travel Expenses:",IF($N160="No",XLOOKUP($Q160,Key!$I:$I,Key!$J:$J),"Review Billable Status"))</f>
        <v>Sales &amp; Marketing:Sales &amp; Marketing- Travel Expenses:</v>
      </c>
      <c r="S160" s="7" t="str">
        <f t="array" ref="S160">IF($N160="Yes","Cost of Goods Sold:COGS- Personnel Expense:",IF($N160="No",XLOOKUP($Q160,Key!$I:$I,Key!$K:$K),"Review Billable Status"))</f>
        <v>Sales &amp; Marketing:Sales &amp; Marketing- Personnel Expenses:</v>
      </c>
      <c r="T160" s="5"/>
      <c r="U160" s="5"/>
      <c r="V160" s="8"/>
      <c r="W160" s="8"/>
      <c r="X160" s="8"/>
      <c r="Y160" s="8"/>
      <c r="Z160" s="8"/>
    </row>
    <row r="161" ht="12.75" customHeight="1">
      <c r="A161" s="4">
        <v>270.0</v>
      </c>
      <c r="B161" s="5" t="s">
        <v>409</v>
      </c>
      <c r="C161" s="5" t="s">
        <v>467</v>
      </c>
      <c r="D161" s="5" t="s">
        <v>601</v>
      </c>
      <c r="E161" s="5"/>
      <c r="F161" s="6">
        <v>46209.0</v>
      </c>
      <c r="G161" s="5" t="s">
        <v>23</v>
      </c>
      <c r="H161" s="6">
        <v>46209.0</v>
      </c>
      <c r="I161" s="5" t="s">
        <v>64</v>
      </c>
      <c r="J161" s="5" t="s">
        <v>45</v>
      </c>
      <c r="K161" s="5" t="s">
        <v>107</v>
      </c>
      <c r="L161" s="5" t="s">
        <v>165</v>
      </c>
      <c r="M161" s="7" t="s">
        <v>66</v>
      </c>
      <c r="N161" s="5" t="s">
        <v>28</v>
      </c>
      <c r="O161" s="5" t="s">
        <v>59</v>
      </c>
      <c r="P161" s="5" t="s">
        <v>602</v>
      </c>
      <c r="Q161" s="7" t="str">
        <f t="shared" si="1"/>
        <v>200- Datadog:230- Sales</v>
      </c>
      <c r="R161" s="7" t="str">
        <f t="array" ref="R161">IF($N161="Yes","Cost of Goods Sold:COGS- Travel Expenses:",IF($N161="No",XLOOKUP($Q161,Key!$I:$I,Key!$J:$J),"Review Billable Status"))</f>
        <v>Sales &amp; Marketing:Sales &amp; Marketing- Travel Expenses:</v>
      </c>
      <c r="S161" s="7" t="str">
        <f t="array" ref="S161">IF($N161="Yes","Cost of Goods Sold:COGS- Personnel Expense:",IF($N161="No",XLOOKUP($Q161,Key!$I:$I,Key!$K:$K),"Review Billable Status"))</f>
        <v>Sales &amp; Marketing:Sales &amp; Marketing- Personnel Expenses:</v>
      </c>
      <c r="T161" s="5"/>
      <c r="U161" s="5"/>
      <c r="V161" s="8"/>
      <c r="W161" s="8"/>
      <c r="X161" s="8"/>
      <c r="Y161" s="8"/>
      <c r="Z161" s="8"/>
    </row>
    <row r="162" ht="12.75" customHeight="1">
      <c r="A162" s="4">
        <v>271.0</v>
      </c>
      <c r="B162" s="5" t="s">
        <v>603</v>
      </c>
      <c r="C162" s="5" t="s">
        <v>604</v>
      </c>
      <c r="D162" s="5" t="s">
        <v>605</v>
      </c>
      <c r="E162" s="5" t="s">
        <v>112</v>
      </c>
      <c r="F162" s="6">
        <v>46133.0</v>
      </c>
      <c r="G162" s="5" t="s">
        <v>23</v>
      </c>
      <c r="H162" s="6">
        <v>46133.0</v>
      </c>
      <c r="I162" s="5" t="s">
        <v>34</v>
      </c>
      <c r="J162" s="5" t="s">
        <v>130</v>
      </c>
      <c r="K162" s="5" t="s">
        <v>25</v>
      </c>
      <c r="L162" s="5" t="s">
        <v>606</v>
      </c>
      <c r="M162" s="7" t="s">
        <v>132</v>
      </c>
      <c r="N162" s="5" t="s">
        <v>39</v>
      </c>
      <c r="O162" s="5" t="s">
        <v>59</v>
      </c>
      <c r="P162" s="5" t="s">
        <v>30</v>
      </c>
      <c r="Q162" s="7" t="str">
        <f t="shared" si="1"/>
        <v>300- ServiceNow:310- Delivery</v>
      </c>
      <c r="R162" s="7" t="str">
        <f t="array" ref="R162">IF($N162="Yes","Cost of Goods Sold:COGS- Travel Expenses:",IF($N162="No",XLOOKUP($Q162,Key!$I:$I,Key!$J:$J),"Review Billable Status"))</f>
        <v>Cost of Goods Sold:COGS- Travel Expenses:</v>
      </c>
      <c r="S162" s="7" t="str">
        <f t="array" ref="S162">IF($N162="Yes","Cost of Goods Sold:COGS- Personnel Expense:",IF($N162="No",XLOOKUP($Q162,Key!$I:$I,Key!$K:$K),"Review Billable Status"))</f>
        <v>Cost of Goods Sold:COGS- Personnel Expense:</v>
      </c>
      <c r="T162" s="5"/>
      <c r="U162" s="5"/>
      <c r="V162" s="8"/>
      <c r="W162" s="8"/>
      <c r="X162" s="8"/>
      <c r="Y162" s="8"/>
      <c r="Z162" s="8"/>
    </row>
    <row r="163" ht="12.75" customHeight="1">
      <c r="A163" s="4">
        <v>273.0</v>
      </c>
      <c r="B163" s="5" t="s">
        <v>145</v>
      </c>
      <c r="C163" s="5" t="s">
        <v>607</v>
      </c>
      <c r="D163" s="5" t="s">
        <v>608</v>
      </c>
      <c r="E163" s="5" t="s">
        <v>22</v>
      </c>
      <c r="F163" s="6">
        <v>46153.0</v>
      </c>
      <c r="G163" s="5" t="s">
        <v>377</v>
      </c>
      <c r="H163" s="6">
        <v>46153.0</v>
      </c>
      <c r="I163" s="5" t="s">
        <v>24</v>
      </c>
      <c r="J163" s="5" t="s">
        <v>24</v>
      </c>
      <c r="K163" s="5" t="s">
        <v>25</v>
      </c>
      <c r="L163" s="5" t="s">
        <v>609</v>
      </c>
      <c r="M163" s="7" t="s">
        <v>199</v>
      </c>
      <c r="N163" s="5" t="s">
        <v>28</v>
      </c>
      <c r="O163" s="5" t="s">
        <v>379</v>
      </c>
      <c r="P163" s="5" t="s">
        <v>30</v>
      </c>
      <c r="Q163" s="7" t="str">
        <f t="shared" si="1"/>
        <v>100- Operations:110- G&amp;A</v>
      </c>
      <c r="R163" s="7" t="str">
        <f t="array" ref="R163">IF($N163="Yes","Cost of Goods Sold:COGS- Travel Expenses:",IF($N163="No",XLOOKUP($Q163,Key!$I:$I,Key!$J:$J),"Review Billable Status"))</f>
        <v>General &amp; Administrative:G&amp;A- Travel Expenses:</v>
      </c>
      <c r="S163" s="7" t="str">
        <f t="array" ref="S163">IF($N163="Yes","Cost of Goods Sold:COGS- Personnel Expense:",IF($N163="No",XLOOKUP($Q163,Key!$I:$I,Key!$K:$K),"Review Billable Status"))</f>
        <v>General &amp; Administrative:G&amp;A- Personnel Expenses:</v>
      </c>
      <c r="T163" s="5"/>
      <c r="U163" s="5"/>
      <c r="V163" s="8"/>
      <c r="W163" s="8"/>
      <c r="X163" s="8"/>
      <c r="Y163" s="8"/>
      <c r="Z163" s="8"/>
    </row>
    <row r="164" ht="12.75" customHeight="1">
      <c r="A164" s="4">
        <v>274.0</v>
      </c>
      <c r="B164" s="5" t="s">
        <v>610</v>
      </c>
      <c r="C164" s="5" t="s">
        <v>611</v>
      </c>
      <c r="D164" s="5" t="s">
        <v>612</v>
      </c>
      <c r="E164" s="5" t="s">
        <v>22</v>
      </c>
      <c r="F164" s="6">
        <v>46132.0</v>
      </c>
      <c r="G164" s="5" t="s">
        <v>23</v>
      </c>
      <c r="H164" s="6">
        <v>46132.0</v>
      </c>
      <c r="I164" s="5" t="s">
        <v>64</v>
      </c>
      <c r="J164" s="5" t="s">
        <v>35</v>
      </c>
      <c r="K164" s="5" t="s">
        <v>107</v>
      </c>
      <c r="L164" s="5" t="s">
        <v>579</v>
      </c>
      <c r="M164" s="7" t="s">
        <v>75</v>
      </c>
      <c r="N164" s="5" t="s">
        <v>39</v>
      </c>
      <c r="O164" s="5" t="s">
        <v>52</v>
      </c>
      <c r="P164" s="5" t="s">
        <v>613</v>
      </c>
      <c r="Q164" s="7" t="str">
        <f t="shared" si="1"/>
        <v>200- Datadog:220- Engineering</v>
      </c>
      <c r="R164" s="7" t="str">
        <f t="array" ref="R164">IF($N164="Yes","Cost of Goods Sold:COGS- Travel Expenses:",IF($N164="No",XLOOKUP($Q164,Key!$I:$I,Key!$J:$J),"Review Billable Status"))</f>
        <v>Cost of Goods Sold:COGS- Travel Expenses:</v>
      </c>
      <c r="S164" s="7" t="str">
        <f t="array" ref="S164">IF($N164="Yes","Cost of Goods Sold:COGS- Personnel Expense:",IF($N164="No",XLOOKUP($Q164,Key!$I:$I,Key!$K:$K),"Review Billable Status"))</f>
        <v>Cost of Goods Sold:COGS- Personnel Expense:</v>
      </c>
      <c r="T164" s="5"/>
      <c r="U164" s="5"/>
      <c r="V164" s="8"/>
      <c r="W164" s="8"/>
      <c r="X164" s="8"/>
      <c r="Y164" s="8"/>
      <c r="Z164" s="8"/>
    </row>
    <row r="165" ht="12.75" customHeight="1">
      <c r="A165" s="4">
        <v>275.0</v>
      </c>
      <c r="B165" s="5" t="s">
        <v>262</v>
      </c>
      <c r="C165" s="5" t="s">
        <v>614</v>
      </c>
      <c r="D165" s="5" t="s">
        <v>615</v>
      </c>
      <c r="E165" s="5" t="s">
        <v>22</v>
      </c>
      <c r="F165" s="6">
        <v>46160.0</v>
      </c>
      <c r="G165" s="5" t="s">
        <v>23</v>
      </c>
      <c r="H165" s="6">
        <v>46160.0</v>
      </c>
      <c r="I165" s="5" t="s">
        <v>24</v>
      </c>
      <c r="J165" s="5" t="s">
        <v>256</v>
      </c>
      <c r="K165" s="5" t="s">
        <v>25</v>
      </c>
      <c r="L165" s="5" t="s">
        <v>616</v>
      </c>
      <c r="M165" s="7" t="s">
        <v>258</v>
      </c>
      <c r="N165" s="5" t="s">
        <v>28</v>
      </c>
      <c r="O165" s="5" t="s">
        <v>85</v>
      </c>
      <c r="P165" s="5" t="s">
        <v>30</v>
      </c>
      <c r="Q165" s="7" t="str">
        <f t="shared" si="1"/>
        <v>100- Operations:120- Marketing</v>
      </c>
      <c r="R165" s="7" t="str">
        <f t="array" ref="R165">IF($N165="Yes","Cost of Goods Sold:COGS- Travel Expenses:",IF($N165="No",XLOOKUP($Q165,Key!$I:$I,Key!$J:$J),"Review Billable Status"))</f>
        <v>Sales &amp; Marketing:Sales &amp; Marketing- Travel Expenses:</v>
      </c>
      <c r="S165" s="7" t="str">
        <f t="array" ref="S165">IF($N165="Yes","Cost of Goods Sold:COGS- Personnel Expense:",IF($N165="No",XLOOKUP($Q165,Key!$I:$I,Key!$K:$K),"Review Billable Status"))</f>
        <v>Sales &amp; Marketing:Sales &amp; Marketing- Personnel Expenses:</v>
      </c>
      <c r="T165" s="5"/>
      <c r="U165" s="5"/>
      <c r="V165" s="8"/>
      <c r="W165" s="8"/>
      <c r="X165" s="8"/>
      <c r="Y165" s="8"/>
      <c r="Z165" s="8"/>
    </row>
    <row r="166" ht="12.75" customHeight="1">
      <c r="A166" s="4">
        <v>276.0</v>
      </c>
      <c r="B166" s="5" t="s">
        <v>617</v>
      </c>
      <c r="C166" s="5" t="s">
        <v>618</v>
      </c>
      <c r="D166" s="5" t="s">
        <v>619</v>
      </c>
      <c r="E166" s="5" t="s">
        <v>112</v>
      </c>
      <c r="F166" s="6">
        <v>46153.0</v>
      </c>
      <c r="G166" s="5" t="s">
        <v>23</v>
      </c>
      <c r="H166" s="6">
        <v>46153.0</v>
      </c>
      <c r="I166" s="5" t="s">
        <v>24</v>
      </c>
      <c r="J166" s="5" t="s">
        <v>170</v>
      </c>
      <c r="K166" s="5" t="s">
        <v>25</v>
      </c>
      <c r="L166" s="5" t="s">
        <v>620</v>
      </c>
      <c r="M166" s="7" t="s">
        <v>199</v>
      </c>
      <c r="N166" s="5" t="s">
        <v>28</v>
      </c>
      <c r="O166" s="5" t="s">
        <v>239</v>
      </c>
      <c r="P166" s="5" t="s">
        <v>30</v>
      </c>
      <c r="Q166" s="7" t="str">
        <f t="shared" si="1"/>
        <v>100- Operations:110- G&amp;A</v>
      </c>
      <c r="R166" s="7" t="str">
        <f t="array" ref="R166">IF($N166="Yes","Cost of Goods Sold:COGS- Travel Expenses:",IF($N166="No",XLOOKUP($Q166,Key!$I:$I,Key!$J:$J),"Review Billable Status"))</f>
        <v>General &amp; Administrative:G&amp;A- Travel Expenses:</v>
      </c>
      <c r="S166" s="7" t="str">
        <f t="array" ref="S166">IF($N166="Yes","Cost of Goods Sold:COGS- Personnel Expense:",IF($N166="No",XLOOKUP($Q166,Key!$I:$I,Key!$K:$K),"Review Billable Status"))</f>
        <v>General &amp; Administrative:G&amp;A- Personnel Expenses:</v>
      </c>
      <c r="T166" s="5"/>
      <c r="U166" s="5"/>
      <c r="V166" s="8"/>
      <c r="W166" s="8"/>
      <c r="X166" s="8"/>
      <c r="Y166" s="8"/>
      <c r="Z166" s="8"/>
    </row>
    <row r="167" ht="12.75" customHeight="1">
      <c r="A167" s="4">
        <v>277.0</v>
      </c>
      <c r="B167" s="5" t="s">
        <v>297</v>
      </c>
      <c r="C167" s="5" t="s">
        <v>621</v>
      </c>
      <c r="D167" s="5" t="s">
        <v>622</v>
      </c>
      <c r="E167" s="5" t="s">
        <v>22</v>
      </c>
      <c r="F167" s="6">
        <v>46160.0</v>
      </c>
      <c r="G167" s="5" t="s">
        <v>377</v>
      </c>
      <c r="H167" s="6">
        <v>46160.0</v>
      </c>
      <c r="I167" s="5" t="s">
        <v>34</v>
      </c>
      <c r="J167" s="5" t="s">
        <v>35</v>
      </c>
      <c r="K167" s="5" t="s">
        <v>25</v>
      </c>
      <c r="L167" s="5" t="s">
        <v>623</v>
      </c>
      <c r="M167" s="7" t="s">
        <v>38</v>
      </c>
      <c r="N167" s="5" t="s">
        <v>28</v>
      </c>
      <c r="O167" s="5" t="s">
        <v>379</v>
      </c>
      <c r="P167" s="5" t="s">
        <v>213</v>
      </c>
      <c r="Q167" s="7" t="str">
        <f t="shared" si="1"/>
        <v>300- ServiceNow:320- Engineering</v>
      </c>
      <c r="R167" s="7" t="str">
        <f t="array" ref="R167">IF($N167="Yes","Cost of Goods Sold:COGS- Travel Expenses:",IF($N167="No",XLOOKUP($Q167,Key!$I:$I,Key!$J:$J),"Review Billable Status"))</f>
        <v>General &amp; Administrative:G&amp;A- Travel Expenses:</v>
      </c>
      <c r="S167" s="7" t="str">
        <f t="array" ref="S167">IF($N167="Yes","Cost of Goods Sold:COGS- Personnel Expense:",IF($N167="No",XLOOKUP($Q167,Key!$I:$I,Key!$K:$K),"Review Billable Status"))</f>
        <v>General &amp; Administrative:G&amp;A- Personnel Expenses:</v>
      </c>
      <c r="T167" s="5"/>
      <c r="U167" s="5"/>
      <c r="V167" s="8"/>
      <c r="W167" s="8"/>
      <c r="X167" s="8"/>
      <c r="Y167" s="8"/>
      <c r="Z167" s="8"/>
    </row>
    <row r="168" ht="12.75" customHeight="1">
      <c r="A168" s="4">
        <v>278.0</v>
      </c>
      <c r="B168" s="5" t="s">
        <v>624</v>
      </c>
      <c r="C168" s="5" t="s">
        <v>625</v>
      </c>
      <c r="D168" s="5" t="s">
        <v>626</v>
      </c>
      <c r="E168" s="5" t="s">
        <v>112</v>
      </c>
      <c r="F168" s="6">
        <v>46153.0</v>
      </c>
      <c r="G168" s="5" t="s">
        <v>23</v>
      </c>
      <c r="H168" s="6">
        <v>46153.0</v>
      </c>
      <c r="I168" s="5" t="s">
        <v>24</v>
      </c>
      <c r="J168" s="5" t="s">
        <v>24</v>
      </c>
      <c r="K168" s="5" t="s">
        <v>25</v>
      </c>
      <c r="L168" s="5" t="s">
        <v>627</v>
      </c>
      <c r="M168" s="7" t="s">
        <v>27</v>
      </c>
      <c r="N168" s="5" t="s">
        <v>28</v>
      </c>
      <c r="O168" s="5" t="s">
        <v>239</v>
      </c>
      <c r="P168" s="5" t="s">
        <v>30</v>
      </c>
      <c r="Q168" s="7" t="str">
        <f t="shared" si="1"/>
        <v>400- Synechron:410- Digital platforms G&amp;A</v>
      </c>
      <c r="R168" s="7" t="str">
        <f t="array" ref="R168">IF($N168="Yes","Cost of Goods Sold:COGS- Travel Expenses:",IF($N168="No",XLOOKUP($Q168,Key!$I:$I,Key!$J:$J),"Review Billable Status"))</f>
        <v>General &amp; Administrative:G&amp;A- Travel Expenses:</v>
      </c>
      <c r="S168" s="7" t="str">
        <f t="array" ref="S168">IF($N168="Yes","Cost of Goods Sold:COGS- Personnel Expense:",IF($N168="No",XLOOKUP($Q168,Key!$I:$I,Key!$K:$K),"Review Billable Status"))</f>
        <v>General &amp; Administrative:G&amp;A- Personnel Expenses:</v>
      </c>
      <c r="T168" s="5"/>
      <c r="U168" s="5"/>
      <c r="V168" s="8"/>
      <c r="W168" s="8"/>
      <c r="X168" s="8"/>
      <c r="Y168" s="8"/>
      <c r="Z168" s="8"/>
    </row>
    <row r="169" ht="12.75" customHeight="1">
      <c r="A169" s="4">
        <v>283.0</v>
      </c>
      <c r="B169" s="5" t="s">
        <v>628</v>
      </c>
      <c r="C169" s="5" t="s">
        <v>629</v>
      </c>
      <c r="D169" s="5" t="s">
        <v>630</v>
      </c>
      <c r="E169" s="5"/>
      <c r="F169" s="6">
        <v>46140.0</v>
      </c>
      <c r="G169" s="5" t="s">
        <v>631</v>
      </c>
      <c r="H169" s="6">
        <v>46140.0</v>
      </c>
      <c r="I169" s="5" t="s">
        <v>24</v>
      </c>
      <c r="J169" s="5" t="s">
        <v>24</v>
      </c>
      <c r="K169" s="5" t="s">
        <v>25</v>
      </c>
      <c r="L169" s="5"/>
      <c r="M169" s="7" t="s">
        <v>199</v>
      </c>
      <c r="N169" s="5" t="s">
        <v>28</v>
      </c>
      <c r="O169" s="5"/>
      <c r="P169" s="5" t="s">
        <v>30</v>
      </c>
      <c r="Q169" s="7" t="str">
        <f t="shared" si="1"/>
        <v>100- Operations:110- G&amp;A</v>
      </c>
      <c r="R169" s="7" t="str">
        <f t="array" ref="R169">IF($N169="Yes","Cost of Goods Sold:COGS- Travel Expenses:",IF($N169="No",XLOOKUP($Q169,Key!$I:$I,Key!$J:$J),"Review Billable Status"))</f>
        <v>General &amp; Administrative:G&amp;A- Travel Expenses:</v>
      </c>
      <c r="S169" s="7" t="str">
        <f t="array" ref="S169">IF($N169="Yes","Cost of Goods Sold:COGS- Personnel Expense:",IF($N169="No",XLOOKUP($Q169,Key!$I:$I,Key!$K:$K),"Review Billable Status"))</f>
        <v>General &amp; Administrative:G&amp;A- Personnel Expenses:</v>
      </c>
      <c r="T169" s="5"/>
      <c r="U169" s="5"/>
      <c r="V169" s="8"/>
      <c r="W169" s="8"/>
      <c r="X169" s="8"/>
      <c r="Y169" s="8"/>
      <c r="Z169" s="8"/>
    </row>
    <row r="170" ht="12.75" customHeight="1">
      <c r="A170" s="4">
        <v>284.0</v>
      </c>
      <c r="B170" s="5" t="s">
        <v>632</v>
      </c>
      <c r="C170" s="5" t="s">
        <v>633</v>
      </c>
      <c r="D170" s="5" t="s">
        <v>634</v>
      </c>
      <c r="E170" s="5"/>
      <c r="F170" s="6">
        <v>46181.0</v>
      </c>
      <c r="G170" s="5" t="s">
        <v>23</v>
      </c>
      <c r="H170" s="6">
        <v>46181.0</v>
      </c>
      <c r="I170" s="5" t="s">
        <v>64</v>
      </c>
      <c r="J170" s="5" t="s">
        <v>363</v>
      </c>
      <c r="K170" s="5" t="s">
        <v>25</v>
      </c>
      <c r="L170" s="5" t="s">
        <v>635</v>
      </c>
      <c r="M170" s="7" t="s">
        <v>75</v>
      </c>
      <c r="N170" s="5" t="s">
        <v>28</v>
      </c>
      <c r="O170" s="5" t="s">
        <v>85</v>
      </c>
      <c r="P170" s="5" t="s">
        <v>30</v>
      </c>
      <c r="Q170" s="7" t="str">
        <f t="shared" si="1"/>
        <v>200- Datadog:220- Engineering</v>
      </c>
      <c r="R170" s="7" t="str">
        <f t="array" ref="R170">IF($N170="Yes","Cost of Goods Sold:COGS- Travel Expenses:",IF($N170="No",XLOOKUP($Q170,Key!$I:$I,Key!$J:$J),"Review Billable Status"))</f>
        <v>General &amp; Administrative:G&amp;A- Travel Expenses:</v>
      </c>
      <c r="S170" s="7" t="str">
        <f t="array" ref="S170">IF($N170="Yes","Cost of Goods Sold:COGS- Personnel Expense:",IF($N170="No",XLOOKUP($Q170,Key!$I:$I,Key!$K:$K),"Review Billable Status"))</f>
        <v>General &amp; Administrative:G&amp;A- Personnel Expenses:</v>
      </c>
      <c r="T170" s="5"/>
      <c r="U170" s="5"/>
      <c r="V170" s="8"/>
      <c r="W170" s="8"/>
      <c r="X170" s="8"/>
      <c r="Y170" s="8"/>
      <c r="Z170" s="8"/>
    </row>
    <row r="171" ht="12.75" customHeight="1">
      <c r="A171" s="4">
        <v>285.0</v>
      </c>
      <c r="B171" s="5" t="s">
        <v>314</v>
      </c>
      <c r="C171" s="5" t="s">
        <v>636</v>
      </c>
      <c r="D171" s="5" t="s">
        <v>637</v>
      </c>
      <c r="E171" s="5"/>
      <c r="F171" s="6">
        <v>46209.0</v>
      </c>
      <c r="G171" s="5"/>
      <c r="H171" s="6"/>
      <c r="I171" s="5" t="s">
        <v>64</v>
      </c>
      <c r="J171" s="5" t="s">
        <v>35</v>
      </c>
      <c r="K171" s="5"/>
      <c r="L171" s="5"/>
      <c r="M171" s="7" t="s">
        <v>75</v>
      </c>
      <c r="N171" s="5" t="s">
        <v>28</v>
      </c>
      <c r="O171" s="5"/>
      <c r="P171" s="5" t="s">
        <v>638</v>
      </c>
      <c r="Q171" s="7" t="str">
        <f t="shared" si="1"/>
        <v>200- Datadog:220- Engineering</v>
      </c>
      <c r="R171" s="7" t="str">
        <f t="array" ref="R171">IF($N171="Yes","Cost of Goods Sold:COGS- Travel Expenses:",IF($N171="No",XLOOKUP($Q171,Key!$I:$I,Key!$J:$J),"Review Billable Status"))</f>
        <v>General &amp; Administrative:G&amp;A- Travel Expenses:</v>
      </c>
      <c r="S171" s="7" t="str">
        <f t="array" ref="S171">IF($N171="Yes","Cost of Goods Sold:COGS- Personnel Expense:",IF($N171="No",XLOOKUP($Q171,Key!$I:$I,Key!$K:$K),"Review Billable Status"))</f>
        <v>General &amp; Administrative:G&amp;A- Personnel Expenses:</v>
      </c>
      <c r="T171" s="5"/>
      <c r="U171" s="5"/>
      <c r="V171" s="8"/>
      <c r="W171" s="8"/>
      <c r="X171" s="8"/>
      <c r="Y171" s="8"/>
      <c r="Z171" s="8"/>
    </row>
    <row r="172" ht="12.75" customHeight="1">
      <c r="A172" s="4">
        <v>286.0</v>
      </c>
      <c r="B172" s="5" t="s">
        <v>639</v>
      </c>
      <c r="C172" s="5" t="s">
        <v>640</v>
      </c>
      <c r="D172" s="5" t="s">
        <v>641</v>
      </c>
      <c r="E172" s="5"/>
      <c r="F172" s="6">
        <v>46181.0</v>
      </c>
      <c r="G172" s="5" t="s">
        <v>23</v>
      </c>
      <c r="H172" s="6">
        <v>46181.0</v>
      </c>
      <c r="I172" s="5" t="s">
        <v>34</v>
      </c>
      <c r="J172" s="5" t="s">
        <v>130</v>
      </c>
      <c r="K172" s="5" t="s">
        <v>25</v>
      </c>
      <c r="L172" s="5" t="s">
        <v>642</v>
      </c>
      <c r="M172" s="7" t="s">
        <v>132</v>
      </c>
      <c r="N172" s="5" t="s">
        <v>39</v>
      </c>
      <c r="O172" s="5" t="s">
        <v>239</v>
      </c>
      <c r="P172" s="5" t="s">
        <v>30</v>
      </c>
      <c r="Q172" s="7" t="str">
        <f t="shared" si="1"/>
        <v>300- ServiceNow:310- Delivery</v>
      </c>
      <c r="R172" s="7" t="str">
        <f t="array" ref="R172">IF($N172="Yes","Cost of Goods Sold:COGS- Travel Expenses:",IF($N172="No",XLOOKUP($Q172,Key!$I:$I,Key!$J:$J),"Review Billable Status"))</f>
        <v>Cost of Goods Sold:COGS- Travel Expenses:</v>
      </c>
      <c r="S172" s="7" t="str">
        <f t="array" ref="S172">IF($N172="Yes","Cost of Goods Sold:COGS- Personnel Expense:",IF($N172="No",XLOOKUP($Q172,Key!$I:$I,Key!$K:$K),"Review Billable Status"))</f>
        <v>Cost of Goods Sold:COGS- Personnel Expense:</v>
      </c>
      <c r="T172" s="5"/>
      <c r="U172" s="5"/>
      <c r="V172" s="8"/>
      <c r="W172" s="8"/>
      <c r="X172" s="8"/>
      <c r="Y172" s="8"/>
      <c r="Z172" s="8"/>
    </row>
    <row r="173" ht="12.75" customHeight="1">
      <c r="A173" s="4">
        <v>287.0</v>
      </c>
      <c r="B173" s="5" t="s">
        <v>643</v>
      </c>
      <c r="C173" s="5" t="s">
        <v>644</v>
      </c>
      <c r="D173" s="5" t="s">
        <v>645</v>
      </c>
      <c r="E173" s="5"/>
      <c r="F173" s="6">
        <v>46195.0</v>
      </c>
      <c r="G173" s="5"/>
      <c r="H173" s="6"/>
      <c r="I173" s="5"/>
      <c r="J173" s="5"/>
      <c r="K173" s="5"/>
      <c r="L173" s="5"/>
      <c r="M173" s="7"/>
      <c r="N173" s="5" t="s">
        <v>39</v>
      </c>
      <c r="O173" s="5"/>
      <c r="P173" s="5" t="s">
        <v>458</v>
      </c>
      <c r="Q173" s="7" t="str">
        <f t="shared" si="1"/>
        <v/>
      </c>
      <c r="R173" s="7" t="str">
        <f t="array" ref="R173">IF($N173="Yes","Cost of Goods Sold:COGS- Travel Expenses:",IF($N173="No",XLOOKUP($Q173,Key!$I:$I,Key!$J:$J),"Review Billable Status"))</f>
        <v>Cost of Goods Sold:COGS- Travel Expenses:</v>
      </c>
      <c r="S173" s="7" t="str">
        <f t="array" ref="S173">IF($N173="Yes","Cost of Goods Sold:COGS- Personnel Expense:",IF($N173="No",XLOOKUP($Q173,Key!$I:$I,Key!$K:$K),"Review Billable Status"))</f>
        <v>Cost of Goods Sold:COGS- Personnel Expense:</v>
      </c>
      <c r="T173" s="5"/>
      <c r="U173" s="5"/>
      <c r="V173" s="8"/>
      <c r="W173" s="8"/>
      <c r="X173" s="8"/>
      <c r="Y173" s="8"/>
      <c r="Z173" s="8"/>
    </row>
    <row r="174" ht="12.75" customHeight="1">
      <c r="A174" s="4">
        <v>289.0</v>
      </c>
      <c r="B174" s="5" t="s">
        <v>646</v>
      </c>
      <c r="C174" s="5" t="s">
        <v>647</v>
      </c>
      <c r="D174" s="5" t="s">
        <v>648</v>
      </c>
      <c r="E174" s="5"/>
      <c r="F174" s="6">
        <v>46212.0</v>
      </c>
      <c r="G174" s="5"/>
      <c r="H174" s="6"/>
      <c r="I174" s="9" t="s">
        <v>64</v>
      </c>
      <c r="J174" s="9" t="s">
        <v>45</v>
      </c>
      <c r="K174" s="5"/>
      <c r="L174" s="5"/>
      <c r="M174" s="7" t="s">
        <v>66</v>
      </c>
      <c r="N174" s="5" t="s">
        <v>28</v>
      </c>
      <c r="O174" s="5"/>
      <c r="P174" s="5" t="s">
        <v>649</v>
      </c>
      <c r="Q174" s="7" t="str">
        <f t="shared" si="1"/>
        <v>200- Datadog:230- Sales</v>
      </c>
      <c r="R174" s="7" t="str">
        <f t="array" ref="R174">IF($N174="Yes","Cost of Goods Sold:COGS- Travel Expenses:",IF($N174="No",XLOOKUP($Q174,Key!$I:$I,Key!$J:$J),"Review Billable Status"))</f>
        <v>Sales &amp; Marketing:Sales &amp; Marketing- Travel Expenses:</v>
      </c>
      <c r="S174" s="7" t="str">
        <f t="array" ref="S174">IF($N174="Yes","Cost of Goods Sold:COGS- Personnel Expense:",IF($N174="No",XLOOKUP($Q174,Key!$I:$I,Key!$K:$K),"Review Billable Status"))</f>
        <v>Sales &amp; Marketing:Sales &amp; Marketing- Personnel Expenses:</v>
      </c>
      <c r="T174" s="5"/>
      <c r="U174" s="5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10"/>
      <c r="Q175" s="10"/>
      <c r="R175" s="10"/>
      <c r="S175" s="8"/>
      <c r="T175" s="5"/>
      <c r="U175" s="5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10"/>
      <c r="Q176" s="10"/>
      <c r="R176" s="10"/>
      <c r="S176" s="8"/>
      <c r="T176" s="5"/>
      <c r="U176" s="5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10"/>
      <c r="Q177" s="10"/>
      <c r="R177" s="10"/>
      <c r="S177" s="8"/>
      <c r="T177" s="5"/>
      <c r="U177" s="5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10"/>
      <c r="Q178" s="10"/>
      <c r="R178" s="10"/>
      <c r="S178" s="8"/>
      <c r="T178" s="5"/>
      <c r="U178" s="5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10"/>
      <c r="Q179" s="10"/>
      <c r="R179" s="10"/>
      <c r="S179" s="8"/>
      <c r="T179" s="5"/>
      <c r="U179" s="5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10"/>
      <c r="Q180" s="10"/>
      <c r="R180" s="10"/>
      <c r="S180" s="8"/>
      <c r="T180" s="5"/>
      <c r="U180" s="5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10"/>
      <c r="Q181" s="10"/>
      <c r="R181" s="10"/>
      <c r="S181" s="8"/>
      <c r="T181" s="5"/>
      <c r="U181" s="5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10"/>
      <c r="Q182" s="10"/>
      <c r="R182" s="10"/>
      <c r="S182" s="8"/>
      <c r="T182" s="5"/>
      <c r="U182" s="5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10"/>
      <c r="Q183" s="10"/>
      <c r="R183" s="10"/>
      <c r="S183" s="8"/>
      <c r="T183" s="5"/>
      <c r="U183" s="5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10"/>
      <c r="Q184" s="10"/>
      <c r="R184" s="10"/>
      <c r="S184" s="8"/>
      <c r="T184" s="5"/>
      <c r="U184" s="5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10"/>
      <c r="Q185" s="10"/>
      <c r="R185" s="10"/>
      <c r="S185" s="8"/>
      <c r="T185" s="5"/>
      <c r="U185" s="5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10"/>
      <c r="Q186" s="10"/>
      <c r="R186" s="10"/>
      <c r="S186" s="8"/>
      <c r="T186" s="5"/>
      <c r="U186" s="5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10"/>
      <c r="Q187" s="10"/>
      <c r="R187" s="10"/>
      <c r="S187" s="8"/>
      <c r="T187" s="5"/>
      <c r="U187" s="5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10"/>
      <c r="Q188" s="10"/>
      <c r="R188" s="10"/>
      <c r="S188" s="8"/>
      <c r="T188" s="5"/>
      <c r="U188" s="5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10"/>
      <c r="Q189" s="10"/>
      <c r="R189" s="10"/>
      <c r="S189" s="8"/>
      <c r="T189" s="5"/>
      <c r="U189" s="5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10"/>
      <c r="Q190" s="10"/>
      <c r="R190" s="10"/>
      <c r="S190" s="8"/>
      <c r="T190" s="5"/>
      <c r="U190" s="5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10"/>
      <c r="Q191" s="10"/>
      <c r="R191" s="10"/>
      <c r="S191" s="8"/>
      <c r="T191" s="5"/>
      <c r="U191" s="5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10"/>
      <c r="Q192" s="10"/>
      <c r="R192" s="10"/>
      <c r="S192" s="8"/>
      <c r="T192" s="5"/>
      <c r="U192" s="5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10"/>
      <c r="Q193" s="10"/>
      <c r="R193" s="10"/>
      <c r="S193" s="8"/>
      <c r="T193" s="5"/>
      <c r="U193" s="5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10"/>
      <c r="Q194" s="10"/>
      <c r="R194" s="10"/>
      <c r="S194" s="8"/>
      <c r="T194" s="5"/>
      <c r="U194" s="5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10"/>
      <c r="Q195" s="10"/>
      <c r="R195" s="10"/>
      <c r="S195" s="8"/>
      <c r="T195" s="5"/>
      <c r="U195" s="5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10"/>
      <c r="Q196" s="10"/>
      <c r="R196" s="10"/>
      <c r="S196" s="8"/>
      <c r="T196" s="5"/>
      <c r="U196" s="5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10"/>
      <c r="Q197" s="10"/>
      <c r="R197" s="10"/>
      <c r="S197" s="8"/>
      <c r="T197" s="5"/>
      <c r="U197" s="5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10"/>
      <c r="Q198" s="10"/>
      <c r="R198" s="10"/>
      <c r="S198" s="8"/>
      <c r="T198" s="5"/>
      <c r="U198" s="5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10"/>
      <c r="Q199" s="10"/>
      <c r="R199" s="10"/>
      <c r="S199" s="8"/>
      <c r="T199" s="5"/>
      <c r="U199" s="5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10"/>
      <c r="Q200" s="10"/>
      <c r="R200" s="10"/>
      <c r="S200" s="8"/>
      <c r="T200" s="5"/>
      <c r="U200" s="5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10"/>
      <c r="Q201" s="10"/>
      <c r="R201" s="10"/>
      <c r="S201" s="8"/>
      <c r="T201" s="5"/>
      <c r="U201" s="5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10"/>
      <c r="Q202" s="10"/>
      <c r="R202" s="10"/>
      <c r="S202" s="8"/>
      <c r="T202" s="5"/>
      <c r="U202" s="5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10"/>
      <c r="Q203" s="10"/>
      <c r="R203" s="10"/>
      <c r="S203" s="8"/>
      <c r="T203" s="5"/>
      <c r="U203" s="5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10"/>
      <c r="Q204" s="10"/>
      <c r="R204" s="10"/>
      <c r="S204" s="8"/>
      <c r="T204" s="5"/>
      <c r="U204" s="5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10"/>
      <c r="Q205" s="10"/>
      <c r="R205" s="10"/>
      <c r="S205" s="8"/>
      <c r="T205" s="5"/>
      <c r="U205" s="5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10"/>
      <c r="Q206" s="10"/>
      <c r="R206" s="10"/>
      <c r="S206" s="8"/>
      <c r="T206" s="5"/>
      <c r="U206" s="5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10"/>
      <c r="Q207" s="10"/>
      <c r="R207" s="10"/>
      <c r="S207" s="8"/>
      <c r="T207" s="5"/>
      <c r="U207" s="5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10"/>
      <c r="Q208" s="10"/>
      <c r="R208" s="10"/>
      <c r="S208" s="8"/>
      <c r="T208" s="5"/>
      <c r="U208" s="5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10"/>
      <c r="Q209" s="10"/>
      <c r="R209" s="10"/>
      <c r="S209" s="8"/>
      <c r="T209" s="5"/>
      <c r="U209" s="5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10"/>
      <c r="Q210" s="10"/>
      <c r="R210" s="10"/>
      <c r="S210" s="8"/>
      <c r="T210" s="5"/>
      <c r="U210" s="5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10"/>
      <c r="Q211" s="10"/>
      <c r="R211" s="10"/>
      <c r="S211" s="8"/>
      <c r="T211" s="5"/>
      <c r="U211" s="5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10"/>
      <c r="Q212" s="10"/>
      <c r="R212" s="10"/>
      <c r="S212" s="8"/>
      <c r="T212" s="5"/>
      <c r="U212" s="5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10"/>
      <c r="Q213" s="10"/>
      <c r="R213" s="10"/>
      <c r="S213" s="8"/>
      <c r="T213" s="5"/>
      <c r="U213" s="5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10"/>
      <c r="Q214" s="10"/>
      <c r="R214" s="10"/>
      <c r="S214" s="8"/>
      <c r="T214" s="5"/>
      <c r="U214" s="5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10"/>
      <c r="Q215" s="10"/>
      <c r="R215" s="10"/>
      <c r="S215" s="8"/>
      <c r="T215" s="5"/>
      <c r="U215" s="5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10"/>
      <c r="Q216" s="10"/>
      <c r="R216" s="10"/>
      <c r="S216" s="8"/>
      <c r="T216" s="5"/>
      <c r="U216" s="5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10"/>
      <c r="Q217" s="10"/>
      <c r="R217" s="10"/>
      <c r="S217" s="8"/>
      <c r="T217" s="5"/>
      <c r="U217" s="5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10"/>
      <c r="Q218" s="10"/>
      <c r="R218" s="10"/>
      <c r="S218" s="8"/>
      <c r="T218" s="5"/>
      <c r="U218" s="5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10"/>
      <c r="Q219" s="10"/>
      <c r="R219" s="10"/>
      <c r="S219" s="8"/>
      <c r="T219" s="5"/>
      <c r="U219" s="5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10"/>
      <c r="Q220" s="10"/>
      <c r="R220" s="10"/>
      <c r="S220" s="8"/>
      <c r="T220" s="5"/>
      <c r="U220" s="5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10"/>
      <c r="Q221" s="10"/>
      <c r="R221" s="10"/>
      <c r="S221" s="8"/>
      <c r="T221" s="5"/>
      <c r="U221" s="5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10"/>
      <c r="Q222" s="10"/>
      <c r="R222" s="10"/>
      <c r="S222" s="8"/>
      <c r="T222" s="5"/>
      <c r="U222" s="5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10"/>
      <c r="Q223" s="10"/>
      <c r="R223" s="10"/>
      <c r="S223" s="8"/>
      <c r="T223" s="5"/>
      <c r="U223" s="5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10"/>
      <c r="Q224" s="10"/>
      <c r="R224" s="10"/>
      <c r="S224" s="8"/>
      <c r="T224" s="5"/>
      <c r="U224" s="5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10"/>
      <c r="Q225" s="10"/>
      <c r="R225" s="10"/>
      <c r="S225" s="8"/>
      <c r="T225" s="5"/>
      <c r="U225" s="5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10"/>
      <c r="Q226" s="10"/>
      <c r="R226" s="10"/>
      <c r="S226" s="8"/>
      <c r="T226" s="5"/>
      <c r="U226" s="5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10"/>
      <c r="Q227" s="10"/>
      <c r="R227" s="10"/>
      <c r="S227" s="8"/>
      <c r="T227" s="5"/>
      <c r="U227" s="5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10"/>
      <c r="Q228" s="10"/>
      <c r="R228" s="10"/>
      <c r="S228" s="8"/>
      <c r="T228" s="5"/>
      <c r="U228" s="5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10"/>
      <c r="Q229" s="10"/>
      <c r="R229" s="10"/>
      <c r="S229" s="8"/>
      <c r="T229" s="5"/>
      <c r="U229" s="5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10"/>
      <c r="Q230" s="10"/>
      <c r="R230" s="10"/>
      <c r="S230" s="8"/>
      <c r="T230" s="5"/>
      <c r="U230" s="5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10"/>
      <c r="Q231" s="10"/>
      <c r="R231" s="10"/>
      <c r="S231" s="8"/>
      <c r="T231" s="5"/>
      <c r="U231" s="5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10"/>
      <c r="Q232" s="10"/>
      <c r="R232" s="10"/>
      <c r="S232" s="8"/>
      <c r="T232" s="5"/>
      <c r="U232" s="5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10"/>
      <c r="Q233" s="10"/>
      <c r="R233" s="10"/>
      <c r="S233" s="8"/>
      <c r="T233" s="5"/>
      <c r="U233" s="5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10"/>
      <c r="Q234" s="10"/>
      <c r="R234" s="10"/>
      <c r="S234" s="8"/>
      <c r="T234" s="5"/>
      <c r="U234" s="5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10"/>
      <c r="Q235" s="10"/>
      <c r="R235" s="10"/>
      <c r="S235" s="8"/>
      <c r="T235" s="5"/>
      <c r="U235" s="5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10"/>
      <c r="Q236" s="10"/>
      <c r="R236" s="10"/>
      <c r="S236" s="8"/>
      <c r="T236" s="5"/>
      <c r="U236" s="5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10"/>
      <c r="Q237" s="10"/>
      <c r="R237" s="10"/>
      <c r="S237" s="8"/>
      <c r="T237" s="5"/>
      <c r="U237" s="5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10"/>
      <c r="Q238" s="10"/>
      <c r="R238" s="10"/>
      <c r="S238" s="8"/>
      <c r="T238" s="5"/>
      <c r="U238" s="5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10"/>
      <c r="Q239" s="10"/>
      <c r="R239" s="10"/>
      <c r="S239" s="8"/>
      <c r="T239" s="5"/>
      <c r="U239" s="5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10"/>
      <c r="Q240" s="10"/>
      <c r="R240" s="10"/>
      <c r="S240" s="8"/>
      <c r="T240" s="5"/>
      <c r="U240" s="5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10"/>
      <c r="Q241" s="10"/>
      <c r="R241" s="10"/>
      <c r="S241" s="8"/>
      <c r="T241" s="5"/>
      <c r="U241" s="5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10"/>
      <c r="Q242" s="10"/>
      <c r="R242" s="10"/>
      <c r="S242" s="8"/>
      <c r="T242" s="5"/>
      <c r="U242" s="5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10"/>
      <c r="Q243" s="10"/>
      <c r="R243" s="10"/>
      <c r="S243" s="8"/>
      <c r="T243" s="5"/>
      <c r="U243" s="5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10"/>
      <c r="Q244" s="10"/>
      <c r="R244" s="10"/>
      <c r="S244" s="8"/>
      <c r="T244" s="5"/>
      <c r="U244" s="5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10"/>
      <c r="Q245" s="10"/>
      <c r="R245" s="10"/>
      <c r="S245" s="8"/>
      <c r="T245" s="5"/>
      <c r="U245" s="5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10"/>
      <c r="Q246" s="10"/>
      <c r="R246" s="10"/>
      <c r="S246" s="8"/>
      <c r="T246" s="5"/>
      <c r="U246" s="5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10"/>
      <c r="Q247" s="10"/>
      <c r="R247" s="10"/>
      <c r="S247" s="8"/>
      <c r="T247" s="5"/>
      <c r="U247" s="5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10"/>
      <c r="Q248" s="10"/>
      <c r="R248" s="10"/>
      <c r="S248" s="8"/>
      <c r="T248" s="5"/>
      <c r="U248" s="5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10"/>
      <c r="Q249" s="10"/>
      <c r="R249" s="10"/>
      <c r="S249" s="8"/>
      <c r="T249" s="5"/>
      <c r="U249" s="5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10"/>
      <c r="Q250" s="10"/>
      <c r="R250" s="10"/>
      <c r="S250" s="8"/>
      <c r="T250" s="5"/>
      <c r="U250" s="5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10"/>
      <c r="Q251" s="10"/>
      <c r="R251" s="10"/>
      <c r="S251" s="8"/>
      <c r="T251" s="5"/>
      <c r="U251" s="5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10"/>
      <c r="Q252" s="10"/>
      <c r="R252" s="10"/>
      <c r="S252" s="8"/>
      <c r="T252" s="5"/>
      <c r="U252" s="5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10"/>
      <c r="Q253" s="10"/>
      <c r="R253" s="10"/>
      <c r="S253" s="8"/>
      <c r="T253" s="5"/>
      <c r="U253" s="5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10"/>
      <c r="Q254" s="10"/>
      <c r="R254" s="10"/>
      <c r="S254" s="8"/>
      <c r="T254" s="5"/>
      <c r="U254" s="5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10"/>
      <c r="Q255" s="10"/>
      <c r="R255" s="10"/>
      <c r="S255" s="8"/>
      <c r="T255" s="5"/>
      <c r="U255" s="5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10"/>
      <c r="Q256" s="10"/>
      <c r="R256" s="10"/>
      <c r="S256" s="8"/>
      <c r="T256" s="5"/>
      <c r="U256" s="5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10"/>
      <c r="Q257" s="10"/>
      <c r="R257" s="10"/>
      <c r="S257" s="8"/>
      <c r="T257" s="5"/>
      <c r="U257" s="5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10"/>
      <c r="Q258" s="10"/>
      <c r="R258" s="10"/>
      <c r="S258" s="8"/>
      <c r="T258" s="5"/>
      <c r="U258" s="5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10"/>
      <c r="Q259" s="10"/>
      <c r="R259" s="10"/>
      <c r="S259" s="8"/>
      <c r="T259" s="5"/>
      <c r="U259" s="5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10"/>
      <c r="Q260" s="10"/>
      <c r="R260" s="10"/>
      <c r="S260" s="8"/>
      <c r="T260" s="5"/>
      <c r="U260" s="5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10"/>
      <c r="Q261" s="10"/>
      <c r="R261" s="10"/>
      <c r="S261" s="8"/>
      <c r="T261" s="5"/>
      <c r="U261" s="5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10"/>
      <c r="Q262" s="10"/>
      <c r="R262" s="10"/>
      <c r="S262" s="8"/>
      <c r="T262" s="5"/>
      <c r="U262" s="5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10"/>
      <c r="Q263" s="10"/>
      <c r="R263" s="10"/>
      <c r="S263" s="8"/>
      <c r="T263" s="5"/>
      <c r="U263" s="5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10"/>
      <c r="Q264" s="10"/>
      <c r="R264" s="10"/>
      <c r="S264" s="8"/>
      <c r="T264" s="5"/>
      <c r="U264" s="5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10"/>
      <c r="Q265" s="10"/>
      <c r="R265" s="10"/>
      <c r="S265" s="8"/>
      <c r="T265" s="5"/>
      <c r="U265" s="5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10"/>
      <c r="Q266" s="10"/>
      <c r="R266" s="10"/>
      <c r="S266" s="8"/>
      <c r="T266" s="5"/>
      <c r="U266" s="5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10"/>
      <c r="Q267" s="10"/>
      <c r="R267" s="10"/>
      <c r="S267" s="8"/>
      <c r="T267" s="5"/>
      <c r="U267" s="5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10"/>
      <c r="Q268" s="10"/>
      <c r="R268" s="10"/>
      <c r="S268" s="8"/>
      <c r="T268" s="5"/>
      <c r="U268" s="5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10"/>
      <c r="Q269" s="10"/>
      <c r="R269" s="10"/>
      <c r="S269" s="8"/>
      <c r="T269" s="5"/>
      <c r="U269" s="5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10"/>
      <c r="Q270" s="10"/>
      <c r="R270" s="10"/>
      <c r="S270" s="8"/>
      <c r="T270" s="5"/>
      <c r="U270" s="5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10"/>
      <c r="Q271" s="10"/>
      <c r="R271" s="10"/>
      <c r="S271" s="8"/>
      <c r="T271" s="5"/>
      <c r="U271" s="5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10"/>
      <c r="Q272" s="10"/>
      <c r="R272" s="10"/>
      <c r="S272" s="8"/>
      <c r="T272" s="5"/>
      <c r="U272" s="5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10"/>
      <c r="Q273" s="10"/>
      <c r="R273" s="10"/>
      <c r="S273" s="8"/>
      <c r="T273" s="5"/>
      <c r="U273" s="5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10"/>
      <c r="Q274" s="10"/>
      <c r="R274" s="10"/>
      <c r="S274" s="8"/>
      <c r="T274" s="5"/>
      <c r="U274" s="5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10"/>
      <c r="Q275" s="10"/>
      <c r="R275" s="10"/>
      <c r="S275" s="8"/>
      <c r="T275" s="5"/>
      <c r="U275" s="5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10"/>
      <c r="Q276" s="10"/>
      <c r="R276" s="10"/>
      <c r="S276" s="8"/>
      <c r="T276" s="5"/>
      <c r="U276" s="5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10"/>
      <c r="Q277" s="10"/>
      <c r="R277" s="10"/>
      <c r="S277" s="8"/>
      <c r="T277" s="5"/>
      <c r="U277" s="5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10"/>
      <c r="Q278" s="10"/>
      <c r="R278" s="10"/>
      <c r="S278" s="8"/>
      <c r="T278" s="5"/>
      <c r="U278" s="5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10"/>
      <c r="Q279" s="10"/>
      <c r="R279" s="10"/>
      <c r="S279" s="8"/>
      <c r="T279" s="5"/>
      <c r="U279" s="5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10"/>
      <c r="Q280" s="10"/>
      <c r="R280" s="10"/>
      <c r="S280" s="8"/>
      <c r="T280" s="5"/>
      <c r="U280" s="5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10"/>
      <c r="Q281" s="10"/>
      <c r="R281" s="10"/>
      <c r="S281" s="8"/>
      <c r="T281" s="5"/>
      <c r="U281" s="5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10"/>
      <c r="Q282" s="10"/>
      <c r="R282" s="10"/>
      <c r="S282" s="8"/>
      <c r="T282" s="5"/>
      <c r="U282" s="5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10"/>
      <c r="Q283" s="10"/>
      <c r="R283" s="10"/>
      <c r="S283" s="8"/>
      <c r="T283" s="5"/>
      <c r="U283" s="5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10"/>
      <c r="Q284" s="10"/>
      <c r="R284" s="10"/>
      <c r="S284" s="8"/>
      <c r="T284" s="5"/>
      <c r="U284" s="5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10"/>
      <c r="Q285" s="10"/>
      <c r="R285" s="10"/>
      <c r="S285" s="8"/>
      <c r="T285" s="5"/>
      <c r="U285" s="5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10"/>
      <c r="Q286" s="10"/>
      <c r="R286" s="10"/>
      <c r="S286" s="8"/>
      <c r="T286" s="5"/>
      <c r="U286" s="5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10"/>
      <c r="Q287" s="10"/>
      <c r="R287" s="10"/>
      <c r="S287" s="8"/>
      <c r="T287" s="5"/>
      <c r="U287" s="5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10"/>
      <c r="Q288" s="10"/>
      <c r="R288" s="10"/>
      <c r="S288" s="8"/>
      <c r="T288" s="5"/>
      <c r="U288" s="5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10"/>
      <c r="Q289" s="10"/>
      <c r="R289" s="10"/>
      <c r="S289" s="8"/>
      <c r="T289" s="5"/>
      <c r="U289" s="5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10"/>
      <c r="Q290" s="10"/>
      <c r="R290" s="10"/>
      <c r="S290" s="8"/>
      <c r="T290" s="5"/>
      <c r="U290" s="5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10"/>
      <c r="Q291" s="10"/>
      <c r="R291" s="10"/>
      <c r="S291" s="8"/>
      <c r="T291" s="5"/>
      <c r="U291" s="5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10"/>
      <c r="Q292" s="10"/>
      <c r="R292" s="10"/>
      <c r="S292" s="8"/>
      <c r="T292" s="5"/>
      <c r="U292" s="5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10"/>
      <c r="Q293" s="10"/>
      <c r="R293" s="10"/>
      <c r="S293" s="8"/>
      <c r="T293" s="5"/>
      <c r="U293" s="5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10"/>
      <c r="Q294" s="10"/>
      <c r="R294" s="10"/>
      <c r="S294" s="8"/>
      <c r="T294" s="5"/>
      <c r="U294" s="5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10"/>
      <c r="Q295" s="10"/>
      <c r="R295" s="10"/>
      <c r="S295" s="8"/>
      <c r="T295" s="5"/>
      <c r="U295" s="5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10"/>
      <c r="Q296" s="10"/>
      <c r="R296" s="10"/>
      <c r="S296" s="8"/>
      <c r="T296" s="5"/>
      <c r="U296" s="5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10"/>
      <c r="Q297" s="10"/>
      <c r="R297" s="10"/>
      <c r="S297" s="8"/>
      <c r="T297" s="5"/>
      <c r="U297" s="5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10"/>
      <c r="Q298" s="10"/>
      <c r="R298" s="10"/>
      <c r="S298" s="8"/>
      <c r="T298" s="5"/>
      <c r="U298" s="5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10"/>
      <c r="Q299" s="10"/>
      <c r="R299" s="10"/>
      <c r="S299" s="8"/>
      <c r="T299" s="5"/>
      <c r="U299" s="5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10"/>
      <c r="Q300" s="10"/>
      <c r="R300" s="10"/>
      <c r="S300" s="8"/>
      <c r="T300" s="5"/>
      <c r="U300" s="5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10"/>
      <c r="Q301" s="10"/>
      <c r="R301" s="10"/>
      <c r="S301" s="8"/>
      <c r="T301" s="5"/>
      <c r="U301" s="5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10"/>
      <c r="Q302" s="10"/>
      <c r="R302" s="10"/>
      <c r="S302" s="8"/>
      <c r="T302" s="5"/>
      <c r="U302" s="5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10"/>
      <c r="Q303" s="10"/>
      <c r="R303" s="10"/>
      <c r="S303" s="8"/>
      <c r="T303" s="5"/>
      <c r="U303" s="5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10"/>
      <c r="Q304" s="10"/>
      <c r="R304" s="10"/>
      <c r="S304" s="8"/>
      <c r="T304" s="5"/>
      <c r="U304" s="5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10"/>
      <c r="Q305" s="10"/>
      <c r="R305" s="10"/>
      <c r="S305" s="8"/>
      <c r="T305" s="5"/>
      <c r="U305" s="5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10"/>
      <c r="Q306" s="10"/>
      <c r="R306" s="10"/>
      <c r="S306" s="8"/>
      <c r="T306" s="5"/>
      <c r="U306" s="5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10"/>
      <c r="Q307" s="10"/>
      <c r="R307" s="10"/>
      <c r="S307" s="8"/>
      <c r="T307" s="5"/>
      <c r="U307" s="5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10"/>
      <c r="Q308" s="10"/>
      <c r="R308" s="10"/>
      <c r="S308" s="8"/>
      <c r="T308" s="5"/>
      <c r="U308" s="5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10"/>
      <c r="Q309" s="10"/>
      <c r="R309" s="10"/>
      <c r="S309" s="8"/>
      <c r="T309" s="5"/>
      <c r="U309" s="5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10"/>
      <c r="Q310" s="10"/>
      <c r="R310" s="10"/>
      <c r="S310" s="8"/>
      <c r="T310" s="5"/>
      <c r="U310" s="5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10"/>
      <c r="Q311" s="10"/>
      <c r="R311" s="10"/>
      <c r="S311" s="8"/>
      <c r="T311" s="5"/>
      <c r="U311" s="5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10"/>
      <c r="Q312" s="10"/>
      <c r="R312" s="10"/>
      <c r="S312" s="8"/>
      <c r="T312" s="5"/>
      <c r="U312" s="5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10"/>
      <c r="Q313" s="10"/>
      <c r="R313" s="10"/>
      <c r="S313" s="8"/>
      <c r="T313" s="5"/>
      <c r="U313" s="5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10"/>
      <c r="Q314" s="10"/>
      <c r="R314" s="10"/>
      <c r="S314" s="8"/>
      <c r="T314" s="5"/>
      <c r="U314" s="5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10"/>
      <c r="Q315" s="10"/>
      <c r="R315" s="10"/>
      <c r="S315" s="8"/>
      <c r="T315" s="5"/>
      <c r="U315" s="5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10"/>
      <c r="Q316" s="10"/>
      <c r="R316" s="10"/>
      <c r="S316" s="8"/>
      <c r="T316" s="5"/>
      <c r="U316" s="5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10"/>
      <c r="Q317" s="10"/>
      <c r="R317" s="10"/>
      <c r="S317" s="8"/>
      <c r="T317" s="5"/>
      <c r="U317" s="5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10"/>
      <c r="Q318" s="10"/>
      <c r="R318" s="10"/>
      <c r="S318" s="8"/>
      <c r="T318" s="5"/>
      <c r="U318" s="5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10"/>
      <c r="Q319" s="10"/>
      <c r="R319" s="10"/>
      <c r="S319" s="8"/>
      <c r="T319" s="5"/>
      <c r="U319" s="5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10"/>
      <c r="Q320" s="10"/>
      <c r="R320" s="10"/>
      <c r="S320" s="8"/>
      <c r="T320" s="5"/>
      <c r="U320" s="5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10"/>
      <c r="Q321" s="10"/>
      <c r="R321" s="10"/>
      <c r="S321" s="8"/>
      <c r="T321" s="5"/>
      <c r="U321" s="5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10"/>
      <c r="Q322" s="10"/>
      <c r="R322" s="10"/>
      <c r="S322" s="8"/>
      <c r="T322" s="5"/>
      <c r="U322" s="5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10"/>
      <c r="Q323" s="10"/>
      <c r="R323" s="10"/>
      <c r="S323" s="8"/>
      <c r="T323" s="5"/>
      <c r="U323" s="5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10"/>
      <c r="Q324" s="10"/>
      <c r="R324" s="10"/>
      <c r="S324" s="8"/>
      <c r="T324" s="5"/>
      <c r="U324" s="5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10"/>
      <c r="Q325" s="10"/>
      <c r="R325" s="10"/>
      <c r="S325" s="8"/>
      <c r="T325" s="5"/>
      <c r="U325" s="5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10"/>
      <c r="Q326" s="10"/>
      <c r="R326" s="10"/>
      <c r="S326" s="8"/>
      <c r="T326" s="5"/>
      <c r="U326" s="5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10"/>
      <c r="Q327" s="10"/>
      <c r="R327" s="10"/>
      <c r="S327" s="8"/>
      <c r="T327" s="5"/>
      <c r="U327" s="5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10"/>
      <c r="Q328" s="10"/>
      <c r="R328" s="10"/>
      <c r="S328" s="8"/>
      <c r="T328" s="5"/>
      <c r="U328" s="5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10"/>
      <c r="Q329" s="10"/>
      <c r="R329" s="10"/>
      <c r="S329" s="8"/>
      <c r="T329" s="5"/>
      <c r="U329" s="5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10"/>
      <c r="Q330" s="10"/>
      <c r="R330" s="10"/>
      <c r="S330" s="8"/>
      <c r="T330" s="5"/>
      <c r="U330" s="5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10"/>
      <c r="Q331" s="10"/>
      <c r="R331" s="10"/>
      <c r="S331" s="8"/>
      <c r="T331" s="5"/>
      <c r="U331" s="5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10"/>
      <c r="Q332" s="10"/>
      <c r="R332" s="10"/>
      <c r="S332" s="8"/>
      <c r="T332" s="5"/>
      <c r="U332" s="5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10"/>
      <c r="Q333" s="10"/>
      <c r="R333" s="10"/>
      <c r="S333" s="8"/>
      <c r="T333" s="5"/>
      <c r="U333" s="5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10"/>
      <c r="Q334" s="10"/>
      <c r="R334" s="10"/>
      <c r="S334" s="8"/>
      <c r="T334" s="5"/>
      <c r="U334" s="5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10"/>
      <c r="Q335" s="10"/>
      <c r="R335" s="10"/>
      <c r="S335" s="8"/>
      <c r="T335" s="5"/>
      <c r="U335" s="5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10"/>
      <c r="Q336" s="10"/>
      <c r="R336" s="10"/>
      <c r="S336" s="8"/>
      <c r="T336" s="5"/>
      <c r="U336" s="5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10"/>
      <c r="Q337" s="10"/>
      <c r="R337" s="10"/>
      <c r="S337" s="8"/>
      <c r="T337" s="5"/>
      <c r="U337" s="5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10"/>
      <c r="Q338" s="10"/>
      <c r="R338" s="10"/>
      <c r="S338" s="8"/>
      <c r="T338" s="5"/>
      <c r="U338" s="5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10"/>
      <c r="Q339" s="10"/>
      <c r="R339" s="10"/>
      <c r="S339" s="8"/>
      <c r="T339" s="5"/>
      <c r="U339" s="5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10"/>
      <c r="Q340" s="10"/>
      <c r="R340" s="10"/>
      <c r="S340" s="8"/>
      <c r="T340" s="5"/>
      <c r="U340" s="5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10"/>
      <c r="Q341" s="10"/>
      <c r="R341" s="10"/>
      <c r="S341" s="8"/>
      <c r="T341" s="5"/>
      <c r="U341" s="5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10"/>
      <c r="Q342" s="10"/>
      <c r="R342" s="10"/>
      <c r="S342" s="8"/>
      <c r="T342" s="5"/>
      <c r="U342" s="5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10"/>
      <c r="Q343" s="10"/>
      <c r="R343" s="10"/>
      <c r="S343" s="8"/>
      <c r="T343" s="5"/>
      <c r="U343" s="5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10"/>
      <c r="Q344" s="10"/>
      <c r="R344" s="10"/>
      <c r="S344" s="8"/>
      <c r="T344" s="5"/>
      <c r="U344" s="5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10"/>
      <c r="Q345" s="10"/>
      <c r="R345" s="10"/>
      <c r="S345" s="8"/>
      <c r="T345" s="5"/>
      <c r="U345" s="5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10"/>
      <c r="Q346" s="10"/>
      <c r="R346" s="10"/>
      <c r="S346" s="8"/>
      <c r="T346" s="5"/>
      <c r="U346" s="5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10"/>
      <c r="Q347" s="10"/>
      <c r="R347" s="10"/>
      <c r="S347" s="8"/>
      <c r="T347" s="5"/>
      <c r="U347" s="5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10"/>
      <c r="Q348" s="10"/>
      <c r="R348" s="10"/>
      <c r="S348" s="8"/>
      <c r="T348" s="5"/>
      <c r="U348" s="5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10"/>
      <c r="Q349" s="10"/>
      <c r="R349" s="10"/>
      <c r="S349" s="8"/>
      <c r="T349" s="5"/>
      <c r="U349" s="5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10"/>
      <c r="Q350" s="10"/>
      <c r="R350" s="10"/>
      <c r="S350" s="8"/>
      <c r="T350" s="5"/>
      <c r="U350" s="5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10"/>
      <c r="Q351" s="10"/>
      <c r="R351" s="10"/>
      <c r="S351" s="8"/>
      <c r="T351" s="5"/>
      <c r="U351" s="5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10"/>
      <c r="Q352" s="10"/>
      <c r="R352" s="10"/>
      <c r="S352" s="8"/>
      <c r="T352" s="5"/>
      <c r="U352" s="5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10"/>
      <c r="Q353" s="10"/>
      <c r="R353" s="10"/>
      <c r="S353" s="8"/>
      <c r="T353" s="5"/>
      <c r="U353" s="5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10"/>
      <c r="Q354" s="10"/>
      <c r="R354" s="10"/>
      <c r="S354" s="8"/>
      <c r="T354" s="5"/>
      <c r="U354" s="5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10"/>
      <c r="Q355" s="10"/>
      <c r="R355" s="10"/>
      <c r="S355" s="8"/>
      <c r="T355" s="5"/>
      <c r="U355" s="5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10"/>
      <c r="Q356" s="10"/>
      <c r="R356" s="10"/>
      <c r="S356" s="8"/>
      <c r="T356" s="5"/>
      <c r="U356" s="5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10"/>
      <c r="Q357" s="10"/>
      <c r="R357" s="10"/>
      <c r="S357" s="8"/>
      <c r="T357" s="5"/>
      <c r="U357" s="5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10"/>
      <c r="Q358" s="10"/>
      <c r="R358" s="10"/>
      <c r="S358" s="8"/>
      <c r="T358" s="5"/>
      <c r="U358" s="5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10"/>
      <c r="Q359" s="10"/>
      <c r="R359" s="10"/>
      <c r="S359" s="8"/>
      <c r="T359" s="5"/>
      <c r="U359" s="5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10"/>
      <c r="Q360" s="10"/>
      <c r="R360" s="10"/>
      <c r="S360" s="8"/>
      <c r="T360" s="5"/>
      <c r="U360" s="5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10"/>
      <c r="Q361" s="10"/>
      <c r="R361" s="10"/>
      <c r="S361" s="8"/>
      <c r="T361" s="5"/>
      <c r="U361" s="5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10"/>
      <c r="Q362" s="10"/>
      <c r="R362" s="10"/>
      <c r="S362" s="8"/>
      <c r="T362" s="5"/>
      <c r="U362" s="5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10"/>
      <c r="Q363" s="10"/>
      <c r="R363" s="10"/>
      <c r="S363" s="8"/>
      <c r="T363" s="5"/>
      <c r="U363" s="5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10"/>
      <c r="Q364" s="10"/>
      <c r="R364" s="10"/>
      <c r="S364" s="8"/>
      <c r="T364" s="5"/>
      <c r="U364" s="5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10"/>
      <c r="Q365" s="10"/>
      <c r="R365" s="10"/>
      <c r="S365" s="8"/>
      <c r="T365" s="5"/>
      <c r="U365" s="5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10"/>
      <c r="Q366" s="10"/>
      <c r="R366" s="10"/>
      <c r="S366" s="8"/>
      <c r="T366" s="5"/>
      <c r="U366" s="5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10"/>
      <c r="Q367" s="10"/>
      <c r="R367" s="10"/>
      <c r="S367" s="8"/>
      <c r="T367" s="5"/>
      <c r="U367" s="5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10"/>
      <c r="Q368" s="10"/>
      <c r="R368" s="10"/>
      <c r="S368" s="8"/>
      <c r="T368" s="5"/>
      <c r="U368" s="5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10"/>
      <c r="Q369" s="10"/>
      <c r="R369" s="10"/>
      <c r="S369" s="8"/>
      <c r="T369" s="5"/>
      <c r="U369" s="5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10"/>
      <c r="Q370" s="10"/>
      <c r="R370" s="10"/>
      <c r="S370" s="8"/>
      <c r="T370" s="5"/>
      <c r="U370" s="5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10"/>
      <c r="Q371" s="10"/>
      <c r="R371" s="10"/>
      <c r="S371" s="8"/>
      <c r="T371" s="5"/>
      <c r="U371" s="5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10"/>
      <c r="Q372" s="10"/>
      <c r="R372" s="10"/>
      <c r="S372" s="8"/>
      <c r="T372" s="5"/>
      <c r="U372" s="5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10"/>
      <c r="Q373" s="10"/>
      <c r="R373" s="10"/>
      <c r="S373" s="8"/>
      <c r="T373" s="5"/>
      <c r="U373" s="5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10"/>
      <c r="Q374" s="10"/>
      <c r="R374" s="10"/>
      <c r="S374" s="8"/>
      <c r="T374" s="5"/>
      <c r="U374" s="5"/>
      <c r="V374" s="8"/>
      <c r="W374" s="8"/>
      <c r="X374" s="8"/>
      <c r="Y374" s="8"/>
      <c r="Z374" s="8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$A$1:$R$273"/>
  <printOptions/>
  <pageMargins bottom="0.25" footer="0.0" header="0.0" left="0.2" right="0.2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 outlineLevelCol="1"/>
  <cols>
    <col customWidth="1" min="1" max="1" width="10.38"/>
    <col customWidth="1" min="2" max="3" width="11.75"/>
    <col customWidth="1" min="4" max="4" width="20.0"/>
    <col customWidth="1" min="5" max="5" width="10.13"/>
    <col customWidth="1" min="6" max="6" width="11.25"/>
    <col customWidth="1" min="7" max="7" width="14.25"/>
    <col customWidth="1" min="8" max="8" width="14.88"/>
    <col customWidth="1" hidden="1" min="9" max="10" width="15.63" outlineLevel="1"/>
    <col customWidth="1" hidden="1" min="11" max="15" width="13.13" outlineLevel="1"/>
    <col customWidth="1" min="16" max="16" width="29.88"/>
    <col customWidth="1" hidden="1" min="17" max="17" width="32.25" outlineLevel="1"/>
    <col customWidth="1" hidden="1" min="18" max="18" width="28.38" outlineLevel="1"/>
    <col customWidth="1" min="19" max="19" width="9.75"/>
    <col customWidth="1" hidden="1" min="20" max="40" width="10.0" outlineLevel="1"/>
    <col customWidth="1" min="41" max="53" width="10.0"/>
    <col customWidth="1" min="54" max="61" width="8.63"/>
  </cols>
  <sheetData>
    <row r="1" ht="12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12" t="s">
        <v>650</v>
      </c>
      <c r="T1" s="5">
        <f t="shared" ref="T1:BA1" si="1">SUMIFS(T$13:T$1006,$S$13:$S$1006,$S1)</f>
        <v>36</v>
      </c>
      <c r="U1" s="5">
        <f t="shared" si="1"/>
        <v>36</v>
      </c>
      <c r="V1" s="5">
        <f t="shared" si="1"/>
        <v>36</v>
      </c>
      <c r="W1" s="5">
        <f t="shared" si="1"/>
        <v>37</v>
      </c>
      <c r="X1" s="5">
        <f t="shared" si="1"/>
        <v>39</v>
      </c>
      <c r="Y1" s="5">
        <f t="shared" si="1"/>
        <v>42</v>
      </c>
      <c r="Z1" s="5">
        <f t="shared" si="1"/>
        <v>43</v>
      </c>
      <c r="AA1" s="5">
        <f t="shared" si="1"/>
        <v>44</v>
      </c>
      <c r="AB1" s="5">
        <f t="shared" si="1"/>
        <v>48</v>
      </c>
      <c r="AC1" s="5">
        <f t="shared" si="1"/>
        <v>50</v>
      </c>
      <c r="AD1" s="5">
        <f t="shared" si="1"/>
        <v>52</v>
      </c>
      <c r="AE1" s="5">
        <f t="shared" si="1"/>
        <v>54</v>
      </c>
      <c r="AF1" s="5">
        <f t="shared" si="1"/>
        <v>55</v>
      </c>
      <c r="AG1" s="5">
        <f t="shared" si="1"/>
        <v>57</v>
      </c>
      <c r="AH1" s="5">
        <f t="shared" si="1"/>
        <v>59</v>
      </c>
      <c r="AI1" s="5">
        <f t="shared" si="1"/>
        <v>61</v>
      </c>
      <c r="AJ1" s="5">
        <f t="shared" si="1"/>
        <v>64</v>
      </c>
      <c r="AK1" s="5">
        <f t="shared" si="1"/>
        <v>68</v>
      </c>
      <c r="AL1" s="5">
        <f t="shared" si="1"/>
        <v>81</v>
      </c>
      <c r="AM1" s="5">
        <f t="shared" si="1"/>
        <v>84</v>
      </c>
      <c r="AN1" s="5">
        <f t="shared" si="1"/>
        <v>90</v>
      </c>
      <c r="AO1" s="5">
        <f t="shared" si="1"/>
        <v>96</v>
      </c>
      <c r="AP1" s="5">
        <f t="shared" si="1"/>
        <v>100</v>
      </c>
      <c r="AQ1" s="5">
        <f t="shared" si="1"/>
        <v>105</v>
      </c>
      <c r="AR1" s="5">
        <f t="shared" si="1"/>
        <v>109</v>
      </c>
      <c r="AS1" s="5">
        <f t="shared" si="1"/>
        <v>111</v>
      </c>
      <c r="AT1" s="5">
        <f t="shared" si="1"/>
        <v>111</v>
      </c>
      <c r="AU1" s="5">
        <f t="shared" si="1"/>
        <v>112</v>
      </c>
      <c r="AV1" s="5">
        <f t="shared" si="1"/>
        <v>112</v>
      </c>
      <c r="AW1" s="5">
        <f t="shared" si="1"/>
        <v>112</v>
      </c>
      <c r="AX1" s="5">
        <f t="shared" si="1"/>
        <v>112</v>
      </c>
      <c r="AY1" s="5">
        <f t="shared" si="1"/>
        <v>112</v>
      </c>
      <c r="AZ1" s="5">
        <f t="shared" si="1"/>
        <v>112</v>
      </c>
      <c r="BA1" s="5">
        <f t="shared" si="1"/>
        <v>112</v>
      </c>
      <c r="BB1" s="8"/>
      <c r="BC1" s="8"/>
      <c r="BD1" s="8"/>
      <c r="BE1" s="8"/>
      <c r="BF1" s="8"/>
      <c r="BG1" s="8"/>
      <c r="BH1" s="8"/>
      <c r="BI1" s="8"/>
    </row>
    <row r="2" ht="12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2" t="s">
        <v>651</v>
      </c>
      <c r="T2" s="5">
        <f t="shared" ref="T2:BA2" si="2">SUMIFS(T$13:T$1006,$S$13:$S$1006,$S2)</f>
        <v>16</v>
      </c>
      <c r="U2" s="5">
        <f t="shared" si="2"/>
        <v>16</v>
      </c>
      <c r="V2" s="5">
        <f t="shared" si="2"/>
        <v>18</v>
      </c>
      <c r="W2" s="5">
        <f t="shared" si="2"/>
        <v>19</v>
      </c>
      <c r="X2" s="5">
        <f t="shared" si="2"/>
        <v>20</v>
      </c>
      <c r="Y2" s="5">
        <f t="shared" si="2"/>
        <v>21</v>
      </c>
      <c r="Z2" s="5">
        <f t="shared" si="2"/>
        <v>21</v>
      </c>
      <c r="AA2" s="5">
        <f t="shared" si="2"/>
        <v>21</v>
      </c>
      <c r="AB2" s="5">
        <f t="shared" si="2"/>
        <v>21</v>
      </c>
      <c r="AC2" s="5">
        <f t="shared" si="2"/>
        <v>21</v>
      </c>
      <c r="AD2" s="5">
        <f t="shared" si="2"/>
        <v>21</v>
      </c>
      <c r="AE2" s="5">
        <f t="shared" si="2"/>
        <v>21</v>
      </c>
      <c r="AF2" s="5">
        <f t="shared" si="2"/>
        <v>21</v>
      </c>
      <c r="AG2" s="5">
        <f t="shared" si="2"/>
        <v>21</v>
      </c>
      <c r="AH2" s="5">
        <f t="shared" si="2"/>
        <v>21</v>
      </c>
      <c r="AI2" s="5">
        <f t="shared" si="2"/>
        <v>22</v>
      </c>
      <c r="AJ2" s="5">
        <f t="shared" si="2"/>
        <v>22</v>
      </c>
      <c r="AK2" s="5">
        <f t="shared" si="2"/>
        <v>22</v>
      </c>
      <c r="AL2" s="5">
        <f t="shared" si="2"/>
        <v>22</v>
      </c>
      <c r="AM2" s="5">
        <f t="shared" si="2"/>
        <v>23</v>
      </c>
      <c r="AN2" s="5">
        <f t="shared" si="2"/>
        <v>25</v>
      </c>
      <c r="AO2" s="5">
        <f t="shared" si="2"/>
        <v>26</v>
      </c>
      <c r="AP2" s="5">
        <f t="shared" si="2"/>
        <v>26</v>
      </c>
      <c r="AQ2" s="5">
        <f t="shared" si="2"/>
        <v>27</v>
      </c>
      <c r="AR2" s="5">
        <f t="shared" si="2"/>
        <v>28</v>
      </c>
      <c r="AS2" s="5">
        <f t="shared" si="2"/>
        <v>30</v>
      </c>
      <c r="AT2" s="5">
        <f t="shared" si="2"/>
        <v>31</v>
      </c>
      <c r="AU2" s="5">
        <f t="shared" si="2"/>
        <v>31</v>
      </c>
      <c r="AV2" s="5">
        <f t="shared" si="2"/>
        <v>32</v>
      </c>
      <c r="AW2" s="5">
        <f t="shared" si="2"/>
        <v>32</v>
      </c>
      <c r="AX2" s="5">
        <f t="shared" si="2"/>
        <v>32</v>
      </c>
      <c r="AY2" s="5">
        <f t="shared" si="2"/>
        <v>32</v>
      </c>
      <c r="AZ2" s="5">
        <f t="shared" si="2"/>
        <v>32</v>
      </c>
      <c r="BA2" s="5">
        <f t="shared" si="2"/>
        <v>32</v>
      </c>
      <c r="BB2" s="8"/>
      <c r="BC2" s="8"/>
      <c r="BD2" s="8"/>
      <c r="BE2" s="8"/>
      <c r="BF2" s="8"/>
      <c r="BG2" s="8"/>
      <c r="BH2" s="8"/>
      <c r="BI2" s="8"/>
    </row>
    <row r="3" ht="12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2" t="s">
        <v>652</v>
      </c>
      <c r="T3" s="5">
        <f t="shared" ref="T3:BA3" si="3">SUMIFS(T$13:T$1006,$S$13:$S$1006,$S3)</f>
        <v>8</v>
      </c>
      <c r="U3" s="5">
        <f t="shared" si="3"/>
        <v>8</v>
      </c>
      <c r="V3" s="5">
        <f t="shared" si="3"/>
        <v>8</v>
      </c>
      <c r="W3" s="5">
        <f t="shared" si="3"/>
        <v>8</v>
      </c>
      <c r="X3" s="5">
        <f t="shared" si="3"/>
        <v>8</v>
      </c>
      <c r="Y3" s="5">
        <f t="shared" si="3"/>
        <v>9</v>
      </c>
      <c r="Z3" s="5">
        <f t="shared" si="3"/>
        <v>9</v>
      </c>
      <c r="AA3" s="5">
        <f t="shared" si="3"/>
        <v>9</v>
      </c>
      <c r="AB3" s="5">
        <f t="shared" si="3"/>
        <v>10</v>
      </c>
      <c r="AC3" s="5">
        <f t="shared" si="3"/>
        <v>10</v>
      </c>
      <c r="AD3" s="5">
        <f t="shared" si="3"/>
        <v>10</v>
      </c>
      <c r="AE3" s="5">
        <f t="shared" si="3"/>
        <v>10</v>
      </c>
      <c r="AF3" s="5">
        <f t="shared" si="3"/>
        <v>10</v>
      </c>
      <c r="AG3" s="5">
        <f t="shared" si="3"/>
        <v>11</v>
      </c>
      <c r="AH3" s="5">
        <f t="shared" si="3"/>
        <v>11</v>
      </c>
      <c r="AI3" s="5">
        <f t="shared" si="3"/>
        <v>11</v>
      </c>
      <c r="AJ3" s="5">
        <f t="shared" si="3"/>
        <v>11</v>
      </c>
      <c r="AK3" s="5">
        <f t="shared" si="3"/>
        <v>11</v>
      </c>
      <c r="AL3" s="5">
        <f t="shared" si="3"/>
        <v>12</v>
      </c>
      <c r="AM3" s="5">
        <f t="shared" si="3"/>
        <v>12</v>
      </c>
      <c r="AN3" s="5">
        <f t="shared" si="3"/>
        <v>12</v>
      </c>
      <c r="AO3" s="5">
        <f t="shared" si="3"/>
        <v>13</v>
      </c>
      <c r="AP3" s="5">
        <f t="shared" si="3"/>
        <v>14</v>
      </c>
      <c r="AQ3" s="5">
        <f t="shared" si="3"/>
        <v>14</v>
      </c>
      <c r="AR3" s="5">
        <f t="shared" si="3"/>
        <v>14</v>
      </c>
      <c r="AS3" s="5">
        <f t="shared" si="3"/>
        <v>14</v>
      </c>
      <c r="AT3" s="5">
        <f t="shared" si="3"/>
        <v>16</v>
      </c>
      <c r="AU3" s="5">
        <f t="shared" si="3"/>
        <v>17</v>
      </c>
      <c r="AV3" s="5">
        <f t="shared" si="3"/>
        <v>18</v>
      </c>
      <c r="AW3" s="5">
        <f t="shared" si="3"/>
        <v>18</v>
      </c>
      <c r="AX3" s="5">
        <f t="shared" si="3"/>
        <v>18</v>
      </c>
      <c r="AY3" s="5">
        <f t="shared" si="3"/>
        <v>18</v>
      </c>
      <c r="AZ3" s="5">
        <f t="shared" si="3"/>
        <v>18</v>
      </c>
      <c r="BA3" s="5">
        <f t="shared" si="3"/>
        <v>18</v>
      </c>
      <c r="BB3" s="8"/>
      <c r="BC3" s="8"/>
      <c r="BD3" s="8"/>
      <c r="BE3" s="8"/>
      <c r="BF3" s="8"/>
      <c r="BG3" s="8"/>
      <c r="BH3" s="8"/>
      <c r="BI3" s="8"/>
    </row>
    <row r="4" ht="12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2" t="s">
        <v>653</v>
      </c>
      <c r="T4" s="5">
        <f t="shared" ref="T4:BA4" si="4">SUMIFS(T$13:T$1006,$S$13:$S$1006,$S4)</f>
        <v>0</v>
      </c>
      <c r="U4" s="5">
        <f t="shared" si="4"/>
        <v>0</v>
      </c>
      <c r="V4" s="5">
        <f t="shared" si="4"/>
        <v>0</v>
      </c>
      <c r="W4" s="5">
        <f t="shared" si="4"/>
        <v>0</v>
      </c>
      <c r="X4" s="5">
        <f t="shared" si="4"/>
        <v>0</v>
      </c>
      <c r="Y4" s="5">
        <f t="shared" si="4"/>
        <v>0</v>
      </c>
      <c r="Z4" s="5">
        <f t="shared" si="4"/>
        <v>0</v>
      </c>
      <c r="AA4" s="5">
        <f t="shared" si="4"/>
        <v>0</v>
      </c>
      <c r="AB4" s="5">
        <f t="shared" si="4"/>
        <v>0</v>
      </c>
      <c r="AC4" s="5">
        <f t="shared" si="4"/>
        <v>0</v>
      </c>
      <c r="AD4" s="5">
        <f t="shared" si="4"/>
        <v>0</v>
      </c>
      <c r="AE4" s="5">
        <f t="shared" si="4"/>
        <v>0</v>
      </c>
      <c r="AF4" s="5">
        <f t="shared" si="4"/>
        <v>0</v>
      </c>
      <c r="AG4" s="5">
        <f t="shared" si="4"/>
        <v>0</v>
      </c>
      <c r="AH4" s="5">
        <f t="shared" si="4"/>
        <v>1</v>
      </c>
      <c r="AI4" s="5">
        <f t="shared" si="4"/>
        <v>1</v>
      </c>
      <c r="AJ4" s="5">
        <f t="shared" si="4"/>
        <v>1</v>
      </c>
      <c r="AK4" s="5">
        <f t="shared" si="4"/>
        <v>1</v>
      </c>
      <c r="AL4" s="5">
        <f t="shared" si="4"/>
        <v>1</v>
      </c>
      <c r="AM4" s="5">
        <f t="shared" si="4"/>
        <v>1</v>
      </c>
      <c r="AN4" s="5">
        <f t="shared" si="4"/>
        <v>1</v>
      </c>
      <c r="AO4" s="5">
        <f t="shared" si="4"/>
        <v>1</v>
      </c>
      <c r="AP4" s="5">
        <f t="shared" si="4"/>
        <v>1</v>
      </c>
      <c r="AQ4" s="5">
        <f t="shared" si="4"/>
        <v>1</v>
      </c>
      <c r="AR4" s="5">
        <f t="shared" si="4"/>
        <v>2</v>
      </c>
      <c r="AS4" s="5">
        <f t="shared" si="4"/>
        <v>2</v>
      </c>
      <c r="AT4" s="5">
        <f t="shared" si="4"/>
        <v>6</v>
      </c>
      <c r="AU4" s="5">
        <f t="shared" si="4"/>
        <v>6</v>
      </c>
      <c r="AV4" s="5">
        <f t="shared" si="4"/>
        <v>6</v>
      </c>
      <c r="AW4" s="5">
        <f t="shared" si="4"/>
        <v>6</v>
      </c>
      <c r="AX4" s="5">
        <f t="shared" si="4"/>
        <v>6</v>
      </c>
      <c r="AY4" s="5">
        <f t="shared" si="4"/>
        <v>6</v>
      </c>
      <c r="AZ4" s="5">
        <f t="shared" si="4"/>
        <v>6</v>
      </c>
      <c r="BA4" s="5">
        <f t="shared" si="4"/>
        <v>6</v>
      </c>
      <c r="BB4" s="8"/>
      <c r="BC4" s="8"/>
      <c r="BD4" s="8"/>
      <c r="BE4" s="8"/>
      <c r="BF4" s="8"/>
      <c r="BG4" s="8"/>
      <c r="BH4" s="8"/>
      <c r="BI4" s="8"/>
    </row>
    <row r="5" ht="12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2" t="s">
        <v>654</v>
      </c>
      <c r="T5" s="5">
        <f t="shared" ref="T5:BA5" si="5">SUMIFS(T$13:T$1006,$S$13:$S$1006,$S5)</f>
        <v>0</v>
      </c>
      <c r="U5" s="5">
        <f t="shared" si="5"/>
        <v>0</v>
      </c>
      <c r="V5" s="5">
        <f t="shared" si="5"/>
        <v>0</v>
      </c>
      <c r="W5" s="5">
        <f t="shared" si="5"/>
        <v>0</v>
      </c>
      <c r="X5" s="5">
        <f t="shared" si="5"/>
        <v>0</v>
      </c>
      <c r="Y5" s="5">
        <f t="shared" si="5"/>
        <v>0</v>
      </c>
      <c r="Z5" s="5">
        <f t="shared" si="5"/>
        <v>0</v>
      </c>
      <c r="AA5" s="5">
        <f t="shared" si="5"/>
        <v>0</v>
      </c>
      <c r="AB5" s="5">
        <f t="shared" si="5"/>
        <v>0</v>
      </c>
      <c r="AC5" s="5">
        <f t="shared" si="5"/>
        <v>0</v>
      </c>
      <c r="AD5" s="5">
        <f t="shared" si="5"/>
        <v>0</v>
      </c>
      <c r="AE5" s="5">
        <f t="shared" si="5"/>
        <v>0</v>
      </c>
      <c r="AF5" s="5">
        <f t="shared" si="5"/>
        <v>0</v>
      </c>
      <c r="AG5" s="5">
        <f t="shared" si="5"/>
        <v>0</v>
      </c>
      <c r="AH5" s="5">
        <f t="shared" si="5"/>
        <v>0</v>
      </c>
      <c r="AI5" s="5">
        <f t="shared" si="5"/>
        <v>0</v>
      </c>
      <c r="AJ5" s="5">
        <f t="shared" si="5"/>
        <v>0</v>
      </c>
      <c r="AK5" s="5">
        <f t="shared" si="5"/>
        <v>0</v>
      </c>
      <c r="AL5" s="5">
        <f t="shared" si="5"/>
        <v>0</v>
      </c>
      <c r="AM5" s="5">
        <f t="shared" si="5"/>
        <v>0</v>
      </c>
      <c r="AN5" s="5">
        <f t="shared" si="5"/>
        <v>0</v>
      </c>
      <c r="AO5" s="5">
        <f t="shared" si="5"/>
        <v>0</v>
      </c>
      <c r="AP5" s="5">
        <f t="shared" si="5"/>
        <v>0</v>
      </c>
      <c r="AQ5" s="5">
        <f t="shared" si="5"/>
        <v>0</v>
      </c>
      <c r="AR5" s="5">
        <f t="shared" si="5"/>
        <v>0</v>
      </c>
      <c r="AS5" s="5">
        <f t="shared" si="5"/>
        <v>1</v>
      </c>
      <c r="AT5" s="5">
        <f t="shared" si="5"/>
        <v>1</v>
      </c>
      <c r="AU5" s="5">
        <f t="shared" si="5"/>
        <v>1</v>
      </c>
      <c r="AV5" s="5">
        <f t="shared" si="5"/>
        <v>1</v>
      </c>
      <c r="AW5" s="5">
        <f t="shared" si="5"/>
        <v>1</v>
      </c>
      <c r="AX5" s="5">
        <f t="shared" si="5"/>
        <v>1</v>
      </c>
      <c r="AY5" s="5">
        <f t="shared" si="5"/>
        <v>1</v>
      </c>
      <c r="AZ5" s="5">
        <f t="shared" si="5"/>
        <v>1</v>
      </c>
      <c r="BA5" s="5">
        <f t="shared" si="5"/>
        <v>1</v>
      </c>
      <c r="BB5" s="8"/>
      <c r="BC5" s="8"/>
      <c r="BD5" s="8"/>
      <c r="BE5" s="8"/>
      <c r="BF5" s="8"/>
      <c r="BG5" s="8"/>
      <c r="BH5" s="8"/>
      <c r="BI5" s="8"/>
    </row>
    <row r="6" ht="3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2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8"/>
      <c r="BC6" s="8"/>
      <c r="BD6" s="8"/>
      <c r="BE6" s="8"/>
      <c r="BF6" s="8"/>
      <c r="BG6" s="8"/>
      <c r="BH6" s="8"/>
      <c r="BI6" s="8"/>
    </row>
    <row r="7" ht="12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2" t="s">
        <v>655</v>
      </c>
      <c r="T7" s="5">
        <f t="shared" ref="T7:BA7" si="6">SUM(T$13:T$1006)-SUM(T$1:T$5)</f>
        <v>2</v>
      </c>
      <c r="U7" s="5">
        <f t="shared" si="6"/>
        <v>2</v>
      </c>
      <c r="V7" s="5">
        <f t="shared" si="6"/>
        <v>2</v>
      </c>
      <c r="W7" s="5">
        <f t="shared" si="6"/>
        <v>2</v>
      </c>
      <c r="X7" s="5">
        <f t="shared" si="6"/>
        <v>2</v>
      </c>
      <c r="Y7" s="5">
        <f t="shared" si="6"/>
        <v>2</v>
      </c>
      <c r="Z7" s="5">
        <f t="shared" si="6"/>
        <v>2</v>
      </c>
      <c r="AA7" s="5">
        <f t="shared" si="6"/>
        <v>2</v>
      </c>
      <c r="AB7" s="5">
        <f t="shared" si="6"/>
        <v>2</v>
      </c>
      <c r="AC7" s="5">
        <f t="shared" si="6"/>
        <v>2</v>
      </c>
      <c r="AD7" s="5">
        <f t="shared" si="6"/>
        <v>2</v>
      </c>
      <c r="AE7" s="5">
        <f t="shared" si="6"/>
        <v>2</v>
      </c>
      <c r="AF7" s="5">
        <f t="shared" si="6"/>
        <v>2</v>
      </c>
      <c r="AG7" s="5">
        <f t="shared" si="6"/>
        <v>2</v>
      </c>
      <c r="AH7" s="5">
        <f t="shared" si="6"/>
        <v>2</v>
      </c>
      <c r="AI7" s="5">
        <f t="shared" si="6"/>
        <v>2</v>
      </c>
      <c r="AJ7" s="5">
        <f t="shared" si="6"/>
        <v>2</v>
      </c>
      <c r="AK7" s="5">
        <f t="shared" si="6"/>
        <v>2</v>
      </c>
      <c r="AL7" s="5">
        <f t="shared" si="6"/>
        <v>2</v>
      </c>
      <c r="AM7" s="5">
        <f t="shared" si="6"/>
        <v>2</v>
      </c>
      <c r="AN7" s="5">
        <f t="shared" si="6"/>
        <v>2</v>
      </c>
      <c r="AO7" s="5">
        <f t="shared" si="6"/>
        <v>2</v>
      </c>
      <c r="AP7" s="5">
        <f t="shared" si="6"/>
        <v>2</v>
      </c>
      <c r="AQ7" s="5">
        <f t="shared" si="6"/>
        <v>2</v>
      </c>
      <c r="AR7" s="5">
        <f t="shared" si="6"/>
        <v>2</v>
      </c>
      <c r="AS7" s="5">
        <f t="shared" si="6"/>
        <v>2</v>
      </c>
      <c r="AT7" s="5">
        <f t="shared" si="6"/>
        <v>2</v>
      </c>
      <c r="AU7" s="5">
        <f t="shared" si="6"/>
        <v>3</v>
      </c>
      <c r="AV7" s="5">
        <f t="shared" si="6"/>
        <v>4</v>
      </c>
      <c r="AW7" s="5">
        <f t="shared" si="6"/>
        <v>4</v>
      </c>
      <c r="AX7" s="5">
        <f t="shared" si="6"/>
        <v>4</v>
      </c>
      <c r="AY7" s="5">
        <f t="shared" si="6"/>
        <v>4</v>
      </c>
      <c r="AZ7" s="5">
        <f t="shared" si="6"/>
        <v>4</v>
      </c>
      <c r="BA7" s="5">
        <f t="shared" si="6"/>
        <v>4</v>
      </c>
      <c r="BB7" s="8"/>
      <c r="BC7" s="8"/>
      <c r="BD7" s="8"/>
      <c r="BE7" s="8"/>
      <c r="BF7" s="8"/>
      <c r="BG7" s="8"/>
      <c r="BH7" s="8"/>
      <c r="BI7" s="8"/>
    </row>
    <row r="8" ht="12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2" t="s">
        <v>656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13">
        <v>4.0</v>
      </c>
      <c r="AL8" s="13">
        <v>3.0</v>
      </c>
      <c r="AM8" s="13">
        <v>0.0</v>
      </c>
      <c r="AN8" s="13">
        <v>2.0</v>
      </c>
      <c r="AO8" s="13">
        <v>3.0</v>
      </c>
      <c r="AP8" s="13">
        <v>3.0</v>
      </c>
      <c r="AQ8" s="13">
        <v>0.0</v>
      </c>
      <c r="AR8" s="13">
        <v>1.0</v>
      </c>
      <c r="AS8" s="13">
        <v>3.0</v>
      </c>
      <c r="AT8" s="13">
        <v>3.0</v>
      </c>
      <c r="AU8" s="13"/>
      <c r="AV8" s="13"/>
      <c r="AW8" s="13"/>
      <c r="AX8" s="13"/>
      <c r="AY8" s="13"/>
      <c r="AZ8" s="13"/>
      <c r="BA8" s="13"/>
      <c r="BB8" s="8"/>
      <c r="BC8" s="8"/>
      <c r="BD8" s="8"/>
      <c r="BE8" s="8"/>
      <c r="BF8" s="8"/>
      <c r="BG8" s="8"/>
      <c r="BH8" s="8"/>
      <c r="BI8" s="8"/>
    </row>
    <row r="9" ht="12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2" t="s">
        <v>657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14">
        <f t="shared" ref="AO9:BA9" si="7">AO8/SUM(AO1:AO3)</f>
        <v>0.02222222222</v>
      </c>
      <c r="AP9" s="14">
        <f t="shared" si="7"/>
        <v>0.02142857143</v>
      </c>
      <c r="AQ9" s="14">
        <f t="shared" si="7"/>
        <v>0</v>
      </c>
      <c r="AR9" s="14">
        <f t="shared" si="7"/>
        <v>0.006622516556</v>
      </c>
      <c r="AS9" s="14">
        <f t="shared" si="7"/>
        <v>0.01935483871</v>
      </c>
      <c r="AT9" s="14">
        <f t="shared" si="7"/>
        <v>0.01898734177</v>
      </c>
      <c r="AU9" s="14">
        <f t="shared" si="7"/>
        <v>0</v>
      </c>
      <c r="AV9" s="14">
        <f t="shared" si="7"/>
        <v>0</v>
      </c>
      <c r="AW9" s="14">
        <f t="shared" si="7"/>
        <v>0</v>
      </c>
      <c r="AX9" s="14">
        <f t="shared" si="7"/>
        <v>0</v>
      </c>
      <c r="AY9" s="14">
        <f t="shared" si="7"/>
        <v>0</v>
      </c>
      <c r="AZ9" s="14">
        <f t="shared" si="7"/>
        <v>0</v>
      </c>
      <c r="BA9" s="14">
        <f t="shared" si="7"/>
        <v>0</v>
      </c>
      <c r="BB9" s="8"/>
      <c r="BC9" s="8"/>
      <c r="BD9" s="8"/>
      <c r="BE9" s="8"/>
      <c r="BF9" s="8"/>
      <c r="BG9" s="8"/>
      <c r="BH9" s="8"/>
      <c r="BI9" s="8"/>
    </row>
    <row r="10" ht="12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2" t="s">
        <v>658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13"/>
      <c r="AL10" s="13"/>
      <c r="AM10" s="13"/>
      <c r="AN10" s="13">
        <v>1.0</v>
      </c>
      <c r="AO10" s="13">
        <v>2.0</v>
      </c>
      <c r="AP10" s="13">
        <v>1.0</v>
      </c>
      <c r="AQ10" s="13">
        <v>0.0</v>
      </c>
      <c r="AR10" s="13">
        <v>1.0</v>
      </c>
      <c r="AS10" s="13">
        <v>1.0</v>
      </c>
      <c r="AT10" s="13">
        <v>3.0</v>
      </c>
      <c r="AU10" s="13"/>
      <c r="AV10" s="13"/>
      <c r="AW10" s="13"/>
      <c r="AX10" s="13"/>
      <c r="AY10" s="13"/>
      <c r="AZ10" s="13"/>
      <c r="BA10" s="13"/>
      <c r="BB10" s="8"/>
      <c r="BC10" s="8"/>
      <c r="BD10" s="8"/>
      <c r="BE10" s="8"/>
      <c r="BF10" s="8"/>
      <c r="BG10" s="8"/>
      <c r="BH10" s="8"/>
      <c r="BI10" s="8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2" t="s">
        <v>659</v>
      </c>
      <c r="T11" s="5">
        <f t="shared" ref="T11:BA11" si="8">SUM(T1:T5)-SUM(S1:S5)</f>
        <v>60</v>
      </c>
      <c r="U11" s="5">
        <f t="shared" si="8"/>
        <v>0</v>
      </c>
      <c r="V11" s="5">
        <f t="shared" si="8"/>
        <v>2</v>
      </c>
      <c r="W11" s="5">
        <f t="shared" si="8"/>
        <v>2</v>
      </c>
      <c r="X11" s="5">
        <f t="shared" si="8"/>
        <v>3</v>
      </c>
      <c r="Y11" s="5">
        <f t="shared" si="8"/>
        <v>5</v>
      </c>
      <c r="Z11" s="5">
        <f t="shared" si="8"/>
        <v>1</v>
      </c>
      <c r="AA11" s="5">
        <f t="shared" si="8"/>
        <v>1</v>
      </c>
      <c r="AB11" s="5">
        <f t="shared" si="8"/>
        <v>5</v>
      </c>
      <c r="AC11" s="5">
        <f t="shared" si="8"/>
        <v>2</v>
      </c>
      <c r="AD11" s="5">
        <f t="shared" si="8"/>
        <v>2</v>
      </c>
      <c r="AE11" s="5">
        <f t="shared" si="8"/>
        <v>2</v>
      </c>
      <c r="AF11" s="5">
        <f t="shared" si="8"/>
        <v>1</v>
      </c>
      <c r="AG11" s="5">
        <f t="shared" si="8"/>
        <v>3</v>
      </c>
      <c r="AH11" s="5">
        <f t="shared" si="8"/>
        <v>3</v>
      </c>
      <c r="AI11" s="5">
        <f t="shared" si="8"/>
        <v>3</v>
      </c>
      <c r="AJ11" s="5">
        <f t="shared" si="8"/>
        <v>3</v>
      </c>
      <c r="AK11" s="5">
        <f t="shared" si="8"/>
        <v>4</v>
      </c>
      <c r="AL11" s="5">
        <f t="shared" si="8"/>
        <v>14</v>
      </c>
      <c r="AM11" s="5">
        <f t="shared" si="8"/>
        <v>4</v>
      </c>
      <c r="AN11" s="5">
        <f t="shared" si="8"/>
        <v>8</v>
      </c>
      <c r="AO11" s="5">
        <f t="shared" si="8"/>
        <v>8</v>
      </c>
      <c r="AP11" s="5">
        <f t="shared" si="8"/>
        <v>5</v>
      </c>
      <c r="AQ11" s="5">
        <f t="shared" si="8"/>
        <v>6</v>
      </c>
      <c r="AR11" s="5">
        <f t="shared" si="8"/>
        <v>6</v>
      </c>
      <c r="AS11" s="5">
        <f t="shared" si="8"/>
        <v>5</v>
      </c>
      <c r="AT11" s="5">
        <f t="shared" si="8"/>
        <v>7</v>
      </c>
      <c r="AU11" s="5">
        <f t="shared" si="8"/>
        <v>2</v>
      </c>
      <c r="AV11" s="5">
        <f t="shared" si="8"/>
        <v>2</v>
      </c>
      <c r="AW11" s="5">
        <f t="shared" si="8"/>
        <v>0</v>
      </c>
      <c r="AX11" s="5">
        <f t="shared" si="8"/>
        <v>0</v>
      </c>
      <c r="AY11" s="5">
        <f t="shared" si="8"/>
        <v>0</v>
      </c>
      <c r="AZ11" s="5">
        <f t="shared" si="8"/>
        <v>0</v>
      </c>
      <c r="BA11" s="5">
        <f t="shared" si="8"/>
        <v>0</v>
      </c>
      <c r="BB11" s="8"/>
      <c r="BC11" s="8"/>
      <c r="BD11" s="8"/>
      <c r="BE11" s="8"/>
      <c r="BF11" s="8"/>
      <c r="BG11" s="8"/>
      <c r="BH11" s="8"/>
      <c r="BI11" s="8"/>
    </row>
    <row r="12" ht="30.0" customHeigh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13</v>
      </c>
      <c r="N12" s="1" t="s">
        <v>14</v>
      </c>
      <c r="O12" s="1" t="s">
        <v>15</v>
      </c>
      <c r="P12" s="1" t="s">
        <v>16</v>
      </c>
      <c r="Q12" s="1" t="s">
        <v>17</v>
      </c>
      <c r="R12" s="1" t="s">
        <v>18</v>
      </c>
      <c r="S12" s="1" t="s">
        <v>660</v>
      </c>
      <c r="T12" s="15">
        <v>45382.0</v>
      </c>
      <c r="U12" s="15">
        <v>45412.0</v>
      </c>
      <c r="V12" s="15">
        <v>45443.0</v>
      </c>
      <c r="W12" s="16">
        <v>45473.0</v>
      </c>
      <c r="X12" s="15">
        <v>45504.0</v>
      </c>
      <c r="Y12" s="15">
        <v>45535.0</v>
      </c>
      <c r="Z12" s="16">
        <v>45565.0</v>
      </c>
      <c r="AA12" s="15">
        <v>45596.0</v>
      </c>
      <c r="AB12" s="15">
        <v>45626.0</v>
      </c>
      <c r="AC12" s="16">
        <v>45657.0</v>
      </c>
      <c r="AD12" s="15">
        <v>45688.0</v>
      </c>
      <c r="AE12" s="15">
        <v>45716.0</v>
      </c>
      <c r="AF12" s="16">
        <v>45747.0</v>
      </c>
      <c r="AG12" s="15">
        <v>45777.0</v>
      </c>
      <c r="AH12" s="15">
        <v>45808.0</v>
      </c>
      <c r="AI12" s="16">
        <v>45838.0</v>
      </c>
      <c r="AJ12" s="15">
        <v>45869.0</v>
      </c>
      <c r="AK12" s="15">
        <v>45900.0</v>
      </c>
      <c r="AL12" s="16">
        <v>45930.0</v>
      </c>
      <c r="AM12" s="15">
        <v>45961.0</v>
      </c>
      <c r="AN12" s="15">
        <v>45991.0</v>
      </c>
      <c r="AO12" s="16">
        <v>46022.0</v>
      </c>
      <c r="AP12" s="16">
        <v>46053.0</v>
      </c>
      <c r="AQ12" s="16">
        <v>46081.0</v>
      </c>
      <c r="AR12" s="16">
        <v>46112.0</v>
      </c>
      <c r="AS12" s="16">
        <v>46142.0</v>
      </c>
      <c r="AT12" s="16">
        <v>46173.0</v>
      </c>
      <c r="AU12" s="16">
        <v>46203.0</v>
      </c>
      <c r="AV12" s="16">
        <v>46234.0</v>
      </c>
      <c r="AW12" s="16">
        <v>46265.0</v>
      </c>
      <c r="AX12" s="16">
        <v>46295.0</v>
      </c>
      <c r="AY12" s="16">
        <v>46326.0</v>
      </c>
      <c r="AZ12" s="16">
        <v>46356.0</v>
      </c>
      <c r="BA12" s="16">
        <v>46387.0</v>
      </c>
      <c r="BB12" s="15"/>
      <c r="BC12" s="16"/>
      <c r="BD12" s="15"/>
      <c r="BE12" s="16"/>
      <c r="BF12" s="15"/>
      <c r="BG12" s="16"/>
      <c r="BH12" s="15"/>
      <c r="BI12" s="16"/>
    </row>
    <row r="13" ht="12.75" customHeight="1">
      <c r="A13" s="4">
        <v>1.0</v>
      </c>
      <c r="B13" s="5" t="s">
        <v>19</v>
      </c>
      <c r="C13" s="5" t="s">
        <v>20</v>
      </c>
      <c r="D13" s="5" t="s">
        <v>21</v>
      </c>
      <c r="E13" s="5" t="s">
        <v>22</v>
      </c>
      <c r="F13" s="6">
        <v>43651.0</v>
      </c>
      <c r="G13" s="5" t="s">
        <v>23</v>
      </c>
      <c r="H13" s="6">
        <v>45884.0</v>
      </c>
      <c r="I13" s="5" t="s">
        <v>24</v>
      </c>
      <c r="J13" s="5" t="s">
        <v>24</v>
      </c>
      <c r="K13" s="5" t="s">
        <v>25</v>
      </c>
      <c r="L13" s="5" t="s">
        <v>26</v>
      </c>
      <c r="M13" s="5" t="s">
        <v>28</v>
      </c>
      <c r="N13" s="5" t="s">
        <v>29</v>
      </c>
      <c r="O13" s="5" t="s">
        <v>30</v>
      </c>
      <c r="P13" s="7" t="s">
        <v>27</v>
      </c>
      <c r="Q13" s="7" t="str">
        <f t="array" ref="Q13">IF($M13="Yes","Cost of Goods Sold:COGS- Travel Expenses:",IF($M13="No",XLOOKUP($P13,Key!$I:$I,Key!$J:$J),"Review Billable Status"))</f>
        <v>General &amp; Administrative:G&amp;A- Travel Expenses:</v>
      </c>
      <c r="R13" s="7" t="str">
        <f t="array" ref="R13">IF($M13="Yes","Cost of Goods Sold:COGS- Personnel Expense:",IF($M13="No",XLOOKUP($P13,Key!$I:$I,Key!$K:$K),"Review Billable Status"))</f>
        <v>General &amp; Administrative:G&amp;A- Personnel Expenses:</v>
      </c>
      <c r="S13" s="10" t="str">
        <f t="array" ref="S13">IF($G13="Paid Intern","PD Intern",IF($G13="Contractor/Consultant","Contractor",XLOOKUP(M13&amp;P13,Key!$M:$M,Key!$L:$L)))</f>
        <v>G&amp;A</v>
      </c>
      <c r="T13" s="5">
        <f t="shared" ref="T13:BA13" si="9">IF(OR($F13&gt;T$12,AND($G13="Terminated",T$12&gt;=$H13)),0,1)</f>
        <v>1</v>
      </c>
      <c r="U13" s="5">
        <f t="shared" si="9"/>
        <v>1</v>
      </c>
      <c r="V13" s="5">
        <f t="shared" si="9"/>
        <v>1</v>
      </c>
      <c r="W13" s="5">
        <f t="shared" si="9"/>
        <v>1</v>
      </c>
      <c r="X13" s="5">
        <f t="shared" si="9"/>
        <v>1</v>
      </c>
      <c r="Y13" s="5">
        <f t="shared" si="9"/>
        <v>1</v>
      </c>
      <c r="Z13" s="5">
        <f t="shared" si="9"/>
        <v>1</v>
      </c>
      <c r="AA13" s="5">
        <f t="shared" si="9"/>
        <v>1</v>
      </c>
      <c r="AB13" s="5">
        <f t="shared" si="9"/>
        <v>1</v>
      </c>
      <c r="AC13" s="5">
        <f t="shared" si="9"/>
        <v>1</v>
      </c>
      <c r="AD13" s="5">
        <f t="shared" si="9"/>
        <v>1</v>
      </c>
      <c r="AE13" s="5">
        <f t="shared" si="9"/>
        <v>1</v>
      </c>
      <c r="AF13" s="5">
        <f t="shared" si="9"/>
        <v>1</v>
      </c>
      <c r="AG13" s="5">
        <f t="shared" si="9"/>
        <v>1</v>
      </c>
      <c r="AH13" s="5">
        <f t="shared" si="9"/>
        <v>1</v>
      </c>
      <c r="AI13" s="5">
        <f t="shared" si="9"/>
        <v>1</v>
      </c>
      <c r="AJ13" s="5">
        <f t="shared" si="9"/>
        <v>1</v>
      </c>
      <c r="AK13" s="5">
        <f t="shared" si="9"/>
        <v>1</v>
      </c>
      <c r="AL13" s="5">
        <f t="shared" si="9"/>
        <v>1</v>
      </c>
      <c r="AM13" s="5">
        <f t="shared" si="9"/>
        <v>1</v>
      </c>
      <c r="AN13" s="5">
        <f t="shared" si="9"/>
        <v>1</v>
      </c>
      <c r="AO13" s="5">
        <f t="shared" si="9"/>
        <v>1</v>
      </c>
      <c r="AP13" s="5">
        <f t="shared" si="9"/>
        <v>1</v>
      </c>
      <c r="AQ13" s="5">
        <f t="shared" si="9"/>
        <v>1</v>
      </c>
      <c r="AR13" s="5">
        <f t="shared" si="9"/>
        <v>1</v>
      </c>
      <c r="AS13" s="5">
        <f t="shared" si="9"/>
        <v>1</v>
      </c>
      <c r="AT13" s="5">
        <f t="shared" si="9"/>
        <v>1</v>
      </c>
      <c r="AU13" s="5">
        <f t="shared" si="9"/>
        <v>1</v>
      </c>
      <c r="AV13" s="5">
        <f t="shared" si="9"/>
        <v>1</v>
      </c>
      <c r="AW13" s="5">
        <f t="shared" si="9"/>
        <v>1</v>
      </c>
      <c r="AX13" s="5">
        <f t="shared" si="9"/>
        <v>1</v>
      </c>
      <c r="AY13" s="5">
        <f t="shared" si="9"/>
        <v>1</v>
      </c>
      <c r="AZ13" s="5">
        <f t="shared" si="9"/>
        <v>1</v>
      </c>
      <c r="BA13" s="5">
        <f t="shared" si="9"/>
        <v>1</v>
      </c>
      <c r="BB13" s="8"/>
      <c r="BC13" s="8"/>
      <c r="BD13" s="8"/>
      <c r="BE13" s="8"/>
      <c r="BF13" s="8"/>
      <c r="BG13" s="8"/>
      <c r="BH13" s="8"/>
      <c r="BI13" s="8"/>
    </row>
    <row r="14" ht="12.75" customHeight="1">
      <c r="A14" s="4">
        <v>2.0</v>
      </c>
      <c r="B14" s="5" t="s">
        <v>31</v>
      </c>
      <c r="C14" s="5" t="s">
        <v>32</v>
      </c>
      <c r="D14" s="5" t="s">
        <v>33</v>
      </c>
      <c r="E14" s="5" t="s">
        <v>22</v>
      </c>
      <c r="F14" s="6">
        <v>43647.0</v>
      </c>
      <c r="G14" s="5" t="s">
        <v>23</v>
      </c>
      <c r="H14" s="6">
        <v>43773.0</v>
      </c>
      <c r="I14" s="5" t="s">
        <v>34</v>
      </c>
      <c r="J14" s="5" t="s">
        <v>35</v>
      </c>
      <c r="K14" s="5" t="s">
        <v>36</v>
      </c>
      <c r="L14" s="5" t="s">
        <v>37</v>
      </c>
      <c r="M14" s="5" t="s">
        <v>39</v>
      </c>
      <c r="N14" s="5" t="s">
        <v>40</v>
      </c>
      <c r="O14" s="5" t="s">
        <v>41</v>
      </c>
      <c r="P14" s="7" t="s">
        <v>38</v>
      </c>
      <c r="Q14" s="7" t="str">
        <f t="array" ref="Q14">IF($M14="Yes","Cost of Goods Sold:COGS- Travel Expenses:",IF($M14="No",XLOOKUP($P14,Key!$I:$I,Key!$J:$J),"Review Billable Status"))</f>
        <v>Cost of Goods Sold:COGS- Travel Expenses:</v>
      </c>
      <c r="R14" s="7" t="str">
        <f t="array" ref="R14">IF($M14="Yes","Cost of Goods Sold:COGS- Personnel Expense:",IF($M14="No",XLOOKUP($P14,Key!$I:$I,Key!$K:$K),"Review Billable Status"))</f>
        <v>Cost of Goods Sold:COGS- Personnel Expense:</v>
      </c>
      <c r="S14" s="10" t="str">
        <f t="array" ref="S14">IF($G14="Paid Intern","PD Intern",IF($G14="Contractor/Consultant","Contractor",XLOOKUP(M14&amp;P14,Key!$M:$M,Key!$L:$L)))</f>
        <v>COR</v>
      </c>
      <c r="T14" s="5">
        <f t="shared" ref="T14:BA14" si="10">IF(OR($F14&gt;T$12,AND($G14="Terminated",T$12&gt;=$H14)),0,1)</f>
        <v>1</v>
      </c>
      <c r="U14" s="5">
        <f t="shared" si="10"/>
        <v>1</v>
      </c>
      <c r="V14" s="5">
        <f t="shared" si="10"/>
        <v>1</v>
      </c>
      <c r="W14" s="5">
        <f t="shared" si="10"/>
        <v>1</v>
      </c>
      <c r="X14" s="5">
        <f t="shared" si="10"/>
        <v>1</v>
      </c>
      <c r="Y14" s="5">
        <f t="shared" si="10"/>
        <v>1</v>
      </c>
      <c r="Z14" s="5">
        <f t="shared" si="10"/>
        <v>1</v>
      </c>
      <c r="AA14" s="5">
        <f t="shared" si="10"/>
        <v>1</v>
      </c>
      <c r="AB14" s="5">
        <f t="shared" si="10"/>
        <v>1</v>
      </c>
      <c r="AC14" s="5">
        <f t="shared" si="10"/>
        <v>1</v>
      </c>
      <c r="AD14" s="5">
        <f t="shared" si="10"/>
        <v>1</v>
      </c>
      <c r="AE14" s="5">
        <f t="shared" si="10"/>
        <v>1</v>
      </c>
      <c r="AF14" s="5">
        <f t="shared" si="10"/>
        <v>1</v>
      </c>
      <c r="AG14" s="5">
        <f t="shared" si="10"/>
        <v>1</v>
      </c>
      <c r="AH14" s="5">
        <f t="shared" si="10"/>
        <v>1</v>
      </c>
      <c r="AI14" s="5">
        <f t="shared" si="10"/>
        <v>1</v>
      </c>
      <c r="AJ14" s="5">
        <f t="shared" si="10"/>
        <v>1</v>
      </c>
      <c r="AK14" s="5">
        <f t="shared" si="10"/>
        <v>1</v>
      </c>
      <c r="AL14" s="5">
        <f t="shared" si="10"/>
        <v>1</v>
      </c>
      <c r="AM14" s="5">
        <f t="shared" si="10"/>
        <v>1</v>
      </c>
      <c r="AN14" s="5">
        <f t="shared" si="10"/>
        <v>1</v>
      </c>
      <c r="AO14" s="5">
        <f t="shared" si="10"/>
        <v>1</v>
      </c>
      <c r="AP14" s="5">
        <f t="shared" si="10"/>
        <v>1</v>
      </c>
      <c r="AQ14" s="5">
        <f t="shared" si="10"/>
        <v>1</v>
      </c>
      <c r="AR14" s="5">
        <f t="shared" si="10"/>
        <v>1</v>
      </c>
      <c r="AS14" s="5">
        <f t="shared" si="10"/>
        <v>1</v>
      </c>
      <c r="AT14" s="5">
        <f t="shared" si="10"/>
        <v>1</v>
      </c>
      <c r="AU14" s="5">
        <f t="shared" si="10"/>
        <v>1</v>
      </c>
      <c r="AV14" s="5">
        <f t="shared" si="10"/>
        <v>1</v>
      </c>
      <c r="AW14" s="5">
        <f t="shared" si="10"/>
        <v>1</v>
      </c>
      <c r="AX14" s="5">
        <f t="shared" si="10"/>
        <v>1</v>
      </c>
      <c r="AY14" s="5">
        <f t="shared" si="10"/>
        <v>1</v>
      </c>
      <c r="AZ14" s="5">
        <f t="shared" si="10"/>
        <v>1</v>
      </c>
      <c r="BA14" s="5">
        <f t="shared" si="10"/>
        <v>1</v>
      </c>
      <c r="BB14" s="8"/>
      <c r="BC14" s="8"/>
      <c r="BD14" s="8"/>
      <c r="BE14" s="8"/>
      <c r="BF14" s="8"/>
      <c r="BG14" s="8"/>
      <c r="BH14" s="8"/>
      <c r="BI14" s="8"/>
    </row>
    <row r="15" ht="12.75" customHeight="1">
      <c r="A15" s="4">
        <v>3.0</v>
      </c>
      <c r="B15" s="5" t="s">
        <v>42</v>
      </c>
      <c r="C15" s="5" t="s">
        <v>43</v>
      </c>
      <c r="D15" s="5" t="s">
        <v>44</v>
      </c>
      <c r="E15" s="5" t="s">
        <v>22</v>
      </c>
      <c r="F15" s="6">
        <v>43773.0</v>
      </c>
      <c r="G15" s="5" t="s">
        <v>23</v>
      </c>
      <c r="H15" s="6">
        <v>43773.0</v>
      </c>
      <c r="I15" s="5" t="s">
        <v>34</v>
      </c>
      <c r="J15" s="5" t="s">
        <v>45</v>
      </c>
      <c r="K15" s="5" t="s">
        <v>25</v>
      </c>
      <c r="L15" s="5" t="s">
        <v>46</v>
      </c>
      <c r="M15" s="5" t="s">
        <v>28</v>
      </c>
      <c r="N15" s="5" t="s">
        <v>40</v>
      </c>
      <c r="O15" s="5" t="s">
        <v>30</v>
      </c>
      <c r="P15" s="7" t="s">
        <v>47</v>
      </c>
      <c r="Q15" s="7" t="str">
        <f t="array" ref="Q15">IF($M15="Yes","Cost of Goods Sold:COGS- Travel Expenses:",IF($M15="No",XLOOKUP($P15,Key!$I:$I,Key!$J:$J),"Review Billable Status"))</f>
        <v>Sales &amp; Marketing:Sales &amp; Marketing- Travel Expenses:</v>
      </c>
      <c r="R15" s="7" t="str">
        <f t="array" ref="R15">IF($M15="Yes","Cost of Goods Sold:COGS- Personnel Expense:",IF($M15="No",XLOOKUP($P15,Key!$I:$I,Key!$K:$K),"Review Billable Status"))</f>
        <v>Sales &amp; Marketing:Sales &amp; Marketing- Personnel Expenses:</v>
      </c>
      <c r="S15" s="10" t="str">
        <f t="array" ref="S15">IF($G15="Paid Intern","PD Intern",IF($G15="Contractor/Consultant","Contractor",XLOOKUP(M15&amp;P15,Key!$M:$M,Key!$L:$L)))</f>
        <v>S&amp;M</v>
      </c>
      <c r="T15" s="5">
        <f t="shared" ref="T15:BA15" si="11">IF(OR($F15&gt;T$12,AND($G15="Terminated",T$12&gt;=$H15)),0,1)</f>
        <v>1</v>
      </c>
      <c r="U15" s="5">
        <f t="shared" si="11"/>
        <v>1</v>
      </c>
      <c r="V15" s="5">
        <f t="shared" si="11"/>
        <v>1</v>
      </c>
      <c r="W15" s="5">
        <f t="shared" si="11"/>
        <v>1</v>
      </c>
      <c r="X15" s="5">
        <f t="shared" si="11"/>
        <v>1</v>
      </c>
      <c r="Y15" s="5">
        <f t="shared" si="11"/>
        <v>1</v>
      </c>
      <c r="Z15" s="5">
        <f t="shared" si="11"/>
        <v>1</v>
      </c>
      <c r="AA15" s="5">
        <f t="shared" si="11"/>
        <v>1</v>
      </c>
      <c r="AB15" s="5">
        <f t="shared" si="11"/>
        <v>1</v>
      </c>
      <c r="AC15" s="5">
        <f t="shared" si="11"/>
        <v>1</v>
      </c>
      <c r="AD15" s="5">
        <f t="shared" si="11"/>
        <v>1</v>
      </c>
      <c r="AE15" s="5">
        <f t="shared" si="11"/>
        <v>1</v>
      </c>
      <c r="AF15" s="5">
        <f t="shared" si="11"/>
        <v>1</v>
      </c>
      <c r="AG15" s="5">
        <f t="shared" si="11"/>
        <v>1</v>
      </c>
      <c r="AH15" s="5">
        <f t="shared" si="11"/>
        <v>1</v>
      </c>
      <c r="AI15" s="5">
        <f t="shared" si="11"/>
        <v>1</v>
      </c>
      <c r="AJ15" s="5">
        <f t="shared" si="11"/>
        <v>1</v>
      </c>
      <c r="AK15" s="5">
        <f t="shared" si="11"/>
        <v>1</v>
      </c>
      <c r="AL15" s="5">
        <f t="shared" si="11"/>
        <v>1</v>
      </c>
      <c r="AM15" s="5">
        <f t="shared" si="11"/>
        <v>1</v>
      </c>
      <c r="AN15" s="5">
        <f t="shared" si="11"/>
        <v>1</v>
      </c>
      <c r="AO15" s="5">
        <f t="shared" si="11"/>
        <v>1</v>
      </c>
      <c r="AP15" s="5">
        <f t="shared" si="11"/>
        <v>1</v>
      </c>
      <c r="AQ15" s="5">
        <f t="shared" si="11"/>
        <v>1</v>
      </c>
      <c r="AR15" s="5">
        <f t="shared" si="11"/>
        <v>1</v>
      </c>
      <c r="AS15" s="5">
        <f t="shared" si="11"/>
        <v>1</v>
      </c>
      <c r="AT15" s="5">
        <f t="shared" si="11"/>
        <v>1</v>
      </c>
      <c r="AU15" s="5">
        <f t="shared" si="11"/>
        <v>1</v>
      </c>
      <c r="AV15" s="5">
        <f t="shared" si="11"/>
        <v>1</v>
      </c>
      <c r="AW15" s="5">
        <f t="shared" si="11"/>
        <v>1</v>
      </c>
      <c r="AX15" s="5">
        <f t="shared" si="11"/>
        <v>1</v>
      </c>
      <c r="AY15" s="5">
        <f t="shared" si="11"/>
        <v>1</v>
      </c>
      <c r="AZ15" s="5">
        <f t="shared" si="11"/>
        <v>1</v>
      </c>
      <c r="BA15" s="5">
        <f t="shared" si="11"/>
        <v>1</v>
      </c>
      <c r="BB15" s="8"/>
      <c r="BC15" s="8"/>
      <c r="BD15" s="8"/>
      <c r="BE15" s="8"/>
      <c r="BF15" s="8"/>
      <c r="BG15" s="8"/>
      <c r="BH15" s="8"/>
      <c r="BI15" s="8"/>
    </row>
    <row r="16" ht="12.75" customHeight="1">
      <c r="A16" s="4">
        <v>4.0</v>
      </c>
      <c r="B16" s="5" t="s">
        <v>48</v>
      </c>
      <c r="C16" s="5" t="s">
        <v>49</v>
      </c>
      <c r="D16" s="5" t="s">
        <v>50</v>
      </c>
      <c r="E16" s="5" t="s">
        <v>22</v>
      </c>
      <c r="F16" s="6">
        <v>43754.0</v>
      </c>
      <c r="G16" s="5" t="s">
        <v>23</v>
      </c>
      <c r="H16" s="6">
        <v>43754.0</v>
      </c>
      <c r="I16" s="5" t="s">
        <v>34</v>
      </c>
      <c r="J16" s="5" t="s">
        <v>35</v>
      </c>
      <c r="K16" s="5" t="s">
        <v>25</v>
      </c>
      <c r="L16" s="5" t="s">
        <v>51</v>
      </c>
      <c r="M16" s="5" t="s">
        <v>39</v>
      </c>
      <c r="N16" s="5" t="s">
        <v>52</v>
      </c>
      <c r="O16" s="5" t="s">
        <v>53</v>
      </c>
      <c r="P16" s="7" t="s">
        <v>38</v>
      </c>
      <c r="Q16" s="7" t="str">
        <f t="array" ref="Q16">IF($M16="Yes","Cost of Goods Sold:COGS- Travel Expenses:",IF($M16="No",XLOOKUP($P16,Key!$I:$I,Key!$J:$J),"Review Billable Status"))</f>
        <v>Cost of Goods Sold:COGS- Travel Expenses:</v>
      </c>
      <c r="R16" s="7" t="str">
        <f t="array" ref="R16">IF($M16="Yes","Cost of Goods Sold:COGS- Personnel Expense:",IF($M16="No",XLOOKUP($P16,Key!$I:$I,Key!$K:$K),"Review Billable Status"))</f>
        <v>Cost of Goods Sold:COGS- Personnel Expense:</v>
      </c>
      <c r="S16" s="10" t="str">
        <f t="array" ref="S16">IF($G16="Paid Intern","PD Intern",IF($G16="Contractor/Consultant","Contractor",XLOOKUP(M16&amp;P16,Key!$M:$M,Key!$L:$L)))</f>
        <v>COR</v>
      </c>
      <c r="T16" s="5">
        <f t="shared" ref="T16:BA16" si="12">IF(OR($F16&gt;T$12,AND($G16="Terminated",T$12&gt;=$H16)),0,1)</f>
        <v>1</v>
      </c>
      <c r="U16" s="5">
        <f t="shared" si="12"/>
        <v>1</v>
      </c>
      <c r="V16" s="5">
        <f t="shared" si="12"/>
        <v>1</v>
      </c>
      <c r="W16" s="5">
        <f t="shared" si="12"/>
        <v>1</v>
      </c>
      <c r="X16" s="5">
        <f t="shared" si="12"/>
        <v>1</v>
      </c>
      <c r="Y16" s="5">
        <f t="shared" si="12"/>
        <v>1</v>
      </c>
      <c r="Z16" s="5">
        <f t="shared" si="12"/>
        <v>1</v>
      </c>
      <c r="AA16" s="5">
        <f t="shared" si="12"/>
        <v>1</v>
      </c>
      <c r="AB16" s="5">
        <f t="shared" si="12"/>
        <v>1</v>
      </c>
      <c r="AC16" s="5">
        <f t="shared" si="12"/>
        <v>1</v>
      </c>
      <c r="AD16" s="5">
        <f t="shared" si="12"/>
        <v>1</v>
      </c>
      <c r="AE16" s="5">
        <f t="shared" si="12"/>
        <v>1</v>
      </c>
      <c r="AF16" s="5">
        <f t="shared" si="12"/>
        <v>1</v>
      </c>
      <c r="AG16" s="5">
        <f t="shared" si="12"/>
        <v>1</v>
      </c>
      <c r="AH16" s="5">
        <f t="shared" si="12"/>
        <v>1</v>
      </c>
      <c r="AI16" s="5">
        <f t="shared" si="12"/>
        <v>1</v>
      </c>
      <c r="AJ16" s="5">
        <f t="shared" si="12"/>
        <v>1</v>
      </c>
      <c r="AK16" s="5">
        <f t="shared" si="12"/>
        <v>1</v>
      </c>
      <c r="AL16" s="5">
        <f t="shared" si="12"/>
        <v>1</v>
      </c>
      <c r="AM16" s="5">
        <f t="shared" si="12"/>
        <v>1</v>
      </c>
      <c r="AN16" s="5">
        <f t="shared" si="12"/>
        <v>1</v>
      </c>
      <c r="AO16" s="5">
        <f t="shared" si="12"/>
        <v>1</v>
      </c>
      <c r="AP16" s="5">
        <f t="shared" si="12"/>
        <v>1</v>
      </c>
      <c r="AQ16" s="5">
        <f t="shared" si="12"/>
        <v>1</v>
      </c>
      <c r="AR16" s="5">
        <f t="shared" si="12"/>
        <v>1</v>
      </c>
      <c r="AS16" s="5">
        <f t="shared" si="12"/>
        <v>1</v>
      </c>
      <c r="AT16" s="5">
        <f t="shared" si="12"/>
        <v>1</v>
      </c>
      <c r="AU16" s="5">
        <f t="shared" si="12"/>
        <v>1</v>
      </c>
      <c r="AV16" s="5">
        <f t="shared" si="12"/>
        <v>1</v>
      </c>
      <c r="AW16" s="5">
        <f t="shared" si="12"/>
        <v>1</v>
      </c>
      <c r="AX16" s="5">
        <f t="shared" si="12"/>
        <v>1</v>
      </c>
      <c r="AY16" s="5">
        <f t="shared" si="12"/>
        <v>1</v>
      </c>
      <c r="AZ16" s="5">
        <f t="shared" si="12"/>
        <v>1</v>
      </c>
      <c r="BA16" s="5">
        <f t="shared" si="12"/>
        <v>1</v>
      </c>
      <c r="BB16" s="8"/>
      <c r="BC16" s="8"/>
      <c r="BD16" s="8"/>
      <c r="BE16" s="8"/>
      <c r="BF16" s="8"/>
      <c r="BG16" s="8"/>
      <c r="BH16" s="8"/>
      <c r="BI16" s="8"/>
    </row>
    <row r="17" ht="12.75" customHeight="1">
      <c r="A17" s="4">
        <v>7.0</v>
      </c>
      <c r="B17" s="5" t="s">
        <v>54</v>
      </c>
      <c r="C17" s="5" t="s">
        <v>55</v>
      </c>
      <c r="D17" s="5" t="s">
        <v>56</v>
      </c>
      <c r="E17" s="5" t="s">
        <v>22</v>
      </c>
      <c r="F17" s="6">
        <v>43885.0</v>
      </c>
      <c r="G17" s="5" t="s">
        <v>23</v>
      </c>
      <c r="H17" s="6">
        <v>43885.0</v>
      </c>
      <c r="I17" s="5" t="s">
        <v>24</v>
      </c>
      <c r="J17" s="5" t="s">
        <v>57</v>
      </c>
      <c r="K17" s="5" t="s">
        <v>36</v>
      </c>
      <c r="L17" s="5" t="s">
        <v>58</v>
      </c>
      <c r="M17" s="5" t="s">
        <v>39</v>
      </c>
      <c r="N17" s="5" t="s">
        <v>59</v>
      </c>
      <c r="O17" s="5" t="s">
        <v>60</v>
      </c>
      <c r="P17" s="7" t="s">
        <v>27</v>
      </c>
      <c r="Q17" s="7" t="str">
        <f t="array" ref="Q17">IF($M17="Yes","Cost of Goods Sold:COGS- Travel Expenses:",IF($M17="No",XLOOKUP($P17,Key!$I:$I,Key!$J:$J),"Review Billable Status"))</f>
        <v>Cost of Goods Sold:COGS- Travel Expenses:</v>
      </c>
      <c r="R17" s="7" t="str">
        <f t="array" ref="R17">IF($M17="Yes","Cost of Goods Sold:COGS- Personnel Expense:",IF($M17="No",XLOOKUP($P17,Key!$I:$I,Key!$K:$K),"Review Billable Status"))</f>
        <v>Cost of Goods Sold:COGS- Personnel Expense:</v>
      </c>
      <c r="S17" s="10" t="str">
        <f t="array" ref="S17">IF($G17="Paid Intern","PD Intern",IF($G17="Contractor/Consultant","Contractor",XLOOKUP(M17&amp;P17,Key!$M:$M,Key!$L:$L)))</f>
        <v>#N/A</v>
      </c>
      <c r="T17" s="5">
        <f t="shared" ref="T17:BA17" si="13">IF(OR($F17&gt;T$12,AND($G17="Terminated",T$12&gt;=$H17)),0,1)</f>
        <v>1</v>
      </c>
      <c r="U17" s="5">
        <f t="shared" si="13"/>
        <v>1</v>
      </c>
      <c r="V17" s="5">
        <f t="shared" si="13"/>
        <v>1</v>
      </c>
      <c r="W17" s="5">
        <f t="shared" si="13"/>
        <v>1</v>
      </c>
      <c r="X17" s="5">
        <f t="shared" si="13"/>
        <v>1</v>
      </c>
      <c r="Y17" s="5">
        <f t="shared" si="13"/>
        <v>1</v>
      </c>
      <c r="Z17" s="5">
        <f t="shared" si="13"/>
        <v>1</v>
      </c>
      <c r="AA17" s="5">
        <f t="shared" si="13"/>
        <v>1</v>
      </c>
      <c r="AB17" s="5">
        <f t="shared" si="13"/>
        <v>1</v>
      </c>
      <c r="AC17" s="5">
        <f t="shared" si="13"/>
        <v>1</v>
      </c>
      <c r="AD17" s="5">
        <f t="shared" si="13"/>
        <v>1</v>
      </c>
      <c r="AE17" s="5">
        <f t="shared" si="13"/>
        <v>1</v>
      </c>
      <c r="AF17" s="5">
        <f t="shared" si="13"/>
        <v>1</v>
      </c>
      <c r="AG17" s="5">
        <f t="shared" si="13"/>
        <v>1</v>
      </c>
      <c r="AH17" s="5">
        <f t="shared" si="13"/>
        <v>1</v>
      </c>
      <c r="AI17" s="5">
        <f t="shared" si="13"/>
        <v>1</v>
      </c>
      <c r="AJ17" s="5">
        <f t="shared" si="13"/>
        <v>1</v>
      </c>
      <c r="AK17" s="5">
        <f t="shared" si="13"/>
        <v>1</v>
      </c>
      <c r="AL17" s="5">
        <f t="shared" si="13"/>
        <v>1</v>
      </c>
      <c r="AM17" s="5">
        <f t="shared" si="13"/>
        <v>1</v>
      </c>
      <c r="AN17" s="5">
        <f t="shared" si="13"/>
        <v>1</v>
      </c>
      <c r="AO17" s="5">
        <f t="shared" si="13"/>
        <v>1</v>
      </c>
      <c r="AP17" s="5">
        <f t="shared" si="13"/>
        <v>1</v>
      </c>
      <c r="AQ17" s="5">
        <f t="shared" si="13"/>
        <v>1</v>
      </c>
      <c r="AR17" s="5">
        <f t="shared" si="13"/>
        <v>1</v>
      </c>
      <c r="AS17" s="5">
        <f t="shared" si="13"/>
        <v>1</v>
      </c>
      <c r="AT17" s="5">
        <f t="shared" si="13"/>
        <v>1</v>
      </c>
      <c r="AU17" s="5">
        <f t="shared" si="13"/>
        <v>1</v>
      </c>
      <c r="AV17" s="5">
        <f t="shared" si="13"/>
        <v>1</v>
      </c>
      <c r="AW17" s="5">
        <f t="shared" si="13"/>
        <v>1</v>
      </c>
      <c r="AX17" s="5">
        <f t="shared" si="13"/>
        <v>1</v>
      </c>
      <c r="AY17" s="5">
        <f t="shared" si="13"/>
        <v>1</v>
      </c>
      <c r="AZ17" s="5">
        <f t="shared" si="13"/>
        <v>1</v>
      </c>
      <c r="BA17" s="5">
        <f t="shared" si="13"/>
        <v>1</v>
      </c>
      <c r="BB17" s="8"/>
      <c r="BC17" s="8"/>
      <c r="BD17" s="8"/>
      <c r="BE17" s="8"/>
      <c r="BF17" s="8"/>
      <c r="BG17" s="8"/>
      <c r="BH17" s="8"/>
      <c r="BI17" s="8"/>
    </row>
    <row r="18" ht="12.75" customHeight="1">
      <c r="A18" s="4">
        <v>8.0</v>
      </c>
      <c r="B18" s="5" t="s">
        <v>61</v>
      </c>
      <c r="C18" s="5" t="s">
        <v>62</v>
      </c>
      <c r="D18" s="5" t="s">
        <v>63</v>
      </c>
      <c r="E18" s="5" t="s">
        <v>22</v>
      </c>
      <c r="F18" s="6">
        <v>43906.0</v>
      </c>
      <c r="G18" s="5" t="s">
        <v>23</v>
      </c>
      <c r="H18" s="6">
        <v>43906.0</v>
      </c>
      <c r="I18" s="5" t="s">
        <v>64</v>
      </c>
      <c r="J18" s="5" t="s">
        <v>35</v>
      </c>
      <c r="K18" s="5" t="s">
        <v>25</v>
      </c>
      <c r="L18" s="5" t="s">
        <v>65</v>
      </c>
      <c r="M18" s="5" t="s">
        <v>39</v>
      </c>
      <c r="N18" s="5" t="s">
        <v>59</v>
      </c>
      <c r="O18" s="5" t="s">
        <v>30</v>
      </c>
      <c r="P18" s="7" t="s">
        <v>66</v>
      </c>
      <c r="Q18" s="7" t="str">
        <f t="array" ref="Q18">IF($M18="Yes","Cost of Goods Sold:COGS- Travel Expenses:",IF($M18="No",XLOOKUP($P18,Key!$I:$I,Key!$J:$J),"Review Billable Status"))</f>
        <v>Cost of Goods Sold:COGS- Travel Expenses:</v>
      </c>
      <c r="R18" s="7" t="str">
        <f t="array" ref="R18">IF($M18="Yes","Cost of Goods Sold:COGS- Personnel Expense:",IF($M18="No",XLOOKUP($P18,Key!$I:$I,Key!$K:$K),"Review Billable Status"))</f>
        <v>Cost of Goods Sold:COGS- Personnel Expense:</v>
      </c>
      <c r="S18" s="10" t="str">
        <f t="array" ref="S18">IF($G18="Paid Intern","PD Intern",IF($G18="Contractor/Consultant","Contractor",XLOOKUP(M18&amp;P18,Key!$M:$M,Key!$L:$L)))</f>
        <v>#N/A</v>
      </c>
      <c r="T18" s="5">
        <f t="shared" ref="T18:BA18" si="14">IF(OR($F18&gt;T$12,AND($G18="Terminated",T$12&gt;=$H18)),0,1)</f>
        <v>1</v>
      </c>
      <c r="U18" s="5">
        <f t="shared" si="14"/>
        <v>1</v>
      </c>
      <c r="V18" s="5">
        <f t="shared" si="14"/>
        <v>1</v>
      </c>
      <c r="W18" s="5">
        <f t="shared" si="14"/>
        <v>1</v>
      </c>
      <c r="X18" s="5">
        <f t="shared" si="14"/>
        <v>1</v>
      </c>
      <c r="Y18" s="5">
        <f t="shared" si="14"/>
        <v>1</v>
      </c>
      <c r="Z18" s="5">
        <f t="shared" si="14"/>
        <v>1</v>
      </c>
      <c r="AA18" s="5">
        <f t="shared" si="14"/>
        <v>1</v>
      </c>
      <c r="AB18" s="5">
        <f t="shared" si="14"/>
        <v>1</v>
      </c>
      <c r="AC18" s="5">
        <f t="shared" si="14"/>
        <v>1</v>
      </c>
      <c r="AD18" s="5">
        <f t="shared" si="14"/>
        <v>1</v>
      </c>
      <c r="AE18" s="5">
        <f t="shared" si="14"/>
        <v>1</v>
      </c>
      <c r="AF18" s="5">
        <f t="shared" si="14"/>
        <v>1</v>
      </c>
      <c r="AG18" s="5">
        <f t="shared" si="14"/>
        <v>1</v>
      </c>
      <c r="AH18" s="5">
        <f t="shared" si="14"/>
        <v>1</v>
      </c>
      <c r="AI18" s="5">
        <f t="shared" si="14"/>
        <v>1</v>
      </c>
      <c r="AJ18" s="5">
        <f t="shared" si="14"/>
        <v>1</v>
      </c>
      <c r="AK18" s="5">
        <f t="shared" si="14"/>
        <v>1</v>
      </c>
      <c r="AL18" s="5">
        <f t="shared" si="14"/>
        <v>1</v>
      </c>
      <c r="AM18" s="5">
        <f t="shared" si="14"/>
        <v>1</v>
      </c>
      <c r="AN18" s="5">
        <f t="shared" si="14"/>
        <v>1</v>
      </c>
      <c r="AO18" s="5">
        <f t="shared" si="14"/>
        <v>1</v>
      </c>
      <c r="AP18" s="5">
        <f t="shared" si="14"/>
        <v>1</v>
      </c>
      <c r="AQ18" s="5">
        <f t="shared" si="14"/>
        <v>1</v>
      </c>
      <c r="AR18" s="5">
        <f t="shared" si="14"/>
        <v>1</v>
      </c>
      <c r="AS18" s="5">
        <f t="shared" si="14"/>
        <v>1</v>
      </c>
      <c r="AT18" s="5">
        <f t="shared" si="14"/>
        <v>1</v>
      </c>
      <c r="AU18" s="5">
        <f t="shared" si="14"/>
        <v>1</v>
      </c>
      <c r="AV18" s="5">
        <f t="shared" si="14"/>
        <v>1</v>
      </c>
      <c r="AW18" s="5">
        <f t="shared" si="14"/>
        <v>1</v>
      </c>
      <c r="AX18" s="5">
        <f t="shared" si="14"/>
        <v>1</v>
      </c>
      <c r="AY18" s="5">
        <f t="shared" si="14"/>
        <v>1</v>
      </c>
      <c r="AZ18" s="5">
        <f t="shared" si="14"/>
        <v>1</v>
      </c>
      <c r="BA18" s="5">
        <f t="shared" si="14"/>
        <v>1</v>
      </c>
      <c r="BB18" s="8"/>
      <c r="BC18" s="8"/>
      <c r="BD18" s="8"/>
      <c r="BE18" s="8"/>
      <c r="BF18" s="8"/>
      <c r="BG18" s="8"/>
      <c r="BH18" s="8"/>
      <c r="BI18" s="8"/>
    </row>
    <row r="19" ht="12.75" customHeight="1">
      <c r="A19" s="4">
        <v>9.0</v>
      </c>
      <c r="B19" s="5" t="s">
        <v>67</v>
      </c>
      <c r="C19" s="5" t="s">
        <v>68</v>
      </c>
      <c r="D19" s="5" t="s">
        <v>69</v>
      </c>
      <c r="E19" s="5" t="s">
        <v>22</v>
      </c>
      <c r="F19" s="6">
        <v>43927.0</v>
      </c>
      <c r="G19" s="5" t="s">
        <v>23</v>
      </c>
      <c r="H19" s="6">
        <v>43927.0</v>
      </c>
      <c r="I19" s="5" t="s">
        <v>34</v>
      </c>
      <c r="J19" s="5" t="s">
        <v>45</v>
      </c>
      <c r="K19" s="5" t="s">
        <v>25</v>
      </c>
      <c r="L19" s="5" t="s">
        <v>70</v>
      </c>
      <c r="M19" s="5" t="s">
        <v>28</v>
      </c>
      <c r="N19" s="5" t="s">
        <v>52</v>
      </c>
      <c r="O19" s="5" t="s">
        <v>30</v>
      </c>
      <c r="P19" s="7" t="s">
        <v>47</v>
      </c>
      <c r="Q19" s="7" t="str">
        <f t="array" ref="Q19">IF($M19="Yes","Cost of Goods Sold:COGS- Travel Expenses:",IF($M19="No",XLOOKUP($P19,Key!$I:$I,Key!$J:$J),"Review Billable Status"))</f>
        <v>Sales &amp; Marketing:Sales &amp; Marketing- Travel Expenses:</v>
      </c>
      <c r="R19" s="7" t="str">
        <f t="array" ref="R19">IF($M19="Yes","Cost of Goods Sold:COGS- Personnel Expense:",IF($M19="No",XLOOKUP($P19,Key!$I:$I,Key!$K:$K),"Review Billable Status"))</f>
        <v>Sales &amp; Marketing:Sales &amp; Marketing- Personnel Expenses:</v>
      </c>
      <c r="S19" s="10" t="str">
        <f t="array" ref="S19">IF($G19="Paid Intern","PD Intern",IF($G19="Contractor/Consultant","Contractor",XLOOKUP(M19&amp;P19,Key!$M:$M,Key!$L:$L)))</f>
        <v>S&amp;M</v>
      </c>
      <c r="T19" s="5">
        <f t="shared" ref="T19:BA19" si="15">IF(OR($F19&gt;T$12,AND($G19="Terminated",T$12&gt;=$H19)),0,1)</f>
        <v>1</v>
      </c>
      <c r="U19" s="5">
        <f t="shared" si="15"/>
        <v>1</v>
      </c>
      <c r="V19" s="5">
        <f t="shared" si="15"/>
        <v>1</v>
      </c>
      <c r="W19" s="5">
        <f t="shared" si="15"/>
        <v>1</v>
      </c>
      <c r="X19" s="5">
        <f t="shared" si="15"/>
        <v>1</v>
      </c>
      <c r="Y19" s="5">
        <f t="shared" si="15"/>
        <v>1</v>
      </c>
      <c r="Z19" s="5">
        <f t="shared" si="15"/>
        <v>1</v>
      </c>
      <c r="AA19" s="5">
        <f t="shared" si="15"/>
        <v>1</v>
      </c>
      <c r="AB19" s="5">
        <f t="shared" si="15"/>
        <v>1</v>
      </c>
      <c r="AC19" s="5">
        <f t="shared" si="15"/>
        <v>1</v>
      </c>
      <c r="AD19" s="5">
        <f t="shared" si="15"/>
        <v>1</v>
      </c>
      <c r="AE19" s="5">
        <f t="shared" si="15"/>
        <v>1</v>
      </c>
      <c r="AF19" s="5">
        <f t="shared" si="15"/>
        <v>1</v>
      </c>
      <c r="AG19" s="5">
        <f t="shared" si="15"/>
        <v>1</v>
      </c>
      <c r="AH19" s="5">
        <f t="shared" si="15"/>
        <v>1</v>
      </c>
      <c r="AI19" s="5">
        <f t="shared" si="15"/>
        <v>1</v>
      </c>
      <c r="AJ19" s="5">
        <f t="shared" si="15"/>
        <v>1</v>
      </c>
      <c r="AK19" s="5">
        <f t="shared" si="15"/>
        <v>1</v>
      </c>
      <c r="AL19" s="5">
        <f t="shared" si="15"/>
        <v>1</v>
      </c>
      <c r="AM19" s="5">
        <f t="shared" si="15"/>
        <v>1</v>
      </c>
      <c r="AN19" s="5">
        <f t="shared" si="15"/>
        <v>1</v>
      </c>
      <c r="AO19" s="5">
        <f t="shared" si="15"/>
        <v>1</v>
      </c>
      <c r="AP19" s="5">
        <f t="shared" si="15"/>
        <v>1</v>
      </c>
      <c r="AQ19" s="5">
        <f t="shared" si="15"/>
        <v>1</v>
      </c>
      <c r="AR19" s="5">
        <f t="shared" si="15"/>
        <v>1</v>
      </c>
      <c r="AS19" s="5">
        <f t="shared" si="15"/>
        <v>1</v>
      </c>
      <c r="AT19" s="5">
        <f t="shared" si="15"/>
        <v>1</v>
      </c>
      <c r="AU19" s="5">
        <f t="shared" si="15"/>
        <v>1</v>
      </c>
      <c r="AV19" s="5">
        <f t="shared" si="15"/>
        <v>1</v>
      </c>
      <c r="AW19" s="5">
        <f t="shared" si="15"/>
        <v>1</v>
      </c>
      <c r="AX19" s="5">
        <f t="shared" si="15"/>
        <v>1</v>
      </c>
      <c r="AY19" s="5">
        <f t="shared" si="15"/>
        <v>1</v>
      </c>
      <c r="AZ19" s="5">
        <f t="shared" si="15"/>
        <v>1</v>
      </c>
      <c r="BA19" s="5">
        <f t="shared" si="15"/>
        <v>1</v>
      </c>
      <c r="BB19" s="8"/>
      <c r="BC19" s="8"/>
      <c r="BD19" s="8"/>
      <c r="BE19" s="8"/>
      <c r="BF19" s="8"/>
      <c r="BG19" s="8"/>
      <c r="BH19" s="8"/>
      <c r="BI19" s="8"/>
    </row>
    <row r="20" ht="12.75" customHeight="1">
      <c r="A20" s="4">
        <v>10.0</v>
      </c>
      <c r="B20" s="5" t="s">
        <v>71</v>
      </c>
      <c r="C20" s="5" t="s">
        <v>72</v>
      </c>
      <c r="D20" s="5" t="s">
        <v>73</v>
      </c>
      <c r="E20" s="5" t="s">
        <v>22</v>
      </c>
      <c r="F20" s="6">
        <v>43985.0</v>
      </c>
      <c r="G20" s="5" t="s">
        <v>23</v>
      </c>
      <c r="H20" s="6">
        <v>43985.0</v>
      </c>
      <c r="I20" s="5" t="s">
        <v>64</v>
      </c>
      <c r="J20" s="5" t="s">
        <v>35</v>
      </c>
      <c r="K20" s="5" t="s">
        <v>36</v>
      </c>
      <c r="L20" s="5" t="s">
        <v>74</v>
      </c>
      <c r="M20" s="5" t="s">
        <v>39</v>
      </c>
      <c r="N20" s="5" t="s">
        <v>40</v>
      </c>
      <c r="O20" s="5" t="s">
        <v>76</v>
      </c>
      <c r="P20" s="7" t="s">
        <v>75</v>
      </c>
      <c r="Q20" s="7" t="str">
        <f t="array" ref="Q20">IF($M20="Yes","Cost of Goods Sold:COGS- Travel Expenses:",IF($M20="No",XLOOKUP($P20,Key!$I:$I,Key!$J:$J),"Review Billable Status"))</f>
        <v>Cost of Goods Sold:COGS- Travel Expenses:</v>
      </c>
      <c r="R20" s="7" t="str">
        <f t="array" ref="R20">IF($M20="Yes","Cost of Goods Sold:COGS- Personnel Expense:",IF($M20="No",XLOOKUP($P20,Key!$I:$I,Key!$K:$K),"Review Billable Status"))</f>
        <v>Cost of Goods Sold:COGS- Personnel Expense:</v>
      </c>
      <c r="S20" s="10" t="str">
        <f t="array" ref="S20">IF($G20="Paid Intern","PD Intern",IF($G20="Contractor/Consultant","Contractor",XLOOKUP(M20&amp;P20,Key!$M:$M,Key!$L:$L)))</f>
        <v>COR</v>
      </c>
      <c r="T20" s="5">
        <f t="shared" ref="T20:BA20" si="16">IF(OR($F20&gt;T$12,AND($G20="Terminated",T$12&gt;=$H20)),0,1)</f>
        <v>1</v>
      </c>
      <c r="U20" s="5">
        <f t="shared" si="16"/>
        <v>1</v>
      </c>
      <c r="V20" s="5">
        <f t="shared" si="16"/>
        <v>1</v>
      </c>
      <c r="W20" s="5">
        <f t="shared" si="16"/>
        <v>1</v>
      </c>
      <c r="X20" s="5">
        <f t="shared" si="16"/>
        <v>1</v>
      </c>
      <c r="Y20" s="5">
        <f t="shared" si="16"/>
        <v>1</v>
      </c>
      <c r="Z20" s="5">
        <f t="shared" si="16"/>
        <v>1</v>
      </c>
      <c r="AA20" s="5">
        <f t="shared" si="16"/>
        <v>1</v>
      </c>
      <c r="AB20" s="5">
        <f t="shared" si="16"/>
        <v>1</v>
      </c>
      <c r="AC20" s="5">
        <f t="shared" si="16"/>
        <v>1</v>
      </c>
      <c r="AD20" s="5">
        <f t="shared" si="16"/>
        <v>1</v>
      </c>
      <c r="AE20" s="5">
        <f t="shared" si="16"/>
        <v>1</v>
      </c>
      <c r="AF20" s="5">
        <f t="shared" si="16"/>
        <v>1</v>
      </c>
      <c r="AG20" s="5">
        <f t="shared" si="16"/>
        <v>1</v>
      </c>
      <c r="AH20" s="5">
        <f t="shared" si="16"/>
        <v>1</v>
      </c>
      <c r="AI20" s="5">
        <f t="shared" si="16"/>
        <v>1</v>
      </c>
      <c r="AJ20" s="5">
        <f t="shared" si="16"/>
        <v>1</v>
      </c>
      <c r="AK20" s="5">
        <f t="shared" si="16"/>
        <v>1</v>
      </c>
      <c r="AL20" s="5">
        <f t="shared" si="16"/>
        <v>1</v>
      </c>
      <c r="AM20" s="5">
        <f t="shared" si="16"/>
        <v>1</v>
      </c>
      <c r="AN20" s="5">
        <f t="shared" si="16"/>
        <v>1</v>
      </c>
      <c r="AO20" s="5">
        <f t="shared" si="16"/>
        <v>1</v>
      </c>
      <c r="AP20" s="5">
        <f t="shared" si="16"/>
        <v>1</v>
      </c>
      <c r="AQ20" s="5">
        <f t="shared" si="16"/>
        <v>1</v>
      </c>
      <c r="AR20" s="5">
        <f t="shared" si="16"/>
        <v>1</v>
      </c>
      <c r="AS20" s="5">
        <f t="shared" si="16"/>
        <v>1</v>
      </c>
      <c r="AT20" s="5">
        <f t="shared" si="16"/>
        <v>1</v>
      </c>
      <c r="AU20" s="5">
        <f t="shared" si="16"/>
        <v>1</v>
      </c>
      <c r="AV20" s="5">
        <f t="shared" si="16"/>
        <v>1</v>
      </c>
      <c r="AW20" s="5">
        <f t="shared" si="16"/>
        <v>1</v>
      </c>
      <c r="AX20" s="5">
        <f t="shared" si="16"/>
        <v>1</v>
      </c>
      <c r="AY20" s="5">
        <f t="shared" si="16"/>
        <v>1</v>
      </c>
      <c r="AZ20" s="5">
        <f t="shared" si="16"/>
        <v>1</v>
      </c>
      <c r="BA20" s="5">
        <f t="shared" si="16"/>
        <v>1</v>
      </c>
      <c r="BB20" s="8"/>
      <c r="BC20" s="8"/>
      <c r="BD20" s="8"/>
      <c r="BE20" s="8"/>
      <c r="BF20" s="8"/>
      <c r="BG20" s="8"/>
      <c r="BH20" s="8"/>
      <c r="BI20" s="8"/>
    </row>
    <row r="21" ht="12.75" customHeight="1">
      <c r="A21" s="4">
        <v>12.0</v>
      </c>
      <c r="B21" s="5" t="s">
        <v>77</v>
      </c>
      <c r="C21" s="5" t="s">
        <v>78</v>
      </c>
      <c r="D21" s="5" t="s">
        <v>79</v>
      </c>
      <c r="E21" s="5" t="s">
        <v>22</v>
      </c>
      <c r="F21" s="6">
        <v>44060.0</v>
      </c>
      <c r="G21" s="5" t="s">
        <v>23</v>
      </c>
      <c r="H21" s="6">
        <v>44060.0</v>
      </c>
      <c r="I21" s="5" t="s">
        <v>34</v>
      </c>
      <c r="J21" s="5" t="s">
        <v>35</v>
      </c>
      <c r="K21" s="5" t="s">
        <v>25</v>
      </c>
      <c r="L21" s="5" t="s">
        <v>80</v>
      </c>
      <c r="M21" s="5" t="s">
        <v>28</v>
      </c>
      <c r="N21" s="5" t="s">
        <v>40</v>
      </c>
      <c r="O21" s="5" t="s">
        <v>30</v>
      </c>
      <c r="P21" s="7" t="s">
        <v>38</v>
      </c>
      <c r="Q21" s="7" t="str">
        <f t="array" ref="Q21">IF($M21="Yes","Cost of Goods Sold:COGS- Travel Expenses:",IF($M21="No",XLOOKUP($P21,Key!$I:$I,Key!$J:$J),"Review Billable Status"))</f>
        <v>General &amp; Administrative:G&amp;A- Travel Expenses:</v>
      </c>
      <c r="R21" s="7" t="str">
        <f t="array" ref="R21">IF($M21="Yes","Cost of Goods Sold:COGS- Personnel Expense:",IF($M21="No",XLOOKUP($P21,Key!$I:$I,Key!$K:$K),"Review Billable Status"))</f>
        <v>General &amp; Administrative:G&amp;A- Personnel Expenses:</v>
      </c>
      <c r="S21" s="10" t="str">
        <f t="array" ref="S21">IF($G21="Paid Intern","PD Intern",IF($G21="Contractor/Consultant","Contractor",XLOOKUP(M21&amp;P21,Key!$M:$M,Key!$L:$L)))</f>
        <v>G&amp;A</v>
      </c>
      <c r="T21" s="5">
        <f t="shared" ref="T21:BA21" si="17">IF(OR($F21&gt;T$12,AND($G21="Terminated",T$12&gt;=$H21)),0,1)</f>
        <v>1</v>
      </c>
      <c r="U21" s="5">
        <f t="shared" si="17"/>
        <v>1</v>
      </c>
      <c r="V21" s="5">
        <f t="shared" si="17"/>
        <v>1</v>
      </c>
      <c r="W21" s="5">
        <f t="shared" si="17"/>
        <v>1</v>
      </c>
      <c r="X21" s="5">
        <f t="shared" si="17"/>
        <v>1</v>
      </c>
      <c r="Y21" s="5">
        <f t="shared" si="17"/>
        <v>1</v>
      </c>
      <c r="Z21" s="5">
        <f t="shared" si="17"/>
        <v>1</v>
      </c>
      <c r="AA21" s="5">
        <f t="shared" si="17"/>
        <v>1</v>
      </c>
      <c r="AB21" s="5">
        <f t="shared" si="17"/>
        <v>1</v>
      </c>
      <c r="AC21" s="5">
        <f t="shared" si="17"/>
        <v>1</v>
      </c>
      <c r="AD21" s="5">
        <f t="shared" si="17"/>
        <v>1</v>
      </c>
      <c r="AE21" s="5">
        <f t="shared" si="17"/>
        <v>1</v>
      </c>
      <c r="AF21" s="5">
        <f t="shared" si="17"/>
        <v>1</v>
      </c>
      <c r="AG21" s="5">
        <f t="shared" si="17"/>
        <v>1</v>
      </c>
      <c r="AH21" s="5">
        <f t="shared" si="17"/>
        <v>1</v>
      </c>
      <c r="AI21" s="5">
        <f t="shared" si="17"/>
        <v>1</v>
      </c>
      <c r="AJ21" s="5">
        <f t="shared" si="17"/>
        <v>1</v>
      </c>
      <c r="AK21" s="5">
        <f t="shared" si="17"/>
        <v>1</v>
      </c>
      <c r="AL21" s="5">
        <f t="shared" si="17"/>
        <v>1</v>
      </c>
      <c r="AM21" s="5">
        <f t="shared" si="17"/>
        <v>1</v>
      </c>
      <c r="AN21" s="5">
        <f t="shared" si="17"/>
        <v>1</v>
      </c>
      <c r="AO21" s="5">
        <f t="shared" si="17"/>
        <v>1</v>
      </c>
      <c r="AP21" s="5">
        <f t="shared" si="17"/>
        <v>1</v>
      </c>
      <c r="AQ21" s="5">
        <f t="shared" si="17"/>
        <v>1</v>
      </c>
      <c r="AR21" s="5">
        <f t="shared" si="17"/>
        <v>1</v>
      </c>
      <c r="AS21" s="5">
        <f t="shared" si="17"/>
        <v>1</v>
      </c>
      <c r="AT21" s="5">
        <f t="shared" si="17"/>
        <v>1</v>
      </c>
      <c r="AU21" s="5">
        <f t="shared" si="17"/>
        <v>1</v>
      </c>
      <c r="AV21" s="5">
        <f t="shared" si="17"/>
        <v>1</v>
      </c>
      <c r="AW21" s="5">
        <f t="shared" si="17"/>
        <v>1</v>
      </c>
      <c r="AX21" s="5">
        <f t="shared" si="17"/>
        <v>1</v>
      </c>
      <c r="AY21" s="5">
        <f t="shared" si="17"/>
        <v>1</v>
      </c>
      <c r="AZ21" s="5">
        <f t="shared" si="17"/>
        <v>1</v>
      </c>
      <c r="BA21" s="5">
        <f t="shared" si="17"/>
        <v>1</v>
      </c>
      <c r="BB21" s="8"/>
      <c r="BC21" s="8"/>
      <c r="BD21" s="8"/>
      <c r="BE21" s="8"/>
      <c r="BF21" s="8"/>
      <c r="BG21" s="8"/>
      <c r="BH21" s="8"/>
      <c r="BI21" s="8"/>
    </row>
    <row r="22" ht="12.75" customHeight="1">
      <c r="A22" s="4">
        <v>14.0</v>
      </c>
      <c r="B22" s="5" t="s">
        <v>81</v>
      </c>
      <c r="C22" s="5" t="s">
        <v>82</v>
      </c>
      <c r="D22" s="5" t="s">
        <v>83</v>
      </c>
      <c r="E22" s="5" t="s">
        <v>22</v>
      </c>
      <c r="F22" s="6">
        <v>44088.0</v>
      </c>
      <c r="G22" s="5" t="s">
        <v>23</v>
      </c>
      <c r="H22" s="6">
        <v>44088.0</v>
      </c>
      <c r="I22" s="5" t="s">
        <v>34</v>
      </c>
      <c r="J22" s="5" t="s">
        <v>35</v>
      </c>
      <c r="K22" s="5" t="s">
        <v>25</v>
      </c>
      <c r="L22" s="5" t="s">
        <v>84</v>
      </c>
      <c r="M22" s="5" t="s">
        <v>39</v>
      </c>
      <c r="N22" s="5" t="s">
        <v>85</v>
      </c>
      <c r="O22" s="5" t="s">
        <v>86</v>
      </c>
      <c r="P22" s="7" t="s">
        <v>38</v>
      </c>
      <c r="Q22" s="7" t="str">
        <f t="array" ref="Q22">IF($M22="Yes","Cost of Goods Sold:COGS- Travel Expenses:",IF($M22="No",XLOOKUP($P22,Key!$I:$I,Key!$J:$J),"Review Billable Status"))</f>
        <v>Cost of Goods Sold:COGS- Travel Expenses:</v>
      </c>
      <c r="R22" s="7" t="str">
        <f t="array" ref="R22">IF($M22="Yes","Cost of Goods Sold:COGS- Personnel Expense:",IF($M22="No",XLOOKUP($P22,Key!$I:$I,Key!$K:$K),"Review Billable Status"))</f>
        <v>Cost of Goods Sold:COGS- Personnel Expense:</v>
      </c>
      <c r="S22" s="10" t="str">
        <f t="array" ref="S22">IF($G22="Paid Intern","PD Intern",IF($G22="Contractor/Consultant","Contractor",XLOOKUP(M22&amp;P22,Key!$M:$M,Key!$L:$L)))</f>
        <v>COR</v>
      </c>
      <c r="T22" s="5">
        <f t="shared" ref="T22:BA22" si="18">IF(OR($F22&gt;T$12,AND($G22="Terminated",T$12&gt;=$H22)),0,1)</f>
        <v>1</v>
      </c>
      <c r="U22" s="5">
        <f t="shared" si="18"/>
        <v>1</v>
      </c>
      <c r="V22" s="5">
        <f t="shared" si="18"/>
        <v>1</v>
      </c>
      <c r="W22" s="5">
        <f t="shared" si="18"/>
        <v>1</v>
      </c>
      <c r="X22" s="5">
        <f t="shared" si="18"/>
        <v>1</v>
      </c>
      <c r="Y22" s="5">
        <f t="shared" si="18"/>
        <v>1</v>
      </c>
      <c r="Z22" s="5">
        <f t="shared" si="18"/>
        <v>1</v>
      </c>
      <c r="AA22" s="5">
        <f t="shared" si="18"/>
        <v>1</v>
      </c>
      <c r="AB22" s="5">
        <f t="shared" si="18"/>
        <v>1</v>
      </c>
      <c r="AC22" s="5">
        <f t="shared" si="18"/>
        <v>1</v>
      </c>
      <c r="AD22" s="5">
        <f t="shared" si="18"/>
        <v>1</v>
      </c>
      <c r="AE22" s="5">
        <f t="shared" si="18"/>
        <v>1</v>
      </c>
      <c r="AF22" s="5">
        <f t="shared" si="18"/>
        <v>1</v>
      </c>
      <c r="AG22" s="5">
        <f t="shared" si="18"/>
        <v>1</v>
      </c>
      <c r="AH22" s="5">
        <f t="shared" si="18"/>
        <v>1</v>
      </c>
      <c r="AI22" s="5">
        <f t="shared" si="18"/>
        <v>1</v>
      </c>
      <c r="AJ22" s="5">
        <f t="shared" si="18"/>
        <v>1</v>
      </c>
      <c r="AK22" s="5">
        <f t="shared" si="18"/>
        <v>1</v>
      </c>
      <c r="AL22" s="5">
        <f t="shared" si="18"/>
        <v>1</v>
      </c>
      <c r="AM22" s="5">
        <f t="shared" si="18"/>
        <v>1</v>
      </c>
      <c r="AN22" s="5">
        <f t="shared" si="18"/>
        <v>1</v>
      </c>
      <c r="AO22" s="5">
        <f t="shared" si="18"/>
        <v>1</v>
      </c>
      <c r="AP22" s="5">
        <f t="shared" si="18"/>
        <v>1</v>
      </c>
      <c r="AQ22" s="5">
        <f t="shared" si="18"/>
        <v>1</v>
      </c>
      <c r="AR22" s="5">
        <f t="shared" si="18"/>
        <v>1</v>
      </c>
      <c r="AS22" s="5">
        <f t="shared" si="18"/>
        <v>1</v>
      </c>
      <c r="AT22" s="5">
        <f t="shared" si="18"/>
        <v>1</v>
      </c>
      <c r="AU22" s="5">
        <f t="shared" si="18"/>
        <v>1</v>
      </c>
      <c r="AV22" s="5">
        <f t="shared" si="18"/>
        <v>1</v>
      </c>
      <c r="AW22" s="5">
        <f t="shared" si="18"/>
        <v>1</v>
      </c>
      <c r="AX22" s="5">
        <f t="shared" si="18"/>
        <v>1</v>
      </c>
      <c r="AY22" s="5">
        <f t="shared" si="18"/>
        <v>1</v>
      </c>
      <c r="AZ22" s="5">
        <f t="shared" si="18"/>
        <v>1</v>
      </c>
      <c r="BA22" s="5">
        <f t="shared" si="18"/>
        <v>1</v>
      </c>
      <c r="BB22" s="8"/>
      <c r="BC22" s="8"/>
      <c r="BD22" s="8"/>
      <c r="BE22" s="8"/>
      <c r="BF22" s="8"/>
      <c r="BG22" s="8"/>
      <c r="BH22" s="8"/>
      <c r="BI22" s="8"/>
    </row>
    <row r="23" ht="12.75" customHeight="1">
      <c r="A23" s="4">
        <v>15.0</v>
      </c>
      <c r="B23" s="5" t="s">
        <v>87</v>
      </c>
      <c r="C23" s="5" t="s">
        <v>88</v>
      </c>
      <c r="D23" s="5" t="s">
        <v>89</v>
      </c>
      <c r="E23" s="5" t="s">
        <v>22</v>
      </c>
      <c r="F23" s="6">
        <v>44102.0</v>
      </c>
      <c r="G23" s="5" t="s">
        <v>23</v>
      </c>
      <c r="H23" s="6">
        <v>44102.0</v>
      </c>
      <c r="I23" s="5" t="s">
        <v>64</v>
      </c>
      <c r="J23" s="5" t="s">
        <v>45</v>
      </c>
      <c r="K23" s="5" t="s">
        <v>25</v>
      </c>
      <c r="L23" s="5" t="s">
        <v>90</v>
      </c>
      <c r="M23" s="5" t="s">
        <v>28</v>
      </c>
      <c r="N23" s="5" t="s">
        <v>52</v>
      </c>
      <c r="O23" s="5" t="s">
        <v>30</v>
      </c>
      <c r="P23" s="7" t="s">
        <v>66</v>
      </c>
      <c r="Q23" s="7" t="str">
        <f t="array" ref="Q23">IF($M23="Yes","Cost of Goods Sold:COGS- Travel Expenses:",IF($M23="No",XLOOKUP($P23,Key!$I:$I,Key!$J:$J),"Review Billable Status"))</f>
        <v>Sales &amp; Marketing:Sales &amp; Marketing- Travel Expenses:</v>
      </c>
      <c r="R23" s="7" t="str">
        <f t="array" ref="R23">IF($M23="Yes","Cost of Goods Sold:COGS- Personnel Expense:",IF($M23="No",XLOOKUP($P23,Key!$I:$I,Key!$K:$K),"Review Billable Status"))</f>
        <v>Sales &amp; Marketing:Sales &amp; Marketing- Personnel Expenses:</v>
      </c>
      <c r="S23" s="10" t="str">
        <f t="array" ref="S23">IF($G23="Paid Intern","PD Intern",IF($G23="Contractor/Consultant","Contractor",XLOOKUP(M23&amp;P23,Key!$M:$M,Key!$L:$L)))</f>
        <v>S&amp;M</v>
      </c>
      <c r="T23" s="5">
        <f t="shared" ref="T23:BA23" si="19">IF(OR($F23&gt;T$12,AND($G23="Terminated",T$12&gt;=$H23)),0,1)</f>
        <v>1</v>
      </c>
      <c r="U23" s="5">
        <f t="shared" si="19"/>
        <v>1</v>
      </c>
      <c r="V23" s="5">
        <f t="shared" si="19"/>
        <v>1</v>
      </c>
      <c r="W23" s="5">
        <f t="shared" si="19"/>
        <v>1</v>
      </c>
      <c r="X23" s="5">
        <f t="shared" si="19"/>
        <v>1</v>
      </c>
      <c r="Y23" s="5">
        <f t="shared" si="19"/>
        <v>1</v>
      </c>
      <c r="Z23" s="5">
        <f t="shared" si="19"/>
        <v>1</v>
      </c>
      <c r="AA23" s="5">
        <f t="shared" si="19"/>
        <v>1</v>
      </c>
      <c r="AB23" s="5">
        <f t="shared" si="19"/>
        <v>1</v>
      </c>
      <c r="AC23" s="5">
        <f t="shared" si="19"/>
        <v>1</v>
      </c>
      <c r="AD23" s="5">
        <f t="shared" si="19"/>
        <v>1</v>
      </c>
      <c r="AE23" s="5">
        <f t="shared" si="19"/>
        <v>1</v>
      </c>
      <c r="AF23" s="5">
        <f t="shared" si="19"/>
        <v>1</v>
      </c>
      <c r="AG23" s="5">
        <f t="shared" si="19"/>
        <v>1</v>
      </c>
      <c r="AH23" s="5">
        <f t="shared" si="19"/>
        <v>1</v>
      </c>
      <c r="AI23" s="5">
        <f t="shared" si="19"/>
        <v>1</v>
      </c>
      <c r="AJ23" s="5">
        <f t="shared" si="19"/>
        <v>1</v>
      </c>
      <c r="AK23" s="5">
        <f t="shared" si="19"/>
        <v>1</v>
      </c>
      <c r="AL23" s="5">
        <f t="shared" si="19"/>
        <v>1</v>
      </c>
      <c r="AM23" s="5">
        <f t="shared" si="19"/>
        <v>1</v>
      </c>
      <c r="AN23" s="5">
        <f t="shared" si="19"/>
        <v>1</v>
      </c>
      <c r="AO23" s="5">
        <f t="shared" si="19"/>
        <v>1</v>
      </c>
      <c r="AP23" s="5">
        <f t="shared" si="19"/>
        <v>1</v>
      </c>
      <c r="AQ23" s="5">
        <f t="shared" si="19"/>
        <v>1</v>
      </c>
      <c r="AR23" s="5">
        <f t="shared" si="19"/>
        <v>1</v>
      </c>
      <c r="AS23" s="5">
        <f t="shared" si="19"/>
        <v>1</v>
      </c>
      <c r="AT23" s="5">
        <f t="shared" si="19"/>
        <v>1</v>
      </c>
      <c r="AU23" s="5">
        <f t="shared" si="19"/>
        <v>1</v>
      </c>
      <c r="AV23" s="5">
        <f t="shared" si="19"/>
        <v>1</v>
      </c>
      <c r="AW23" s="5">
        <f t="shared" si="19"/>
        <v>1</v>
      </c>
      <c r="AX23" s="5">
        <f t="shared" si="19"/>
        <v>1</v>
      </c>
      <c r="AY23" s="5">
        <f t="shared" si="19"/>
        <v>1</v>
      </c>
      <c r="AZ23" s="5">
        <f t="shared" si="19"/>
        <v>1</v>
      </c>
      <c r="BA23" s="5">
        <f t="shared" si="19"/>
        <v>1</v>
      </c>
      <c r="BB23" s="8"/>
      <c r="BC23" s="8"/>
      <c r="BD23" s="8"/>
      <c r="BE23" s="8"/>
      <c r="BF23" s="8"/>
      <c r="BG23" s="8"/>
      <c r="BH23" s="8"/>
      <c r="BI23" s="8"/>
    </row>
    <row r="24" ht="12.75" customHeight="1">
      <c r="A24" s="4">
        <v>18.0</v>
      </c>
      <c r="B24" s="5" t="s">
        <v>91</v>
      </c>
      <c r="C24" s="5" t="s">
        <v>92</v>
      </c>
      <c r="D24" s="5" t="s">
        <v>93</v>
      </c>
      <c r="E24" s="5" t="s">
        <v>22</v>
      </c>
      <c r="F24" s="6">
        <v>44151.0</v>
      </c>
      <c r="G24" s="5" t="s">
        <v>23</v>
      </c>
      <c r="H24" s="6">
        <v>44151.0</v>
      </c>
      <c r="I24" s="5" t="s">
        <v>64</v>
      </c>
      <c r="J24" s="5" t="s">
        <v>45</v>
      </c>
      <c r="K24" s="5" t="s">
        <v>25</v>
      </c>
      <c r="L24" s="5" t="s">
        <v>70</v>
      </c>
      <c r="M24" s="5" t="s">
        <v>28</v>
      </c>
      <c r="N24" s="5" t="s">
        <v>59</v>
      </c>
      <c r="O24" s="5" t="s">
        <v>30</v>
      </c>
      <c r="P24" s="7" t="s">
        <v>66</v>
      </c>
      <c r="Q24" s="7" t="str">
        <f t="array" ref="Q24">IF($M24="Yes","Cost of Goods Sold:COGS- Travel Expenses:",IF($M24="No",XLOOKUP($P24,Key!$I:$I,Key!$J:$J),"Review Billable Status"))</f>
        <v>Sales &amp; Marketing:Sales &amp; Marketing- Travel Expenses:</v>
      </c>
      <c r="R24" s="7" t="str">
        <f t="array" ref="R24">IF($M24="Yes","Cost of Goods Sold:COGS- Personnel Expense:",IF($M24="No",XLOOKUP($P24,Key!$I:$I,Key!$K:$K),"Review Billable Status"))</f>
        <v>Sales &amp; Marketing:Sales &amp; Marketing- Personnel Expenses:</v>
      </c>
      <c r="S24" s="10" t="str">
        <f t="array" ref="S24">IF($G24="Paid Intern","PD Intern",IF($G24="Contractor/Consultant","Contractor",XLOOKUP(M24&amp;P24,Key!$M:$M,Key!$L:$L)))</f>
        <v>S&amp;M</v>
      </c>
      <c r="T24" s="5">
        <f t="shared" ref="T24:BA24" si="20">IF(OR($F24&gt;T$12,AND($G24="Terminated",T$12&gt;=$H24)),0,1)</f>
        <v>1</v>
      </c>
      <c r="U24" s="5">
        <f t="shared" si="20"/>
        <v>1</v>
      </c>
      <c r="V24" s="5">
        <f t="shared" si="20"/>
        <v>1</v>
      </c>
      <c r="W24" s="5">
        <f t="shared" si="20"/>
        <v>1</v>
      </c>
      <c r="X24" s="5">
        <f t="shared" si="20"/>
        <v>1</v>
      </c>
      <c r="Y24" s="5">
        <f t="shared" si="20"/>
        <v>1</v>
      </c>
      <c r="Z24" s="5">
        <f t="shared" si="20"/>
        <v>1</v>
      </c>
      <c r="AA24" s="5">
        <f t="shared" si="20"/>
        <v>1</v>
      </c>
      <c r="AB24" s="5">
        <f t="shared" si="20"/>
        <v>1</v>
      </c>
      <c r="AC24" s="5">
        <f t="shared" si="20"/>
        <v>1</v>
      </c>
      <c r="AD24" s="5">
        <f t="shared" si="20"/>
        <v>1</v>
      </c>
      <c r="AE24" s="5">
        <f t="shared" si="20"/>
        <v>1</v>
      </c>
      <c r="AF24" s="5">
        <f t="shared" si="20"/>
        <v>1</v>
      </c>
      <c r="AG24" s="5">
        <f t="shared" si="20"/>
        <v>1</v>
      </c>
      <c r="AH24" s="5">
        <f t="shared" si="20"/>
        <v>1</v>
      </c>
      <c r="AI24" s="5">
        <f t="shared" si="20"/>
        <v>1</v>
      </c>
      <c r="AJ24" s="5">
        <f t="shared" si="20"/>
        <v>1</v>
      </c>
      <c r="AK24" s="5">
        <f t="shared" si="20"/>
        <v>1</v>
      </c>
      <c r="AL24" s="5">
        <f t="shared" si="20"/>
        <v>1</v>
      </c>
      <c r="AM24" s="5">
        <f t="shared" si="20"/>
        <v>1</v>
      </c>
      <c r="AN24" s="5">
        <f t="shared" si="20"/>
        <v>1</v>
      </c>
      <c r="AO24" s="5">
        <f t="shared" si="20"/>
        <v>1</v>
      </c>
      <c r="AP24" s="5">
        <f t="shared" si="20"/>
        <v>1</v>
      </c>
      <c r="AQ24" s="5">
        <f t="shared" si="20"/>
        <v>1</v>
      </c>
      <c r="AR24" s="5">
        <f t="shared" si="20"/>
        <v>1</v>
      </c>
      <c r="AS24" s="5">
        <f t="shared" si="20"/>
        <v>1</v>
      </c>
      <c r="AT24" s="5">
        <f t="shared" si="20"/>
        <v>1</v>
      </c>
      <c r="AU24" s="5">
        <f t="shared" si="20"/>
        <v>1</v>
      </c>
      <c r="AV24" s="5">
        <f t="shared" si="20"/>
        <v>1</v>
      </c>
      <c r="AW24" s="5">
        <f t="shared" si="20"/>
        <v>1</v>
      </c>
      <c r="AX24" s="5">
        <f t="shared" si="20"/>
        <v>1</v>
      </c>
      <c r="AY24" s="5">
        <f t="shared" si="20"/>
        <v>1</v>
      </c>
      <c r="AZ24" s="5">
        <f t="shared" si="20"/>
        <v>1</v>
      </c>
      <c r="BA24" s="5">
        <f t="shared" si="20"/>
        <v>1</v>
      </c>
      <c r="BB24" s="8"/>
      <c r="BC24" s="8"/>
      <c r="BD24" s="8"/>
      <c r="BE24" s="8"/>
      <c r="BF24" s="8"/>
      <c r="BG24" s="8"/>
      <c r="BH24" s="8"/>
      <c r="BI24" s="8"/>
    </row>
    <row r="25" ht="12.75" customHeight="1">
      <c r="A25" s="4">
        <v>19.0</v>
      </c>
      <c r="B25" s="5" t="s">
        <v>94</v>
      </c>
      <c r="C25" s="5" t="s">
        <v>95</v>
      </c>
      <c r="D25" s="5" t="s">
        <v>96</v>
      </c>
      <c r="E25" s="5" t="s">
        <v>22</v>
      </c>
      <c r="F25" s="6">
        <v>44228.0</v>
      </c>
      <c r="G25" s="5" t="s">
        <v>23</v>
      </c>
      <c r="H25" s="6">
        <v>44228.0</v>
      </c>
      <c r="I25" s="5" t="s">
        <v>64</v>
      </c>
      <c r="J25" s="5" t="s">
        <v>45</v>
      </c>
      <c r="K25" s="5" t="s">
        <v>25</v>
      </c>
      <c r="L25" s="5" t="s">
        <v>90</v>
      </c>
      <c r="M25" s="5" t="s">
        <v>28</v>
      </c>
      <c r="N25" s="5" t="s">
        <v>52</v>
      </c>
      <c r="O25" s="5" t="s">
        <v>30</v>
      </c>
      <c r="P25" s="7" t="s">
        <v>66</v>
      </c>
      <c r="Q25" s="7" t="str">
        <f t="array" ref="Q25">IF($M25="Yes","Cost of Goods Sold:COGS- Travel Expenses:",IF($M25="No",XLOOKUP($P25,Key!$I:$I,Key!$J:$J),"Review Billable Status"))</f>
        <v>Sales &amp; Marketing:Sales &amp; Marketing- Travel Expenses:</v>
      </c>
      <c r="R25" s="7" t="str">
        <f t="array" ref="R25">IF($M25="Yes","Cost of Goods Sold:COGS- Personnel Expense:",IF($M25="No",XLOOKUP($P25,Key!$I:$I,Key!$K:$K),"Review Billable Status"))</f>
        <v>Sales &amp; Marketing:Sales &amp; Marketing- Personnel Expenses:</v>
      </c>
      <c r="S25" s="10" t="str">
        <f t="array" ref="S25">IF($G25="Paid Intern","PD Intern",IF($G25="Contractor/Consultant","Contractor",XLOOKUP(M25&amp;P25,Key!$M:$M,Key!$L:$L)))</f>
        <v>S&amp;M</v>
      </c>
      <c r="T25" s="5">
        <f t="shared" ref="T25:BA25" si="21">IF(OR($F25&gt;T$12,AND($G25="Terminated",T$12&gt;=$H25)),0,1)</f>
        <v>1</v>
      </c>
      <c r="U25" s="5">
        <f t="shared" si="21"/>
        <v>1</v>
      </c>
      <c r="V25" s="5">
        <f t="shared" si="21"/>
        <v>1</v>
      </c>
      <c r="W25" s="5">
        <f t="shared" si="21"/>
        <v>1</v>
      </c>
      <c r="X25" s="5">
        <f t="shared" si="21"/>
        <v>1</v>
      </c>
      <c r="Y25" s="5">
        <f t="shared" si="21"/>
        <v>1</v>
      </c>
      <c r="Z25" s="5">
        <f t="shared" si="21"/>
        <v>1</v>
      </c>
      <c r="AA25" s="5">
        <f t="shared" si="21"/>
        <v>1</v>
      </c>
      <c r="AB25" s="5">
        <f t="shared" si="21"/>
        <v>1</v>
      </c>
      <c r="AC25" s="5">
        <f t="shared" si="21"/>
        <v>1</v>
      </c>
      <c r="AD25" s="5">
        <f t="shared" si="21"/>
        <v>1</v>
      </c>
      <c r="AE25" s="5">
        <f t="shared" si="21"/>
        <v>1</v>
      </c>
      <c r="AF25" s="5">
        <f t="shared" si="21"/>
        <v>1</v>
      </c>
      <c r="AG25" s="5">
        <f t="shared" si="21"/>
        <v>1</v>
      </c>
      <c r="AH25" s="5">
        <f t="shared" si="21"/>
        <v>1</v>
      </c>
      <c r="AI25" s="5">
        <f t="shared" si="21"/>
        <v>1</v>
      </c>
      <c r="AJ25" s="5">
        <f t="shared" si="21"/>
        <v>1</v>
      </c>
      <c r="AK25" s="5">
        <f t="shared" si="21"/>
        <v>1</v>
      </c>
      <c r="AL25" s="5">
        <f t="shared" si="21"/>
        <v>1</v>
      </c>
      <c r="AM25" s="5">
        <f t="shared" si="21"/>
        <v>1</v>
      </c>
      <c r="AN25" s="5">
        <f t="shared" si="21"/>
        <v>1</v>
      </c>
      <c r="AO25" s="5">
        <f t="shared" si="21"/>
        <v>1</v>
      </c>
      <c r="AP25" s="5">
        <f t="shared" si="21"/>
        <v>1</v>
      </c>
      <c r="AQ25" s="5">
        <f t="shared" si="21"/>
        <v>1</v>
      </c>
      <c r="AR25" s="5">
        <f t="shared" si="21"/>
        <v>1</v>
      </c>
      <c r="AS25" s="5">
        <f t="shared" si="21"/>
        <v>1</v>
      </c>
      <c r="AT25" s="5">
        <f t="shared" si="21"/>
        <v>1</v>
      </c>
      <c r="AU25" s="5">
        <f t="shared" si="21"/>
        <v>1</v>
      </c>
      <c r="AV25" s="5">
        <f t="shared" si="21"/>
        <v>1</v>
      </c>
      <c r="AW25" s="5">
        <f t="shared" si="21"/>
        <v>1</v>
      </c>
      <c r="AX25" s="5">
        <f t="shared" si="21"/>
        <v>1</v>
      </c>
      <c r="AY25" s="5">
        <f t="shared" si="21"/>
        <v>1</v>
      </c>
      <c r="AZ25" s="5">
        <f t="shared" si="21"/>
        <v>1</v>
      </c>
      <c r="BA25" s="5">
        <f t="shared" si="21"/>
        <v>1</v>
      </c>
      <c r="BB25" s="8"/>
      <c r="BC25" s="8"/>
      <c r="BD25" s="8"/>
      <c r="BE25" s="8"/>
      <c r="BF25" s="8"/>
      <c r="BG25" s="8"/>
      <c r="BH25" s="8"/>
      <c r="BI25" s="8"/>
    </row>
    <row r="26" ht="12.75" customHeight="1">
      <c r="A26" s="4">
        <v>24.0</v>
      </c>
      <c r="B26" s="5" t="s">
        <v>97</v>
      </c>
      <c r="C26" s="5" t="s">
        <v>98</v>
      </c>
      <c r="D26" s="5" t="s">
        <v>99</v>
      </c>
      <c r="E26" s="5" t="s">
        <v>22</v>
      </c>
      <c r="F26" s="6">
        <v>44348.0</v>
      </c>
      <c r="G26" s="5" t="s">
        <v>23</v>
      </c>
      <c r="H26" s="6">
        <v>44348.0</v>
      </c>
      <c r="I26" s="5" t="s">
        <v>34</v>
      </c>
      <c r="J26" s="5" t="s">
        <v>45</v>
      </c>
      <c r="K26" s="5" t="s">
        <v>36</v>
      </c>
      <c r="L26" s="5" t="s">
        <v>90</v>
      </c>
      <c r="M26" s="5" t="s">
        <v>28</v>
      </c>
      <c r="N26" s="5" t="s">
        <v>52</v>
      </c>
      <c r="O26" s="5" t="s">
        <v>100</v>
      </c>
      <c r="P26" s="7" t="s">
        <v>47</v>
      </c>
      <c r="Q26" s="7" t="str">
        <f t="array" ref="Q26">IF($M26="Yes","Cost of Goods Sold:COGS- Travel Expenses:",IF($M26="No",XLOOKUP($P26,Key!$I:$I,Key!$J:$J),"Review Billable Status"))</f>
        <v>Sales &amp; Marketing:Sales &amp; Marketing- Travel Expenses:</v>
      </c>
      <c r="R26" s="7" t="str">
        <f t="array" ref="R26">IF($M26="Yes","Cost of Goods Sold:COGS- Personnel Expense:",IF($M26="No",XLOOKUP($P26,Key!$I:$I,Key!$K:$K),"Review Billable Status"))</f>
        <v>Sales &amp; Marketing:Sales &amp; Marketing- Personnel Expenses:</v>
      </c>
      <c r="S26" s="10" t="str">
        <f t="array" ref="S26">IF($G26="Paid Intern","PD Intern",IF($G26="Contractor/Consultant","Contractor",XLOOKUP(M26&amp;P26,Key!$M:$M,Key!$L:$L)))</f>
        <v>S&amp;M</v>
      </c>
      <c r="T26" s="5">
        <f t="shared" ref="T26:BA26" si="22">IF(OR($F26&gt;T$12,AND($G26="Terminated",T$12&gt;=$H26)),0,1)</f>
        <v>1</v>
      </c>
      <c r="U26" s="5">
        <f t="shared" si="22"/>
        <v>1</v>
      </c>
      <c r="V26" s="5">
        <f t="shared" si="22"/>
        <v>1</v>
      </c>
      <c r="W26" s="5">
        <f t="shared" si="22"/>
        <v>1</v>
      </c>
      <c r="X26" s="5">
        <f t="shared" si="22"/>
        <v>1</v>
      </c>
      <c r="Y26" s="5">
        <f t="shared" si="22"/>
        <v>1</v>
      </c>
      <c r="Z26" s="5">
        <f t="shared" si="22"/>
        <v>1</v>
      </c>
      <c r="AA26" s="5">
        <f t="shared" si="22"/>
        <v>1</v>
      </c>
      <c r="AB26" s="5">
        <f t="shared" si="22"/>
        <v>1</v>
      </c>
      <c r="AC26" s="5">
        <f t="shared" si="22"/>
        <v>1</v>
      </c>
      <c r="AD26" s="5">
        <f t="shared" si="22"/>
        <v>1</v>
      </c>
      <c r="AE26" s="5">
        <f t="shared" si="22"/>
        <v>1</v>
      </c>
      <c r="AF26" s="5">
        <f t="shared" si="22"/>
        <v>1</v>
      </c>
      <c r="AG26" s="5">
        <f t="shared" si="22"/>
        <v>1</v>
      </c>
      <c r="AH26" s="5">
        <f t="shared" si="22"/>
        <v>1</v>
      </c>
      <c r="AI26" s="5">
        <f t="shared" si="22"/>
        <v>1</v>
      </c>
      <c r="AJ26" s="5">
        <f t="shared" si="22"/>
        <v>1</v>
      </c>
      <c r="AK26" s="5">
        <f t="shared" si="22"/>
        <v>1</v>
      </c>
      <c r="AL26" s="5">
        <f t="shared" si="22"/>
        <v>1</v>
      </c>
      <c r="AM26" s="5">
        <f t="shared" si="22"/>
        <v>1</v>
      </c>
      <c r="AN26" s="5">
        <f t="shared" si="22"/>
        <v>1</v>
      </c>
      <c r="AO26" s="5">
        <f t="shared" si="22"/>
        <v>1</v>
      </c>
      <c r="AP26" s="5">
        <f t="shared" si="22"/>
        <v>1</v>
      </c>
      <c r="AQ26" s="5">
        <f t="shared" si="22"/>
        <v>1</v>
      </c>
      <c r="AR26" s="5">
        <f t="shared" si="22"/>
        <v>1</v>
      </c>
      <c r="AS26" s="5">
        <f t="shared" si="22"/>
        <v>1</v>
      </c>
      <c r="AT26" s="5">
        <f t="shared" si="22"/>
        <v>1</v>
      </c>
      <c r="AU26" s="5">
        <f t="shared" si="22"/>
        <v>1</v>
      </c>
      <c r="AV26" s="5">
        <f t="shared" si="22"/>
        <v>1</v>
      </c>
      <c r="AW26" s="5">
        <f t="shared" si="22"/>
        <v>1</v>
      </c>
      <c r="AX26" s="5">
        <f t="shared" si="22"/>
        <v>1</v>
      </c>
      <c r="AY26" s="5">
        <f t="shared" si="22"/>
        <v>1</v>
      </c>
      <c r="AZ26" s="5">
        <f t="shared" si="22"/>
        <v>1</v>
      </c>
      <c r="BA26" s="5">
        <f t="shared" si="22"/>
        <v>1</v>
      </c>
      <c r="BB26" s="8"/>
      <c r="BC26" s="8"/>
      <c r="BD26" s="8"/>
      <c r="BE26" s="8"/>
      <c r="BF26" s="8"/>
      <c r="BG26" s="8"/>
      <c r="BH26" s="8"/>
      <c r="BI26" s="8"/>
    </row>
    <row r="27" ht="12.75" customHeight="1">
      <c r="A27" s="4">
        <v>25.0</v>
      </c>
      <c r="B27" s="5" t="s">
        <v>101</v>
      </c>
      <c r="C27" s="5" t="s">
        <v>102</v>
      </c>
      <c r="D27" s="5" t="s">
        <v>103</v>
      </c>
      <c r="E27" s="5" t="s">
        <v>22</v>
      </c>
      <c r="F27" s="6">
        <v>44361.0</v>
      </c>
      <c r="G27" s="5" t="s">
        <v>23</v>
      </c>
      <c r="H27" s="6">
        <v>44361.0</v>
      </c>
      <c r="I27" s="5" t="s">
        <v>64</v>
      </c>
      <c r="J27" s="5" t="s">
        <v>35</v>
      </c>
      <c r="K27" s="5" t="s">
        <v>25</v>
      </c>
      <c r="L27" s="5" t="s">
        <v>104</v>
      </c>
      <c r="M27" s="5" t="s">
        <v>39</v>
      </c>
      <c r="N27" s="5" t="s">
        <v>59</v>
      </c>
      <c r="O27" s="5" t="s">
        <v>30</v>
      </c>
      <c r="P27" s="7" t="s">
        <v>75</v>
      </c>
      <c r="Q27" s="7" t="str">
        <f t="array" ref="Q27">IF($M27="Yes","Cost of Goods Sold:COGS- Travel Expenses:",IF($M27="No",XLOOKUP($P27,Key!$I:$I,Key!$J:$J),"Review Billable Status"))</f>
        <v>Cost of Goods Sold:COGS- Travel Expenses:</v>
      </c>
      <c r="R27" s="7" t="str">
        <f t="array" ref="R27">IF($M27="Yes","Cost of Goods Sold:COGS- Personnel Expense:",IF($M27="No",XLOOKUP($P27,Key!$I:$I,Key!$K:$K),"Review Billable Status"))</f>
        <v>Cost of Goods Sold:COGS- Personnel Expense:</v>
      </c>
      <c r="S27" s="10" t="str">
        <f t="array" ref="S27">IF($G27="Paid Intern","PD Intern",IF($G27="Contractor/Consultant","Contractor",XLOOKUP(M27&amp;P27,Key!$M:$M,Key!$L:$L)))</f>
        <v>COR</v>
      </c>
      <c r="T27" s="5">
        <f t="shared" ref="T27:BA27" si="23">IF(OR($F27&gt;T$12,AND($G27="Terminated",T$12&gt;=$H27)),0,1)</f>
        <v>1</v>
      </c>
      <c r="U27" s="5">
        <f t="shared" si="23"/>
        <v>1</v>
      </c>
      <c r="V27" s="5">
        <f t="shared" si="23"/>
        <v>1</v>
      </c>
      <c r="W27" s="5">
        <f t="shared" si="23"/>
        <v>1</v>
      </c>
      <c r="X27" s="5">
        <f t="shared" si="23"/>
        <v>1</v>
      </c>
      <c r="Y27" s="5">
        <f t="shared" si="23"/>
        <v>1</v>
      </c>
      <c r="Z27" s="5">
        <f t="shared" si="23"/>
        <v>1</v>
      </c>
      <c r="AA27" s="5">
        <f t="shared" si="23"/>
        <v>1</v>
      </c>
      <c r="AB27" s="5">
        <f t="shared" si="23"/>
        <v>1</v>
      </c>
      <c r="AC27" s="5">
        <f t="shared" si="23"/>
        <v>1</v>
      </c>
      <c r="AD27" s="5">
        <f t="shared" si="23"/>
        <v>1</v>
      </c>
      <c r="AE27" s="5">
        <f t="shared" si="23"/>
        <v>1</v>
      </c>
      <c r="AF27" s="5">
        <f t="shared" si="23"/>
        <v>1</v>
      </c>
      <c r="AG27" s="5">
        <f t="shared" si="23"/>
        <v>1</v>
      </c>
      <c r="AH27" s="5">
        <f t="shared" si="23"/>
        <v>1</v>
      </c>
      <c r="AI27" s="5">
        <f t="shared" si="23"/>
        <v>1</v>
      </c>
      <c r="AJ27" s="5">
        <f t="shared" si="23"/>
        <v>1</v>
      </c>
      <c r="AK27" s="5">
        <f t="shared" si="23"/>
        <v>1</v>
      </c>
      <c r="AL27" s="5">
        <f t="shared" si="23"/>
        <v>1</v>
      </c>
      <c r="AM27" s="5">
        <f t="shared" si="23"/>
        <v>1</v>
      </c>
      <c r="AN27" s="5">
        <f t="shared" si="23"/>
        <v>1</v>
      </c>
      <c r="AO27" s="5">
        <f t="shared" si="23"/>
        <v>1</v>
      </c>
      <c r="AP27" s="5">
        <f t="shared" si="23"/>
        <v>1</v>
      </c>
      <c r="AQ27" s="5">
        <f t="shared" si="23"/>
        <v>1</v>
      </c>
      <c r="AR27" s="5">
        <f t="shared" si="23"/>
        <v>1</v>
      </c>
      <c r="AS27" s="5">
        <f t="shared" si="23"/>
        <v>1</v>
      </c>
      <c r="AT27" s="5">
        <f t="shared" si="23"/>
        <v>1</v>
      </c>
      <c r="AU27" s="5">
        <f t="shared" si="23"/>
        <v>1</v>
      </c>
      <c r="AV27" s="5">
        <f t="shared" si="23"/>
        <v>1</v>
      </c>
      <c r="AW27" s="5">
        <f t="shared" si="23"/>
        <v>1</v>
      </c>
      <c r="AX27" s="5">
        <f t="shared" si="23"/>
        <v>1</v>
      </c>
      <c r="AY27" s="5">
        <f t="shared" si="23"/>
        <v>1</v>
      </c>
      <c r="AZ27" s="5">
        <f t="shared" si="23"/>
        <v>1</v>
      </c>
      <c r="BA27" s="5">
        <f t="shared" si="23"/>
        <v>1</v>
      </c>
      <c r="BB27" s="8"/>
      <c r="BC27" s="8"/>
      <c r="BD27" s="8"/>
      <c r="BE27" s="8"/>
      <c r="BF27" s="8"/>
      <c r="BG27" s="8"/>
      <c r="BH27" s="8"/>
      <c r="BI27" s="8"/>
    </row>
    <row r="28" ht="12.75" customHeight="1">
      <c r="A28" s="4">
        <v>26.0</v>
      </c>
      <c r="B28" s="5" t="s">
        <v>101</v>
      </c>
      <c r="C28" s="5" t="s">
        <v>105</v>
      </c>
      <c r="D28" s="5" t="s">
        <v>106</v>
      </c>
      <c r="E28" s="5" t="s">
        <v>22</v>
      </c>
      <c r="F28" s="6">
        <v>44383.0</v>
      </c>
      <c r="G28" s="5" t="s">
        <v>23</v>
      </c>
      <c r="H28" s="6">
        <v>44383.0</v>
      </c>
      <c r="I28" s="5" t="s">
        <v>34</v>
      </c>
      <c r="J28" s="5" t="s">
        <v>35</v>
      </c>
      <c r="K28" s="5" t="s">
        <v>107</v>
      </c>
      <c r="L28" s="5" t="s">
        <v>51</v>
      </c>
      <c r="M28" s="5" t="s">
        <v>39</v>
      </c>
      <c r="N28" s="5" t="s">
        <v>52</v>
      </c>
      <c r="O28" s="5" t="s">
        <v>108</v>
      </c>
      <c r="P28" s="7" t="s">
        <v>38</v>
      </c>
      <c r="Q28" s="7" t="str">
        <f t="array" ref="Q28">IF($M28="Yes","Cost of Goods Sold:COGS- Travel Expenses:",IF($M28="No",XLOOKUP($P28,Key!$I:$I,Key!$J:$J),"Review Billable Status"))</f>
        <v>Cost of Goods Sold:COGS- Travel Expenses:</v>
      </c>
      <c r="R28" s="7" t="str">
        <f t="array" ref="R28">IF($M28="Yes","Cost of Goods Sold:COGS- Personnel Expense:",IF($M28="No",XLOOKUP($P28,Key!$I:$I,Key!$K:$K),"Review Billable Status"))</f>
        <v>Cost of Goods Sold:COGS- Personnel Expense:</v>
      </c>
      <c r="S28" s="10" t="str">
        <f t="array" ref="S28">IF($G28="Paid Intern","PD Intern",IF($G28="Contractor/Consultant","Contractor",XLOOKUP(M28&amp;P28,Key!$M:$M,Key!$L:$L)))</f>
        <v>COR</v>
      </c>
      <c r="T28" s="5">
        <f t="shared" ref="T28:BA28" si="24">IF(OR($F28&gt;T$12,AND($G28="Terminated",T$12&gt;=$H28)),0,1)</f>
        <v>1</v>
      </c>
      <c r="U28" s="5">
        <f t="shared" si="24"/>
        <v>1</v>
      </c>
      <c r="V28" s="5">
        <f t="shared" si="24"/>
        <v>1</v>
      </c>
      <c r="W28" s="5">
        <f t="shared" si="24"/>
        <v>1</v>
      </c>
      <c r="X28" s="5">
        <f t="shared" si="24"/>
        <v>1</v>
      </c>
      <c r="Y28" s="5">
        <f t="shared" si="24"/>
        <v>1</v>
      </c>
      <c r="Z28" s="5">
        <f t="shared" si="24"/>
        <v>1</v>
      </c>
      <c r="AA28" s="5">
        <f t="shared" si="24"/>
        <v>1</v>
      </c>
      <c r="AB28" s="5">
        <f t="shared" si="24"/>
        <v>1</v>
      </c>
      <c r="AC28" s="5">
        <f t="shared" si="24"/>
        <v>1</v>
      </c>
      <c r="AD28" s="5">
        <f t="shared" si="24"/>
        <v>1</v>
      </c>
      <c r="AE28" s="5">
        <f t="shared" si="24"/>
        <v>1</v>
      </c>
      <c r="AF28" s="5">
        <f t="shared" si="24"/>
        <v>1</v>
      </c>
      <c r="AG28" s="5">
        <f t="shared" si="24"/>
        <v>1</v>
      </c>
      <c r="AH28" s="5">
        <f t="shared" si="24"/>
        <v>1</v>
      </c>
      <c r="AI28" s="5">
        <f t="shared" si="24"/>
        <v>1</v>
      </c>
      <c r="AJ28" s="5">
        <f t="shared" si="24"/>
        <v>1</v>
      </c>
      <c r="AK28" s="5">
        <f t="shared" si="24"/>
        <v>1</v>
      </c>
      <c r="AL28" s="5">
        <f t="shared" si="24"/>
        <v>1</v>
      </c>
      <c r="AM28" s="5">
        <f t="shared" si="24"/>
        <v>1</v>
      </c>
      <c r="AN28" s="5">
        <f t="shared" si="24"/>
        <v>1</v>
      </c>
      <c r="AO28" s="5">
        <f t="shared" si="24"/>
        <v>1</v>
      </c>
      <c r="AP28" s="5">
        <f t="shared" si="24"/>
        <v>1</v>
      </c>
      <c r="AQ28" s="5">
        <f t="shared" si="24"/>
        <v>1</v>
      </c>
      <c r="AR28" s="5">
        <f t="shared" si="24"/>
        <v>1</v>
      </c>
      <c r="AS28" s="5">
        <f t="shared" si="24"/>
        <v>1</v>
      </c>
      <c r="AT28" s="5">
        <f t="shared" si="24"/>
        <v>1</v>
      </c>
      <c r="AU28" s="5">
        <f t="shared" si="24"/>
        <v>1</v>
      </c>
      <c r="AV28" s="5">
        <f t="shared" si="24"/>
        <v>1</v>
      </c>
      <c r="AW28" s="5">
        <f t="shared" si="24"/>
        <v>1</v>
      </c>
      <c r="AX28" s="5">
        <f t="shared" si="24"/>
        <v>1</v>
      </c>
      <c r="AY28" s="5">
        <f t="shared" si="24"/>
        <v>1</v>
      </c>
      <c r="AZ28" s="5">
        <f t="shared" si="24"/>
        <v>1</v>
      </c>
      <c r="BA28" s="5">
        <f t="shared" si="24"/>
        <v>1</v>
      </c>
      <c r="BB28" s="8"/>
      <c r="BC28" s="8"/>
      <c r="BD28" s="8"/>
      <c r="BE28" s="8"/>
      <c r="BF28" s="8"/>
      <c r="BG28" s="8"/>
      <c r="BH28" s="8"/>
      <c r="BI28" s="8"/>
    </row>
    <row r="29" ht="12.75" customHeight="1">
      <c r="A29" s="4">
        <v>27.0</v>
      </c>
      <c r="B29" s="5" t="s">
        <v>109</v>
      </c>
      <c r="C29" s="5" t="s">
        <v>110</v>
      </c>
      <c r="D29" s="5" t="s">
        <v>111</v>
      </c>
      <c r="E29" s="5" t="s">
        <v>112</v>
      </c>
      <c r="F29" s="6">
        <v>44383.0</v>
      </c>
      <c r="G29" s="5" t="s">
        <v>23</v>
      </c>
      <c r="H29" s="6">
        <v>44383.0</v>
      </c>
      <c r="I29" s="5" t="s">
        <v>34</v>
      </c>
      <c r="J29" s="5" t="s">
        <v>35</v>
      </c>
      <c r="K29" s="5" t="s">
        <v>36</v>
      </c>
      <c r="L29" s="5" t="s">
        <v>113</v>
      </c>
      <c r="M29" s="5" t="s">
        <v>39</v>
      </c>
      <c r="N29" s="5" t="s">
        <v>59</v>
      </c>
      <c r="O29" s="5" t="s">
        <v>114</v>
      </c>
      <c r="P29" s="7" t="s">
        <v>38</v>
      </c>
      <c r="Q29" s="7" t="str">
        <f t="array" ref="Q29">IF($M29="Yes","Cost of Goods Sold:COGS- Travel Expenses:",IF($M29="No",XLOOKUP($P29,Key!$I:$I,Key!$J:$J),"Review Billable Status"))</f>
        <v>Cost of Goods Sold:COGS- Travel Expenses:</v>
      </c>
      <c r="R29" s="7" t="str">
        <f t="array" ref="R29">IF($M29="Yes","Cost of Goods Sold:COGS- Personnel Expense:",IF($M29="No",XLOOKUP($P29,Key!$I:$I,Key!$K:$K),"Review Billable Status"))</f>
        <v>Cost of Goods Sold:COGS- Personnel Expense:</v>
      </c>
      <c r="S29" s="10" t="str">
        <f t="array" ref="S29">IF($G29="Paid Intern","PD Intern",IF($G29="Contractor/Consultant","Contractor",XLOOKUP(M29&amp;P29,Key!$M:$M,Key!$L:$L)))</f>
        <v>COR</v>
      </c>
      <c r="T29" s="5">
        <f t="shared" ref="T29:BA29" si="25">IF(OR($F29&gt;T$12,AND($G29="Terminated",T$12&gt;=$H29)),0,1)</f>
        <v>1</v>
      </c>
      <c r="U29" s="5">
        <f t="shared" si="25"/>
        <v>1</v>
      </c>
      <c r="V29" s="5">
        <f t="shared" si="25"/>
        <v>1</v>
      </c>
      <c r="W29" s="5">
        <f t="shared" si="25"/>
        <v>1</v>
      </c>
      <c r="X29" s="5">
        <f t="shared" si="25"/>
        <v>1</v>
      </c>
      <c r="Y29" s="5">
        <f t="shared" si="25"/>
        <v>1</v>
      </c>
      <c r="Z29" s="5">
        <f t="shared" si="25"/>
        <v>1</v>
      </c>
      <c r="AA29" s="5">
        <f t="shared" si="25"/>
        <v>1</v>
      </c>
      <c r="AB29" s="5">
        <f t="shared" si="25"/>
        <v>1</v>
      </c>
      <c r="AC29" s="5">
        <f t="shared" si="25"/>
        <v>1</v>
      </c>
      <c r="AD29" s="5">
        <f t="shared" si="25"/>
        <v>1</v>
      </c>
      <c r="AE29" s="5">
        <f t="shared" si="25"/>
        <v>1</v>
      </c>
      <c r="AF29" s="5">
        <f t="shared" si="25"/>
        <v>1</v>
      </c>
      <c r="AG29" s="5">
        <f t="shared" si="25"/>
        <v>1</v>
      </c>
      <c r="AH29" s="5">
        <f t="shared" si="25"/>
        <v>1</v>
      </c>
      <c r="AI29" s="5">
        <f t="shared" si="25"/>
        <v>1</v>
      </c>
      <c r="AJ29" s="5">
        <f t="shared" si="25"/>
        <v>1</v>
      </c>
      <c r="AK29" s="5">
        <f t="shared" si="25"/>
        <v>1</v>
      </c>
      <c r="AL29" s="5">
        <f t="shared" si="25"/>
        <v>1</v>
      </c>
      <c r="AM29" s="5">
        <f t="shared" si="25"/>
        <v>1</v>
      </c>
      <c r="AN29" s="5">
        <f t="shared" si="25"/>
        <v>1</v>
      </c>
      <c r="AO29" s="5">
        <f t="shared" si="25"/>
        <v>1</v>
      </c>
      <c r="AP29" s="5">
        <f t="shared" si="25"/>
        <v>1</v>
      </c>
      <c r="AQ29" s="5">
        <f t="shared" si="25"/>
        <v>1</v>
      </c>
      <c r="AR29" s="5">
        <f t="shared" si="25"/>
        <v>1</v>
      </c>
      <c r="AS29" s="5">
        <f t="shared" si="25"/>
        <v>1</v>
      </c>
      <c r="AT29" s="5">
        <f t="shared" si="25"/>
        <v>1</v>
      </c>
      <c r="AU29" s="5">
        <f t="shared" si="25"/>
        <v>1</v>
      </c>
      <c r="AV29" s="5">
        <f t="shared" si="25"/>
        <v>1</v>
      </c>
      <c r="AW29" s="5">
        <f t="shared" si="25"/>
        <v>1</v>
      </c>
      <c r="AX29" s="5">
        <f t="shared" si="25"/>
        <v>1</v>
      </c>
      <c r="AY29" s="5">
        <f t="shared" si="25"/>
        <v>1</v>
      </c>
      <c r="AZ29" s="5">
        <f t="shared" si="25"/>
        <v>1</v>
      </c>
      <c r="BA29" s="5">
        <f t="shared" si="25"/>
        <v>1</v>
      </c>
      <c r="BB29" s="8"/>
      <c r="BC29" s="8"/>
      <c r="BD29" s="8"/>
      <c r="BE29" s="8"/>
      <c r="BF29" s="8"/>
      <c r="BG29" s="8"/>
      <c r="BH29" s="8"/>
      <c r="BI29" s="8"/>
    </row>
    <row r="30" ht="12.75" customHeight="1">
      <c r="A30" s="4">
        <v>28.0</v>
      </c>
      <c r="B30" s="5" t="s">
        <v>115</v>
      </c>
      <c r="C30" s="5" t="s">
        <v>116</v>
      </c>
      <c r="D30" s="5" t="s">
        <v>117</v>
      </c>
      <c r="E30" s="5" t="s">
        <v>22</v>
      </c>
      <c r="F30" s="6">
        <v>44383.0</v>
      </c>
      <c r="G30" s="5" t="s">
        <v>23</v>
      </c>
      <c r="H30" s="6">
        <v>44383.0</v>
      </c>
      <c r="I30" s="5" t="s">
        <v>34</v>
      </c>
      <c r="J30" s="5" t="s">
        <v>35</v>
      </c>
      <c r="K30" s="5" t="s">
        <v>25</v>
      </c>
      <c r="L30" s="5" t="s">
        <v>118</v>
      </c>
      <c r="M30" s="5" t="s">
        <v>39</v>
      </c>
      <c r="N30" s="5" t="s">
        <v>59</v>
      </c>
      <c r="O30" s="5" t="s">
        <v>30</v>
      </c>
      <c r="P30" s="7" t="s">
        <v>38</v>
      </c>
      <c r="Q30" s="7" t="str">
        <f t="array" ref="Q30">IF($M30="Yes","Cost of Goods Sold:COGS- Travel Expenses:",IF($M30="No",XLOOKUP($P30,Key!$I:$I,Key!$J:$J),"Review Billable Status"))</f>
        <v>Cost of Goods Sold:COGS- Travel Expenses:</v>
      </c>
      <c r="R30" s="7" t="str">
        <f t="array" ref="R30">IF($M30="Yes","Cost of Goods Sold:COGS- Personnel Expense:",IF($M30="No",XLOOKUP($P30,Key!$I:$I,Key!$K:$K),"Review Billable Status"))</f>
        <v>Cost of Goods Sold:COGS- Personnel Expense:</v>
      </c>
      <c r="S30" s="10" t="str">
        <f t="array" ref="S30">IF($G30="Paid Intern","PD Intern",IF($G30="Contractor/Consultant","Contractor",XLOOKUP(M30&amp;P30,Key!$M:$M,Key!$L:$L)))</f>
        <v>COR</v>
      </c>
      <c r="T30" s="5">
        <f t="shared" ref="T30:BA30" si="26">IF(OR($F30&gt;T$12,AND($G30="Terminated",T$12&gt;=$H30)),0,1)</f>
        <v>1</v>
      </c>
      <c r="U30" s="5">
        <f t="shared" si="26"/>
        <v>1</v>
      </c>
      <c r="V30" s="5">
        <f t="shared" si="26"/>
        <v>1</v>
      </c>
      <c r="W30" s="5">
        <f t="shared" si="26"/>
        <v>1</v>
      </c>
      <c r="X30" s="5">
        <f t="shared" si="26"/>
        <v>1</v>
      </c>
      <c r="Y30" s="5">
        <f t="shared" si="26"/>
        <v>1</v>
      </c>
      <c r="Z30" s="5">
        <f t="shared" si="26"/>
        <v>1</v>
      </c>
      <c r="AA30" s="5">
        <f t="shared" si="26"/>
        <v>1</v>
      </c>
      <c r="AB30" s="5">
        <f t="shared" si="26"/>
        <v>1</v>
      </c>
      <c r="AC30" s="5">
        <f t="shared" si="26"/>
        <v>1</v>
      </c>
      <c r="AD30" s="5">
        <f t="shared" si="26"/>
        <v>1</v>
      </c>
      <c r="AE30" s="5">
        <f t="shared" si="26"/>
        <v>1</v>
      </c>
      <c r="AF30" s="5">
        <f t="shared" si="26"/>
        <v>1</v>
      </c>
      <c r="AG30" s="5">
        <f t="shared" si="26"/>
        <v>1</v>
      </c>
      <c r="AH30" s="5">
        <f t="shared" si="26"/>
        <v>1</v>
      </c>
      <c r="AI30" s="5">
        <f t="shared" si="26"/>
        <v>1</v>
      </c>
      <c r="AJ30" s="5">
        <f t="shared" si="26"/>
        <v>1</v>
      </c>
      <c r="AK30" s="5">
        <f t="shared" si="26"/>
        <v>1</v>
      </c>
      <c r="AL30" s="5">
        <f t="shared" si="26"/>
        <v>1</v>
      </c>
      <c r="AM30" s="5">
        <f t="shared" si="26"/>
        <v>1</v>
      </c>
      <c r="AN30" s="5">
        <f t="shared" si="26"/>
        <v>1</v>
      </c>
      <c r="AO30" s="5">
        <f t="shared" si="26"/>
        <v>1</v>
      </c>
      <c r="AP30" s="5">
        <f t="shared" si="26"/>
        <v>1</v>
      </c>
      <c r="AQ30" s="5">
        <f t="shared" si="26"/>
        <v>1</v>
      </c>
      <c r="AR30" s="5">
        <f t="shared" si="26"/>
        <v>1</v>
      </c>
      <c r="AS30" s="5">
        <f t="shared" si="26"/>
        <v>1</v>
      </c>
      <c r="AT30" s="5">
        <f t="shared" si="26"/>
        <v>1</v>
      </c>
      <c r="AU30" s="5">
        <f t="shared" si="26"/>
        <v>1</v>
      </c>
      <c r="AV30" s="5">
        <f t="shared" si="26"/>
        <v>1</v>
      </c>
      <c r="AW30" s="5">
        <f t="shared" si="26"/>
        <v>1</v>
      </c>
      <c r="AX30" s="5">
        <f t="shared" si="26"/>
        <v>1</v>
      </c>
      <c r="AY30" s="5">
        <f t="shared" si="26"/>
        <v>1</v>
      </c>
      <c r="AZ30" s="5">
        <f t="shared" si="26"/>
        <v>1</v>
      </c>
      <c r="BA30" s="5">
        <f t="shared" si="26"/>
        <v>1</v>
      </c>
      <c r="BB30" s="8"/>
      <c r="BC30" s="8"/>
      <c r="BD30" s="8"/>
      <c r="BE30" s="8"/>
      <c r="BF30" s="8"/>
      <c r="BG30" s="8"/>
      <c r="BH30" s="8"/>
      <c r="BI30" s="8"/>
    </row>
    <row r="31" ht="12.75" customHeight="1">
      <c r="A31" s="4">
        <v>31.0</v>
      </c>
      <c r="B31" s="5" t="s">
        <v>119</v>
      </c>
      <c r="C31" s="5" t="s">
        <v>120</v>
      </c>
      <c r="D31" s="5" t="s">
        <v>121</v>
      </c>
      <c r="E31" s="5" t="s">
        <v>22</v>
      </c>
      <c r="F31" s="6">
        <v>44410.0</v>
      </c>
      <c r="G31" s="5" t="s">
        <v>23</v>
      </c>
      <c r="H31" s="6">
        <v>44410.0</v>
      </c>
      <c r="I31" s="5" t="s">
        <v>64</v>
      </c>
      <c r="J31" s="5" t="s">
        <v>35</v>
      </c>
      <c r="K31" s="5" t="s">
        <v>25</v>
      </c>
      <c r="L31" s="5" t="s">
        <v>122</v>
      </c>
      <c r="M31" s="5" t="s">
        <v>39</v>
      </c>
      <c r="N31" s="5" t="s">
        <v>85</v>
      </c>
      <c r="O31" s="5" t="s">
        <v>30</v>
      </c>
      <c r="P31" s="7" t="s">
        <v>75</v>
      </c>
      <c r="Q31" s="7" t="str">
        <f t="array" ref="Q31">IF($M31="Yes","Cost of Goods Sold:COGS- Travel Expenses:",IF($M31="No",XLOOKUP($P31,Key!$I:$I,Key!$J:$J),"Review Billable Status"))</f>
        <v>Cost of Goods Sold:COGS- Travel Expenses:</v>
      </c>
      <c r="R31" s="7" t="str">
        <f t="array" ref="R31">IF($M31="Yes","Cost of Goods Sold:COGS- Personnel Expense:",IF($M31="No",XLOOKUP($P31,Key!$I:$I,Key!$K:$K),"Review Billable Status"))</f>
        <v>Cost of Goods Sold:COGS- Personnel Expense:</v>
      </c>
      <c r="S31" s="10" t="str">
        <f t="array" ref="S31">IF($G31="Paid Intern","PD Intern",IF($G31="Contractor/Consultant","Contractor",XLOOKUP(M31&amp;P31,Key!$M:$M,Key!$L:$L)))</f>
        <v>COR</v>
      </c>
      <c r="T31" s="5">
        <f t="shared" ref="T31:BA31" si="27">IF(OR($F31&gt;T$12,AND($G31="Terminated",T$12&gt;=$H31)),0,1)</f>
        <v>1</v>
      </c>
      <c r="U31" s="5">
        <f t="shared" si="27"/>
        <v>1</v>
      </c>
      <c r="V31" s="5">
        <f t="shared" si="27"/>
        <v>1</v>
      </c>
      <c r="W31" s="5">
        <f t="shared" si="27"/>
        <v>1</v>
      </c>
      <c r="X31" s="5">
        <f t="shared" si="27"/>
        <v>1</v>
      </c>
      <c r="Y31" s="5">
        <f t="shared" si="27"/>
        <v>1</v>
      </c>
      <c r="Z31" s="5">
        <f t="shared" si="27"/>
        <v>1</v>
      </c>
      <c r="AA31" s="5">
        <f t="shared" si="27"/>
        <v>1</v>
      </c>
      <c r="AB31" s="5">
        <f t="shared" si="27"/>
        <v>1</v>
      </c>
      <c r="AC31" s="5">
        <f t="shared" si="27"/>
        <v>1</v>
      </c>
      <c r="AD31" s="5">
        <f t="shared" si="27"/>
        <v>1</v>
      </c>
      <c r="AE31" s="5">
        <f t="shared" si="27"/>
        <v>1</v>
      </c>
      <c r="AF31" s="5">
        <f t="shared" si="27"/>
        <v>1</v>
      </c>
      <c r="AG31" s="5">
        <f t="shared" si="27"/>
        <v>1</v>
      </c>
      <c r="AH31" s="5">
        <f t="shared" si="27"/>
        <v>1</v>
      </c>
      <c r="AI31" s="5">
        <f t="shared" si="27"/>
        <v>1</v>
      </c>
      <c r="AJ31" s="5">
        <f t="shared" si="27"/>
        <v>1</v>
      </c>
      <c r="AK31" s="5">
        <f t="shared" si="27"/>
        <v>1</v>
      </c>
      <c r="AL31" s="5">
        <f t="shared" si="27"/>
        <v>1</v>
      </c>
      <c r="AM31" s="5">
        <f t="shared" si="27"/>
        <v>1</v>
      </c>
      <c r="AN31" s="5">
        <f t="shared" si="27"/>
        <v>1</v>
      </c>
      <c r="AO31" s="5">
        <f t="shared" si="27"/>
        <v>1</v>
      </c>
      <c r="AP31" s="5">
        <f t="shared" si="27"/>
        <v>1</v>
      </c>
      <c r="AQ31" s="5">
        <f t="shared" si="27"/>
        <v>1</v>
      </c>
      <c r="AR31" s="5">
        <f t="shared" si="27"/>
        <v>1</v>
      </c>
      <c r="AS31" s="5">
        <f t="shared" si="27"/>
        <v>1</v>
      </c>
      <c r="AT31" s="5">
        <f t="shared" si="27"/>
        <v>1</v>
      </c>
      <c r="AU31" s="5">
        <f t="shared" si="27"/>
        <v>1</v>
      </c>
      <c r="AV31" s="5">
        <f t="shared" si="27"/>
        <v>1</v>
      </c>
      <c r="AW31" s="5">
        <f t="shared" si="27"/>
        <v>1</v>
      </c>
      <c r="AX31" s="5">
        <f t="shared" si="27"/>
        <v>1</v>
      </c>
      <c r="AY31" s="5">
        <f t="shared" si="27"/>
        <v>1</v>
      </c>
      <c r="AZ31" s="5">
        <f t="shared" si="27"/>
        <v>1</v>
      </c>
      <c r="BA31" s="5">
        <f t="shared" si="27"/>
        <v>1</v>
      </c>
      <c r="BB31" s="8"/>
      <c r="BC31" s="8"/>
      <c r="BD31" s="8"/>
      <c r="BE31" s="8"/>
      <c r="BF31" s="8"/>
      <c r="BG31" s="8"/>
      <c r="BH31" s="8"/>
      <c r="BI31" s="8"/>
    </row>
    <row r="32" ht="12.75" customHeight="1">
      <c r="A32" s="4">
        <v>34.0</v>
      </c>
      <c r="B32" s="5" t="s">
        <v>123</v>
      </c>
      <c r="C32" s="5" t="s">
        <v>124</v>
      </c>
      <c r="D32" s="5" t="s">
        <v>125</v>
      </c>
      <c r="E32" s="5" t="s">
        <v>22</v>
      </c>
      <c r="F32" s="6">
        <v>44452.0</v>
      </c>
      <c r="G32" s="5" t="s">
        <v>23</v>
      </c>
      <c r="H32" s="6">
        <v>44452.0</v>
      </c>
      <c r="I32" s="5" t="s">
        <v>64</v>
      </c>
      <c r="J32" s="5" t="s">
        <v>45</v>
      </c>
      <c r="K32" s="5" t="s">
        <v>25</v>
      </c>
      <c r="L32" s="5" t="s">
        <v>126</v>
      </c>
      <c r="M32" s="5" t="s">
        <v>28</v>
      </c>
      <c r="N32" s="5" t="s">
        <v>52</v>
      </c>
      <c r="O32" s="5" t="s">
        <v>30</v>
      </c>
      <c r="P32" s="7" t="s">
        <v>66</v>
      </c>
      <c r="Q32" s="7" t="str">
        <f t="array" ref="Q32">IF($M32="Yes","Cost of Goods Sold:COGS- Travel Expenses:",IF($M32="No",XLOOKUP($P32,Key!$I:$I,Key!$J:$J),"Review Billable Status"))</f>
        <v>Sales &amp; Marketing:Sales &amp; Marketing- Travel Expenses:</v>
      </c>
      <c r="R32" s="7" t="str">
        <f t="array" ref="R32">IF($M32="Yes","Cost of Goods Sold:COGS- Personnel Expense:",IF($M32="No",XLOOKUP($P32,Key!$I:$I,Key!$K:$K),"Review Billable Status"))</f>
        <v>Sales &amp; Marketing:Sales &amp; Marketing- Personnel Expenses:</v>
      </c>
      <c r="S32" s="10" t="str">
        <f t="array" ref="S32">IF($G32="Paid Intern","PD Intern",IF($G32="Contractor/Consultant","Contractor",XLOOKUP(M32&amp;P32,Key!$M:$M,Key!$L:$L)))</f>
        <v>S&amp;M</v>
      </c>
      <c r="T32" s="5">
        <f t="shared" ref="T32:BA32" si="28">IF(OR($F32&gt;T$12,AND($G32="Terminated",T$12&gt;=$H32)),0,1)</f>
        <v>1</v>
      </c>
      <c r="U32" s="5">
        <f t="shared" si="28"/>
        <v>1</v>
      </c>
      <c r="V32" s="5">
        <f t="shared" si="28"/>
        <v>1</v>
      </c>
      <c r="W32" s="5">
        <f t="shared" si="28"/>
        <v>1</v>
      </c>
      <c r="X32" s="5">
        <f t="shared" si="28"/>
        <v>1</v>
      </c>
      <c r="Y32" s="5">
        <f t="shared" si="28"/>
        <v>1</v>
      </c>
      <c r="Z32" s="5">
        <f t="shared" si="28"/>
        <v>1</v>
      </c>
      <c r="AA32" s="5">
        <f t="shared" si="28"/>
        <v>1</v>
      </c>
      <c r="AB32" s="5">
        <f t="shared" si="28"/>
        <v>1</v>
      </c>
      <c r="AC32" s="5">
        <f t="shared" si="28"/>
        <v>1</v>
      </c>
      <c r="AD32" s="5">
        <f t="shared" si="28"/>
        <v>1</v>
      </c>
      <c r="AE32" s="5">
        <f t="shared" si="28"/>
        <v>1</v>
      </c>
      <c r="AF32" s="5">
        <f t="shared" si="28"/>
        <v>1</v>
      </c>
      <c r="AG32" s="5">
        <f t="shared" si="28"/>
        <v>1</v>
      </c>
      <c r="AH32" s="5">
        <f t="shared" si="28"/>
        <v>1</v>
      </c>
      <c r="AI32" s="5">
        <f t="shared" si="28"/>
        <v>1</v>
      </c>
      <c r="AJ32" s="5">
        <f t="shared" si="28"/>
        <v>1</v>
      </c>
      <c r="AK32" s="5">
        <f t="shared" si="28"/>
        <v>1</v>
      </c>
      <c r="AL32" s="5">
        <f t="shared" si="28"/>
        <v>1</v>
      </c>
      <c r="AM32" s="5">
        <f t="shared" si="28"/>
        <v>1</v>
      </c>
      <c r="AN32" s="5">
        <f t="shared" si="28"/>
        <v>1</v>
      </c>
      <c r="AO32" s="5">
        <f t="shared" si="28"/>
        <v>1</v>
      </c>
      <c r="AP32" s="5">
        <f t="shared" si="28"/>
        <v>1</v>
      </c>
      <c r="AQ32" s="5">
        <f t="shared" si="28"/>
        <v>1</v>
      </c>
      <c r="AR32" s="5">
        <f t="shared" si="28"/>
        <v>1</v>
      </c>
      <c r="AS32" s="5">
        <f t="shared" si="28"/>
        <v>1</v>
      </c>
      <c r="AT32" s="5">
        <f t="shared" si="28"/>
        <v>1</v>
      </c>
      <c r="AU32" s="5">
        <f t="shared" si="28"/>
        <v>1</v>
      </c>
      <c r="AV32" s="5">
        <f t="shared" si="28"/>
        <v>1</v>
      </c>
      <c r="AW32" s="5">
        <f t="shared" si="28"/>
        <v>1</v>
      </c>
      <c r="AX32" s="5">
        <f t="shared" si="28"/>
        <v>1</v>
      </c>
      <c r="AY32" s="5">
        <f t="shared" si="28"/>
        <v>1</v>
      </c>
      <c r="AZ32" s="5">
        <f t="shared" si="28"/>
        <v>1</v>
      </c>
      <c r="BA32" s="5">
        <f t="shared" si="28"/>
        <v>1</v>
      </c>
      <c r="BB32" s="8"/>
      <c r="BC32" s="8"/>
      <c r="BD32" s="8"/>
      <c r="BE32" s="8"/>
      <c r="BF32" s="8"/>
      <c r="BG32" s="8"/>
      <c r="BH32" s="8"/>
      <c r="BI32" s="8"/>
    </row>
    <row r="33" ht="12.75" customHeight="1">
      <c r="A33" s="4">
        <v>37.0</v>
      </c>
      <c r="B33" s="5" t="s">
        <v>127</v>
      </c>
      <c r="C33" s="5" t="s">
        <v>128</v>
      </c>
      <c r="D33" s="5" t="s">
        <v>129</v>
      </c>
      <c r="E33" s="5" t="s">
        <v>112</v>
      </c>
      <c r="F33" s="6">
        <v>44473.0</v>
      </c>
      <c r="G33" s="5" t="s">
        <v>23</v>
      </c>
      <c r="H33" s="6">
        <v>44473.0</v>
      </c>
      <c r="I33" s="5" t="s">
        <v>34</v>
      </c>
      <c r="J33" s="5" t="s">
        <v>130</v>
      </c>
      <c r="K33" s="5" t="s">
        <v>25</v>
      </c>
      <c r="L33" s="5" t="s">
        <v>131</v>
      </c>
      <c r="M33" s="5" t="s">
        <v>39</v>
      </c>
      <c r="N33" s="5" t="s">
        <v>52</v>
      </c>
      <c r="O33" s="5" t="s">
        <v>30</v>
      </c>
      <c r="P33" s="7" t="s">
        <v>132</v>
      </c>
      <c r="Q33" s="7" t="str">
        <f t="array" ref="Q33">IF($M33="Yes","Cost of Goods Sold:COGS- Travel Expenses:",IF($M33="No",XLOOKUP($P33,Key!$I:$I,Key!$J:$J),"Review Billable Status"))</f>
        <v>Cost of Goods Sold:COGS- Travel Expenses:</v>
      </c>
      <c r="R33" s="7" t="str">
        <f t="array" ref="R33">IF($M33="Yes","Cost of Goods Sold:COGS- Personnel Expense:",IF($M33="No",XLOOKUP($P33,Key!$I:$I,Key!$K:$K),"Review Billable Status"))</f>
        <v>Cost of Goods Sold:COGS- Personnel Expense:</v>
      </c>
      <c r="S33" s="10" t="str">
        <f t="array" ref="S33">IF($G33="Paid Intern","PD Intern",IF($G33="Contractor/Consultant","Contractor",XLOOKUP(M33&amp;P33,Key!$M:$M,Key!$L:$L)))</f>
        <v>COR</v>
      </c>
      <c r="T33" s="5">
        <f t="shared" ref="T33:BA33" si="29">IF(OR($F33&gt;T$12,AND($G33="Terminated",T$12&gt;=$H33)),0,1)</f>
        <v>1</v>
      </c>
      <c r="U33" s="5">
        <f t="shared" si="29"/>
        <v>1</v>
      </c>
      <c r="V33" s="5">
        <f t="shared" si="29"/>
        <v>1</v>
      </c>
      <c r="W33" s="5">
        <f t="shared" si="29"/>
        <v>1</v>
      </c>
      <c r="X33" s="5">
        <f t="shared" si="29"/>
        <v>1</v>
      </c>
      <c r="Y33" s="5">
        <f t="shared" si="29"/>
        <v>1</v>
      </c>
      <c r="Z33" s="5">
        <f t="shared" si="29"/>
        <v>1</v>
      </c>
      <c r="AA33" s="5">
        <f t="shared" si="29"/>
        <v>1</v>
      </c>
      <c r="AB33" s="5">
        <f t="shared" si="29"/>
        <v>1</v>
      </c>
      <c r="AC33" s="5">
        <f t="shared" si="29"/>
        <v>1</v>
      </c>
      <c r="AD33" s="5">
        <f t="shared" si="29"/>
        <v>1</v>
      </c>
      <c r="AE33" s="5">
        <f t="shared" si="29"/>
        <v>1</v>
      </c>
      <c r="AF33" s="5">
        <f t="shared" si="29"/>
        <v>1</v>
      </c>
      <c r="AG33" s="5">
        <f t="shared" si="29"/>
        <v>1</v>
      </c>
      <c r="AH33" s="5">
        <f t="shared" si="29"/>
        <v>1</v>
      </c>
      <c r="AI33" s="5">
        <f t="shared" si="29"/>
        <v>1</v>
      </c>
      <c r="AJ33" s="5">
        <f t="shared" si="29"/>
        <v>1</v>
      </c>
      <c r="AK33" s="5">
        <f t="shared" si="29"/>
        <v>1</v>
      </c>
      <c r="AL33" s="5">
        <f t="shared" si="29"/>
        <v>1</v>
      </c>
      <c r="AM33" s="5">
        <f t="shared" si="29"/>
        <v>1</v>
      </c>
      <c r="AN33" s="5">
        <f t="shared" si="29"/>
        <v>1</v>
      </c>
      <c r="AO33" s="5">
        <f t="shared" si="29"/>
        <v>1</v>
      </c>
      <c r="AP33" s="5">
        <f t="shared" si="29"/>
        <v>1</v>
      </c>
      <c r="AQ33" s="5">
        <f t="shared" si="29"/>
        <v>1</v>
      </c>
      <c r="AR33" s="5">
        <f t="shared" si="29"/>
        <v>1</v>
      </c>
      <c r="AS33" s="5">
        <f t="shared" si="29"/>
        <v>1</v>
      </c>
      <c r="AT33" s="5">
        <f t="shared" si="29"/>
        <v>1</v>
      </c>
      <c r="AU33" s="5">
        <f t="shared" si="29"/>
        <v>1</v>
      </c>
      <c r="AV33" s="5">
        <f t="shared" si="29"/>
        <v>1</v>
      </c>
      <c r="AW33" s="5">
        <f t="shared" si="29"/>
        <v>1</v>
      </c>
      <c r="AX33" s="5">
        <f t="shared" si="29"/>
        <v>1</v>
      </c>
      <c r="AY33" s="5">
        <f t="shared" si="29"/>
        <v>1</v>
      </c>
      <c r="AZ33" s="5">
        <f t="shared" si="29"/>
        <v>1</v>
      </c>
      <c r="BA33" s="5">
        <f t="shared" si="29"/>
        <v>1</v>
      </c>
      <c r="BB33" s="8"/>
      <c r="BC33" s="8"/>
      <c r="BD33" s="8"/>
      <c r="BE33" s="8"/>
      <c r="BF33" s="8"/>
      <c r="BG33" s="8"/>
      <c r="BH33" s="8"/>
      <c r="BI33" s="8"/>
    </row>
    <row r="34" ht="12.75" customHeight="1">
      <c r="A34" s="4">
        <v>39.0</v>
      </c>
      <c r="B34" s="5" t="s">
        <v>133</v>
      </c>
      <c r="C34" s="5" t="s">
        <v>134</v>
      </c>
      <c r="D34" s="5" t="s">
        <v>135</v>
      </c>
      <c r="E34" s="5" t="s">
        <v>22</v>
      </c>
      <c r="F34" s="6">
        <v>44494.0</v>
      </c>
      <c r="G34" s="5" t="s">
        <v>23</v>
      </c>
      <c r="H34" s="6">
        <v>44494.0</v>
      </c>
      <c r="I34" s="5" t="s">
        <v>34</v>
      </c>
      <c r="J34" s="5" t="s">
        <v>35</v>
      </c>
      <c r="K34" s="5" t="s">
        <v>36</v>
      </c>
      <c r="L34" s="5" t="s">
        <v>136</v>
      </c>
      <c r="M34" s="5" t="s">
        <v>39</v>
      </c>
      <c r="N34" s="5" t="s">
        <v>40</v>
      </c>
      <c r="O34" s="5" t="s">
        <v>100</v>
      </c>
      <c r="P34" s="7" t="s">
        <v>38</v>
      </c>
      <c r="Q34" s="7" t="str">
        <f t="array" ref="Q34">IF($M34="Yes","Cost of Goods Sold:COGS- Travel Expenses:",IF($M34="No",XLOOKUP($P34,Key!$I:$I,Key!$J:$J),"Review Billable Status"))</f>
        <v>Cost of Goods Sold:COGS- Travel Expenses:</v>
      </c>
      <c r="R34" s="7" t="str">
        <f t="array" ref="R34">IF($M34="Yes","Cost of Goods Sold:COGS- Personnel Expense:",IF($M34="No",XLOOKUP($P34,Key!$I:$I,Key!$K:$K),"Review Billable Status"))</f>
        <v>Cost of Goods Sold:COGS- Personnel Expense:</v>
      </c>
      <c r="S34" s="10" t="str">
        <f t="array" ref="S34">IF($G34="Paid Intern","PD Intern",IF($G34="Contractor/Consultant","Contractor",XLOOKUP(M34&amp;P34,Key!$M:$M,Key!$L:$L)))</f>
        <v>COR</v>
      </c>
      <c r="T34" s="5">
        <f t="shared" ref="T34:BA34" si="30">IF(OR($F34&gt;T$12,AND($G34="Terminated",T$12&gt;=$H34)),0,1)</f>
        <v>1</v>
      </c>
      <c r="U34" s="5">
        <f t="shared" si="30"/>
        <v>1</v>
      </c>
      <c r="V34" s="5">
        <f t="shared" si="30"/>
        <v>1</v>
      </c>
      <c r="W34" s="5">
        <f t="shared" si="30"/>
        <v>1</v>
      </c>
      <c r="X34" s="5">
        <f t="shared" si="30"/>
        <v>1</v>
      </c>
      <c r="Y34" s="5">
        <f t="shared" si="30"/>
        <v>1</v>
      </c>
      <c r="Z34" s="5">
        <f t="shared" si="30"/>
        <v>1</v>
      </c>
      <c r="AA34" s="5">
        <f t="shared" si="30"/>
        <v>1</v>
      </c>
      <c r="AB34" s="5">
        <f t="shared" si="30"/>
        <v>1</v>
      </c>
      <c r="AC34" s="5">
        <f t="shared" si="30"/>
        <v>1</v>
      </c>
      <c r="AD34" s="5">
        <f t="shared" si="30"/>
        <v>1</v>
      </c>
      <c r="AE34" s="5">
        <f t="shared" si="30"/>
        <v>1</v>
      </c>
      <c r="AF34" s="5">
        <f t="shared" si="30"/>
        <v>1</v>
      </c>
      <c r="AG34" s="5">
        <f t="shared" si="30"/>
        <v>1</v>
      </c>
      <c r="AH34" s="5">
        <f t="shared" si="30"/>
        <v>1</v>
      </c>
      <c r="AI34" s="5">
        <f t="shared" si="30"/>
        <v>1</v>
      </c>
      <c r="AJ34" s="5">
        <f t="shared" si="30"/>
        <v>1</v>
      </c>
      <c r="AK34" s="5">
        <f t="shared" si="30"/>
        <v>1</v>
      </c>
      <c r="AL34" s="5">
        <f t="shared" si="30"/>
        <v>1</v>
      </c>
      <c r="AM34" s="5">
        <f t="shared" si="30"/>
        <v>1</v>
      </c>
      <c r="AN34" s="5">
        <f t="shared" si="30"/>
        <v>1</v>
      </c>
      <c r="AO34" s="5">
        <f t="shared" si="30"/>
        <v>1</v>
      </c>
      <c r="AP34" s="5">
        <f t="shared" si="30"/>
        <v>1</v>
      </c>
      <c r="AQ34" s="5">
        <f t="shared" si="30"/>
        <v>1</v>
      </c>
      <c r="AR34" s="5">
        <f t="shared" si="30"/>
        <v>1</v>
      </c>
      <c r="AS34" s="5">
        <f t="shared" si="30"/>
        <v>1</v>
      </c>
      <c r="AT34" s="5">
        <f t="shared" si="30"/>
        <v>1</v>
      </c>
      <c r="AU34" s="5">
        <f t="shared" si="30"/>
        <v>1</v>
      </c>
      <c r="AV34" s="5">
        <f t="shared" si="30"/>
        <v>1</v>
      </c>
      <c r="AW34" s="5">
        <f t="shared" si="30"/>
        <v>1</v>
      </c>
      <c r="AX34" s="5">
        <f t="shared" si="30"/>
        <v>1</v>
      </c>
      <c r="AY34" s="5">
        <f t="shared" si="30"/>
        <v>1</v>
      </c>
      <c r="AZ34" s="5">
        <f t="shared" si="30"/>
        <v>1</v>
      </c>
      <c r="BA34" s="5">
        <f t="shared" si="30"/>
        <v>1</v>
      </c>
      <c r="BB34" s="8"/>
      <c r="BC34" s="8"/>
      <c r="BD34" s="8"/>
      <c r="BE34" s="8"/>
      <c r="BF34" s="8"/>
      <c r="BG34" s="8"/>
      <c r="BH34" s="8"/>
      <c r="BI34" s="8"/>
    </row>
    <row r="35" ht="12.75" customHeight="1">
      <c r="A35" s="4">
        <v>42.0</v>
      </c>
      <c r="B35" s="5" t="s">
        <v>137</v>
      </c>
      <c r="C35" s="5" t="s">
        <v>138</v>
      </c>
      <c r="D35" s="5" t="s">
        <v>139</v>
      </c>
      <c r="E35" s="5" t="s">
        <v>112</v>
      </c>
      <c r="F35" s="6">
        <v>44536.0</v>
      </c>
      <c r="G35" s="5" t="s">
        <v>23</v>
      </c>
      <c r="H35" s="6">
        <v>44536.0</v>
      </c>
      <c r="I35" s="5" t="s">
        <v>34</v>
      </c>
      <c r="J35" s="5" t="s">
        <v>45</v>
      </c>
      <c r="K35" s="5" t="s">
        <v>25</v>
      </c>
      <c r="L35" s="5" t="s">
        <v>140</v>
      </c>
      <c r="M35" s="5" t="s">
        <v>28</v>
      </c>
      <c r="N35" s="5" t="s">
        <v>85</v>
      </c>
      <c r="O35" s="5" t="s">
        <v>30</v>
      </c>
      <c r="P35" s="7" t="s">
        <v>47</v>
      </c>
      <c r="Q35" s="7" t="str">
        <f t="array" ref="Q35">IF($M35="Yes","Cost of Goods Sold:COGS- Travel Expenses:",IF($M35="No",XLOOKUP($P35,Key!$I:$I,Key!$J:$J),"Review Billable Status"))</f>
        <v>Sales &amp; Marketing:Sales &amp; Marketing- Travel Expenses:</v>
      </c>
      <c r="R35" s="7" t="str">
        <f t="array" ref="R35">IF($M35="Yes","Cost of Goods Sold:COGS- Personnel Expense:",IF($M35="No",XLOOKUP($P35,Key!$I:$I,Key!$K:$K),"Review Billable Status"))</f>
        <v>Sales &amp; Marketing:Sales &amp; Marketing- Personnel Expenses:</v>
      </c>
      <c r="S35" s="10" t="str">
        <f t="array" ref="S35">IF($G35="Paid Intern","PD Intern",IF($G35="Contractor/Consultant","Contractor",XLOOKUP(M35&amp;P35,Key!$M:$M,Key!$L:$L)))</f>
        <v>S&amp;M</v>
      </c>
      <c r="T35" s="5">
        <f t="shared" ref="T35:BA35" si="31">IF(OR($F35&gt;T$12,AND($G35="Terminated",T$12&gt;=$H35)),0,1)</f>
        <v>1</v>
      </c>
      <c r="U35" s="5">
        <f t="shared" si="31"/>
        <v>1</v>
      </c>
      <c r="V35" s="5">
        <f t="shared" si="31"/>
        <v>1</v>
      </c>
      <c r="W35" s="5">
        <f t="shared" si="31"/>
        <v>1</v>
      </c>
      <c r="X35" s="5">
        <f t="shared" si="31"/>
        <v>1</v>
      </c>
      <c r="Y35" s="5">
        <f t="shared" si="31"/>
        <v>1</v>
      </c>
      <c r="Z35" s="5">
        <f t="shared" si="31"/>
        <v>1</v>
      </c>
      <c r="AA35" s="5">
        <f t="shared" si="31"/>
        <v>1</v>
      </c>
      <c r="AB35" s="5">
        <f t="shared" si="31"/>
        <v>1</v>
      </c>
      <c r="AC35" s="5">
        <f t="shared" si="31"/>
        <v>1</v>
      </c>
      <c r="AD35" s="5">
        <f t="shared" si="31"/>
        <v>1</v>
      </c>
      <c r="AE35" s="5">
        <f t="shared" si="31"/>
        <v>1</v>
      </c>
      <c r="AF35" s="5">
        <f t="shared" si="31"/>
        <v>1</v>
      </c>
      <c r="AG35" s="5">
        <f t="shared" si="31"/>
        <v>1</v>
      </c>
      <c r="AH35" s="5">
        <f t="shared" si="31"/>
        <v>1</v>
      </c>
      <c r="AI35" s="5">
        <f t="shared" si="31"/>
        <v>1</v>
      </c>
      <c r="AJ35" s="5">
        <f t="shared" si="31"/>
        <v>1</v>
      </c>
      <c r="AK35" s="5">
        <f t="shared" si="31"/>
        <v>1</v>
      </c>
      <c r="AL35" s="5">
        <f t="shared" si="31"/>
        <v>1</v>
      </c>
      <c r="AM35" s="5">
        <f t="shared" si="31"/>
        <v>1</v>
      </c>
      <c r="AN35" s="5">
        <f t="shared" si="31"/>
        <v>1</v>
      </c>
      <c r="AO35" s="5">
        <f t="shared" si="31"/>
        <v>1</v>
      </c>
      <c r="AP35" s="5">
        <f t="shared" si="31"/>
        <v>1</v>
      </c>
      <c r="AQ35" s="5">
        <f t="shared" si="31"/>
        <v>1</v>
      </c>
      <c r="AR35" s="5">
        <f t="shared" si="31"/>
        <v>1</v>
      </c>
      <c r="AS35" s="5">
        <f t="shared" si="31"/>
        <v>1</v>
      </c>
      <c r="AT35" s="5">
        <f t="shared" si="31"/>
        <v>1</v>
      </c>
      <c r="AU35" s="5">
        <f t="shared" si="31"/>
        <v>1</v>
      </c>
      <c r="AV35" s="5">
        <f t="shared" si="31"/>
        <v>1</v>
      </c>
      <c r="AW35" s="5">
        <f t="shared" si="31"/>
        <v>1</v>
      </c>
      <c r="AX35" s="5">
        <f t="shared" si="31"/>
        <v>1</v>
      </c>
      <c r="AY35" s="5">
        <f t="shared" si="31"/>
        <v>1</v>
      </c>
      <c r="AZ35" s="5">
        <f t="shared" si="31"/>
        <v>1</v>
      </c>
      <c r="BA35" s="5">
        <f t="shared" si="31"/>
        <v>1</v>
      </c>
      <c r="BB35" s="8"/>
      <c r="BC35" s="8"/>
      <c r="BD35" s="8"/>
      <c r="BE35" s="8"/>
      <c r="BF35" s="8"/>
      <c r="BG35" s="8"/>
      <c r="BH35" s="8"/>
      <c r="BI35" s="8"/>
    </row>
    <row r="36" ht="12.75" customHeight="1">
      <c r="A36" s="4">
        <v>50.0</v>
      </c>
      <c r="B36" s="5" t="s">
        <v>141</v>
      </c>
      <c r="C36" s="5" t="s">
        <v>142</v>
      </c>
      <c r="D36" s="5" t="s">
        <v>143</v>
      </c>
      <c r="E36" s="5" t="s">
        <v>112</v>
      </c>
      <c r="F36" s="6">
        <v>44599.0</v>
      </c>
      <c r="G36" s="5" t="s">
        <v>23</v>
      </c>
      <c r="H36" s="6">
        <v>44599.0</v>
      </c>
      <c r="I36" s="5" t="s">
        <v>34</v>
      </c>
      <c r="J36" s="5" t="s">
        <v>35</v>
      </c>
      <c r="K36" s="5" t="s">
        <v>36</v>
      </c>
      <c r="L36" s="5" t="s">
        <v>84</v>
      </c>
      <c r="M36" s="5" t="s">
        <v>39</v>
      </c>
      <c r="N36" s="5" t="s">
        <v>85</v>
      </c>
      <c r="O36" s="5" t="s">
        <v>144</v>
      </c>
      <c r="P36" s="7" t="s">
        <v>38</v>
      </c>
      <c r="Q36" s="7" t="str">
        <f t="array" ref="Q36">IF($M36="Yes","Cost of Goods Sold:COGS- Travel Expenses:",IF($M36="No",XLOOKUP($P36,Key!$I:$I,Key!$J:$J),"Review Billable Status"))</f>
        <v>Cost of Goods Sold:COGS- Travel Expenses:</v>
      </c>
      <c r="R36" s="7" t="str">
        <f t="array" ref="R36">IF($M36="Yes","Cost of Goods Sold:COGS- Personnel Expense:",IF($M36="No",XLOOKUP($P36,Key!$I:$I,Key!$K:$K),"Review Billable Status"))</f>
        <v>Cost of Goods Sold:COGS- Personnel Expense:</v>
      </c>
      <c r="S36" s="10" t="str">
        <f t="array" ref="S36">IF($G36="Paid Intern","PD Intern",IF($G36="Contractor/Consultant","Contractor",XLOOKUP(M36&amp;P36,Key!$M:$M,Key!$L:$L)))</f>
        <v>COR</v>
      </c>
      <c r="T36" s="5">
        <f t="shared" ref="T36:BA36" si="32">IF(OR($F36&gt;T$12,AND($G36="Terminated",T$12&gt;=$H36)),0,1)</f>
        <v>1</v>
      </c>
      <c r="U36" s="5">
        <f t="shared" si="32"/>
        <v>1</v>
      </c>
      <c r="V36" s="5">
        <f t="shared" si="32"/>
        <v>1</v>
      </c>
      <c r="W36" s="5">
        <f t="shared" si="32"/>
        <v>1</v>
      </c>
      <c r="X36" s="5">
        <f t="shared" si="32"/>
        <v>1</v>
      </c>
      <c r="Y36" s="5">
        <f t="shared" si="32"/>
        <v>1</v>
      </c>
      <c r="Z36" s="5">
        <f t="shared" si="32"/>
        <v>1</v>
      </c>
      <c r="AA36" s="5">
        <f t="shared" si="32"/>
        <v>1</v>
      </c>
      <c r="AB36" s="5">
        <f t="shared" si="32"/>
        <v>1</v>
      </c>
      <c r="AC36" s="5">
        <f t="shared" si="32"/>
        <v>1</v>
      </c>
      <c r="AD36" s="5">
        <f t="shared" si="32"/>
        <v>1</v>
      </c>
      <c r="AE36" s="5">
        <f t="shared" si="32"/>
        <v>1</v>
      </c>
      <c r="AF36" s="5">
        <f t="shared" si="32"/>
        <v>1</v>
      </c>
      <c r="AG36" s="5">
        <f t="shared" si="32"/>
        <v>1</v>
      </c>
      <c r="AH36" s="5">
        <f t="shared" si="32"/>
        <v>1</v>
      </c>
      <c r="AI36" s="5">
        <f t="shared" si="32"/>
        <v>1</v>
      </c>
      <c r="AJ36" s="5">
        <f t="shared" si="32"/>
        <v>1</v>
      </c>
      <c r="AK36" s="5">
        <f t="shared" si="32"/>
        <v>1</v>
      </c>
      <c r="AL36" s="5">
        <f t="shared" si="32"/>
        <v>1</v>
      </c>
      <c r="AM36" s="5">
        <f t="shared" si="32"/>
        <v>1</v>
      </c>
      <c r="AN36" s="5">
        <f t="shared" si="32"/>
        <v>1</v>
      </c>
      <c r="AO36" s="5">
        <f t="shared" si="32"/>
        <v>1</v>
      </c>
      <c r="AP36" s="5">
        <f t="shared" si="32"/>
        <v>1</v>
      </c>
      <c r="AQ36" s="5">
        <f t="shared" si="32"/>
        <v>1</v>
      </c>
      <c r="AR36" s="5">
        <f t="shared" si="32"/>
        <v>1</v>
      </c>
      <c r="AS36" s="5">
        <f t="shared" si="32"/>
        <v>1</v>
      </c>
      <c r="AT36" s="5">
        <f t="shared" si="32"/>
        <v>1</v>
      </c>
      <c r="AU36" s="5">
        <f t="shared" si="32"/>
        <v>1</v>
      </c>
      <c r="AV36" s="5">
        <f t="shared" si="32"/>
        <v>1</v>
      </c>
      <c r="AW36" s="5">
        <f t="shared" si="32"/>
        <v>1</v>
      </c>
      <c r="AX36" s="5">
        <f t="shared" si="32"/>
        <v>1</v>
      </c>
      <c r="AY36" s="5">
        <f t="shared" si="32"/>
        <v>1</v>
      </c>
      <c r="AZ36" s="5">
        <f t="shared" si="32"/>
        <v>1</v>
      </c>
      <c r="BA36" s="5">
        <f t="shared" si="32"/>
        <v>1</v>
      </c>
      <c r="BB36" s="8"/>
      <c r="BC36" s="8"/>
      <c r="BD36" s="8"/>
      <c r="BE36" s="8"/>
      <c r="BF36" s="8"/>
      <c r="BG36" s="8"/>
      <c r="BH36" s="8"/>
      <c r="BI36" s="8"/>
    </row>
    <row r="37" ht="12.75" customHeight="1">
      <c r="A37" s="4">
        <v>58.0</v>
      </c>
      <c r="B37" s="5" t="s">
        <v>145</v>
      </c>
      <c r="C37" s="5" t="s">
        <v>146</v>
      </c>
      <c r="D37" s="5" t="s">
        <v>147</v>
      </c>
      <c r="E37" s="5" t="s">
        <v>22</v>
      </c>
      <c r="F37" s="6">
        <v>44641.0</v>
      </c>
      <c r="G37" s="5" t="s">
        <v>23</v>
      </c>
      <c r="H37" s="6">
        <v>44641.0</v>
      </c>
      <c r="I37" s="5" t="s">
        <v>64</v>
      </c>
      <c r="J37" s="5" t="s">
        <v>35</v>
      </c>
      <c r="K37" s="5" t="s">
        <v>36</v>
      </c>
      <c r="L37" s="5" t="s">
        <v>148</v>
      </c>
      <c r="M37" s="5" t="s">
        <v>39</v>
      </c>
      <c r="N37" s="5" t="s">
        <v>52</v>
      </c>
      <c r="O37" s="5" t="s">
        <v>149</v>
      </c>
      <c r="P37" s="7" t="s">
        <v>75</v>
      </c>
      <c r="Q37" s="7" t="str">
        <f t="array" ref="Q37">IF($M37="Yes","Cost of Goods Sold:COGS- Travel Expenses:",IF($M37="No",XLOOKUP($P37,Key!$I:$I,Key!$J:$J),"Review Billable Status"))</f>
        <v>Cost of Goods Sold:COGS- Travel Expenses:</v>
      </c>
      <c r="R37" s="7" t="str">
        <f t="array" ref="R37">IF($M37="Yes","Cost of Goods Sold:COGS- Personnel Expense:",IF($M37="No",XLOOKUP($P37,Key!$I:$I,Key!$K:$K),"Review Billable Status"))</f>
        <v>Cost of Goods Sold:COGS- Personnel Expense:</v>
      </c>
      <c r="S37" s="10" t="str">
        <f t="array" ref="S37">IF($G37="Paid Intern","PD Intern",IF($G37="Contractor/Consultant","Contractor",XLOOKUP(M37&amp;P37,Key!$M:$M,Key!$L:$L)))</f>
        <v>COR</v>
      </c>
      <c r="T37" s="5">
        <f t="shared" ref="T37:BA37" si="33">IF(OR($F37&gt;T$12,AND($G37="Terminated",T$12&gt;=$H37)),0,1)</f>
        <v>1</v>
      </c>
      <c r="U37" s="5">
        <f t="shared" si="33"/>
        <v>1</v>
      </c>
      <c r="V37" s="5">
        <f t="shared" si="33"/>
        <v>1</v>
      </c>
      <c r="W37" s="5">
        <f t="shared" si="33"/>
        <v>1</v>
      </c>
      <c r="X37" s="5">
        <f t="shared" si="33"/>
        <v>1</v>
      </c>
      <c r="Y37" s="5">
        <f t="shared" si="33"/>
        <v>1</v>
      </c>
      <c r="Z37" s="5">
        <f t="shared" si="33"/>
        <v>1</v>
      </c>
      <c r="AA37" s="5">
        <f t="shared" si="33"/>
        <v>1</v>
      </c>
      <c r="AB37" s="5">
        <f t="shared" si="33"/>
        <v>1</v>
      </c>
      <c r="AC37" s="5">
        <f t="shared" si="33"/>
        <v>1</v>
      </c>
      <c r="AD37" s="5">
        <f t="shared" si="33"/>
        <v>1</v>
      </c>
      <c r="AE37" s="5">
        <f t="shared" si="33"/>
        <v>1</v>
      </c>
      <c r="AF37" s="5">
        <f t="shared" si="33"/>
        <v>1</v>
      </c>
      <c r="AG37" s="5">
        <f t="shared" si="33"/>
        <v>1</v>
      </c>
      <c r="AH37" s="5">
        <f t="shared" si="33"/>
        <v>1</v>
      </c>
      <c r="AI37" s="5">
        <f t="shared" si="33"/>
        <v>1</v>
      </c>
      <c r="AJ37" s="5">
        <f t="shared" si="33"/>
        <v>1</v>
      </c>
      <c r="AK37" s="5">
        <f t="shared" si="33"/>
        <v>1</v>
      </c>
      <c r="AL37" s="5">
        <f t="shared" si="33"/>
        <v>1</v>
      </c>
      <c r="AM37" s="5">
        <f t="shared" si="33"/>
        <v>1</v>
      </c>
      <c r="AN37" s="5">
        <f t="shared" si="33"/>
        <v>1</v>
      </c>
      <c r="AO37" s="5">
        <f t="shared" si="33"/>
        <v>1</v>
      </c>
      <c r="AP37" s="5">
        <f t="shared" si="33"/>
        <v>1</v>
      </c>
      <c r="AQ37" s="5">
        <f t="shared" si="33"/>
        <v>1</v>
      </c>
      <c r="AR37" s="5">
        <f t="shared" si="33"/>
        <v>1</v>
      </c>
      <c r="AS37" s="5">
        <f t="shared" si="33"/>
        <v>1</v>
      </c>
      <c r="AT37" s="5">
        <f t="shared" si="33"/>
        <v>1</v>
      </c>
      <c r="AU37" s="5">
        <f t="shared" si="33"/>
        <v>1</v>
      </c>
      <c r="AV37" s="5">
        <f t="shared" si="33"/>
        <v>1</v>
      </c>
      <c r="AW37" s="5">
        <f t="shared" si="33"/>
        <v>1</v>
      </c>
      <c r="AX37" s="5">
        <f t="shared" si="33"/>
        <v>1</v>
      </c>
      <c r="AY37" s="5">
        <f t="shared" si="33"/>
        <v>1</v>
      </c>
      <c r="AZ37" s="5">
        <f t="shared" si="33"/>
        <v>1</v>
      </c>
      <c r="BA37" s="5">
        <f t="shared" si="33"/>
        <v>1</v>
      </c>
      <c r="BB37" s="8"/>
      <c r="BC37" s="8"/>
      <c r="BD37" s="8"/>
      <c r="BE37" s="8"/>
      <c r="BF37" s="8"/>
      <c r="BG37" s="8"/>
      <c r="BH37" s="8"/>
      <c r="BI37" s="8"/>
    </row>
    <row r="38" ht="12.75" customHeight="1">
      <c r="A38" s="4">
        <v>60.0</v>
      </c>
      <c r="B38" s="5" t="s">
        <v>150</v>
      </c>
      <c r="C38" s="5" t="s">
        <v>151</v>
      </c>
      <c r="D38" s="5" t="s">
        <v>152</v>
      </c>
      <c r="E38" s="5" t="s">
        <v>112</v>
      </c>
      <c r="F38" s="6">
        <v>44679.0</v>
      </c>
      <c r="G38" s="5" t="s">
        <v>23</v>
      </c>
      <c r="H38" s="6">
        <v>44679.0</v>
      </c>
      <c r="I38" s="5" t="s">
        <v>34</v>
      </c>
      <c r="J38" s="5" t="s">
        <v>35</v>
      </c>
      <c r="K38" s="5" t="s">
        <v>25</v>
      </c>
      <c r="L38" s="5" t="s">
        <v>153</v>
      </c>
      <c r="M38" s="5" t="s">
        <v>39</v>
      </c>
      <c r="N38" s="5" t="s">
        <v>85</v>
      </c>
      <c r="O38" s="5" t="s">
        <v>30</v>
      </c>
      <c r="P38" s="7" t="s">
        <v>38</v>
      </c>
      <c r="Q38" s="7" t="str">
        <f t="array" ref="Q38">IF($M38="Yes","Cost of Goods Sold:COGS- Travel Expenses:",IF($M38="No",XLOOKUP($P38,Key!$I:$I,Key!$J:$J),"Review Billable Status"))</f>
        <v>Cost of Goods Sold:COGS- Travel Expenses:</v>
      </c>
      <c r="R38" s="7" t="str">
        <f t="array" ref="R38">IF($M38="Yes","Cost of Goods Sold:COGS- Personnel Expense:",IF($M38="No",XLOOKUP($P38,Key!$I:$I,Key!$K:$K),"Review Billable Status"))</f>
        <v>Cost of Goods Sold:COGS- Personnel Expense:</v>
      </c>
      <c r="S38" s="10" t="str">
        <f t="array" ref="S38">IF($G38="Paid Intern","PD Intern",IF($G38="Contractor/Consultant","Contractor",XLOOKUP(M38&amp;P38,Key!$M:$M,Key!$L:$L)))</f>
        <v>COR</v>
      </c>
      <c r="T38" s="5">
        <f t="shared" ref="T38:BA38" si="34">IF(OR($F38&gt;T$12,AND($G38="Terminated",T$12&gt;=$H38)),0,1)</f>
        <v>1</v>
      </c>
      <c r="U38" s="5">
        <f t="shared" si="34"/>
        <v>1</v>
      </c>
      <c r="V38" s="5">
        <f t="shared" si="34"/>
        <v>1</v>
      </c>
      <c r="W38" s="5">
        <f t="shared" si="34"/>
        <v>1</v>
      </c>
      <c r="X38" s="5">
        <f t="shared" si="34"/>
        <v>1</v>
      </c>
      <c r="Y38" s="5">
        <f t="shared" si="34"/>
        <v>1</v>
      </c>
      <c r="Z38" s="5">
        <f t="shared" si="34"/>
        <v>1</v>
      </c>
      <c r="AA38" s="5">
        <f t="shared" si="34"/>
        <v>1</v>
      </c>
      <c r="AB38" s="5">
        <f t="shared" si="34"/>
        <v>1</v>
      </c>
      <c r="AC38" s="5">
        <f t="shared" si="34"/>
        <v>1</v>
      </c>
      <c r="AD38" s="5">
        <f t="shared" si="34"/>
        <v>1</v>
      </c>
      <c r="AE38" s="5">
        <f t="shared" si="34"/>
        <v>1</v>
      </c>
      <c r="AF38" s="5">
        <f t="shared" si="34"/>
        <v>1</v>
      </c>
      <c r="AG38" s="5">
        <f t="shared" si="34"/>
        <v>1</v>
      </c>
      <c r="AH38" s="5">
        <f t="shared" si="34"/>
        <v>1</v>
      </c>
      <c r="AI38" s="5">
        <f t="shared" si="34"/>
        <v>1</v>
      </c>
      <c r="AJ38" s="5">
        <f t="shared" si="34"/>
        <v>1</v>
      </c>
      <c r="AK38" s="5">
        <f t="shared" si="34"/>
        <v>1</v>
      </c>
      <c r="AL38" s="5">
        <f t="shared" si="34"/>
        <v>1</v>
      </c>
      <c r="AM38" s="5">
        <f t="shared" si="34"/>
        <v>1</v>
      </c>
      <c r="AN38" s="5">
        <f t="shared" si="34"/>
        <v>1</v>
      </c>
      <c r="AO38" s="5">
        <f t="shared" si="34"/>
        <v>1</v>
      </c>
      <c r="AP38" s="5">
        <f t="shared" si="34"/>
        <v>1</v>
      </c>
      <c r="AQ38" s="5">
        <f t="shared" si="34"/>
        <v>1</v>
      </c>
      <c r="AR38" s="5">
        <f t="shared" si="34"/>
        <v>1</v>
      </c>
      <c r="AS38" s="5">
        <f t="shared" si="34"/>
        <v>1</v>
      </c>
      <c r="AT38" s="5">
        <f t="shared" si="34"/>
        <v>1</v>
      </c>
      <c r="AU38" s="5">
        <f t="shared" si="34"/>
        <v>1</v>
      </c>
      <c r="AV38" s="5">
        <f t="shared" si="34"/>
        <v>1</v>
      </c>
      <c r="AW38" s="5">
        <f t="shared" si="34"/>
        <v>1</v>
      </c>
      <c r="AX38" s="5">
        <f t="shared" si="34"/>
        <v>1</v>
      </c>
      <c r="AY38" s="5">
        <f t="shared" si="34"/>
        <v>1</v>
      </c>
      <c r="AZ38" s="5">
        <f t="shared" si="34"/>
        <v>1</v>
      </c>
      <c r="BA38" s="5">
        <f t="shared" si="34"/>
        <v>1</v>
      </c>
      <c r="BB38" s="8"/>
      <c r="BC38" s="8"/>
      <c r="BD38" s="8"/>
      <c r="BE38" s="8"/>
      <c r="BF38" s="8"/>
      <c r="BG38" s="8"/>
      <c r="BH38" s="8"/>
      <c r="BI38" s="8"/>
    </row>
    <row r="39" ht="12.75" customHeight="1">
      <c r="A39" s="4">
        <v>65.0</v>
      </c>
      <c r="B39" s="5" t="s">
        <v>154</v>
      </c>
      <c r="C39" s="5" t="s">
        <v>155</v>
      </c>
      <c r="D39" s="5" t="s">
        <v>156</v>
      </c>
      <c r="E39" s="5" t="s">
        <v>22</v>
      </c>
      <c r="F39" s="6">
        <v>44733.0</v>
      </c>
      <c r="G39" s="5" t="s">
        <v>23</v>
      </c>
      <c r="H39" s="6">
        <v>44733.0</v>
      </c>
      <c r="I39" s="5" t="s">
        <v>34</v>
      </c>
      <c r="J39" s="5" t="s">
        <v>130</v>
      </c>
      <c r="K39" s="5" t="s">
        <v>36</v>
      </c>
      <c r="L39" s="5" t="s">
        <v>157</v>
      </c>
      <c r="M39" s="5" t="s">
        <v>39</v>
      </c>
      <c r="N39" s="5" t="s">
        <v>59</v>
      </c>
      <c r="O39" s="5" t="s">
        <v>158</v>
      </c>
      <c r="P39" s="7" t="s">
        <v>132</v>
      </c>
      <c r="Q39" s="7" t="str">
        <f t="array" ref="Q39">IF($M39="Yes","Cost of Goods Sold:COGS- Travel Expenses:",IF($M39="No",XLOOKUP($P39,Key!$I:$I,Key!$J:$J),"Review Billable Status"))</f>
        <v>Cost of Goods Sold:COGS- Travel Expenses:</v>
      </c>
      <c r="R39" s="7" t="str">
        <f t="array" ref="R39">IF($M39="Yes","Cost of Goods Sold:COGS- Personnel Expense:",IF($M39="No",XLOOKUP($P39,Key!$I:$I,Key!$K:$K),"Review Billable Status"))</f>
        <v>Cost of Goods Sold:COGS- Personnel Expense:</v>
      </c>
      <c r="S39" s="10" t="str">
        <f t="array" ref="S39">IF($G39="Paid Intern","PD Intern",IF($G39="Contractor/Consultant","Contractor",XLOOKUP(M39&amp;P39,Key!$M:$M,Key!$L:$L)))</f>
        <v>COR</v>
      </c>
      <c r="T39" s="5">
        <f t="shared" ref="T39:BA39" si="35">IF(OR($F39&gt;T$12,AND($G39="Terminated",T$12&gt;=$H39)),0,1)</f>
        <v>1</v>
      </c>
      <c r="U39" s="5">
        <f t="shared" si="35"/>
        <v>1</v>
      </c>
      <c r="V39" s="5">
        <f t="shared" si="35"/>
        <v>1</v>
      </c>
      <c r="W39" s="5">
        <f t="shared" si="35"/>
        <v>1</v>
      </c>
      <c r="X39" s="5">
        <f t="shared" si="35"/>
        <v>1</v>
      </c>
      <c r="Y39" s="5">
        <f t="shared" si="35"/>
        <v>1</v>
      </c>
      <c r="Z39" s="5">
        <f t="shared" si="35"/>
        <v>1</v>
      </c>
      <c r="AA39" s="5">
        <f t="shared" si="35"/>
        <v>1</v>
      </c>
      <c r="AB39" s="5">
        <f t="shared" si="35"/>
        <v>1</v>
      </c>
      <c r="AC39" s="5">
        <f t="shared" si="35"/>
        <v>1</v>
      </c>
      <c r="AD39" s="5">
        <f t="shared" si="35"/>
        <v>1</v>
      </c>
      <c r="AE39" s="5">
        <f t="shared" si="35"/>
        <v>1</v>
      </c>
      <c r="AF39" s="5">
        <f t="shared" si="35"/>
        <v>1</v>
      </c>
      <c r="AG39" s="5">
        <f t="shared" si="35"/>
        <v>1</v>
      </c>
      <c r="AH39" s="5">
        <f t="shared" si="35"/>
        <v>1</v>
      </c>
      <c r="AI39" s="5">
        <f t="shared" si="35"/>
        <v>1</v>
      </c>
      <c r="AJ39" s="5">
        <f t="shared" si="35"/>
        <v>1</v>
      </c>
      <c r="AK39" s="5">
        <f t="shared" si="35"/>
        <v>1</v>
      </c>
      <c r="AL39" s="5">
        <f t="shared" si="35"/>
        <v>1</v>
      </c>
      <c r="AM39" s="5">
        <f t="shared" si="35"/>
        <v>1</v>
      </c>
      <c r="AN39" s="5">
        <f t="shared" si="35"/>
        <v>1</v>
      </c>
      <c r="AO39" s="5">
        <f t="shared" si="35"/>
        <v>1</v>
      </c>
      <c r="AP39" s="5">
        <f t="shared" si="35"/>
        <v>1</v>
      </c>
      <c r="AQ39" s="5">
        <f t="shared" si="35"/>
        <v>1</v>
      </c>
      <c r="AR39" s="5">
        <f t="shared" si="35"/>
        <v>1</v>
      </c>
      <c r="AS39" s="5">
        <f t="shared" si="35"/>
        <v>1</v>
      </c>
      <c r="AT39" s="5">
        <f t="shared" si="35"/>
        <v>1</v>
      </c>
      <c r="AU39" s="5">
        <f t="shared" si="35"/>
        <v>1</v>
      </c>
      <c r="AV39" s="5">
        <f t="shared" si="35"/>
        <v>1</v>
      </c>
      <c r="AW39" s="5">
        <f t="shared" si="35"/>
        <v>1</v>
      </c>
      <c r="AX39" s="5">
        <f t="shared" si="35"/>
        <v>1</v>
      </c>
      <c r="AY39" s="5">
        <f t="shared" si="35"/>
        <v>1</v>
      </c>
      <c r="AZ39" s="5">
        <f t="shared" si="35"/>
        <v>1</v>
      </c>
      <c r="BA39" s="5">
        <f t="shared" si="35"/>
        <v>1</v>
      </c>
      <c r="BB39" s="8"/>
      <c r="BC39" s="8"/>
      <c r="BD39" s="8"/>
      <c r="BE39" s="8"/>
      <c r="BF39" s="8"/>
      <c r="BG39" s="8"/>
      <c r="BH39" s="8"/>
      <c r="BI39" s="8"/>
    </row>
    <row r="40" ht="12.75" customHeight="1">
      <c r="A40" s="4">
        <v>66.0</v>
      </c>
      <c r="B40" s="5" t="s">
        <v>159</v>
      </c>
      <c r="C40" s="5" t="s">
        <v>160</v>
      </c>
      <c r="D40" s="5" t="s">
        <v>161</v>
      </c>
      <c r="E40" s="5" t="s">
        <v>22</v>
      </c>
      <c r="F40" s="6">
        <v>44739.0</v>
      </c>
      <c r="G40" s="5" t="s">
        <v>23</v>
      </c>
      <c r="H40" s="6">
        <v>44739.0</v>
      </c>
      <c r="I40" s="5" t="s">
        <v>34</v>
      </c>
      <c r="J40" s="5" t="s">
        <v>35</v>
      </c>
      <c r="K40" s="5" t="s">
        <v>36</v>
      </c>
      <c r="L40" s="5" t="s">
        <v>51</v>
      </c>
      <c r="M40" s="5" t="s">
        <v>39</v>
      </c>
      <c r="N40" s="5" t="s">
        <v>52</v>
      </c>
      <c r="O40" s="5" t="s">
        <v>162</v>
      </c>
      <c r="P40" s="7" t="s">
        <v>38</v>
      </c>
      <c r="Q40" s="7" t="str">
        <f t="array" ref="Q40">IF($M40="Yes","Cost of Goods Sold:COGS- Travel Expenses:",IF($M40="No",XLOOKUP($P40,Key!$I:$I,Key!$J:$J),"Review Billable Status"))</f>
        <v>Cost of Goods Sold:COGS- Travel Expenses:</v>
      </c>
      <c r="R40" s="7" t="str">
        <f t="array" ref="R40">IF($M40="Yes","Cost of Goods Sold:COGS- Personnel Expense:",IF($M40="No",XLOOKUP($P40,Key!$I:$I,Key!$K:$K),"Review Billable Status"))</f>
        <v>Cost of Goods Sold:COGS- Personnel Expense:</v>
      </c>
      <c r="S40" s="10" t="str">
        <f t="array" ref="S40">IF($G40="Paid Intern","PD Intern",IF($G40="Contractor/Consultant","Contractor",XLOOKUP(M40&amp;P40,Key!$M:$M,Key!$L:$L)))</f>
        <v>COR</v>
      </c>
      <c r="T40" s="5">
        <f t="shared" ref="T40:BA40" si="36">IF(OR($F40&gt;T$12,AND($G40="Terminated",T$12&gt;=$H40)),0,1)</f>
        <v>1</v>
      </c>
      <c r="U40" s="5">
        <f t="shared" si="36"/>
        <v>1</v>
      </c>
      <c r="V40" s="5">
        <f t="shared" si="36"/>
        <v>1</v>
      </c>
      <c r="W40" s="5">
        <f t="shared" si="36"/>
        <v>1</v>
      </c>
      <c r="X40" s="5">
        <f t="shared" si="36"/>
        <v>1</v>
      </c>
      <c r="Y40" s="5">
        <f t="shared" si="36"/>
        <v>1</v>
      </c>
      <c r="Z40" s="5">
        <f t="shared" si="36"/>
        <v>1</v>
      </c>
      <c r="AA40" s="5">
        <f t="shared" si="36"/>
        <v>1</v>
      </c>
      <c r="AB40" s="5">
        <f t="shared" si="36"/>
        <v>1</v>
      </c>
      <c r="AC40" s="5">
        <f t="shared" si="36"/>
        <v>1</v>
      </c>
      <c r="AD40" s="5">
        <f t="shared" si="36"/>
        <v>1</v>
      </c>
      <c r="AE40" s="5">
        <f t="shared" si="36"/>
        <v>1</v>
      </c>
      <c r="AF40" s="5">
        <f t="shared" si="36"/>
        <v>1</v>
      </c>
      <c r="AG40" s="5">
        <f t="shared" si="36"/>
        <v>1</v>
      </c>
      <c r="AH40" s="5">
        <f t="shared" si="36"/>
        <v>1</v>
      </c>
      <c r="AI40" s="5">
        <f t="shared" si="36"/>
        <v>1</v>
      </c>
      <c r="AJ40" s="5">
        <f t="shared" si="36"/>
        <v>1</v>
      </c>
      <c r="AK40" s="5">
        <f t="shared" si="36"/>
        <v>1</v>
      </c>
      <c r="AL40" s="5">
        <f t="shared" si="36"/>
        <v>1</v>
      </c>
      <c r="AM40" s="5">
        <f t="shared" si="36"/>
        <v>1</v>
      </c>
      <c r="AN40" s="5">
        <f t="shared" si="36"/>
        <v>1</v>
      </c>
      <c r="AO40" s="5">
        <f t="shared" si="36"/>
        <v>1</v>
      </c>
      <c r="AP40" s="5">
        <f t="shared" si="36"/>
        <v>1</v>
      </c>
      <c r="AQ40" s="5">
        <f t="shared" si="36"/>
        <v>1</v>
      </c>
      <c r="AR40" s="5">
        <f t="shared" si="36"/>
        <v>1</v>
      </c>
      <c r="AS40" s="5">
        <f t="shared" si="36"/>
        <v>1</v>
      </c>
      <c r="AT40" s="5">
        <f t="shared" si="36"/>
        <v>1</v>
      </c>
      <c r="AU40" s="5">
        <f t="shared" si="36"/>
        <v>1</v>
      </c>
      <c r="AV40" s="5">
        <f t="shared" si="36"/>
        <v>1</v>
      </c>
      <c r="AW40" s="5">
        <f t="shared" si="36"/>
        <v>1</v>
      </c>
      <c r="AX40" s="5">
        <f t="shared" si="36"/>
        <v>1</v>
      </c>
      <c r="AY40" s="5">
        <f t="shared" si="36"/>
        <v>1</v>
      </c>
      <c r="AZ40" s="5">
        <f t="shared" si="36"/>
        <v>1</v>
      </c>
      <c r="BA40" s="5">
        <f t="shared" si="36"/>
        <v>1</v>
      </c>
      <c r="BB40" s="8"/>
      <c r="BC40" s="8"/>
      <c r="BD40" s="8"/>
      <c r="BE40" s="8"/>
      <c r="BF40" s="8"/>
      <c r="BG40" s="8"/>
      <c r="BH40" s="8"/>
      <c r="BI40" s="8"/>
    </row>
    <row r="41" ht="12.75" customHeight="1">
      <c r="A41" s="4">
        <v>67.0</v>
      </c>
      <c r="B41" s="5" t="s">
        <v>97</v>
      </c>
      <c r="C41" s="5" t="s">
        <v>163</v>
      </c>
      <c r="D41" s="5" t="s">
        <v>164</v>
      </c>
      <c r="E41" s="5" t="s">
        <v>22</v>
      </c>
      <c r="F41" s="6">
        <v>44732.0</v>
      </c>
      <c r="G41" s="5" t="s">
        <v>23</v>
      </c>
      <c r="H41" s="6">
        <v>44732.0</v>
      </c>
      <c r="I41" s="5" t="s">
        <v>34</v>
      </c>
      <c r="J41" s="5" t="s">
        <v>45</v>
      </c>
      <c r="K41" s="5" t="s">
        <v>36</v>
      </c>
      <c r="L41" s="5" t="s">
        <v>165</v>
      </c>
      <c r="M41" s="5" t="s">
        <v>28</v>
      </c>
      <c r="N41" s="5" t="s">
        <v>59</v>
      </c>
      <c r="O41" s="5" t="s">
        <v>166</v>
      </c>
      <c r="P41" s="7" t="s">
        <v>47</v>
      </c>
      <c r="Q41" s="7" t="str">
        <f t="array" ref="Q41">IF($M41="Yes","Cost of Goods Sold:COGS- Travel Expenses:",IF($M41="No",XLOOKUP($P41,Key!$I:$I,Key!$J:$J),"Review Billable Status"))</f>
        <v>Sales &amp; Marketing:Sales &amp; Marketing- Travel Expenses:</v>
      </c>
      <c r="R41" s="7" t="str">
        <f t="array" ref="R41">IF($M41="Yes","Cost of Goods Sold:COGS- Personnel Expense:",IF($M41="No",XLOOKUP($P41,Key!$I:$I,Key!$K:$K),"Review Billable Status"))</f>
        <v>Sales &amp; Marketing:Sales &amp; Marketing- Personnel Expenses:</v>
      </c>
      <c r="S41" s="10" t="str">
        <f t="array" ref="S41">IF($G41="Paid Intern","PD Intern",IF($G41="Contractor/Consultant","Contractor",XLOOKUP(M41&amp;P41,Key!$M:$M,Key!$L:$L)))</f>
        <v>S&amp;M</v>
      </c>
      <c r="T41" s="5">
        <f t="shared" ref="T41:BA41" si="37">IF(OR($F41&gt;T$12,AND($G41="Terminated",T$12&gt;=$H41)),0,1)</f>
        <v>1</v>
      </c>
      <c r="U41" s="5">
        <f t="shared" si="37"/>
        <v>1</v>
      </c>
      <c r="V41" s="5">
        <f t="shared" si="37"/>
        <v>1</v>
      </c>
      <c r="W41" s="5">
        <f t="shared" si="37"/>
        <v>1</v>
      </c>
      <c r="X41" s="5">
        <f t="shared" si="37"/>
        <v>1</v>
      </c>
      <c r="Y41" s="5">
        <f t="shared" si="37"/>
        <v>1</v>
      </c>
      <c r="Z41" s="5">
        <f t="shared" si="37"/>
        <v>1</v>
      </c>
      <c r="AA41" s="5">
        <f t="shared" si="37"/>
        <v>1</v>
      </c>
      <c r="AB41" s="5">
        <f t="shared" si="37"/>
        <v>1</v>
      </c>
      <c r="AC41" s="5">
        <f t="shared" si="37"/>
        <v>1</v>
      </c>
      <c r="AD41" s="5">
        <f t="shared" si="37"/>
        <v>1</v>
      </c>
      <c r="AE41" s="5">
        <f t="shared" si="37"/>
        <v>1</v>
      </c>
      <c r="AF41" s="5">
        <f t="shared" si="37"/>
        <v>1</v>
      </c>
      <c r="AG41" s="5">
        <f t="shared" si="37"/>
        <v>1</v>
      </c>
      <c r="AH41" s="5">
        <f t="shared" si="37"/>
        <v>1</v>
      </c>
      <c r="AI41" s="5">
        <f t="shared" si="37"/>
        <v>1</v>
      </c>
      <c r="AJ41" s="5">
        <f t="shared" si="37"/>
        <v>1</v>
      </c>
      <c r="AK41" s="5">
        <f t="shared" si="37"/>
        <v>1</v>
      </c>
      <c r="AL41" s="5">
        <f t="shared" si="37"/>
        <v>1</v>
      </c>
      <c r="AM41" s="5">
        <f t="shared" si="37"/>
        <v>1</v>
      </c>
      <c r="AN41" s="5">
        <f t="shared" si="37"/>
        <v>1</v>
      </c>
      <c r="AO41" s="5">
        <f t="shared" si="37"/>
        <v>1</v>
      </c>
      <c r="AP41" s="5">
        <f t="shared" si="37"/>
        <v>1</v>
      </c>
      <c r="AQ41" s="5">
        <f t="shared" si="37"/>
        <v>1</v>
      </c>
      <c r="AR41" s="5">
        <f t="shared" si="37"/>
        <v>1</v>
      </c>
      <c r="AS41" s="5">
        <f t="shared" si="37"/>
        <v>1</v>
      </c>
      <c r="AT41" s="5">
        <f t="shared" si="37"/>
        <v>1</v>
      </c>
      <c r="AU41" s="5">
        <f t="shared" si="37"/>
        <v>1</v>
      </c>
      <c r="AV41" s="5">
        <f t="shared" si="37"/>
        <v>1</v>
      </c>
      <c r="AW41" s="5">
        <f t="shared" si="37"/>
        <v>1</v>
      </c>
      <c r="AX41" s="5">
        <f t="shared" si="37"/>
        <v>1</v>
      </c>
      <c r="AY41" s="5">
        <f t="shared" si="37"/>
        <v>1</v>
      </c>
      <c r="AZ41" s="5">
        <f t="shared" si="37"/>
        <v>1</v>
      </c>
      <c r="BA41" s="5">
        <f t="shared" si="37"/>
        <v>1</v>
      </c>
      <c r="BB41" s="8"/>
      <c r="BC41" s="8"/>
      <c r="BD41" s="8"/>
      <c r="BE41" s="8"/>
      <c r="BF41" s="8"/>
      <c r="BG41" s="8"/>
      <c r="BH41" s="8"/>
      <c r="BI41" s="8"/>
    </row>
    <row r="42" ht="12.75" customHeight="1">
      <c r="A42" s="4">
        <v>69.0</v>
      </c>
      <c r="B42" s="5" t="s">
        <v>167</v>
      </c>
      <c r="C42" s="5" t="s">
        <v>168</v>
      </c>
      <c r="D42" s="5" t="s">
        <v>169</v>
      </c>
      <c r="E42" s="5" t="s">
        <v>112</v>
      </c>
      <c r="F42" s="6">
        <v>44753.0</v>
      </c>
      <c r="G42" s="5" t="s">
        <v>23</v>
      </c>
      <c r="H42" s="6">
        <v>44753.0</v>
      </c>
      <c r="I42" s="5" t="s">
        <v>24</v>
      </c>
      <c r="J42" s="5" t="s">
        <v>170</v>
      </c>
      <c r="K42" s="5" t="s">
        <v>25</v>
      </c>
      <c r="L42" s="5" t="s">
        <v>171</v>
      </c>
      <c r="M42" s="5" t="s">
        <v>28</v>
      </c>
      <c r="N42" s="5" t="s">
        <v>52</v>
      </c>
      <c r="O42" s="5" t="s">
        <v>30</v>
      </c>
      <c r="P42" s="7" t="s">
        <v>27</v>
      </c>
      <c r="Q42" s="7" t="str">
        <f t="array" ref="Q42">IF($M42="Yes","Cost of Goods Sold:COGS- Travel Expenses:",IF($M42="No",XLOOKUP($P42,Key!$I:$I,Key!$J:$J),"Review Billable Status"))</f>
        <v>General &amp; Administrative:G&amp;A- Travel Expenses:</v>
      </c>
      <c r="R42" s="7" t="str">
        <f t="array" ref="R42">IF($M42="Yes","Cost of Goods Sold:COGS- Personnel Expense:",IF($M42="No",XLOOKUP($P42,Key!$I:$I,Key!$K:$K),"Review Billable Status"))</f>
        <v>General &amp; Administrative:G&amp;A- Personnel Expenses:</v>
      </c>
      <c r="S42" s="10" t="str">
        <f t="array" ref="S42">IF($G42="Paid Intern","PD Intern",IF($G42="Contractor/Consultant","Contractor",XLOOKUP(M42&amp;P42,Key!$M:$M,Key!$L:$L)))</f>
        <v>G&amp;A</v>
      </c>
      <c r="T42" s="5">
        <f t="shared" ref="T42:BA42" si="38">IF(OR($F42&gt;T$12,AND($G42="Terminated",T$12&gt;=$H42)),0,1)</f>
        <v>1</v>
      </c>
      <c r="U42" s="5">
        <f t="shared" si="38"/>
        <v>1</v>
      </c>
      <c r="V42" s="5">
        <f t="shared" si="38"/>
        <v>1</v>
      </c>
      <c r="W42" s="5">
        <f t="shared" si="38"/>
        <v>1</v>
      </c>
      <c r="X42" s="5">
        <f t="shared" si="38"/>
        <v>1</v>
      </c>
      <c r="Y42" s="5">
        <f t="shared" si="38"/>
        <v>1</v>
      </c>
      <c r="Z42" s="5">
        <f t="shared" si="38"/>
        <v>1</v>
      </c>
      <c r="AA42" s="5">
        <f t="shared" si="38"/>
        <v>1</v>
      </c>
      <c r="AB42" s="5">
        <f t="shared" si="38"/>
        <v>1</v>
      </c>
      <c r="AC42" s="5">
        <f t="shared" si="38"/>
        <v>1</v>
      </c>
      <c r="AD42" s="5">
        <f t="shared" si="38"/>
        <v>1</v>
      </c>
      <c r="AE42" s="5">
        <f t="shared" si="38"/>
        <v>1</v>
      </c>
      <c r="AF42" s="5">
        <f t="shared" si="38"/>
        <v>1</v>
      </c>
      <c r="AG42" s="5">
        <f t="shared" si="38"/>
        <v>1</v>
      </c>
      <c r="AH42" s="5">
        <f t="shared" si="38"/>
        <v>1</v>
      </c>
      <c r="AI42" s="5">
        <f t="shared" si="38"/>
        <v>1</v>
      </c>
      <c r="AJ42" s="5">
        <f t="shared" si="38"/>
        <v>1</v>
      </c>
      <c r="AK42" s="5">
        <f t="shared" si="38"/>
        <v>1</v>
      </c>
      <c r="AL42" s="5">
        <f t="shared" si="38"/>
        <v>1</v>
      </c>
      <c r="AM42" s="5">
        <f t="shared" si="38"/>
        <v>1</v>
      </c>
      <c r="AN42" s="5">
        <f t="shared" si="38"/>
        <v>1</v>
      </c>
      <c r="AO42" s="5">
        <f t="shared" si="38"/>
        <v>1</v>
      </c>
      <c r="AP42" s="5">
        <f t="shared" si="38"/>
        <v>1</v>
      </c>
      <c r="AQ42" s="5">
        <f t="shared" si="38"/>
        <v>1</v>
      </c>
      <c r="AR42" s="5">
        <f t="shared" si="38"/>
        <v>1</v>
      </c>
      <c r="AS42" s="5">
        <f t="shared" si="38"/>
        <v>1</v>
      </c>
      <c r="AT42" s="5">
        <f t="shared" si="38"/>
        <v>1</v>
      </c>
      <c r="AU42" s="5">
        <f t="shared" si="38"/>
        <v>1</v>
      </c>
      <c r="AV42" s="5">
        <f t="shared" si="38"/>
        <v>1</v>
      </c>
      <c r="AW42" s="5">
        <f t="shared" si="38"/>
        <v>1</v>
      </c>
      <c r="AX42" s="5">
        <f t="shared" si="38"/>
        <v>1</v>
      </c>
      <c r="AY42" s="5">
        <f t="shared" si="38"/>
        <v>1</v>
      </c>
      <c r="AZ42" s="5">
        <f t="shared" si="38"/>
        <v>1</v>
      </c>
      <c r="BA42" s="5">
        <f t="shared" si="38"/>
        <v>1</v>
      </c>
      <c r="BB42" s="8"/>
      <c r="BC42" s="8"/>
      <c r="BD42" s="8"/>
      <c r="BE42" s="8"/>
      <c r="BF42" s="8"/>
      <c r="BG42" s="8"/>
      <c r="BH42" s="8"/>
      <c r="BI42" s="8"/>
    </row>
    <row r="43" ht="12.75" customHeight="1">
      <c r="A43" s="4">
        <v>70.0</v>
      </c>
      <c r="B43" s="5" t="s">
        <v>159</v>
      </c>
      <c r="C43" s="5" t="s">
        <v>172</v>
      </c>
      <c r="D43" s="5" t="s">
        <v>173</v>
      </c>
      <c r="E43" s="5" t="s">
        <v>22</v>
      </c>
      <c r="F43" s="6">
        <v>44767.0</v>
      </c>
      <c r="G43" s="5" t="s">
        <v>23</v>
      </c>
      <c r="H43" s="6">
        <v>44767.0</v>
      </c>
      <c r="I43" s="5" t="s">
        <v>64</v>
      </c>
      <c r="J43" s="5" t="s">
        <v>130</v>
      </c>
      <c r="K43" s="5" t="s">
        <v>25</v>
      </c>
      <c r="L43" s="5" t="s">
        <v>174</v>
      </c>
      <c r="M43" s="5" t="s">
        <v>39</v>
      </c>
      <c r="N43" s="5" t="s">
        <v>59</v>
      </c>
      <c r="O43" s="5" t="s">
        <v>30</v>
      </c>
      <c r="P43" s="7" t="s">
        <v>175</v>
      </c>
      <c r="Q43" s="7" t="str">
        <f t="array" ref="Q43">IF($M43="Yes","Cost of Goods Sold:COGS- Travel Expenses:",IF($M43="No",XLOOKUP($P43,Key!$I:$I,Key!$J:$J),"Review Billable Status"))</f>
        <v>Cost of Goods Sold:COGS- Travel Expenses:</v>
      </c>
      <c r="R43" s="7" t="str">
        <f t="array" ref="R43">IF($M43="Yes","Cost of Goods Sold:COGS- Personnel Expense:",IF($M43="No",XLOOKUP($P43,Key!$I:$I,Key!$K:$K),"Review Billable Status"))</f>
        <v>Cost of Goods Sold:COGS- Personnel Expense:</v>
      </c>
      <c r="S43" s="10" t="str">
        <f t="array" ref="S43">IF($G43="Paid Intern","PD Intern",IF($G43="Contractor/Consultant","Contractor",XLOOKUP(M43&amp;P43,Key!$M:$M,Key!$L:$L)))</f>
        <v>COR</v>
      </c>
      <c r="T43" s="5">
        <f t="shared" ref="T43:BA43" si="39">IF(OR($F43&gt;T$12,AND($G43="Terminated",T$12&gt;=$H43)),0,1)</f>
        <v>1</v>
      </c>
      <c r="U43" s="5">
        <f t="shared" si="39"/>
        <v>1</v>
      </c>
      <c r="V43" s="5">
        <f t="shared" si="39"/>
        <v>1</v>
      </c>
      <c r="W43" s="5">
        <f t="shared" si="39"/>
        <v>1</v>
      </c>
      <c r="X43" s="5">
        <f t="shared" si="39"/>
        <v>1</v>
      </c>
      <c r="Y43" s="5">
        <f t="shared" si="39"/>
        <v>1</v>
      </c>
      <c r="Z43" s="5">
        <f t="shared" si="39"/>
        <v>1</v>
      </c>
      <c r="AA43" s="5">
        <f t="shared" si="39"/>
        <v>1</v>
      </c>
      <c r="AB43" s="5">
        <f t="shared" si="39"/>
        <v>1</v>
      </c>
      <c r="AC43" s="5">
        <f t="shared" si="39"/>
        <v>1</v>
      </c>
      <c r="AD43" s="5">
        <f t="shared" si="39"/>
        <v>1</v>
      </c>
      <c r="AE43" s="5">
        <f t="shared" si="39"/>
        <v>1</v>
      </c>
      <c r="AF43" s="5">
        <f t="shared" si="39"/>
        <v>1</v>
      </c>
      <c r="AG43" s="5">
        <f t="shared" si="39"/>
        <v>1</v>
      </c>
      <c r="AH43" s="5">
        <f t="shared" si="39"/>
        <v>1</v>
      </c>
      <c r="AI43" s="5">
        <f t="shared" si="39"/>
        <v>1</v>
      </c>
      <c r="AJ43" s="5">
        <f t="shared" si="39"/>
        <v>1</v>
      </c>
      <c r="AK43" s="5">
        <f t="shared" si="39"/>
        <v>1</v>
      </c>
      <c r="AL43" s="5">
        <f t="shared" si="39"/>
        <v>1</v>
      </c>
      <c r="AM43" s="5">
        <f t="shared" si="39"/>
        <v>1</v>
      </c>
      <c r="AN43" s="5">
        <f t="shared" si="39"/>
        <v>1</v>
      </c>
      <c r="AO43" s="5">
        <f t="shared" si="39"/>
        <v>1</v>
      </c>
      <c r="AP43" s="5">
        <f t="shared" si="39"/>
        <v>1</v>
      </c>
      <c r="AQ43" s="5">
        <f t="shared" si="39"/>
        <v>1</v>
      </c>
      <c r="AR43" s="5">
        <f t="shared" si="39"/>
        <v>1</v>
      </c>
      <c r="AS43" s="5">
        <f t="shared" si="39"/>
        <v>1</v>
      </c>
      <c r="AT43" s="5">
        <f t="shared" si="39"/>
        <v>1</v>
      </c>
      <c r="AU43" s="5">
        <f t="shared" si="39"/>
        <v>1</v>
      </c>
      <c r="AV43" s="5">
        <f t="shared" si="39"/>
        <v>1</v>
      </c>
      <c r="AW43" s="5">
        <f t="shared" si="39"/>
        <v>1</v>
      </c>
      <c r="AX43" s="5">
        <f t="shared" si="39"/>
        <v>1</v>
      </c>
      <c r="AY43" s="5">
        <f t="shared" si="39"/>
        <v>1</v>
      </c>
      <c r="AZ43" s="5">
        <f t="shared" si="39"/>
        <v>1</v>
      </c>
      <c r="BA43" s="5">
        <f t="shared" si="39"/>
        <v>1</v>
      </c>
      <c r="BB43" s="8"/>
      <c r="BC43" s="8"/>
      <c r="BD43" s="8"/>
      <c r="BE43" s="8"/>
      <c r="BF43" s="8"/>
      <c r="BG43" s="8"/>
      <c r="BH43" s="8"/>
      <c r="BI43" s="8"/>
    </row>
    <row r="44" ht="12.75" customHeight="1">
      <c r="A44" s="4">
        <v>71.0</v>
      </c>
      <c r="B44" s="5" t="s">
        <v>176</v>
      </c>
      <c r="C44" s="5" t="s">
        <v>177</v>
      </c>
      <c r="D44" s="5" t="s">
        <v>178</v>
      </c>
      <c r="E44" s="5" t="s">
        <v>22</v>
      </c>
      <c r="F44" s="6">
        <v>44772.0</v>
      </c>
      <c r="G44" s="5" t="s">
        <v>23</v>
      </c>
      <c r="H44" s="6">
        <v>44772.0</v>
      </c>
      <c r="I44" s="5" t="s">
        <v>34</v>
      </c>
      <c r="J44" s="5" t="s">
        <v>35</v>
      </c>
      <c r="K44" s="5" t="s">
        <v>107</v>
      </c>
      <c r="L44" s="5" t="s">
        <v>179</v>
      </c>
      <c r="M44" s="5" t="s">
        <v>39</v>
      </c>
      <c r="N44" s="5" t="s">
        <v>59</v>
      </c>
      <c r="O44" s="5" t="s">
        <v>180</v>
      </c>
      <c r="P44" s="7" t="s">
        <v>38</v>
      </c>
      <c r="Q44" s="7" t="str">
        <f t="array" ref="Q44">IF($M44="Yes","Cost of Goods Sold:COGS- Travel Expenses:",IF($M44="No",XLOOKUP($P44,Key!$I:$I,Key!$J:$J),"Review Billable Status"))</f>
        <v>Cost of Goods Sold:COGS- Travel Expenses:</v>
      </c>
      <c r="R44" s="7" t="str">
        <f t="array" ref="R44">IF($M44="Yes","Cost of Goods Sold:COGS- Personnel Expense:",IF($M44="No",XLOOKUP($P44,Key!$I:$I,Key!$K:$K),"Review Billable Status"))</f>
        <v>Cost of Goods Sold:COGS- Personnel Expense:</v>
      </c>
      <c r="S44" s="10" t="str">
        <f t="array" ref="S44">IF($G44="Paid Intern","PD Intern",IF($G44="Contractor/Consultant","Contractor",XLOOKUP(M44&amp;P44,Key!$M:$M,Key!$L:$L)))</f>
        <v>COR</v>
      </c>
      <c r="T44" s="5">
        <f t="shared" ref="T44:BA44" si="40">IF(OR($F44&gt;T$12,AND($G44="Terminated",T$12&gt;=$H44)),0,1)</f>
        <v>1</v>
      </c>
      <c r="U44" s="5">
        <f t="shared" si="40"/>
        <v>1</v>
      </c>
      <c r="V44" s="5">
        <f t="shared" si="40"/>
        <v>1</v>
      </c>
      <c r="W44" s="5">
        <f t="shared" si="40"/>
        <v>1</v>
      </c>
      <c r="X44" s="5">
        <f t="shared" si="40"/>
        <v>1</v>
      </c>
      <c r="Y44" s="5">
        <f t="shared" si="40"/>
        <v>1</v>
      </c>
      <c r="Z44" s="5">
        <f t="shared" si="40"/>
        <v>1</v>
      </c>
      <c r="AA44" s="5">
        <f t="shared" si="40"/>
        <v>1</v>
      </c>
      <c r="AB44" s="5">
        <f t="shared" si="40"/>
        <v>1</v>
      </c>
      <c r="AC44" s="5">
        <f t="shared" si="40"/>
        <v>1</v>
      </c>
      <c r="AD44" s="5">
        <f t="shared" si="40"/>
        <v>1</v>
      </c>
      <c r="AE44" s="5">
        <f t="shared" si="40"/>
        <v>1</v>
      </c>
      <c r="AF44" s="5">
        <f t="shared" si="40"/>
        <v>1</v>
      </c>
      <c r="AG44" s="5">
        <f t="shared" si="40"/>
        <v>1</v>
      </c>
      <c r="AH44" s="5">
        <f t="shared" si="40"/>
        <v>1</v>
      </c>
      <c r="AI44" s="5">
        <f t="shared" si="40"/>
        <v>1</v>
      </c>
      <c r="AJ44" s="5">
        <f t="shared" si="40"/>
        <v>1</v>
      </c>
      <c r="AK44" s="5">
        <f t="shared" si="40"/>
        <v>1</v>
      </c>
      <c r="AL44" s="5">
        <f t="shared" si="40"/>
        <v>1</v>
      </c>
      <c r="AM44" s="5">
        <f t="shared" si="40"/>
        <v>1</v>
      </c>
      <c r="AN44" s="5">
        <f t="shared" si="40"/>
        <v>1</v>
      </c>
      <c r="AO44" s="5">
        <f t="shared" si="40"/>
        <v>1</v>
      </c>
      <c r="AP44" s="5">
        <f t="shared" si="40"/>
        <v>1</v>
      </c>
      <c r="AQ44" s="5">
        <f t="shared" si="40"/>
        <v>1</v>
      </c>
      <c r="AR44" s="5">
        <f t="shared" si="40"/>
        <v>1</v>
      </c>
      <c r="AS44" s="5">
        <f t="shared" si="40"/>
        <v>1</v>
      </c>
      <c r="AT44" s="5">
        <f t="shared" si="40"/>
        <v>1</v>
      </c>
      <c r="AU44" s="5">
        <f t="shared" si="40"/>
        <v>1</v>
      </c>
      <c r="AV44" s="5">
        <f t="shared" si="40"/>
        <v>1</v>
      </c>
      <c r="AW44" s="5">
        <f t="shared" si="40"/>
        <v>1</v>
      </c>
      <c r="AX44" s="5">
        <f t="shared" si="40"/>
        <v>1</v>
      </c>
      <c r="AY44" s="5">
        <f t="shared" si="40"/>
        <v>1</v>
      </c>
      <c r="AZ44" s="5">
        <f t="shared" si="40"/>
        <v>1</v>
      </c>
      <c r="BA44" s="5">
        <f t="shared" si="40"/>
        <v>1</v>
      </c>
      <c r="BB44" s="8"/>
      <c r="BC44" s="8"/>
      <c r="BD44" s="8"/>
      <c r="BE44" s="8"/>
      <c r="BF44" s="8"/>
      <c r="BG44" s="8"/>
      <c r="BH44" s="8"/>
      <c r="BI44" s="8"/>
    </row>
    <row r="45" ht="12.75" customHeight="1">
      <c r="A45" s="4">
        <v>74.0</v>
      </c>
      <c r="B45" s="5" t="s">
        <v>181</v>
      </c>
      <c r="C45" s="5" t="s">
        <v>182</v>
      </c>
      <c r="D45" s="5" t="s">
        <v>183</v>
      </c>
      <c r="E45" s="5" t="s">
        <v>22</v>
      </c>
      <c r="F45" s="6">
        <v>44795.0</v>
      </c>
      <c r="G45" s="5" t="s">
        <v>23</v>
      </c>
      <c r="H45" s="6">
        <v>44795.0</v>
      </c>
      <c r="I45" s="5" t="s">
        <v>34</v>
      </c>
      <c r="J45" s="5" t="s">
        <v>35</v>
      </c>
      <c r="K45" s="5" t="s">
        <v>36</v>
      </c>
      <c r="L45" s="5" t="s">
        <v>51</v>
      </c>
      <c r="M45" s="5" t="s">
        <v>39</v>
      </c>
      <c r="N45" s="5" t="s">
        <v>52</v>
      </c>
      <c r="O45" s="5" t="s">
        <v>184</v>
      </c>
      <c r="P45" s="7" t="s">
        <v>38</v>
      </c>
      <c r="Q45" s="7" t="str">
        <f t="array" ref="Q45">IF($M45="Yes","Cost of Goods Sold:COGS- Travel Expenses:",IF($M45="No",XLOOKUP($P45,Key!$I:$I,Key!$J:$J),"Review Billable Status"))</f>
        <v>Cost of Goods Sold:COGS- Travel Expenses:</v>
      </c>
      <c r="R45" s="7" t="str">
        <f t="array" ref="R45">IF($M45="Yes","Cost of Goods Sold:COGS- Personnel Expense:",IF($M45="No",XLOOKUP($P45,Key!$I:$I,Key!$K:$K),"Review Billable Status"))</f>
        <v>Cost of Goods Sold:COGS- Personnel Expense:</v>
      </c>
      <c r="S45" s="10" t="str">
        <f t="array" ref="S45">IF($G45="Paid Intern","PD Intern",IF($G45="Contractor/Consultant","Contractor",XLOOKUP(M45&amp;P45,Key!$M:$M,Key!$L:$L)))</f>
        <v>COR</v>
      </c>
      <c r="T45" s="5">
        <f t="shared" ref="T45:BA45" si="41">IF(OR($F45&gt;T$12,AND($G45="Terminated",T$12&gt;=$H45)),0,1)</f>
        <v>1</v>
      </c>
      <c r="U45" s="5">
        <f t="shared" si="41"/>
        <v>1</v>
      </c>
      <c r="V45" s="5">
        <f t="shared" si="41"/>
        <v>1</v>
      </c>
      <c r="W45" s="5">
        <f t="shared" si="41"/>
        <v>1</v>
      </c>
      <c r="X45" s="5">
        <f t="shared" si="41"/>
        <v>1</v>
      </c>
      <c r="Y45" s="5">
        <f t="shared" si="41"/>
        <v>1</v>
      </c>
      <c r="Z45" s="5">
        <f t="shared" si="41"/>
        <v>1</v>
      </c>
      <c r="AA45" s="5">
        <f t="shared" si="41"/>
        <v>1</v>
      </c>
      <c r="AB45" s="5">
        <f t="shared" si="41"/>
        <v>1</v>
      </c>
      <c r="AC45" s="5">
        <f t="shared" si="41"/>
        <v>1</v>
      </c>
      <c r="AD45" s="5">
        <f t="shared" si="41"/>
        <v>1</v>
      </c>
      <c r="AE45" s="5">
        <f t="shared" si="41"/>
        <v>1</v>
      </c>
      <c r="AF45" s="5">
        <f t="shared" si="41"/>
        <v>1</v>
      </c>
      <c r="AG45" s="5">
        <f t="shared" si="41"/>
        <v>1</v>
      </c>
      <c r="AH45" s="5">
        <f t="shared" si="41"/>
        <v>1</v>
      </c>
      <c r="AI45" s="5">
        <f t="shared" si="41"/>
        <v>1</v>
      </c>
      <c r="AJ45" s="5">
        <f t="shared" si="41"/>
        <v>1</v>
      </c>
      <c r="AK45" s="5">
        <f t="shared" si="41"/>
        <v>1</v>
      </c>
      <c r="AL45" s="5">
        <f t="shared" si="41"/>
        <v>1</v>
      </c>
      <c r="AM45" s="5">
        <f t="shared" si="41"/>
        <v>1</v>
      </c>
      <c r="AN45" s="5">
        <f t="shared" si="41"/>
        <v>1</v>
      </c>
      <c r="AO45" s="5">
        <f t="shared" si="41"/>
        <v>1</v>
      </c>
      <c r="AP45" s="5">
        <f t="shared" si="41"/>
        <v>1</v>
      </c>
      <c r="AQ45" s="5">
        <f t="shared" si="41"/>
        <v>1</v>
      </c>
      <c r="AR45" s="5">
        <f t="shared" si="41"/>
        <v>1</v>
      </c>
      <c r="AS45" s="5">
        <f t="shared" si="41"/>
        <v>1</v>
      </c>
      <c r="AT45" s="5">
        <f t="shared" si="41"/>
        <v>1</v>
      </c>
      <c r="AU45" s="5">
        <f t="shared" si="41"/>
        <v>1</v>
      </c>
      <c r="AV45" s="5">
        <f t="shared" si="41"/>
        <v>1</v>
      </c>
      <c r="AW45" s="5">
        <f t="shared" si="41"/>
        <v>1</v>
      </c>
      <c r="AX45" s="5">
        <f t="shared" si="41"/>
        <v>1</v>
      </c>
      <c r="AY45" s="5">
        <f t="shared" si="41"/>
        <v>1</v>
      </c>
      <c r="AZ45" s="5">
        <f t="shared" si="41"/>
        <v>1</v>
      </c>
      <c r="BA45" s="5">
        <f t="shared" si="41"/>
        <v>1</v>
      </c>
      <c r="BB45" s="8"/>
      <c r="BC45" s="8"/>
      <c r="BD45" s="8"/>
      <c r="BE45" s="8"/>
      <c r="BF45" s="8"/>
      <c r="BG45" s="8"/>
      <c r="BH45" s="8"/>
      <c r="BI45" s="8"/>
    </row>
    <row r="46" ht="12.75" customHeight="1">
      <c r="A46" s="4">
        <v>77.0</v>
      </c>
      <c r="B46" s="5" t="s">
        <v>185</v>
      </c>
      <c r="C46" s="5" t="s">
        <v>186</v>
      </c>
      <c r="D46" s="5" t="s">
        <v>187</v>
      </c>
      <c r="E46" s="5" t="s">
        <v>112</v>
      </c>
      <c r="F46" s="6">
        <v>44810.0</v>
      </c>
      <c r="G46" s="5" t="s">
        <v>23</v>
      </c>
      <c r="H46" s="6">
        <v>44810.0</v>
      </c>
      <c r="I46" s="5" t="s">
        <v>34</v>
      </c>
      <c r="J46" s="5" t="s">
        <v>45</v>
      </c>
      <c r="K46" s="5" t="s">
        <v>36</v>
      </c>
      <c r="L46" s="5" t="s">
        <v>188</v>
      </c>
      <c r="M46" s="5" t="s">
        <v>28</v>
      </c>
      <c r="N46" s="5" t="s">
        <v>85</v>
      </c>
      <c r="O46" s="5" t="s">
        <v>76</v>
      </c>
      <c r="P46" s="7" t="s">
        <v>47</v>
      </c>
      <c r="Q46" s="7" t="str">
        <f t="array" ref="Q46">IF($M46="Yes","Cost of Goods Sold:COGS- Travel Expenses:",IF($M46="No",XLOOKUP($P46,Key!$I:$I,Key!$J:$J),"Review Billable Status"))</f>
        <v>Sales &amp; Marketing:Sales &amp; Marketing- Travel Expenses:</v>
      </c>
      <c r="R46" s="7" t="str">
        <f t="array" ref="R46">IF($M46="Yes","Cost of Goods Sold:COGS- Personnel Expense:",IF($M46="No",XLOOKUP($P46,Key!$I:$I,Key!$K:$K),"Review Billable Status"))</f>
        <v>Sales &amp; Marketing:Sales &amp; Marketing- Personnel Expenses:</v>
      </c>
      <c r="S46" s="10" t="str">
        <f t="array" ref="S46">IF($G46="Paid Intern","PD Intern",IF($G46="Contractor/Consultant","Contractor",XLOOKUP(M46&amp;P46,Key!$M:$M,Key!$L:$L)))</f>
        <v>S&amp;M</v>
      </c>
      <c r="T46" s="5">
        <f t="shared" ref="T46:BA46" si="42">IF(OR($F46&gt;T$12,AND($G46="Terminated",T$12&gt;=$H46)),0,1)</f>
        <v>1</v>
      </c>
      <c r="U46" s="5">
        <f t="shared" si="42"/>
        <v>1</v>
      </c>
      <c r="V46" s="5">
        <f t="shared" si="42"/>
        <v>1</v>
      </c>
      <c r="W46" s="5">
        <f t="shared" si="42"/>
        <v>1</v>
      </c>
      <c r="X46" s="5">
        <f t="shared" si="42"/>
        <v>1</v>
      </c>
      <c r="Y46" s="5">
        <f t="shared" si="42"/>
        <v>1</v>
      </c>
      <c r="Z46" s="5">
        <f t="shared" si="42"/>
        <v>1</v>
      </c>
      <c r="AA46" s="5">
        <f t="shared" si="42"/>
        <v>1</v>
      </c>
      <c r="AB46" s="5">
        <f t="shared" si="42"/>
        <v>1</v>
      </c>
      <c r="AC46" s="5">
        <f t="shared" si="42"/>
        <v>1</v>
      </c>
      <c r="AD46" s="5">
        <f t="shared" si="42"/>
        <v>1</v>
      </c>
      <c r="AE46" s="5">
        <f t="shared" si="42"/>
        <v>1</v>
      </c>
      <c r="AF46" s="5">
        <f t="shared" si="42"/>
        <v>1</v>
      </c>
      <c r="AG46" s="5">
        <f t="shared" si="42"/>
        <v>1</v>
      </c>
      <c r="AH46" s="5">
        <f t="shared" si="42"/>
        <v>1</v>
      </c>
      <c r="AI46" s="5">
        <f t="shared" si="42"/>
        <v>1</v>
      </c>
      <c r="AJ46" s="5">
        <f t="shared" si="42"/>
        <v>1</v>
      </c>
      <c r="AK46" s="5">
        <f t="shared" si="42"/>
        <v>1</v>
      </c>
      <c r="AL46" s="5">
        <f t="shared" si="42"/>
        <v>1</v>
      </c>
      <c r="AM46" s="5">
        <f t="shared" si="42"/>
        <v>1</v>
      </c>
      <c r="AN46" s="5">
        <f t="shared" si="42"/>
        <v>1</v>
      </c>
      <c r="AO46" s="5">
        <f t="shared" si="42"/>
        <v>1</v>
      </c>
      <c r="AP46" s="5">
        <f t="shared" si="42"/>
        <v>1</v>
      </c>
      <c r="AQ46" s="5">
        <f t="shared" si="42"/>
        <v>1</v>
      </c>
      <c r="AR46" s="5">
        <f t="shared" si="42"/>
        <v>1</v>
      </c>
      <c r="AS46" s="5">
        <f t="shared" si="42"/>
        <v>1</v>
      </c>
      <c r="AT46" s="5">
        <f t="shared" si="42"/>
        <v>1</v>
      </c>
      <c r="AU46" s="5">
        <f t="shared" si="42"/>
        <v>1</v>
      </c>
      <c r="AV46" s="5">
        <f t="shared" si="42"/>
        <v>1</v>
      </c>
      <c r="AW46" s="5">
        <f t="shared" si="42"/>
        <v>1</v>
      </c>
      <c r="AX46" s="5">
        <f t="shared" si="42"/>
        <v>1</v>
      </c>
      <c r="AY46" s="5">
        <f t="shared" si="42"/>
        <v>1</v>
      </c>
      <c r="AZ46" s="5">
        <f t="shared" si="42"/>
        <v>1</v>
      </c>
      <c r="BA46" s="5">
        <f t="shared" si="42"/>
        <v>1</v>
      </c>
      <c r="BB46" s="8"/>
      <c r="BC46" s="8"/>
      <c r="BD46" s="8"/>
      <c r="BE46" s="8"/>
      <c r="BF46" s="8"/>
      <c r="BG46" s="8"/>
      <c r="BH46" s="8"/>
      <c r="BI46" s="8"/>
    </row>
    <row r="47" ht="12.75" customHeight="1">
      <c r="A47" s="4">
        <v>79.0</v>
      </c>
      <c r="B47" s="5" t="s">
        <v>189</v>
      </c>
      <c r="C47" s="5" t="s">
        <v>190</v>
      </c>
      <c r="D47" s="5" t="s">
        <v>191</v>
      </c>
      <c r="E47" s="5" t="s">
        <v>22</v>
      </c>
      <c r="F47" s="6">
        <v>44810.0</v>
      </c>
      <c r="G47" s="5" t="s">
        <v>23</v>
      </c>
      <c r="H47" s="6">
        <v>44810.0</v>
      </c>
      <c r="I47" s="5" t="s">
        <v>24</v>
      </c>
      <c r="J47" s="5" t="s">
        <v>45</v>
      </c>
      <c r="K47" s="5" t="s">
        <v>36</v>
      </c>
      <c r="L47" s="5" t="s">
        <v>192</v>
      </c>
      <c r="M47" s="5" t="s">
        <v>28</v>
      </c>
      <c r="N47" s="5" t="s">
        <v>85</v>
      </c>
      <c r="O47" s="5" t="s">
        <v>60</v>
      </c>
      <c r="P47" s="7" t="s">
        <v>66</v>
      </c>
      <c r="Q47" s="7" t="str">
        <f t="array" ref="Q47">IF($M47="Yes","Cost of Goods Sold:COGS- Travel Expenses:",IF($M47="No",XLOOKUP($P47,Key!$I:$I,Key!$J:$J),"Review Billable Status"))</f>
        <v>Sales &amp; Marketing:Sales &amp; Marketing- Travel Expenses:</v>
      </c>
      <c r="R47" s="7" t="str">
        <f t="array" ref="R47">IF($M47="Yes","Cost of Goods Sold:COGS- Personnel Expense:",IF($M47="No",XLOOKUP($P47,Key!$I:$I,Key!$K:$K),"Review Billable Status"))</f>
        <v>Sales &amp; Marketing:Sales &amp; Marketing- Personnel Expenses:</v>
      </c>
      <c r="S47" s="10" t="str">
        <f t="array" ref="S47">IF($G47="Paid Intern","PD Intern",IF($G47="Contractor/Consultant","Contractor",XLOOKUP(M47&amp;P47,Key!$M:$M,Key!$L:$L)))</f>
        <v>S&amp;M</v>
      </c>
      <c r="T47" s="5">
        <f t="shared" ref="T47:BA47" si="43">IF(OR($F47&gt;T$12,AND($G47="Terminated",T$12&gt;=$H47)),0,1)</f>
        <v>1</v>
      </c>
      <c r="U47" s="5">
        <f t="shared" si="43"/>
        <v>1</v>
      </c>
      <c r="V47" s="5">
        <f t="shared" si="43"/>
        <v>1</v>
      </c>
      <c r="W47" s="5">
        <f t="shared" si="43"/>
        <v>1</v>
      </c>
      <c r="X47" s="5">
        <f t="shared" si="43"/>
        <v>1</v>
      </c>
      <c r="Y47" s="5">
        <f t="shared" si="43"/>
        <v>1</v>
      </c>
      <c r="Z47" s="5">
        <f t="shared" si="43"/>
        <v>1</v>
      </c>
      <c r="AA47" s="5">
        <f t="shared" si="43"/>
        <v>1</v>
      </c>
      <c r="AB47" s="5">
        <f t="shared" si="43"/>
        <v>1</v>
      </c>
      <c r="AC47" s="5">
        <f t="shared" si="43"/>
        <v>1</v>
      </c>
      <c r="AD47" s="5">
        <f t="shared" si="43"/>
        <v>1</v>
      </c>
      <c r="AE47" s="5">
        <f t="shared" si="43"/>
        <v>1</v>
      </c>
      <c r="AF47" s="5">
        <f t="shared" si="43"/>
        <v>1</v>
      </c>
      <c r="AG47" s="5">
        <f t="shared" si="43"/>
        <v>1</v>
      </c>
      <c r="AH47" s="5">
        <f t="shared" si="43"/>
        <v>1</v>
      </c>
      <c r="AI47" s="5">
        <f t="shared" si="43"/>
        <v>1</v>
      </c>
      <c r="AJ47" s="5">
        <f t="shared" si="43"/>
        <v>1</v>
      </c>
      <c r="AK47" s="5">
        <f t="shared" si="43"/>
        <v>1</v>
      </c>
      <c r="AL47" s="5">
        <f t="shared" si="43"/>
        <v>1</v>
      </c>
      <c r="AM47" s="5">
        <f t="shared" si="43"/>
        <v>1</v>
      </c>
      <c r="AN47" s="5">
        <f t="shared" si="43"/>
        <v>1</v>
      </c>
      <c r="AO47" s="5">
        <f t="shared" si="43"/>
        <v>1</v>
      </c>
      <c r="AP47" s="5">
        <f t="shared" si="43"/>
        <v>1</v>
      </c>
      <c r="AQ47" s="5">
        <f t="shared" si="43"/>
        <v>1</v>
      </c>
      <c r="AR47" s="5">
        <f t="shared" si="43"/>
        <v>1</v>
      </c>
      <c r="AS47" s="5">
        <f t="shared" si="43"/>
        <v>1</v>
      </c>
      <c r="AT47" s="5">
        <f t="shared" si="43"/>
        <v>1</v>
      </c>
      <c r="AU47" s="5">
        <f t="shared" si="43"/>
        <v>1</v>
      </c>
      <c r="AV47" s="5">
        <f t="shared" si="43"/>
        <v>1</v>
      </c>
      <c r="AW47" s="5">
        <f t="shared" si="43"/>
        <v>1</v>
      </c>
      <c r="AX47" s="5">
        <f t="shared" si="43"/>
        <v>1</v>
      </c>
      <c r="AY47" s="5">
        <f t="shared" si="43"/>
        <v>1</v>
      </c>
      <c r="AZ47" s="5">
        <f t="shared" si="43"/>
        <v>1</v>
      </c>
      <c r="BA47" s="5">
        <f t="shared" si="43"/>
        <v>1</v>
      </c>
      <c r="BB47" s="8"/>
      <c r="BC47" s="8"/>
      <c r="BD47" s="8"/>
      <c r="BE47" s="8"/>
      <c r="BF47" s="8"/>
      <c r="BG47" s="8"/>
      <c r="BH47" s="8"/>
      <c r="BI47" s="8"/>
    </row>
    <row r="48" ht="12.75" customHeight="1">
      <c r="A48" s="4">
        <v>83.0</v>
      </c>
      <c r="B48" s="5" t="s">
        <v>193</v>
      </c>
      <c r="C48" s="5" t="s">
        <v>194</v>
      </c>
      <c r="D48" s="5" t="s">
        <v>195</v>
      </c>
      <c r="E48" s="5" t="s">
        <v>22</v>
      </c>
      <c r="F48" s="6">
        <v>44851.0</v>
      </c>
      <c r="G48" s="5" t="s">
        <v>23</v>
      </c>
      <c r="H48" s="6">
        <v>44851.0</v>
      </c>
      <c r="I48" s="5" t="s">
        <v>34</v>
      </c>
      <c r="J48" s="5" t="s">
        <v>35</v>
      </c>
      <c r="K48" s="5" t="s">
        <v>36</v>
      </c>
      <c r="L48" s="5" t="s">
        <v>179</v>
      </c>
      <c r="M48" s="5" t="s">
        <v>39</v>
      </c>
      <c r="N48" s="5" t="s">
        <v>59</v>
      </c>
      <c r="O48" s="5" t="s">
        <v>158</v>
      </c>
      <c r="P48" s="7" t="s">
        <v>38</v>
      </c>
      <c r="Q48" s="7" t="str">
        <f t="array" ref="Q48">IF($M48="Yes","Cost of Goods Sold:COGS- Travel Expenses:",IF($M48="No",XLOOKUP($P48,Key!$I:$I,Key!$J:$J),"Review Billable Status"))</f>
        <v>Cost of Goods Sold:COGS- Travel Expenses:</v>
      </c>
      <c r="R48" s="7" t="str">
        <f t="array" ref="R48">IF($M48="Yes","Cost of Goods Sold:COGS- Personnel Expense:",IF($M48="No",XLOOKUP($P48,Key!$I:$I,Key!$K:$K),"Review Billable Status"))</f>
        <v>Cost of Goods Sold:COGS- Personnel Expense:</v>
      </c>
      <c r="S48" s="10" t="str">
        <f t="array" ref="S48">IF($G48="Paid Intern","PD Intern",IF($G48="Contractor/Consultant","Contractor",XLOOKUP(M48&amp;P48,Key!$M:$M,Key!$L:$L)))</f>
        <v>COR</v>
      </c>
      <c r="T48" s="5">
        <f t="shared" ref="T48:BA48" si="44">IF(OR($F48&gt;T$12,AND($G48="Terminated",T$12&gt;=$H48)),0,1)</f>
        <v>1</v>
      </c>
      <c r="U48" s="5">
        <f t="shared" si="44"/>
        <v>1</v>
      </c>
      <c r="V48" s="5">
        <f t="shared" si="44"/>
        <v>1</v>
      </c>
      <c r="W48" s="5">
        <f t="shared" si="44"/>
        <v>1</v>
      </c>
      <c r="X48" s="5">
        <f t="shared" si="44"/>
        <v>1</v>
      </c>
      <c r="Y48" s="5">
        <f t="shared" si="44"/>
        <v>1</v>
      </c>
      <c r="Z48" s="5">
        <f t="shared" si="44"/>
        <v>1</v>
      </c>
      <c r="AA48" s="5">
        <f t="shared" si="44"/>
        <v>1</v>
      </c>
      <c r="AB48" s="5">
        <f t="shared" si="44"/>
        <v>1</v>
      </c>
      <c r="AC48" s="5">
        <f t="shared" si="44"/>
        <v>1</v>
      </c>
      <c r="AD48" s="5">
        <f t="shared" si="44"/>
        <v>1</v>
      </c>
      <c r="AE48" s="5">
        <f t="shared" si="44"/>
        <v>1</v>
      </c>
      <c r="AF48" s="5">
        <f t="shared" si="44"/>
        <v>1</v>
      </c>
      <c r="AG48" s="5">
        <f t="shared" si="44"/>
        <v>1</v>
      </c>
      <c r="AH48" s="5">
        <f t="shared" si="44"/>
        <v>1</v>
      </c>
      <c r="AI48" s="5">
        <f t="shared" si="44"/>
        <v>1</v>
      </c>
      <c r="AJ48" s="5">
        <f t="shared" si="44"/>
        <v>1</v>
      </c>
      <c r="AK48" s="5">
        <f t="shared" si="44"/>
        <v>1</v>
      </c>
      <c r="AL48" s="5">
        <f t="shared" si="44"/>
        <v>1</v>
      </c>
      <c r="AM48" s="5">
        <f t="shared" si="44"/>
        <v>1</v>
      </c>
      <c r="AN48" s="5">
        <f t="shared" si="44"/>
        <v>1</v>
      </c>
      <c r="AO48" s="5">
        <f t="shared" si="44"/>
        <v>1</v>
      </c>
      <c r="AP48" s="5">
        <f t="shared" si="44"/>
        <v>1</v>
      </c>
      <c r="AQ48" s="5">
        <f t="shared" si="44"/>
        <v>1</v>
      </c>
      <c r="AR48" s="5">
        <f t="shared" si="44"/>
        <v>1</v>
      </c>
      <c r="AS48" s="5">
        <f t="shared" si="44"/>
        <v>1</v>
      </c>
      <c r="AT48" s="5">
        <f t="shared" si="44"/>
        <v>1</v>
      </c>
      <c r="AU48" s="5">
        <f t="shared" si="44"/>
        <v>1</v>
      </c>
      <c r="AV48" s="5">
        <f t="shared" si="44"/>
        <v>1</v>
      </c>
      <c r="AW48" s="5">
        <f t="shared" si="44"/>
        <v>1</v>
      </c>
      <c r="AX48" s="5">
        <f t="shared" si="44"/>
        <v>1</v>
      </c>
      <c r="AY48" s="5">
        <f t="shared" si="44"/>
        <v>1</v>
      </c>
      <c r="AZ48" s="5">
        <f t="shared" si="44"/>
        <v>1</v>
      </c>
      <c r="BA48" s="5">
        <f t="shared" si="44"/>
        <v>1</v>
      </c>
      <c r="BB48" s="8"/>
      <c r="BC48" s="8"/>
      <c r="BD48" s="8"/>
      <c r="BE48" s="8"/>
      <c r="BF48" s="8"/>
      <c r="BG48" s="8"/>
      <c r="BH48" s="8"/>
      <c r="BI48" s="8"/>
    </row>
    <row r="49" ht="12.75" customHeight="1">
      <c r="A49" s="4">
        <v>84.0</v>
      </c>
      <c r="B49" s="5" t="s">
        <v>196</v>
      </c>
      <c r="C49" s="5" t="s">
        <v>197</v>
      </c>
      <c r="D49" s="5" t="s">
        <v>198</v>
      </c>
      <c r="E49" s="5" t="s">
        <v>22</v>
      </c>
      <c r="F49" s="6">
        <v>44872.0</v>
      </c>
      <c r="G49" s="5" t="s">
        <v>23</v>
      </c>
      <c r="H49" s="6">
        <v>44872.0</v>
      </c>
      <c r="I49" s="5" t="s">
        <v>24</v>
      </c>
      <c r="J49" s="5" t="s">
        <v>57</v>
      </c>
      <c r="K49" s="5" t="s">
        <v>25</v>
      </c>
      <c r="L49" s="5" t="s">
        <v>26</v>
      </c>
      <c r="M49" s="5" t="s">
        <v>28</v>
      </c>
      <c r="N49" s="5" t="s">
        <v>200</v>
      </c>
      <c r="O49" s="5" t="s">
        <v>30</v>
      </c>
      <c r="P49" s="7" t="s">
        <v>199</v>
      </c>
      <c r="Q49" s="7" t="str">
        <f t="array" ref="Q49">IF($M49="Yes","Cost of Goods Sold:COGS- Travel Expenses:",IF($M49="No",XLOOKUP($P49,Key!$I:$I,Key!$J:$J),"Review Billable Status"))</f>
        <v>General &amp; Administrative:G&amp;A- Travel Expenses:</v>
      </c>
      <c r="R49" s="7" t="str">
        <f t="array" ref="R49">IF($M49="Yes","Cost of Goods Sold:COGS- Personnel Expense:",IF($M49="No",XLOOKUP($P49,Key!$I:$I,Key!$K:$K),"Review Billable Status"))</f>
        <v>General &amp; Administrative:G&amp;A- Personnel Expenses:</v>
      </c>
      <c r="S49" s="10" t="str">
        <f t="array" ref="S49">IF($G49="Paid Intern","PD Intern",IF($G49="Contractor/Consultant","Contractor",XLOOKUP(M49&amp;P49,Key!$M:$M,Key!$L:$L)))</f>
        <v>G&amp;A</v>
      </c>
      <c r="T49" s="5">
        <f t="shared" ref="T49:BA49" si="45">IF(OR($F49&gt;T$12,AND($G49="Terminated",T$12&gt;=$H49)),0,1)</f>
        <v>1</v>
      </c>
      <c r="U49" s="5">
        <f t="shared" si="45"/>
        <v>1</v>
      </c>
      <c r="V49" s="5">
        <f t="shared" si="45"/>
        <v>1</v>
      </c>
      <c r="W49" s="5">
        <f t="shared" si="45"/>
        <v>1</v>
      </c>
      <c r="X49" s="5">
        <f t="shared" si="45"/>
        <v>1</v>
      </c>
      <c r="Y49" s="5">
        <f t="shared" si="45"/>
        <v>1</v>
      </c>
      <c r="Z49" s="5">
        <f t="shared" si="45"/>
        <v>1</v>
      </c>
      <c r="AA49" s="5">
        <f t="shared" si="45"/>
        <v>1</v>
      </c>
      <c r="AB49" s="5">
        <f t="shared" si="45"/>
        <v>1</v>
      </c>
      <c r="AC49" s="5">
        <f t="shared" si="45"/>
        <v>1</v>
      </c>
      <c r="AD49" s="5">
        <f t="shared" si="45"/>
        <v>1</v>
      </c>
      <c r="AE49" s="5">
        <f t="shared" si="45"/>
        <v>1</v>
      </c>
      <c r="AF49" s="5">
        <f t="shared" si="45"/>
        <v>1</v>
      </c>
      <c r="AG49" s="5">
        <f t="shared" si="45"/>
        <v>1</v>
      </c>
      <c r="AH49" s="5">
        <f t="shared" si="45"/>
        <v>1</v>
      </c>
      <c r="AI49" s="5">
        <f t="shared" si="45"/>
        <v>1</v>
      </c>
      <c r="AJ49" s="5">
        <f t="shared" si="45"/>
        <v>1</v>
      </c>
      <c r="AK49" s="5">
        <f t="shared" si="45"/>
        <v>1</v>
      </c>
      <c r="AL49" s="5">
        <f t="shared" si="45"/>
        <v>1</v>
      </c>
      <c r="AM49" s="5">
        <f t="shared" si="45"/>
        <v>1</v>
      </c>
      <c r="AN49" s="5">
        <f t="shared" si="45"/>
        <v>1</v>
      </c>
      <c r="AO49" s="5">
        <f t="shared" si="45"/>
        <v>1</v>
      </c>
      <c r="AP49" s="5">
        <f t="shared" si="45"/>
        <v>1</v>
      </c>
      <c r="AQ49" s="5">
        <f t="shared" si="45"/>
        <v>1</v>
      </c>
      <c r="AR49" s="5">
        <f t="shared" si="45"/>
        <v>1</v>
      </c>
      <c r="AS49" s="5">
        <f t="shared" si="45"/>
        <v>1</v>
      </c>
      <c r="AT49" s="5">
        <f t="shared" si="45"/>
        <v>1</v>
      </c>
      <c r="AU49" s="5">
        <f t="shared" si="45"/>
        <v>1</v>
      </c>
      <c r="AV49" s="5">
        <f t="shared" si="45"/>
        <v>1</v>
      </c>
      <c r="AW49" s="5">
        <f t="shared" si="45"/>
        <v>1</v>
      </c>
      <c r="AX49" s="5">
        <f t="shared" si="45"/>
        <v>1</v>
      </c>
      <c r="AY49" s="5">
        <f t="shared" si="45"/>
        <v>1</v>
      </c>
      <c r="AZ49" s="5">
        <f t="shared" si="45"/>
        <v>1</v>
      </c>
      <c r="BA49" s="5">
        <f t="shared" si="45"/>
        <v>1</v>
      </c>
      <c r="BB49" s="8"/>
      <c r="BC49" s="8"/>
      <c r="BD49" s="8"/>
      <c r="BE49" s="8"/>
      <c r="BF49" s="8"/>
      <c r="BG49" s="8"/>
      <c r="BH49" s="8"/>
      <c r="BI49" s="8"/>
    </row>
    <row r="50" ht="12.75" customHeight="1">
      <c r="A50" s="4">
        <v>85.0</v>
      </c>
      <c r="B50" s="5" t="s">
        <v>201</v>
      </c>
      <c r="C50" s="5" t="s">
        <v>202</v>
      </c>
      <c r="D50" s="5" t="s">
        <v>203</v>
      </c>
      <c r="E50" s="5" t="s">
        <v>112</v>
      </c>
      <c r="F50" s="6">
        <v>44872.0</v>
      </c>
      <c r="G50" s="5" t="s">
        <v>23</v>
      </c>
      <c r="H50" s="6">
        <v>44872.0</v>
      </c>
      <c r="I50" s="5" t="s">
        <v>34</v>
      </c>
      <c r="J50" s="5" t="s">
        <v>130</v>
      </c>
      <c r="K50" s="5" t="s">
        <v>36</v>
      </c>
      <c r="L50" s="5" t="s">
        <v>204</v>
      </c>
      <c r="M50" s="5" t="s">
        <v>39</v>
      </c>
      <c r="N50" s="5" t="s">
        <v>59</v>
      </c>
      <c r="O50" s="5" t="s">
        <v>205</v>
      </c>
      <c r="P50" s="7" t="s">
        <v>132</v>
      </c>
      <c r="Q50" s="7" t="str">
        <f t="array" ref="Q50">IF($M50="Yes","Cost of Goods Sold:COGS- Travel Expenses:",IF($M50="No",XLOOKUP($P50,Key!$I:$I,Key!$J:$J),"Review Billable Status"))</f>
        <v>Cost of Goods Sold:COGS- Travel Expenses:</v>
      </c>
      <c r="R50" s="7" t="str">
        <f t="array" ref="R50">IF($M50="Yes","Cost of Goods Sold:COGS- Personnel Expense:",IF($M50="No",XLOOKUP($P50,Key!$I:$I,Key!$K:$K),"Review Billable Status"))</f>
        <v>Cost of Goods Sold:COGS- Personnel Expense:</v>
      </c>
      <c r="S50" s="10" t="str">
        <f t="array" ref="S50">IF($G50="Paid Intern","PD Intern",IF($G50="Contractor/Consultant","Contractor",XLOOKUP(M50&amp;P50,Key!$M:$M,Key!$L:$L)))</f>
        <v>COR</v>
      </c>
      <c r="T50" s="5">
        <f t="shared" ref="T50:BA50" si="46">IF(OR($F50&gt;T$12,AND($G50="Terminated",T$12&gt;=$H50)),0,1)</f>
        <v>1</v>
      </c>
      <c r="U50" s="5">
        <f t="shared" si="46"/>
        <v>1</v>
      </c>
      <c r="V50" s="5">
        <f t="shared" si="46"/>
        <v>1</v>
      </c>
      <c r="W50" s="5">
        <f t="shared" si="46"/>
        <v>1</v>
      </c>
      <c r="X50" s="5">
        <f t="shared" si="46"/>
        <v>1</v>
      </c>
      <c r="Y50" s="5">
        <f t="shared" si="46"/>
        <v>1</v>
      </c>
      <c r="Z50" s="5">
        <f t="shared" si="46"/>
        <v>1</v>
      </c>
      <c r="AA50" s="5">
        <f t="shared" si="46"/>
        <v>1</v>
      </c>
      <c r="AB50" s="5">
        <f t="shared" si="46"/>
        <v>1</v>
      </c>
      <c r="AC50" s="5">
        <f t="shared" si="46"/>
        <v>1</v>
      </c>
      <c r="AD50" s="5">
        <f t="shared" si="46"/>
        <v>1</v>
      </c>
      <c r="AE50" s="5">
        <f t="shared" si="46"/>
        <v>1</v>
      </c>
      <c r="AF50" s="5">
        <f t="shared" si="46"/>
        <v>1</v>
      </c>
      <c r="AG50" s="5">
        <f t="shared" si="46"/>
        <v>1</v>
      </c>
      <c r="AH50" s="5">
        <f t="shared" si="46"/>
        <v>1</v>
      </c>
      <c r="AI50" s="5">
        <f t="shared" si="46"/>
        <v>1</v>
      </c>
      <c r="AJ50" s="5">
        <f t="shared" si="46"/>
        <v>1</v>
      </c>
      <c r="AK50" s="5">
        <f t="shared" si="46"/>
        <v>1</v>
      </c>
      <c r="AL50" s="5">
        <f t="shared" si="46"/>
        <v>1</v>
      </c>
      <c r="AM50" s="5">
        <f t="shared" si="46"/>
        <v>1</v>
      </c>
      <c r="AN50" s="5">
        <f t="shared" si="46"/>
        <v>1</v>
      </c>
      <c r="AO50" s="5">
        <f t="shared" si="46"/>
        <v>1</v>
      </c>
      <c r="AP50" s="5">
        <f t="shared" si="46"/>
        <v>1</v>
      </c>
      <c r="AQ50" s="5">
        <f t="shared" si="46"/>
        <v>1</v>
      </c>
      <c r="AR50" s="5">
        <f t="shared" si="46"/>
        <v>1</v>
      </c>
      <c r="AS50" s="5">
        <f t="shared" si="46"/>
        <v>1</v>
      </c>
      <c r="AT50" s="5">
        <f t="shared" si="46"/>
        <v>1</v>
      </c>
      <c r="AU50" s="5">
        <f t="shared" si="46"/>
        <v>1</v>
      </c>
      <c r="AV50" s="5">
        <f t="shared" si="46"/>
        <v>1</v>
      </c>
      <c r="AW50" s="5">
        <f t="shared" si="46"/>
        <v>1</v>
      </c>
      <c r="AX50" s="5">
        <f t="shared" si="46"/>
        <v>1</v>
      </c>
      <c r="AY50" s="5">
        <f t="shared" si="46"/>
        <v>1</v>
      </c>
      <c r="AZ50" s="5">
        <f t="shared" si="46"/>
        <v>1</v>
      </c>
      <c r="BA50" s="5">
        <f t="shared" si="46"/>
        <v>1</v>
      </c>
      <c r="BB50" s="8"/>
      <c r="BC50" s="8"/>
      <c r="BD50" s="8"/>
      <c r="BE50" s="8"/>
      <c r="BF50" s="8"/>
      <c r="BG50" s="8"/>
      <c r="BH50" s="8"/>
      <c r="BI50" s="8"/>
    </row>
    <row r="51" ht="12.75" customHeight="1">
      <c r="A51" s="4">
        <v>87.0</v>
      </c>
      <c r="B51" s="5" t="s">
        <v>206</v>
      </c>
      <c r="C51" s="5" t="s">
        <v>207</v>
      </c>
      <c r="D51" s="5" t="s">
        <v>208</v>
      </c>
      <c r="E51" s="5" t="s">
        <v>22</v>
      </c>
      <c r="F51" s="6">
        <v>44873.0</v>
      </c>
      <c r="G51" s="5" t="s">
        <v>23</v>
      </c>
      <c r="H51" s="6">
        <v>44873.0</v>
      </c>
      <c r="I51" s="5" t="s">
        <v>34</v>
      </c>
      <c r="J51" s="5" t="s">
        <v>35</v>
      </c>
      <c r="K51" s="5" t="s">
        <v>36</v>
      </c>
      <c r="L51" s="5" t="s">
        <v>84</v>
      </c>
      <c r="M51" s="5" t="s">
        <v>39</v>
      </c>
      <c r="N51" s="5" t="s">
        <v>52</v>
      </c>
      <c r="O51" s="5" t="s">
        <v>209</v>
      </c>
      <c r="P51" s="7" t="s">
        <v>38</v>
      </c>
      <c r="Q51" s="7" t="str">
        <f t="array" ref="Q51">IF($M51="Yes","Cost of Goods Sold:COGS- Travel Expenses:",IF($M51="No",XLOOKUP($P51,Key!$I:$I,Key!$J:$J),"Review Billable Status"))</f>
        <v>Cost of Goods Sold:COGS- Travel Expenses:</v>
      </c>
      <c r="R51" s="7" t="str">
        <f t="array" ref="R51">IF($M51="Yes","Cost of Goods Sold:COGS- Personnel Expense:",IF($M51="No",XLOOKUP($P51,Key!$I:$I,Key!$K:$K),"Review Billable Status"))</f>
        <v>Cost of Goods Sold:COGS- Personnel Expense:</v>
      </c>
      <c r="S51" s="10" t="str">
        <f t="array" ref="S51">IF($G51="Paid Intern","PD Intern",IF($G51="Contractor/Consultant","Contractor",XLOOKUP(M51&amp;P51,Key!$M:$M,Key!$L:$L)))</f>
        <v>COR</v>
      </c>
      <c r="T51" s="5">
        <f t="shared" ref="T51:BA51" si="47">IF(OR($F51&gt;T$12,AND($G51="Terminated",T$12&gt;=$H51)),0,1)</f>
        <v>1</v>
      </c>
      <c r="U51" s="5">
        <f t="shared" si="47"/>
        <v>1</v>
      </c>
      <c r="V51" s="5">
        <f t="shared" si="47"/>
        <v>1</v>
      </c>
      <c r="W51" s="5">
        <f t="shared" si="47"/>
        <v>1</v>
      </c>
      <c r="X51" s="5">
        <f t="shared" si="47"/>
        <v>1</v>
      </c>
      <c r="Y51" s="5">
        <f t="shared" si="47"/>
        <v>1</v>
      </c>
      <c r="Z51" s="5">
        <f t="shared" si="47"/>
        <v>1</v>
      </c>
      <c r="AA51" s="5">
        <f t="shared" si="47"/>
        <v>1</v>
      </c>
      <c r="AB51" s="5">
        <f t="shared" si="47"/>
        <v>1</v>
      </c>
      <c r="AC51" s="5">
        <f t="shared" si="47"/>
        <v>1</v>
      </c>
      <c r="AD51" s="5">
        <f t="shared" si="47"/>
        <v>1</v>
      </c>
      <c r="AE51" s="5">
        <f t="shared" si="47"/>
        <v>1</v>
      </c>
      <c r="AF51" s="5">
        <f t="shared" si="47"/>
        <v>1</v>
      </c>
      <c r="AG51" s="5">
        <f t="shared" si="47"/>
        <v>1</v>
      </c>
      <c r="AH51" s="5">
        <f t="shared" si="47"/>
        <v>1</v>
      </c>
      <c r="AI51" s="5">
        <f t="shared" si="47"/>
        <v>1</v>
      </c>
      <c r="AJ51" s="5">
        <f t="shared" si="47"/>
        <v>1</v>
      </c>
      <c r="AK51" s="5">
        <f t="shared" si="47"/>
        <v>1</v>
      </c>
      <c r="AL51" s="5">
        <f t="shared" si="47"/>
        <v>1</v>
      </c>
      <c r="AM51" s="5">
        <f t="shared" si="47"/>
        <v>1</v>
      </c>
      <c r="AN51" s="5">
        <f t="shared" si="47"/>
        <v>1</v>
      </c>
      <c r="AO51" s="5">
        <f t="shared" si="47"/>
        <v>1</v>
      </c>
      <c r="AP51" s="5">
        <f t="shared" si="47"/>
        <v>1</v>
      </c>
      <c r="AQ51" s="5">
        <f t="shared" si="47"/>
        <v>1</v>
      </c>
      <c r="AR51" s="5">
        <f t="shared" si="47"/>
        <v>1</v>
      </c>
      <c r="AS51" s="5">
        <f t="shared" si="47"/>
        <v>1</v>
      </c>
      <c r="AT51" s="5">
        <f t="shared" si="47"/>
        <v>1</v>
      </c>
      <c r="AU51" s="5">
        <f t="shared" si="47"/>
        <v>1</v>
      </c>
      <c r="AV51" s="5">
        <f t="shared" si="47"/>
        <v>1</v>
      </c>
      <c r="AW51" s="5">
        <f t="shared" si="47"/>
        <v>1</v>
      </c>
      <c r="AX51" s="5">
        <f t="shared" si="47"/>
        <v>1</v>
      </c>
      <c r="AY51" s="5">
        <f t="shared" si="47"/>
        <v>1</v>
      </c>
      <c r="AZ51" s="5">
        <f t="shared" si="47"/>
        <v>1</v>
      </c>
      <c r="BA51" s="5">
        <f t="shared" si="47"/>
        <v>1</v>
      </c>
      <c r="BB51" s="8"/>
      <c r="BC51" s="8"/>
      <c r="BD51" s="8"/>
      <c r="BE51" s="8"/>
      <c r="BF51" s="8"/>
      <c r="BG51" s="8"/>
      <c r="BH51" s="8"/>
      <c r="BI51" s="8"/>
    </row>
    <row r="52" ht="12.75" customHeight="1">
      <c r="A52" s="4">
        <v>89.0</v>
      </c>
      <c r="B52" s="5" t="s">
        <v>210</v>
      </c>
      <c r="C52" s="5" t="s">
        <v>211</v>
      </c>
      <c r="D52" s="5" t="s">
        <v>212</v>
      </c>
      <c r="E52" s="5" t="s">
        <v>22</v>
      </c>
      <c r="F52" s="6">
        <v>44879.0</v>
      </c>
      <c r="G52" s="5" t="s">
        <v>23</v>
      </c>
      <c r="H52" s="6">
        <v>44879.0</v>
      </c>
      <c r="I52" s="5" t="s">
        <v>64</v>
      </c>
      <c r="J52" s="5" t="s">
        <v>35</v>
      </c>
      <c r="K52" s="5" t="s">
        <v>36</v>
      </c>
      <c r="L52" s="5" t="s">
        <v>104</v>
      </c>
      <c r="M52" s="5" t="s">
        <v>39</v>
      </c>
      <c r="N52" s="5" t="s">
        <v>59</v>
      </c>
      <c r="O52" s="5" t="s">
        <v>213</v>
      </c>
      <c r="P52" s="7" t="s">
        <v>75</v>
      </c>
      <c r="Q52" s="7" t="str">
        <f t="array" ref="Q52">IF($M52="Yes","Cost of Goods Sold:COGS- Travel Expenses:",IF($M52="No",XLOOKUP($P52,Key!$I:$I,Key!$J:$J),"Review Billable Status"))</f>
        <v>Cost of Goods Sold:COGS- Travel Expenses:</v>
      </c>
      <c r="R52" s="7" t="str">
        <f t="array" ref="R52">IF($M52="Yes","Cost of Goods Sold:COGS- Personnel Expense:",IF($M52="No",XLOOKUP($P52,Key!$I:$I,Key!$K:$K),"Review Billable Status"))</f>
        <v>Cost of Goods Sold:COGS- Personnel Expense:</v>
      </c>
      <c r="S52" s="10" t="str">
        <f t="array" ref="S52">IF($G52="Paid Intern","PD Intern",IF($G52="Contractor/Consultant","Contractor",XLOOKUP(M52&amp;P52,Key!$M:$M,Key!$L:$L)))</f>
        <v>COR</v>
      </c>
      <c r="T52" s="5">
        <f t="shared" ref="T52:BA52" si="48">IF(OR($F52&gt;T$12,AND($G52="Terminated",T$12&gt;=$H52)),0,1)</f>
        <v>1</v>
      </c>
      <c r="U52" s="5">
        <f t="shared" si="48"/>
        <v>1</v>
      </c>
      <c r="V52" s="5">
        <f t="shared" si="48"/>
        <v>1</v>
      </c>
      <c r="W52" s="5">
        <f t="shared" si="48"/>
        <v>1</v>
      </c>
      <c r="X52" s="5">
        <f t="shared" si="48"/>
        <v>1</v>
      </c>
      <c r="Y52" s="5">
        <f t="shared" si="48"/>
        <v>1</v>
      </c>
      <c r="Z52" s="5">
        <f t="shared" si="48"/>
        <v>1</v>
      </c>
      <c r="AA52" s="5">
        <f t="shared" si="48"/>
        <v>1</v>
      </c>
      <c r="AB52" s="5">
        <f t="shared" si="48"/>
        <v>1</v>
      </c>
      <c r="AC52" s="5">
        <f t="shared" si="48"/>
        <v>1</v>
      </c>
      <c r="AD52" s="5">
        <f t="shared" si="48"/>
        <v>1</v>
      </c>
      <c r="AE52" s="5">
        <f t="shared" si="48"/>
        <v>1</v>
      </c>
      <c r="AF52" s="5">
        <f t="shared" si="48"/>
        <v>1</v>
      </c>
      <c r="AG52" s="5">
        <f t="shared" si="48"/>
        <v>1</v>
      </c>
      <c r="AH52" s="5">
        <f t="shared" si="48"/>
        <v>1</v>
      </c>
      <c r="AI52" s="5">
        <f t="shared" si="48"/>
        <v>1</v>
      </c>
      <c r="AJ52" s="5">
        <f t="shared" si="48"/>
        <v>1</v>
      </c>
      <c r="AK52" s="5">
        <f t="shared" si="48"/>
        <v>1</v>
      </c>
      <c r="AL52" s="5">
        <f t="shared" si="48"/>
        <v>1</v>
      </c>
      <c r="AM52" s="5">
        <f t="shared" si="48"/>
        <v>1</v>
      </c>
      <c r="AN52" s="5">
        <f t="shared" si="48"/>
        <v>1</v>
      </c>
      <c r="AO52" s="5">
        <f t="shared" si="48"/>
        <v>1</v>
      </c>
      <c r="AP52" s="5">
        <f t="shared" si="48"/>
        <v>1</v>
      </c>
      <c r="AQ52" s="5">
        <f t="shared" si="48"/>
        <v>1</v>
      </c>
      <c r="AR52" s="5">
        <f t="shared" si="48"/>
        <v>1</v>
      </c>
      <c r="AS52" s="5">
        <f t="shared" si="48"/>
        <v>1</v>
      </c>
      <c r="AT52" s="5">
        <f t="shared" si="48"/>
        <v>1</v>
      </c>
      <c r="AU52" s="5">
        <f t="shared" si="48"/>
        <v>1</v>
      </c>
      <c r="AV52" s="5">
        <f t="shared" si="48"/>
        <v>1</v>
      </c>
      <c r="AW52" s="5">
        <f t="shared" si="48"/>
        <v>1</v>
      </c>
      <c r="AX52" s="5">
        <f t="shared" si="48"/>
        <v>1</v>
      </c>
      <c r="AY52" s="5">
        <f t="shared" si="48"/>
        <v>1</v>
      </c>
      <c r="AZ52" s="5">
        <f t="shared" si="48"/>
        <v>1</v>
      </c>
      <c r="BA52" s="5">
        <f t="shared" si="48"/>
        <v>1</v>
      </c>
      <c r="BB52" s="8"/>
      <c r="BC52" s="8"/>
      <c r="BD52" s="8"/>
      <c r="BE52" s="8"/>
      <c r="BF52" s="8"/>
      <c r="BG52" s="8"/>
      <c r="BH52" s="8"/>
      <c r="BI52" s="8"/>
    </row>
    <row r="53" ht="12.75" customHeight="1">
      <c r="A53" s="4">
        <v>91.0</v>
      </c>
      <c r="B53" s="5" t="s">
        <v>181</v>
      </c>
      <c r="C53" s="5" t="s">
        <v>214</v>
      </c>
      <c r="D53" s="5" t="s">
        <v>215</v>
      </c>
      <c r="E53" s="5" t="s">
        <v>22</v>
      </c>
      <c r="F53" s="6">
        <v>44900.0</v>
      </c>
      <c r="G53" s="5" t="s">
        <v>23</v>
      </c>
      <c r="H53" s="6">
        <v>44900.0</v>
      </c>
      <c r="I53" s="5" t="s">
        <v>34</v>
      </c>
      <c r="J53" s="5" t="s">
        <v>35</v>
      </c>
      <c r="K53" s="5" t="s">
        <v>36</v>
      </c>
      <c r="L53" s="5" t="s">
        <v>216</v>
      </c>
      <c r="M53" s="5" t="s">
        <v>39</v>
      </c>
      <c r="N53" s="5" t="s">
        <v>40</v>
      </c>
      <c r="O53" s="5" t="s">
        <v>158</v>
      </c>
      <c r="P53" s="7" t="s">
        <v>38</v>
      </c>
      <c r="Q53" s="7" t="str">
        <f t="array" ref="Q53">IF($M53="Yes","Cost of Goods Sold:COGS- Travel Expenses:",IF($M53="No",XLOOKUP($P53,Key!$I:$I,Key!$J:$J),"Review Billable Status"))</f>
        <v>Cost of Goods Sold:COGS- Travel Expenses:</v>
      </c>
      <c r="R53" s="7" t="str">
        <f t="array" ref="R53">IF($M53="Yes","Cost of Goods Sold:COGS- Personnel Expense:",IF($M53="No",XLOOKUP($P53,Key!$I:$I,Key!$K:$K),"Review Billable Status"))</f>
        <v>Cost of Goods Sold:COGS- Personnel Expense:</v>
      </c>
      <c r="S53" s="10" t="str">
        <f t="array" ref="S53">IF($G53="Paid Intern","PD Intern",IF($G53="Contractor/Consultant","Contractor",XLOOKUP(M53&amp;P53,Key!$M:$M,Key!$L:$L)))</f>
        <v>COR</v>
      </c>
      <c r="T53" s="5">
        <f t="shared" ref="T53:BA53" si="49">IF(OR($F53&gt;T$12,AND($G53="Terminated",T$12&gt;=$H53)),0,1)</f>
        <v>1</v>
      </c>
      <c r="U53" s="5">
        <f t="shared" si="49"/>
        <v>1</v>
      </c>
      <c r="V53" s="5">
        <f t="shared" si="49"/>
        <v>1</v>
      </c>
      <c r="W53" s="5">
        <f t="shared" si="49"/>
        <v>1</v>
      </c>
      <c r="X53" s="5">
        <f t="shared" si="49"/>
        <v>1</v>
      </c>
      <c r="Y53" s="5">
        <f t="shared" si="49"/>
        <v>1</v>
      </c>
      <c r="Z53" s="5">
        <f t="shared" si="49"/>
        <v>1</v>
      </c>
      <c r="AA53" s="5">
        <f t="shared" si="49"/>
        <v>1</v>
      </c>
      <c r="AB53" s="5">
        <f t="shared" si="49"/>
        <v>1</v>
      </c>
      <c r="AC53" s="5">
        <f t="shared" si="49"/>
        <v>1</v>
      </c>
      <c r="AD53" s="5">
        <f t="shared" si="49"/>
        <v>1</v>
      </c>
      <c r="AE53" s="5">
        <f t="shared" si="49"/>
        <v>1</v>
      </c>
      <c r="AF53" s="5">
        <f t="shared" si="49"/>
        <v>1</v>
      </c>
      <c r="AG53" s="5">
        <f t="shared" si="49"/>
        <v>1</v>
      </c>
      <c r="AH53" s="5">
        <f t="shared" si="49"/>
        <v>1</v>
      </c>
      <c r="AI53" s="5">
        <f t="shared" si="49"/>
        <v>1</v>
      </c>
      <c r="AJ53" s="5">
        <f t="shared" si="49"/>
        <v>1</v>
      </c>
      <c r="AK53" s="5">
        <f t="shared" si="49"/>
        <v>1</v>
      </c>
      <c r="AL53" s="5">
        <f t="shared" si="49"/>
        <v>1</v>
      </c>
      <c r="AM53" s="5">
        <f t="shared" si="49"/>
        <v>1</v>
      </c>
      <c r="AN53" s="5">
        <f t="shared" si="49"/>
        <v>1</v>
      </c>
      <c r="AO53" s="5">
        <f t="shared" si="49"/>
        <v>1</v>
      </c>
      <c r="AP53" s="5">
        <f t="shared" si="49"/>
        <v>1</v>
      </c>
      <c r="AQ53" s="5">
        <f t="shared" si="49"/>
        <v>1</v>
      </c>
      <c r="AR53" s="5">
        <f t="shared" si="49"/>
        <v>1</v>
      </c>
      <c r="AS53" s="5">
        <f t="shared" si="49"/>
        <v>1</v>
      </c>
      <c r="AT53" s="5">
        <f t="shared" si="49"/>
        <v>1</v>
      </c>
      <c r="AU53" s="5">
        <f t="shared" si="49"/>
        <v>1</v>
      </c>
      <c r="AV53" s="5">
        <f t="shared" si="49"/>
        <v>1</v>
      </c>
      <c r="AW53" s="5">
        <f t="shared" si="49"/>
        <v>1</v>
      </c>
      <c r="AX53" s="5">
        <f t="shared" si="49"/>
        <v>1</v>
      </c>
      <c r="AY53" s="5">
        <f t="shared" si="49"/>
        <v>1</v>
      </c>
      <c r="AZ53" s="5">
        <f t="shared" si="49"/>
        <v>1</v>
      </c>
      <c r="BA53" s="5">
        <f t="shared" si="49"/>
        <v>1</v>
      </c>
      <c r="BB53" s="8"/>
      <c r="BC53" s="8"/>
      <c r="BD53" s="8"/>
      <c r="BE53" s="8"/>
      <c r="BF53" s="8"/>
      <c r="BG53" s="8"/>
      <c r="BH53" s="8"/>
      <c r="BI53" s="8"/>
    </row>
    <row r="54" ht="12.75" customHeight="1">
      <c r="A54" s="4">
        <v>98.0</v>
      </c>
      <c r="B54" s="5" t="s">
        <v>217</v>
      </c>
      <c r="C54" s="5" t="s">
        <v>218</v>
      </c>
      <c r="D54" s="5" t="s">
        <v>219</v>
      </c>
      <c r="E54" s="5" t="s">
        <v>112</v>
      </c>
      <c r="F54" s="6">
        <v>44963.0</v>
      </c>
      <c r="G54" s="5" t="s">
        <v>23</v>
      </c>
      <c r="H54" s="6">
        <v>44963.0</v>
      </c>
      <c r="I54" s="5" t="s">
        <v>24</v>
      </c>
      <c r="J54" s="5" t="s">
        <v>24</v>
      </c>
      <c r="K54" s="5" t="s">
        <v>25</v>
      </c>
      <c r="L54" s="5" t="s">
        <v>220</v>
      </c>
      <c r="M54" s="5" t="s">
        <v>28</v>
      </c>
      <c r="N54" s="5" t="s">
        <v>200</v>
      </c>
      <c r="O54" s="5" t="s">
        <v>30</v>
      </c>
      <c r="P54" s="7" t="s">
        <v>199</v>
      </c>
      <c r="Q54" s="7" t="str">
        <f t="array" ref="Q54">IF($M54="Yes","Cost of Goods Sold:COGS- Travel Expenses:",IF($M54="No",XLOOKUP($P54,Key!$I:$I,Key!$J:$J),"Review Billable Status"))</f>
        <v>General &amp; Administrative:G&amp;A- Travel Expenses:</v>
      </c>
      <c r="R54" s="7" t="str">
        <f t="array" ref="R54">IF($M54="Yes","Cost of Goods Sold:COGS- Personnel Expense:",IF($M54="No",XLOOKUP($P54,Key!$I:$I,Key!$K:$K),"Review Billable Status"))</f>
        <v>General &amp; Administrative:G&amp;A- Personnel Expenses:</v>
      </c>
      <c r="S54" s="10" t="str">
        <f t="array" ref="S54">IF($G54="Paid Intern","PD Intern",IF($G54="Contractor/Consultant","Contractor",XLOOKUP(M54&amp;P54,Key!$M:$M,Key!$L:$L)))</f>
        <v>G&amp;A</v>
      </c>
      <c r="T54" s="5">
        <f t="shared" ref="T54:BA54" si="50">IF(OR($F54&gt;T$12,AND($G54="Terminated",T$12&gt;=$H54)),0,1)</f>
        <v>1</v>
      </c>
      <c r="U54" s="5">
        <f t="shared" si="50"/>
        <v>1</v>
      </c>
      <c r="V54" s="5">
        <f t="shared" si="50"/>
        <v>1</v>
      </c>
      <c r="W54" s="5">
        <f t="shared" si="50"/>
        <v>1</v>
      </c>
      <c r="X54" s="5">
        <f t="shared" si="50"/>
        <v>1</v>
      </c>
      <c r="Y54" s="5">
        <f t="shared" si="50"/>
        <v>1</v>
      </c>
      <c r="Z54" s="5">
        <f t="shared" si="50"/>
        <v>1</v>
      </c>
      <c r="AA54" s="5">
        <f t="shared" si="50"/>
        <v>1</v>
      </c>
      <c r="AB54" s="5">
        <f t="shared" si="50"/>
        <v>1</v>
      </c>
      <c r="AC54" s="5">
        <f t="shared" si="50"/>
        <v>1</v>
      </c>
      <c r="AD54" s="5">
        <f t="shared" si="50"/>
        <v>1</v>
      </c>
      <c r="AE54" s="5">
        <f t="shared" si="50"/>
        <v>1</v>
      </c>
      <c r="AF54" s="5">
        <f t="shared" si="50"/>
        <v>1</v>
      </c>
      <c r="AG54" s="5">
        <f t="shared" si="50"/>
        <v>1</v>
      </c>
      <c r="AH54" s="5">
        <f t="shared" si="50"/>
        <v>1</v>
      </c>
      <c r="AI54" s="5">
        <f t="shared" si="50"/>
        <v>1</v>
      </c>
      <c r="AJ54" s="5">
        <f t="shared" si="50"/>
        <v>1</v>
      </c>
      <c r="AK54" s="5">
        <f t="shared" si="50"/>
        <v>1</v>
      </c>
      <c r="AL54" s="5">
        <f t="shared" si="50"/>
        <v>1</v>
      </c>
      <c r="AM54" s="5">
        <f t="shared" si="50"/>
        <v>1</v>
      </c>
      <c r="AN54" s="5">
        <f t="shared" si="50"/>
        <v>1</v>
      </c>
      <c r="AO54" s="5">
        <f t="shared" si="50"/>
        <v>1</v>
      </c>
      <c r="AP54" s="5">
        <f t="shared" si="50"/>
        <v>1</v>
      </c>
      <c r="AQ54" s="5">
        <f t="shared" si="50"/>
        <v>1</v>
      </c>
      <c r="AR54" s="5">
        <f t="shared" si="50"/>
        <v>1</v>
      </c>
      <c r="AS54" s="5">
        <f t="shared" si="50"/>
        <v>1</v>
      </c>
      <c r="AT54" s="5">
        <f t="shared" si="50"/>
        <v>1</v>
      </c>
      <c r="AU54" s="5">
        <f t="shared" si="50"/>
        <v>1</v>
      </c>
      <c r="AV54" s="5">
        <f t="shared" si="50"/>
        <v>1</v>
      </c>
      <c r="AW54" s="5">
        <f t="shared" si="50"/>
        <v>1</v>
      </c>
      <c r="AX54" s="5">
        <f t="shared" si="50"/>
        <v>1</v>
      </c>
      <c r="AY54" s="5">
        <f t="shared" si="50"/>
        <v>1</v>
      </c>
      <c r="AZ54" s="5">
        <f t="shared" si="50"/>
        <v>1</v>
      </c>
      <c r="BA54" s="5">
        <f t="shared" si="50"/>
        <v>1</v>
      </c>
      <c r="BB54" s="8"/>
      <c r="BC54" s="8"/>
      <c r="BD54" s="8"/>
      <c r="BE54" s="8"/>
      <c r="BF54" s="8"/>
      <c r="BG54" s="8"/>
      <c r="BH54" s="8"/>
      <c r="BI54" s="8"/>
    </row>
    <row r="55" ht="12.75" customHeight="1">
      <c r="A55" s="4">
        <v>99.0</v>
      </c>
      <c r="B55" s="5" t="s">
        <v>221</v>
      </c>
      <c r="C55" s="5" t="s">
        <v>222</v>
      </c>
      <c r="D55" s="5" t="s">
        <v>223</v>
      </c>
      <c r="E55" s="5" t="s">
        <v>22</v>
      </c>
      <c r="F55" s="6">
        <v>44984.0</v>
      </c>
      <c r="G55" s="5" t="s">
        <v>23</v>
      </c>
      <c r="H55" s="6">
        <v>44984.0</v>
      </c>
      <c r="I55" s="5" t="s">
        <v>34</v>
      </c>
      <c r="J55" s="5" t="s">
        <v>35</v>
      </c>
      <c r="K55" s="5" t="s">
        <v>36</v>
      </c>
      <c r="L55" s="5" t="s">
        <v>84</v>
      </c>
      <c r="M55" s="5" t="s">
        <v>39</v>
      </c>
      <c r="N55" s="5" t="s">
        <v>85</v>
      </c>
      <c r="O55" s="5" t="s">
        <v>224</v>
      </c>
      <c r="P55" s="7" t="s">
        <v>38</v>
      </c>
      <c r="Q55" s="7" t="str">
        <f t="array" ref="Q55">IF($M55="Yes","Cost of Goods Sold:COGS- Travel Expenses:",IF($M55="No",XLOOKUP($P55,Key!$I:$I,Key!$J:$J),"Review Billable Status"))</f>
        <v>Cost of Goods Sold:COGS- Travel Expenses:</v>
      </c>
      <c r="R55" s="7" t="str">
        <f t="array" ref="R55">IF($M55="Yes","Cost of Goods Sold:COGS- Personnel Expense:",IF($M55="No",XLOOKUP($P55,Key!$I:$I,Key!$K:$K),"Review Billable Status"))</f>
        <v>Cost of Goods Sold:COGS- Personnel Expense:</v>
      </c>
      <c r="S55" s="10" t="str">
        <f t="array" ref="S55">IF($G55="Paid Intern","PD Intern",IF($G55="Contractor/Consultant","Contractor",XLOOKUP(M55&amp;P55,Key!$M:$M,Key!$L:$L)))</f>
        <v>COR</v>
      </c>
      <c r="T55" s="5">
        <f t="shared" ref="T55:BA55" si="51">IF(OR($F55&gt;T$12,AND($G55="Terminated",T$12&gt;=$H55)),0,1)</f>
        <v>1</v>
      </c>
      <c r="U55" s="5">
        <f t="shared" si="51"/>
        <v>1</v>
      </c>
      <c r="V55" s="5">
        <f t="shared" si="51"/>
        <v>1</v>
      </c>
      <c r="W55" s="5">
        <f t="shared" si="51"/>
        <v>1</v>
      </c>
      <c r="X55" s="5">
        <f t="shared" si="51"/>
        <v>1</v>
      </c>
      <c r="Y55" s="5">
        <f t="shared" si="51"/>
        <v>1</v>
      </c>
      <c r="Z55" s="5">
        <f t="shared" si="51"/>
        <v>1</v>
      </c>
      <c r="AA55" s="5">
        <f t="shared" si="51"/>
        <v>1</v>
      </c>
      <c r="AB55" s="5">
        <f t="shared" si="51"/>
        <v>1</v>
      </c>
      <c r="AC55" s="5">
        <f t="shared" si="51"/>
        <v>1</v>
      </c>
      <c r="AD55" s="5">
        <f t="shared" si="51"/>
        <v>1</v>
      </c>
      <c r="AE55" s="5">
        <f t="shared" si="51"/>
        <v>1</v>
      </c>
      <c r="AF55" s="5">
        <f t="shared" si="51"/>
        <v>1</v>
      </c>
      <c r="AG55" s="5">
        <f t="shared" si="51"/>
        <v>1</v>
      </c>
      <c r="AH55" s="5">
        <f t="shared" si="51"/>
        <v>1</v>
      </c>
      <c r="AI55" s="5">
        <f t="shared" si="51"/>
        <v>1</v>
      </c>
      <c r="AJ55" s="5">
        <f t="shared" si="51"/>
        <v>1</v>
      </c>
      <c r="AK55" s="5">
        <f t="shared" si="51"/>
        <v>1</v>
      </c>
      <c r="AL55" s="5">
        <f t="shared" si="51"/>
        <v>1</v>
      </c>
      <c r="AM55" s="5">
        <f t="shared" si="51"/>
        <v>1</v>
      </c>
      <c r="AN55" s="5">
        <f t="shared" si="51"/>
        <v>1</v>
      </c>
      <c r="AO55" s="5">
        <f t="shared" si="51"/>
        <v>1</v>
      </c>
      <c r="AP55" s="5">
        <f t="shared" si="51"/>
        <v>1</v>
      </c>
      <c r="AQ55" s="5">
        <f t="shared" si="51"/>
        <v>1</v>
      </c>
      <c r="AR55" s="5">
        <f t="shared" si="51"/>
        <v>1</v>
      </c>
      <c r="AS55" s="5">
        <f t="shared" si="51"/>
        <v>1</v>
      </c>
      <c r="AT55" s="5">
        <f t="shared" si="51"/>
        <v>1</v>
      </c>
      <c r="AU55" s="5">
        <f t="shared" si="51"/>
        <v>1</v>
      </c>
      <c r="AV55" s="5">
        <f t="shared" si="51"/>
        <v>1</v>
      </c>
      <c r="AW55" s="5">
        <f t="shared" si="51"/>
        <v>1</v>
      </c>
      <c r="AX55" s="5">
        <f t="shared" si="51"/>
        <v>1</v>
      </c>
      <c r="AY55" s="5">
        <f t="shared" si="51"/>
        <v>1</v>
      </c>
      <c r="AZ55" s="5">
        <f t="shared" si="51"/>
        <v>1</v>
      </c>
      <c r="BA55" s="5">
        <f t="shared" si="51"/>
        <v>1</v>
      </c>
      <c r="BB55" s="8"/>
      <c r="BC55" s="8"/>
      <c r="BD55" s="8"/>
      <c r="BE55" s="8"/>
      <c r="BF55" s="8"/>
      <c r="BG55" s="8"/>
      <c r="BH55" s="8"/>
      <c r="BI55" s="8"/>
    </row>
    <row r="56" ht="12.75" customHeight="1">
      <c r="A56" s="4">
        <v>100.0</v>
      </c>
      <c r="B56" s="5" t="s">
        <v>225</v>
      </c>
      <c r="C56" s="5" t="s">
        <v>226</v>
      </c>
      <c r="D56" s="5" t="s">
        <v>227</v>
      </c>
      <c r="E56" s="5" t="s">
        <v>112</v>
      </c>
      <c r="F56" s="6">
        <v>44984.0</v>
      </c>
      <c r="G56" s="5" t="s">
        <v>23</v>
      </c>
      <c r="H56" s="6">
        <v>44984.0</v>
      </c>
      <c r="I56" s="5" t="s">
        <v>64</v>
      </c>
      <c r="J56" s="5" t="s">
        <v>130</v>
      </c>
      <c r="K56" s="5" t="s">
        <v>25</v>
      </c>
      <c r="L56" s="5" t="s">
        <v>228</v>
      </c>
      <c r="M56" s="5" t="s">
        <v>39</v>
      </c>
      <c r="N56" s="5" t="s">
        <v>59</v>
      </c>
      <c r="O56" s="5" t="s">
        <v>30</v>
      </c>
      <c r="P56" s="7" t="s">
        <v>175</v>
      </c>
      <c r="Q56" s="7" t="str">
        <f t="array" ref="Q56">IF($M56="Yes","Cost of Goods Sold:COGS- Travel Expenses:",IF($M56="No",XLOOKUP($P56,Key!$I:$I,Key!$J:$J),"Review Billable Status"))</f>
        <v>Cost of Goods Sold:COGS- Travel Expenses:</v>
      </c>
      <c r="R56" s="7" t="str">
        <f t="array" ref="R56">IF($M56="Yes","Cost of Goods Sold:COGS- Personnel Expense:",IF($M56="No",XLOOKUP($P56,Key!$I:$I,Key!$K:$K),"Review Billable Status"))</f>
        <v>Cost of Goods Sold:COGS- Personnel Expense:</v>
      </c>
      <c r="S56" s="10" t="str">
        <f t="array" ref="S56">IF($G56="Paid Intern","PD Intern",IF($G56="Contractor/Consultant","Contractor",XLOOKUP(M56&amp;P56,Key!$M:$M,Key!$L:$L)))</f>
        <v>COR</v>
      </c>
      <c r="T56" s="5">
        <f t="shared" ref="T56:BA56" si="52">IF(OR($F56&gt;T$12,AND($G56="Terminated",T$12&gt;=$H56)),0,1)</f>
        <v>1</v>
      </c>
      <c r="U56" s="5">
        <f t="shared" si="52"/>
        <v>1</v>
      </c>
      <c r="V56" s="5">
        <f t="shared" si="52"/>
        <v>1</v>
      </c>
      <c r="W56" s="5">
        <f t="shared" si="52"/>
        <v>1</v>
      </c>
      <c r="X56" s="5">
        <f t="shared" si="52"/>
        <v>1</v>
      </c>
      <c r="Y56" s="5">
        <f t="shared" si="52"/>
        <v>1</v>
      </c>
      <c r="Z56" s="5">
        <f t="shared" si="52"/>
        <v>1</v>
      </c>
      <c r="AA56" s="5">
        <f t="shared" si="52"/>
        <v>1</v>
      </c>
      <c r="AB56" s="5">
        <f t="shared" si="52"/>
        <v>1</v>
      </c>
      <c r="AC56" s="5">
        <f t="shared" si="52"/>
        <v>1</v>
      </c>
      <c r="AD56" s="5">
        <f t="shared" si="52"/>
        <v>1</v>
      </c>
      <c r="AE56" s="5">
        <f t="shared" si="52"/>
        <v>1</v>
      </c>
      <c r="AF56" s="5">
        <f t="shared" si="52"/>
        <v>1</v>
      </c>
      <c r="AG56" s="5">
        <f t="shared" si="52"/>
        <v>1</v>
      </c>
      <c r="AH56" s="5">
        <f t="shared" si="52"/>
        <v>1</v>
      </c>
      <c r="AI56" s="5">
        <f t="shared" si="52"/>
        <v>1</v>
      </c>
      <c r="AJ56" s="5">
        <f t="shared" si="52"/>
        <v>1</v>
      </c>
      <c r="AK56" s="5">
        <f t="shared" si="52"/>
        <v>1</v>
      </c>
      <c r="AL56" s="5">
        <f t="shared" si="52"/>
        <v>1</v>
      </c>
      <c r="AM56" s="5">
        <f t="shared" si="52"/>
        <v>1</v>
      </c>
      <c r="AN56" s="5">
        <f t="shared" si="52"/>
        <v>1</v>
      </c>
      <c r="AO56" s="5">
        <f t="shared" si="52"/>
        <v>1</v>
      </c>
      <c r="AP56" s="5">
        <f t="shared" si="52"/>
        <v>1</v>
      </c>
      <c r="AQ56" s="5">
        <f t="shared" si="52"/>
        <v>1</v>
      </c>
      <c r="AR56" s="5">
        <f t="shared" si="52"/>
        <v>1</v>
      </c>
      <c r="AS56" s="5">
        <f t="shared" si="52"/>
        <v>1</v>
      </c>
      <c r="AT56" s="5">
        <f t="shared" si="52"/>
        <v>1</v>
      </c>
      <c r="AU56" s="5">
        <f t="shared" si="52"/>
        <v>1</v>
      </c>
      <c r="AV56" s="5">
        <f t="shared" si="52"/>
        <v>1</v>
      </c>
      <c r="AW56" s="5">
        <f t="shared" si="52"/>
        <v>1</v>
      </c>
      <c r="AX56" s="5">
        <f t="shared" si="52"/>
        <v>1</v>
      </c>
      <c r="AY56" s="5">
        <f t="shared" si="52"/>
        <v>1</v>
      </c>
      <c r="AZ56" s="5">
        <f t="shared" si="52"/>
        <v>1</v>
      </c>
      <c r="BA56" s="5">
        <f t="shared" si="52"/>
        <v>1</v>
      </c>
      <c r="BB56" s="8"/>
      <c r="BC56" s="8"/>
      <c r="BD56" s="8"/>
      <c r="BE56" s="8"/>
      <c r="BF56" s="8"/>
      <c r="BG56" s="8"/>
      <c r="BH56" s="8"/>
      <c r="BI56" s="8"/>
    </row>
    <row r="57" ht="12.75" customHeight="1">
      <c r="A57" s="4">
        <v>101.0</v>
      </c>
      <c r="B57" s="5" t="s">
        <v>159</v>
      </c>
      <c r="C57" s="5" t="s">
        <v>229</v>
      </c>
      <c r="D57" s="5" t="s">
        <v>230</v>
      </c>
      <c r="E57" s="5" t="s">
        <v>22</v>
      </c>
      <c r="F57" s="6">
        <v>44984.0</v>
      </c>
      <c r="G57" s="5" t="s">
        <v>23</v>
      </c>
      <c r="H57" s="6">
        <v>44984.0</v>
      </c>
      <c r="I57" s="5" t="s">
        <v>64</v>
      </c>
      <c r="J57" s="5" t="s">
        <v>35</v>
      </c>
      <c r="K57" s="5" t="s">
        <v>25</v>
      </c>
      <c r="L57" s="5" t="s">
        <v>231</v>
      </c>
      <c r="M57" s="5" t="s">
        <v>39</v>
      </c>
      <c r="N57" s="5" t="s">
        <v>59</v>
      </c>
      <c r="O57" s="5" t="s">
        <v>30</v>
      </c>
      <c r="P57" s="7" t="s">
        <v>75</v>
      </c>
      <c r="Q57" s="7" t="str">
        <f t="array" ref="Q57">IF($M57="Yes","Cost of Goods Sold:COGS- Travel Expenses:",IF($M57="No",XLOOKUP($P57,Key!$I:$I,Key!$J:$J),"Review Billable Status"))</f>
        <v>Cost of Goods Sold:COGS- Travel Expenses:</v>
      </c>
      <c r="R57" s="7" t="str">
        <f t="array" ref="R57">IF($M57="Yes","Cost of Goods Sold:COGS- Personnel Expense:",IF($M57="No",XLOOKUP($P57,Key!$I:$I,Key!$K:$K),"Review Billable Status"))</f>
        <v>Cost of Goods Sold:COGS- Personnel Expense:</v>
      </c>
      <c r="S57" s="10" t="str">
        <f t="array" ref="S57">IF($G57="Paid Intern","PD Intern",IF($G57="Contractor/Consultant","Contractor",XLOOKUP(M57&amp;P57,Key!$M:$M,Key!$L:$L)))</f>
        <v>COR</v>
      </c>
      <c r="T57" s="5">
        <f t="shared" ref="T57:BA57" si="53">IF(OR($F57&gt;T$12,AND($G57="Terminated",T$12&gt;=$H57)),0,1)</f>
        <v>1</v>
      </c>
      <c r="U57" s="5">
        <f t="shared" si="53"/>
        <v>1</v>
      </c>
      <c r="V57" s="5">
        <f t="shared" si="53"/>
        <v>1</v>
      </c>
      <c r="W57" s="5">
        <f t="shared" si="53"/>
        <v>1</v>
      </c>
      <c r="X57" s="5">
        <f t="shared" si="53"/>
        <v>1</v>
      </c>
      <c r="Y57" s="5">
        <f t="shared" si="53"/>
        <v>1</v>
      </c>
      <c r="Z57" s="5">
        <f t="shared" si="53"/>
        <v>1</v>
      </c>
      <c r="AA57" s="5">
        <f t="shared" si="53"/>
        <v>1</v>
      </c>
      <c r="AB57" s="5">
        <f t="shared" si="53"/>
        <v>1</v>
      </c>
      <c r="AC57" s="5">
        <f t="shared" si="53"/>
        <v>1</v>
      </c>
      <c r="AD57" s="5">
        <f t="shared" si="53"/>
        <v>1</v>
      </c>
      <c r="AE57" s="5">
        <f t="shared" si="53"/>
        <v>1</v>
      </c>
      <c r="AF57" s="5">
        <f t="shared" si="53"/>
        <v>1</v>
      </c>
      <c r="AG57" s="5">
        <f t="shared" si="53"/>
        <v>1</v>
      </c>
      <c r="AH57" s="5">
        <f t="shared" si="53"/>
        <v>1</v>
      </c>
      <c r="AI57" s="5">
        <f t="shared" si="53"/>
        <v>1</v>
      </c>
      <c r="AJ57" s="5">
        <f t="shared" si="53"/>
        <v>1</v>
      </c>
      <c r="AK57" s="5">
        <f t="shared" si="53"/>
        <v>1</v>
      </c>
      <c r="AL57" s="5">
        <f t="shared" si="53"/>
        <v>1</v>
      </c>
      <c r="AM57" s="5">
        <f t="shared" si="53"/>
        <v>1</v>
      </c>
      <c r="AN57" s="5">
        <f t="shared" si="53"/>
        <v>1</v>
      </c>
      <c r="AO57" s="5">
        <f t="shared" si="53"/>
        <v>1</v>
      </c>
      <c r="AP57" s="5">
        <f t="shared" si="53"/>
        <v>1</v>
      </c>
      <c r="AQ57" s="5">
        <f t="shared" si="53"/>
        <v>1</v>
      </c>
      <c r="AR57" s="5">
        <f t="shared" si="53"/>
        <v>1</v>
      </c>
      <c r="AS57" s="5">
        <f t="shared" si="53"/>
        <v>1</v>
      </c>
      <c r="AT57" s="5">
        <f t="shared" si="53"/>
        <v>1</v>
      </c>
      <c r="AU57" s="5">
        <f t="shared" si="53"/>
        <v>1</v>
      </c>
      <c r="AV57" s="5">
        <f t="shared" si="53"/>
        <v>1</v>
      </c>
      <c r="AW57" s="5">
        <f t="shared" si="53"/>
        <v>1</v>
      </c>
      <c r="AX57" s="5">
        <f t="shared" si="53"/>
        <v>1</v>
      </c>
      <c r="AY57" s="5">
        <f t="shared" si="53"/>
        <v>1</v>
      </c>
      <c r="AZ57" s="5">
        <f t="shared" si="53"/>
        <v>1</v>
      </c>
      <c r="BA57" s="5">
        <f t="shared" si="53"/>
        <v>1</v>
      </c>
      <c r="BB57" s="8"/>
      <c r="BC57" s="8"/>
      <c r="BD57" s="8"/>
      <c r="BE57" s="8"/>
      <c r="BF57" s="8"/>
      <c r="BG57" s="8"/>
      <c r="BH57" s="8"/>
      <c r="BI57" s="8"/>
    </row>
    <row r="58" ht="12.75" customHeight="1">
      <c r="A58" s="4">
        <v>102.0</v>
      </c>
      <c r="B58" s="5" t="s">
        <v>232</v>
      </c>
      <c r="C58" s="5" t="s">
        <v>233</v>
      </c>
      <c r="D58" s="5" t="s">
        <v>234</v>
      </c>
      <c r="E58" s="5" t="s">
        <v>22</v>
      </c>
      <c r="F58" s="6">
        <v>44991.0</v>
      </c>
      <c r="G58" s="5" t="s">
        <v>23</v>
      </c>
      <c r="H58" s="6">
        <v>44991.0</v>
      </c>
      <c r="I58" s="5" t="s">
        <v>64</v>
      </c>
      <c r="J58" s="5" t="s">
        <v>35</v>
      </c>
      <c r="K58" s="5" t="s">
        <v>25</v>
      </c>
      <c r="L58" s="5" t="s">
        <v>235</v>
      </c>
      <c r="M58" s="5" t="s">
        <v>28</v>
      </c>
      <c r="N58" s="5" t="s">
        <v>40</v>
      </c>
      <c r="O58" s="5" t="s">
        <v>30</v>
      </c>
      <c r="P58" s="7" t="s">
        <v>75</v>
      </c>
      <c r="Q58" s="7" t="str">
        <f t="array" ref="Q58">IF($M58="Yes","Cost of Goods Sold:COGS- Travel Expenses:",IF($M58="No",XLOOKUP($P58,Key!$I:$I,Key!$J:$J),"Review Billable Status"))</f>
        <v>General &amp; Administrative:G&amp;A- Travel Expenses:</v>
      </c>
      <c r="R58" s="7" t="str">
        <f t="array" ref="R58">IF($M58="Yes","Cost of Goods Sold:COGS- Personnel Expense:",IF($M58="No",XLOOKUP($P58,Key!$I:$I,Key!$K:$K),"Review Billable Status"))</f>
        <v>General &amp; Administrative:G&amp;A- Personnel Expenses:</v>
      </c>
      <c r="S58" s="10" t="str">
        <f t="array" ref="S58">IF($G58="Paid Intern","PD Intern",IF($G58="Contractor/Consultant","Contractor",XLOOKUP(M58&amp;P58,Key!$M:$M,Key!$L:$L)))</f>
        <v>G&amp;A</v>
      </c>
      <c r="T58" s="5">
        <f t="shared" ref="T58:BA58" si="54">IF(OR($F58&gt;T$12,AND($G58="Terminated",T$12&gt;=$H58)),0,1)</f>
        <v>1</v>
      </c>
      <c r="U58" s="5">
        <f t="shared" si="54"/>
        <v>1</v>
      </c>
      <c r="V58" s="5">
        <f t="shared" si="54"/>
        <v>1</v>
      </c>
      <c r="W58" s="5">
        <f t="shared" si="54"/>
        <v>1</v>
      </c>
      <c r="X58" s="5">
        <f t="shared" si="54"/>
        <v>1</v>
      </c>
      <c r="Y58" s="5">
        <f t="shared" si="54"/>
        <v>1</v>
      </c>
      <c r="Z58" s="5">
        <f t="shared" si="54"/>
        <v>1</v>
      </c>
      <c r="AA58" s="5">
        <f t="shared" si="54"/>
        <v>1</v>
      </c>
      <c r="AB58" s="5">
        <f t="shared" si="54"/>
        <v>1</v>
      </c>
      <c r="AC58" s="5">
        <f t="shared" si="54"/>
        <v>1</v>
      </c>
      <c r="AD58" s="5">
        <f t="shared" si="54"/>
        <v>1</v>
      </c>
      <c r="AE58" s="5">
        <f t="shared" si="54"/>
        <v>1</v>
      </c>
      <c r="AF58" s="5">
        <f t="shared" si="54"/>
        <v>1</v>
      </c>
      <c r="AG58" s="5">
        <f t="shared" si="54"/>
        <v>1</v>
      </c>
      <c r="AH58" s="5">
        <f t="shared" si="54"/>
        <v>1</v>
      </c>
      <c r="AI58" s="5">
        <f t="shared" si="54"/>
        <v>1</v>
      </c>
      <c r="AJ58" s="5">
        <f t="shared" si="54"/>
        <v>1</v>
      </c>
      <c r="AK58" s="5">
        <f t="shared" si="54"/>
        <v>1</v>
      </c>
      <c r="AL58" s="5">
        <f t="shared" si="54"/>
        <v>1</v>
      </c>
      <c r="AM58" s="5">
        <f t="shared" si="54"/>
        <v>1</v>
      </c>
      <c r="AN58" s="5">
        <f t="shared" si="54"/>
        <v>1</v>
      </c>
      <c r="AO58" s="5">
        <f t="shared" si="54"/>
        <v>1</v>
      </c>
      <c r="AP58" s="5">
        <f t="shared" si="54"/>
        <v>1</v>
      </c>
      <c r="AQ58" s="5">
        <f t="shared" si="54"/>
        <v>1</v>
      </c>
      <c r="AR58" s="5">
        <f t="shared" si="54"/>
        <v>1</v>
      </c>
      <c r="AS58" s="5">
        <f t="shared" si="54"/>
        <v>1</v>
      </c>
      <c r="AT58" s="5">
        <f t="shared" si="54"/>
        <v>1</v>
      </c>
      <c r="AU58" s="5">
        <f t="shared" si="54"/>
        <v>1</v>
      </c>
      <c r="AV58" s="5">
        <f t="shared" si="54"/>
        <v>1</v>
      </c>
      <c r="AW58" s="5">
        <f t="shared" si="54"/>
        <v>1</v>
      </c>
      <c r="AX58" s="5">
        <f t="shared" si="54"/>
        <v>1</v>
      </c>
      <c r="AY58" s="5">
        <f t="shared" si="54"/>
        <v>1</v>
      </c>
      <c r="AZ58" s="5">
        <f t="shared" si="54"/>
        <v>1</v>
      </c>
      <c r="BA58" s="5">
        <f t="shared" si="54"/>
        <v>1</v>
      </c>
      <c r="BB58" s="8"/>
      <c r="BC58" s="8"/>
      <c r="BD58" s="8"/>
      <c r="BE58" s="8"/>
      <c r="BF58" s="8"/>
      <c r="BG58" s="8"/>
      <c r="BH58" s="8"/>
      <c r="BI58" s="8"/>
    </row>
    <row r="59" ht="12.75" customHeight="1">
      <c r="A59" s="4">
        <v>103.0</v>
      </c>
      <c r="B59" s="5" t="s">
        <v>236</v>
      </c>
      <c r="C59" s="5" t="s">
        <v>237</v>
      </c>
      <c r="D59" s="5" t="s">
        <v>238</v>
      </c>
      <c r="E59" s="5" t="s">
        <v>112</v>
      </c>
      <c r="F59" s="6">
        <v>44991.0</v>
      </c>
      <c r="G59" s="5" t="s">
        <v>23</v>
      </c>
      <c r="H59" s="6">
        <v>44991.0</v>
      </c>
      <c r="I59" s="5" t="s">
        <v>24</v>
      </c>
      <c r="J59" s="5" t="s">
        <v>45</v>
      </c>
      <c r="K59" s="5" t="s">
        <v>36</v>
      </c>
      <c r="L59" s="5" t="s">
        <v>140</v>
      </c>
      <c r="M59" s="5" t="s">
        <v>28</v>
      </c>
      <c r="N59" s="5" t="s">
        <v>239</v>
      </c>
      <c r="O59" s="5" t="s">
        <v>240</v>
      </c>
      <c r="P59" s="7" t="s">
        <v>199</v>
      </c>
      <c r="Q59" s="7" t="str">
        <f t="array" ref="Q59">IF($M59="Yes","Cost of Goods Sold:COGS- Travel Expenses:",IF($M59="No",XLOOKUP($P59,Key!$I:$I,Key!$J:$J),"Review Billable Status"))</f>
        <v>General &amp; Administrative:G&amp;A- Travel Expenses:</v>
      </c>
      <c r="R59" s="7" t="str">
        <f t="array" ref="R59">IF($M59="Yes","Cost of Goods Sold:COGS- Personnel Expense:",IF($M59="No",XLOOKUP($P59,Key!$I:$I,Key!$K:$K),"Review Billable Status"))</f>
        <v>General &amp; Administrative:G&amp;A- Personnel Expenses:</v>
      </c>
      <c r="S59" s="10" t="str">
        <f t="array" ref="S59">IF($G59="Paid Intern","PD Intern",IF($G59="Contractor/Consultant","Contractor",XLOOKUP(M59&amp;P59,Key!$M:$M,Key!$L:$L)))</f>
        <v>G&amp;A</v>
      </c>
      <c r="T59" s="5">
        <f t="shared" ref="T59:BA59" si="55">IF(OR($F59&gt;T$12,AND($G59="Terminated",T$12&gt;=$H59)),0,1)</f>
        <v>1</v>
      </c>
      <c r="U59" s="5">
        <f t="shared" si="55"/>
        <v>1</v>
      </c>
      <c r="V59" s="5">
        <f t="shared" si="55"/>
        <v>1</v>
      </c>
      <c r="W59" s="5">
        <f t="shared" si="55"/>
        <v>1</v>
      </c>
      <c r="X59" s="5">
        <f t="shared" si="55"/>
        <v>1</v>
      </c>
      <c r="Y59" s="5">
        <f t="shared" si="55"/>
        <v>1</v>
      </c>
      <c r="Z59" s="5">
        <f t="shared" si="55"/>
        <v>1</v>
      </c>
      <c r="AA59" s="5">
        <f t="shared" si="55"/>
        <v>1</v>
      </c>
      <c r="AB59" s="5">
        <f t="shared" si="55"/>
        <v>1</v>
      </c>
      <c r="AC59" s="5">
        <f t="shared" si="55"/>
        <v>1</v>
      </c>
      <c r="AD59" s="5">
        <f t="shared" si="55"/>
        <v>1</v>
      </c>
      <c r="AE59" s="5">
        <f t="shared" si="55"/>
        <v>1</v>
      </c>
      <c r="AF59" s="5">
        <f t="shared" si="55"/>
        <v>1</v>
      </c>
      <c r="AG59" s="5">
        <f t="shared" si="55"/>
        <v>1</v>
      </c>
      <c r="AH59" s="5">
        <f t="shared" si="55"/>
        <v>1</v>
      </c>
      <c r="AI59" s="5">
        <f t="shared" si="55"/>
        <v>1</v>
      </c>
      <c r="AJ59" s="5">
        <f t="shared" si="55"/>
        <v>1</v>
      </c>
      <c r="AK59" s="5">
        <f t="shared" si="55"/>
        <v>1</v>
      </c>
      <c r="AL59" s="5">
        <f t="shared" si="55"/>
        <v>1</v>
      </c>
      <c r="AM59" s="5">
        <f t="shared" si="55"/>
        <v>1</v>
      </c>
      <c r="AN59" s="5">
        <f t="shared" si="55"/>
        <v>1</v>
      </c>
      <c r="AO59" s="5">
        <f t="shared" si="55"/>
        <v>1</v>
      </c>
      <c r="AP59" s="5">
        <f t="shared" si="55"/>
        <v>1</v>
      </c>
      <c r="AQ59" s="5">
        <f t="shared" si="55"/>
        <v>1</v>
      </c>
      <c r="AR59" s="5">
        <f t="shared" si="55"/>
        <v>1</v>
      </c>
      <c r="AS59" s="5">
        <f t="shared" si="55"/>
        <v>1</v>
      </c>
      <c r="AT59" s="5">
        <f t="shared" si="55"/>
        <v>1</v>
      </c>
      <c r="AU59" s="5">
        <f t="shared" si="55"/>
        <v>1</v>
      </c>
      <c r="AV59" s="5">
        <f t="shared" si="55"/>
        <v>1</v>
      </c>
      <c r="AW59" s="5">
        <f t="shared" si="55"/>
        <v>1</v>
      </c>
      <c r="AX59" s="5">
        <f t="shared" si="55"/>
        <v>1</v>
      </c>
      <c r="AY59" s="5">
        <f t="shared" si="55"/>
        <v>1</v>
      </c>
      <c r="AZ59" s="5">
        <f t="shared" si="55"/>
        <v>1</v>
      </c>
      <c r="BA59" s="5">
        <f t="shared" si="55"/>
        <v>1</v>
      </c>
      <c r="BB59" s="8"/>
      <c r="BC59" s="8"/>
      <c r="BD59" s="8"/>
      <c r="BE59" s="8"/>
      <c r="BF59" s="8"/>
      <c r="BG59" s="8"/>
      <c r="BH59" s="8"/>
      <c r="BI59" s="8"/>
    </row>
    <row r="60" ht="12.75" customHeight="1">
      <c r="A60" s="4">
        <v>107.0</v>
      </c>
      <c r="B60" s="5" t="s">
        <v>241</v>
      </c>
      <c r="C60" s="5" t="s">
        <v>242</v>
      </c>
      <c r="D60" s="5" t="s">
        <v>243</v>
      </c>
      <c r="E60" s="5" t="s">
        <v>22</v>
      </c>
      <c r="F60" s="6">
        <v>45054.0</v>
      </c>
      <c r="G60" s="5" t="s">
        <v>23</v>
      </c>
      <c r="H60" s="6">
        <v>45054.0</v>
      </c>
      <c r="I60" s="5" t="s">
        <v>24</v>
      </c>
      <c r="J60" s="5" t="s">
        <v>244</v>
      </c>
      <c r="K60" s="5" t="s">
        <v>25</v>
      </c>
      <c r="L60" s="5" t="s">
        <v>245</v>
      </c>
      <c r="M60" s="5" t="s">
        <v>28</v>
      </c>
      <c r="N60" s="5" t="s">
        <v>59</v>
      </c>
      <c r="O60" s="5" t="s">
        <v>30</v>
      </c>
      <c r="P60" s="7" t="s">
        <v>199</v>
      </c>
      <c r="Q60" s="7" t="str">
        <f t="array" ref="Q60">IF($M60="Yes","Cost of Goods Sold:COGS- Travel Expenses:",IF($M60="No",XLOOKUP($P60,Key!$I:$I,Key!$J:$J),"Review Billable Status"))</f>
        <v>General &amp; Administrative:G&amp;A- Travel Expenses:</v>
      </c>
      <c r="R60" s="7" t="str">
        <f t="array" ref="R60">IF($M60="Yes","Cost of Goods Sold:COGS- Personnel Expense:",IF($M60="No",XLOOKUP($P60,Key!$I:$I,Key!$K:$K),"Review Billable Status"))</f>
        <v>General &amp; Administrative:G&amp;A- Personnel Expenses:</v>
      </c>
      <c r="S60" s="10" t="str">
        <f t="array" ref="S60">IF($G60="Paid Intern","PD Intern",IF($G60="Contractor/Consultant","Contractor",XLOOKUP(M60&amp;P60,Key!$M:$M,Key!$L:$L)))</f>
        <v>G&amp;A</v>
      </c>
      <c r="T60" s="5">
        <f t="shared" ref="T60:BA60" si="56">IF(OR($F60&gt;T$12,AND($G60="Terminated",T$12&gt;=$H60)),0,1)</f>
        <v>1</v>
      </c>
      <c r="U60" s="5">
        <f t="shared" si="56"/>
        <v>1</v>
      </c>
      <c r="V60" s="5">
        <f t="shared" si="56"/>
        <v>1</v>
      </c>
      <c r="W60" s="5">
        <f t="shared" si="56"/>
        <v>1</v>
      </c>
      <c r="X60" s="5">
        <f t="shared" si="56"/>
        <v>1</v>
      </c>
      <c r="Y60" s="5">
        <f t="shared" si="56"/>
        <v>1</v>
      </c>
      <c r="Z60" s="5">
        <f t="shared" si="56"/>
        <v>1</v>
      </c>
      <c r="AA60" s="5">
        <f t="shared" si="56"/>
        <v>1</v>
      </c>
      <c r="AB60" s="5">
        <f t="shared" si="56"/>
        <v>1</v>
      </c>
      <c r="AC60" s="5">
        <f t="shared" si="56"/>
        <v>1</v>
      </c>
      <c r="AD60" s="5">
        <f t="shared" si="56"/>
        <v>1</v>
      </c>
      <c r="AE60" s="5">
        <f t="shared" si="56"/>
        <v>1</v>
      </c>
      <c r="AF60" s="5">
        <f t="shared" si="56"/>
        <v>1</v>
      </c>
      <c r="AG60" s="5">
        <f t="shared" si="56"/>
        <v>1</v>
      </c>
      <c r="AH60" s="5">
        <f t="shared" si="56"/>
        <v>1</v>
      </c>
      <c r="AI60" s="5">
        <f t="shared" si="56"/>
        <v>1</v>
      </c>
      <c r="AJ60" s="5">
        <f t="shared" si="56"/>
        <v>1</v>
      </c>
      <c r="AK60" s="5">
        <f t="shared" si="56"/>
        <v>1</v>
      </c>
      <c r="AL60" s="5">
        <f t="shared" si="56"/>
        <v>1</v>
      </c>
      <c r="AM60" s="5">
        <f t="shared" si="56"/>
        <v>1</v>
      </c>
      <c r="AN60" s="5">
        <f t="shared" si="56"/>
        <v>1</v>
      </c>
      <c r="AO60" s="5">
        <f t="shared" si="56"/>
        <v>1</v>
      </c>
      <c r="AP60" s="5">
        <f t="shared" si="56"/>
        <v>1</v>
      </c>
      <c r="AQ60" s="5">
        <f t="shared" si="56"/>
        <v>1</v>
      </c>
      <c r="AR60" s="5">
        <f t="shared" si="56"/>
        <v>1</v>
      </c>
      <c r="AS60" s="5">
        <f t="shared" si="56"/>
        <v>1</v>
      </c>
      <c r="AT60" s="5">
        <f t="shared" si="56"/>
        <v>1</v>
      </c>
      <c r="AU60" s="5">
        <f t="shared" si="56"/>
        <v>1</v>
      </c>
      <c r="AV60" s="5">
        <f t="shared" si="56"/>
        <v>1</v>
      </c>
      <c r="AW60" s="5">
        <f t="shared" si="56"/>
        <v>1</v>
      </c>
      <c r="AX60" s="5">
        <f t="shared" si="56"/>
        <v>1</v>
      </c>
      <c r="AY60" s="5">
        <f t="shared" si="56"/>
        <v>1</v>
      </c>
      <c r="AZ60" s="5">
        <f t="shared" si="56"/>
        <v>1</v>
      </c>
      <c r="BA60" s="5">
        <f t="shared" si="56"/>
        <v>1</v>
      </c>
      <c r="BB60" s="8"/>
      <c r="BC60" s="8"/>
      <c r="BD60" s="8"/>
      <c r="BE60" s="8"/>
      <c r="BF60" s="8"/>
      <c r="BG60" s="8"/>
      <c r="BH60" s="8"/>
      <c r="BI60" s="8"/>
    </row>
    <row r="61" ht="12.75" customHeight="1">
      <c r="A61" s="4">
        <v>109.0</v>
      </c>
      <c r="B61" s="5" t="s">
        <v>246</v>
      </c>
      <c r="C61" s="5" t="s">
        <v>247</v>
      </c>
      <c r="D61" s="5" t="s">
        <v>248</v>
      </c>
      <c r="E61" s="5" t="s">
        <v>22</v>
      </c>
      <c r="F61" s="6">
        <v>45068.0</v>
      </c>
      <c r="G61" s="5" t="s">
        <v>23</v>
      </c>
      <c r="H61" s="6">
        <v>45068.0</v>
      </c>
      <c r="I61" s="5" t="s">
        <v>64</v>
      </c>
      <c r="J61" s="5" t="s">
        <v>35</v>
      </c>
      <c r="K61" s="5" t="s">
        <v>25</v>
      </c>
      <c r="L61" s="5" t="s">
        <v>104</v>
      </c>
      <c r="M61" s="5" t="s">
        <v>39</v>
      </c>
      <c r="N61" s="5" t="s">
        <v>59</v>
      </c>
      <c r="O61" s="5" t="s">
        <v>30</v>
      </c>
      <c r="P61" s="7" t="s">
        <v>75</v>
      </c>
      <c r="Q61" s="7" t="str">
        <f t="array" ref="Q61">IF($M61="Yes","Cost of Goods Sold:COGS- Travel Expenses:",IF($M61="No",XLOOKUP($P61,Key!$I:$I,Key!$J:$J),"Review Billable Status"))</f>
        <v>Cost of Goods Sold:COGS- Travel Expenses:</v>
      </c>
      <c r="R61" s="7" t="str">
        <f t="array" ref="R61">IF($M61="Yes","Cost of Goods Sold:COGS- Personnel Expense:",IF($M61="No",XLOOKUP($P61,Key!$I:$I,Key!$K:$K),"Review Billable Status"))</f>
        <v>Cost of Goods Sold:COGS- Personnel Expense:</v>
      </c>
      <c r="S61" s="10" t="str">
        <f t="array" ref="S61">IF($G61="Paid Intern","PD Intern",IF($G61="Contractor/Consultant","Contractor",XLOOKUP(M61&amp;P61,Key!$M:$M,Key!$L:$L)))</f>
        <v>COR</v>
      </c>
      <c r="T61" s="5">
        <f t="shared" ref="T61:BA61" si="57">IF(OR($F61&gt;T$12,AND($G61="Terminated",T$12&gt;=$H61)),0,1)</f>
        <v>1</v>
      </c>
      <c r="U61" s="5">
        <f t="shared" si="57"/>
        <v>1</v>
      </c>
      <c r="V61" s="5">
        <f t="shared" si="57"/>
        <v>1</v>
      </c>
      <c r="W61" s="5">
        <f t="shared" si="57"/>
        <v>1</v>
      </c>
      <c r="X61" s="5">
        <f t="shared" si="57"/>
        <v>1</v>
      </c>
      <c r="Y61" s="5">
        <f t="shared" si="57"/>
        <v>1</v>
      </c>
      <c r="Z61" s="5">
        <f t="shared" si="57"/>
        <v>1</v>
      </c>
      <c r="AA61" s="5">
        <f t="shared" si="57"/>
        <v>1</v>
      </c>
      <c r="AB61" s="5">
        <f t="shared" si="57"/>
        <v>1</v>
      </c>
      <c r="AC61" s="5">
        <f t="shared" si="57"/>
        <v>1</v>
      </c>
      <c r="AD61" s="5">
        <f t="shared" si="57"/>
        <v>1</v>
      </c>
      <c r="AE61" s="5">
        <f t="shared" si="57"/>
        <v>1</v>
      </c>
      <c r="AF61" s="5">
        <f t="shared" si="57"/>
        <v>1</v>
      </c>
      <c r="AG61" s="5">
        <f t="shared" si="57"/>
        <v>1</v>
      </c>
      <c r="AH61" s="5">
        <f t="shared" si="57"/>
        <v>1</v>
      </c>
      <c r="AI61" s="5">
        <f t="shared" si="57"/>
        <v>1</v>
      </c>
      <c r="AJ61" s="5">
        <f t="shared" si="57"/>
        <v>1</v>
      </c>
      <c r="AK61" s="5">
        <f t="shared" si="57"/>
        <v>1</v>
      </c>
      <c r="AL61" s="5">
        <f t="shared" si="57"/>
        <v>1</v>
      </c>
      <c r="AM61" s="5">
        <f t="shared" si="57"/>
        <v>1</v>
      </c>
      <c r="AN61" s="5">
        <f t="shared" si="57"/>
        <v>1</v>
      </c>
      <c r="AO61" s="5">
        <f t="shared" si="57"/>
        <v>1</v>
      </c>
      <c r="AP61" s="5">
        <f t="shared" si="57"/>
        <v>1</v>
      </c>
      <c r="AQ61" s="5">
        <f t="shared" si="57"/>
        <v>1</v>
      </c>
      <c r="AR61" s="5">
        <f t="shared" si="57"/>
        <v>1</v>
      </c>
      <c r="AS61" s="5">
        <f t="shared" si="57"/>
        <v>1</v>
      </c>
      <c r="AT61" s="5">
        <f t="shared" si="57"/>
        <v>1</v>
      </c>
      <c r="AU61" s="5">
        <f t="shared" si="57"/>
        <v>1</v>
      </c>
      <c r="AV61" s="5">
        <f t="shared" si="57"/>
        <v>1</v>
      </c>
      <c r="AW61" s="5">
        <f t="shared" si="57"/>
        <v>1</v>
      </c>
      <c r="AX61" s="5">
        <f t="shared" si="57"/>
        <v>1</v>
      </c>
      <c r="AY61" s="5">
        <f t="shared" si="57"/>
        <v>1</v>
      </c>
      <c r="AZ61" s="5">
        <f t="shared" si="57"/>
        <v>1</v>
      </c>
      <c r="BA61" s="5">
        <f t="shared" si="57"/>
        <v>1</v>
      </c>
      <c r="BB61" s="8"/>
      <c r="BC61" s="8"/>
      <c r="BD61" s="8"/>
      <c r="BE61" s="8"/>
      <c r="BF61" s="8"/>
      <c r="BG61" s="8"/>
      <c r="BH61" s="8"/>
      <c r="BI61" s="8"/>
    </row>
    <row r="62" ht="12.75" customHeight="1">
      <c r="A62" s="4">
        <v>110.0</v>
      </c>
      <c r="B62" s="5" t="s">
        <v>249</v>
      </c>
      <c r="C62" s="5" t="s">
        <v>250</v>
      </c>
      <c r="D62" s="5" t="s">
        <v>251</v>
      </c>
      <c r="E62" s="5" t="s">
        <v>112</v>
      </c>
      <c r="F62" s="6">
        <v>44137.0</v>
      </c>
      <c r="G62" s="5" t="s">
        <v>23</v>
      </c>
      <c r="H62" s="6">
        <v>44137.0</v>
      </c>
      <c r="I62" s="5" t="s">
        <v>34</v>
      </c>
      <c r="J62" s="5" t="s">
        <v>130</v>
      </c>
      <c r="K62" s="5" t="s">
        <v>107</v>
      </c>
      <c r="L62" s="5" t="s">
        <v>228</v>
      </c>
      <c r="M62" s="5" t="s">
        <v>39</v>
      </c>
      <c r="N62" s="5" t="s">
        <v>40</v>
      </c>
      <c r="O62" s="5" t="s">
        <v>252</v>
      </c>
      <c r="P62" s="7" t="s">
        <v>132</v>
      </c>
      <c r="Q62" s="7" t="str">
        <f t="array" ref="Q62">IF($M62="Yes","Cost of Goods Sold:COGS- Travel Expenses:",IF($M62="No",XLOOKUP($P62,Key!$I:$I,Key!$J:$J),"Review Billable Status"))</f>
        <v>Cost of Goods Sold:COGS- Travel Expenses:</v>
      </c>
      <c r="R62" s="7" t="str">
        <f t="array" ref="R62">IF($M62="Yes","Cost of Goods Sold:COGS- Personnel Expense:",IF($M62="No",XLOOKUP($P62,Key!$I:$I,Key!$K:$K),"Review Billable Status"))</f>
        <v>Cost of Goods Sold:COGS- Personnel Expense:</v>
      </c>
      <c r="S62" s="10" t="str">
        <f t="array" ref="S62">IF($G62="Paid Intern","PD Intern",IF($G62="Contractor/Consultant","Contractor",XLOOKUP(M62&amp;P62,Key!$M:$M,Key!$L:$L)))</f>
        <v>COR</v>
      </c>
      <c r="T62" s="5">
        <f t="shared" ref="T62:BA62" si="58">IF(OR($F62&gt;T$12,AND($G62="Terminated",T$12&gt;=$H62)),0,1)</f>
        <v>1</v>
      </c>
      <c r="U62" s="5">
        <f t="shared" si="58"/>
        <v>1</v>
      </c>
      <c r="V62" s="5">
        <f t="shared" si="58"/>
        <v>1</v>
      </c>
      <c r="W62" s="5">
        <f t="shared" si="58"/>
        <v>1</v>
      </c>
      <c r="X62" s="5">
        <f t="shared" si="58"/>
        <v>1</v>
      </c>
      <c r="Y62" s="5">
        <f t="shared" si="58"/>
        <v>1</v>
      </c>
      <c r="Z62" s="5">
        <f t="shared" si="58"/>
        <v>1</v>
      </c>
      <c r="AA62" s="5">
        <f t="shared" si="58"/>
        <v>1</v>
      </c>
      <c r="AB62" s="5">
        <f t="shared" si="58"/>
        <v>1</v>
      </c>
      <c r="AC62" s="5">
        <f t="shared" si="58"/>
        <v>1</v>
      </c>
      <c r="AD62" s="5">
        <f t="shared" si="58"/>
        <v>1</v>
      </c>
      <c r="AE62" s="5">
        <f t="shared" si="58"/>
        <v>1</v>
      </c>
      <c r="AF62" s="5">
        <f t="shared" si="58"/>
        <v>1</v>
      </c>
      <c r="AG62" s="5">
        <f t="shared" si="58"/>
        <v>1</v>
      </c>
      <c r="AH62" s="5">
        <f t="shared" si="58"/>
        <v>1</v>
      </c>
      <c r="AI62" s="5">
        <f t="shared" si="58"/>
        <v>1</v>
      </c>
      <c r="AJ62" s="5">
        <f t="shared" si="58"/>
        <v>1</v>
      </c>
      <c r="AK62" s="5">
        <f t="shared" si="58"/>
        <v>1</v>
      </c>
      <c r="AL62" s="5">
        <f t="shared" si="58"/>
        <v>1</v>
      </c>
      <c r="AM62" s="5">
        <f t="shared" si="58"/>
        <v>1</v>
      </c>
      <c r="AN62" s="5">
        <f t="shared" si="58"/>
        <v>1</v>
      </c>
      <c r="AO62" s="5">
        <f t="shared" si="58"/>
        <v>1</v>
      </c>
      <c r="AP62" s="5">
        <f t="shared" si="58"/>
        <v>1</v>
      </c>
      <c r="AQ62" s="5">
        <f t="shared" si="58"/>
        <v>1</v>
      </c>
      <c r="AR62" s="5">
        <f t="shared" si="58"/>
        <v>1</v>
      </c>
      <c r="AS62" s="5">
        <f t="shared" si="58"/>
        <v>1</v>
      </c>
      <c r="AT62" s="5">
        <f t="shared" si="58"/>
        <v>1</v>
      </c>
      <c r="AU62" s="5">
        <f t="shared" si="58"/>
        <v>1</v>
      </c>
      <c r="AV62" s="5">
        <f t="shared" si="58"/>
        <v>1</v>
      </c>
      <c r="AW62" s="5">
        <f t="shared" si="58"/>
        <v>1</v>
      </c>
      <c r="AX62" s="5">
        <f t="shared" si="58"/>
        <v>1</v>
      </c>
      <c r="AY62" s="5">
        <f t="shared" si="58"/>
        <v>1</v>
      </c>
      <c r="AZ62" s="5">
        <f t="shared" si="58"/>
        <v>1</v>
      </c>
      <c r="BA62" s="5">
        <f t="shared" si="58"/>
        <v>1</v>
      </c>
      <c r="BB62" s="8"/>
      <c r="BC62" s="8"/>
      <c r="BD62" s="8"/>
      <c r="BE62" s="8"/>
      <c r="BF62" s="8"/>
      <c r="BG62" s="8"/>
      <c r="BH62" s="8"/>
      <c r="BI62" s="8"/>
    </row>
    <row r="63" ht="12.75" customHeight="1">
      <c r="A63" s="4">
        <v>111.0</v>
      </c>
      <c r="B63" s="5" t="s">
        <v>253</v>
      </c>
      <c r="C63" s="5" t="s">
        <v>254</v>
      </c>
      <c r="D63" s="5" t="s">
        <v>255</v>
      </c>
      <c r="E63" s="5" t="s">
        <v>112</v>
      </c>
      <c r="F63" s="6">
        <v>44838.0</v>
      </c>
      <c r="G63" s="5" t="s">
        <v>23</v>
      </c>
      <c r="H63" s="6">
        <v>44838.0</v>
      </c>
      <c r="I63" s="5" t="s">
        <v>24</v>
      </c>
      <c r="J63" s="5" t="s">
        <v>256</v>
      </c>
      <c r="K63" s="5" t="s">
        <v>107</v>
      </c>
      <c r="L63" s="5" t="s">
        <v>257</v>
      </c>
      <c r="M63" s="5" t="s">
        <v>28</v>
      </c>
      <c r="N63" s="5" t="s">
        <v>52</v>
      </c>
      <c r="O63" s="5" t="s">
        <v>259</v>
      </c>
      <c r="P63" s="7" t="s">
        <v>258</v>
      </c>
      <c r="Q63" s="7" t="str">
        <f t="array" ref="Q63">IF($M63="Yes","Cost of Goods Sold:COGS- Travel Expenses:",IF($M63="No",XLOOKUP($P63,Key!$I:$I,Key!$J:$J),"Review Billable Status"))</f>
        <v>Sales &amp; Marketing:Sales &amp; Marketing- Travel Expenses:</v>
      </c>
      <c r="R63" s="7" t="str">
        <f t="array" ref="R63">IF($M63="Yes","Cost of Goods Sold:COGS- Personnel Expense:",IF($M63="No",XLOOKUP($P63,Key!$I:$I,Key!$K:$K),"Review Billable Status"))</f>
        <v>Sales &amp; Marketing:Sales &amp; Marketing- Personnel Expenses:</v>
      </c>
      <c r="S63" s="10" t="str">
        <f t="array" ref="S63">IF($G63="Paid Intern","PD Intern",IF($G63="Contractor/Consultant","Contractor",XLOOKUP(M63&amp;P63,Key!$M:$M,Key!$L:$L)))</f>
        <v>S&amp;M</v>
      </c>
      <c r="T63" s="5">
        <f t="shared" ref="T63:BA63" si="59">IF(OR($F63&gt;T$12,AND($G63="Terminated",T$12&gt;=$H63)),0,1)</f>
        <v>1</v>
      </c>
      <c r="U63" s="5">
        <f t="shared" si="59"/>
        <v>1</v>
      </c>
      <c r="V63" s="5">
        <f t="shared" si="59"/>
        <v>1</v>
      </c>
      <c r="W63" s="5">
        <f t="shared" si="59"/>
        <v>1</v>
      </c>
      <c r="X63" s="5">
        <f t="shared" si="59"/>
        <v>1</v>
      </c>
      <c r="Y63" s="5">
        <f t="shared" si="59"/>
        <v>1</v>
      </c>
      <c r="Z63" s="5">
        <f t="shared" si="59"/>
        <v>1</v>
      </c>
      <c r="AA63" s="5">
        <f t="shared" si="59"/>
        <v>1</v>
      </c>
      <c r="AB63" s="5">
        <f t="shared" si="59"/>
        <v>1</v>
      </c>
      <c r="AC63" s="5">
        <f t="shared" si="59"/>
        <v>1</v>
      </c>
      <c r="AD63" s="5">
        <f t="shared" si="59"/>
        <v>1</v>
      </c>
      <c r="AE63" s="5">
        <f t="shared" si="59"/>
        <v>1</v>
      </c>
      <c r="AF63" s="5">
        <f t="shared" si="59"/>
        <v>1</v>
      </c>
      <c r="AG63" s="5">
        <f t="shared" si="59"/>
        <v>1</v>
      </c>
      <c r="AH63" s="5">
        <f t="shared" si="59"/>
        <v>1</v>
      </c>
      <c r="AI63" s="5">
        <f t="shared" si="59"/>
        <v>1</v>
      </c>
      <c r="AJ63" s="5">
        <f t="shared" si="59"/>
        <v>1</v>
      </c>
      <c r="AK63" s="5">
        <f t="shared" si="59"/>
        <v>1</v>
      </c>
      <c r="AL63" s="5">
        <f t="shared" si="59"/>
        <v>1</v>
      </c>
      <c r="AM63" s="5">
        <f t="shared" si="59"/>
        <v>1</v>
      </c>
      <c r="AN63" s="5">
        <f t="shared" si="59"/>
        <v>1</v>
      </c>
      <c r="AO63" s="5">
        <f t="shared" si="59"/>
        <v>1</v>
      </c>
      <c r="AP63" s="5">
        <f t="shared" si="59"/>
        <v>1</v>
      </c>
      <c r="AQ63" s="5">
        <f t="shared" si="59"/>
        <v>1</v>
      </c>
      <c r="AR63" s="5">
        <f t="shared" si="59"/>
        <v>1</v>
      </c>
      <c r="AS63" s="5">
        <f t="shared" si="59"/>
        <v>1</v>
      </c>
      <c r="AT63" s="5">
        <f t="shared" si="59"/>
        <v>1</v>
      </c>
      <c r="AU63" s="5">
        <f t="shared" si="59"/>
        <v>1</v>
      </c>
      <c r="AV63" s="5">
        <f t="shared" si="59"/>
        <v>1</v>
      </c>
      <c r="AW63" s="5">
        <f t="shared" si="59"/>
        <v>1</v>
      </c>
      <c r="AX63" s="5">
        <f t="shared" si="59"/>
        <v>1</v>
      </c>
      <c r="AY63" s="5">
        <f t="shared" si="59"/>
        <v>1</v>
      </c>
      <c r="AZ63" s="5">
        <f t="shared" si="59"/>
        <v>1</v>
      </c>
      <c r="BA63" s="5">
        <f t="shared" si="59"/>
        <v>1</v>
      </c>
      <c r="BB63" s="8"/>
      <c r="BC63" s="8"/>
      <c r="BD63" s="8"/>
      <c r="BE63" s="8"/>
      <c r="BF63" s="8"/>
      <c r="BG63" s="8"/>
      <c r="BH63" s="8"/>
      <c r="BI63" s="8"/>
    </row>
    <row r="64" ht="12.75" customHeight="1">
      <c r="A64" s="4">
        <v>116.0</v>
      </c>
      <c r="B64" s="5" t="s">
        <v>206</v>
      </c>
      <c r="C64" s="5" t="s">
        <v>260</v>
      </c>
      <c r="D64" s="5" t="s">
        <v>261</v>
      </c>
      <c r="E64" s="5" t="s">
        <v>22</v>
      </c>
      <c r="F64" s="6">
        <v>45082.0</v>
      </c>
      <c r="G64" s="5" t="s">
        <v>23</v>
      </c>
      <c r="H64" s="6">
        <v>46113.0</v>
      </c>
      <c r="I64" s="5" t="s">
        <v>34</v>
      </c>
      <c r="J64" s="5" t="s">
        <v>35</v>
      </c>
      <c r="K64" s="5" t="s">
        <v>25</v>
      </c>
      <c r="L64" s="5" t="s">
        <v>153</v>
      </c>
      <c r="M64" s="5" t="s">
        <v>39</v>
      </c>
      <c r="N64" s="5" t="s">
        <v>239</v>
      </c>
      <c r="O64" s="5" t="s">
        <v>30</v>
      </c>
      <c r="P64" s="7" t="s">
        <v>38</v>
      </c>
      <c r="Q64" s="7" t="str">
        <f t="array" ref="Q64">IF($M64="Yes","Cost of Goods Sold:COGS- Travel Expenses:",IF($M64="No",XLOOKUP($P64,Key!$I:$I,Key!$J:$J),"Review Billable Status"))</f>
        <v>Cost of Goods Sold:COGS- Travel Expenses:</v>
      </c>
      <c r="R64" s="7" t="str">
        <f t="array" ref="R64">IF($M64="Yes","Cost of Goods Sold:COGS- Personnel Expense:",IF($M64="No",XLOOKUP($P64,Key!$I:$I,Key!$K:$K),"Review Billable Status"))</f>
        <v>Cost of Goods Sold:COGS- Personnel Expense:</v>
      </c>
      <c r="S64" s="10" t="str">
        <f t="array" ref="S64">IF($G64="Paid Intern","PD Intern",IF($G64="Contractor/Consultant","Contractor",XLOOKUP(M64&amp;P64,Key!$M:$M,Key!$L:$L)))</f>
        <v>COR</v>
      </c>
      <c r="T64" s="5">
        <f t="shared" ref="T64:BA64" si="60">IF(OR($F64&gt;T$12,AND($G64="Terminated",T$12&gt;=$H64)),0,1)</f>
        <v>1</v>
      </c>
      <c r="U64" s="5">
        <f t="shared" si="60"/>
        <v>1</v>
      </c>
      <c r="V64" s="5">
        <f t="shared" si="60"/>
        <v>1</v>
      </c>
      <c r="W64" s="5">
        <f t="shared" si="60"/>
        <v>1</v>
      </c>
      <c r="X64" s="5">
        <f t="shared" si="60"/>
        <v>1</v>
      </c>
      <c r="Y64" s="5">
        <f t="shared" si="60"/>
        <v>1</v>
      </c>
      <c r="Z64" s="5">
        <f t="shared" si="60"/>
        <v>1</v>
      </c>
      <c r="AA64" s="5">
        <f t="shared" si="60"/>
        <v>1</v>
      </c>
      <c r="AB64" s="5">
        <f t="shared" si="60"/>
        <v>1</v>
      </c>
      <c r="AC64" s="5">
        <f t="shared" si="60"/>
        <v>1</v>
      </c>
      <c r="AD64" s="5">
        <f t="shared" si="60"/>
        <v>1</v>
      </c>
      <c r="AE64" s="5">
        <f t="shared" si="60"/>
        <v>1</v>
      </c>
      <c r="AF64" s="5">
        <f t="shared" si="60"/>
        <v>1</v>
      </c>
      <c r="AG64" s="5">
        <f t="shared" si="60"/>
        <v>1</v>
      </c>
      <c r="AH64" s="5">
        <f t="shared" si="60"/>
        <v>1</v>
      </c>
      <c r="AI64" s="5">
        <f t="shared" si="60"/>
        <v>1</v>
      </c>
      <c r="AJ64" s="5">
        <f t="shared" si="60"/>
        <v>1</v>
      </c>
      <c r="AK64" s="5">
        <f t="shared" si="60"/>
        <v>1</v>
      </c>
      <c r="AL64" s="5">
        <f t="shared" si="60"/>
        <v>1</v>
      </c>
      <c r="AM64" s="5">
        <f t="shared" si="60"/>
        <v>1</v>
      </c>
      <c r="AN64" s="5">
        <f t="shared" si="60"/>
        <v>1</v>
      </c>
      <c r="AO64" s="5">
        <f t="shared" si="60"/>
        <v>1</v>
      </c>
      <c r="AP64" s="5">
        <f t="shared" si="60"/>
        <v>1</v>
      </c>
      <c r="AQ64" s="5">
        <f t="shared" si="60"/>
        <v>1</v>
      </c>
      <c r="AR64" s="5">
        <f t="shared" si="60"/>
        <v>1</v>
      </c>
      <c r="AS64" s="5">
        <f t="shared" si="60"/>
        <v>1</v>
      </c>
      <c r="AT64" s="5">
        <f t="shared" si="60"/>
        <v>1</v>
      </c>
      <c r="AU64" s="5">
        <f t="shared" si="60"/>
        <v>1</v>
      </c>
      <c r="AV64" s="5">
        <f t="shared" si="60"/>
        <v>1</v>
      </c>
      <c r="AW64" s="5">
        <f t="shared" si="60"/>
        <v>1</v>
      </c>
      <c r="AX64" s="5">
        <f t="shared" si="60"/>
        <v>1</v>
      </c>
      <c r="AY64" s="5">
        <f t="shared" si="60"/>
        <v>1</v>
      </c>
      <c r="AZ64" s="5">
        <f t="shared" si="60"/>
        <v>1</v>
      </c>
      <c r="BA64" s="5">
        <f t="shared" si="60"/>
        <v>1</v>
      </c>
      <c r="BB64" s="8"/>
      <c r="BC64" s="8"/>
      <c r="BD64" s="8"/>
      <c r="BE64" s="8"/>
      <c r="BF64" s="8"/>
      <c r="BG64" s="8"/>
      <c r="BH64" s="8"/>
      <c r="BI64" s="8"/>
    </row>
    <row r="65" ht="12.75" customHeight="1">
      <c r="A65" s="4">
        <v>118.0</v>
      </c>
      <c r="B65" s="5" t="s">
        <v>262</v>
      </c>
      <c r="C65" s="5" t="s">
        <v>263</v>
      </c>
      <c r="D65" s="5" t="s">
        <v>264</v>
      </c>
      <c r="E65" s="5" t="s">
        <v>22</v>
      </c>
      <c r="F65" s="6">
        <v>45107.0</v>
      </c>
      <c r="G65" s="5" t="s">
        <v>23</v>
      </c>
      <c r="H65" s="6">
        <v>45107.0</v>
      </c>
      <c r="I65" s="5" t="s">
        <v>34</v>
      </c>
      <c r="J65" s="5" t="s">
        <v>45</v>
      </c>
      <c r="K65" s="5" t="s">
        <v>36</v>
      </c>
      <c r="L65" s="5" t="s">
        <v>140</v>
      </c>
      <c r="M65" s="5" t="s">
        <v>28</v>
      </c>
      <c r="N65" s="5" t="s">
        <v>59</v>
      </c>
      <c r="O65" s="5" t="s">
        <v>41</v>
      </c>
      <c r="P65" s="7" t="s">
        <v>47</v>
      </c>
      <c r="Q65" s="7" t="str">
        <f t="array" ref="Q65">IF($M65="Yes","Cost of Goods Sold:COGS- Travel Expenses:",IF($M65="No",XLOOKUP($P65,Key!$I:$I,Key!$J:$J),"Review Billable Status"))</f>
        <v>Sales &amp; Marketing:Sales &amp; Marketing- Travel Expenses:</v>
      </c>
      <c r="R65" s="7" t="str">
        <f t="array" ref="R65">IF($M65="Yes","Cost of Goods Sold:COGS- Personnel Expense:",IF($M65="No",XLOOKUP($P65,Key!$I:$I,Key!$K:$K),"Review Billable Status"))</f>
        <v>Sales &amp; Marketing:Sales &amp; Marketing- Personnel Expenses:</v>
      </c>
      <c r="S65" s="10" t="str">
        <f t="array" ref="S65">IF($G65="Paid Intern","PD Intern",IF($G65="Contractor/Consultant","Contractor",XLOOKUP(M65&amp;P65,Key!$M:$M,Key!$L:$L)))</f>
        <v>S&amp;M</v>
      </c>
      <c r="T65" s="5">
        <f t="shared" ref="T65:BA65" si="61">IF(OR($F65&gt;T$12,AND($G65="Terminated",T$12&gt;=$H65)),0,1)</f>
        <v>1</v>
      </c>
      <c r="U65" s="5">
        <f t="shared" si="61"/>
        <v>1</v>
      </c>
      <c r="V65" s="5">
        <f t="shared" si="61"/>
        <v>1</v>
      </c>
      <c r="W65" s="5">
        <f t="shared" si="61"/>
        <v>1</v>
      </c>
      <c r="X65" s="5">
        <f t="shared" si="61"/>
        <v>1</v>
      </c>
      <c r="Y65" s="5">
        <f t="shared" si="61"/>
        <v>1</v>
      </c>
      <c r="Z65" s="5">
        <f t="shared" si="61"/>
        <v>1</v>
      </c>
      <c r="AA65" s="5">
        <f t="shared" si="61"/>
        <v>1</v>
      </c>
      <c r="AB65" s="5">
        <f t="shared" si="61"/>
        <v>1</v>
      </c>
      <c r="AC65" s="5">
        <f t="shared" si="61"/>
        <v>1</v>
      </c>
      <c r="AD65" s="5">
        <f t="shared" si="61"/>
        <v>1</v>
      </c>
      <c r="AE65" s="5">
        <f t="shared" si="61"/>
        <v>1</v>
      </c>
      <c r="AF65" s="5">
        <f t="shared" si="61"/>
        <v>1</v>
      </c>
      <c r="AG65" s="5">
        <f t="shared" si="61"/>
        <v>1</v>
      </c>
      <c r="AH65" s="5">
        <f t="shared" si="61"/>
        <v>1</v>
      </c>
      <c r="AI65" s="5">
        <f t="shared" si="61"/>
        <v>1</v>
      </c>
      <c r="AJ65" s="5">
        <f t="shared" si="61"/>
        <v>1</v>
      </c>
      <c r="AK65" s="5">
        <f t="shared" si="61"/>
        <v>1</v>
      </c>
      <c r="AL65" s="5">
        <f t="shared" si="61"/>
        <v>1</v>
      </c>
      <c r="AM65" s="5">
        <f t="shared" si="61"/>
        <v>1</v>
      </c>
      <c r="AN65" s="5">
        <f t="shared" si="61"/>
        <v>1</v>
      </c>
      <c r="AO65" s="5">
        <f t="shared" si="61"/>
        <v>1</v>
      </c>
      <c r="AP65" s="5">
        <f t="shared" si="61"/>
        <v>1</v>
      </c>
      <c r="AQ65" s="5">
        <f t="shared" si="61"/>
        <v>1</v>
      </c>
      <c r="AR65" s="5">
        <f t="shared" si="61"/>
        <v>1</v>
      </c>
      <c r="AS65" s="5">
        <f t="shared" si="61"/>
        <v>1</v>
      </c>
      <c r="AT65" s="5">
        <f t="shared" si="61"/>
        <v>1</v>
      </c>
      <c r="AU65" s="5">
        <f t="shared" si="61"/>
        <v>1</v>
      </c>
      <c r="AV65" s="5">
        <f t="shared" si="61"/>
        <v>1</v>
      </c>
      <c r="AW65" s="5">
        <f t="shared" si="61"/>
        <v>1</v>
      </c>
      <c r="AX65" s="5">
        <f t="shared" si="61"/>
        <v>1</v>
      </c>
      <c r="AY65" s="5">
        <f t="shared" si="61"/>
        <v>1</v>
      </c>
      <c r="AZ65" s="5">
        <f t="shared" si="61"/>
        <v>1</v>
      </c>
      <c r="BA65" s="5">
        <f t="shared" si="61"/>
        <v>1</v>
      </c>
      <c r="BB65" s="8"/>
      <c r="BC65" s="8"/>
      <c r="BD65" s="8"/>
      <c r="BE65" s="8"/>
      <c r="BF65" s="8"/>
      <c r="BG65" s="8"/>
      <c r="BH65" s="8"/>
      <c r="BI65" s="8"/>
    </row>
    <row r="66" ht="12.75" customHeight="1">
      <c r="A66" s="4">
        <v>120.0</v>
      </c>
      <c r="B66" s="5" t="s">
        <v>265</v>
      </c>
      <c r="C66" s="5" t="s">
        <v>266</v>
      </c>
      <c r="D66" s="5" t="s">
        <v>267</v>
      </c>
      <c r="E66" s="5" t="s">
        <v>22</v>
      </c>
      <c r="F66" s="6">
        <v>45145.0</v>
      </c>
      <c r="G66" s="5" t="s">
        <v>23</v>
      </c>
      <c r="H66" s="6">
        <v>45145.0</v>
      </c>
      <c r="I66" s="5" t="s">
        <v>34</v>
      </c>
      <c r="J66" s="5" t="s">
        <v>35</v>
      </c>
      <c r="K66" s="5" t="s">
        <v>36</v>
      </c>
      <c r="L66" s="5" t="s">
        <v>37</v>
      </c>
      <c r="M66" s="5" t="s">
        <v>39</v>
      </c>
      <c r="N66" s="5" t="s">
        <v>59</v>
      </c>
      <c r="O66" s="5" t="s">
        <v>149</v>
      </c>
      <c r="P66" s="7" t="s">
        <v>38</v>
      </c>
      <c r="Q66" s="7" t="str">
        <f t="array" ref="Q66">IF($M66="Yes","Cost of Goods Sold:COGS- Travel Expenses:",IF($M66="No",XLOOKUP($P66,Key!$I:$I,Key!$J:$J),"Review Billable Status"))</f>
        <v>Cost of Goods Sold:COGS- Travel Expenses:</v>
      </c>
      <c r="R66" s="7" t="str">
        <f t="array" ref="R66">IF($M66="Yes","Cost of Goods Sold:COGS- Personnel Expense:",IF($M66="No",XLOOKUP($P66,Key!$I:$I,Key!$K:$K),"Review Billable Status"))</f>
        <v>Cost of Goods Sold:COGS- Personnel Expense:</v>
      </c>
      <c r="S66" s="10" t="str">
        <f t="array" ref="S66">IF($G66="Paid Intern","PD Intern",IF($G66="Contractor/Consultant","Contractor",XLOOKUP(M66&amp;P66,Key!$M:$M,Key!$L:$L)))</f>
        <v>COR</v>
      </c>
      <c r="T66" s="5">
        <f t="shared" ref="T66:BA66" si="62">IF(OR($F66&gt;T$12,AND($G66="Terminated",T$12&gt;=$H66)),0,1)</f>
        <v>1</v>
      </c>
      <c r="U66" s="5">
        <f t="shared" si="62"/>
        <v>1</v>
      </c>
      <c r="V66" s="5">
        <f t="shared" si="62"/>
        <v>1</v>
      </c>
      <c r="W66" s="5">
        <f t="shared" si="62"/>
        <v>1</v>
      </c>
      <c r="X66" s="5">
        <f t="shared" si="62"/>
        <v>1</v>
      </c>
      <c r="Y66" s="5">
        <f t="shared" si="62"/>
        <v>1</v>
      </c>
      <c r="Z66" s="5">
        <f t="shared" si="62"/>
        <v>1</v>
      </c>
      <c r="AA66" s="5">
        <f t="shared" si="62"/>
        <v>1</v>
      </c>
      <c r="AB66" s="5">
        <f t="shared" si="62"/>
        <v>1</v>
      </c>
      <c r="AC66" s="5">
        <f t="shared" si="62"/>
        <v>1</v>
      </c>
      <c r="AD66" s="5">
        <f t="shared" si="62"/>
        <v>1</v>
      </c>
      <c r="AE66" s="5">
        <f t="shared" si="62"/>
        <v>1</v>
      </c>
      <c r="AF66" s="5">
        <f t="shared" si="62"/>
        <v>1</v>
      </c>
      <c r="AG66" s="5">
        <f t="shared" si="62"/>
        <v>1</v>
      </c>
      <c r="AH66" s="5">
        <f t="shared" si="62"/>
        <v>1</v>
      </c>
      <c r="AI66" s="5">
        <f t="shared" si="62"/>
        <v>1</v>
      </c>
      <c r="AJ66" s="5">
        <f t="shared" si="62"/>
        <v>1</v>
      </c>
      <c r="AK66" s="5">
        <f t="shared" si="62"/>
        <v>1</v>
      </c>
      <c r="AL66" s="5">
        <f t="shared" si="62"/>
        <v>1</v>
      </c>
      <c r="AM66" s="5">
        <f t="shared" si="62"/>
        <v>1</v>
      </c>
      <c r="AN66" s="5">
        <f t="shared" si="62"/>
        <v>1</v>
      </c>
      <c r="AO66" s="5">
        <f t="shared" si="62"/>
        <v>1</v>
      </c>
      <c r="AP66" s="5">
        <f t="shared" si="62"/>
        <v>1</v>
      </c>
      <c r="AQ66" s="5">
        <f t="shared" si="62"/>
        <v>1</v>
      </c>
      <c r="AR66" s="5">
        <f t="shared" si="62"/>
        <v>1</v>
      </c>
      <c r="AS66" s="5">
        <f t="shared" si="62"/>
        <v>1</v>
      </c>
      <c r="AT66" s="5">
        <f t="shared" si="62"/>
        <v>1</v>
      </c>
      <c r="AU66" s="5">
        <f t="shared" si="62"/>
        <v>1</v>
      </c>
      <c r="AV66" s="5">
        <f t="shared" si="62"/>
        <v>1</v>
      </c>
      <c r="AW66" s="5">
        <f t="shared" si="62"/>
        <v>1</v>
      </c>
      <c r="AX66" s="5">
        <f t="shared" si="62"/>
        <v>1</v>
      </c>
      <c r="AY66" s="5">
        <f t="shared" si="62"/>
        <v>1</v>
      </c>
      <c r="AZ66" s="5">
        <f t="shared" si="62"/>
        <v>1</v>
      </c>
      <c r="BA66" s="5">
        <f t="shared" si="62"/>
        <v>1</v>
      </c>
      <c r="BB66" s="8"/>
      <c r="BC66" s="8"/>
      <c r="BD66" s="8"/>
      <c r="BE66" s="8"/>
      <c r="BF66" s="8"/>
      <c r="BG66" s="8"/>
      <c r="BH66" s="8"/>
      <c r="BI66" s="8"/>
    </row>
    <row r="67" ht="12.75" customHeight="1">
      <c r="A67" s="4">
        <v>121.0</v>
      </c>
      <c r="B67" s="5" t="s">
        <v>268</v>
      </c>
      <c r="C67" s="5" t="s">
        <v>269</v>
      </c>
      <c r="D67" s="5" t="s">
        <v>270</v>
      </c>
      <c r="E67" s="5" t="s">
        <v>112</v>
      </c>
      <c r="F67" s="6">
        <v>45174.0</v>
      </c>
      <c r="G67" s="5" t="s">
        <v>23</v>
      </c>
      <c r="H67" s="6">
        <v>45173.0</v>
      </c>
      <c r="I67" s="5" t="s">
        <v>24</v>
      </c>
      <c r="J67" s="5" t="s">
        <v>256</v>
      </c>
      <c r="K67" s="5" t="s">
        <v>107</v>
      </c>
      <c r="L67" s="5" t="s">
        <v>271</v>
      </c>
      <c r="M67" s="5" t="s">
        <v>28</v>
      </c>
      <c r="N67" s="5" t="s">
        <v>40</v>
      </c>
      <c r="O67" s="5" t="s">
        <v>272</v>
      </c>
      <c r="P67" s="7" t="s">
        <v>258</v>
      </c>
      <c r="Q67" s="7" t="str">
        <f t="array" ref="Q67">IF($M67="Yes","Cost of Goods Sold:COGS- Travel Expenses:",IF($M67="No",XLOOKUP($P67,Key!$I:$I,Key!$J:$J),"Review Billable Status"))</f>
        <v>Sales &amp; Marketing:Sales &amp; Marketing- Travel Expenses:</v>
      </c>
      <c r="R67" s="7" t="str">
        <f t="array" ref="R67">IF($M67="Yes","Cost of Goods Sold:COGS- Personnel Expense:",IF($M67="No",XLOOKUP($P67,Key!$I:$I,Key!$K:$K),"Review Billable Status"))</f>
        <v>Sales &amp; Marketing:Sales &amp; Marketing- Personnel Expenses:</v>
      </c>
      <c r="S67" s="10" t="str">
        <f t="array" ref="S67">IF($G67="Paid Intern","PD Intern",IF($G67="Contractor/Consultant","Contractor",XLOOKUP(M67&amp;P67,Key!$M:$M,Key!$L:$L)))</f>
        <v>S&amp;M</v>
      </c>
      <c r="T67" s="5">
        <f t="shared" ref="T67:BA67" si="63">IF(OR($F67&gt;T$12,AND($G67="Terminated",T$12&gt;=$H67)),0,1)</f>
        <v>1</v>
      </c>
      <c r="U67" s="5">
        <f t="shared" si="63"/>
        <v>1</v>
      </c>
      <c r="V67" s="5">
        <f t="shared" si="63"/>
        <v>1</v>
      </c>
      <c r="W67" s="5">
        <f t="shared" si="63"/>
        <v>1</v>
      </c>
      <c r="X67" s="5">
        <f t="shared" si="63"/>
        <v>1</v>
      </c>
      <c r="Y67" s="5">
        <f t="shared" si="63"/>
        <v>1</v>
      </c>
      <c r="Z67" s="5">
        <f t="shared" si="63"/>
        <v>1</v>
      </c>
      <c r="AA67" s="5">
        <f t="shared" si="63"/>
        <v>1</v>
      </c>
      <c r="AB67" s="5">
        <f t="shared" si="63"/>
        <v>1</v>
      </c>
      <c r="AC67" s="5">
        <f t="shared" si="63"/>
        <v>1</v>
      </c>
      <c r="AD67" s="5">
        <f t="shared" si="63"/>
        <v>1</v>
      </c>
      <c r="AE67" s="5">
        <f t="shared" si="63"/>
        <v>1</v>
      </c>
      <c r="AF67" s="5">
        <f t="shared" si="63"/>
        <v>1</v>
      </c>
      <c r="AG67" s="5">
        <f t="shared" si="63"/>
        <v>1</v>
      </c>
      <c r="AH67" s="5">
        <f t="shared" si="63"/>
        <v>1</v>
      </c>
      <c r="AI67" s="5">
        <f t="shared" si="63"/>
        <v>1</v>
      </c>
      <c r="AJ67" s="5">
        <f t="shared" si="63"/>
        <v>1</v>
      </c>
      <c r="AK67" s="5">
        <f t="shared" si="63"/>
        <v>1</v>
      </c>
      <c r="AL67" s="5">
        <f t="shared" si="63"/>
        <v>1</v>
      </c>
      <c r="AM67" s="5">
        <f t="shared" si="63"/>
        <v>1</v>
      </c>
      <c r="AN67" s="5">
        <f t="shared" si="63"/>
        <v>1</v>
      </c>
      <c r="AO67" s="5">
        <f t="shared" si="63"/>
        <v>1</v>
      </c>
      <c r="AP67" s="5">
        <f t="shared" si="63"/>
        <v>1</v>
      </c>
      <c r="AQ67" s="5">
        <f t="shared" si="63"/>
        <v>1</v>
      </c>
      <c r="AR67" s="5">
        <f t="shared" si="63"/>
        <v>1</v>
      </c>
      <c r="AS67" s="5">
        <f t="shared" si="63"/>
        <v>1</v>
      </c>
      <c r="AT67" s="5">
        <f t="shared" si="63"/>
        <v>1</v>
      </c>
      <c r="AU67" s="5">
        <f t="shared" si="63"/>
        <v>1</v>
      </c>
      <c r="AV67" s="5">
        <f t="shared" si="63"/>
        <v>1</v>
      </c>
      <c r="AW67" s="5">
        <f t="shared" si="63"/>
        <v>1</v>
      </c>
      <c r="AX67" s="5">
        <f t="shared" si="63"/>
        <v>1</v>
      </c>
      <c r="AY67" s="5">
        <f t="shared" si="63"/>
        <v>1</v>
      </c>
      <c r="AZ67" s="5">
        <f t="shared" si="63"/>
        <v>1</v>
      </c>
      <c r="BA67" s="5">
        <f t="shared" si="63"/>
        <v>1</v>
      </c>
      <c r="BB67" s="8"/>
      <c r="BC67" s="8"/>
      <c r="BD67" s="8"/>
      <c r="BE67" s="8"/>
      <c r="BF67" s="8"/>
      <c r="BG67" s="8"/>
      <c r="BH67" s="8"/>
      <c r="BI67" s="8"/>
    </row>
    <row r="68" ht="12.75" customHeight="1">
      <c r="A68" s="4">
        <v>124.0</v>
      </c>
      <c r="B68" s="5" t="s">
        <v>273</v>
      </c>
      <c r="C68" s="5" t="s">
        <v>274</v>
      </c>
      <c r="D68" s="5" t="s">
        <v>275</v>
      </c>
      <c r="E68" s="5" t="s">
        <v>22</v>
      </c>
      <c r="F68" s="6">
        <v>45125.0</v>
      </c>
      <c r="G68" s="5" t="s">
        <v>23</v>
      </c>
      <c r="H68" s="6">
        <v>45125.0</v>
      </c>
      <c r="I68" s="5" t="s">
        <v>34</v>
      </c>
      <c r="J68" s="5" t="s">
        <v>35</v>
      </c>
      <c r="K68" s="5" t="s">
        <v>36</v>
      </c>
      <c r="L68" s="5" t="s">
        <v>179</v>
      </c>
      <c r="M68" s="5" t="s">
        <v>39</v>
      </c>
      <c r="N68" s="5" t="s">
        <v>59</v>
      </c>
      <c r="O68" s="5" t="s">
        <v>166</v>
      </c>
      <c r="P68" s="7" t="s">
        <v>38</v>
      </c>
      <c r="Q68" s="7" t="str">
        <f t="array" ref="Q68">IF($M68="Yes","Cost of Goods Sold:COGS- Travel Expenses:",IF($M68="No",XLOOKUP($P68,Key!$I:$I,Key!$J:$J),"Review Billable Status"))</f>
        <v>Cost of Goods Sold:COGS- Travel Expenses:</v>
      </c>
      <c r="R68" s="7" t="str">
        <f t="array" ref="R68">IF($M68="Yes","Cost of Goods Sold:COGS- Personnel Expense:",IF($M68="No",XLOOKUP($P68,Key!$I:$I,Key!$K:$K),"Review Billable Status"))</f>
        <v>Cost of Goods Sold:COGS- Personnel Expense:</v>
      </c>
      <c r="S68" s="10" t="str">
        <f t="array" ref="S68">IF($G68="Paid Intern","PD Intern",IF($G68="Contractor/Consultant","Contractor",XLOOKUP(M68&amp;P68,Key!$M:$M,Key!$L:$L)))</f>
        <v>COR</v>
      </c>
      <c r="T68" s="5">
        <f t="shared" ref="T68:BA68" si="64">IF(OR($F68&gt;T$12,AND($G68="Terminated",T$12&gt;=$H68)),0,1)</f>
        <v>1</v>
      </c>
      <c r="U68" s="5">
        <f t="shared" si="64"/>
        <v>1</v>
      </c>
      <c r="V68" s="5">
        <f t="shared" si="64"/>
        <v>1</v>
      </c>
      <c r="W68" s="5">
        <f t="shared" si="64"/>
        <v>1</v>
      </c>
      <c r="X68" s="5">
        <f t="shared" si="64"/>
        <v>1</v>
      </c>
      <c r="Y68" s="5">
        <f t="shared" si="64"/>
        <v>1</v>
      </c>
      <c r="Z68" s="5">
        <f t="shared" si="64"/>
        <v>1</v>
      </c>
      <c r="AA68" s="5">
        <f t="shared" si="64"/>
        <v>1</v>
      </c>
      <c r="AB68" s="5">
        <f t="shared" si="64"/>
        <v>1</v>
      </c>
      <c r="AC68" s="5">
        <f t="shared" si="64"/>
        <v>1</v>
      </c>
      <c r="AD68" s="5">
        <f t="shared" si="64"/>
        <v>1</v>
      </c>
      <c r="AE68" s="5">
        <f t="shared" si="64"/>
        <v>1</v>
      </c>
      <c r="AF68" s="5">
        <f t="shared" si="64"/>
        <v>1</v>
      </c>
      <c r="AG68" s="5">
        <f t="shared" si="64"/>
        <v>1</v>
      </c>
      <c r="AH68" s="5">
        <f t="shared" si="64"/>
        <v>1</v>
      </c>
      <c r="AI68" s="5">
        <f t="shared" si="64"/>
        <v>1</v>
      </c>
      <c r="AJ68" s="5">
        <f t="shared" si="64"/>
        <v>1</v>
      </c>
      <c r="AK68" s="5">
        <f t="shared" si="64"/>
        <v>1</v>
      </c>
      <c r="AL68" s="5">
        <f t="shared" si="64"/>
        <v>1</v>
      </c>
      <c r="AM68" s="5">
        <f t="shared" si="64"/>
        <v>1</v>
      </c>
      <c r="AN68" s="5">
        <f t="shared" si="64"/>
        <v>1</v>
      </c>
      <c r="AO68" s="5">
        <f t="shared" si="64"/>
        <v>1</v>
      </c>
      <c r="AP68" s="5">
        <f t="shared" si="64"/>
        <v>1</v>
      </c>
      <c r="AQ68" s="5">
        <f t="shared" si="64"/>
        <v>1</v>
      </c>
      <c r="AR68" s="5">
        <f t="shared" si="64"/>
        <v>1</v>
      </c>
      <c r="AS68" s="5">
        <f t="shared" si="64"/>
        <v>1</v>
      </c>
      <c r="AT68" s="5">
        <f t="shared" si="64"/>
        <v>1</v>
      </c>
      <c r="AU68" s="5">
        <f t="shared" si="64"/>
        <v>1</v>
      </c>
      <c r="AV68" s="5">
        <f t="shared" si="64"/>
        <v>1</v>
      </c>
      <c r="AW68" s="5">
        <f t="shared" si="64"/>
        <v>1</v>
      </c>
      <c r="AX68" s="5">
        <f t="shared" si="64"/>
        <v>1</v>
      </c>
      <c r="AY68" s="5">
        <f t="shared" si="64"/>
        <v>1</v>
      </c>
      <c r="AZ68" s="5">
        <f t="shared" si="64"/>
        <v>1</v>
      </c>
      <c r="BA68" s="5">
        <f t="shared" si="64"/>
        <v>1</v>
      </c>
      <c r="BB68" s="8"/>
      <c r="BC68" s="8"/>
      <c r="BD68" s="8"/>
      <c r="BE68" s="8"/>
      <c r="BF68" s="8"/>
      <c r="BG68" s="8"/>
      <c r="BH68" s="8"/>
      <c r="BI68" s="8"/>
    </row>
    <row r="69" ht="12.75" customHeight="1">
      <c r="A69" s="4">
        <v>130.0</v>
      </c>
      <c r="B69" s="5" t="s">
        <v>276</v>
      </c>
      <c r="C69" s="5" t="s">
        <v>277</v>
      </c>
      <c r="D69" s="5" t="s">
        <v>278</v>
      </c>
      <c r="E69" s="5" t="s">
        <v>112</v>
      </c>
      <c r="F69" s="6">
        <v>45194.0</v>
      </c>
      <c r="G69" s="5" t="s">
        <v>23</v>
      </c>
      <c r="H69" s="6">
        <v>45194.0</v>
      </c>
      <c r="I69" s="5" t="s">
        <v>34</v>
      </c>
      <c r="J69" s="5" t="s">
        <v>130</v>
      </c>
      <c r="K69" s="5" t="s">
        <v>25</v>
      </c>
      <c r="L69" s="5" t="s">
        <v>279</v>
      </c>
      <c r="M69" s="5" t="s">
        <v>39</v>
      </c>
      <c r="N69" s="5" t="s">
        <v>52</v>
      </c>
      <c r="O69" s="5" t="s">
        <v>30</v>
      </c>
      <c r="P69" s="7" t="s">
        <v>132</v>
      </c>
      <c r="Q69" s="7" t="str">
        <f t="array" ref="Q69">IF($M69="Yes","Cost of Goods Sold:COGS- Travel Expenses:",IF($M69="No",XLOOKUP($P69,Key!$I:$I,Key!$J:$J),"Review Billable Status"))</f>
        <v>Cost of Goods Sold:COGS- Travel Expenses:</v>
      </c>
      <c r="R69" s="7" t="str">
        <f t="array" ref="R69">IF($M69="Yes","Cost of Goods Sold:COGS- Personnel Expense:",IF($M69="No",XLOOKUP($P69,Key!$I:$I,Key!$K:$K),"Review Billable Status"))</f>
        <v>Cost of Goods Sold:COGS- Personnel Expense:</v>
      </c>
      <c r="S69" s="10" t="str">
        <f t="array" ref="S69">IF($G69="Paid Intern","PD Intern",IF($G69="Contractor/Consultant","Contractor",XLOOKUP(M69&amp;P69,Key!$M:$M,Key!$L:$L)))</f>
        <v>COR</v>
      </c>
      <c r="T69" s="5">
        <f t="shared" ref="T69:BA69" si="65">IF(OR($F69&gt;T$12,AND($G69="Terminated",T$12&gt;=$H69)),0,1)</f>
        <v>1</v>
      </c>
      <c r="U69" s="5">
        <f t="shared" si="65"/>
        <v>1</v>
      </c>
      <c r="V69" s="5">
        <f t="shared" si="65"/>
        <v>1</v>
      </c>
      <c r="W69" s="5">
        <f t="shared" si="65"/>
        <v>1</v>
      </c>
      <c r="X69" s="5">
        <f t="shared" si="65"/>
        <v>1</v>
      </c>
      <c r="Y69" s="5">
        <f t="shared" si="65"/>
        <v>1</v>
      </c>
      <c r="Z69" s="5">
        <f t="shared" si="65"/>
        <v>1</v>
      </c>
      <c r="AA69" s="5">
        <f t="shared" si="65"/>
        <v>1</v>
      </c>
      <c r="AB69" s="5">
        <f t="shared" si="65"/>
        <v>1</v>
      </c>
      <c r="AC69" s="5">
        <f t="shared" si="65"/>
        <v>1</v>
      </c>
      <c r="AD69" s="5">
        <f t="shared" si="65"/>
        <v>1</v>
      </c>
      <c r="AE69" s="5">
        <f t="shared" si="65"/>
        <v>1</v>
      </c>
      <c r="AF69" s="5">
        <f t="shared" si="65"/>
        <v>1</v>
      </c>
      <c r="AG69" s="5">
        <f t="shared" si="65"/>
        <v>1</v>
      </c>
      <c r="AH69" s="5">
        <f t="shared" si="65"/>
        <v>1</v>
      </c>
      <c r="AI69" s="5">
        <f t="shared" si="65"/>
        <v>1</v>
      </c>
      <c r="AJ69" s="5">
        <f t="shared" si="65"/>
        <v>1</v>
      </c>
      <c r="AK69" s="5">
        <f t="shared" si="65"/>
        <v>1</v>
      </c>
      <c r="AL69" s="5">
        <f t="shared" si="65"/>
        <v>1</v>
      </c>
      <c r="AM69" s="5">
        <f t="shared" si="65"/>
        <v>1</v>
      </c>
      <c r="AN69" s="5">
        <f t="shared" si="65"/>
        <v>1</v>
      </c>
      <c r="AO69" s="5">
        <f t="shared" si="65"/>
        <v>1</v>
      </c>
      <c r="AP69" s="5">
        <f t="shared" si="65"/>
        <v>1</v>
      </c>
      <c r="AQ69" s="5">
        <f t="shared" si="65"/>
        <v>1</v>
      </c>
      <c r="AR69" s="5">
        <f t="shared" si="65"/>
        <v>1</v>
      </c>
      <c r="AS69" s="5">
        <f t="shared" si="65"/>
        <v>1</v>
      </c>
      <c r="AT69" s="5">
        <f t="shared" si="65"/>
        <v>1</v>
      </c>
      <c r="AU69" s="5">
        <f t="shared" si="65"/>
        <v>1</v>
      </c>
      <c r="AV69" s="5">
        <f t="shared" si="65"/>
        <v>1</v>
      </c>
      <c r="AW69" s="5">
        <f t="shared" si="65"/>
        <v>1</v>
      </c>
      <c r="AX69" s="5">
        <f t="shared" si="65"/>
        <v>1</v>
      </c>
      <c r="AY69" s="5">
        <f t="shared" si="65"/>
        <v>1</v>
      </c>
      <c r="AZ69" s="5">
        <f t="shared" si="65"/>
        <v>1</v>
      </c>
      <c r="BA69" s="5">
        <f t="shared" si="65"/>
        <v>1</v>
      </c>
      <c r="BB69" s="8"/>
      <c r="BC69" s="8"/>
      <c r="BD69" s="8"/>
      <c r="BE69" s="8"/>
      <c r="BF69" s="8"/>
      <c r="BG69" s="8"/>
      <c r="BH69" s="8"/>
      <c r="BI69" s="8"/>
    </row>
    <row r="70" ht="12.75" customHeight="1">
      <c r="A70" s="4">
        <v>131.0</v>
      </c>
      <c r="B70" s="5" t="s">
        <v>280</v>
      </c>
      <c r="C70" s="5" t="s">
        <v>281</v>
      </c>
      <c r="D70" s="5" t="s">
        <v>282</v>
      </c>
      <c r="E70" s="5" t="s">
        <v>22</v>
      </c>
      <c r="F70" s="6">
        <v>45201.0</v>
      </c>
      <c r="G70" s="5" t="s">
        <v>23</v>
      </c>
      <c r="H70" s="6">
        <v>45201.0</v>
      </c>
      <c r="I70" s="5" t="s">
        <v>64</v>
      </c>
      <c r="J70" s="5" t="s">
        <v>130</v>
      </c>
      <c r="K70" s="5" t="s">
        <v>25</v>
      </c>
      <c r="L70" s="5" t="s">
        <v>279</v>
      </c>
      <c r="M70" s="5" t="s">
        <v>39</v>
      </c>
      <c r="N70" s="5" t="s">
        <v>52</v>
      </c>
      <c r="O70" s="5" t="s">
        <v>30</v>
      </c>
      <c r="P70" s="7" t="s">
        <v>175</v>
      </c>
      <c r="Q70" s="7" t="str">
        <f t="array" ref="Q70">IF($M70="Yes","Cost of Goods Sold:COGS- Travel Expenses:",IF($M70="No",XLOOKUP($P70,Key!$I:$I,Key!$J:$J),"Review Billable Status"))</f>
        <v>Cost of Goods Sold:COGS- Travel Expenses:</v>
      </c>
      <c r="R70" s="7" t="str">
        <f t="array" ref="R70">IF($M70="Yes","Cost of Goods Sold:COGS- Personnel Expense:",IF($M70="No",XLOOKUP($P70,Key!$I:$I,Key!$K:$K),"Review Billable Status"))</f>
        <v>Cost of Goods Sold:COGS- Personnel Expense:</v>
      </c>
      <c r="S70" s="10" t="str">
        <f t="array" ref="S70">IF($G70="Paid Intern","PD Intern",IF($G70="Contractor/Consultant","Contractor",XLOOKUP(M70&amp;P70,Key!$M:$M,Key!$L:$L)))</f>
        <v>COR</v>
      </c>
      <c r="T70" s="5">
        <f t="shared" ref="T70:BA70" si="66">IF(OR($F70&gt;T$12,AND($G70="Terminated",T$12&gt;=$H70)),0,1)</f>
        <v>1</v>
      </c>
      <c r="U70" s="5">
        <f t="shared" si="66"/>
        <v>1</v>
      </c>
      <c r="V70" s="5">
        <f t="shared" si="66"/>
        <v>1</v>
      </c>
      <c r="W70" s="5">
        <f t="shared" si="66"/>
        <v>1</v>
      </c>
      <c r="X70" s="5">
        <f t="shared" si="66"/>
        <v>1</v>
      </c>
      <c r="Y70" s="5">
        <f t="shared" si="66"/>
        <v>1</v>
      </c>
      <c r="Z70" s="5">
        <f t="shared" si="66"/>
        <v>1</v>
      </c>
      <c r="AA70" s="5">
        <f t="shared" si="66"/>
        <v>1</v>
      </c>
      <c r="AB70" s="5">
        <f t="shared" si="66"/>
        <v>1</v>
      </c>
      <c r="AC70" s="5">
        <f t="shared" si="66"/>
        <v>1</v>
      </c>
      <c r="AD70" s="5">
        <f t="shared" si="66"/>
        <v>1</v>
      </c>
      <c r="AE70" s="5">
        <f t="shared" si="66"/>
        <v>1</v>
      </c>
      <c r="AF70" s="5">
        <f t="shared" si="66"/>
        <v>1</v>
      </c>
      <c r="AG70" s="5">
        <f t="shared" si="66"/>
        <v>1</v>
      </c>
      <c r="AH70" s="5">
        <f t="shared" si="66"/>
        <v>1</v>
      </c>
      <c r="AI70" s="5">
        <f t="shared" si="66"/>
        <v>1</v>
      </c>
      <c r="AJ70" s="5">
        <f t="shared" si="66"/>
        <v>1</v>
      </c>
      <c r="AK70" s="5">
        <f t="shared" si="66"/>
        <v>1</v>
      </c>
      <c r="AL70" s="5">
        <f t="shared" si="66"/>
        <v>1</v>
      </c>
      <c r="AM70" s="5">
        <f t="shared" si="66"/>
        <v>1</v>
      </c>
      <c r="AN70" s="5">
        <f t="shared" si="66"/>
        <v>1</v>
      </c>
      <c r="AO70" s="5">
        <f t="shared" si="66"/>
        <v>1</v>
      </c>
      <c r="AP70" s="5">
        <f t="shared" si="66"/>
        <v>1</v>
      </c>
      <c r="AQ70" s="5">
        <f t="shared" si="66"/>
        <v>1</v>
      </c>
      <c r="AR70" s="5">
        <f t="shared" si="66"/>
        <v>1</v>
      </c>
      <c r="AS70" s="5">
        <f t="shared" si="66"/>
        <v>1</v>
      </c>
      <c r="AT70" s="5">
        <f t="shared" si="66"/>
        <v>1</v>
      </c>
      <c r="AU70" s="5">
        <f t="shared" si="66"/>
        <v>1</v>
      </c>
      <c r="AV70" s="5">
        <f t="shared" si="66"/>
        <v>1</v>
      </c>
      <c r="AW70" s="5">
        <f t="shared" si="66"/>
        <v>1</v>
      </c>
      <c r="AX70" s="5">
        <f t="shared" si="66"/>
        <v>1</v>
      </c>
      <c r="AY70" s="5">
        <f t="shared" si="66"/>
        <v>1</v>
      </c>
      <c r="AZ70" s="5">
        <f t="shared" si="66"/>
        <v>1</v>
      </c>
      <c r="BA70" s="5">
        <f t="shared" si="66"/>
        <v>1</v>
      </c>
      <c r="BB70" s="8"/>
      <c r="BC70" s="8"/>
      <c r="BD70" s="8"/>
      <c r="BE70" s="8"/>
      <c r="BF70" s="8"/>
      <c r="BG70" s="8"/>
      <c r="BH70" s="8"/>
      <c r="BI70" s="8"/>
    </row>
    <row r="71" ht="12.75" customHeight="1">
      <c r="A71" s="4">
        <v>134.0</v>
      </c>
      <c r="B71" s="5" t="s">
        <v>283</v>
      </c>
      <c r="C71" s="5" t="s">
        <v>284</v>
      </c>
      <c r="D71" s="5" t="s">
        <v>285</v>
      </c>
      <c r="E71" s="5" t="s">
        <v>22</v>
      </c>
      <c r="F71" s="6">
        <v>45201.0</v>
      </c>
      <c r="G71" s="5" t="s">
        <v>23</v>
      </c>
      <c r="H71" s="6">
        <v>45201.0</v>
      </c>
      <c r="I71" s="5" t="s">
        <v>64</v>
      </c>
      <c r="J71" s="5" t="s">
        <v>45</v>
      </c>
      <c r="K71" s="5" t="s">
        <v>25</v>
      </c>
      <c r="L71" s="5" t="s">
        <v>286</v>
      </c>
      <c r="M71" s="5" t="s">
        <v>28</v>
      </c>
      <c r="N71" s="5" t="s">
        <v>59</v>
      </c>
      <c r="O71" s="5" t="s">
        <v>30</v>
      </c>
      <c r="P71" s="7" t="s">
        <v>66</v>
      </c>
      <c r="Q71" s="7" t="str">
        <f t="array" ref="Q71">IF($M71="Yes","Cost of Goods Sold:COGS- Travel Expenses:",IF($M71="No",XLOOKUP($P71,Key!$I:$I,Key!$J:$J),"Review Billable Status"))</f>
        <v>Sales &amp; Marketing:Sales &amp; Marketing- Travel Expenses:</v>
      </c>
      <c r="R71" s="7" t="str">
        <f t="array" ref="R71">IF($M71="Yes","Cost of Goods Sold:COGS- Personnel Expense:",IF($M71="No",XLOOKUP($P71,Key!$I:$I,Key!$K:$K),"Review Billable Status"))</f>
        <v>Sales &amp; Marketing:Sales &amp; Marketing- Personnel Expenses:</v>
      </c>
      <c r="S71" s="10" t="str">
        <f t="array" ref="S71">IF($G71="Paid Intern","PD Intern",IF($G71="Contractor/Consultant","Contractor",XLOOKUP(M71&amp;P71,Key!$M:$M,Key!$L:$L)))</f>
        <v>S&amp;M</v>
      </c>
      <c r="T71" s="5">
        <f t="shared" ref="T71:BA71" si="67">IF(OR($F71&gt;T$12,AND($G71="Terminated",T$12&gt;=$H71)),0,1)</f>
        <v>1</v>
      </c>
      <c r="U71" s="5">
        <f t="shared" si="67"/>
        <v>1</v>
      </c>
      <c r="V71" s="5">
        <f t="shared" si="67"/>
        <v>1</v>
      </c>
      <c r="W71" s="5">
        <f t="shared" si="67"/>
        <v>1</v>
      </c>
      <c r="X71" s="5">
        <f t="shared" si="67"/>
        <v>1</v>
      </c>
      <c r="Y71" s="5">
        <f t="shared" si="67"/>
        <v>1</v>
      </c>
      <c r="Z71" s="5">
        <f t="shared" si="67"/>
        <v>1</v>
      </c>
      <c r="AA71" s="5">
        <f t="shared" si="67"/>
        <v>1</v>
      </c>
      <c r="AB71" s="5">
        <f t="shared" si="67"/>
        <v>1</v>
      </c>
      <c r="AC71" s="5">
        <f t="shared" si="67"/>
        <v>1</v>
      </c>
      <c r="AD71" s="5">
        <f t="shared" si="67"/>
        <v>1</v>
      </c>
      <c r="AE71" s="5">
        <f t="shared" si="67"/>
        <v>1</v>
      </c>
      <c r="AF71" s="5">
        <f t="shared" si="67"/>
        <v>1</v>
      </c>
      <c r="AG71" s="5">
        <f t="shared" si="67"/>
        <v>1</v>
      </c>
      <c r="AH71" s="5">
        <f t="shared" si="67"/>
        <v>1</v>
      </c>
      <c r="AI71" s="5">
        <f t="shared" si="67"/>
        <v>1</v>
      </c>
      <c r="AJ71" s="5">
        <f t="shared" si="67"/>
        <v>1</v>
      </c>
      <c r="AK71" s="5">
        <f t="shared" si="67"/>
        <v>1</v>
      </c>
      <c r="AL71" s="5">
        <f t="shared" si="67"/>
        <v>1</v>
      </c>
      <c r="AM71" s="5">
        <f t="shared" si="67"/>
        <v>1</v>
      </c>
      <c r="AN71" s="5">
        <f t="shared" si="67"/>
        <v>1</v>
      </c>
      <c r="AO71" s="5">
        <f t="shared" si="67"/>
        <v>1</v>
      </c>
      <c r="AP71" s="5">
        <f t="shared" si="67"/>
        <v>1</v>
      </c>
      <c r="AQ71" s="5">
        <f t="shared" si="67"/>
        <v>1</v>
      </c>
      <c r="AR71" s="5">
        <f t="shared" si="67"/>
        <v>1</v>
      </c>
      <c r="AS71" s="5">
        <f t="shared" si="67"/>
        <v>1</v>
      </c>
      <c r="AT71" s="5">
        <f t="shared" si="67"/>
        <v>1</v>
      </c>
      <c r="AU71" s="5">
        <f t="shared" si="67"/>
        <v>1</v>
      </c>
      <c r="AV71" s="5">
        <f t="shared" si="67"/>
        <v>1</v>
      </c>
      <c r="AW71" s="5">
        <f t="shared" si="67"/>
        <v>1</v>
      </c>
      <c r="AX71" s="5">
        <f t="shared" si="67"/>
        <v>1</v>
      </c>
      <c r="AY71" s="5">
        <f t="shared" si="67"/>
        <v>1</v>
      </c>
      <c r="AZ71" s="5">
        <f t="shared" si="67"/>
        <v>1</v>
      </c>
      <c r="BA71" s="5">
        <f t="shared" si="67"/>
        <v>1</v>
      </c>
      <c r="BB71" s="8"/>
      <c r="BC71" s="8"/>
      <c r="BD71" s="8"/>
      <c r="BE71" s="8"/>
      <c r="BF71" s="8"/>
      <c r="BG71" s="8"/>
      <c r="BH71" s="8"/>
      <c r="BI71" s="8"/>
    </row>
    <row r="72" ht="12.75" customHeight="1">
      <c r="A72" s="4">
        <v>135.0</v>
      </c>
      <c r="B72" s="5" t="s">
        <v>287</v>
      </c>
      <c r="C72" s="5" t="s">
        <v>288</v>
      </c>
      <c r="D72" s="5" t="s">
        <v>289</v>
      </c>
      <c r="E72" s="5" t="s">
        <v>22</v>
      </c>
      <c r="F72" s="6">
        <v>45209.0</v>
      </c>
      <c r="G72" s="5" t="s">
        <v>23</v>
      </c>
      <c r="H72" s="6">
        <v>45209.0</v>
      </c>
      <c r="I72" s="5" t="s">
        <v>64</v>
      </c>
      <c r="J72" s="5" t="s">
        <v>35</v>
      </c>
      <c r="K72" s="5" t="s">
        <v>25</v>
      </c>
      <c r="L72" s="5" t="s">
        <v>290</v>
      </c>
      <c r="M72" s="5" t="s">
        <v>39</v>
      </c>
      <c r="N72" s="5" t="s">
        <v>85</v>
      </c>
      <c r="O72" s="5" t="s">
        <v>30</v>
      </c>
      <c r="P72" s="7" t="s">
        <v>75</v>
      </c>
      <c r="Q72" s="7" t="str">
        <f t="array" ref="Q72">IF($M72="Yes","Cost of Goods Sold:COGS- Travel Expenses:",IF($M72="No",XLOOKUP($P72,Key!$I:$I,Key!$J:$J),"Review Billable Status"))</f>
        <v>Cost of Goods Sold:COGS- Travel Expenses:</v>
      </c>
      <c r="R72" s="7" t="str">
        <f t="array" ref="R72">IF($M72="Yes","Cost of Goods Sold:COGS- Personnel Expense:",IF($M72="No",XLOOKUP($P72,Key!$I:$I,Key!$K:$K),"Review Billable Status"))</f>
        <v>Cost of Goods Sold:COGS- Personnel Expense:</v>
      </c>
      <c r="S72" s="10" t="str">
        <f t="array" ref="S72">IF($G72="Paid Intern","PD Intern",IF($G72="Contractor/Consultant","Contractor",XLOOKUP(M72&amp;P72,Key!$M:$M,Key!$L:$L)))</f>
        <v>COR</v>
      </c>
      <c r="T72" s="5">
        <f t="shared" ref="T72:BA72" si="68">IF(OR($F72&gt;T$12,AND($G72="Terminated",T$12&gt;=$H72)),0,1)</f>
        <v>1</v>
      </c>
      <c r="U72" s="5">
        <f t="shared" si="68"/>
        <v>1</v>
      </c>
      <c r="V72" s="5">
        <f t="shared" si="68"/>
        <v>1</v>
      </c>
      <c r="W72" s="5">
        <f t="shared" si="68"/>
        <v>1</v>
      </c>
      <c r="X72" s="5">
        <f t="shared" si="68"/>
        <v>1</v>
      </c>
      <c r="Y72" s="5">
        <f t="shared" si="68"/>
        <v>1</v>
      </c>
      <c r="Z72" s="5">
        <f t="shared" si="68"/>
        <v>1</v>
      </c>
      <c r="AA72" s="5">
        <f t="shared" si="68"/>
        <v>1</v>
      </c>
      <c r="AB72" s="5">
        <f t="shared" si="68"/>
        <v>1</v>
      </c>
      <c r="AC72" s="5">
        <f t="shared" si="68"/>
        <v>1</v>
      </c>
      <c r="AD72" s="5">
        <f t="shared" si="68"/>
        <v>1</v>
      </c>
      <c r="AE72" s="5">
        <f t="shared" si="68"/>
        <v>1</v>
      </c>
      <c r="AF72" s="5">
        <f t="shared" si="68"/>
        <v>1</v>
      </c>
      <c r="AG72" s="5">
        <f t="shared" si="68"/>
        <v>1</v>
      </c>
      <c r="AH72" s="5">
        <f t="shared" si="68"/>
        <v>1</v>
      </c>
      <c r="AI72" s="5">
        <f t="shared" si="68"/>
        <v>1</v>
      </c>
      <c r="AJ72" s="5">
        <f t="shared" si="68"/>
        <v>1</v>
      </c>
      <c r="AK72" s="5">
        <f t="shared" si="68"/>
        <v>1</v>
      </c>
      <c r="AL72" s="5">
        <f t="shared" si="68"/>
        <v>1</v>
      </c>
      <c r="AM72" s="5">
        <f t="shared" si="68"/>
        <v>1</v>
      </c>
      <c r="AN72" s="5">
        <f t="shared" si="68"/>
        <v>1</v>
      </c>
      <c r="AO72" s="5">
        <f t="shared" si="68"/>
        <v>1</v>
      </c>
      <c r="AP72" s="5">
        <f t="shared" si="68"/>
        <v>1</v>
      </c>
      <c r="AQ72" s="5">
        <f t="shared" si="68"/>
        <v>1</v>
      </c>
      <c r="AR72" s="5">
        <f t="shared" si="68"/>
        <v>1</v>
      </c>
      <c r="AS72" s="5">
        <f t="shared" si="68"/>
        <v>1</v>
      </c>
      <c r="AT72" s="5">
        <f t="shared" si="68"/>
        <v>1</v>
      </c>
      <c r="AU72" s="5">
        <f t="shared" si="68"/>
        <v>1</v>
      </c>
      <c r="AV72" s="5">
        <f t="shared" si="68"/>
        <v>1</v>
      </c>
      <c r="AW72" s="5">
        <f t="shared" si="68"/>
        <v>1</v>
      </c>
      <c r="AX72" s="5">
        <f t="shared" si="68"/>
        <v>1</v>
      </c>
      <c r="AY72" s="5">
        <f t="shared" si="68"/>
        <v>1</v>
      </c>
      <c r="AZ72" s="5">
        <f t="shared" si="68"/>
        <v>1</v>
      </c>
      <c r="BA72" s="5">
        <f t="shared" si="68"/>
        <v>1</v>
      </c>
      <c r="BB72" s="8"/>
      <c r="BC72" s="8"/>
      <c r="BD72" s="8"/>
      <c r="BE72" s="8"/>
      <c r="BF72" s="8"/>
      <c r="BG72" s="8"/>
      <c r="BH72" s="8"/>
      <c r="BI72" s="8"/>
    </row>
    <row r="73" ht="12.75" customHeight="1">
      <c r="A73" s="4">
        <v>137.0</v>
      </c>
      <c r="B73" s="5" t="s">
        <v>154</v>
      </c>
      <c r="C73" s="5" t="s">
        <v>291</v>
      </c>
      <c r="D73" s="5" t="s">
        <v>292</v>
      </c>
      <c r="E73" s="5" t="s">
        <v>22</v>
      </c>
      <c r="F73" s="6">
        <v>45229.0</v>
      </c>
      <c r="G73" s="5" t="s">
        <v>23</v>
      </c>
      <c r="H73" s="6">
        <v>45229.0</v>
      </c>
      <c r="I73" s="5" t="s">
        <v>64</v>
      </c>
      <c r="J73" s="5" t="s">
        <v>130</v>
      </c>
      <c r="K73" s="5" t="s">
        <v>25</v>
      </c>
      <c r="L73" s="5" t="s">
        <v>279</v>
      </c>
      <c r="M73" s="5" t="s">
        <v>39</v>
      </c>
      <c r="N73" s="5" t="s">
        <v>52</v>
      </c>
      <c r="O73" s="5" t="s">
        <v>30</v>
      </c>
      <c r="P73" s="7" t="s">
        <v>175</v>
      </c>
      <c r="Q73" s="7" t="str">
        <f t="array" ref="Q73">IF($M73="Yes","Cost of Goods Sold:COGS- Travel Expenses:",IF($M73="No",XLOOKUP($P73,Key!$I:$I,Key!$J:$J),"Review Billable Status"))</f>
        <v>Cost of Goods Sold:COGS- Travel Expenses:</v>
      </c>
      <c r="R73" s="7" t="str">
        <f t="array" ref="R73">IF($M73="Yes","Cost of Goods Sold:COGS- Personnel Expense:",IF($M73="No",XLOOKUP($P73,Key!$I:$I,Key!$K:$K),"Review Billable Status"))</f>
        <v>Cost of Goods Sold:COGS- Personnel Expense:</v>
      </c>
      <c r="S73" s="10" t="str">
        <f t="array" ref="S73">IF($G73="Paid Intern","PD Intern",IF($G73="Contractor/Consultant","Contractor",XLOOKUP(M73&amp;P73,Key!$M:$M,Key!$L:$L)))</f>
        <v>COR</v>
      </c>
      <c r="T73" s="5">
        <f t="shared" ref="T73:BA73" si="69">IF(OR($F73&gt;T$12,AND($G73="Terminated",T$12&gt;=$H73)),0,1)</f>
        <v>1</v>
      </c>
      <c r="U73" s="5">
        <f t="shared" si="69"/>
        <v>1</v>
      </c>
      <c r="V73" s="5">
        <f t="shared" si="69"/>
        <v>1</v>
      </c>
      <c r="W73" s="5">
        <f t="shared" si="69"/>
        <v>1</v>
      </c>
      <c r="X73" s="5">
        <f t="shared" si="69"/>
        <v>1</v>
      </c>
      <c r="Y73" s="5">
        <f t="shared" si="69"/>
        <v>1</v>
      </c>
      <c r="Z73" s="5">
        <f t="shared" si="69"/>
        <v>1</v>
      </c>
      <c r="AA73" s="5">
        <f t="shared" si="69"/>
        <v>1</v>
      </c>
      <c r="AB73" s="5">
        <f t="shared" si="69"/>
        <v>1</v>
      </c>
      <c r="AC73" s="5">
        <f t="shared" si="69"/>
        <v>1</v>
      </c>
      <c r="AD73" s="5">
        <f t="shared" si="69"/>
        <v>1</v>
      </c>
      <c r="AE73" s="5">
        <f t="shared" si="69"/>
        <v>1</v>
      </c>
      <c r="AF73" s="5">
        <f t="shared" si="69"/>
        <v>1</v>
      </c>
      <c r="AG73" s="5">
        <f t="shared" si="69"/>
        <v>1</v>
      </c>
      <c r="AH73" s="5">
        <f t="shared" si="69"/>
        <v>1</v>
      </c>
      <c r="AI73" s="5">
        <f t="shared" si="69"/>
        <v>1</v>
      </c>
      <c r="AJ73" s="5">
        <f t="shared" si="69"/>
        <v>1</v>
      </c>
      <c r="AK73" s="5">
        <f t="shared" si="69"/>
        <v>1</v>
      </c>
      <c r="AL73" s="5">
        <f t="shared" si="69"/>
        <v>1</v>
      </c>
      <c r="AM73" s="5">
        <f t="shared" si="69"/>
        <v>1</v>
      </c>
      <c r="AN73" s="5">
        <f t="shared" si="69"/>
        <v>1</v>
      </c>
      <c r="AO73" s="5">
        <f t="shared" si="69"/>
        <v>1</v>
      </c>
      <c r="AP73" s="5">
        <f t="shared" si="69"/>
        <v>1</v>
      </c>
      <c r="AQ73" s="5">
        <f t="shared" si="69"/>
        <v>1</v>
      </c>
      <c r="AR73" s="5">
        <f t="shared" si="69"/>
        <v>1</v>
      </c>
      <c r="AS73" s="5">
        <f t="shared" si="69"/>
        <v>1</v>
      </c>
      <c r="AT73" s="5">
        <f t="shared" si="69"/>
        <v>1</v>
      </c>
      <c r="AU73" s="5">
        <f t="shared" si="69"/>
        <v>1</v>
      </c>
      <c r="AV73" s="5">
        <f t="shared" si="69"/>
        <v>1</v>
      </c>
      <c r="AW73" s="5">
        <f t="shared" si="69"/>
        <v>1</v>
      </c>
      <c r="AX73" s="5">
        <f t="shared" si="69"/>
        <v>1</v>
      </c>
      <c r="AY73" s="5">
        <f t="shared" si="69"/>
        <v>1</v>
      </c>
      <c r="AZ73" s="5">
        <f t="shared" si="69"/>
        <v>1</v>
      </c>
      <c r="BA73" s="5">
        <f t="shared" si="69"/>
        <v>1</v>
      </c>
      <c r="BB73" s="8"/>
      <c r="BC73" s="8"/>
      <c r="BD73" s="8"/>
      <c r="BE73" s="8"/>
      <c r="BF73" s="8"/>
      <c r="BG73" s="8"/>
      <c r="BH73" s="8"/>
      <c r="BI73" s="8"/>
    </row>
    <row r="74" ht="12.75" customHeight="1">
      <c r="A74" s="4">
        <v>141.0</v>
      </c>
      <c r="B74" s="5" t="s">
        <v>159</v>
      </c>
      <c r="C74" s="5" t="s">
        <v>293</v>
      </c>
      <c r="D74" s="5" t="s">
        <v>294</v>
      </c>
      <c r="E74" s="5" t="s">
        <v>22</v>
      </c>
      <c r="F74" s="6">
        <v>45299.0</v>
      </c>
      <c r="G74" s="5" t="s">
        <v>23</v>
      </c>
      <c r="H74" s="6">
        <v>45299.0</v>
      </c>
      <c r="I74" s="5" t="s">
        <v>34</v>
      </c>
      <c r="J74" s="5" t="s">
        <v>45</v>
      </c>
      <c r="K74" s="5" t="s">
        <v>107</v>
      </c>
      <c r="L74" s="5" t="s">
        <v>295</v>
      </c>
      <c r="M74" s="5" t="s">
        <v>28</v>
      </c>
      <c r="N74" s="5" t="s">
        <v>52</v>
      </c>
      <c r="O74" s="5" t="s">
        <v>296</v>
      </c>
      <c r="P74" s="7" t="s">
        <v>47</v>
      </c>
      <c r="Q74" s="7" t="str">
        <f t="array" ref="Q74">IF($M74="Yes","Cost of Goods Sold:COGS- Travel Expenses:",IF($M74="No",XLOOKUP($P74,Key!$I:$I,Key!$J:$J),"Review Billable Status"))</f>
        <v>Sales &amp; Marketing:Sales &amp; Marketing- Travel Expenses:</v>
      </c>
      <c r="R74" s="7" t="str">
        <f t="array" ref="R74">IF($M74="Yes","Cost of Goods Sold:COGS- Personnel Expense:",IF($M74="No",XLOOKUP($P74,Key!$I:$I,Key!$K:$K),"Review Billable Status"))</f>
        <v>Sales &amp; Marketing:Sales &amp; Marketing- Personnel Expenses:</v>
      </c>
      <c r="S74" s="10" t="str">
        <f t="array" ref="S74">IF($G74="Paid Intern","PD Intern",IF($G74="Contractor/Consultant","Contractor",XLOOKUP(M74&amp;P74,Key!$M:$M,Key!$L:$L)))</f>
        <v>S&amp;M</v>
      </c>
      <c r="T74" s="5">
        <f t="shared" ref="T74:BA74" si="70">IF(OR($F74&gt;T$12,AND($G74="Terminated",T$12&gt;=$H74)),0,1)</f>
        <v>1</v>
      </c>
      <c r="U74" s="5">
        <f t="shared" si="70"/>
        <v>1</v>
      </c>
      <c r="V74" s="5">
        <f t="shared" si="70"/>
        <v>1</v>
      </c>
      <c r="W74" s="5">
        <f t="shared" si="70"/>
        <v>1</v>
      </c>
      <c r="X74" s="5">
        <f t="shared" si="70"/>
        <v>1</v>
      </c>
      <c r="Y74" s="5">
        <f t="shared" si="70"/>
        <v>1</v>
      </c>
      <c r="Z74" s="5">
        <f t="shared" si="70"/>
        <v>1</v>
      </c>
      <c r="AA74" s="5">
        <f t="shared" si="70"/>
        <v>1</v>
      </c>
      <c r="AB74" s="5">
        <f t="shared" si="70"/>
        <v>1</v>
      </c>
      <c r="AC74" s="5">
        <f t="shared" si="70"/>
        <v>1</v>
      </c>
      <c r="AD74" s="5">
        <f t="shared" si="70"/>
        <v>1</v>
      </c>
      <c r="AE74" s="5">
        <f t="shared" si="70"/>
        <v>1</v>
      </c>
      <c r="AF74" s="5">
        <f t="shared" si="70"/>
        <v>1</v>
      </c>
      <c r="AG74" s="5">
        <f t="shared" si="70"/>
        <v>1</v>
      </c>
      <c r="AH74" s="5">
        <f t="shared" si="70"/>
        <v>1</v>
      </c>
      <c r="AI74" s="5">
        <f t="shared" si="70"/>
        <v>1</v>
      </c>
      <c r="AJ74" s="5">
        <f t="shared" si="70"/>
        <v>1</v>
      </c>
      <c r="AK74" s="5">
        <f t="shared" si="70"/>
        <v>1</v>
      </c>
      <c r="AL74" s="5">
        <f t="shared" si="70"/>
        <v>1</v>
      </c>
      <c r="AM74" s="5">
        <f t="shared" si="70"/>
        <v>1</v>
      </c>
      <c r="AN74" s="5">
        <f t="shared" si="70"/>
        <v>1</v>
      </c>
      <c r="AO74" s="5">
        <f t="shared" si="70"/>
        <v>1</v>
      </c>
      <c r="AP74" s="5">
        <f t="shared" si="70"/>
        <v>1</v>
      </c>
      <c r="AQ74" s="5">
        <f t="shared" si="70"/>
        <v>1</v>
      </c>
      <c r="AR74" s="5">
        <f t="shared" si="70"/>
        <v>1</v>
      </c>
      <c r="AS74" s="5">
        <f t="shared" si="70"/>
        <v>1</v>
      </c>
      <c r="AT74" s="5">
        <f t="shared" si="70"/>
        <v>1</v>
      </c>
      <c r="AU74" s="5">
        <f t="shared" si="70"/>
        <v>1</v>
      </c>
      <c r="AV74" s="5">
        <f t="shared" si="70"/>
        <v>1</v>
      </c>
      <c r="AW74" s="5">
        <f t="shared" si="70"/>
        <v>1</v>
      </c>
      <c r="AX74" s="5">
        <f t="shared" si="70"/>
        <v>1</v>
      </c>
      <c r="AY74" s="5">
        <f t="shared" si="70"/>
        <v>1</v>
      </c>
      <c r="AZ74" s="5">
        <f t="shared" si="70"/>
        <v>1</v>
      </c>
      <c r="BA74" s="5">
        <f t="shared" si="70"/>
        <v>1</v>
      </c>
      <c r="BB74" s="8"/>
      <c r="BC74" s="8"/>
      <c r="BD74" s="8"/>
      <c r="BE74" s="8"/>
      <c r="BF74" s="8"/>
      <c r="BG74" s="8"/>
      <c r="BH74" s="8"/>
      <c r="BI74" s="8"/>
    </row>
    <row r="75" ht="12.75" customHeight="1">
      <c r="A75" s="4">
        <v>143.0</v>
      </c>
      <c r="B75" s="5" t="s">
        <v>297</v>
      </c>
      <c r="C75" s="5" t="s">
        <v>298</v>
      </c>
      <c r="D75" s="5" t="s">
        <v>299</v>
      </c>
      <c r="E75" s="5" t="s">
        <v>22</v>
      </c>
      <c r="F75" s="6">
        <v>45425.0</v>
      </c>
      <c r="G75" s="5" t="s">
        <v>23</v>
      </c>
      <c r="H75" s="6">
        <v>45810.0</v>
      </c>
      <c r="I75" s="5" t="s">
        <v>64</v>
      </c>
      <c r="J75" s="5" t="s">
        <v>45</v>
      </c>
      <c r="K75" s="5" t="s">
        <v>25</v>
      </c>
      <c r="L75" s="5" t="s">
        <v>300</v>
      </c>
      <c r="M75" s="5" t="s">
        <v>28</v>
      </c>
      <c r="N75" s="5" t="s">
        <v>239</v>
      </c>
      <c r="O75" s="5" t="s">
        <v>30</v>
      </c>
      <c r="P75" s="7" t="s">
        <v>66</v>
      </c>
      <c r="Q75" s="7" t="str">
        <f t="array" ref="Q75">IF($M75="Yes","Cost of Goods Sold:COGS- Travel Expenses:",IF($M75="No",XLOOKUP($P75,Key!$I:$I,Key!$J:$J),"Review Billable Status"))</f>
        <v>Sales &amp; Marketing:Sales &amp; Marketing- Travel Expenses:</v>
      </c>
      <c r="R75" s="7" t="str">
        <f t="array" ref="R75">IF($M75="Yes","Cost of Goods Sold:COGS- Personnel Expense:",IF($M75="No",XLOOKUP($P75,Key!$I:$I,Key!$K:$K),"Review Billable Status"))</f>
        <v>Sales &amp; Marketing:Sales &amp; Marketing- Personnel Expenses:</v>
      </c>
      <c r="S75" s="10" t="str">
        <f t="array" ref="S75">IF($G75="Paid Intern","PD Intern",IF($G75="Contractor/Consultant","Contractor",XLOOKUP(M75&amp;P75,Key!$M:$M,Key!$L:$L)))</f>
        <v>S&amp;M</v>
      </c>
      <c r="T75" s="5">
        <f t="shared" ref="T75:BA75" si="71">IF(OR($F75&gt;T$12,AND($G75="Terminated",T$12&gt;=$H75)),0,1)</f>
        <v>0</v>
      </c>
      <c r="U75" s="5">
        <f t="shared" si="71"/>
        <v>0</v>
      </c>
      <c r="V75" s="5">
        <f t="shared" si="71"/>
        <v>1</v>
      </c>
      <c r="W75" s="5">
        <f t="shared" si="71"/>
        <v>1</v>
      </c>
      <c r="X75" s="5">
        <f t="shared" si="71"/>
        <v>1</v>
      </c>
      <c r="Y75" s="5">
        <f t="shared" si="71"/>
        <v>1</v>
      </c>
      <c r="Z75" s="5">
        <f t="shared" si="71"/>
        <v>1</v>
      </c>
      <c r="AA75" s="5">
        <f t="shared" si="71"/>
        <v>1</v>
      </c>
      <c r="AB75" s="5">
        <f t="shared" si="71"/>
        <v>1</v>
      </c>
      <c r="AC75" s="5">
        <f t="shared" si="71"/>
        <v>1</v>
      </c>
      <c r="AD75" s="5">
        <f t="shared" si="71"/>
        <v>1</v>
      </c>
      <c r="AE75" s="5">
        <f t="shared" si="71"/>
        <v>1</v>
      </c>
      <c r="AF75" s="5">
        <f t="shared" si="71"/>
        <v>1</v>
      </c>
      <c r="AG75" s="5">
        <f t="shared" si="71"/>
        <v>1</v>
      </c>
      <c r="AH75" s="5">
        <f t="shared" si="71"/>
        <v>1</v>
      </c>
      <c r="AI75" s="5">
        <f t="shared" si="71"/>
        <v>1</v>
      </c>
      <c r="AJ75" s="5">
        <f t="shared" si="71"/>
        <v>1</v>
      </c>
      <c r="AK75" s="5">
        <f t="shared" si="71"/>
        <v>1</v>
      </c>
      <c r="AL75" s="5">
        <f t="shared" si="71"/>
        <v>1</v>
      </c>
      <c r="AM75" s="5">
        <f t="shared" si="71"/>
        <v>1</v>
      </c>
      <c r="AN75" s="5">
        <f t="shared" si="71"/>
        <v>1</v>
      </c>
      <c r="AO75" s="5">
        <f t="shared" si="71"/>
        <v>1</v>
      </c>
      <c r="AP75" s="5">
        <f t="shared" si="71"/>
        <v>1</v>
      </c>
      <c r="AQ75" s="5">
        <f t="shared" si="71"/>
        <v>1</v>
      </c>
      <c r="AR75" s="5">
        <f t="shared" si="71"/>
        <v>1</v>
      </c>
      <c r="AS75" s="5">
        <f t="shared" si="71"/>
        <v>1</v>
      </c>
      <c r="AT75" s="5">
        <f t="shared" si="71"/>
        <v>1</v>
      </c>
      <c r="AU75" s="5">
        <f t="shared" si="71"/>
        <v>1</v>
      </c>
      <c r="AV75" s="5">
        <f t="shared" si="71"/>
        <v>1</v>
      </c>
      <c r="AW75" s="5">
        <f t="shared" si="71"/>
        <v>1</v>
      </c>
      <c r="AX75" s="5">
        <f t="shared" si="71"/>
        <v>1</v>
      </c>
      <c r="AY75" s="5">
        <f t="shared" si="71"/>
        <v>1</v>
      </c>
      <c r="AZ75" s="5">
        <f t="shared" si="71"/>
        <v>1</v>
      </c>
      <c r="BA75" s="5">
        <f t="shared" si="71"/>
        <v>1</v>
      </c>
      <c r="BB75" s="8"/>
      <c r="BC75" s="8"/>
      <c r="BD75" s="8"/>
      <c r="BE75" s="8"/>
      <c r="BF75" s="8"/>
      <c r="BG75" s="8"/>
      <c r="BH75" s="8"/>
      <c r="BI75" s="8"/>
    </row>
    <row r="76" ht="12.75" customHeight="1">
      <c r="A76" s="4">
        <v>144.0</v>
      </c>
      <c r="B76" s="5" t="s">
        <v>301</v>
      </c>
      <c r="C76" s="5" t="s">
        <v>302</v>
      </c>
      <c r="D76" s="5" t="s">
        <v>303</v>
      </c>
      <c r="E76" s="5" t="s">
        <v>112</v>
      </c>
      <c r="F76" s="6">
        <v>45425.0</v>
      </c>
      <c r="G76" s="5" t="s">
        <v>23</v>
      </c>
      <c r="H76" s="6">
        <v>45425.0</v>
      </c>
      <c r="I76" s="5" t="s">
        <v>24</v>
      </c>
      <c r="J76" s="5" t="s">
        <v>256</v>
      </c>
      <c r="K76" s="5" t="s">
        <v>25</v>
      </c>
      <c r="L76" s="5" t="s">
        <v>304</v>
      </c>
      <c r="M76" s="5" t="s">
        <v>28</v>
      </c>
      <c r="N76" s="5" t="s">
        <v>239</v>
      </c>
      <c r="O76" s="5" t="s">
        <v>30</v>
      </c>
      <c r="P76" s="7" t="s">
        <v>258</v>
      </c>
      <c r="Q76" s="7" t="str">
        <f t="array" ref="Q76">IF($M76="Yes","Cost of Goods Sold:COGS- Travel Expenses:",IF($M76="No",XLOOKUP($P76,Key!$I:$I,Key!$J:$J),"Review Billable Status"))</f>
        <v>Sales &amp; Marketing:Sales &amp; Marketing- Travel Expenses:</v>
      </c>
      <c r="R76" s="7" t="str">
        <f t="array" ref="R76">IF($M76="Yes","Cost of Goods Sold:COGS- Personnel Expense:",IF($M76="No",XLOOKUP($P76,Key!$I:$I,Key!$K:$K),"Review Billable Status"))</f>
        <v>Sales &amp; Marketing:Sales &amp; Marketing- Personnel Expenses:</v>
      </c>
      <c r="S76" s="10" t="str">
        <f t="array" ref="S76">IF($G76="Paid Intern","PD Intern",IF($G76="Contractor/Consultant","Contractor",XLOOKUP(M76&amp;P76,Key!$M:$M,Key!$L:$L)))</f>
        <v>S&amp;M</v>
      </c>
      <c r="T76" s="5">
        <f t="shared" ref="T76:BA76" si="72">IF(OR($F76&gt;T$12,AND($G76="Terminated",T$12&gt;=$H76)),0,1)</f>
        <v>0</v>
      </c>
      <c r="U76" s="5">
        <f t="shared" si="72"/>
        <v>0</v>
      </c>
      <c r="V76" s="5">
        <f t="shared" si="72"/>
        <v>1</v>
      </c>
      <c r="W76" s="5">
        <f t="shared" si="72"/>
        <v>1</v>
      </c>
      <c r="X76" s="5">
        <f t="shared" si="72"/>
        <v>1</v>
      </c>
      <c r="Y76" s="5">
        <f t="shared" si="72"/>
        <v>1</v>
      </c>
      <c r="Z76" s="5">
        <f t="shared" si="72"/>
        <v>1</v>
      </c>
      <c r="AA76" s="5">
        <f t="shared" si="72"/>
        <v>1</v>
      </c>
      <c r="AB76" s="5">
        <f t="shared" si="72"/>
        <v>1</v>
      </c>
      <c r="AC76" s="5">
        <f t="shared" si="72"/>
        <v>1</v>
      </c>
      <c r="AD76" s="5">
        <f t="shared" si="72"/>
        <v>1</v>
      </c>
      <c r="AE76" s="5">
        <f t="shared" si="72"/>
        <v>1</v>
      </c>
      <c r="AF76" s="5">
        <f t="shared" si="72"/>
        <v>1</v>
      </c>
      <c r="AG76" s="5">
        <f t="shared" si="72"/>
        <v>1</v>
      </c>
      <c r="AH76" s="5">
        <f t="shared" si="72"/>
        <v>1</v>
      </c>
      <c r="AI76" s="5">
        <f t="shared" si="72"/>
        <v>1</v>
      </c>
      <c r="AJ76" s="5">
        <f t="shared" si="72"/>
        <v>1</v>
      </c>
      <c r="AK76" s="5">
        <f t="shared" si="72"/>
        <v>1</v>
      </c>
      <c r="AL76" s="5">
        <f t="shared" si="72"/>
        <v>1</v>
      </c>
      <c r="AM76" s="5">
        <f t="shared" si="72"/>
        <v>1</v>
      </c>
      <c r="AN76" s="5">
        <f t="shared" si="72"/>
        <v>1</v>
      </c>
      <c r="AO76" s="5">
        <f t="shared" si="72"/>
        <v>1</v>
      </c>
      <c r="AP76" s="5">
        <f t="shared" si="72"/>
        <v>1</v>
      </c>
      <c r="AQ76" s="5">
        <f t="shared" si="72"/>
        <v>1</v>
      </c>
      <c r="AR76" s="5">
        <f t="shared" si="72"/>
        <v>1</v>
      </c>
      <c r="AS76" s="5">
        <f t="shared" si="72"/>
        <v>1</v>
      </c>
      <c r="AT76" s="5">
        <f t="shared" si="72"/>
        <v>1</v>
      </c>
      <c r="AU76" s="5">
        <f t="shared" si="72"/>
        <v>1</v>
      </c>
      <c r="AV76" s="5">
        <f t="shared" si="72"/>
        <v>1</v>
      </c>
      <c r="AW76" s="5">
        <f t="shared" si="72"/>
        <v>1</v>
      </c>
      <c r="AX76" s="5">
        <f t="shared" si="72"/>
        <v>1</v>
      </c>
      <c r="AY76" s="5">
        <f t="shared" si="72"/>
        <v>1</v>
      </c>
      <c r="AZ76" s="5">
        <f t="shared" si="72"/>
        <v>1</v>
      </c>
      <c r="BA76" s="5">
        <f t="shared" si="72"/>
        <v>1</v>
      </c>
      <c r="BB76" s="8"/>
      <c r="BC76" s="8"/>
      <c r="BD76" s="8"/>
      <c r="BE76" s="8"/>
      <c r="BF76" s="8"/>
      <c r="BG76" s="8"/>
      <c r="BH76" s="8"/>
      <c r="BI76" s="8"/>
    </row>
    <row r="77" ht="12.75" customHeight="1">
      <c r="A77" s="4">
        <v>146.0</v>
      </c>
      <c r="B77" s="5" t="s">
        <v>305</v>
      </c>
      <c r="C77" s="5" t="s">
        <v>306</v>
      </c>
      <c r="D77" s="5" t="s">
        <v>307</v>
      </c>
      <c r="E77" s="5" t="s">
        <v>22</v>
      </c>
      <c r="F77" s="6">
        <v>45446.0</v>
      </c>
      <c r="G77" s="5" t="s">
        <v>23</v>
      </c>
      <c r="H77" s="6">
        <v>45446.0</v>
      </c>
      <c r="I77" s="5" t="s">
        <v>34</v>
      </c>
      <c r="J77" s="5" t="s">
        <v>35</v>
      </c>
      <c r="K77" s="5" t="s">
        <v>36</v>
      </c>
      <c r="L77" s="5" t="s">
        <v>153</v>
      </c>
      <c r="M77" s="5" t="s">
        <v>39</v>
      </c>
      <c r="N77" s="5" t="s">
        <v>85</v>
      </c>
      <c r="O77" s="5" t="s">
        <v>76</v>
      </c>
      <c r="P77" s="7" t="s">
        <v>38</v>
      </c>
      <c r="Q77" s="7" t="str">
        <f t="array" ref="Q77">IF($M77="Yes","Cost of Goods Sold:COGS- Travel Expenses:",IF($M77="No",XLOOKUP($P77,Key!$I:$I,Key!$J:$J),"Review Billable Status"))</f>
        <v>Cost of Goods Sold:COGS- Travel Expenses:</v>
      </c>
      <c r="R77" s="7" t="str">
        <f t="array" ref="R77">IF($M77="Yes","Cost of Goods Sold:COGS- Personnel Expense:",IF($M77="No",XLOOKUP($P77,Key!$I:$I,Key!$K:$K),"Review Billable Status"))</f>
        <v>Cost of Goods Sold:COGS- Personnel Expense:</v>
      </c>
      <c r="S77" s="10" t="str">
        <f t="array" ref="S77">IF($G77="Paid Intern","PD Intern",IF($G77="Contractor/Consultant","Contractor",XLOOKUP(M77&amp;P77,Key!$M:$M,Key!$L:$L)))</f>
        <v>COR</v>
      </c>
      <c r="T77" s="5">
        <f t="shared" ref="T77:BA77" si="73">IF(OR($F77&gt;T$12,AND($G77="Terminated",T$12&gt;=$H77)),0,1)</f>
        <v>0</v>
      </c>
      <c r="U77" s="5">
        <f t="shared" si="73"/>
        <v>0</v>
      </c>
      <c r="V77" s="5">
        <f t="shared" si="73"/>
        <v>0</v>
      </c>
      <c r="W77" s="5">
        <f t="shared" si="73"/>
        <v>1</v>
      </c>
      <c r="X77" s="5">
        <f t="shared" si="73"/>
        <v>1</v>
      </c>
      <c r="Y77" s="5">
        <f t="shared" si="73"/>
        <v>1</v>
      </c>
      <c r="Z77" s="5">
        <f t="shared" si="73"/>
        <v>1</v>
      </c>
      <c r="AA77" s="5">
        <f t="shared" si="73"/>
        <v>1</v>
      </c>
      <c r="AB77" s="5">
        <f t="shared" si="73"/>
        <v>1</v>
      </c>
      <c r="AC77" s="5">
        <f t="shared" si="73"/>
        <v>1</v>
      </c>
      <c r="AD77" s="5">
        <f t="shared" si="73"/>
        <v>1</v>
      </c>
      <c r="AE77" s="5">
        <f t="shared" si="73"/>
        <v>1</v>
      </c>
      <c r="AF77" s="5">
        <f t="shared" si="73"/>
        <v>1</v>
      </c>
      <c r="AG77" s="5">
        <f t="shared" si="73"/>
        <v>1</v>
      </c>
      <c r="AH77" s="5">
        <f t="shared" si="73"/>
        <v>1</v>
      </c>
      <c r="AI77" s="5">
        <f t="shared" si="73"/>
        <v>1</v>
      </c>
      <c r="AJ77" s="5">
        <f t="shared" si="73"/>
        <v>1</v>
      </c>
      <c r="AK77" s="5">
        <f t="shared" si="73"/>
        <v>1</v>
      </c>
      <c r="AL77" s="5">
        <f t="shared" si="73"/>
        <v>1</v>
      </c>
      <c r="AM77" s="5">
        <f t="shared" si="73"/>
        <v>1</v>
      </c>
      <c r="AN77" s="5">
        <f t="shared" si="73"/>
        <v>1</v>
      </c>
      <c r="AO77" s="5">
        <f t="shared" si="73"/>
        <v>1</v>
      </c>
      <c r="AP77" s="5">
        <f t="shared" si="73"/>
        <v>1</v>
      </c>
      <c r="AQ77" s="5">
        <f t="shared" si="73"/>
        <v>1</v>
      </c>
      <c r="AR77" s="5">
        <f t="shared" si="73"/>
        <v>1</v>
      </c>
      <c r="AS77" s="5">
        <f t="shared" si="73"/>
        <v>1</v>
      </c>
      <c r="AT77" s="5">
        <f t="shared" si="73"/>
        <v>1</v>
      </c>
      <c r="AU77" s="5">
        <f t="shared" si="73"/>
        <v>1</v>
      </c>
      <c r="AV77" s="5">
        <f t="shared" si="73"/>
        <v>1</v>
      </c>
      <c r="AW77" s="5">
        <f t="shared" si="73"/>
        <v>1</v>
      </c>
      <c r="AX77" s="5">
        <f t="shared" si="73"/>
        <v>1</v>
      </c>
      <c r="AY77" s="5">
        <f t="shared" si="73"/>
        <v>1</v>
      </c>
      <c r="AZ77" s="5">
        <f t="shared" si="73"/>
        <v>1</v>
      </c>
      <c r="BA77" s="5">
        <f t="shared" si="73"/>
        <v>1</v>
      </c>
      <c r="BB77" s="8"/>
      <c r="BC77" s="8"/>
      <c r="BD77" s="8"/>
      <c r="BE77" s="8"/>
      <c r="BF77" s="8"/>
      <c r="BG77" s="8"/>
      <c r="BH77" s="8"/>
      <c r="BI77" s="8"/>
    </row>
    <row r="78" ht="12.75" customHeight="1">
      <c r="A78" s="4">
        <v>148.0</v>
      </c>
      <c r="B78" s="5" t="s">
        <v>308</v>
      </c>
      <c r="C78" s="5" t="s">
        <v>309</v>
      </c>
      <c r="D78" s="5" t="s">
        <v>310</v>
      </c>
      <c r="E78" s="5" t="s">
        <v>22</v>
      </c>
      <c r="F78" s="6">
        <v>45460.0</v>
      </c>
      <c r="G78" s="5" t="s">
        <v>23</v>
      </c>
      <c r="H78" s="6">
        <v>45460.0</v>
      </c>
      <c r="I78" s="5" t="s">
        <v>34</v>
      </c>
      <c r="J78" s="5" t="s">
        <v>45</v>
      </c>
      <c r="K78" s="5" t="s">
        <v>36</v>
      </c>
      <c r="L78" s="5" t="s">
        <v>70</v>
      </c>
      <c r="M78" s="5" t="s">
        <v>28</v>
      </c>
      <c r="N78" s="5" t="s">
        <v>59</v>
      </c>
      <c r="O78" s="5" t="s">
        <v>158</v>
      </c>
      <c r="P78" s="7" t="s">
        <v>47</v>
      </c>
      <c r="Q78" s="7" t="str">
        <f t="array" ref="Q78">IF($M78="Yes","Cost of Goods Sold:COGS- Travel Expenses:",IF($M78="No",XLOOKUP($P78,Key!$I:$I,Key!$J:$J),"Review Billable Status"))</f>
        <v>Sales &amp; Marketing:Sales &amp; Marketing- Travel Expenses:</v>
      </c>
      <c r="R78" s="7" t="str">
        <f t="array" ref="R78">IF($M78="Yes","Cost of Goods Sold:COGS- Personnel Expense:",IF($M78="No",XLOOKUP($P78,Key!$I:$I,Key!$K:$K),"Review Billable Status"))</f>
        <v>Sales &amp; Marketing:Sales &amp; Marketing- Personnel Expenses:</v>
      </c>
      <c r="S78" s="10" t="str">
        <f t="array" ref="S78">IF($G78="Paid Intern","PD Intern",IF($G78="Contractor/Consultant","Contractor",XLOOKUP(M78&amp;P78,Key!$M:$M,Key!$L:$L)))</f>
        <v>S&amp;M</v>
      </c>
      <c r="T78" s="5">
        <f t="shared" ref="T78:BA78" si="74">IF(OR($F78&gt;T$12,AND($G78="Terminated",T$12&gt;=$H78)),0,1)</f>
        <v>0</v>
      </c>
      <c r="U78" s="5">
        <f t="shared" si="74"/>
        <v>0</v>
      </c>
      <c r="V78" s="5">
        <f t="shared" si="74"/>
        <v>0</v>
      </c>
      <c r="W78" s="5">
        <f t="shared" si="74"/>
        <v>1</v>
      </c>
      <c r="X78" s="5">
        <f t="shared" si="74"/>
        <v>1</v>
      </c>
      <c r="Y78" s="5">
        <f t="shared" si="74"/>
        <v>1</v>
      </c>
      <c r="Z78" s="5">
        <f t="shared" si="74"/>
        <v>1</v>
      </c>
      <c r="AA78" s="5">
        <f t="shared" si="74"/>
        <v>1</v>
      </c>
      <c r="AB78" s="5">
        <f t="shared" si="74"/>
        <v>1</v>
      </c>
      <c r="AC78" s="5">
        <f t="shared" si="74"/>
        <v>1</v>
      </c>
      <c r="AD78" s="5">
        <f t="shared" si="74"/>
        <v>1</v>
      </c>
      <c r="AE78" s="5">
        <f t="shared" si="74"/>
        <v>1</v>
      </c>
      <c r="AF78" s="5">
        <f t="shared" si="74"/>
        <v>1</v>
      </c>
      <c r="AG78" s="5">
        <f t="shared" si="74"/>
        <v>1</v>
      </c>
      <c r="AH78" s="5">
        <f t="shared" si="74"/>
        <v>1</v>
      </c>
      <c r="AI78" s="5">
        <f t="shared" si="74"/>
        <v>1</v>
      </c>
      <c r="AJ78" s="5">
        <f t="shared" si="74"/>
        <v>1</v>
      </c>
      <c r="AK78" s="5">
        <f t="shared" si="74"/>
        <v>1</v>
      </c>
      <c r="AL78" s="5">
        <f t="shared" si="74"/>
        <v>1</v>
      </c>
      <c r="AM78" s="5">
        <f t="shared" si="74"/>
        <v>1</v>
      </c>
      <c r="AN78" s="5">
        <f t="shared" si="74"/>
        <v>1</v>
      </c>
      <c r="AO78" s="5">
        <f t="shared" si="74"/>
        <v>1</v>
      </c>
      <c r="AP78" s="5">
        <f t="shared" si="74"/>
        <v>1</v>
      </c>
      <c r="AQ78" s="5">
        <f t="shared" si="74"/>
        <v>1</v>
      </c>
      <c r="AR78" s="5">
        <f t="shared" si="74"/>
        <v>1</v>
      </c>
      <c r="AS78" s="5">
        <f t="shared" si="74"/>
        <v>1</v>
      </c>
      <c r="AT78" s="5">
        <f t="shared" si="74"/>
        <v>1</v>
      </c>
      <c r="AU78" s="5">
        <f t="shared" si="74"/>
        <v>1</v>
      </c>
      <c r="AV78" s="5">
        <f t="shared" si="74"/>
        <v>1</v>
      </c>
      <c r="AW78" s="5">
        <f t="shared" si="74"/>
        <v>1</v>
      </c>
      <c r="AX78" s="5">
        <f t="shared" si="74"/>
        <v>1</v>
      </c>
      <c r="AY78" s="5">
        <f t="shared" si="74"/>
        <v>1</v>
      </c>
      <c r="AZ78" s="5">
        <f t="shared" si="74"/>
        <v>1</v>
      </c>
      <c r="BA78" s="5">
        <f t="shared" si="74"/>
        <v>1</v>
      </c>
      <c r="BB78" s="8"/>
      <c r="BC78" s="8"/>
      <c r="BD78" s="8"/>
      <c r="BE78" s="8"/>
      <c r="BF78" s="8"/>
      <c r="BG78" s="8"/>
      <c r="BH78" s="8"/>
      <c r="BI78" s="8"/>
    </row>
    <row r="79" ht="12.75" customHeight="1">
      <c r="A79" s="4">
        <v>149.0</v>
      </c>
      <c r="B79" s="5" t="s">
        <v>311</v>
      </c>
      <c r="C79" s="5" t="s">
        <v>312</v>
      </c>
      <c r="D79" s="5" t="s">
        <v>313</v>
      </c>
      <c r="E79" s="5" t="s">
        <v>112</v>
      </c>
      <c r="F79" s="6">
        <v>45474.0</v>
      </c>
      <c r="G79" s="5" t="s">
        <v>23</v>
      </c>
      <c r="H79" s="6">
        <v>45474.0</v>
      </c>
      <c r="I79" s="5" t="s">
        <v>34</v>
      </c>
      <c r="J79" s="5" t="s">
        <v>130</v>
      </c>
      <c r="K79" s="5" t="s">
        <v>25</v>
      </c>
      <c r="L79" s="5" t="s">
        <v>228</v>
      </c>
      <c r="M79" s="5" t="s">
        <v>39</v>
      </c>
      <c r="N79" s="5" t="s">
        <v>52</v>
      </c>
      <c r="O79" s="5" t="s">
        <v>30</v>
      </c>
      <c r="P79" s="7" t="s">
        <v>132</v>
      </c>
      <c r="Q79" s="7" t="str">
        <f t="array" ref="Q79">IF($M79="Yes","Cost of Goods Sold:COGS- Travel Expenses:",IF($M79="No",XLOOKUP($P79,Key!$I:$I,Key!$J:$J),"Review Billable Status"))</f>
        <v>Cost of Goods Sold:COGS- Travel Expenses:</v>
      </c>
      <c r="R79" s="7" t="str">
        <f t="array" ref="R79">IF($M79="Yes","Cost of Goods Sold:COGS- Personnel Expense:",IF($M79="No",XLOOKUP($P79,Key!$I:$I,Key!$K:$K),"Review Billable Status"))</f>
        <v>Cost of Goods Sold:COGS- Personnel Expense:</v>
      </c>
      <c r="S79" s="10" t="str">
        <f t="array" ref="S79">IF($G79="Paid Intern","PD Intern",IF($G79="Contractor/Consultant","Contractor",XLOOKUP(M79&amp;P79,Key!$M:$M,Key!$L:$L)))</f>
        <v>COR</v>
      </c>
      <c r="T79" s="5">
        <f t="shared" ref="T79:BA79" si="75">IF(OR($F79&gt;T$12,AND($G79="Terminated",T$12&gt;=$H79)),0,1)</f>
        <v>0</v>
      </c>
      <c r="U79" s="5">
        <f t="shared" si="75"/>
        <v>0</v>
      </c>
      <c r="V79" s="5">
        <f t="shared" si="75"/>
        <v>0</v>
      </c>
      <c r="W79" s="5">
        <f t="shared" si="75"/>
        <v>0</v>
      </c>
      <c r="X79" s="5">
        <f t="shared" si="75"/>
        <v>1</v>
      </c>
      <c r="Y79" s="5">
        <f t="shared" si="75"/>
        <v>1</v>
      </c>
      <c r="Z79" s="5">
        <f t="shared" si="75"/>
        <v>1</v>
      </c>
      <c r="AA79" s="5">
        <f t="shared" si="75"/>
        <v>1</v>
      </c>
      <c r="AB79" s="5">
        <f t="shared" si="75"/>
        <v>1</v>
      </c>
      <c r="AC79" s="5">
        <f t="shared" si="75"/>
        <v>1</v>
      </c>
      <c r="AD79" s="5">
        <f t="shared" si="75"/>
        <v>1</v>
      </c>
      <c r="AE79" s="5">
        <f t="shared" si="75"/>
        <v>1</v>
      </c>
      <c r="AF79" s="5">
        <f t="shared" si="75"/>
        <v>1</v>
      </c>
      <c r="AG79" s="5">
        <f t="shared" si="75"/>
        <v>1</v>
      </c>
      <c r="AH79" s="5">
        <f t="shared" si="75"/>
        <v>1</v>
      </c>
      <c r="AI79" s="5">
        <f t="shared" si="75"/>
        <v>1</v>
      </c>
      <c r="AJ79" s="5">
        <f t="shared" si="75"/>
        <v>1</v>
      </c>
      <c r="AK79" s="5">
        <f t="shared" si="75"/>
        <v>1</v>
      </c>
      <c r="AL79" s="5">
        <f t="shared" si="75"/>
        <v>1</v>
      </c>
      <c r="AM79" s="5">
        <f t="shared" si="75"/>
        <v>1</v>
      </c>
      <c r="AN79" s="5">
        <f t="shared" si="75"/>
        <v>1</v>
      </c>
      <c r="AO79" s="5">
        <f t="shared" si="75"/>
        <v>1</v>
      </c>
      <c r="AP79" s="5">
        <f t="shared" si="75"/>
        <v>1</v>
      </c>
      <c r="AQ79" s="5">
        <f t="shared" si="75"/>
        <v>1</v>
      </c>
      <c r="AR79" s="5">
        <f t="shared" si="75"/>
        <v>1</v>
      </c>
      <c r="AS79" s="5">
        <f t="shared" si="75"/>
        <v>1</v>
      </c>
      <c r="AT79" s="5">
        <f t="shared" si="75"/>
        <v>1</v>
      </c>
      <c r="AU79" s="5">
        <f t="shared" si="75"/>
        <v>1</v>
      </c>
      <c r="AV79" s="5">
        <f t="shared" si="75"/>
        <v>1</v>
      </c>
      <c r="AW79" s="5">
        <f t="shared" si="75"/>
        <v>1</v>
      </c>
      <c r="AX79" s="5">
        <f t="shared" si="75"/>
        <v>1</v>
      </c>
      <c r="AY79" s="5">
        <f t="shared" si="75"/>
        <v>1</v>
      </c>
      <c r="AZ79" s="5">
        <f t="shared" si="75"/>
        <v>1</v>
      </c>
      <c r="BA79" s="5">
        <f t="shared" si="75"/>
        <v>1</v>
      </c>
      <c r="BB79" s="8"/>
      <c r="BC79" s="8"/>
      <c r="BD79" s="8"/>
      <c r="BE79" s="8"/>
      <c r="BF79" s="8"/>
      <c r="BG79" s="8"/>
      <c r="BH79" s="8"/>
      <c r="BI79" s="8"/>
    </row>
    <row r="80" ht="12.75" customHeight="1">
      <c r="A80" s="4">
        <v>152.0</v>
      </c>
      <c r="B80" s="5" t="s">
        <v>314</v>
      </c>
      <c r="C80" s="5" t="s">
        <v>315</v>
      </c>
      <c r="D80" s="5" t="s">
        <v>316</v>
      </c>
      <c r="E80" s="5" t="s">
        <v>22</v>
      </c>
      <c r="F80" s="6">
        <v>45495.0</v>
      </c>
      <c r="G80" s="5" t="s">
        <v>23</v>
      </c>
      <c r="H80" s="6">
        <v>45495.0</v>
      </c>
      <c r="I80" s="5" t="s">
        <v>34</v>
      </c>
      <c r="J80" s="5" t="s">
        <v>35</v>
      </c>
      <c r="K80" s="5" t="s">
        <v>36</v>
      </c>
      <c r="L80" s="5" t="s">
        <v>84</v>
      </c>
      <c r="M80" s="5" t="s">
        <v>39</v>
      </c>
      <c r="N80" s="5" t="s">
        <v>85</v>
      </c>
      <c r="O80" s="5" t="s">
        <v>205</v>
      </c>
      <c r="P80" s="7" t="s">
        <v>38</v>
      </c>
      <c r="Q80" s="7" t="str">
        <f t="array" ref="Q80">IF($M80="Yes","Cost of Goods Sold:COGS- Travel Expenses:",IF($M80="No",XLOOKUP($P80,Key!$I:$I,Key!$J:$J),"Review Billable Status"))</f>
        <v>Cost of Goods Sold:COGS- Travel Expenses:</v>
      </c>
      <c r="R80" s="7" t="str">
        <f t="array" ref="R80">IF($M80="Yes","Cost of Goods Sold:COGS- Personnel Expense:",IF($M80="No",XLOOKUP($P80,Key!$I:$I,Key!$K:$K),"Review Billable Status"))</f>
        <v>Cost of Goods Sold:COGS- Personnel Expense:</v>
      </c>
      <c r="S80" s="10" t="str">
        <f t="array" ref="S80">IF($G80="Paid Intern","PD Intern",IF($G80="Contractor/Consultant","Contractor",XLOOKUP(M80&amp;P80,Key!$M:$M,Key!$L:$L)))</f>
        <v>COR</v>
      </c>
      <c r="T80" s="5">
        <f t="shared" ref="T80:BA80" si="76">IF(OR($F80&gt;T$12,AND($G80="Terminated",T$12&gt;=$H80)),0,1)</f>
        <v>0</v>
      </c>
      <c r="U80" s="5">
        <f t="shared" si="76"/>
        <v>0</v>
      </c>
      <c r="V80" s="5">
        <f t="shared" si="76"/>
        <v>0</v>
      </c>
      <c r="W80" s="5">
        <f t="shared" si="76"/>
        <v>0</v>
      </c>
      <c r="X80" s="5">
        <f t="shared" si="76"/>
        <v>1</v>
      </c>
      <c r="Y80" s="5">
        <f t="shared" si="76"/>
        <v>1</v>
      </c>
      <c r="Z80" s="5">
        <f t="shared" si="76"/>
        <v>1</v>
      </c>
      <c r="AA80" s="5">
        <f t="shared" si="76"/>
        <v>1</v>
      </c>
      <c r="AB80" s="5">
        <f t="shared" si="76"/>
        <v>1</v>
      </c>
      <c r="AC80" s="5">
        <f t="shared" si="76"/>
        <v>1</v>
      </c>
      <c r="AD80" s="5">
        <f t="shared" si="76"/>
        <v>1</v>
      </c>
      <c r="AE80" s="5">
        <f t="shared" si="76"/>
        <v>1</v>
      </c>
      <c r="AF80" s="5">
        <f t="shared" si="76"/>
        <v>1</v>
      </c>
      <c r="AG80" s="5">
        <f t="shared" si="76"/>
        <v>1</v>
      </c>
      <c r="AH80" s="5">
        <f t="shared" si="76"/>
        <v>1</v>
      </c>
      <c r="AI80" s="5">
        <f t="shared" si="76"/>
        <v>1</v>
      </c>
      <c r="AJ80" s="5">
        <f t="shared" si="76"/>
        <v>1</v>
      </c>
      <c r="AK80" s="5">
        <f t="shared" si="76"/>
        <v>1</v>
      </c>
      <c r="AL80" s="5">
        <f t="shared" si="76"/>
        <v>1</v>
      </c>
      <c r="AM80" s="5">
        <f t="shared" si="76"/>
        <v>1</v>
      </c>
      <c r="AN80" s="5">
        <f t="shared" si="76"/>
        <v>1</v>
      </c>
      <c r="AO80" s="5">
        <f t="shared" si="76"/>
        <v>1</v>
      </c>
      <c r="AP80" s="5">
        <f t="shared" si="76"/>
        <v>1</v>
      </c>
      <c r="AQ80" s="5">
        <f t="shared" si="76"/>
        <v>1</v>
      </c>
      <c r="AR80" s="5">
        <f t="shared" si="76"/>
        <v>1</v>
      </c>
      <c r="AS80" s="5">
        <f t="shared" si="76"/>
        <v>1</v>
      </c>
      <c r="AT80" s="5">
        <f t="shared" si="76"/>
        <v>1</v>
      </c>
      <c r="AU80" s="5">
        <f t="shared" si="76"/>
        <v>1</v>
      </c>
      <c r="AV80" s="5">
        <f t="shared" si="76"/>
        <v>1</v>
      </c>
      <c r="AW80" s="5">
        <f t="shared" si="76"/>
        <v>1</v>
      </c>
      <c r="AX80" s="5">
        <f t="shared" si="76"/>
        <v>1</v>
      </c>
      <c r="AY80" s="5">
        <f t="shared" si="76"/>
        <v>1</v>
      </c>
      <c r="AZ80" s="5">
        <f t="shared" si="76"/>
        <v>1</v>
      </c>
      <c r="BA80" s="5">
        <f t="shared" si="76"/>
        <v>1</v>
      </c>
      <c r="BB80" s="8"/>
      <c r="BC80" s="8"/>
      <c r="BD80" s="8"/>
      <c r="BE80" s="8"/>
      <c r="BF80" s="8"/>
      <c r="BG80" s="8"/>
      <c r="BH80" s="8"/>
      <c r="BI80" s="8"/>
    </row>
    <row r="81" ht="12.75" customHeight="1">
      <c r="A81" s="4">
        <v>154.0</v>
      </c>
      <c r="B81" s="5" t="s">
        <v>305</v>
      </c>
      <c r="C81" s="5" t="s">
        <v>317</v>
      </c>
      <c r="D81" s="5" t="s">
        <v>318</v>
      </c>
      <c r="E81" s="5" t="s">
        <v>22</v>
      </c>
      <c r="F81" s="6">
        <v>45502.0</v>
      </c>
      <c r="G81" s="5" t="s">
        <v>23</v>
      </c>
      <c r="H81" s="6">
        <v>45502.0</v>
      </c>
      <c r="I81" s="5" t="s">
        <v>64</v>
      </c>
      <c r="J81" s="5" t="s">
        <v>45</v>
      </c>
      <c r="K81" s="5" t="s">
        <v>36</v>
      </c>
      <c r="L81" s="5" t="s">
        <v>319</v>
      </c>
      <c r="M81" s="5" t="s">
        <v>28</v>
      </c>
      <c r="N81" s="5" t="s">
        <v>59</v>
      </c>
      <c r="O81" s="5" t="s">
        <v>320</v>
      </c>
      <c r="P81" s="7" t="s">
        <v>66</v>
      </c>
      <c r="Q81" s="7" t="str">
        <f t="array" ref="Q81">IF($M81="Yes","Cost of Goods Sold:COGS- Travel Expenses:",IF($M81="No",XLOOKUP($P81,Key!$I:$I,Key!$J:$J),"Review Billable Status"))</f>
        <v>Sales &amp; Marketing:Sales &amp; Marketing- Travel Expenses:</v>
      </c>
      <c r="R81" s="7" t="str">
        <f t="array" ref="R81">IF($M81="Yes","Cost of Goods Sold:COGS- Personnel Expense:",IF($M81="No",XLOOKUP($P81,Key!$I:$I,Key!$K:$K),"Review Billable Status"))</f>
        <v>Sales &amp; Marketing:Sales &amp; Marketing- Personnel Expenses:</v>
      </c>
      <c r="S81" s="10" t="str">
        <f t="array" ref="S81">IF($G81="Paid Intern","PD Intern",IF($G81="Contractor/Consultant","Contractor",XLOOKUP(M81&amp;P81,Key!$M:$M,Key!$L:$L)))</f>
        <v>S&amp;M</v>
      </c>
      <c r="T81" s="5">
        <f t="shared" ref="T81:BA81" si="77">IF(OR($F81&gt;T$12,AND($G81="Terminated",T$12&gt;=$H81)),0,1)</f>
        <v>0</v>
      </c>
      <c r="U81" s="5">
        <f t="shared" si="77"/>
        <v>0</v>
      </c>
      <c r="V81" s="5">
        <f t="shared" si="77"/>
        <v>0</v>
      </c>
      <c r="W81" s="5">
        <f t="shared" si="77"/>
        <v>0</v>
      </c>
      <c r="X81" s="5">
        <f t="shared" si="77"/>
        <v>1</v>
      </c>
      <c r="Y81" s="5">
        <f t="shared" si="77"/>
        <v>1</v>
      </c>
      <c r="Z81" s="5">
        <f t="shared" si="77"/>
        <v>1</v>
      </c>
      <c r="AA81" s="5">
        <f t="shared" si="77"/>
        <v>1</v>
      </c>
      <c r="AB81" s="5">
        <f t="shared" si="77"/>
        <v>1</v>
      </c>
      <c r="AC81" s="5">
        <f t="shared" si="77"/>
        <v>1</v>
      </c>
      <c r="AD81" s="5">
        <f t="shared" si="77"/>
        <v>1</v>
      </c>
      <c r="AE81" s="5">
        <f t="shared" si="77"/>
        <v>1</v>
      </c>
      <c r="AF81" s="5">
        <f t="shared" si="77"/>
        <v>1</v>
      </c>
      <c r="AG81" s="5">
        <f t="shared" si="77"/>
        <v>1</v>
      </c>
      <c r="AH81" s="5">
        <f t="shared" si="77"/>
        <v>1</v>
      </c>
      <c r="AI81" s="5">
        <f t="shared" si="77"/>
        <v>1</v>
      </c>
      <c r="AJ81" s="5">
        <f t="shared" si="77"/>
        <v>1</v>
      </c>
      <c r="AK81" s="5">
        <f t="shared" si="77"/>
        <v>1</v>
      </c>
      <c r="AL81" s="5">
        <f t="shared" si="77"/>
        <v>1</v>
      </c>
      <c r="AM81" s="5">
        <f t="shared" si="77"/>
        <v>1</v>
      </c>
      <c r="AN81" s="5">
        <f t="shared" si="77"/>
        <v>1</v>
      </c>
      <c r="AO81" s="5">
        <f t="shared" si="77"/>
        <v>1</v>
      </c>
      <c r="AP81" s="5">
        <f t="shared" si="77"/>
        <v>1</v>
      </c>
      <c r="AQ81" s="5">
        <f t="shared" si="77"/>
        <v>1</v>
      </c>
      <c r="AR81" s="5">
        <f t="shared" si="77"/>
        <v>1</v>
      </c>
      <c r="AS81" s="5">
        <f t="shared" si="77"/>
        <v>1</v>
      </c>
      <c r="AT81" s="5">
        <f t="shared" si="77"/>
        <v>1</v>
      </c>
      <c r="AU81" s="5">
        <f t="shared" si="77"/>
        <v>1</v>
      </c>
      <c r="AV81" s="5">
        <f t="shared" si="77"/>
        <v>1</v>
      </c>
      <c r="AW81" s="5">
        <f t="shared" si="77"/>
        <v>1</v>
      </c>
      <c r="AX81" s="5">
        <f t="shared" si="77"/>
        <v>1</v>
      </c>
      <c r="AY81" s="5">
        <f t="shared" si="77"/>
        <v>1</v>
      </c>
      <c r="AZ81" s="5">
        <f t="shared" si="77"/>
        <v>1</v>
      </c>
      <c r="BA81" s="5">
        <f t="shared" si="77"/>
        <v>1</v>
      </c>
      <c r="BB81" s="8"/>
      <c r="BC81" s="8"/>
      <c r="BD81" s="8"/>
      <c r="BE81" s="8"/>
      <c r="BF81" s="8"/>
      <c r="BG81" s="8"/>
      <c r="BH81" s="8"/>
      <c r="BI81" s="8"/>
    </row>
    <row r="82" ht="12.75" customHeight="1">
      <c r="A82" s="4">
        <v>155.0</v>
      </c>
      <c r="B82" s="5" t="s">
        <v>181</v>
      </c>
      <c r="C82" s="5" t="s">
        <v>321</v>
      </c>
      <c r="D82" s="5" t="s">
        <v>322</v>
      </c>
      <c r="E82" s="5" t="s">
        <v>22</v>
      </c>
      <c r="F82" s="6">
        <v>45505.0</v>
      </c>
      <c r="G82" s="5" t="s">
        <v>23</v>
      </c>
      <c r="H82" s="6">
        <v>45505.0</v>
      </c>
      <c r="I82" s="5" t="s">
        <v>34</v>
      </c>
      <c r="J82" s="5" t="s">
        <v>35</v>
      </c>
      <c r="K82" s="5" t="s">
        <v>36</v>
      </c>
      <c r="L82" s="5" t="s">
        <v>323</v>
      </c>
      <c r="M82" s="5" t="s">
        <v>39</v>
      </c>
      <c r="N82" s="5" t="s">
        <v>52</v>
      </c>
      <c r="O82" s="5" t="s">
        <v>324</v>
      </c>
      <c r="P82" s="7" t="s">
        <v>38</v>
      </c>
      <c r="Q82" s="7" t="str">
        <f t="array" ref="Q82">IF($M82="Yes","Cost of Goods Sold:COGS- Travel Expenses:",IF($M82="No",XLOOKUP($P82,Key!$I:$I,Key!$J:$J),"Review Billable Status"))</f>
        <v>Cost of Goods Sold:COGS- Travel Expenses:</v>
      </c>
      <c r="R82" s="7" t="str">
        <f t="array" ref="R82">IF($M82="Yes","Cost of Goods Sold:COGS- Personnel Expense:",IF($M82="No",XLOOKUP($P82,Key!$I:$I,Key!$K:$K),"Review Billable Status"))</f>
        <v>Cost of Goods Sold:COGS- Personnel Expense:</v>
      </c>
      <c r="S82" s="10" t="str">
        <f t="array" ref="S82">IF($G82="Paid Intern","PD Intern",IF($G82="Contractor/Consultant","Contractor",XLOOKUP(M82&amp;P82,Key!$M:$M,Key!$L:$L)))</f>
        <v>COR</v>
      </c>
      <c r="T82" s="5">
        <f t="shared" ref="T82:BA82" si="78">IF(OR($F82&gt;T$12,AND($G82="Terminated",T$12&gt;=$H82)),0,1)</f>
        <v>0</v>
      </c>
      <c r="U82" s="5">
        <f t="shared" si="78"/>
        <v>0</v>
      </c>
      <c r="V82" s="5">
        <f t="shared" si="78"/>
        <v>0</v>
      </c>
      <c r="W82" s="5">
        <f t="shared" si="78"/>
        <v>0</v>
      </c>
      <c r="X82" s="5">
        <f t="shared" si="78"/>
        <v>0</v>
      </c>
      <c r="Y82" s="5">
        <f t="shared" si="78"/>
        <v>1</v>
      </c>
      <c r="Z82" s="5">
        <f t="shared" si="78"/>
        <v>1</v>
      </c>
      <c r="AA82" s="5">
        <f t="shared" si="78"/>
        <v>1</v>
      </c>
      <c r="AB82" s="5">
        <f t="shared" si="78"/>
        <v>1</v>
      </c>
      <c r="AC82" s="5">
        <f t="shared" si="78"/>
        <v>1</v>
      </c>
      <c r="AD82" s="5">
        <f t="shared" si="78"/>
        <v>1</v>
      </c>
      <c r="AE82" s="5">
        <f t="shared" si="78"/>
        <v>1</v>
      </c>
      <c r="AF82" s="5">
        <f t="shared" si="78"/>
        <v>1</v>
      </c>
      <c r="AG82" s="5">
        <f t="shared" si="78"/>
        <v>1</v>
      </c>
      <c r="AH82" s="5">
        <f t="shared" si="78"/>
        <v>1</v>
      </c>
      <c r="AI82" s="5">
        <f t="shared" si="78"/>
        <v>1</v>
      </c>
      <c r="AJ82" s="5">
        <f t="shared" si="78"/>
        <v>1</v>
      </c>
      <c r="AK82" s="5">
        <f t="shared" si="78"/>
        <v>1</v>
      </c>
      <c r="AL82" s="5">
        <f t="shared" si="78"/>
        <v>1</v>
      </c>
      <c r="AM82" s="5">
        <f t="shared" si="78"/>
        <v>1</v>
      </c>
      <c r="AN82" s="5">
        <f t="shared" si="78"/>
        <v>1</v>
      </c>
      <c r="AO82" s="5">
        <f t="shared" si="78"/>
        <v>1</v>
      </c>
      <c r="AP82" s="5">
        <f t="shared" si="78"/>
        <v>1</v>
      </c>
      <c r="AQ82" s="5">
        <f t="shared" si="78"/>
        <v>1</v>
      </c>
      <c r="AR82" s="5">
        <f t="shared" si="78"/>
        <v>1</v>
      </c>
      <c r="AS82" s="5">
        <f t="shared" si="78"/>
        <v>1</v>
      </c>
      <c r="AT82" s="5">
        <f t="shared" si="78"/>
        <v>1</v>
      </c>
      <c r="AU82" s="5">
        <f t="shared" si="78"/>
        <v>1</v>
      </c>
      <c r="AV82" s="5">
        <f t="shared" si="78"/>
        <v>1</v>
      </c>
      <c r="AW82" s="5">
        <f t="shared" si="78"/>
        <v>1</v>
      </c>
      <c r="AX82" s="5">
        <f t="shared" si="78"/>
        <v>1</v>
      </c>
      <c r="AY82" s="5">
        <f t="shared" si="78"/>
        <v>1</v>
      </c>
      <c r="AZ82" s="5">
        <f t="shared" si="78"/>
        <v>1</v>
      </c>
      <c r="BA82" s="5">
        <f t="shared" si="78"/>
        <v>1</v>
      </c>
      <c r="BB82" s="8"/>
      <c r="BC82" s="8"/>
      <c r="BD82" s="8"/>
      <c r="BE82" s="8"/>
      <c r="BF82" s="8"/>
      <c r="BG82" s="8"/>
      <c r="BH82" s="8"/>
      <c r="BI82" s="8"/>
    </row>
    <row r="83" ht="12.75" customHeight="1">
      <c r="A83" s="4">
        <v>156.0</v>
      </c>
      <c r="B83" s="5" t="s">
        <v>325</v>
      </c>
      <c r="C83" s="5" t="s">
        <v>326</v>
      </c>
      <c r="D83" s="5" t="s">
        <v>327</v>
      </c>
      <c r="E83" s="5" t="s">
        <v>22</v>
      </c>
      <c r="F83" s="6">
        <v>45516.0</v>
      </c>
      <c r="G83" s="5" t="s">
        <v>23</v>
      </c>
      <c r="H83" s="6">
        <v>45516.0</v>
      </c>
      <c r="I83" s="5" t="s">
        <v>64</v>
      </c>
      <c r="J83" s="5" t="s">
        <v>45</v>
      </c>
      <c r="K83" s="5" t="s">
        <v>25</v>
      </c>
      <c r="L83" s="5" t="s">
        <v>90</v>
      </c>
      <c r="M83" s="5" t="s">
        <v>28</v>
      </c>
      <c r="N83" s="5" t="s">
        <v>85</v>
      </c>
      <c r="O83" s="5" t="s">
        <v>30</v>
      </c>
      <c r="P83" s="7" t="s">
        <v>66</v>
      </c>
      <c r="Q83" s="7" t="str">
        <f t="array" ref="Q83">IF($M83="Yes","Cost of Goods Sold:COGS- Travel Expenses:",IF($M83="No",XLOOKUP($P83,Key!$I:$I,Key!$J:$J),"Review Billable Status"))</f>
        <v>Sales &amp; Marketing:Sales &amp; Marketing- Travel Expenses:</v>
      </c>
      <c r="R83" s="7" t="str">
        <f t="array" ref="R83">IF($M83="Yes","Cost of Goods Sold:COGS- Personnel Expense:",IF($M83="No",XLOOKUP($P83,Key!$I:$I,Key!$K:$K),"Review Billable Status"))</f>
        <v>Sales &amp; Marketing:Sales &amp; Marketing- Personnel Expenses:</v>
      </c>
      <c r="S83" s="10" t="str">
        <f t="array" ref="S83">IF($G83="Paid Intern","PD Intern",IF($G83="Contractor/Consultant","Contractor",XLOOKUP(M83&amp;P83,Key!$M:$M,Key!$L:$L)))</f>
        <v>S&amp;M</v>
      </c>
      <c r="T83" s="5">
        <f t="shared" ref="T83:BA83" si="79">IF(OR($F83&gt;T$12,AND($G83="Terminated",T$12&gt;=$H83)),0,1)</f>
        <v>0</v>
      </c>
      <c r="U83" s="5">
        <f t="shared" si="79"/>
        <v>0</v>
      </c>
      <c r="V83" s="5">
        <f t="shared" si="79"/>
        <v>0</v>
      </c>
      <c r="W83" s="5">
        <f t="shared" si="79"/>
        <v>0</v>
      </c>
      <c r="X83" s="5">
        <f t="shared" si="79"/>
        <v>0</v>
      </c>
      <c r="Y83" s="5">
        <f t="shared" si="79"/>
        <v>1</v>
      </c>
      <c r="Z83" s="5">
        <f t="shared" si="79"/>
        <v>1</v>
      </c>
      <c r="AA83" s="5">
        <f t="shared" si="79"/>
        <v>1</v>
      </c>
      <c r="AB83" s="5">
        <f t="shared" si="79"/>
        <v>1</v>
      </c>
      <c r="AC83" s="5">
        <f t="shared" si="79"/>
        <v>1</v>
      </c>
      <c r="AD83" s="5">
        <f t="shared" si="79"/>
        <v>1</v>
      </c>
      <c r="AE83" s="5">
        <f t="shared" si="79"/>
        <v>1</v>
      </c>
      <c r="AF83" s="5">
        <f t="shared" si="79"/>
        <v>1</v>
      </c>
      <c r="AG83" s="5">
        <f t="shared" si="79"/>
        <v>1</v>
      </c>
      <c r="AH83" s="5">
        <f t="shared" si="79"/>
        <v>1</v>
      </c>
      <c r="AI83" s="5">
        <f t="shared" si="79"/>
        <v>1</v>
      </c>
      <c r="AJ83" s="5">
        <f t="shared" si="79"/>
        <v>1</v>
      </c>
      <c r="AK83" s="5">
        <f t="shared" si="79"/>
        <v>1</v>
      </c>
      <c r="AL83" s="5">
        <f t="shared" si="79"/>
        <v>1</v>
      </c>
      <c r="AM83" s="5">
        <f t="shared" si="79"/>
        <v>1</v>
      </c>
      <c r="AN83" s="5">
        <f t="shared" si="79"/>
        <v>1</v>
      </c>
      <c r="AO83" s="5">
        <f t="shared" si="79"/>
        <v>1</v>
      </c>
      <c r="AP83" s="5">
        <f t="shared" si="79"/>
        <v>1</v>
      </c>
      <c r="AQ83" s="5">
        <f t="shared" si="79"/>
        <v>1</v>
      </c>
      <c r="AR83" s="5">
        <f t="shared" si="79"/>
        <v>1</v>
      </c>
      <c r="AS83" s="5">
        <f t="shared" si="79"/>
        <v>1</v>
      </c>
      <c r="AT83" s="5">
        <f t="shared" si="79"/>
        <v>1</v>
      </c>
      <c r="AU83" s="5">
        <f t="shared" si="79"/>
        <v>1</v>
      </c>
      <c r="AV83" s="5">
        <f t="shared" si="79"/>
        <v>1</v>
      </c>
      <c r="AW83" s="5">
        <f t="shared" si="79"/>
        <v>1</v>
      </c>
      <c r="AX83" s="5">
        <f t="shared" si="79"/>
        <v>1</v>
      </c>
      <c r="AY83" s="5">
        <f t="shared" si="79"/>
        <v>1</v>
      </c>
      <c r="AZ83" s="5">
        <f t="shared" si="79"/>
        <v>1</v>
      </c>
      <c r="BA83" s="5">
        <f t="shared" si="79"/>
        <v>1</v>
      </c>
      <c r="BB83" s="8"/>
      <c r="BC83" s="8"/>
      <c r="BD83" s="8"/>
      <c r="BE83" s="8"/>
      <c r="BF83" s="8"/>
      <c r="BG83" s="8"/>
      <c r="BH83" s="8"/>
      <c r="BI83" s="8"/>
    </row>
    <row r="84" ht="12.75" customHeight="1">
      <c r="A84" s="4">
        <v>157.0</v>
      </c>
      <c r="B84" s="5" t="s">
        <v>159</v>
      </c>
      <c r="C84" s="5" t="s">
        <v>328</v>
      </c>
      <c r="D84" s="5" t="s">
        <v>329</v>
      </c>
      <c r="E84" s="5" t="s">
        <v>22</v>
      </c>
      <c r="F84" s="6">
        <v>45523.0</v>
      </c>
      <c r="G84" s="5" t="s">
        <v>23</v>
      </c>
      <c r="H84" s="6">
        <v>45523.0</v>
      </c>
      <c r="I84" s="5" t="s">
        <v>34</v>
      </c>
      <c r="J84" s="5" t="s">
        <v>35</v>
      </c>
      <c r="K84" s="5" t="s">
        <v>36</v>
      </c>
      <c r="L84" s="5" t="s">
        <v>179</v>
      </c>
      <c r="M84" s="5" t="s">
        <v>39</v>
      </c>
      <c r="N84" s="5" t="s">
        <v>59</v>
      </c>
      <c r="O84" s="5" t="s">
        <v>330</v>
      </c>
      <c r="P84" s="7" t="s">
        <v>38</v>
      </c>
      <c r="Q84" s="7" t="str">
        <f t="array" ref="Q84">IF($M84="Yes","Cost of Goods Sold:COGS- Travel Expenses:",IF($M84="No",XLOOKUP($P84,Key!$I:$I,Key!$J:$J),"Review Billable Status"))</f>
        <v>Cost of Goods Sold:COGS- Travel Expenses:</v>
      </c>
      <c r="R84" s="7" t="str">
        <f t="array" ref="R84">IF($M84="Yes","Cost of Goods Sold:COGS- Personnel Expense:",IF($M84="No",XLOOKUP($P84,Key!$I:$I,Key!$K:$K),"Review Billable Status"))</f>
        <v>Cost of Goods Sold:COGS- Personnel Expense:</v>
      </c>
      <c r="S84" s="10" t="str">
        <f t="array" ref="S84">IF($G84="Paid Intern","PD Intern",IF($G84="Contractor/Consultant","Contractor",XLOOKUP(M84&amp;P84,Key!$M:$M,Key!$L:$L)))</f>
        <v>COR</v>
      </c>
      <c r="T84" s="5">
        <f t="shared" ref="T84:BA84" si="80">IF(OR($F84&gt;T$12,AND($G84="Terminated",T$12&gt;=$H84)),0,1)</f>
        <v>0</v>
      </c>
      <c r="U84" s="5">
        <f t="shared" si="80"/>
        <v>0</v>
      </c>
      <c r="V84" s="5">
        <f t="shared" si="80"/>
        <v>0</v>
      </c>
      <c r="W84" s="5">
        <f t="shared" si="80"/>
        <v>0</v>
      </c>
      <c r="X84" s="5">
        <f t="shared" si="80"/>
        <v>0</v>
      </c>
      <c r="Y84" s="5">
        <f t="shared" si="80"/>
        <v>1</v>
      </c>
      <c r="Z84" s="5">
        <f t="shared" si="80"/>
        <v>1</v>
      </c>
      <c r="AA84" s="5">
        <f t="shared" si="80"/>
        <v>1</v>
      </c>
      <c r="AB84" s="5">
        <f t="shared" si="80"/>
        <v>1</v>
      </c>
      <c r="AC84" s="5">
        <f t="shared" si="80"/>
        <v>1</v>
      </c>
      <c r="AD84" s="5">
        <f t="shared" si="80"/>
        <v>1</v>
      </c>
      <c r="AE84" s="5">
        <f t="shared" si="80"/>
        <v>1</v>
      </c>
      <c r="AF84" s="5">
        <f t="shared" si="80"/>
        <v>1</v>
      </c>
      <c r="AG84" s="5">
        <f t="shared" si="80"/>
        <v>1</v>
      </c>
      <c r="AH84" s="5">
        <f t="shared" si="80"/>
        <v>1</v>
      </c>
      <c r="AI84" s="5">
        <f t="shared" si="80"/>
        <v>1</v>
      </c>
      <c r="AJ84" s="5">
        <f t="shared" si="80"/>
        <v>1</v>
      </c>
      <c r="AK84" s="5">
        <f t="shared" si="80"/>
        <v>1</v>
      </c>
      <c r="AL84" s="5">
        <f t="shared" si="80"/>
        <v>1</v>
      </c>
      <c r="AM84" s="5">
        <f t="shared" si="80"/>
        <v>1</v>
      </c>
      <c r="AN84" s="5">
        <f t="shared" si="80"/>
        <v>1</v>
      </c>
      <c r="AO84" s="5">
        <f t="shared" si="80"/>
        <v>1</v>
      </c>
      <c r="AP84" s="5">
        <f t="shared" si="80"/>
        <v>1</v>
      </c>
      <c r="AQ84" s="5">
        <f t="shared" si="80"/>
        <v>1</v>
      </c>
      <c r="AR84" s="5">
        <f t="shared" si="80"/>
        <v>1</v>
      </c>
      <c r="AS84" s="5">
        <f t="shared" si="80"/>
        <v>1</v>
      </c>
      <c r="AT84" s="5">
        <f t="shared" si="80"/>
        <v>1</v>
      </c>
      <c r="AU84" s="5">
        <f t="shared" si="80"/>
        <v>1</v>
      </c>
      <c r="AV84" s="5">
        <f t="shared" si="80"/>
        <v>1</v>
      </c>
      <c r="AW84" s="5">
        <f t="shared" si="80"/>
        <v>1</v>
      </c>
      <c r="AX84" s="5">
        <f t="shared" si="80"/>
        <v>1</v>
      </c>
      <c r="AY84" s="5">
        <f t="shared" si="80"/>
        <v>1</v>
      </c>
      <c r="AZ84" s="5">
        <f t="shared" si="80"/>
        <v>1</v>
      </c>
      <c r="BA84" s="5">
        <f t="shared" si="80"/>
        <v>1</v>
      </c>
      <c r="BB84" s="8"/>
      <c r="BC84" s="8"/>
      <c r="BD84" s="8"/>
      <c r="BE84" s="8"/>
      <c r="BF84" s="8"/>
      <c r="BG84" s="8"/>
      <c r="BH84" s="8"/>
      <c r="BI84" s="8"/>
    </row>
    <row r="85" ht="12.75" customHeight="1">
      <c r="A85" s="4">
        <v>159.0</v>
      </c>
      <c r="B85" s="5" t="s">
        <v>331</v>
      </c>
      <c r="C85" s="5" t="s">
        <v>332</v>
      </c>
      <c r="D85" s="5" t="s">
        <v>333</v>
      </c>
      <c r="E85" s="5" t="s">
        <v>22</v>
      </c>
      <c r="F85" s="6">
        <v>45533.0</v>
      </c>
      <c r="G85" s="5" t="s">
        <v>23</v>
      </c>
      <c r="H85" s="6">
        <v>45533.0</v>
      </c>
      <c r="I85" s="5" t="s">
        <v>64</v>
      </c>
      <c r="J85" s="5" t="s">
        <v>35</v>
      </c>
      <c r="K85" s="5" t="s">
        <v>25</v>
      </c>
      <c r="L85" s="5" t="s">
        <v>334</v>
      </c>
      <c r="M85" s="5" t="s">
        <v>39</v>
      </c>
      <c r="N85" s="5" t="s">
        <v>52</v>
      </c>
      <c r="O85" s="5" t="s">
        <v>30</v>
      </c>
      <c r="P85" s="7" t="s">
        <v>75</v>
      </c>
      <c r="Q85" s="7" t="str">
        <f t="array" ref="Q85">IF($M85="Yes","Cost of Goods Sold:COGS- Travel Expenses:",IF($M85="No",XLOOKUP($P85,Key!$I:$I,Key!$J:$J),"Review Billable Status"))</f>
        <v>Cost of Goods Sold:COGS- Travel Expenses:</v>
      </c>
      <c r="R85" s="7" t="str">
        <f t="array" ref="R85">IF($M85="Yes","Cost of Goods Sold:COGS- Personnel Expense:",IF($M85="No",XLOOKUP($P85,Key!$I:$I,Key!$K:$K),"Review Billable Status"))</f>
        <v>Cost of Goods Sold:COGS- Personnel Expense:</v>
      </c>
      <c r="S85" s="10" t="str">
        <f t="array" ref="S85">IF($G85="Paid Intern","PD Intern",IF($G85="Contractor/Consultant","Contractor",XLOOKUP(M85&amp;P85,Key!$M:$M,Key!$L:$L)))</f>
        <v>COR</v>
      </c>
      <c r="T85" s="5">
        <f t="shared" ref="T85:BA85" si="81">IF(OR($F85&gt;T$12,AND($G85="Terminated",T$12&gt;=$H85)),0,1)</f>
        <v>0</v>
      </c>
      <c r="U85" s="5">
        <f t="shared" si="81"/>
        <v>0</v>
      </c>
      <c r="V85" s="5">
        <f t="shared" si="81"/>
        <v>0</v>
      </c>
      <c r="W85" s="5">
        <f t="shared" si="81"/>
        <v>0</v>
      </c>
      <c r="X85" s="5">
        <f t="shared" si="81"/>
        <v>0</v>
      </c>
      <c r="Y85" s="5">
        <f t="shared" si="81"/>
        <v>1</v>
      </c>
      <c r="Z85" s="5">
        <f t="shared" si="81"/>
        <v>1</v>
      </c>
      <c r="AA85" s="5">
        <f t="shared" si="81"/>
        <v>1</v>
      </c>
      <c r="AB85" s="5">
        <f t="shared" si="81"/>
        <v>1</v>
      </c>
      <c r="AC85" s="5">
        <f t="shared" si="81"/>
        <v>1</v>
      </c>
      <c r="AD85" s="5">
        <f t="shared" si="81"/>
        <v>1</v>
      </c>
      <c r="AE85" s="5">
        <f t="shared" si="81"/>
        <v>1</v>
      </c>
      <c r="AF85" s="5">
        <f t="shared" si="81"/>
        <v>1</v>
      </c>
      <c r="AG85" s="5">
        <f t="shared" si="81"/>
        <v>1</v>
      </c>
      <c r="AH85" s="5">
        <f t="shared" si="81"/>
        <v>1</v>
      </c>
      <c r="AI85" s="5">
        <f t="shared" si="81"/>
        <v>1</v>
      </c>
      <c r="AJ85" s="5">
        <f t="shared" si="81"/>
        <v>1</v>
      </c>
      <c r="AK85" s="5">
        <f t="shared" si="81"/>
        <v>1</v>
      </c>
      <c r="AL85" s="5">
        <f t="shared" si="81"/>
        <v>1</v>
      </c>
      <c r="AM85" s="5">
        <f t="shared" si="81"/>
        <v>1</v>
      </c>
      <c r="AN85" s="5">
        <f t="shared" si="81"/>
        <v>1</v>
      </c>
      <c r="AO85" s="5">
        <f t="shared" si="81"/>
        <v>1</v>
      </c>
      <c r="AP85" s="5">
        <f t="shared" si="81"/>
        <v>1</v>
      </c>
      <c r="AQ85" s="5">
        <f t="shared" si="81"/>
        <v>1</v>
      </c>
      <c r="AR85" s="5">
        <f t="shared" si="81"/>
        <v>1</v>
      </c>
      <c r="AS85" s="5">
        <f t="shared" si="81"/>
        <v>1</v>
      </c>
      <c r="AT85" s="5">
        <f t="shared" si="81"/>
        <v>1</v>
      </c>
      <c r="AU85" s="5">
        <f t="shared" si="81"/>
        <v>1</v>
      </c>
      <c r="AV85" s="5">
        <f t="shared" si="81"/>
        <v>1</v>
      </c>
      <c r="AW85" s="5">
        <f t="shared" si="81"/>
        <v>1</v>
      </c>
      <c r="AX85" s="5">
        <f t="shared" si="81"/>
        <v>1</v>
      </c>
      <c r="AY85" s="5">
        <f t="shared" si="81"/>
        <v>1</v>
      </c>
      <c r="AZ85" s="5">
        <f t="shared" si="81"/>
        <v>1</v>
      </c>
      <c r="BA85" s="5">
        <f t="shared" si="81"/>
        <v>1</v>
      </c>
      <c r="BB85" s="8"/>
      <c r="BC85" s="8"/>
      <c r="BD85" s="8"/>
      <c r="BE85" s="8"/>
      <c r="BF85" s="8"/>
      <c r="BG85" s="8"/>
      <c r="BH85" s="8"/>
      <c r="BI85" s="8"/>
    </row>
    <row r="86" ht="12.75" customHeight="1">
      <c r="A86" s="4">
        <v>160.0</v>
      </c>
      <c r="B86" s="5" t="s">
        <v>335</v>
      </c>
      <c r="C86" s="5" t="s">
        <v>336</v>
      </c>
      <c r="D86" s="5" t="s">
        <v>337</v>
      </c>
      <c r="E86" s="5" t="s">
        <v>112</v>
      </c>
      <c r="F86" s="6">
        <v>45524.0</v>
      </c>
      <c r="G86" s="5" t="s">
        <v>23</v>
      </c>
      <c r="H86" s="6">
        <v>45691.0</v>
      </c>
      <c r="I86" s="5" t="s">
        <v>24</v>
      </c>
      <c r="J86" s="5" t="s">
        <v>170</v>
      </c>
      <c r="K86" s="5" t="s">
        <v>36</v>
      </c>
      <c r="L86" s="5" t="s">
        <v>338</v>
      </c>
      <c r="M86" s="5" t="s">
        <v>28</v>
      </c>
      <c r="N86" s="5" t="s">
        <v>239</v>
      </c>
      <c r="O86" s="5" t="s">
        <v>76</v>
      </c>
      <c r="P86" s="7" t="s">
        <v>199</v>
      </c>
      <c r="Q86" s="7" t="str">
        <f t="array" ref="Q86">IF($M86="Yes","Cost of Goods Sold:COGS- Travel Expenses:",IF($M86="No",XLOOKUP($P86,Key!$I:$I,Key!$J:$J),"Review Billable Status"))</f>
        <v>General &amp; Administrative:G&amp;A- Travel Expenses:</v>
      </c>
      <c r="R86" s="7" t="str">
        <f t="array" ref="R86">IF($M86="Yes","Cost of Goods Sold:COGS- Personnel Expense:",IF($M86="No",XLOOKUP($P86,Key!$I:$I,Key!$K:$K),"Review Billable Status"))</f>
        <v>General &amp; Administrative:G&amp;A- Personnel Expenses:</v>
      </c>
      <c r="S86" s="10" t="str">
        <f t="array" ref="S86">IF($G86="Paid Intern","PD Intern",IF($G86="Contractor/Consultant","Contractor",XLOOKUP(M86&amp;P86,Key!$M:$M,Key!$L:$L)))</f>
        <v>G&amp;A</v>
      </c>
      <c r="T86" s="5">
        <f t="shared" ref="T86:BA86" si="82">IF(OR($F86&gt;T$12,AND($G86="Terminated",T$12&gt;=$H86)),0,1)</f>
        <v>0</v>
      </c>
      <c r="U86" s="5">
        <f t="shared" si="82"/>
        <v>0</v>
      </c>
      <c r="V86" s="5">
        <f t="shared" si="82"/>
        <v>0</v>
      </c>
      <c r="W86" s="5">
        <f t="shared" si="82"/>
        <v>0</v>
      </c>
      <c r="X86" s="5">
        <f t="shared" si="82"/>
        <v>0</v>
      </c>
      <c r="Y86" s="5">
        <f t="shared" si="82"/>
        <v>1</v>
      </c>
      <c r="Z86" s="5">
        <f t="shared" si="82"/>
        <v>1</v>
      </c>
      <c r="AA86" s="5">
        <f t="shared" si="82"/>
        <v>1</v>
      </c>
      <c r="AB86" s="5">
        <f t="shared" si="82"/>
        <v>1</v>
      </c>
      <c r="AC86" s="5">
        <f t="shared" si="82"/>
        <v>1</v>
      </c>
      <c r="AD86" s="5">
        <f t="shared" si="82"/>
        <v>1</v>
      </c>
      <c r="AE86" s="5">
        <f t="shared" si="82"/>
        <v>1</v>
      </c>
      <c r="AF86" s="5">
        <f t="shared" si="82"/>
        <v>1</v>
      </c>
      <c r="AG86" s="5">
        <f t="shared" si="82"/>
        <v>1</v>
      </c>
      <c r="AH86" s="5">
        <f t="shared" si="82"/>
        <v>1</v>
      </c>
      <c r="AI86" s="5">
        <f t="shared" si="82"/>
        <v>1</v>
      </c>
      <c r="AJ86" s="5">
        <f t="shared" si="82"/>
        <v>1</v>
      </c>
      <c r="AK86" s="5">
        <f t="shared" si="82"/>
        <v>1</v>
      </c>
      <c r="AL86" s="5">
        <f t="shared" si="82"/>
        <v>1</v>
      </c>
      <c r="AM86" s="5">
        <f t="shared" si="82"/>
        <v>1</v>
      </c>
      <c r="AN86" s="5">
        <f t="shared" si="82"/>
        <v>1</v>
      </c>
      <c r="AO86" s="5">
        <f t="shared" si="82"/>
        <v>1</v>
      </c>
      <c r="AP86" s="5">
        <f t="shared" si="82"/>
        <v>1</v>
      </c>
      <c r="AQ86" s="5">
        <f t="shared" si="82"/>
        <v>1</v>
      </c>
      <c r="AR86" s="5">
        <f t="shared" si="82"/>
        <v>1</v>
      </c>
      <c r="AS86" s="5">
        <f t="shared" si="82"/>
        <v>1</v>
      </c>
      <c r="AT86" s="5">
        <f t="shared" si="82"/>
        <v>1</v>
      </c>
      <c r="AU86" s="5">
        <f t="shared" si="82"/>
        <v>1</v>
      </c>
      <c r="AV86" s="5">
        <f t="shared" si="82"/>
        <v>1</v>
      </c>
      <c r="AW86" s="5">
        <f t="shared" si="82"/>
        <v>1</v>
      </c>
      <c r="AX86" s="5">
        <f t="shared" si="82"/>
        <v>1</v>
      </c>
      <c r="AY86" s="5">
        <f t="shared" si="82"/>
        <v>1</v>
      </c>
      <c r="AZ86" s="5">
        <f t="shared" si="82"/>
        <v>1</v>
      </c>
      <c r="BA86" s="5">
        <f t="shared" si="82"/>
        <v>1</v>
      </c>
      <c r="BB86" s="8"/>
      <c r="BC86" s="8"/>
      <c r="BD86" s="8"/>
      <c r="BE86" s="8"/>
      <c r="BF86" s="8"/>
      <c r="BG86" s="8"/>
      <c r="BH86" s="8"/>
      <c r="BI86" s="8"/>
    </row>
    <row r="87" ht="12.75" customHeight="1">
      <c r="A87" s="4">
        <v>164.0</v>
      </c>
      <c r="B87" s="5" t="s">
        <v>339</v>
      </c>
      <c r="C87" s="5" t="s">
        <v>340</v>
      </c>
      <c r="D87" s="5" t="s">
        <v>341</v>
      </c>
      <c r="E87" s="5" t="s">
        <v>22</v>
      </c>
      <c r="F87" s="6">
        <v>45565.0</v>
      </c>
      <c r="G87" s="5" t="s">
        <v>23</v>
      </c>
      <c r="H87" s="6">
        <v>45565.0</v>
      </c>
      <c r="I87" s="5" t="s">
        <v>34</v>
      </c>
      <c r="J87" s="5" t="s">
        <v>35</v>
      </c>
      <c r="K87" s="5" t="s">
        <v>36</v>
      </c>
      <c r="L87" s="5" t="s">
        <v>323</v>
      </c>
      <c r="M87" s="5" t="s">
        <v>39</v>
      </c>
      <c r="N87" s="5" t="s">
        <v>52</v>
      </c>
      <c r="O87" s="5" t="s">
        <v>149</v>
      </c>
      <c r="P87" s="7" t="s">
        <v>38</v>
      </c>
      <c r="Q87" s="7" t="str">
        <f t="array" ref="Q87">IF($M87="Yes","Cost of Goods Sold:COGS- Travel Expenses:",IF($M87="No",XLOOKUP($P87,Key!$I:$I,Key!$J:$J),"Review Billable Status"))</f>
        <v>Cost of Goods Sold:COGS- Travel Expenses:</v>
      </c>
      <c r="R87" s="7" t="str">
        <f t="array" ref="R87">IF($M87="Yes","Cost of Goods Sold:COGS- Personnel Expense:",IF($M87="No",XLOOKUP($P87,Key!$I:$I,Key!$K:$K),"Review Billable Status"))</f>
        <v>Cost of Goods Sold:COGS- Personnel Expense:</v>
      </c>
      <c r="S87" s="10" t="str">
        <f t="array" ref="S87">IF($G87="Paid Intern","PD Intern",IF($G87="Contractor/Consultant","Contractor",XLOOKUP(M87&amp;P87,Key!$M:$M,Key!$L:$L)))</f>
        <v>COR</v>
      </c>
      <c r="T87" s="5">
        <f t="shared" ref="T87:BA87" si="83">IF(OR($F87&gt;T$12,AND($G87="Terminated",T$12&gt;=$H87)),0,1)</f>
        <v>0</v>
      </c>
      <c r="U87" s="5">
        <f t="shared" si="83"/>
        <v>0</v>
      </c>
      <c r="V87" s="5">
        <f t="shared" si="83"/>
        <v>0</v>
      </c>
      <c r="W87" s="5">
        <f t="shared" si="83"/>
        <v>0</v>
      </c>
      <c r="X87" s="5">
        <f t="shared" si="83"/>
        <v>0</v>
      </c>
      <c r="Y87" s="5">
        <f t="shared" si="83"/>
        <v>0</v>
      </c>
      <c r="Z87" s="5">
        <f t="shared" si="83"/>
        <v>1</v>
      </c>
      <c r="AA87" s="5">
        <f t="shared" si="83"/>
        <v>1</v>
      </c>
      <c r="AB87" s="5">
        <f t="shared" si="83"/>
        <v>1</v>
      </c>
      <c r="AC87" s="5">
        <f t="shared" si="83"/>
        <v>1</v>
      </c>
      <c r="AD87" s="5">
        <f t="shared" si="83"/>
        <v>1</v>
      </c>
      <c r="AE87" s="5">
        <f t="shared" si="83"/>
        <v>1</v>
      </c>
      <c r="AF87" s="5">
        <f t="shared" si="83"/>
        <v>1</v>
      </c>
      <c r="AG87" s="5">
        <f t="shared" si="83"/>
        <v>1</v>
      </c>
      <c r="AH87" s="5">
        <f t="shared" si="83"/>
        <v>1</v>
      </c>
      <c r="AI87" s="5">
        <f t="shared" si="83"/>
        <v>1</v>
      </c>
      <c r="AJ87" s="5">
        <f t="shared" si="83"/>
        <v>1</v>
      </c>
      <c r="AK87" s="5">
        <f t="shared" si="83"/>
        <v>1</v>
      </c>
      <c r="AL87" s="5">
        <f t="shared" si="83"/>
        <v>1</v>
      </c>
      <c r="AM87" s="5">
        <f t="shared" si="83"/>
        <v>1</v>
      </c>
      <c r="AN87" s="5">
        <f t="shared" si="83"/>
        <v>1</v>
      </c>
      <c r="AO87" s="5">
        <f t="shared" si="83"/>
        <v>1</v>
      </c>
      <c r="AP87" s="5">
        <f t="shared" si="83"/>
        <v>1</v>
      </c>
      <c r="AQ87" s="5">
        <f t="shared" si="83"/>
        <v>1</v>
      </c>
      <c r="AR87" s="5">
        <f t="shared" si="83"/>
        <v>1</v>
      </c>
      <c r="AS87" s="5">
        <f t="shared" si="83"/>
        <v>1</v>
      </c>
      <c r="AT87" s="5">
        <f t="shared" si="83"/>
        <v>1</v>
      </c>
      <c r="AU87" s="5">
        <f t="shared" si="83"/>
        <v>1</v>
      </c>
      <c r="AV87" s="5">
        <f t="shared" si="83"/>
        <v>1</v>
      </c>
      <c r="AW87" s="5">
        <f t="shared" si="83"/>
        <v>1</v>
      </c>
      <c r="AX87" s="5">
        <f t="shared" si="83"/>
        <v>1</v>
      </c>
      <c r="AY87" s="5">
        <f t="shared" si="83"/>
        <v>1</v>
      </c>
      <c r="AZ87" s="5">
        <f t="shared" si="83"/>
        <v>1</v>
      </c>
      <c r="BA87" s="5">
        <f t="shared" si="83"/>
        <v>1</v>
      </c>
      <c r="BB87" s="8"/>
      <c r="BC87" s="8"/>
      <c r="BD87" s="8"/>
      <c r="BE87" s="8"/>
      <c r="BF87" s="8"/>
      <c r="BG87" s="8"/>
      <c r="BH87" s="8"/>
      <c r="BI87" s="8"/>
    </row>
    <row r="88" ht="12.75" customHeight="1">
      <c r="A88" s="4">
        <v>165.0</v>
      </c>
      <c r="B88" s="5" t="s">
        <v>342</v>
      </c>
      <c r="C88" s="5" t="s">
        <v>343</v>
      </c>
      <c r="D88" s="5" t="s">
        <v>344</v>
      </c>
      <c r="E88" s="5" t="s">
        <v>22</v>
      </c>
      <c r="F88" s="6">
        <v>45572.0</v>
      </c>
      <c r="G88" s="5" t="s">
        <v>23</v>
      </c>
      <c r="H88" s="6">
        <v>45572.0</v>
      </c>
      <c r="I88" s="5" t="s">
        <v>34</v>
      </c>
      <c r="J88" s="5" t="s">
        <v>35</v>
      </c>
      <c r="K88" s="5" t="s">
        <v>36</v>
      </c>
      <c r="L88" s="5" t="s">
        <v>153</v>
      </c>
      <c r="M88" s="5" t="s">
        <v>39</v>
      </c>
      <c r="N88" s="5" t="s">
        <v>85</v>
      </c>
      <c r="O88" s="5" t="s">
        <v>345</v>
      </c>
      <c r="P88" s="7" t="s">
        <v>38</v>
      </c>
      <c r="Q88" s="7" t="str">
        <f t="array" ref="Q88">IF($M88="Yes","Cost of Goods Sold:COGS- Travel Expenses:",IF($M88="No",XLOOKUP($P88,Key!$I:$I,Key!$J:$J),"Review Billable Status"))</f>
        <v>Cost of Goods Sold:COGS- Travel Expenses:</v>
      </c>
      <c r="R88" s="7" t="str">
        <f t="array" ref="R88">IF($M88="Yes","Cost of Goods Sold:COGS- Personnel Expense:",IF($M88="No",XLOOKUP($P88,Key!$I:$I,Key!$K:$K),"Review Billable Status"))</f>
        <v>Cost of Goods Sold:COGS- Personnel Expense:</v>
      </c>
      <c r="S88" s="10" t="str">
        <f t="array" ref="S88">IF($G88="Paid Intern","PD Intern",IF($G88="Contractor/Consultant","Contractor",XLOOKUP(M88&amp;P88,Key!$M:$M,Key!$L:$L)))</f>
        <v>COR</v>
      </c>
      <c r="T88" s="5">
        <f t="shared" ref="T88:BA88" si="84">IF(OR($F88&gt;T$12,AND($G88="Terminated",T$12&gt;=$H88)),0,1)</f>
        <v>0</v>
      </c>
      <c r="U88" s="5">
        <f t="shared" si="84"/>
        <v>0</v>
      </c>
      <c r="V88" s="5">
        <f t="shared" si="84"/>
        <v>0</v>
      </c>
      <c r="W88" s="5">
        <f t="shared" si="84"/>
        <v>0</v>
      </c>
      <c r="X88" s="5">
        <f t="shared" si="84"/>
        <v>0</v>
      </c>
      <c r="Y88" s="5">
        <f t="shared" si="84"/>
        <v>0</v>
      </c>
      <c r="Z88" s="5">
        <f t="shared" si="84"/>
        <v>0</v>
      </c>
      <c r="AA88" s="5">
        <f t="shared" si="84"/>
        <v>1</v>
      </c>
      <c r="AB88" s="5">
        <f t="shared" si="84"/>
        <v>1</v>
      </c>
      <c r="AC88" s="5">
        <f t="shared" si="84"/>
        <v>1</v>
      </c>
      <c r="AD88" s="5">
        <f t="shared" si="84"/>
        <v>1</v>
      </c>
      <c r="AE88" s="5">
        <f t="shared" si="84"/>
        <v>1</v>
      </c>
      <c r="AF88" s="5">
        <f t="shared" si="84"/>
        <v>1</v>
      </c>
      <c r="AG88" s="5">
        <f t="shared" si="84"/>
        <v>1</v>
      </c>
      <c r="AH88" s="5">
        <f t="shared" si="84"/>
        <v>1</v>
      </c>
      <c r="AI88" s="5">
        <f t="shared" si="84"/>
        <v>1</v>
      </c>
      <c r="AJ88" s="5">
        <f t="shared" si="84"/>
        <v>1</v>
      </c>
      <c r="AK88" s="5">
        <f t="shared" si="84"/>
        <v>1</v>
      </c>
      <c r="AL88" s="5">
        <f t="shared" si="84"/>
        <v>1</v>
      </c>
      <c r="AM88" s="5">
        <f t="shared" si="84"/>
        <v>1</v>
      </c>
      <c r="AN88" s="5">
        <f t="shared" si="84"/>
        <v>1</v>
      </c>
      <c r="AO88" s="5">
        <f t="shared" si="84"/>
        <v>1</v>
      </c>
      <c r="AP88" s="5">
        <f t="shared" si="84"/>
        <v>1</v>
      </c>
      <c r="AQ88" s="5">
        <f t="shared" si="84"/>
        <v>1</v>
      </c>
      <c r="AR88" s="5">
        <f t="shared" si="84"/>
        <v>1</v>
      </c>
      <c r="AS88" s="5">
        <f t="shared" si="84"/>
        <v>1</v>
      </c>
      <c r="AT88" s="5">
        <f t="shared" si="84"/>
        <v>1</v>
      </c>
      <c r="AU88" s="5">
        <f t="shared" si="84"/>
        <v>1</v>
      </c>
      <c r="AV88" s="5">
        <f t="shared" si="84"/>
        <v>1</v>
      </c>
      <c r="AW88" s="5">
        <f t="shared" si="84"/>
        <v>1</v>
      </c>
      <c r="AX88" s="5">
        <f t="shared" si="84"/>
        <v>1</v>
      </c>
      <c r="AY88" s="5">
        <f t="shared" si="84"/>
        <v>1</v>
      </c>
      <c r="AZ88" s="5">
        <f t="shared" si="84"/>
        <v>1</v>
      </c>
      <c r="BA88" s="5">
        <f t="shared" si="84"/>
        <v>1</v>
      </c>
      <c r="BB88" s="8"/>
      <c r="BC88" s="8"/>
      <c r="BD88" s="8"/>
      <c r="BE88" s="8"/>
      <c r="BF88" s="8"/>
      <c r="BG88" s="8"/>
      <c r="BH88" s="8"/>
      <c r="BI88" s="8"/>
    </row>
    <row r="89" ht="12.75" customHeight="1">
      <c r="A89" s="4">
        <v>166.0</v>
      </c>
      <c r="B89" s="5" t="s">
        <v>145</v>
      </c>
      <c r="C89" s="5" t="s">
        <v>346</v>
      </c>
      <c r="D89" s="5" t="s">
        <v>347</v>
      </c>
      <c r="E89" s="5" t="s">
        <v>22</v>
      </c>
      <c r="F89" s="6">
        <v>45600.0</v>
      </c>
      <c r="G89" s="5" t="s">
        <v>23</v>
      </c>
      <c r="H89" s="6">
        <v>45600.0</v>
      </c>
      <c r="I89" s="5" t="s">
        <v>34</v>
      </c>
      <c r="J89" s="5" t="s">
        <v>35</v>
      </c>
      <c r="K89" s="5" t="s">
        <v>25</v>
      </c>
      <c r="L89" s="5" t="s">
        <v>216</v>
      </c>
      <c r="M89" s="5" t="s">
        <v>39</v>
      </c>
      <c r="N89" s="5" t="s">
        <v>59</v>
      </c>
      <c r="O89" s="5" t="s">
        <v>30</v>
      </c>
      <c r="P89" s="7" t="s">
        <v>38</v>
      </c>
      <c r="Q89" s="7" t="str">
        <f t="array" ref="Q89">IF($M89="Yes","Cost of Goods Sold:COGS- Travel Expenses:",IF($M89="No",XLOOKUP($P89,Key!$I:$I,Key!$J:$J),"Review Billable Status"))</f>
        <v>Cost of Goods Sold:COGS- Travel Expenses:</v>
      </c>
      <c r="R89" s="7" t="str">
        <f t="array" ref="R89">IF($M89="Yes","Cost of Goods Sold:COGS- Personnel Expense:",IF($M89="No",XLOOKUP($P89,Key!$I:$I,Key!$K:$K),"Review Billable Status"))</f>
        <v>Cost of Goods Sold:COGS- Personnel Expense:</v>
      </c>
      <c r="S89" s="10" t="str">
        <f t="array" ref="S89">IF($G89="Paid Intern","PD Intern",IF($G89="Contractor/Consultant","Contractor",XLOOKUP(M89&amp;P89,Key!$M:$M,Key!$L:$L)))</f>
        <v>COR</v>
      </c>
      <c r="T89" s="5">
        <f t="shared" ref="T89:BA89" si="85">IF(OR($F89&gt;T$12,AND($G89="Terminated",T$12&gt;=$H89)),0,1)</f>
        <v>0</v>
      </c>
      <c r="U89" s="5">
        <f t="shared" si="85"/>
        <v>0</v>
      </c>
      <c r="V89" s="5">
        <f t="shared" si="85"/>
        <v>0</v>
      </c>
      <c r="W89" s="5">
        <f t="shared" si="85"/>
        <v>0</v>
      </c>
      <c r="X89" s="5">
        <f t="shared" si="85"/>
        <v>0</v>
      </c>
      <c r="Y89" s="5">
        <f t="shared" si="85"/>
        <v>0</v>
      </c>
      <c r="Z89" s="5">
        <f t="shared" si="85"/>
        <v>0</v>
      </c>
      <c r="AA89" s="5">
        <f t="shared" si="85"/>
        <v>0</v>
      </c>
      <c r="AB89" s="5">
        <f t="shared" si="85"/>
        <v>1</v>
      </c>
      <c r="AC89" s="5">
        <f t="shared" si="85"/>
        <v>1</v>
      </c>
      <c r="AD89" s="5">
        <f t="shared" si="85"/>
        <v>1</v>
      </c>
      <c r="AE89" s="5">
        <f t="shared" si="85"/>
        <v>1</v>
      </c>
      <c r="AF89" s="5">
        <f t="shared" si="85"/>
        <v>1</v>
      </c>
      <c r="AG89" s="5">
        <f t="shared" si="85"/>
        <v>1</v>
      </c>
      <c r="AH89" s="5">
        <f t="shared" si="85"/>
        <v>1</v>
      </c>
      <c r="AI89" s="5">
        <f t="shared" si="85"/>
        <v>1</v>
      </c>
      <c r="AJ89" s="5">
        <f t="shared" si="85"/>
        <v>1</v>
      </c>
      <c r="AK89" s="5">
        <f t="shared" si="85"/>
        <v>1</v>
      </c>
      <c r="AL89" s="5">
        <f t="shared" si="85"/>
        <v>1</v>
      </c>
      <c r="AM89" s="5">
        <f t="shared" si="85"/>
        <v>1</v>
      </c>
      <c r="AN89" s="5">
        <f t="shared" si="85"/>
        <v>1</v>
      </c>
      <c r="AO89" s="5">
        <f t="shared" si="85"/>
        <v>1</v>
      </c>
      <c r="AP89" s="5">
        <f t="shared" si="85"/>
        <v>1</v>
      </c>
      <c r="AQ89" s="5">
        <f t="shared" si="85"/>
        <v>1</v>
      </c>
      <c r="AR89" s="5">
        <f t="shared" si="85"/>
        <v>1</v>
      </c>
      <c r="AS89" s="5">
        <f t="shared" si="85"/>
        <v>1</v>
      </c>
      <c r="AT89" s="5">
        <f t="shared" si="85"/>
        <v>1</v>
      </c>
      <c r="AU89" s="5">
        <f t="shared" si="85"/>
        <v>1</v>
      </c>
      <c r="AV89" s="5">
        <f t="shared" si="85"/>
        <v>1</v>
      </c>
      <c r="AW89" s="5">
        <f t="shared" si="85"/>
        <v>1</v>
      </c>
      <c r="AX89" s="5">
        <f t="shared" si="85"/>
        <v>1</v>
      </c>
      <c r="AY89" s="5">
        <f t="shared" si="85"/>
        <v>1</v>
      </c>
      <c r="AZ89" s="5">
        <f t="shared" si="85"/>
        <v>1</v>
      </c>
      <c r="BA89" s="5">
        <f t="shared" si="85"/>
        <v>1</v>
      </c>
      <c r="BB89" s="8"/>
      <c r="BC89" s="8"/>
      <c r="BD89" s="8"/>
      <c r="BE89" s="8"/>
      <c r="BF89" s="8"/>
      <c r="BG89" s="8"/>
      <c r="BH89" s="8"/>
      <c r="BI89" s="8"/>
    </row>
    <row r="90" ht="12.75" customHeight="1">
      <c r="A90" s="4">
        <v>167.0</v>
      </c>
      <c r="B90" s="5" t="s">
        <v>31</v>
      </c>
      <c r="C90" s="5" t="s">
        <v>348</v>
      </c>
      <c r="D90" s="5" t="s">
        <v>349</v>
      </c>
      <c r="E90" s="5" t="s">
        <v>22</v>
      </c>
      <c r="F90" s="6">
        <v>45607.0</v>
      </c>
      <c r="G90" s="5" t="s">
        <v>23</v>
      </c>
      <c r="H90" s="6">
        <v>45607.0</v>
      </c>
      <c r="I90" s="5" t="s">
        <v>34</v>
      </c>
      <c r="J90" s="5" t="s">
        <v>35</v>
      </c>
      <c r="K90" s="5" t="s">
        <v>36</v>
      </c>
      <c r="L90" s="5" t="s">
        <v>323</v>
      </c>
      <c r="M90" s="5" t="s">
        <v>39</v>
      </c>
      <c r="N90" s="5" t="s">
        <v>52</v>
      </c>
      <c r="O90" s="5" t="s">
        <v>180</v>
      </c>
      <c r="P90" s="7" t="s">
        <v>38</v>
      </c>
      <c r="Q90" s="7" t="str">
        <f t="array" ref="Q90">IF($M90="Yes","Cost of Goods Sold:COGS- Travel Expenses:",IF($M90="No",XLOOKUP($P90,Key!$I:$I,Key!$J:$J),"Review Billable Status"))</f>
        <v>Cost of Goods Sold:COGS- Travel Expenses:</v>
      </c>
      <c r="R90" s="7" t="str">
        <f t="array" ref="R90">IF($M90="Yes","Cost of Goods Sold:COGS- Personnel Expense:",IF($M90="No",XLOOKUP($P90,Key!$I:$I,Key!$K:$K),"Review Billable Status"))</f>
        <v>Cost of Goods Sold:COGS- Personnel Expense:</v>
      </c>
      <c r="S90" s="10" t="str">
        <f t="array" ref="S90">IF($G90="Paid Intern","PD Intern",IF($G90="Contractor/Consultant","Contractor",XLOOKUP(M90&amp;P90,Key!$M:$M,Key!$L:$L)))</f>
        <v>COR</v>
      </c>
      <c r="T90" s="5">
        <f t="shared" ref="T90:BA90" si="86">IF(OR($F90&gt;T$12,AND($G90="Terminated",T$12&gt;=$H90)),0,1)</f>
        <v>0</v>
      </c>
      <c r="U90" s="5">
        <f t="shared" si="86"/>
        <v>0</v>
      </c>
      <c r="V90" s="5">
        <f t="shared" si="86"/>
        <v>0</v>
      </c>
      <c r="W90" s="5">
        <f t="shared" si="86"/>
        <v>0</v>
      </c>
      <c r="X90" s="5">
        <f t="shared" si="86"/>
        <v>0</v>
      </c>
      <c r="Y90" s="5">
        <f t="shared" si="86"/>
        <v>0</v>
      </c>
      <c r="Z90" s="5">
        <f t="shared" si="86"/>
        <v>0</v>
      </c>
      <c r="AA90" s="5">
        <f t="shared" si="86"/>
        <v>0</v>
      </c>
      <c r="AB90" s="5">
        <f t="shared" si="86"/>
        <v>1</v>
      </c>
      <c r="AC90" s="5">
        <f t="shared" si="86"/>
        <v>1</v>
      </c>
      <c r="AD90" s="5">
        <f t="shared" si="86"/>
        <v>1</v>
      </c>
      <c r="AE90" s="5">
        <f t="shared" si="86"/>
        <v>1</v>
      </c>
      <c r="AF90" s="5">
        <f t="shared" si="86"/>
        <v>1</v>
      </c>
      <c r="AG90" s="5">
        <f t="shared" si="86"/>
        <v>1</v>
      </c>
      <c r="AH90" s="5">
        <f t="shared" si="86"/>
        <v>1</v>
      </c>
      <c r="AI90" s="5">
        <f t="shared" si="86"/>
        <v>1</v>
      </c>
      <c r="AJ90" s="5">
        <f t="shared" si="86"/>
        <v>1</v>
      </c>
      <c r="AK90" s="5">
        <f t="shared" si="86"/>
        <v>1</v>
      </c>
      <c r="AL90" s="5">
        <f t="shared" si="86"/>
        <v>1</v>
      </c>
      <c r="AM90" s="5">
        <f t="shared" si="86"/>
        <v>1</v>
      </c>
      <c r="AN90" s="5">
        <f t="shared" si="86"/>
        <v>1</v>
      </c>
      <c r="AO90" s="5">
        <f t="shared" si="86"/>
        <v>1</v>
      </c>
      <c r="AP90" s="5">
        <f t="shared" si="86"/>
        <v>1</v>
      </c>
      <c r="AQ90" s="5">
        <f t="shared" si="86"/>
        <v>1</v>
      </c>
      <c r="AR90" s="5">
        <f t="shared" si="86"/>
        <v>1</v>
      </c>
      <c r="AS90" s="5">
        <f t="shared" si="86"/>
        <v>1</v>
      </c>
      <c r="AT90" s="5">
        <f t="shared" si="86"/>
        <v>1</v>
      </c>
      <c r="AU90" s="5">
        <f t="shared" si="86"/>
        <v>1</v>
      </c>
      <c r="AV90" s="5">
        <f t="shared" si="86"/>
        <v>1</v>
      </c>
      <c r="AW90" s="5">
        <f t="shared" si="86"/>
        <v>1</v>
      </c>
      <c r="AX90" s="5">
        <f t="shared" si="86"/>
        <v>1</v>
      </c>
      <c r="AY90" s="5">
        <f t="shared" si="86"/>
        <v>1</v>
      </c>
      <c r="AZ90" s="5">
        <f t="shared" si="86"/>
        <v>1</v>
      </c>
      <c r="BA90" s="5">
        <f t="shared" si="86"/>
        <v>1</v>
      </c>
      <c r="BB90" s="8"/>
      <c r="BC90" s="8"/>
      <c r="BD90" s="8"/>
      <c r="BE90" s="8"/>
      <c r="BF90" s="8"/>
      <c r="BG90" s="8"/>
      <c r="BH90" s="8"/>
      <c r="BI90" s="8"/>
    </row>
    <row r="91" ht="12.75" customHeight="1">
      <c r="A91" s="4">
        <v>168.0</v>
      </c>
      <c r="B91" s="5" t="s">
        <v>350</v>
      </c>
      <c r="C91" s="5" t="s">
        <v>351</v>
      </c>
      <c r="D91" s="5" t="s">
        <v>352</v>
      </c>
      <c r="E91" s="5" t="s">
        <v>22</v>
      </c>
      <c r="F91" s="6">
        <v>45600.0</v>
      </c>
      <c r="G91" s="5" t="s">
        <v>23</v>
      </c>
      <c r="H91" s="6">
        <v>45600.0</v>
      </c>
      <c r="I91" s="5" t="s">
        <v>64</v>
      </c>
      <c r="J91" s="5" t="s">
        <v>35</v>
      </c>
      <c r="K91" s="5" t="s">
        <v>25</v>
      </c>
      <c r="L91" s="5" t="s">
        <v>334</v>
      </c>
      <c r="M91" s="5" t="s">
        <v>39</v>
      </c>
      <c r="N91" s="5" t="s">
        <v>52</v>
      </c>
      <c r="O91" s="5" t="s">
        <v>30</v>
      </c>
      <c r="P91" s="7" t="s">
        <v>75</v>
      </c>
      <c r="Q91" s="7" t="str">
        <f t="array" ref="Q91">IF($M91="Yes","Cost of Goods Sold:COGS- Travel Expenses:",IF($M91="No",XLOOKUP($P91,Key!$I:$I,Key!$J:$J),"Review Billable Status"))</f>
        <v>Cost of Goods Sold:COGS- Travel Expenses:</v>
      </c>
      <c r="R91" s="7" t="str">
        <f t="array" ref="R91">IF($M91="Yes","Cost of Goods Sold:COGS- Personnel Expense:",IF($M91="No",XLOOKUP($P91,Key!$I:$I,Key!$K:$K),"Review Billable Status"))</f>
        <v>Cost of Goods Sold:COGS- Personnel Expense:</v>
      </c>
      <c r="S91" s="10" t="str">
        <f t="array" ref="S91">IF($G91="Paid Intern","PD Intern",IF($G91="Contractor/Consultant","Contractor",XLOOKUP(M91&amp;P91,Key!$M:$M,Key!$L:$L)))</f>
        <v>COR</v>
      </c>
      <c r="T91" s="5">
        <f t="shared" ref="T91:BA91" si="87">IF(OR($F91&gt;T$12,AND($G91="Terminated",T$12&gt;=$H91)),0,1)</f>
        <v>0</v>
      </c>
      <c r="U91" s="5">
        <f t="shared" si="87"/>
        <v>0</v>
      </c>
      <c r="V91" s="5">
        <f t="shared" si="87"/>
        <v>0</v>
      </c>
      <c r="W91" s="5">
        <f t="shared" si="87"/>
        <v>0</v>
      </c>
      <c r="X91" s="5">
        <f t="shared" si="87"/>
        <v>0</v>
      </c>
      <c r="Y91" s="5">
        <f t="shared" si="87"/>
        <v>0</v>
      </c>
      <c r="Z91" s="5">
        <f t="shared" si="87"/>
        <v>0</v>
      </c>
      <c r="AA91" s="5">
        <f t="shared" si="87"/>
        <v>0</v>
      </c>
      <c r="AB91" s="5">
        <f t="shared" si="87"/>
        <v>1</v>
      </c>
      <c r="AC91" s="5">
        <f t="shared" si="87"/>
        <v>1</v>
      </c>
      <c r="AD91" s="5">
        <f t="shared" si="87"/>
        <v>1</v>
      </c>
      <c r="AE91" s="5">
        <f t="shared" si="87"/>
        <v>1</v>
      </c>
      <c r="AF91" s="5">
        <f t="shared" si="87"/>
        <v>1</v>
      </c>
      <c r="AG91" s="5">
        <f t="shared" si="87"/>
        <v>1</v>
      </c>
      <c r="AH91" s="5">
        <f t="shared" si="87"/>
        <v>1</v>
      </c>
      <c r="AI91" s="5">
        <f t="shared" si="87"/>
        <v>1</v>
      </c>
      <c r="AJ91" s="5">
        <f t="shared" si="87"/>
        <v>1</v>
      </c>
      <c r="AK91" s="5">
        <f t="shared" si="87"/>
        <v>1</v>
      </c>
      <c r="AL91" s="5">
        <f t="shared" si="87"/>
        <v>1</v>
      </c>
      <c r="AM91" s="5">
        <f t="shared" si="87"/>
        <v>1</v>
      </c>
      <c r="AN91" s="5">
        <f t="shared" si="87"/>
        <v>1</v>
      </c>
      <c r="AO91" s="5">
        <f t="shared" si="87"/>
        <v>1</v>
      </c>
      <c r="AP91" s="5">
        <f t="shared" si="87"/>
        <v>1</v>
      </c>
      <c r="AQ91" s="5">
        <f t="shared" si="87"/>
        <v>1</v>
      </c>
      <c r="AR91" s="5">
        <f t="shared" si="87"/>
        <v>1</v>
      </c>
      <c r="AS91" s="5">
        <f t="shared" si="87"/>
        <v>1</v>
      </c>
      <c r="AT91" s="5">
        <f t="shared" si="87"/>
        <v>1</v>
      </c>
      <c r="AU91" s="5">
        <f t="shared" si="87"/>
        <v>1</v>
      </c>
      <c r="AV91" s="5">
        <f t="shared" si="87"/>
        <v>1</v>
      </c>
      <c r="AW91" s="5">
        <f t="shared" si="87"/>
        <v>1</v>
      </c>
      <c r="AX91" s="5">
        <f t="shared" si="87"/>
        <v>1</v>
      </c>
      <c r="AY91" s="5">
        <f t="shared" si="87"/>
        <v>1</v>
      </c>
      <c r="AZ91" s="5">
        <f t="shared" si="87"/>
        <v>1</v>
      </c>
      <c r="BA91" s="5">
        <f t="shared" si="87"/>
        <v>1</v>
      </c>
      <c r="BB91" s="8"/>
      <c r="BC91" s="8"/>
      <c r="BD91" s="8"/>
      <c r="BE91" s="8"/>
      <c r="BF91" s="8"/>
      <c r="BG91" s="8"/>
      <c r="BH91" s="8"/>
      <c r="BI91" s="8"/>
    </row>
    <row r="92" ht="12.75" customHeight="1">
      <c r="A92" s="4">
        <v>169.0</v>
      </c>
      <c r="B92" s="5" t="s">
        <v>353</v>
      </c>
      <c r="C92" s="5" t="s">
        <v>354</v>
      </c>
      <c r="D92" s="5" t="s">
        <v>355</v>
      </c>
      <c r="E92" s="5" t="s">
        <v>22</v>
      </c>
      <c r="F92" s="6">
        <v>45621.0</v>
      </c>
      <c r="G92" s="5" t="s">
        <v>23</v>
      </c>
      <c r="H92" s="6">
        <v>45621.0</v>
      </c>
      <c r="I92" s="5" t="s">
        <v>34</v>
      </c>
      <c r="J92" s="5" t="s">
        <v>35</v>
      </c>
      <c r="K92" s="5" t="s">
        <v>36</v>
      </c>
      <c r="L92" s="5" t="s">
        <v>153</v>
      </c>
      <c r="M92" s="5" t="s">
        <v>39</v>
      </c>
      <c r="N92" s="5" t="s">
        <v>85</v>
      </c>
      <c r="O92" s="5" t="s">
        <v>149</v>
      </c>
      <c r="P92" s="7" t="s">
        <v>38</v>
      </c>
      <c r="Q92" s="7" t="str">
        <f t="array" ref="Q92">IF($M92="Yes","Cost of Goods Sold:COGS- Travel Expenses:",IF($M92="No",XLOOKUP($P92,Key!$I:$I,Key!$J:$J),"Review Billable Status"))</f>
        <v>Cost of Goods Sold:COGS- Travel Expenses:</v>
      </c>
      <c r="R92" s="7" t="str">
        <f t="array" ref="R92">IF($M92="Yes","Cost of Goods Sold:COGS- Personnel Expense:",IF($M92="No",XLOOKUP($P92,Key!$I:$I,Key!$K:$K),"Review Billable Status"))</f>
        <v>Cost of Goods Sold:COGS- Personnel Expense:</v>
      </c>
      <c r="S92" s="10" t="str">
        <f t="array" ref="S92">IF($G92="Paid Intern","PD Intern",IF($G92="Contractor/Consultant","Contractor",XLOOKUP(M92&amp;P92,Key!$M:$M,Key!$L:$L)))</f>
        <v>COR</v>
      </c>
      <c r="T92" s="5">
        <f t="shared" ref="T92:BA92" si="88">IF(OR($F92&gt;T$12,AND($G92="Terminated",T$12&gt;=$H92)),0,1)</f>
        <v>0</v>
      </c>
      <c r="U92" s="5">
        <f t="shared" si="88"/>
        <v>0</v>
      </c>
      <c r="V92" s="5">
        <f t="shared" si="88"/>
        <v>0</v>
      </c>
      <c r="W92" s="5">
        <f t="shared" si="88"/>
        <v>0</v>
      </c>
      <c r="X92" s="5">
        <f t="shared" si="88"/>
        <v>0</v>
      </c>
      <c r="Y92" s="5">
        <f t="shared" si="88"/>
        <v>0</v>
      </c>
      <c r="Z92" s="5">
        <f t="shared" si="88"/>
        <v>0</v>
      </c>
      <c r="AA92" s="5">
        <f t="shared" si="88"/>
        <v>0</v>
      </c>
      <c r="AB92" s="5">
        <f t="shared" si="88"/>
        <v>1</v>
      </c>
      <c r="AC92" s="5">
        <f t="shared" si="88"/>
        <v>1</v>
      </c>
      <c r="AD92" s="5">
        <f t="shared" si="88"/>
        <v>1</v>
      </c>
      <c r="AE92" s="5">
        <f t="shared" si="88"/>
        <v>1</v>
      </c>
      <c r="AF92" s="5">
        <f t="shared" si="88"/>
        <v>1</v>
      </c>
      <c r="AG92" s="5">
        <f t="shared" si="88"/>
        <v>1</v>
      </c>
      <c r="AH92" s="5">
        <f t="shared" si="88"/>
        <v>1</v>
      </c>
      <c r="AI92" s="5">
        <f t="shared" si="88"/>
        <v>1</v>
      </c>
      <c r="AJ92" s="5">
        <f t="shared" si="88"/>
        <v>1</v>
      </c>
      <c r="AK92" s="5">
        <f t="shared" si="88"/>
        <v>1</v>
      </c>
      <c r="AL92" s="5">
        <f t="shared" si="88"/>
        <v>1</v>
      </c>
      <c r="AM92" s="5">
        <f t="shared" si="88"/>
        <v>1</v>
      </c>
      <c r="AN92" s="5">
        <f t="shared" si="88"/>
        <v>1</v>
      </c>
      <c r="AO92" s="5">
        <f t="shared" si="88"/>
        <v>1</v>
      </c>
      <c r="AP92" s="5">
        <f t="shared" si="88"/>
        <v>1</v>
      </c>
      <c r="AQ92" s="5">
        <f t="shared" si="88"/>
        <v>1</v>
      </c>
      <c r="AR92" s="5">
        <f t="shared" si="88"/>
        <v>1</v>
      </c>
      <c r="AS92" s="5">
        <f t="shared" si="88"/>
        <v>1</v>
      </c>
      <c r="AT92" s="5">
        <f t="shared" si="88"/>
        <v>1</v>
      </c>
      <c r="AU92" s="5">
        <f t="shared" si="88"/>
        <v>1</v>
      </c>
      <c r="AV92" s="5">
        <f t="shared" si="88"/>
        <v>1</v>
      </c>
      <c r="AW92" s="5">
        <f t="shared" si="88"/>
        <v>1</v>
      </c>
      <c r="AX92" s="5">
        <f t="shared" si="88"/>
        <v>1</v>
      </c>
      <c r="AY92" s="5">
        <f t="shared" si="88"/>
        <v>1</v>
      </c>
      <c r="AZ92" s="5">
        <f t="shared" si="88"/>
        <v>1</v>
      </c>
      <c r="BA92" s="5">
        <f t="shared" si="88"/>
        <v>1</v>
      </c>
      <c r="BB92" s="8"/>
      <c r="BC92" s="8"/>
      <c r="BD92" s="8"/>
      <c r="BE92" s="8"/>
      <c r="BF92" s="8"/>
      <c r="BG92" s="8"/>
      <c r="BH92" s="8"/>
      <c r="BI92" s="8"/>
    </row>
    <row r="93" ht="12.75" customHeight="1">
      <c r="A93" s="4">
        <v>170.0</v>
      </c>
      <c r="B93" s="5" t="s">
        <v>356</v>
      </c>
      <c r="C93" s="5" t="s">
        <v>357</v>
      </c>
      <c r="D93" s="5" t="s">
        <v>358</v>
      </c>
      <c r="E93" s="5" t="s">
        <v>112</v>
      </c>
      <c r="F93" s="6">
        <v>45621.0</v>
      </c>
      <c r="G93" s="5" t="s">
        <v>23</v>
      </c>
      <c r="H93" s="6">
        <v>45656.0</v>
      </c>
      <c r="I93" s="5" t="s">
        <v>24</v>
      </c>
      <c r="J93" s="5" t="s">
        <v>24</v>
      </c>
      <c r="K93" s="5" t="s">
        <v>25</v>
      </c>
      <c r="L93" s="5" t="s">
        <v>359</v>
      </c>
      <c r="M93" s="5" t="s">
        <v>28</v>
      </c>
      <c r="N93" s="5" t="s">
        <v>85</v>
      </c>
      <c r="O93" s="5" t="s">
        <v>30</v>
      </c>
      <c r="P93" s="7" t="s">
        <v>199</v>
      </c>
      <c r="Q93" s="7" t="str">
        <f t="array" ref="Q93">IF($M93="Yes","Cost of Goods Sold:COGS- Travel Expenses:",IF($M93="No",XLOOKUP($P93,Key!$I:$I,Key!$J:$J),"Review Billable Status"))</f>
        <v>General &amp; Administrative:G&amp;A- Travel Expenses:</v>
      </c>
      <c r="R93" s="7" t="str">
        <f t="array" ref="R93">IF($M93="Yes","Cost of Goods Sold:COGS- Personnel Expense:",IF($M93="No",XLOOKUP($P93,Key!$I:$I,Key!$K:$K),"Review Billable Status"))</f>
        <v>General &amp; Administrative:G&amp;A- Personnel Expenses:</v>
      </c>
      <c r="S93" s="10" t="str">
        <f t="array" ref="S93">IF($G93="Paid Intern","PD Intern",IF($G93="Contractor/Consultant","Contractor",XLOOKUP(M93&amp;P93,Key!$M:$M,Key!$L:$L)))</f>
        <v>G&amp;A</v>
      </c>
      <c r="T93" s="5">
        <f t="shared" ref="T93:BA93" si="89">IF(OR($F93&gt;T$12,AND($G93="Terminated",T$12&gt;=$H93)),0,1)</f>
        <v>0</v>
      </c>
      <c r="U93" s="5">
        <f t="shared" si="89"/>
        <v>0</v>
      </c>
      <c r="V93" s="5">
        <f t="shared" si="89"/>
        <v>0</v>
      </c>
      <c r="W93" s="5">
        <f t="shared" si="89"/>
        <v>0</v>
      </c>
      <c r="X93" s="5">
        <f t="shared" si="89"/>
        <v>0</v>
      </c>
      <c r="Y93" s="5">
        <f t="shared" si="89"/>
        <v>0</v>
      </c>
      <c r="Z93" s="5">
        <f t="shared" si="89"/>
        <v>0</v>
      </c>
      <c r="AA93" s="5">
        <f t="shared" si="89"/>
        <v>0</v>
      </c>
      <c r="AB93" s="5">
        <f t="shared" si="89"/>
        <v>1</v>
      </c>
      <c r="AC93" s="5">
        <f t="shared" si="89"/>
        <v>1</v>
      </c>
      <c r="AD93" s="5">
        <f t="shared" si="89"/>
        <v>1</v>
      </c>
      <c r="AE93" s="5">
        <f t="shared" si="89"/>
        <v>1</v>
      </c>
      <c r="AF93" s="5">
        <f t="shared" si="89"/>
        <v>1</v>
      </c>
      <c r="AG93" s="5">
        <f t="shared" si="89"/>
        <v>1</v>
      </c>
      <c r="AH93" s="5">
        <f t="shared" si="89"/>
        <v>1</v>
      </c>
      <c r="AI93" s="5">
        <f t="shared" si="89"/>
        <v>1</v>
      </c>
      <c r="AJ93" s="5">
        <f t="shared" si="89"/>
        <v>1</v>
      </c>
      <c r="AK93" s="5">
        <f t="shared" si="89"/>
        <v>1</v>
      </c>
      <c r="AL93" s="5">
        <f t="shared" si="89"/>
        <v>1</v>
      </c>
      <c r="AM93" s="5">
        <f t="shared" si="89"/>
        <v>1</v>
      </c>
      <c r="AN93" s="5">
        <f t="shared" si="89"/>
        <v>1</v>
      </c>
      <c r="AO93" s="5">
        <f t="shared" si="89"/>
        <v>1</v>
      </c>
      <c r="AP93" s="5">
        <f t="shared" si="89"/>
        <v>1</v>
      </c>
      <c r="AQ93" s="5">
        <f t="shared" si="89"/>
        <v>1</v>
      </c>
      <c r="AR93" s="5">
        <f t="shared" si="89"/>
        <v>1</v>
      </c>
      <c r="AS93" s="5">
        <f t="shared" si="89"/>
        <v>1</v>
      </c>
      <c r="AT93" s="5">
        <f t="shared" si="89"/>
        <v>1</v>
      </c>
      <c r="AU93" s="5">
        <f t="shared" si="89"/>
        <v>1</v>
      </c>
      <c r="AV93" s="5">
        <f t="shared" si="89"/>
        <v>1</v>
      </c>
      <c r="AW93" s="5">
        <f t="shared" si="89"/>
        <v>1</v>
      </c>
      <c r="AX93" s="5">
        <f t="shared" si="89"/>
        <v>1</v>
      </c>
      <c r="AY93" s="5">
        <f t="shared" si="89"/>
        <v>1</v>
      </c>
      <c r="AZ93" s="5">
        <f t="shared" si="89"/>
        <v>1</v>
      </c>
      <c r="BA93" s="5">
        <f t="shared" si="89"/>
        <v>1</v>
      </c>
      <c r="BB93" s="8"/>
      <c r="BC93" s="8"/>
      <c r="BD93" s="8"/>
      <c r="BE93" s="8"/>
      <c r="BF93" s="8"/>
      <c r="BG93" s="8"/>
      <c r="BH93" s="8"/>
      <c r="BI93" s="8"/>
    </row>
    <row r="94" ht="12.75" customHeight="1">
      <c r="A94" s="4">
        <v>171.0</v>
      </c>
      <c r="B94" s="5" t="s">
        <v>360</v>
      </c>
      <c r="C94" s="5" t="s">
        <v>361</v>
      </c>
      <c r="D94" s="5" t="s">
        <v>362</v>
      </c>
      <c r="E94" s="5" t="s">
        <v>112</v>
      </c>
      <c r="F94" s="6">
        <v>45628.0</v>
      </c>
      <c r="G94" s="5" t="s">
        <v>23</v>
      </c>
      <c r="H94" s="6">
        <v>45628.0</v>
      </c>
      <c r="I94" s="5" t="s">
        <v>64</v>
      </c>
      <c r="J94" s="5" t="s">
        <v>363</v>
      </c>
      <c r="K94" s="5" t="s">
        <v>25</v>
      </c>
      <c r="L94" s="5" t="s">
        <v>334</v>
      </c>
      <c r="M94" s="5" t="s">
        <v>39</v>
      </c>
      <c r="N94" s="5" t="s">
        <v>239</v>
      </c>
      <c r="O94" s="5" t="s">
        <v>30</v>
      </c>
      <c r="P94" s="7" t="s">
        <v>75</v>
      </c>
      <c r="Q94" s="7" t="str">
        <f t="array" ref="Q94">IF($M94="Yes","Cost of Goods Sold:COGS- Travel Expenses:",IF($M94="No",XLOOKUP($P94,Key!$I:$I,Key!$J:$J),"Review Billable Status"))</f>
        <v>Cost of Goods Sold:COGS- Travel Expenses:</v>
      </c>
      <c r="R94" s="7" t="str">
        <f t="array" ref="R94">IF($M94="Yes","Cost of Goods Sold:COGS- Personnel Expense:",IF($M94="No",XLOOKUP($P94,Key!$I:$I,Key!$K:$K),"Review Billable Status"))</f>
        <v>Cost of Goods Sold:COGS- Personnel Expense:</v>
      </c>
      <c r="S94" s="10" t="str">
        <f t="array" ref="S94">IF($G94="Paid Intern","PD Intern",IF($G94="Contractor/Consultant","Contractor",XLOOKUP(M94&amp;P94,Key!$M:$M,Key!$L:$L)))</f>
        <v>COR</v>
      </c>
      <c r="T94" s="5">
        <f t="shared" ref="T94:BA94" si="90">IF(OR($F94&gt;T$12,AND($G94="Terminated",T$12&gt;=$H94)),0,1)</f>
        <v>0</v>
      </c>
      <c r="U94" s="5">
        <f t="shared" si="90"/>
        <v>0</v>
      </c>
      <c r="V94" s="5">
        <f t="shared" si="90"/>
        <v>0</v>
      </c>
      <c r="W94" s="5">
        <f t="shared" si="90"/>
        <v>0</v>
      </c>
      <c r="X94" s="5">
        <f t="shared" si="90"/>
        <v>0</v>
      </c>
      <c r="Y94" s="5">
        <f t="shared" si="90"/>
        <v>0</v>
      </c>
      <c r="Z94" s="5">
        <f t="shared" si="90"/>
        <v>0</v>
      </c>
      <c r="AA94" s="5">
        <f t="shared" si="90"/>
        <v>0</v>
      </c>
      <c r="AB94" s="5">
        <f t="shared" si="90"/>
        <v>0</v>
      </c>
      <c r="AC94" s="5">
        <f t="shared" si="90"/>
        <v>1</v>
      </c>
      <c r="AD94" s="5">
        <f t="shared" si="90"/>
        <v>1</v>
      </c>
      <c r="AE94" s="5">
        <f t="shared" si="90"/>
        <v>1</v>
      </c>
      <c r="AF94" s="5">
        <f t="shared" si="90"/>
        <v>1</v>
      </c>
      <c r="AG94" s="5">
        <f t="shared" si="90"/>
        <v>1</v>
      </c>
      <c r="AH94" s="5">
        <f t="shared" si="90"/>
        <v>1</v>
      </c>
      <c r="AI94" s="5">
        <f t="shared" si="90"/>
        <v>1</v>
      </c>
      <c r="AJ94" s="5">
        <f t="shared" si="90"/>
        <v>1</v>
      </c>
      <c r="AK94" s="5">
        <f t="shared" si="90"/>
        <v>1</v>
      </c>
      <c r="AL94" s="5">
        <f t="shared" si="90"/>
        <v>1</v>
      </c>
      <c r="AM94" s="5">
        <f t="shared" si="90"/>
        <v>1</v>
      </c>
      <c r="AN94" s="5">
        <f t="shared" si="90"/>
        <v>1</v>
      </c>
      <c r="AO94" s="5">
        <f t="shared" si="90"/>
        <v>1</v>
      </c>
      <c r="AP94" s="5">
        <f t="shared" si="90"/>
        <v>1</v>
      </c>
      <c r="AQ94" s="5">
        <f t="shared" si="90"/>
        <v>1</v>
      </c>
      <c r="AR94" s="5">
        <f t="shared" si="90"/>
        <v>1</v>
      </c>
      <c r="AS94" s="5">
        <f t="shared" si="90"/>
        <v>1</v>
      </c>
      <c r="AT94" s="5">
        <f t="shared" si="90"/>
        <v>1</v>
      </c>
      <c r="AU94" s="5">
        <f t="shared" si="90"/>
        <v>1</v>
      </c>
      <c r="AV94" s="5">
        <f t="shared" si="90"/>
        <v>1</v>
      </c>
      <c r="AW94" s="5">
        <f t="shared" si="90"/>
        <v>1</v>
      </c>
      <c r="AX94" s="5">
        <f t="shared" si="90"/>
        <v>1</v>
      </c>
      <c r="AY94" s="5">
        <f t="shared" si="90"/>
        <v>1</v>
      </c>
      <c r="AZ94" s="5">
        <f t="shared" si="90"/>
        <v>1</v>
      </c>
      <c r="BA94" s="5">
        <f t="shared" si="90"/>
        <v>1</v>
      </c>
      <c r="BB94" s="8"/>
      <c r="BC94" s="8"/>
      <c r="BD94" s="8"/>
      <c r="BE94" s="8"/>
      <c r="BF94" s="8"/>
      <c r="BG94" s="8"/>
      <c r="BH94" s="8"/>
      <c r="BI94" s="8"/>
    </row>
    <row r="95" ht="12.75" customHeight="1">
      <c r="A95" s="4">
        <v>172.0</v>
      </c>
      <c r="B95" s="5" t="s">
        <v>353</v>
      </c>
      <c r="C95" s="5" t="s">
        <v>364</v>
      </c>
      <c r="D95" s="5" t="s">
        <v>365</v>
      </c>
      <c r="E95" s="5" t="s">
        <v>22</v>
      </c>
      <c r="F95" s="6">
        <v>45635.0</v>
      </c>
      <c r="G95" s="5" t="s">
        <v>23</v>
      </c>
      <c r="H95" s="6">
        <v>45635.0</v>
      </c>
      <c r="I95" s="5" t="s">
        <v>64</v>
      </c>
      <c r="J95" s="5" t="s">
        <v>366</v>
      </c>
      <c r="K95" s="5" t="s">
        <v>25</v>
      </c>
      <c r="L95" s="5" t="s">
        <v>367</v>
      </c>
      <c r="M95" s="5" t="s">
        <v>39</v>
      </c>
      <c r="N95" s="5" t="s">
        <v>52</v>
      </c>
      <c r="O95" s="5" t="s">
        <v>60</v>
      </c>
      <c r="P95" s="7" t="s">
        <v>75</v>
      </c>
      <c r="Q95" s="7" t="str">
        <f t="array" ref="Q95">IF($M95="Yes","Cost of Goods Sold:COGS- Travel Expenses:",IF($M95="No",XLOOKUP($P95,Key!$I:$I,Key!$J:$J),"Review Billable Status"))</f>
        <v>Cost of Goods Sold:COGS- Travel Expenses:</v>
      </c>
      <c r="R95" s="7" t="str">
        <f t="array" ref="R95">IF($M95="Yes","Cost of Goods Sold:COGS- Personnel Expense:",IF($M95="No",XLOOKUP($P95,Key!$I:$I,Key!$K:$K),"Review Billable Status"))</f>
        <v>Cost of Goods Sold:COGS- Personnel Expense:</v>
      </c>
      <c r="S95" s="10" t="str">
        <f t="array" ref="S95">IF($G95="Paid Intern","PD Intern",IF($G95="Contractor/Consultant","Contractor",XLOOKUP(M95&amp;P95,Key!$M:$M,Key!$L:$L)))</f>
        <v>COR</v>
      </c>
      <c r="T95" s="5">
        <f t="shared" ref="T95:BA95" si="91">IF(OR($F95&gt;T$12,AND($G95="Terminated",T$12&gt;=$H95)),0,1)</f>
        <v>0</v>
      </c>
      <c r="U95" s="5">
        <f t="shared" si="91"/>
        <v>0</v>
      </c>
      <c r="V95" s="5">
        <f t="shared" si="91"/>
        <v>0</v>
      </c>
      <c r="W95" s="5">
        <f t="shared" si="91"/>
        <v>0</v>
      </c>
      <c r="X95" s="5">
        <f t="shared" si="91"/>
        <v>0</v>
      </c>
      <c r="Y95" s="5">
        <f t="shared" si="91"/>
        <v>0</v>
      </c>
      <c r="Z95" s="5">
        <f t="shared" si="91"/>
        <v>0</v>
      </c>
      <c r="AA95" s="5">
        <f t="shared" si="91"/>
        <v>0</v>
      </c>
      <c r="AB95" s="5">
        <f t="shared" si="91"/>
        <v>0</v>
      </c>
      <c r="AC95" s="5">
        <f t="shared" si="91"/>
        <v>1</v>
      </c>
      <c r="AD95" s="5">
        <f t="shared" si="91"/>
        <v>1</v>
      </c>
      <c r="AE95" s="5">
        <f t="shared" si="91"/>
        <v>1</v>
      </c>
      <c r="AF95" s="5">
        <f t="shared" si="91"/>
        <v>1</v>
      </c>
      <c r="AG95" s="5">
        <f t="shared" si="91"/>
        <v>1</v>
      </c>
      <c r="AH95" s="5">
        <f t="shared" si="91"/>
        <v>1</v>
      </c>
      <c r="AI95" s="5">
        <f t="shared" si="91"/>
        <v>1</v>
      </c>
      <c r="AJ95" s="5">
        <f t="shared" si="91"/>
        <v>1</v>
      </c>
      <c r="AK95" s="5">
        <f t="shared" si="91"/>
        <v>1</v>
      </c>
      <c r="AL95" s="5">
        <f t="shared" si="91"/>
        <v>1</v>
      </c>
      <c r="AM95" s="5">
        <f t="shared" si="91"/>
        <v>1</v>
      </c>
      <c r="AN95" s="5">
        <f t="shared" si="91"/>
        <v>1</v>
      </c>
      <c r="AO95" s="5">
        <f t="shared" si="91"/>
        <v>1</v>
      </c>
      <c r="AP95" s="5">
        <f t="shared" si="91"/>
        <v>1</v>
      </c>
      <c r="AQ95" s="5">
        <f t="shared" si="91"/>
        <v>1</v>
      </c>
      <c r="AR95" s="5">
        <f t="shared" si="91"/>
        <v>1</v>
      </c>
      <c r="AS95" s="5">
        <f t="shared" si="91"/>
        <v>1</v>
      </c>
      <c r="AT95" s="5">
        <f t="shared" si="91"/>
        <v>1</v>
      </c>
      <c r="AU95" s="5">
        <f t="shared" si="91"/>
        <v>1</v>
      </c>
      <c r="AV95" s="5">
        <f t="shared" si="91"/>
        <v>1</v>
      </c>
      <c r="AW95" s="5">
        <f t="shared" si="91"/>
        <v>1</v>
      </c>
      <c r="AX95" s="5">
        <f t="shared" si="91"/>
        <v>1</v>
      </c>
      <c r="AY95" s="5">
        <f t="shared" si="91"/>
        <v>1</v>
      </c>
      <c r="AZ95" s="5">
        <f t="shared" si="91"/>
        <v>1</v>
      </c>
      <c r="BA95" s="5">
        <f t="shared" si="91"/>
        <v>1</v>
      </c>
      <c r="BB95" s="8"/>
      <c r="BC95" s="8"/>
      <c r="BD95" s="8"/>
      <c r="BE95" s="8"/>
      <c r="BF95" s="8"/>
      <c r="BG95" s="8"/>
      <c r="BH95" s="8"/>
      <c r="BI95" s="8"/>
    </row>
    <row r="96" ht="12.75" customHeight="1">
      <c r="A96" s="4">
        <v>175.0</v>
      </c>
      <c r="B96" s="5" t="s">
        <v>368</v>
      </c>
      <c r="C96" s="5" t="s">
        <v>369</v>
      </c>
      <c r="D96" s="5" t="s">
        <v>370</v>
      </c>
      <c r="E96" s="5" t="s">
        <v>112</v>
      </c>
      <c r="F96" s="6">
        <v>45684.0</v>
      </c>
      <c r="G96" s="5" t="s">
        <v>23</v>
      </c>
      <c r="H96" s="6">
        <v>45684.0</v>
      </c>
      <c r="I96" s="5" t="s">
        <v>34</v>
      </c>
      <c r="J96" s="5" t="s">
        <v>130</v>
      </c>
      <c r="K96" s="5" t="s">
        <v>25</v>
      </c>
      <c r="L96" s="5" t="s">
        <v>279</v>
      </c>
      <c r="M96" s="5" t="s">
        <v>39</v>
      </c>
      <c r="N96" s="5" t="s">
        <v>85</v>
      </c>
      <c r="O96" s="5" t="s">
        <v>30</v>
      </c>
      <c r="P96" s="7" t="s">
        <v>132</v>
      </c>
      <c r="Q96" s="7" t="str">
        <f t="array" ref="Q96">IF($M96="Yes","Cost of Goods Sold:COGS- Travel Expenses:",IF($M96="No",XLOOKUP($P96,Key!$I:$I,Key!$J:$J),"Review Billable Status"))</f>
        <v>Cost of Goods Sold:COGS- Travel Expenses:</v>
      </c>
      <c r="R96" s="7" t="str">
        <f t="array" ref="R96">IF($M96="Yes","Cost of Goods Sold:COGS- Personnel Expense:",IF($M96="No",XLOOKUP($P96,Key!$I:$I,Key!$K:$K),"Review Billable Status"))</f>
        <v>Cost of Goods Sold:COGS- Personnel Expense:</v>
      </c>
      <c r="S96" s="10" t="str">
        <f t="array" ref="S96">IF($G96="Paid Intern","PD Intern",IF($G96="Contractor/Consultant","Contractor",XLOOKUP(M96&amp;P96,Key!$M:$M,Key!$L:$L)))</f>
        <v>COR</v>
      </c>
      <c r="T96" s="5">
        <f t="shared" ref="T96:BA96" si="92">IF(OR($F96&gt;T$12,AND($G96="Terminated",T$12&gt;=$H96)),0,1)</f>
        <v>0</v>
      </c>
      <c r="U96" s="5">
        <f t="shared" si="92"/>
        <v>0</v>
      </c>
      <c r="V96" s="5">
        <f t="shared" si="92"/>
        <v>0</v>
      </c>
      <c r="W96" s="5">
        <f t="shared" si="92"/>
        <v>0</v>
      </c>
      <c r="X96" s="5">
        <f t="shared" si="92"/>
        <v>0</v>
      </c>
      <c r="Y96" s="5">
        <f t="shared" si="92"/>
        <v>0</v>
      </c>
      <c r="Z96" s="5">
        <f t="shared" si="92"/>
        <v>0</v>
      </c>
      <c r="AA96" s="5">
        <f t="shared" si="92"/>
        <v>0</v>
      </c>
      <c r="AB96" s="5">
        <f t="shared" si="92"/>
        <v>0</v>
      </c>
      <c r="AC96" s="5">
        <f t="shared" si="92"/>
        <v>0</v>
      </c>
      <c r="AD96" s="5">
        <f t="shared" si="92"/>
        <v>1</v>
      </c>
      <c r="AE96" s="5">
        <f t="shared" si="92"/>
        <v>1</v>
      </c>
      <c r="AF96" s="5">
        <f t="shared" si="92"/>
        <v>1</v>
      </c>
      <c r="AG96" s="5">
        <f t="shared" si="92"/>
        <v>1</v>
      </c>
      <c r="AH96" s="5">
        <f t="shared" si="92"/>
        <v>1</v>
      </c>
      <c r="AI96" s="5">
        <f t="shared" si="92"/>
        <v>1</v>
      </c>
      <c r="AJ96" s="5">
        <f t="shared" si="92"/>
        <v>1</v>
      </c>
      <c r="AK96" s="5">
        <f t="shared" si="92"/>
        <v>1</v>
      </c>
      <c r="AL96" s="5">
        <f t="shared" si="92"/>
        <v>1</v>
      </c>
      <c r="AM96" s="5">
        <f t="shared" si="92"/>
        <v>1</v>
      </c>
      <c r="AN96" s="5">
        <f t="shared" si="92"/>
        <v>1</v>
      </c>
      <c r="AO96" s="5">
        <f t="shared" si="92"/>
        <v>1</v>
      </c>
      <c r="AP96" s="5">
        <f t="shared" si="92"/>
        <v>1</v>
      </c>
      <c r="AQ96" s="5">
        <f t="shared" si="92"/>
        <v>1</v>
      </c>
      <c r="AR96" s="5">
        <f t="shared" si="92"/>
        <v>1</v>
      </c>
      <c r="AS96" s="5">
        <f t="shared" si="92"/>
        <v>1</v>
      </c>
      <c r="AT96" s="5">
        <f t="shared" si="92"/>
        <v>1</v>
      </c>
      <c r="AU96" s="5">
        <f t="shared" si="92"/>
        <v>1</v>
      </c>
      <c r="AV96" s="5">
        <f t="shared" si="92"/>
        <v>1</v>
      </c>
      <c r="AW96" s="5">
        <f t="shared" si="92"/>
        <v>1</v>
      </c>
      <c r="AX96" s="5">
        <f t="shared" si="92"/>
        <v>1</v>
      </c>
      <c r="AY96" s="5">
        <f t="shared" si="92"/>
        <v>1</v>
      </c>
      <c r="AZ96" s="5">
        <f t="shared" si="92"/>
        <v>1</v>
      </c>
      <c r="BA96" s="5">
        <f t="shared" si="92"/>
        <v>1</v>
      </c>
      <c r="BB96" s="8"/>
      <c r="BC96" s="8"/>
      <c r="BD96" s="8"/>
      <c r="BE96" s="8"/>
      <c r="BF96" s="8"/>
      <c r="BG96" s="8"/>
      <c r="BH96" s="8"/>
      <c r="BI96" s="8"/>
    </row>
    <row r="97" ht="12.75" customHeight="1">
      <c r="A97" s="4">
        <v>176.0</v>
      </c>
      <c r="B97" s="5" t="s">
        <v>371</v>
      </c>
      <c r="C97" s="5" t="s">
        <v>372</v>
      </c>
      <c r="D97" s="5" t="s">
        <v>373</v>
      </c>
      <c r="E97" s="5" t="s">
        <v>22</v>
      </c>
      <c r="F97" s="6">
        <v>45687.0</v>
      </c>
      <c r="G97" s="5" t="s">
        <v>23</v>
      </c>
      <c r="H97" s="6">
        <v>45687.0</v>
      </c>
      <c r="I97" s="5" t="s">
        <v>34</v>
      </c>
      <c r="J97" s="5" t="s">
        <v>35</v>
      </c>
      <c r="K97" s="5" t="s">
        <v>36</v>
      </c>
      <c r="L97" s="5" t="s">
        <v>153</v>
      </c>
      <c r="M97" s="5" t="s">
        <v>39</v>
      </c>
      <c r="N97" s="5" t="s">
        <v>85</v>
      </c>
      <c r="O97" s="5" t="s">
        <v>41</v>
      </c>
      <c r="P97" s="7" t="s">
        <v>38</v>
      </c>
      <c r="Q97" s="7" t="str">
        <f t="array" ref="Q97">IF($M97="Yes","Cost of Goods Sold:COGS- Travel Expenses:",IF($M97="No",XLOOKUP($P97,Key!$I:$I,Key!$J:$J),"Review Billable Status"))</f>
        <v>Cost of Goods Sold:COGS- Travel Expenses:</v>
      </c>
      <c r="R97" s="7" t="str">
        <f t="array" ref="R97">IF($M97="Yes","Cost of Goods Sold:COGS- Personnel Expense:",IF($M97="No",XLOOKUP($P97,Key!$I:$I,Key!$K:$K),"Review Billable Status"))</f>
        <v>Cost of Goods Sold:COGS- Personnel Expense:</v>
      </c>
      <c r="S97" s="10" t="str">
        <f t="array" ref="S97">IF($G97="Paid Intern","PD Intern",IF($G97="Contractor/Consultant","Contractor",XLOOKUP(M97&amp;P97,Key!$M:$M,Key!$L:$L)))</f>
        <v>COR</v>
      </c>
      <c r="T97" s="5">
        <f t="shared" ref="T97:BA97" si="93">IF(OR($F97&gt;T$12,AND($G97="Terminated",T$12&gt;=$H97)),0,1)</f>
        <v>0</v>
      </c>
      <c r="U97" s="5">
        <f t="shared" si="93"/>
        <v>0</v>
      </c>
      <c r="V97" s="5">
        <f t="shared" si="93"/>
        <v>0</v>
      </c>
      <c r="W97" s="5">
        <f t="shared" si="93"/>
        <v>0</v>
      </c>
      <c r="X97" s="5">
        <f t="shared" si="93"/>
        <v>0</v>
      </c>
      <c r="Y97" s="5">
        <f t="shared" si="93"/>
        <v>0</v>
      </c>
      <c r="Z97" s="5">
        <f t="shared" si="93"/>
        <v>0</v>
      </c>
      <c r="AA97" s="5">
        <f t="shared" si="93"/>
        <v>0</v>
      </c>
      <c r="AB97" s="5">
        <f t="shared" si="93"/>
        <v>0</v>
      </c>
      <c r="AC97" s="5">
        <f t="shared" si="93"/>
        <v>0</v>
      </c>
      <c r="AD97" s="5">
        <f t="shared" si="93"/>
        <v>1</v>
      </c>
      <c r="AE97" s="5">
        <f t="shared" si="93"/>
        <v>1</v>
      </c>
      <c r="AF97" s="5">
        <f t="shared" si="93"/>
        <v>1</v>
      </c>
      <c r="AG97" s="5">
        <f t="shared" si="93"/>
        <v>1</v>
      </c>
      <c r="AH97" s="5">
        <f t="shared" si="93"/>
        <v>1</v>
      </c>
      <c r="AI97" s="5">
        <f t="shared" si="93"/>
        <v>1</v>
      </c>
      <c r="AJ97" s="5">
        <f t="shared" si="93"/>
        <v>1</v>
      </c>
      <c r="AK97" s="5">
        <f t="shared" si="93"/>
        <v>1</v>
      </c>
      <c r="AL97" s="5">
        <f t="shared" si="93"/>
        <v>1</v>
      </c>
      <c r="AM97" s="5">
        <f t="shared" si="93"/>
        <v>1</v>
      </c>
      <c r="AN97" s="5">
        <f t="shared" si="93"/>
        <v>1</v>
      </c>
      <c r="AO97" s="5">
        <f t="shared" si="93"/>
        <v>1</v>
      </c>
      <c r="AP97" s="5">
        <f t="shared" si="93"/>
        <v>1</v>
      </c>
      <c r="AQ97" s="5">
        <f t="shared" si="93"/>
        <v>1</v>
      </c>
      <c r="AR97" s="5">
        <f t="shared" si="93"/>
        <v>1</v>
      </c>
      <c r="AS97" s="5">
        <f t="shared" si="93"/>
        <v>1</v>
      </c>
      <c r="AT97" s="5">
        <f t="shared" si="93"/>
        <v>1</v>
      </c>
      <c r="AU97" s="5">
        <f t="shared" si="93"/>
        <v>1</v>
      </c>
      <c r="AV97" s="5">
        <f t="shared" si="93"/>
        <v>1</v>
      </c>
      <c r="AW97" s="5">
        <f t="shared" si="93"/>
        <v>1</v>
      </c>
      <c r="AX97" s="5">
        <f t="shared" si="93"/>
        <v>1</v>
      </c>
      <c r="AY97" s="5">
        <f t="shared" si="93"/>
        <v>1</v>
      </c>
      <c r="AZ97" s="5">
        <f t="shared" si="93"/>
        <v>1</v>
      </c>
      <c r="BA97" s="5">
        <f t="shared" si="93"/>
        <v>1</v>
      </c>
      <c r="BB97" s="8"/>
      <c r="BC97" s="8"/>
      <c r="BD97" s="8"/>
      <c r="BE97" s="8"/>
      <c r="BF97" s="8"/>
      <c r="BG97" s="8"/>
      <c r="BH97" s="8"/>
      <c r="BI97" s="8"/>
    </row>
    <row r="98" ht="12.75" customHeight="1">
      <c r="A98" s="4">
        <v>177.0</v>
      </c>
      <c r="B98" s="5" t="s">
        <v>374</v>
      </c>
      <c r="C98" s="5" t="s">
        <v>375</v>
      </c>
      <c r="D98" s="5" t="s">
        <v>376</v>
      </c>
      <c r="E98" s="5" t="s">
        <v>22</v>
      </c>
      <c r="F98" s="6">
        <v>46153.0</v>
      </c>
      <c r="G98" s="5" t="s">
        <v>377</v>
      </c>
      <c r="H98" s="6">
        <v>46153.0</v>
      </c>
      <c r="I98" s="5" t="s">
        <v>24</v>
      </c>
      <c r="J98" s="5" t="s">
        <v>24</v>
      </c>
      <c r="K98" s="5" t="s">
        <v>25</v>
      </c>
      <c r="L98" s="5" t="s">
        <v>378</v>
      </c>
      <c r="M98" s="5" t="s">
        <v>28</v>
      </c>
      <c r="N98" s="5" t="s">
        <v>379</v>
      </c>
      <c r="O98" s="5" t="s">
        <v>30</v>
      </c>
      <c r="P98" s="7" t="s">
        <v>199</v>
      </c>
      <c r="Q98" s="7" t="str">
        <f t="array" ref="Q98">IF($M98="Yes","Cost of Goods Sold:COGS- Travel Expenses:",IF($M98="No",XLOOKUP($P98,Key!$I:$I,Key!$J:$J),"Review Billable Status"))</f>
        <v>General &amp; Administrative:G&amp;A- Travel Expenses:</v>
      </c>
      <c r="R98" s="7" t="str">
        <f t="array" ref="R98">IF($M98="Yes","Cost of Goods Sold:COGS- Personnel Expense:",IF($M98="No",XLOOKUP($P98,Key!$I:$I,Key!$K:$K),"Review Billable Status"))</f>
        <v>General &amp; Administrative:G&amp;A- Personnel Expenses:</v>
      </c>
      <c r="S98" s="10" t="str">
        <f t="array" ref="S98">IF($G98="Paid Intern","PD Intern",IF($G98="Contractor/Consultant","Contractor",XLOOKUP(M98&amp;P98,Key!$M:$M,Key!$L:$L)))</f>
        <v>PD Intern</v>
      </c>
      <c r="T98" s="5">
        <f t="shared" ref="T98:BA98" si="94">IF(OR($F98&gt;T$12,AND($G98="Terminated",T$12&gt;=$H98)),0,1)</f>
        <v>0</v>
      </c>
      <c r="U98" s="5">
        <f t="shared" si="94"/>
        <v>0</v>
      </c>
      <c r="V98" s="5">
        <f t="shared" si="94"/>
        <v>0</v>
      </c>
      <c r="W98" s="5">
        <f t="shared" si="94"/>
        <v>0</v>
      </c>
      <c r="X98" s="5">
        <f t="shared" si="94"/>
        <v>0</v>
      </c>
      <c r="Y98" s="5">
        <f t="shared" si="94"/>
        <v>0</v>
      </c>
      <c r="Z98" s="5">
        <f t="shared" si="94"/>
        <v>0</v>
      </c>
      <c r="AA98" s="5">
        <f t="shared" si="94"/>
        <v>0</v>
      </c>
      <c r="AB98" s="5">
        <f t="shared" si="94"/>
        <v>0</v>
      </c>
      <c r="AC98" s="5">
        <f t="shared" si="94"/>
        <v>0</v>
      </c>
      <c r="AD98" s="5">
        <f t="shared" si="94"/>
        <v>0</v>
      </c>
      <c r="AE98" s="5">
        <f t="shared" si="94"/>
        <v>0</v>
      </c>
      <c r="AF98" s="5">
        <f t="shared" si="94"/>
        <v>0</v>
      </c>
      <c r="AG98" s="5">
        <f t="shared" si="94"/>
        <v>0</v>
      </c>
      <c r="AH98" s="5">
        <f t="shared" si="94"/>
        <v>0</v>
      </c>
      <c r="AI98" s="5">
        <f t="shared" si="94"/>
        <v>0</v>
      </c>
      <c r="AJ98" s="5">
        <f t="shared" si="94"/>
        <v>0</v>
      </c>
      <c r="AK98" s="5">
        <f t="shared" si="94"/>
        <v>0</v>
      </c>
      <c r="AL98" s="5">
        <f t="shared" si="94"/>
        <v>0</v>
      </c>
      <c r="AM98" s="5">
        <f t="shared" si="94"/>
        <v>0</v>
      </c>
      <c r="AN98" s="5">
        <f t="shared" si="94"/>
        <v>0</v>
      </c>
      <c r="AO98" s="5">
        <f t="shared" si="94"/>
        <v>0</v>
      </c>
      <c r="AP98" s="5">
        <f t="shared" si="94"/>
        <v>0</v>
      </c>
      <c r="AQ98" s="5">
        <f t="shared" si="94"/>
        <v>0</v>
      </c>
      <c r="AR98" s="5">
        <f t="shared" si="94"/>
        <v>0</v>
      </c>
      <c r="AS98" s="5">
        <f t="shared" si="94"/>
        <v>0</v>
      </c>
      <c r="AT98" s="5">
        <f t="shared" si="94"/>
        <v>1</v>
      </c>
      <c r="AU98" s="5">
        <f t="shared" si="94"/>
        <v>1</v>
      </c>
      <c r="AV98" s="5">
        <f t="shared" si="94"/>
        <v>1</v>
      </c>
      <c r="AW98" s="5">
        <f t="shared" si="94"/>
        <v>1</v>
      </c>
      <c r="AX98" s="5">
        <f t="shared" si="94"/>
        <v>1</v>
      </c>
      <c r="AY98" s="5">
        <f t="shared" si="94"/>
        <v>1</v>
      </c>
      <c r="AZ98" s="5">
        <f t="shared" si="94"/>
        <v>1</v>
      </c>
      <c r="BA98" s="5">
        <f t="shared" si="94"/>
        <v>1</v>
      </c>
      <c r="BB98" s="8"/>
      <c r="BC98" s="8"/>
      <c r="BD98" s="8"/>
      <c r="BE98" s="8"/>
      <c r="BF98" s="8"/>
      <c r="BG98" s="8"/>
      <c r="BH98" s="8"/>
      <c r="BI98" s="8"/>
    </row>
    <row r="99" ht="12.75" customHeight="1">
      <c r="A99" s="4">
        <v>178.0</v>
      </c>
      <c r="B99" s="5" t="s">
        <v>380</v>
      </c>
      <c r="C99" s="5" t="s">
        <v>381</v>
      </c>
      <c r="D99" s="5" t="s">
        <v>382</v>
      </c>
      <c r="E99" s="5" t="s">
        <v>22</v>
      </c>
      <c r="F99" s="6">
        <v>45705.0</v>
      </c>
      <c r="G99" s="5" t="s">
        <v>23</v>
      </c>
      <c r="H99" s="6">
        <v>45705.0</v>
      </c>
      <c r="I99" s="5" t="s">
        <v>34</v>
      </c>
      <c r="J99" s="5" t="s">
        <v>35</v>
      </c>
      <c r="K99" s="5" t="s">
        <v>107</v>
      </c>
      <c r="L99" s="5" t="s">
        <v>51</v>
      </c>
      <c r="M99" s="5" t="s">
        <v>39</v>
      </c>
      <c r="N99" s="5" t="s">
        <v>52</v>
      </c>
      <c r="O99" s="5" t="s">
        <v>383</v>
      </c>
      <c r="P99" s="7" t="s">
        <v>38</v>
      </c>
      <c r="Q99" s="7" t="str">
        <f t="array" ref="Q99">IF($M99="Yes","Cost of Goods Sold:COGS- Travel Expenses:",IF($M99="No",XLOOKUP($P99,Key!$I:$I,Key!$J:$J),"Review Billable Status"))</f>
        <v>Cost of Goods Sold:COGS- Travel Expenses:</v>
      </c>
      <c r="R99" s="7" t="str">
        <f t="array" ref="R99">IF($M99="Yes","Cost of Goods Sold:COGS- Personnel Expense:",IF($M99="No",XLOOKUP($P99,Key!$I:$I,Key!$K:$K),"Review Billable Status"))</f>
        <v>Cost of Goods Sold:COGS- Personnel Expense:</v>
      </c>
      <c r="S99" s="10" t="str">
        <f t="array" ref="S99">IF($G99="Paid Intern","PD Intern",IF($G99="Contractor/Consultant","Contractor",XLOOKUP(M99&amp;P99,Key!$M:$M,Key!$L:$L)))</f>
        <v>COR</v>
      </c>
      <c r="T99" s="5">
        <f t="shared" ref="T99:BA99" si="95">IF(OR($F99&gt;T$12,AND($G99="Terminated",T$12&gt;=$H99)),0,1)</f>
        <v>0</v>
      </c>
      <c r="U99" s="5">
        <f t="shared" si="95"/>
        <v>0</v>
      </c>
      <c r="V99" s="5">
        <f t="shared" si="95"/>
        <v>0</v>
      </c>
      <c r="W99" s="5">
        <f t="shared" si="95"/>
        <v>0</v>
      </c>
      <c r="X99" s="5">
        <f t="shared" si="95"/>
        <v>0</v>
      </c>
      <c r="Y99" s="5">
        <f t="shared" si="95"/>
        <v>0</v>
      </c>
      <c r="Z99" s="5">
        <f t="shared" si="95"/>
        <v>0</v>
      </c>
      <c r="AA99" s="5">
        <f t="shared" si="95"/>
        <v>0</v>
      </c>
      <c r="AB99" s="5">
        <f t="shared" si="95"/>
        <v>0</v>
      </c>
      <c r="AC99" s="5">
        <f t="shared" si="95"/>
        <v>0</v>
      </c>
      <c r="AD99" s="5">
        <f t="shared" si="95"/>
        <v>0</v>
      </c>
      <c r="AE99" s="5">
        <f t="shared" si="95"/>
        <v>1</v>
      </c>
      <c r="AF99" s="5">
        <f t="shared" si="95"/>
        <v>1</v>
      </c>
      <c r="AG99" s="5">
        <f t="shared" si="95"/>
        <v>1</v>
      </c>
      <c r="AH99" s="5">
        <f t="shared" si="95"/>
        <v>1</v>
      </c>
      <c r="AI99" s="5">
        <f t="shared" si="95"/>
        <v>1</v>
      </c>
      <c r="AJ99" s="5">
        <f t="shared" si="95"/>
        <v>1</v>
      </c>
      <c r="AK99" s="5">
        <f t="shared" si="95"/>
        <v>1</v>
      </c>
      <c r="AL99" s="5">
        <f t="shared" si="95"/>
        <v>1</v>
      </c>
      <c r="AM99" s="5">
        <f t="shared" si="95"/>
        <v>1</v>
      </c>
      <c r="AN99" s="5">
        <f t="shared" si="95"/>
        <v>1</v>
      </c>
      <c r="AO99" s="5">
        <f t="shared" si="95"/>
        <v>1</v>
      </c>
      <c r="AP99" s="5">
        <f t="shared" si="95"/>
        <v>1</v>
      </c>
      <c r="AQ99" s="5">
        <f t="shared" si="95"/>
        <v>1</v>
      </c>
      <c r="AR99" s="5">
        <f t="shared" si="95"/>
        <v>1</v>
      </c>
      <c r="AS99" s="5">
        <f t="shared" si="95"/>
        <v>1</v>
      </c>
      <c r="AT99" s="5">
        <f t="shared" si="95"/>
        <v>1</v>
      </c>
      <c r="AU99" s="5">
        <f t="shared" si="95"/>
        <v>1</v>
      </c>
      <c r="AV99" s="5">
        <f t="shared" si="95"/>
        <v>1</v>
      </c>
      <c r="AW99" s="5">
        <f t="shared" si="95"/>
        <v>1</v>
      </c>
      <c r="AX99" s="5">
        <f t="shared" si="95"/>
        <v>1</v>
      </c>
      <c r="AY99" s="5">
        <f t="shared" si="95"/>
        <v>1</v>
      </c>
      <c r="AZ99" s="5">
        <f t="shared" si="95"/>
        <v>1</v>
      </c>
      <c r="BA99" s="5">
        <f t="shared" si="95"/>
        <v>1</v>
      </c>
      <c r="BB99" s="8"/>
      <c r="BC99" s="8"/>
      <c r="BD99" s="8"/>
      <c r="BE99" s="8"/>
      <c r="BF99" s="8"/>
      <c r="BG99" s="8"/>
      <c r="BH99" s="8"/>
      <c r="BI99" s="8"/>
    </row>
    <row r="100" ht="12.75" customHeight="1">
      <c r="A100" s="4">
        <v>180.0</v>
      </c>
      <c r="B100" s="5" t="s">
        <v>287</v>
      </c>
      <c r="C100" s="5" t="s">
        <v>384</v>
      </c>
      <c r="D100" s="5" t="s">
        <v>385</v>
      </c>
      <c r="E100" s="5" t="s">
        <v>22</v>
      </c>
      <c r="F100" s="6">
        <v>45693.0</v>
      </c>
      <c r="G100" s="5" t="s">
        <v>23</v>
      </c>
      <c r="H100" s="6">
        <v>45693.0</v>
      </c>
      <c r="I100" s="5" t="s">
        <v>34</v>
      </c>
      <c r="J100" s="5" t="s">
        <v>35</v>
      </c>
      <c r="K100" s="5" t="s">
        <v>36</v>
      </c>
      <c r="L100" s="5" t="s">
        <v>153</v>
      </c>
      <c r="M100" s="5" t="s">
        <v>39</v>
      </c>
      <c r="N100" s="5" t="s">
        <v>85</v>
      </c>
      <c r="O100" s="5" t="s">
        <v>386</v>
      </c>
      <c r="P100" s="7" t="s">
        <v>38</v>
      </c>
      <c r="Q100" s="7" t="str">
        <f t="array" ref="Q100">IF($M100="Yes","Cost of Goods Sold:COGS- Travel Expenses:",IF($M100="No",XLOOKUP($P100,Key!$I:$I,Key!$J:$J),"Review Billable Status"))</f>
        <v>Cost of Goods Sold:COGS- Travel Expenses:</v>
      </c>
      <c r="R100" s="7" t="str">
        <f t="array" ref="R100">IF($M100="Yes","Cost of Goods Sold:COGS- Personnel Expense:",IF($M100="No",XLOOKUP($P100,Key!$I:$I,Key!$K:$K),"Review Billable Status"))</f>
        <v>Cost of Goods Sold:COGS- Personnel Expense:</v>
      </c>
      <c r="S100" s="10" t="str">
        <f t="array" ref="S100">IF($G100="Paid Intern","PD Intern",IF($G100="Contractor/Consultant","Contractor",XLOOKUP(M100&amp;P100,Key!$M:$M,Key!$L:$L)))</f>
        <v>COR</v>
      </c>
      <c r="T100" s="5">
        <f t="shared" ref="T100:BA100" si="96">IF(OR($F100&gt;T$12,AND($G100="Terminated",T$12&gt;=$H100)),0,1)</f>
        <v>0</v>
      </c>
      <c r="U100" s="5">
        <f t="shared" si="96"/>
        <v>0</v>
      </c>
      <c r="V100" s="5">
        <f t="shared" si="96"/>
        <v>0</v>
      </c>
      <c r="W100" s="5">
        <f t="shared" si="96"/>
        <v>0</v>
      </c>
      <c r="X100" s="5">
        <f t="shared" si="96"/>
        <v>0</v>
      </c>
      <c r="Y100" s="5">
        <f t="shared" si="96"/>
        <v>0</v>
      </c>
      <c r="Z100" s="5">
        <f t="shared" si="96"/>
        <v>0</v>
      </c>
      <c r="AA100" s="5">
        <f t="shared" si="96"/>
        <v>0</v>
      </c>
      <c r="AB100" s="5">
        <f t="shared" si="96"/>
        <v>0</v>
      </c>
      <c r="AC100" s="5">
        <f t="shared" si="96"/>
        <v>0</v>
      </c>
      <c r="AD100" s="5">
        <f t="shared" si="96"/>
        <v>0</v>
      </c>
      <c r="AE100" s="5">
        <f t="shared" si="96"/>
        <v>1</v>
      </c>
      <c r="AF100" s="5">
        <f t="shared" si="96"/>
        <v>1</v>
      </c>
      <c r="AG100" s="5">
        <f t="shared" si="96"/>
        <v>1</v>
      </c>
      <c r="AH100" s="5">
        <f t="shared" si="96"/>
        <v>1</v>
      </c>
      <c r="AI100" s="5">
        <f t="shared" si="96"/>
        <v>1</v>
      </c>
      <c r="AJ100" s="5">
        <f t="shared" si="96"/>
        <v>1</v>
      </c>
      <c r="AK100" s="5">
        <f t="shared" si="96"/>
        <v>1</v>
      </c>
      <c r="AL100" s="5">
        <f t="shared" si="96"/>
        <v>1</v>
      </c>
      <c r="AM100" s="5">
        <f t="shared" si="96"/>
        <v>1</v>
      </c>
      <c r="AN100" s="5">
        <f t="shared" si="96"/>
        <v>1</v>
      </c>
      <c r="AO100" s="5">
        <f t="shared" si="96"/>
        <v>1</v>
      </c>
      <c r="AP100" s="5">
        <f t="shared" si="96"/>
        <v>1</v>
      </c>
      <c r="AQ100" s="5">
        <f t="shared" si="96"/>
        <v>1</v>
      </c>
      <c r="AR100" s="5">
        <f t="shared" si="96"/>
        <v>1</v>
      </c>
      <c r="AS100" s="5">
        <f t="shared" si="96"/>
        <v>1</v>
      </c>
      <c r="AT100" s="5">
        <f t="shared" si="96"/>
        <v>1</v>
      </c>
      <c r="AU100" s="5">
        <f t="shared" si="96"/>
        <v>1</v>
      </c>
      <c r="AV100" s="5">
        <f t="shared" si="96"/>
        <v>1</v>
      </c>
      <c r="AW100" s="5">
        <f t="shared" si="96"/>
        <v>1</v>
      </c>
      <c r="AX100" s="5">
        <f t="shared" si="96"/>
        <v>1</v>
      </c>
      <c r="AY100" s="5">
        <f t="shared" si="96"/>
        <v>1</v>
      </c>
      <c r="AZ100" s="5">
        <f t="shared" si="96"/>
        <v>1</v>
      </c>
      <c r="BA100" s="5">
        <f t="shared" si="96"/>
        <v>1</v>
      </c>
      <c r="BB100" s="8"/>
      <c r="BC100" s="8"/>
      <c r="BD100" s="8"/>
      <c r="BE100" s="8"/>
      <c r="BF100" s="8"/>
      <c r="BG100" s="8"/>
      <c r="BH100" s="8"/>
      <c r="BI100" s="8"/>
    </row>
    <row r="101" ht="12.75" customHeight="1">
      <c r="A101" s="4">
        <v>181.0</v>
      </c>
      <c r="B101" s="5" t="s">
        <v>387</v>
      </c>
      <c r="C101" s="5" t="s">
        <v>388</v>
      </c>
      <c r="D101" s="5" t="s">
        <v>389</v>
      </c>
      <c r="E101" s="5" t="s">
        <v>22</v>
      </c>
      <c r="F101" s="6">
        <v>45761.0</v>
      </c>
      <c r="G101" s="5" t="s">
        <v>23</v>
      </c>
      <c r="H101" s="6">
        <v>45761.0</v>
      </c>
      <c r="I101" s="5" t="s">
        <v>34</v>
      </c>
      <c r="J101" s="5" t="s">
        <v>130</v>
      </c>
      <c r="K101" s="5" t="s">
        <v>107</v>
      </c>
      <c r="L101" s="5" t="s">
        <v>279</v>
      </c>
      <c r="M101" s="5" t="s">
        <v>39</v>
      </c>
      <c r="N101" s="5" t="s">
        <v>85</v>
      </c>
      <c r="O101" s="5" t="s">
        <v>390</v>
      </c>
      <c r="P101" s="7" t="s">
        <v>132</v>
      </c>
      <c r="Q101" s="7" t="str">
        <f t="array" ref="Q101">IF($M101="Yes","Cost of Goods Sold:COGS- Travel Expenses:",IF($M101="No",XLOOKUP($P101,Key!$I:$I,Key!$J:$J),"Review Billable Status"))</f>
        <v>Cost of Goods Sold:COGS- Travel Expenses:</v>
      </c>
      <c r="R101" s="7" t="str">
        <f t="array" ref="R101">IF($M101="Yes","Cost of Goods Sold:COGS- Personnel Expense:",IF($M101="No",XLOOKUP($P101,Key!$I:$I,Key!$K:$K),"Review Billable Status"))</f>
        <v>Cost of Goods Sold:COGS- Personnel Expense:</v>
      </c>
      <c r="S101" s="10" t="str">
        <f t="array" ref="S101">IF($G101="Paid Intern","PD Intern",IF($G101="Contractor/Consultant","Contractor",XLOOKUP(M101&amp;P101,Key!$M:$M,Key!$L:$L)))</f>
        <v>COR</v>
      </c>
      <c r="T101" s="5">
        <f t="shared" ref="T101:BA101" si="97">IF(OR($F101&gt;T$12,AND($G101="Terminated",T$12&gt;=$H101)),0,1)</f>
        <v>0</v>
      </c>
      <c r="U101" s="5">
        <f t="shared" si="97"/>
        <v>0</v>
      </c>
      <c r="V101" s="5">
        <f t="shared" si="97"/>
        <v>0</v>
      </c>
      <c r="W101" s="5">
        <f t="shared" si="97"/>
        <v>0</v>
      </c>
      <c r="X101" s="5">
        <f t="shared" si="97"/>
        <v>0</v>
      </c>
      <c r="Y101" s="5">
        <f t="shared" si="97"/>
        <v>0</v>
      </c>
      <c r="Z101" s="5">
        <f t="shared" si="97"/>
        <v>0</v>
      </c>
      <c r="AA101" s="5">
        <f t="shared" si="97"/>
        <v>0</v>
      </c>
      <c r="AB101" s="5">
        <f t="shared" si="97"/>
        <v>0</v>
      </c>
      <c r="AC101" s="5">
        <f t="shared" si="97"/>
        <v>0</v>
      </c>
      <c r="AD101" s="5">
        <f t="shared" si="97"/>
        <v>0</v>
      </c>
      <c r="AE101" s="5">
        <f t="shared" si="97"/>
        <v>0</v>
      </c>
      <c r="AF101" s="5">
        <f t="shared" si="97"/>
        <v>0</v>
      </c>
      <c r="AG101" s="5">
        <f t="shared" si="97"/>
        <v>1</v>
      </c>
      <c r="AH101" s="5">
        <f t="shared" si="97"/>
        <v>1</v>
      </c>
      <c r="AI101" s="5">
        <f t="shared" si="97"/>
        <v>1</v>
      </c>
      <c r="AJ101" s="5">
        <f t="shared" si="97"/>
        <v>1</v>
      </c>
      <c r="AK101" s="5">
        <f t="shared" si="97"/>
        <v>1</v>
      </c>
      <c r="AL101" s="5">
        <f t="shared" si="97"/>
        <v>1</v>
      </c>
      <c r="AM101" s="5">
        <f t="shared" si="97"/>
        <v>1</v>
      </c>
      <c r="AN101" s="5">
        <f t="shared" si="97"/>
        <v>1</v>
      </c>
      <c r="AO101" s="5">
        <f t="shared" si="97"/>
        <v>1</v>
      </c>
      <c r="AP101" s="5">
        <f t="shared" si="97"/>
        <v>1</v>
      </c>
      <c r="AQ101" s="5">
        <f t="shared" si="97"/>
        <v>1</v>
      </c>
      <c r="AR101" s="5">
        <f t="shared" si="97"/>
        <v>1</v>
      </c>
      <c r="AS101" s="5">
        <f t="shared" si="97"/>
        <v>1</v>
      </c>
      <c r="AT101" s="5">
        <f t="shared" si="97"/>
        <v>1</v>
      </c>
      <c r="AU101" s="5">
        <f t="shared" si="97"/>
        <v>1</v>
      </c>
      <c r="AV101" s="5">
        <f t="shared" si="97"/>
        <v>1</v>
      </c>
      <c r="AW101" s="5">
        <f t="shared" si="97"/>
        <v>1</v>
      </c>
      <c r="AX101" s="5">
        <f t="shared" si="97"/>
        <v>1</v>
      </c>
      <c r="AY101" s="5">
        <f t="shared" si="97"/>
        <v>1</v>
      </c>
      <c r="AZ101" s="5">
        <f t="shared" si="97"/>
        <v>1</v>
      </c>
      <c r="BA101" s="5">
        <f t="shared" si="97"/>
        <v>1</v>
      </c>
      <c r="BB101" s="8"/>
      <c r="BC101" s="8"/>
      <c r="BD101" s="8"/>
      <c r="BE101" s="8"/>
      <c r="BF101" s="8"/>
      <c r="BG101" s="8"/>
      <c r="BH101" s="8"/>
      <c r="BI101" s="8"/>
    </row>
    <row r="102" ht="12.75" customHeight="1">
      <c r="A102" s="4">
        <v>183.0</v>
      </c>
      <c r="B102" s="5" t="s">
        <v>391</v>
      </c>
      <c r="C102" s="5" t="s">
        <v>392</v>
      </c>
      <c r="D102" s="5" t="s">
        <v>393</v>
      </c>
      <c r="E102" s="5" t="s">
        <v>112</v>
      </c>
      <c r="F102" s="6">
        <v>45734.0</v>
      </c>
      <c r="G102" s="5" t="s">
        <v>23</v>
      </c>
      <c r="H102" s="6">
        <v>45734.0</v>
      </c>
      <c r="I102" s="5" t="s">
        <v>64</v>
      </c>
      <c r="J102" s="5" t="s">
        <v>130</v>
      </c>
      <c r="K102" s="5" t="s">
        <v>25</v>
      </c>
      <c r="L102" s="5" t="s">
        <v>279</v>
      </c>
      <c r="M102" s="5" t="s">
        <v>39</v>
      </c>
      <c r="N102" s="5" t="s">
        <v>52</v>
      </c>
      <c r="O102" s="5" t="s">
        <v>30</v>
      </c>
      <c r="P102" s="7" t="s">
        <v>175</v>
      </c>
      <c r="Q102" s="7" t="str">
        <f t="array" ref="Q102">IF($M102="Yes","Cost of Goods Sold:COGS- Travel Expenses:",IF($M102="No",XLOOKUP($P102,Key!$I:$I,Key!$J:$J),"Review Billable Status"))</f>
        <v>Cost of Goods Sold:COGS- Travel Expenses:</v>
      </c>
      <c r="R102" s="7" t="str">
        <f t="array" ref="R102">IF($M102="Yes","Cost of Goods Sold:COGS- Personnel Expense:",IF($M102="No",XLOOKUP($P102,Key!$I:$I,Key!$K:$K),"Review Billable Status"))</f>
        <v>Cost of Goods Sold:COGS- Personnel Expense:</v>
      </c>
      <c r="S102" s="10" t="str">
        <f t="array" ref="S102">IF($G102="Paid Intern","PD Intern",IF($G102="Contractor/Consultant","Contractor",XLOOKUP(M102&amp;P102,Key!$M:$M,Key!$L:$L)))</f>
        <v>COR</v>
      </c>
      <c r="T102" s="5">
        <f t="shared" ref="T102:BA102" si="98">IF(OR($F102&gt;T$12,AND($G102="Terminated",T$12&gt;=$H102)),0,1)</f>
        <v>0</v>
      </c>
      <c r="U102" s="5">
        <f t="shared" si="98"/>
        <v>0</v>
      </c>
      <c r="V102" s="5">
        <f t="shared" si="98"/>
        <v>0</v>
      </c>
      <c r="W102" s="5">
        <f t="shared" si="98"/>
        <v>0</v>
      </c>
      <c r="X102" s="5">
        <f t="shared" si="98"/>
        <v>0</v>
      </c>
      <c r="Y102" s="5">
        <f t="shared" si="98"/>
        <v>0</v>
      </c>
      <c r="Z102" s="5">
        <f t="shared" si="98"/>
        <v>0</v>
      </c>
      <c r="AA102" s="5">
        <f t="shared" si="98"/>
        <v>0</v>
      </c>
      <c r="AB102" s="5">
        <f t="shared" si="98"/>
        <v>0</v>
      </c>
      <c r="AC102" s="5">
        <f t="shared" si="98"/>
        <v>0</v>
      </c>
      <c r="AD102" s="5">
        <f t="shared" si="98"/>
        <v>0</v>
      </c>
      <c r="AE102" s="5">
        <f t="shared" si="98"/>
        <v>0</v>
      </c>
      <c r="AF102" s="5">
        <f t="shared" si="98"/>
        <v>1</v>
      </c>
      <c r="AG102" s="5">
        <f t="shared" si="98"/>
        <v>1</v>
      </c>
      <c r="AH102" s="5">
        <f t="shared" si="98"/>
        <v>1</v>
      </c>
      <c r="AI102" s="5">
        <f t="shared" si="98"/>
        <v>1</v>
      </c>
      <c r="AJ102" s="5">
        <f t="shared" si="98"/>
        <v>1</v>
      </c>
      <c r="AK102" s="5">
        <f t="shared" si="98"/>
        <v>1</v>
      </c>
      <c r="AL102" s="5">
        <f t="shared" si="98"/>
        <v>1</v>
      </c>
      <c r="AM102" s="5">
        <f t="shared" si="98"/>
        <v>1</v>
      </c>
      <c r="AN102" s="5">
        <f t="shared" si="98"/>
        <v>1</v>
      </c>
      <c r="AO102" s="5">
        <f t="shared" si="98"/>
        <v>1</v>
      </c>
      <c r="AP102" s="5">
        <f t="shared" si="98"/>
        <v>1</v>
      </c>
      <c r="AQ102" s="5">
        <f t="shared" si="98"/>
        <v>1</v>
      </c>
      <c r="AR102" s="5">
        <f t="shared" si="98"/>
        <v>1</v>
      </c>
      <c r="AS102" s="5">
        <f t="shared" si="98"/>
        <v>1</v>
      </c>
      <c r="AT102" s="5">
        <f t="shared" si="98"/>
        <v>1</v>
      </c>
      <c r="AU102" s="5">
        <f t="shared" si="98"/>
        <v>1</v>
      </c>
      <c r="AV102" s="5">
        <f t="shared" si="98"/>
        <v>1</v>
      </c>
      <c r="AW102" s="5">
        <f t="shared" si="98"/>
        <v>1</v>
      </c>
      <c r="AX102" s="5">
        <f t="shared" si="98"/>
        <v>1</v>
      </c>
      <c r="AY102" s="5">
        <f t="shared" si="98"/>
        <v>1</v>
      </c>
      <c r="AZ102" s="5">
        <f t="shared" si="98"/>
        <v>1</v>
      </c>
      <c r="BA102" s="5">
        <f t="shared" si="98"/>
        <v>1</v>
      </c>
      <c r="BB102" s="8"/>
      <c r="BC102" s="8"/>
      <c r="BD102" s="8"/>
      <c r="BE102" s="8"/>
      <c r="BF102" s="8"/>
      <c r="BG102" s="8"/>
      <c r="BH102" s="8"/>
      <c r="BI102" s="8"/>
    </row>
    <row r="103" ht="12.75" customHeight="1">
      <c r="A103" s="4">
        <v>184.0</v>
      </c>
      <c r="B103" s="5" t="s">
        <v>394</v>
      </c>
      <c r="C103" s="5" t="s">
        <v>395</v>
      </c>
      <c r="D103" s="5" t="s">
        <v>396</v>
      </c>
      <c r="E103" s="5" t="s">
        <v>22</v>
      </c>
      <c r="F103" s="6">
        <v>45804.0</v>
      </c>
      <c r="G103" s="5" t="s">
        <v>377</v>
      </c>
      <c r="H103" s="6">
        <v>45804.0</v>
      </c>
      <c r="I103" s="5" t="s">
        <v>24</v>
      </c>
      <c r="J103" s="5" t="s">
        <v>57</v>
      </c>
      <c r="K103" s="5" t="s">
        <v>25</v>
      </c>
      <c r="L103" s="5" t="s">
        <v>397</v>
      </c>
      <c r="M103" s="5" t="s">
        <v>28</v>
      </c>
      <c r="N103" s="5" t="s">
        <v>379</v>
      </c>
      <c r="O103" s="5" t="s">
        <v>30</v>
      </c>
      <c r="P103" s="7" t="s">
        <v>199</v>
      </c>
      <c r="Q103" s="7" t="str">
        <f t="array" ref="Q103">IF($M103="Yes","Cost of Goods Sold:COGS- Travel Expenses:",IF($M103="No",XLOOKUP($P103,Key!$I:$I,Key!$J:$J),"Review Billable Status"))</f>
        <v>General &amp; Administrative:G&amp;A- Travel Expenses:</v>
      </c>
      <c r="R103" s="7" t="str">
        <f t="array" ref="R103">IF($M103="Yes","Cost of Goods Sold:COGS- Personnel Expense:",IF($M103="No",XLOOKUP($P103,Key!$I:$I,Key!$K:$K),"Review Billable Status"))</f>
        <v>General &amp; Administrative:G&amp;A- Personnel Expenses:</v>
      </c>
      <c r="S103" s="10" t="str">
        <f t="array" ref="S103">IF($G103="Paid Intern","PD Intern",IF($G103="Contractor/Consultant","Contractor",XLOOKUP(M103&amp;P103,Key!$M:$M,Key!$L:$L)))</f>
        <v>PD Intern</v>
      </c>
      <c r="T103" s="5">
        <f t="shared" ref="T103:BA103" si="99">IF(OR($F103&gt;T$12,AND($G103="Terminated",T$12&gt;=$H103)),0,1)</f>
        <v>0</v>
      </c>
      <c r="U103" s="5">
        <f t="shared" si="99"/>
        <v>0</v>
      </c>
      <c r="V103" s="5">
        <f t="shared" si="99"/>
        <v>0</v>
      </c>
      <c r="W103" s="5">
        <f t="shared" si="99"/>
        <v>0</v>
      </c>
      <c r="X103" s="5">
        <f t="shared" si="99"/>
        <v>0</v>
      </c>
      <c r="Y103" s="5">
        <f t="shared" si="99"/>
        <v>0</v>
      </c>
      <c r="Z103" s="5">
        <f t="shared" si="99"/>
        <v>0</v>
      </c>
      <c r="AA103" s="5">
        <f t="shared" si="99"/>
        <v>0</v>
      </c>
      <c r="AB103" s="5">
        <f t="shared" si="99"/>
        <v>0</v>
      </c>
      <c r="AC103" s="5">
        <f t="shared" si="99"/>
        <v>0</v>
      </c>
      <c r="AD103" s="5">
        <f t="shared" si="99"/>
        <v>0</v>
      </c>
      <c r="AE103" s="5">
        <f t="shared" si="99"/>
        <v>0</v>
      </c>
      <c r="AF103" s="5">
        <f t="shared" si="99"/>
        <v>0</v>
      </c>
      <c r="AG103" s="5">
        <f t="shared" si="99"/>
        <v>0</v>
      </c>
      <c r="AH103" s="5">
        <f t="shared" si="99"/>
        <v>1</v>
      </c>
      <c r="AI103" s="5">
        <f t="shared" si="99"/>
        <v>1</v>
      </c>
      <c r="AJ103" s="5">
        <f t="shared" si="99"/>
        <v>1</v>
      </c>
      <c r="AK103" s="5">
        <f t="shared" si="99"/>
        <v>1</v>
      </c>
      <c r="AL103" s="5">
        <f t="shared" si="99"/>
        <v>1</v>
      </c>
      <c r="AM103" s="5">
        <f t="shared" si="99"/>
        <v>1</v>
      </c>
      <c r="AN103" s="5">
        <f t="shared" si="99"/>
        <v>1</v>
      </c>
      <c r="AO103" s="5">
        <f t="shared" si="99"/>
        <v>1</v>
      </c>
      <c r="AP103" s="5">
        <f t="shared" si="99"/>
        <v>1</v>
      </c>
      <c r="AQ103" s="5">
        <f t="shared" si="99"/>
        <v>1</v>
      </c>
      <c r="AR103" s="5">
        <f t="shared" si="99"/>
        <v>1</v>
      </c>
      <c r="AS103" s="5">
        <f t="shared" si="99"/>
        <v>1</v>
      </c>
      <c r="AT103" s="5">
        <f t="shared" si="99"/>
        <v>1</v>
      </c>
      <c r="AU103" s="5">
        <f t="shared" si="99"/>
        <v>1</v>
      </c>
      <c r="AV103" s="5">
        <f t="shared" si="99"/>
        <v>1</v>
      </c>
      <c r="AW103" s="5">
        <f t="shared" si="99"/>
        <v>1</v>
      </c>
      <c r="AX103" s="5">
        <f t="shared" si="99"/>
        <v>1</v>
      </c>
      <c r="AY103" s="5">
        <f t="shared" si="99"/>
        <v>1</v>
      </c>
      <c r="AZ103" s="5">
        <f t="shared" si="99"/>
        <v>1</v>
      </c>
      <c r="BA103" s="5">
        <f t="shared" si="99"/>
        <v>1</v>
      </c>
      <c r="BB103" s="8"/>
      <c r="BC103" s="8"/>
      <c r="BD103" s="8"/>
      <c r="BE103" s="8"/>
      <c r="BF103" s="8"/>
      <c r="BG103" s="8"/>
      <c r="BH103" s="8"/>
      <c r="BI103" s="8"/>
    </row>
    <row r="104" ht="12.75" customHeight="1">
      <c r="A104" s="4">
        <v>187.0</v>
      </c>
      <c r="B104" s="5" t="s">
        <v>342</v>
      </c>
      <c r="C104" s="5" t="s">
        <v>398</v>
      </c>
      <c r="D104" s="5" t="s">
        <v>399</v>
      </c>
      <c r="E104" s="5" t="s">
        <v>22</v>
      </c>
      <c r="F104" s="6">
        <v>45748.0</v>
      </c>
      <c r="G104" s="5" t="s">
        <v>23</v>
      </c>
      <c r="H104" s="6">
        <v>45748.0</v>
      </c>
      <c r="I104" s="5" t="s">
        <v>24</v>
      </c>
      <c r="J104" s="5" t="s">
        <v>45</v>
      </c>
      <c r="K104" s="5" t="s">
        <v>25</v>
      </c>
      <c r="L104" s="5" t="s">
        <v>400</v>
      </c>
      <c r="M104" s="5" t="s">
        <v>28</v>
      </c>
      <c r="N104" s="5" t="s">
        <v>200</v>
      </c>
      <c r="O104" s="5" t="s">
        <v>30</v>
      </c>
      <c r="P104" s="7" t="s">
        <v>199</v>
      </c>
      <c r="Q104" s="7" t="str">
        <f t="array" ref="Q104">IF($M104="Yes","Cost of Goods Sold:COGS- Travel Expenses:",IF($M104="No",XLOOKUP($P104,Key!$I:$I,Key!$J:$J),"Review Billable Status"))</f>
        <v>General &amp; Administrative:G&amp;A- Travel Expenses:</v>
      </c>
      <c r="R104" s="7" t="str">
        <f t="array" ref="R104">IF($M104="Yes","Cost of Goods Sold:COGS- Personnel Expense:",IF($M104="No",XLOOKUP($P104,Key!$I:$I,Key!$K:$K),"Review Billable Status"))</f>
        <v>General &amp; Administrative:G&amp;A- Personnel Expenses:</v>
      </c>
      <c r="S104" s="10" t="str">
        <f t="array" ref="S104">IF($G104="Paid Intern","PD Intern",IF($G104="Contractor/Consultant","Contractor",XLOOKUP(M104&amp;P104,Key!$M:$M,Key!$L:$L)))</f>
        <v>G&amp;A</v>
      </c>
      <c r="T104" s="5">
        <f t="shared" ref="T104:BA104" si="100">IF(OR($F104&gt;T$12,AND($G104="Terminated",T$12&gt;=$H104)),0,1)</f>
        <v>0</v>
      </c>
      <c r="U104" s="5">
        <f t="shared" si="100"/>
        <v>0</v>
      </c>
      <c r="V104" s="5">
        <f t="shared" si="100"/>
        <v>0</v>
      </c>
      <c r="W104" s="5">
        <f t="shared" si="100"/>
        <v>0</v>
      </c>
      <c r="X104" s="5">
        <f t="shared" si="100"/>
        <v>0</v>
      </c>
      <c r="Y104" s="5">
        <f t="shared" si="100"/>
        <v>0</v>
      </c>
      <c r="Z104" s="5">
        <f t="shared" si="100"/>
        <v>0</v>
      </c>
      <c r="AA104" s="5">
        <f t="shared" si="100"/>
        <v>0</v>
      </c>
      <c r="AB104" s="5">
        <f t="shared" si="100"/>
        <v>0</v>
      </c>
      <c r="AC104" s="5">
        <f t="shared" si="100"/>
        <v>0</v>
      </c>
      <c r="AD104" s="5">
        <f t="shared" si="100"/>
        <v>0</v>
      </c>
      <c r="AE104" s="5">
        <f t="shared" si="100"/>
        <v>0</v>
      </c>
      <c r="AF104" s="5">
        <f t="shared" si="100"/>
        <v>0</v>
      </c>
      <c r="AG104" s="5">
        <f t="shared" si="100"/>
        <v>1</v>
      </c>
      <c r="AH104" s="5">
        <f t="shared" si="100"/>
        <v>1</v>
      </c>
      <c r="AI104" s="5">
        <f t="shared" si="100"/>
        <v>1</v>
      </c>
      <c r="AJ104" s="5">
        <f t="shared" si="100"/>
        <v>1</v>
      </c>
      <c r="AK104" s="5">
        <f t="shared" si="100"/>
        <v>1</v>
      </c>
      <c r="AL104" s="5">
        <f t="shared" si="100"/>
        <v>1</v>
      </c>
      <c r="AM104" s="5">
        <f t="shared" si="100"/>
        <v>1</v>
      </c>
      <c r="AN104" s="5">
        <f t="shared" si="100"/>
        <v>1</v>
      </c>
      <c r="AO104" s="5">
        <f t="shared" si="100"/>
        <v>1</v>
      </c>
      <c r="AP104" s="5">
        <f t="shared" si="100"/>
        <v>1</v>
      </c>
      <c r="AQ104" s="5">
        <f t="shared" si="100"/>
        <v>1</v>
      </c>
      <c r="AR104" s="5">
        <f t="shared" si="100"/>
        <v>1</v>
      </c>
      <c r="AS104" s="5">
        <f t="shared" si="100"/>
        <v>1</v>
      </c>
      <c r="AT104" s="5">
        <f t="shared" si="100"/>
        <v>1</v>
      </c>
      <c r="AU104" s="5">
        <f t="shared" si="100"/>
        <v>1</v>
      </c>
      <c r="AV104" s="5">
        <f t="shared" si="100"/>
        <v>1</v>
      </c>
      <c r="AW104" s="5">
        <f t="shared" si="100"/>
        <v>1</v>
      </c>
      <c r="AX104" s="5">
        <f t="shared" si="100"/>
        <v>1</v>
      </c>
      <c r="AY104" s="5">
        <f t="shared" si="100"/>
        <v>1</v>
      </c>
      <c r="AZ104" s="5">
        <f t="shared" si="100"/>
        <v>1</v>
      </c>
      <c r="BA104" s="5">
        <f t="shared" si="100"/>
        <v>1</v>
      </c>
      <c r="BB104" s="8"/>
      <c r="BC104" s="8"/>
      <c r="BD104" s="8"/>
      <c r="BE104" s="8"/>
      <c r="BF104" s="8"/>
      <c r="BG104" s="8"/>
      <c r="BH104" s="8"/>
      <c r="BI104" s="8"/>
    </row>
    <row r="105" ht="12.75" customHeight="1">
      <c r="A105" s="4">
        <v>189.0</v>
      </c>
      <c r="B105" s="5" t="s">
        <v>305</v>
      </c>
      <c r="C105" s="5" t="s">
        <v>401</v>
      </c>
      <c r="D105" s="5" t="s">
        <v>402</v>
      </c>
      <c r="E105" s="5" t="s">
        <v>22</v>
      </c>
      <c r="F105" s="6">
        <v>45768.0</v>
      </c>
      <c r="G105" s="5" t="s">
        <v>23</v>
      </c>
      <c r="H105" s="6">
        <v>45768.0</v>
      </c>
      <c r="I105" s="5" t="s">
        <v>64</v>
      </c>
      <c r="J105" s="5" t="s">
        <v>35</v>
      </c>
      <c r="K105" s="5" t="s">
        <v>25</v>
      </c>
      <c r="L105" s="5" t="s">
        <v>334</v>
      </c>
      <c r="M105" s="5" t="s">
        <v>39</v>
      </c>
      <c r="N105" s="5" t="s">
        <v>85</v>
      </c>
      <c r="O105" s="5" t="s">
        <v>60</v>
      </c>
      <c r="P105" s="7" t="s">
        <v>75</v>
      </c>
      <c r="Q105" s="7" t="str">
        <f t="array" ref="Q105">IF($M105="Yes","Cost of Goods Sold:COGS- Travel Expenses:",IF($M105="No",XLOOKUP($P105,Key!$I:$I,Key!$J:$J),"Review Billable Status"))</f>
        <v>Cost of Goods Sold:COGS- Travel Expenses:</v>
      </c>
      <c r="R105" s="7" t="str">
        <f t="array" ref="R105">IF($M105="Yes","Cost of Goods Sold:COGS- Personnel Expense:",IF($M105="No",XLOOKUP($P105,Key!$I:$I,Key!$K:$K),"Review Billable Status"))</f>
        <v>Cost of Goods Sold:COGS- Personnel Expense:</v>
      </c>
      <c r="S105" s="10" t="str">
        <f t="array" ref="S105">IF($G105="Paid Intern","PD Intern",IF($G105="Contractor/Consultant","Contractor",XLOOKUP(M105&amp;P105,Key!$M:$M,Key!$L:$L)))</f>
        <v>COR</v>
      </c>
      <c r="T105" s="5">
        <f t="shared" ref="T105:BA105" si="101">IF(OR($F105&gt;T$12,AND($G105="Terminated",T$12&gt;=$H105)),0,1)</f>
        <v>0</v>
      </c>
      <c r="U105" s="5">
        <f t="shared" si="101"/>
        <v>0</v>
      </c>
      <c r="V105" s="5">
        <f t="shared" si="101"/>
        <v>0</v>
      </c>
      <c r="W105" s="5">
        <f t="shared" si="101"/>
        <v>0</v>
      </c>
      <c r="X105" s="5">
        <f t="shared" si="101"/>
        <v>0</v>
      </c>
      <c r="Y105" s="5">
        <f t="shared" si="101"/>
        <v>0</v>
      </c>
      <c r="Z105" s="5">
        <f t="shared" si="101"/>
        <v>0</v>
      </c>
      <c r="AA105" s="5">
        <f t="shared" si="101"/>
        <v>0</v>
      </c>
      <c r="AB105" s="5">
        <f t="shared" si="101"/>
        <v>0</v>
      </c>
      <c r="AC105" s="5">
        <f t="shared" si="101"/>
        <v>0</v>
      </c>
      <c r="AD105" s="5">
        <f t="shared" si="101"/>
        <v>0</v>
      </c>
      <c r="AE105" s="5">
        <f t="shared" si="101"/>
        <v>0</v>
      </c>
      <c r="AF105" s="5">
        <f t="shared" si="101"/>
        <v>0</v>
      </c>
      <c r="AG105" s="5">
        <f t="shared" si="101"/>
        <v>1</v>
      </c>
      <c r="AH105" s="5">
        <f t="shared" si="101"/>
        <v>1</v>
      </c>
      <c r="AI105" s="5">
        <f t="shared" si="101"/>
        <v>1</v>
      </c>
      <c r="AJ105" s="5">
        <f t="shared" si="101"/>
        <v>1</v>
      </c>
      <c r="AK105" s="5">
        <f t="shared" si="101"/>
        <v>1</v>
      </c>
      <c r="AL105" s="5">
        <f t="shared" si="101"/>
        <v>1</v>
      </c>
      <c r="AM105" s="5">
        <f t="shared" si="101"/>
        <v>1</v>
      </c>
      <c r="AN105" s="5">
        <f t="shared" si="101"/>
        <v>1</v>
      </c>
      <c r="AO105" s="5">
        <f t="shared" si="101"/>
        <v>1</v>
      </c>
      <c r="AP105" s="5">
        <f t="shared" si="101"/>
        <v>1</v>
      </c>
      <c r="AQ105" s="5">
        <f t="shared" si="101"/>
        <v>1</v>
      </c>
      <c r="AR105" s="5">
        <f t="shared" si="101"/>
        <v>1</v>
      </c>
      <c r="AS105" s="5">
        <f t="shared" si="101"/>
        <v>1</v>
      </c>
      <c r="AT105" s="5">
        <f t="shared" si="101"/>
        <v>1</v>
      </c>
      <c r="AU105" s="5">
        <f t="shared" si="101"/>
        <v>1</v>
      </c>
      <c r="AV105" s="5">
        <f t="shared" si="101"/>
        <v>1</v>
      </c>
      <c r="AW105" s="5">
        <f t="shared" si="101"/>
        <v>1</v>
      </c>
      <c r="AX105" s="5">
        <f t="shared" si="101"/>
        <v>1</v>
      </c>
      <c r="AY105" s="5">
        <f t="shared" si="101"/>
        <v>1</v>
      </c>
      <c r="AZ105" s="5">
        <f t="shared" si="101"/>
        <v>1</v>
      </c>
      <c r="BA105" s="5">
        <f t="shared" si="101"/>
        <v>1</v>
      </c>
      <c r="BB105" s="8"/>
      <c r="BC105" s="8"/>
      <c r="BD105" s="8"/>
      <c r="BE105" s="8"/>
      <c r="BF105" s="8"/>
      <c r="BG105" s="8"/>
      <c r="BH105" s="8"/>
      <c r="BI105" s="8"/>
    </row>
    <row r="106" ht="12.75" customHeight="1">
      <c r="A106" s="4">
        <v>190.0</v>
      </c>
      <c r="B106" s="5" t="s">
        <v>403</v>
      </c>
      <c r="C106" s="5" t="s">
        <v>404</v>
      </c>
      <c r="D106" s="5" t="s">
        <v>405</v>
      </c>
      <c r="E106" s="5" t="s">
        <v>22</v>
      </c>
      <c r="F106" s="6">
        <v>45810.0</v>
      </c>
      <c r="G106" s="5" t="s">
        <v>23</v>
      </c>
      <c r="H106" s="6">
        <v>45810.0</v>
      </c>
      <c r="I106" s="5" t="s">
        <v>34</v>
      </c>
      <c r="J106" s="5" t="s">
        <v>45</v>
      </c>
      <c r="K106" s="5" t="s">
        <v>107</v>
      </c>
      <c r="L106" s="5" t="s">
        <v>126</v>
      </c>
      <c r="M106" s="5" t="s">
        <v>28</v>
      </c>
      <c r="N106" s="5" t="s">
        <v>85</v>
      </c>
      <c r="O106" s="5" t="s">
        <v>108</v>
      </c>
      <c r="P106" s="7" t="s">
        <v>47</v>
      </c>
      <c r="Q106" s="7" t="str">
        <f t="array" ref="Q106">IF($M106="Yes","Cost of Goods Sold:COGS- Travel Expenses:",IF($M106="No",XLOOKUP($P106,Key!$I:$I,Key!$J:$J),"Review Billable Status"))</f>
        <v>Sales &amp; Marketing:Sales &amp; Marketing- Travel Expenses:</v>
      </c>
      <c r="R106" s="7" t="str">
        <f t="array" ref="R106">IF($M106="Yes","Cost of Goods Sold:COGS- Personnel Expense:",IF($M106="No",XLOOKUP($P106,Key!$I:$I,Key!$K:$K),"Review Billable Status"))</f>
        <v>Sales &amp; Marketing:Sales &amp; Marketing- Personnel Expenses:</v>
      </c>
      <c r="S106" s="10" t="str">
        <f t="array" ref="S106">IF($G106="Paid Intern","PD Intern",IF($G106="Contractor/Consultant","Contractor",XLOOKUP(M106&amp;P106,Key!$M:$M,Key!$L:$L)))</f>
        <v>S&amp;M</v>
      </c>
      <c r="T106" s="5">
        <f t="shared" ref="T106:BA106" si="102">IF(OR($F106&gt;T$12,AND($G106="Terminated",T$12&gt;=$H106)),0,1)</f>
        <v>0</v>
      </c>
      <c r="U106" s="5">
        <f t="shared" si="102"/>
        <v>0</v>
      </c>
      <c r="V106" s="5">
        <f t="shared" si="102"/>
        <v>0</v>
      </c>
      <c r="W106" s="5">
        <f t="shared" si="102"/>
        <v>0</v>
      </c>
      <c r="X106" s="5">
        <f t="shared" si="102"/>
        <v>0</v>
      </c>
      <c r="Y106" s="5">
        <f t="shared" si="102"/>
        <v>0</v>
      </c>
      <c r="Z106" s="5">
        <f t="shared" si="102"/>
        <v>0</v>
      </c>
      <c r="AA106" s="5">
        <f t="shared" si="102"/>
        <v>0</v>
      </c>
      <c r="AB106" s="5">
        <f t="shared" si="102"/>
        <v>0</v>
      </c>
      <c r="AC106" s="5">
        <f t="shared" si="102"/>
        <v>0</v>
      </c>
      <c r="AD106" s="5">
        <f t="shared" si="102"/>
        <v>0</v>
      </c>
      <c r="AE106" s="5">
        <f t="shared" si="102"/>
        <v>0</v>
      </c>
      <c r="AF106" s="5">
        <f t="shared" si="102"/>
        <v>0</v>
      </c>
      <c r="AG106" s="5">
        <f t="shared" si="102"/>
        <v>0</v>
      </c>
      <c r="AH106" s="5">
        <f t="shared" si="102"/>
        <v>0</v>
      </c>
      <c r="AI106" s="5">
        <f t="shared" si="102"/>
        <v>1</v>
      </c>
      <c r="AJ106" s="5">
        <f t="shared" si="102"/>
        <v>1</v>
      </c>
      <c r="AK106" s="5">
        <f t="shared" si="102"/>
        <v>1</v>
      </c>
      <c r="AL106" s="5">
        <f t="shared" si="102"/>
        <v>1</v>
      </c>
      <c r="AM106" s="5">
        <f t="shared" si="102"/>
        <v>1</v>
      </c>
      <c r="AN106" s="5">
        <f t="shared" si="102"/>
        <v>1</v>
      </c>
      <c r="AO106" s="5">
        <f t="shared" si="102"/>
        <v>1</v>
      </c>
      <c r="AP106" s="5">
        <f t="shared" si="102"/>
        <v>1</v>
      </c>
      <c r="AQ106" s="5">
        <f t="shared" si="102"/>
        <v>1</v>
      </c>
      <c r="AR106" s="5">
        <f t="shared" si="102"/>
        <v>1</v>
      </c>
      <c r="AS106" s="5">
        <f t="shared" si="102"/>
        <v>1</v>
      </c>
      <c r="AT106" s="5">
        <f t="shared" si="102"/>
        <v>1</v>
      </c>
      <c r="AU106" s="5">
        <f t="shared" si="102"/>
        <v>1</v>
      </c>
      <c r="AV106" s="5">
        <f t="shared" si="102"/>
        <v>1</v>
      </c>
      <c r="AW106" s="5">
        <f t="shared" si="102"/>
        <v>1</v>
      </c>
      <c r="AX106" s="5">
        <f t="shared" si="102"/>
        <v>1</v>
      </c>
      <c r="AY106" s="5">
        <f t="shared" si="102"/>
        <v>1</v>
      </c>
      <c r="AZ106" s="5">
        <f t="shared" si="102"/>
        <v>1</v>
      </c>
      <c r="BA106" s="5">
        <f t="shared" si="102"/>
        <v>1</v>
      </c>
      <c r="BB106" s="8"/>
      <c r="BC106" s="8"/>
      <c r="BD106" s="8"/>
      <c r="BE106" s="8"/>
      <c r="BF106" s="8"/>
      <c r="BG106" s="8"/>
      <c r="BH106" s="8"/>
      <c r="BI106" s="8"/>
    </row>
    <row r="107" ht="12.75" customHeight="1">
      <c r="A107" s="4">
        <v>191.0</v>
      </c>
      <c r="B107" s="5" t="s">
        <v>406</v>
      </c>
      <c r="C107" s="5" t="s">
        <v>407</v>
      </c>
      <c r="D107" s="5" t="s">
        <v>408</v>
      </c>
      <c r="E107" s="5" t="s">
        <v>22</v>
      </c>
      <c r="F107" s="6">
        <v>45789.0</v>
      </c>
      <c r="G107" s="5" t="s">
        <v>23</v>
      </c>
      <c r="H107" s="6">
        <v>45903.0</v>
      </c>
      <c r="I107" s="5" t="s">
        <v>34</v>
      </c>
      <c r="J107" s="5" t="s">
        <v>35</v>
      </c>
      <c r="K107" s="5" t="s">
        <v>25</v>
      </c>
      <c r="L107" s="5" t="s">
        <v>153</v>
      </c>
      <c r="M107" s="5" t="s">
        <v>39</v>
      </c>
      <c r="N107" s="5" t="s">
        <v>85</v>
      </c>
      <c r="O107" s="5" t="s">
        <v>30</v>
      </c>
      <c r="P107" s="7" t="s">
        <v>38</v>
      </c>
      <c r="Q107" s="7" t="str">
        <f t="array" ref="Q107">IF($M107="Yes","Cost of Goods Sold:COGS- Travel Expenses:",IF($M107="No",XLOOKUP($P107,Key!$I:$I,Key!$J:$J),"Review Billable Status"))</f>
        <v>Cost of Goods Sold:COGS- Travel Expenses:</v>
      </c>
      <c r="R107" s="7" t="str">
        <f t="array" ref="R107">IF($M107="Yes","Cost of Goods Sold:COGS- Personnel Expense:",IF($M107="No",XLOOKUP($P107,Key!$I:$I,Key!$K:$K),"Review Billable Status"))</f>
        <v>Cost of Goods Sold:COGS- Personnel Expense:</v>
      </c>
      <c r="S107" s="10" t="str">
        <f t="array" ref="S107">IF($G107="Paid Intern","PD Intern",IF($G107="Contractor/Consultant","Contractor",XLOOKUP(M107&amp;P107,Key!$M:$M,Key!$L:$L)))</f>
        <v>COR</v>
      </c>
      <c r="T107" s="5">
        <f t="shared" ref="T107:BA107" si="103">IF(OR($F107&gt;T$12,AND($G107="Terminated",T$12&gt;=$H107)),0,1)</f>
        <v>0</v>
      </c>
      <c r="U107" s="5">
        <f t="shared" si="103"/>
        <v>0</v>
      </c>
      <c r="V107" s="5">
        <f t="shared" si="103"/>
        <v>0</v>
      </c>
      <c r="W107" s="5">
        <f t="shared" si="103"/>
        <v>0</v>
      </c>
      <c r="X107" s="5">
        <f t="shared" si="103"/>
        <v>0</v>
      </c>
      <c r="Y107" s="5">
        <f t="shared" si="103"/>
        <v>0</v>
      </c>
      <c r="Z107" s="5">
        <f t="shared" si="103"/>
        <v>0</v>
      </c>
      <c r="AA107" s="5">
        <f t="shared" si="103"/>
        <v>0</v>
      </c>
      <c r="AB107" s="5">
        <f t="shared" si="103"/>
        <v>0</v>
      </c>
      <c r="AC107" s="5">
        <f t="shared" si="103"/>
        <v>0</v>
      </c>
      <c r="AD107" s="5">
        <f t="shared" si="103"/>
        <v>0</v>
      </c>
      <c r="AE107" s="5">
        <f t="shared" si="103"/>
        <v>0</v>
      </c>
      <c r="AF107" s="5">
        <f t="shared" si="103"/>
        <v>0</v>
      </c>
      <c r="AG107" s="5">
        <f t="shared" si="103"/>
        <v>0</v>
      </c>
      <c r="AH107" s="5">
        <f t="shared" si="103"/>
        <v>1</v>
      </c>
      <c r="AI107" s="5">
        <f t="shared" si="103"/>
        <v>1</v>
      </c>
      <c r="AJ107" s="5">
        <f t="shared" si="103"/>
        <v>1</v>
      </c>
      <c r="AK107" s="5">
        <f t="shared" si="103"/>
        <v>1</v>
      </c>
      <c r="AL107" s="5">
        <f t="shared" si="103"/>
        <v>1</v>
      </c>
      <c r="AM107" s="5">
        <f t="shared" si="103"/>
        <v>1</v>
      </c>
      <c r="AN107" s="5">
        <f t="shared" si="103"/>
        <v>1</v>
      </c>
      <c r="AO107" s="5">
        <f t="shared" si="103"/>
        <v>1</v>
      </c>
      <c r="AP107" s="5">
        <f t="shared" si="103"/>
        <v>1</v>
      </c>
      <c r="AQ107" s="5">
        <f t="shared" si="103"/>
        <v>1</v>
      </c>
      <c r="AR107" s="5">
        <f t="shared" si="103"/>
        <v>1</v>
      </c>
      <c r="AS107" s="5">
        <f t="shared" si="103"/>
        <v>1</v>
      </c>
      <c r="AT107" s="5">
        <f t="shared" si="103"/>
        <v>1</v>
      </c>
      <c r="AU107" s="5">
        <f t="shared" si="103"/>
        <v>1</v>
      </c>
      <c r="AV107" s="5">
        <f t="shared" si="103"/>
        <v>1</v>
      </c>
      <c r="AW107" s="5">
        <f t="shared" si="103"/>
        <v>1</v>
      </c>
      <c r="AX107" s="5">
        <f t="shared" si="103"/>
        <v>1</v>
      </c>
      <c r="AY107" s="5">
        <f t="shared" si="103"/>
        <v>1</v>
      </c>
      <c r="AZ107" s="5">
        <f t="shared" si="103"/>
        <v>1</v>
      </c>
      <c r="BA107" s="5">
        <f t="shared" si="103"/>
        <v>1</v>
      </c>
      <c r="BB107" s="8"/>
      <c r="BC107" s="8"/>
      <c r="BD107" s="8"/>
      <c r="BE107" s="8"/>
      <c r="BF107" s="8"/>
      <c r="BG107" s="8"/>
      <c r="BH107" s="8"/>
      <c r="BI107" s="8"/>
    </row>
    <row r="108" ht="12.75" customHeight="1">
      <c r="A108" s="4">
        <v>193.0</v>
      </c>
      <c r="B108" s="5" t="s">
        <v>409</v>
      </c>
      <c r="C108" s="5" t="s">
        <v>142</v>
      </c>
      <c r="D108" s="5" t="s">
        <v>410</v>
      </c>
      <c r="E108" s="5" t="s">
        <v>22</v>
      </c>
      <c r="F108" s="6">
        <v>45831.0</v>
      </c>
      <c r="G108" s="5" t="s">
        <v>23</v>
      </c>
      <c r="H108" s="6">
        <v>45831.0</v>
      </c>
      <c r="I108" s="5" t="s">
        <v>64</v>
      </c>
      <c r="J108" s="5" t="s">
        <v>35</v>
      </c>
      <c r="K108" s="5" t="s">
        <v>107</v>
      </c>
      <c r="L108" s="5" t="s">
        <v>334</v>
      </c>
      <c r="M108" s="5" t="s">
        <v>39</v>
      </c>
      <c r="N108" s="5" t="s">
        <v>52</v>
      </c>
      <c r="O108" s="5" t="s">
        <v>411</v>
      </c>
      <c r="P108" s="7" t="s">
        <v>75</v>
      </c>
      <c r="Q108" s="7" t="str">
        <f t="array" ref="Q108">IF($M108="Yes","Cost of Goods Sold:COGS- Travel Expenses:",IF($M108="No",XLOOKUP($P108,Key!$I:$I,Key!$J:$J),"Review Billable Status"))</f>
        <v>Cost of Goods Sold:COGS- Travel Expenses:</v>
      </c>
      <c r="R108" s="7" t="str">
        <f t="array" ref="R108">IF($M108="Yes","Cost of Goods Sold:COGS- Personnel Expense:",IF($M108="No",XLOOKUP($P108,Key!$I:$I,Key!$K:$K),"Review Billable Status"))</f>
        <v>Cost of Goods Sold:COGS- Personnel Expense:</v>
      </c>
      <c r="S108" s="10" t="str">
        <f t="array" ref="S108">IF($G108="Paid Intern","PD Intern",IF($G108="Contractor/Consultant","Contractor",XLOOKUP(M108&amp;P108,Key!$M:$M,Key!$L:$L)))</f>
        <v>COR</v>
      </c>
      <c r="T108" s="5">
        <f t="shared" ref="T108:BA108" si="104">IF(OR($F108&gt;T$12,AND($G108="Terminated",T$12&gt;=$H108)),0,1)</f>
        <v>0</v>
      </c>
      <c r="U108" s="5">
        <f t="shared" si="104"/>
        <v>0</v>
      </c>
      <c r="V108" s="5">
        <f t="shared" si="104"/>
        <v>0</v>
      </c>
      <c r="W108" s="5">
        <f t="shared" si="104"/>
        <v>0</v>
      </c>
      <c r="X108" s="5">
        <f t="shared" si="104"/>
        <v>0</v>
      </c>
      <c r="Y108" s="5">
        <f t="shared" si="104"/>
        <v>0</v>
      </c>
      <c r="Z108" s="5">
        <f t="shared" si="104"/>
        <v>0</v>
      </c>
      <c r="AA108" s="5">
        <f t="shared" si="104"/>
        <v>0</v>
      </c>
      <c r="AB108" s="5">
        <f t="shared" si="104"/>
        <v>0</v>
      </c>
      <c r="AC108" s="5">
        <f t="shared" si="104"/>
        <v>0</v>
      </c>
      <c r="AD108" s="5">
        <f t="shared" si="104"/>
        <v>0</v>
      </c>
      <c r="AE108" s="5">
        <f t="shared" si="104"/>
        <v>0</v>
      </c>
      <c r="AF108" s="5">
        <f t="shared" si="104"/>
        <v>0</v>
      </c>
      <c r="AG108" s="5">
        <f t="shared" si="104"/>
        <v>0</v>
      </c>
      <c r="AH108" s="5">
        <f t="shared" si="104"/>
        <v>0</v>
      </c>
      <c r="AI108" s="5">
        <f t="shared" si="104"/>
        <v>1</v>
      </c>
      <c r="AJ108" s="5">
        <f t="shared" si="104"/>
        <v>1</v>
      </c>
      <c r="AK108" s="5">
        <f t="shared" si="104"/>
        <v>1</v>
      </c>
      <c r="AL108" s="5">
        <f t="shared" si="104"/>
        <v>1</v>
      </c>
      <c r="AM108" s="5">
        <f t="shared" si="104"/>
        <v>1</v>
      </c>
      <c r="AN108" s="5">
        <f t="shared" si="104"/>
        <v>1</v>
      </c>
      <c r="AO108" s="5">
        <f t="shared" si="104"/>
        <v>1</v>
      </c>
      <c r="AP108" s="5">
        <f t="shared" si="104"/>
        <v>1</v>
      </c>
      <c r="AQ108" s="5">
        <f t="shared" si="104"/>
        <v>1</v>
      </c>
      <c r="AR108" s="5">
        <f t="shared" si="104"/>
        <v>1</v>
      </c>
      <c r="AS108" s="5">
        <f t="shared" si="104"/>
        <v>1</v>
      </c>
      <c r="AT108" s="5">
        <f t="shared" si="104"/>
        <v>1</v>
      </c>
      <c r="AU108" s="5">
        <f t="shared" si="104"/>
        <v>1</v>
      </c>
      <c r="AV108" s="5">
        <f t="shared" si="104"/>
        <v>1</v>
      </c>
      <c r="AW108" s="5">
        <f t="shared" si="104"/>
        <v>1</v>
      </c>
      <c r="AX108" s="5">
        <f t="shared" si="104"/>
        <v>1</v>
      </c>
      <c r="AY108" s="5">
        <f t="shared" si="104"/>
        <v>1</v>
      </c>
      <c r="AZ108" s="5">
        <f t="shared" si="104"/>
        <v>1</v>
      </c>
      <c r="BA108" s="5">
        <f t="shared" si="104"/>
        <v>1</v>
      </c>
      <c r="BB108" s="8"/>
      <c r="BC108" s="8"/>
      <c r="BD108" s="8"/>
      <c r="BE108" s="8"/>
      <c r="BF108" s="8"/>
      <c r="BG108" s="8"/>
      <c r="BH108" s="8"/>
      <c r="BI108" s="8"/>
    </row>
    <row r="109" ht="12.75" customHeight="1">
      <c r="A109" s="4">
        <v>194.0</v>
      </c>
      <c r="B109" s="5" t="s">
        <v>265</v>
      </c>
      <c r="C109" s="5" t="s">
        <v>412</v>
      </c>
      <c r="D109" s="5" t="s">
        <v>413</v>
      </c>
      <c r="E109" s="5" t="s">
        <v>22</v>
      </c>
      <c r="F109" s="6">
        <v>45810.0</v>
      </c>
      <c r="G109" s="5" t="s">
        <v>23</v>
      </c>
      <c r="H109" s="6">
        <v>45810.0</v>
      </c>
      <c r="I109" s="5" t="s">
        <v>34</v>
      </c>
      <c r="J109" s="5" t="s">
        <v>35</v>
      </c>
      <c r="K109" s="5" t="s">
        <v>36</v>
      </c>
      <c r="L109" s="5" t="s">
        <v>153</v>
      </c>
      <c r="M109" s="5" t="s">
        <v>39</v>
      </c>
      <c r="N109" s="5" t="s">
        <v>52</v>
      </c>
      <c r="O109" s="5" t="s">
        <v>180</v>
      </c>
      <c r="P109" s="7" t="s">
        <v>38</v>
      </c>
      <c r="Q109" s="7" t="str">
        <f t="array" ref="Q109">IF($M109="Yes","Cost of Goods Sold:COGS- Travel Expenses:",IF($M109="No",XLOOKUP($P109,Key!$I:$I,Key!$J:$J),"Review Billable Status"))</f>
        <v>Cost of Goods Sold:COGS- Travel Expenses:</v>
      </c>
      <c r="R109" s="7" t="str">
        <f t="array" ref="R109">IF($M109="Yes","Cost of Goods Sold:COGS- Personnel Expense:",IF($M109="No",XLOOKUP($P109,Key!$I:$I,Key!$K:$K),"Review Billable Status"))</f>
        <v>Cost of Goods Sold:COGS- Personnel Expense:</v>
      </c>
      <c r="S109" s="10" t="str">
        <f t="array" ref="S109">IF($G109="Paid Intern","PD Intern",IF($G109="Contractor/Consultant","Contractor",XLOOKUP(M109&amp;P109,Key!$M:$M,Key!$L:$L)))</f>
        <v>COR</v>
      </c>
      <c r="T109" s="5">
        <f t="shared" ref="T109:BA109" si="105">IF(OR($F109&gt;T$12,AND($G109="Terminated",T$12&gt;=$H109)),0,1)</f>
        <v>0</v>
      </c>
      <c r="U109" s="5">
        <f t="shared" si="105"/>
        <v>0</v>
      </c>
      <c r="V109" s="5">
        <f t="shared" si="105"/>
        <v>0</v>
      </c>
      <c r="W109" s="5">
        <f t="shared" si="105"/>
        <v>0</v>
      </c>
      <c r="X109" s="5">
        <f t="shared" si="105"/>
        <v>0</v>
      </c>
      <c r="Y109" s="5">
        <f t="shared" si="105"/>
        <v>0</v>
      </c>
      <c r="Z109" s="5">
        <f t="shared" si="105"/>
        <v>0</v>
      </c>
      <c r="AA109" s="5">
        <f t="shared" si="105"/>
        <v>0</v>
      </c>
      <c r="AB109" s="5">
        <f t="shared" si="105"/>
        <v>0</v>
      </c>
      <c r="AC109" s="5">
        <f t="shared" si="105"/>
        <v>0</v>
      </c>
      <c r="AD109" s="5">
        <f t="shared" si="105"/>
        <v>0</v>
      </c>
      <c r="AE109" s="5">
        <f t="shared" si="105"/>
        <v>0</v>
      </c>
      <c r="AF109" s="5">
        <f t="shared" si="105"/>
        <v>0</v>
      </c>
      <c r="AG109" s="5">
        <f t="shared" si="105"/>
        <v>0</v>
      </c>
      <c r="AH109" s="5">
        <f t="shared" si="105"/>
        <v>0</v>
      </c>
      <c r="AI109" s="5">
        <f t="shared" si="105"/>
        <v>1</v>
      </c>
      <c r="AJ109" s="5">
        <f t="shared" si="105"/>
        <v>1</v>
      </c>
      <c r="AK109" s="5">
        <f t="shared" si="105"/>
        <v>1</v>
      </c>
      <c r="AL109" s="5">
        <f t="shared" si="105"/>
        <v>1</v>
      </c>
      <c r="AM109" s="5">
        <f t="shared" si="105"/>
        <v>1</v>
      </c>
      <c r="AN109" s="5">
        <f t="shared" si="105"/>
        <v>1</v>
      </c>
      <c r="AO109" s="5">
        <f t="shared" si="105"/>
        <v>1</v>
      </c>
      <c r="AP109" s="5">
        <f t="shared" si="105"/>
        <v>1</v>
      </c>
      <c r="AQ109" s="5">
        <f t="shared" si="105"/>
        <v>1</v>
      </c>
      <c r="AR109" s="5">
        <f t="shared" si="105"/>
        <v>1</v>
      </c>
      <c r="AS109" s="5">
        <f t="shared" si="105"/>
        <v>1</v>
      </c>
      <c r="AT109" s="5">
        <f t="shared" si="105"/>
        <v>1</v>
      </c>
      <c r="AU109" s="5">
        <f t="shared" si="105"/>
        <v>1</v>
      </c>
      <c r="AV109" s="5">
        <f t="shared" si="105"/>
        <v>1</v>
      </c>
      <c r="AW109" s="5">
        <f t="shared" si="105"/>
        <v>1</v>
      </c>
      <c r="AX109" s="5">
        <f t="shared" si="105"/>
        <v>1</v>
      </c>
      <c r="AY109" s="5">
        <f t="shared" si="105"/>
        <v>1</v>
      </c>
      <c r="AZ109" s="5">
        <f t="shared" si="105"/>
        <v>1</v>
      </c>
      <c r="BA109" s="5">
        <f t="shared" si="105"/>
        <v>1</v>
      </c>
      <c r="BB109" s="8"/>
      <c r="BC109" s="8"/>
      <c r="BD109" s="8"/>
      <c r="BE109" s="8"/>
      <c r="BF109" s="8"/>
      <c r="BG109" s="8"/>
      <c r="BH109" s="8"/>
      <c r="BI109" s="8"/>
    </row>
    <row r="110" ht="12.75" customHeight="1">
      <c r="A110" s="4">
        <v>195.0</v>
      </c>
      <c r="B110" s="5" t="s">
        <v>414</v>
      </c>
      <c r="C110" s="5" t="s">
        <v>415</v>
      </c>
      <c r="D110" s="5" t="s">
        <v>416</v>
      </c>
      <c r="E110" s="5" t="s">
        <v>112</v>
      </c>
      <c r="F110" s="6">
        <v>45804.0</v>
      </c>
      <c r="G110" s="5" t="s">
        <v>23</v>
      </c>
      <c r="H110" s="6">
        <v>45804.0</v>
      </c>
      <c r="I110" s="5" t="s">
        <v>34</v>
      </c>
      <c r="J110" s="5" t="s">
        <v>130</v>
      </c>
      <c r="K110" s="5" t="s">
        <v>25</v>
      </c>
      <c r="L110" s="5" t="s">
        <v>279</v>
      </c>
      <c r="M110" s="5" t="s">
        <v>39</v>
      </c>
      <c r="N110" s="5" t="s">
        <v>52</v>
      </c>
      <c r="O110" s="5" t="s">
        <v>30</v>
      </c>
      <c r="P110" s="7" t="s">
        <v>132</v>
      </c>
      <c r="Q110" s="7" t="str">
        <f t="array" ref="Q110">IF($M110="Yes","Cost of Goods Sold:COGS- Travel Expenses:",IF($M110="No",XLOOKUP($P110,Key!$I:$I,Key!$J:$J),"Review Billable Status"))</f>
        <v>Cost of Goods Sold:COGS- Travel Expenses:</v>
      </c>
      <c r="R110" s="7" t="str">
        <f t="array" ref="R110">IF($M110="Yes","Cost of Goods Sold:COGS- Personnel Expense:",IF($M110="No",XLOOKUP($P110,Key!$I:$I,Key!$K:$K),"Review Billable Status"))</f>
        <v>Cost of Goods Sold:COGS- Personnel Expense:</v>
      </c>
      <c r="S110" s="10" t="str">
        <f t="array" ref="S110">IF($G110="Paid Intern","PD Intern",IF($G110="Contractor/Consultant","Contractor",XLOOKUP(M110&amp;P110,Key!$M:$M,Key!$L:$L)))</f>
        <v>COR</v>
      </c>
      <c r="T110" s="5">
        <f t="shared" ref="T110:BA110" si="106">IF(OR($F110&gt;T$12,AND($G110="Terminated",T$12&gt;=$H110)),0,1)</f>
        <v>0</v>
      </c>
      <c r="U110" s="5">
        <f t="shared" si="106"/>
        <v>0</v>
      </c>
      <c r="V110" s="5">
        <f t="shared" si="106"/>
        <v>0</v>
      </c>
      <c r="W110" s="5">
        <f t="shared" si="106"/>
        <v>0</v>
      </c>
      <c r="X110" s="5">
        <f t="shared" si="106"/>
        <v>0</v>
      </c>
      <c r="Y110" s="5">
        <f t="shared" si="106"/>
        <v>0</v>
      </c>
      <c r="Z110" s="5">
        <f t="shared" si="106"/>
        <v>0</v>
      </c>
      <c r="AA110" s="5">
        <f t="shared" si="106"/>
        <v>0</v>
      </c>
      <c r="AB110" s="5">
        <f t="shared" si="106"/>
        <v>0</v>
      </c>
      <c r="AC110" s="5">
        <f t="shared" si="106"/>
        <v>0</v>
      </c>
      <c r="AD110" s="5">
        <f t="shared" si="106"/>
        <v>0</v>
      </c>
      <c r="AE110" s="5">
        <f t="shared" si="106"/>
        <v>0</v>
      </c>
      <c r="AF110" s="5">
        <f t="shared" si="106"/>
        <v>0</v>
      </c>
      <c r="AG110" s="5">
        <f t="shared" si="106"/>
        <v>0</v>
      </c>
      <c r="AH110" s="5">
        <f t="shared" si="106"/>
        <v>1</v>
      </c>
      <c r="AI110" s="5">
        <f t="shared" si="106"/>
        <v>1</v>
      </c>
      <c r="AJ110" s="5">
        <f t="shared" si="106"/>
        <v>1</v>
      </c>
      <c r="AK110" s="5">
        <f t="shared" si="106"/>
        <v>1</v>
      </c>
      <c r="AL110" s="5">
        <f t="shared" si="106"/>
        <v>1</v>
      </c>
      <c r="AM110" s="5">
        <f t="shared" si="106"/>
        <v>1</v>
      </c>
      <c r="AN110" s="5">
        <f t="shared" si="106"/>
        <v>1</v>
      </c>
      <c r="AO110" s="5">
        <f t="shared" si="106"/>
        <v>1</v>
      </c>
      <c r="AP110" s="5">
        <f t="shared" si="106"/>
        <v>1</v>
      </c>
      <c r="AQ110" s="5">
        <f t="shared" si="106"/>
        <v>1</v>
      </c>
      <c r="AR110" s="5">
        <f t="shared" si="106"/>
        <v>1</v>
      </c>
      <c r="AS110" s="5">
        <f t="shared" si="106"/>
        <v>1</v>
      </c>
      <c r="AT110" s="5">
        <f t="shared" si="106"/>
        <v>1</v>
      </c>
      <c r="AU110" s="5">
        <f t="shared" si="106"/>
        <v>1</v>
      </c>
      <c r="AV110" s="5">
        <f t="shared" si="106"/>
        <v>1</v>
      </c>
      <c r="AW110" s="5">
        <f t="shared" si="106"/>
        <v>1</v>
      </c>
      <c r="AX110" s="5">
        <f t="shared" si="106"/>
        <v>1</v>
      </c>
      <c r="AY110" s="5">
        <f t="shared" si="106"/>
        <v>1</v>
      </c>
      <c r="AZ110" s="5">
        <f t="shared" si="106"/>
        <v>1</v>
      </c>
      <c r="BA110" s="5">
        <f t="shared" si="106"/>
        <v>1</v>
      </c>
      <c r="BB110" s="8"/>
      <c r="BC110" s="8"/>
      <c r="BD110" s="8"/>
      <c r="BE110" s="8"/>
      <c r="BF110" s="8"/>
      <c r="BG110" s="8"/>
      <c r="BH110" s="8"/>
      <c r="BI110" s="8"/>
    </row>
    <row r="111" ht="12.75" customHeight="1">
      <c r="A111" s="4">
        <v>197.0</v>
      </c>
      <c r="B111" s="5" t="s">
        <v>417</v>
      </c>
      <c r="C111" s="5" t="s">
        <v>418</v>
      </c>
      <c r="D111" s="5" t="s">
        <v>419</v>
      </c>
      <c r="E111" s="5" t="s">
        <v>22</v>
      </c>
      <c r="F111" s="6">
        <v>45859.0</v>
      </c>
      <c r="G111" s="5" t="s">
        <v>23</v>
      </c>
      <c r="H111" s="6">
        <v>45859.0</v>
      </c>
      <c r="I111" s="5" t="s">
        <v>64</v>
      </c>
      <c r="J111" s="5" t="s">
        <v>366</v>
      </c>
      <c r="K111" s="5" t="s">
        <v>25</v>
      </c>
      <c r="L111" s="5" t="s">
        <v>420</v>
      </c>
      <c r="M111" s="5" t="s">
        <v>39</v>
      </c>
      <c r="N111" s="5" t="s">
        <v>52</v>
      </c>
      <c r="O111" s="5" t="s">
        <v>30</v>
      </c>
      <c r="P111" s="7" t="s">
        <v>75</v>
      </c>
      <c r="Q111" s="7" t="str">
        <f t="array" ref="Q111">IF($M111="Yes","Cost of Goods Sold:COGS- Travel Expenses:",IF($M111="No",XLOOKUP($P111,Key!$I:$I,Key!$J:$J),"Review Billable Status"))</f>
        <v>Cost of Goods Sold:COGS- Travel Expenses:</v>
      </c>
      <c r="R111" s="7" t="str">
        <f t="array" ref="R111">IF($M111="Yes","Cost of Goods Sold:COGS- Personnel Expense:",IF($M111="No",XLOOKUP($P111,Key!$I:$I,Key!$K:$K),"Review Billable Status"))</f>
        <v>Cost of Goods Sold:COGS- Personnel Expense:</v>
      </c>
      <c r="S111" s="10" t="str">
        <f t="array" ref="S111">IF($G111="Paid Intern","PD Intern",IF($G111="Contractor/Consultant","Contractor",XLOOKUP(M111&amp;P111,Key!$M:$M,Key!$L:$L)))</f>
        <v>COR</v>
      </c>
      <c r="T111" s="5">
        <f t="shared" ref="T111:BA111" si="107">IF(OR($F111&gt;T$12,AND($G111="Terminated",T$12&gt;=$H111)),0,1)</f>
        <v>0</v>
      </c>
      <c r="U111" s="5">
        <f t="shared" si="107"/>
        <v>0</v>
      </c>
      <c r="V111" s="5">
        <f t="shared" si="107"/>
        <v>0</v>
      </c>
      <c r="W111" s="5">
        <f t="shared" si="107"/>
        <v>0</v>
      </c>
      <c r="X111" s="5">
        <f t="shared" si="107"/>
        <v>0</v>
      </c>
      <c r="Y111" s="5">
        <f t="shared" si="107"/>
        <v>0</v>
      </c>
      <c r="Z111" s="5">
        <f t="shared" si="107"/>
        <v>0</v>
      </c>
      <c r="AA111" s="5">
        <f t="shared" si="107"/>
        <v>0</v>
      </c>
      <c r="AB111" s="5">
        <f t="shared" si="107"/>
        <v>0</v>
      </c>
      <c r="AC111" s="5">
        <f t="shared" si="107"/>
        <v>0</v>
      </c>
      <c r="AD111" s="5">
        <f t="shared" si="107"/>
        <v>0</v>
      </c>
      <c r="AE111" s="5">
        <f t="shared" si="107"/>
        <v>0</v>
      </c>
      <c r="AF111" s="5">
        <f t="shared" si="107"/>
        <v>0</v>
      </c>
      <c r="AG111" s="5">
        <f t="shared" si="107"/>
        <v>0</v>
      </c>
      <c r="AH111" s="5">
        <f t="shared" si="107"/>
        <v>0</v>
      </c>
      <c r="AI111" s="5">
        <f t="shared" si="107"/>
        <v>0</v>
      </c>
      <c r="AJ111" s="5">
        <f t="shared" si="107"/>
        <v>1</v>
      </c>
      <c r="AK111" s="5">
        <f t="shared" si="107"/>
        <v>1</v>
      </c>
      <c r="AL111" s="5">
        <f t="shared" si="107"/>
        <v>1</v>
      </c>
      <c r="AM111" s="5">
        <f t="shared" si="107"/>
        <v>1</v>
      </c>
      <c r="AN111" s="5">
        <f t="shared" si="107"/>
        <v>1</v>
      </c>
      <c r="AO111" s="5">
        <f t="shared" si="107"/>
        <v>1</v>
      </c>
      <c r="AP111" s="5">
        <f t="shared" si="107"/>
        <v>1</v>
      </c>
      <c r="AQ111" s="5">
        <f t="shared" si="107"/>
        <v>1</v>
      </c>
      <c r="AR111" s="5">
        <f t="shared" si="107"/>
        <v>1</v>
      </c>
      <c r="AS111" s="5">
        <f t="shared" si="107"/>
        <v>1</v>
      </c>
      <c r="AT111" s="5">
        <f t="shared" si="107"/>
        <v>1</v>
      </c>
      <c r="AU111" s="5">
        <f t="shared" si="107"/>
        <v>1</v>
      </c>
      <c r="AV111" s="5">
        <f t="shared" si="107"/>
        <v>1</v>
      </c>
      <c r="AW111" s="5">
        <f t="shared" si="107"/>
        <v>1</v>
      </c>
      <c r="AX111" s="5">
        <f t="shared" si="107"/>
        <v>1</v>
      </c>
      <c r="AY111" s="5">
        <f t="shared" si="107"/>
        <v>1</v>
      </c>
      <c r="AZ111" s="5">
        <f t="shared" si="107"/>
        <v>1</v>
      </c>
      <c r="BA111" s="5">
        <f t="shared" si="107"/>
        <v>1</v>
      </c>
      <c r="BB111" s="8"/>
      <c r="BC111" s="8"/>
      <c r="BD111" s="8"/>
      <c r="BE111" s="8"/>
      <c r="BF111" s="8"/>
      <c r="BG111" s="8"/>
      <c r="BH111" s="8"/>
      <c r="BI111" s="8"/>
    </row>
    <row r="112" ht="12.75" customHeight="1">
      <c r="A112" s="4">
        <v>198.0</v>
      </c>
      <c r="B112" s="5" t="s">
        <v>421</v>
      </c>
      <c r="C112" s="5" t="s">
        <v>214</v>
      </c>
      <c r="D112" s="5" t="s">
        <v>422</v>
      </c>
      <c r="E112" s="5" t="s">
        <v>112</v>
      </c>
      <c r="F112" s="6">
        <v>45849.0</v>
      </c>
      <c r="G112" s="5" t="s">
        <v>23</v>
      </c>
      <c r="H112" s="6">
        <v>45849.0</v>
      </c>
      <c r="I112" s="5" t="s">
        <v>34</v>
      </c>
      <c r="J112" s="5" t="s">
        <v>35</v>
      </c>
      <c r="K112" s="5" t="s">
        <v>36</v>
      </c>
      <c r="L112" s="5" t="s">
        <v>423</v>
      </c>
      <c r="M112" s="5" t="s">
        <v>39</v>
      </c>
      <c r="N112" s="5" t="s">
        <v>52</v>
      </c>
      <c r="O112" s="5" t="s">
        <v>158</v>
      </c>
      <c r="P112" s="7" t="s">
        <v>38</v>
      </c>
      <c r="Q112" s="7" t="str">
        <f t="array" ref="Q112">IF($M112="Yes","Cost of Goods Sold:COGS- Travel Expenses:",IF($M112="No",XLOOKUP($P112,Key!$I:$I,Key!$J:$J),"Review Billable Status"))</f>
        <v>Cost of Goods Sold:COGS- Travel Expenses:</v>
      </c>
      <c r="R112" s="7" t="str">
        <f t="array" ref="R112">IF($M112="Yes","Cost of Goods Sold:COGS- Personnel Expense:",IF($M112="No",XLOOKUP($P112,Key!$I:$I,Key!$K:$K),"Review Billable Status"))</f>
        <v>Cost of Goods Sold:COGS- Personnel Expense:</v>
      </c>
      <c r="S112" s="10" t="str">
        <f t="array" ref="S112">IF($G112="Paid Intern","PD Intern",IF($G112="Contractor/Consultant","Contractor",XLOOKUP(M112&amp;P112,Key!$M:$M,Key!$L:$L)))</f>
        <v>COR</v>
      </c>
      <c r="T112" s="5">
        <f t="shared" ref="T112:BA112" si="108">IF(OR($F112&gt;T$12,AND($G112="Terminated",T$12&gt;=$H112)),0,1)</f>
        <v>0</v>
      </c>
      <c r="U112" s="5">
        <f t="shared" si="108"/>
        <v>0</v>
      </c>
      <c r="V112" s="5">
        <f t="shared" si="108"/>
        <v>0</v>
      </c>
      <c r="W112" s="5">
        <f t="shared" si="108"/>
        <v>0</v>
      </c>
      <c r="X112" s="5">
        <f t="shared" si="108"/>
        <v>0</v>
      </c>
      <c r="Y112" s="5">
        <f t="shared" si="108"/>
        <v>0</v>
      </c>
      <c r="Z112" s="5">
        <f t="shared" si="108"/>
        <v>0</v>
      </c>
      <c r="AA112" s="5">
        <f t="shared" si="108"/>
        <v>0</v>
      </c>
      <c r="AB112" s="5">
        <f t="shared" si="108"/>
        <v>0</v>
      </c>
      <c r="AC112" s="5">
        <f t="shared" si="108"/>
        <v>0</v>
      </c>
      <c r="AD112" s="5">
        <f t="shared" si="108"/>
        <v>0</v>
      </c>
      <c r="AE112" s="5">
        <f t="shared" si="108"/>
        <v>0</v>
      </c>
      <c r="AF112" s="5">
        <f t="shared" si="108"/>
        <v>0</v>
      </c>
      <c r="AG112" s="5">
        <f t="shared" si="108"/>
        <v>0</v>
      </c>
      <c r="AH112" s="5">
        <f t="shared" si="108"/>
        <v>0</v>
      </c>
      <c r="AI112" s="5">
        <f t="shared" si="108"/>
        <v>0</v>
      </c>
      <c r="AJ112" s="5">
        <f t="shared" si="108"/>
        <v>1</v>
      </c>
      <c r="AK112" s="5">
        <f t="shared" si="108"/>
        <v>1</v>
      </c>
      <c r="AL112" s="5">
        <f t="shared" si="108"/>
        <v>1</v>
      </c>
      <c r="AM112" s="5">
        <f t="shared" si="108"/>
        <v>1</v>
      </c>
      <c r="AN112" s="5">
        <f t="shared" si="108"/>
        <v>1</v>
      </c>
      <c r="AO112" s="5">
        <f t="shared" si="108"/>
        <v>1</v>
      </c>
      <c r="AP112" s="5">
        <f t="shared" si="108"/>
        <v>1</v>
      </c>
      <c r="AQ112" s="5">
        <f t="shared" si="108"/>
        <v>1</v>
      </c>
      <c r="AR112" s="5">
        <f t="shared" si="108"/>
        <v>1</v>
      </c>
      <c r="AS112" s="5">
        <f t="shared" si="108"/>
        <v>1</v>
      </c>
      <c r="AT112" s="5">
        <f t="shared" si="108"/>
        <v>1</v>
      </c>
      <c r="AU112" s="5">
        <f t="shared" si="108"/>
        <v>1</v>
      </c>
      <c r="AV112" s="5">
        <f t="shared" si="108"/>
        <v>1</v>
      </c>
      <c r="AW112" s="5">
        <f t="shared" si="108"/>
        <v>1</v>
      </c>
      <c r="AX112" s="5">
        <f t="shared" si="108"/>
        <v>1</v>
      </c>
      <c r="AY112" s="5">
        <f t="shared" si="108"/>
        <v>1</v>
      </c>
      <c r="AZ112" s="5">
        <f t="shared" si="108"/>
        <v>1</v>
      </c>
      <c r="BA112" s="5">
        <f t="shared" si="108"/>
        <v>1</v>
      </c>
      <c r="BB112" s="8"/>
      <c r="BC112" s="8"/>
      <c r="BD112" s="8"/>
      <c r="BE112" s="8"/>
      <c r="BF112" s="8"/>
      <c r="BG112" s="8"/>
      <c r="BH112" s="8"/>
      <c r="BI112" s="8"/>
    </row>
    <row r="113" ht="12.75" customHeight="1">
      <c r="A113" s="4">
        <v>199.0</v>
      </c>
      <c r="B113" s="5" t="s">
        <v>424</v>
      </c>
      <c r="C113" s="5" t="s">
        <v>425</v>
      </c>
      <c r="D113" s="5" t="s">
        <v>426</v>
      </c>
      <c r="E113" s="5" t="s">
        <v>22</v>
      </c>
      <c r="F113" s="6">
        <v>45898.0</v>
      </c>
      <c r="G113" s="5" t="s">
        <v>23</v>
      </c>
      <c r="H113" s="6">
        <v>45898.0</v>
      </c>
      <c r="I113" s="5" t="s">
        <v>64</v>
      </c>
      <c r="J113" s="5" t="s">
        <v>35</v>
      </c>
      <c r="K113" s="5" t="s">
        <v>25</v>
      </c>
      <c r="L113" s="5" t="s">
        <v>334</v>
      </c>
      <c r="M113" s="5" t="s">
        <v>39</v>
      </c>
      <c r="N113" s="5" t="s">
        <v>52</v>
      </c>
      <c r="O113" s="5" t="s">
        <v>30</v>
      </c>
      <c r="P113" s="7" t="s">
        <v>75</v>
      </c>
      <c r="Q113" s="7" t="str">
        <f t="array" ref="Q113">IF($M113="Yes","Cost of Goods Sold:COGS- Travel Expenses:",IF($M113="No",XLOOKUP($P113,Key!$I:$I,Key!$J:$J),"Review Billable Status"))</f>
        <v>Cost of Goods Sold:COGS- Travel Expenses:</v>
      </c>
      <c r="R113" s="7" t="str">
        <f t="array" ref="R113">IF($M113="Yes","Cost of Goods Sold:COGS- Personnel Expense:",IF($M113="No",XLOOKUP($P113,Key!$I:$I,Key!$K:$K),"Review Billable Status"))</f>
        <v>Cost of Goods Sold:COGS- Personnel Expense:</v>
      </c>
      <c r="S113" s="10" t="str">
        <f t="array" ref="S113">IF($G113="Paid Intern","PD Intern",IF($G113="Contractor/Consultant","Contractor",XLOOKUP(M113&amp;P113,Key!$M:$M,Key!$L:$L)))</f>
        <v>COR</v>
      </c>
      <c r="T113" s="5">
        <f t="shared" ref="T113:BA113" si="109">IF(OR($F113&gt;T$12,AND($G113="Terminated",T$12&gt;=$H113)),0,1)</f>
        <v>0</v>
      </c>
      <c r="U113" s="5">
        <f t="shared" si="109"/>
        <v>0</v>
      </c>
      <c r="V113" s="5">
        <f t="shared" si="109"/>
        <v>0</v>
      </c>
      <c r="W113" s="5">
        <f t="shared" si="109"/>
        <v>0</v>
      </c>
      <c r="X113" s="5">
        <f t="shared" si="109"/>
        <v>0</v>
      </c>
      <c r="Y113" s="5">
        <f t="shared" si="109"/>
        <v>0</v>
      </c>
      <c r="Z113" s="5">
        <f t="shared" si="109"/>
        <v>0</v>
      </c>
      <c r="AA113" s="5">
        <f t="shared" si="109"/>
        <v>0</v>
      </c>
      <c r="AB113" s="5">
        <f t="shared" si="109"/>
        <v>0</v>
      </c>
      <c r="AC113" s="5">
        <f t="shared" si="109"/>
        <v>0</v>
      </c>
      <c r="AD113" s="5">
        <f t="shared" si="109"/>
        <v>0</v>
      </c>
      <c r="AE113" s="5">
        <f t="shared" si="109"/>
        <v>0</v>
      </c>
      <c r="AF113" s="5">
        <f t="shared" si="109"/>
        <v>0</v>
      </c>
      <c r="AG113" s="5">
        <f t="shared" si="109"/>
        <v>0</v>
      </c>
      <c r="AH113" s="5">
        <f t="shared" si="109"/>
        <v>0</v>
      </c>
      <c r="AI113" s="5">
        <f t="shared" si="109"/>
        <v>0</v>
      </c>
      <c r="AJ113" s="5">
        <f t="shared" si="109"/>
        <v>0</v>
      </c>
      <c r="AK113" s="5">
        <f t="shared" si="109"/>
        <v>1</v>
      </c>
      <c r="AL113" s="5">
        <f t="shared" si="109"/>
        <v>1</v>
      </c>
      <c r="AM113" s="5">
        <f t="shared" si="109"/>
        <v>1</v>
      </c>
      <c r="AN113" s="5">
        <f t="shared" si="109"/>
        <v>1</v>
      </c>
      <c r="AO113" s="5">
        <f t="shared" si="109"/>
        <v>1</v>
      </c>
      <c r="AP113" s="5">
        <f t="shared" si="109"/>
        <v>1</v>
      </c>
      <c r="AQ113" s="5">
        <f t="shared" si="109"/>
        <v>1</v>
      </c>
      <c r="AR113" s="5">
        <f t="shared" si="109"/>
        <v>1</v>
      </c>
      <c r="AS113" s="5">
        <f t="shared" si="109"/>
        <v>1</v>
      </c>
      <c r="AT113" s="5">
        <f t="shared" si="109"/>
        <v>1</v>
      </c>
      <c r="AU113" s="5">
        <f t="shared" si="109"/>
        <v>1</v>
      </c>
      <c r="AV113" s="5">
        <f t="shared" si="109"/>
        <v>1</v>
      </c>
      <c r="AW113" s="5">
        <f t="shared" si="109"/>
        <v>1</v>
      </c>
      <c r="AX113" s="5">
        <f t="shared" si="109"/>
        <v>1</v>
      </c>
      <c r="AY113" s="5">
        <f t="shared" si="109"/>
        <v>1</v>
      </c>
      <c r="AZ113" s="5">
        <f t="shared" si="109"/>
        <v>1</v>
      </c>
      <c r="BA113" s="5">
        <f t="shared" si="109"/>
        <v>1</v>
      </c>
      <c r="BB113" s="8"/>
      <c r="BC113" s="8"/>
      <c r="BD113" s="8"/>
      <c r="BE113" s="8"/>
      <c r="BF113" s="8"/>
      <c r="BG113" s="8"/>
      <c r="BH113" s="8"/>
      <c r="BI113" s="8"/>
    </row>
    <row r="114" ht="12.75" customHeight="1">
      <c r="A114" s="4">
        <v>200.0</v>
      </c>
      <c r="B114" s="5" t="s">
        <v>145</v>
      </c>
      <c r="C114" s="5" t="s">
        <v>427</v>
      </c>
      <c r="D114" s="5" t="s">
        <v>428</v>
      </c>
      <c r="E114" s="5" t="s">
        <v>22</v>
      </c>
      <c r="F114" s="6">
        <v>45866.0</v>
      </c>
      <c r="G114" s="5" t="s">
        <v>23</v>
      </c>
      <c r="H114" s="6">
        <v>45866.0</v>
      </c>
      <c r="I114" s="5" t="s">
        <v>34</v>
      </c>
      <c r="J114" s="5" t="s">
        <v>35</v>
      </c>
      <c r="K114" s="5" t="s">
        <v>25</v>
      </c>
      <c r="L114" s="5" t="s">
        <v>323</v>
      </c>
      <c r="M114" s="5" t="s">
        <v>39</v>
      </c>
      <c r="N114" s="5" t="s">
        <v>52</v>
      </c>
      <c r="O114" s="5" t="s">
        <v>213</v>
      </c>
      <c r="P114" s="7" t="s">
        <v>38</v>
      </c>
      <c r="Q114" s="7" t="str">
        <f t="array" ref="Q114">IF($M114="Yes","Cost of Goods Sold:COGS- Travel Expenses:",IF($M114="No",XLOOKUP($P114,Key!$I:$I,Key!$J:$J),"Review Billable Status"))</f>
        <v>Cost of Goods Sold:COGS- Travel Expenses:</v>
      </c>
      <c r="R114" s="7" t="str">
        <f t="array" ref="R114">IF($M114="Yes","Cost of Goods Sold:COGS- Personnel Expense:",IF($M114="No",XLOOKUP($P114,Key!$I:$I,Key!$K:$K),"Review Billable Status"))</f>
        <v>Cost of Goods Sold:COGS- Personnel Expense:</v>
      </c>
      <c r="S114" s="10" t="str">
        <f t="array" ref="S114">IF($G114="Paid Intern","PD Intern",IF($G114="Contractor/Consultant","Contractor",XLOOKUP(M114&amp;P114,Key!$M:$M,Key!$L:$L)))</f>
        <v>COR</v>
      </c>
      <c r="T114" s="5">
        <f t="shared" ref="T114:BA114" si="110">IF(OR($F114&gt;T$12,AND($G114="Terminated",T$12&gt;=$H114)),0,1)</f>
        <v>0</v>
      </c>
      <c r="U114" s="5">
        <f t="shared" si="110"/>
        <v>0</v>
      </c>
      <c r="V114" s="5">
        <f t="shared" si="110"/>
        <v>0</v>
      </c>
      <c r="W114" s="5">
        <f t="shared" si="110"/>
        <v>0</v>
      </c>
      <c r="X114" s="5">
        <f t="shared" si="110"/>
        <v>0</v>
      </c>
      <c r="Y114" s="5">
        <f t="shared" si="110"/>
        <v>0</v>
      </c>
      <c r="Z114" s="5">
        <f t="shared" si="110"/>
        <v>0</v>
      </c>
      <c r="AA114" s="5">
        <f t="shared" si="110"/>
        <v>0</v>
      </c>
      <c r="AB114" s="5">
        <f t="shared" si="110"/>
        <v>0</v>
      </c>
      <c r="AC114" s="5">
        <f t="shared" si="110"/>
        <v>0</v>
      </c>
      <c r="AD114" s="5">
        <f t="shared" si="110"/>
        <v>0</v>
      </c>
      <c r="AE114" s="5">
        <f t="shared" si="110"/>
        <v>0</v>
      </c>
      <c r="AF114" s="5">
        <f t="shared" si="110"/>
        <v>0</v>
      </c>
      <c r="AG114" s="5">
        <f t="shared" si="110"/>
        <v>0</v>
      </c>
      <c r="AH114" s="5">
        <f t="shared" si="110"/>
        <v>0</v>
      </c>
      <c r="AI114" s="5">
        <f t="shared" si="110"/>
        <v>0</v>
      </c>
      <c r="AJ114" s="5">
        <f t="shared" si="110"/>
        <v>1</v>
      </c>
      <c r="AK114" s="5">
        <f t="shared" si="110"/>
        <v>1</v>
      </c>
      <c r="AL114" s="5">
        <f t="shared" si="110"/>
        <v>1</v>
      </c>
      <c r="AM114" s="5">
        <f t="shared" si="110"/>
        <v>1</v>
      </c>
      <c r="AN114" s="5">
        <f t="shared" si="110"/>
        <v>1</v>
      </c>
      <c r="AO114" s="5">
        <f t="shared" si="110"/>
        <v>1</v>
      </c>
      <c r="AP114" s="5">
        <f t="shared" si="110"/>
        <v>1</v>
      </c>
      <c r="AQ114" s="5">
        <f t="shared" si="110"/>
        <v>1</v>
      </c>
      <c r="AR114" s="5">
        <f t="shared" si="110"/>
        <v>1</v>
      </c>
      <c r="AS114" s="5">
        <f t="shared" si="110"/>
        <v>1</v>
      </c>
      <c r="AT114" s="5">
        <f t="shared" si="110"/>
        <v>1</v>
      </c>
      <c r="AU114" s="5">
        <f t="shared" si="110"/>
        <v>1</v>
      </c>
      <c r="AV114" s="5">
        <f t="shared" si="110"/>
        <v>1</v>
      </c>
      <c r="AW114" s="5">
        <f t="shared" si="110"/>
        <v>1</v>
      </c>
      <c r="AX114" s="5">
        <f t="shared" si="110"/>
        <v>1</v>
      </c>
      <c r="AY114" s="5">
        <f t="shared" si="110"/>
        <v>1</v>
      </c>
      <c r="AZ114" s="5">
        <f t="shared" si="110"/>
        <v>1</v>
      </c>
      <c r="BA114" s="5">
        <f t="shared" si="110"/>
        <v>1</v>
      </c>
      <c r="BB114" s="8"/>
      <c r="BC114" s="8"/>
      <c r="BD114" s="8"/>
      <c r="BE114" s="8"/>
      <c r="BF114" s="8"/>
      <c r="BG114" s="8"/>
      <c r="BH114" s="8"/>
      <c r="BI114" s="8"/>
    </row>
    <row r="115" ht="12.75" customHeight="1">
      <c r="A115" s="4">
        <v>201.0</v>
      </c>
      <c r="B115" s="5" t="s">
        <v>287</v>
      </c>
      <c r="C115" s="5" t="s">
        <v>429</v>
      </c>
      <c r="D115" s="5" t="s">
        <v>430</v>
      </c>
      <c r="E115" s="5" t="s">
        <v>22</v>
      </c>
      <c r="F115" s="6">
        <v>45877.0</v>
      </c>
      <c r="G115" s="5" t="s">
        <v>23</v>
      </c>
      <c r="H115" s="6">
        <v>45877.0</v>
      </c>
      <c r="I115" s="5" t="s">
        <v>34</v>
      </c>
      <c r="J115" s="5" t="s">
        <v>35</v>
      </c>
      <c r="K115" s="5" t="s">
        <v>36</v>
      </c>
      <c r="L115" s="5" t="s">
        <v>153</v>
      </c>
      <c r="M115" s="5" t="s">
        <v>39</v>
      </c>
      <c r="N115" s="5" t="s">
        <v>85</v>
      </c>
      <c r="O115" s="5" t="s">
        <v>431</v>
      </c>
      <c r="P115" s="7" t="s">
        <v>38</v>
      </c>
      <c r="Q115" s="7" t="str">
        <f t="array" ref="Q115">IF($M115="Yes","Cost of Goods Sold:COGS- Travel Expenses:",IF($M115="No",XLOOKUP($P115,Key!$I:$I,Key!$J:$J),"Review Billable Status"))</f>
        <v>Cost of Goods Sold:COGS- Travel Expenses:</v>
      </c>
      <c r="R115" s="7" t="str">
        <f t="array" ref="R115">IF($M115="Yes","Cost of Goods Sold:COGS- Personnel Expense:",IF($M115="No",XLOOKUP($P115,Key!$I:$I,Key!$K:$K),"Review Billable Status"))</f>
        <v>Cost of Goods Sold:COGS- Personnel Expense:</v>
      </c>
      <c r="S115" s="10" t="str">
        <f t="array" ref="S115">IF($G115="Paid Intern","PD Intern",IF($G115="Contractor/Consultant","Contractor",XLOOKUP(M115&amp;P115,Key!$M:$M,Key!$L:$L)))</f>
        <v>COR</v>
      </c>
      <c r="T115" s="5">
        <f t="shared" ref="T115:BA115" si="111">IF(OR($F115&gt;T$12,AND($G115="Terminated",T$12&gt;=$H115)),0,1)</f>
        <v>0</v>
      </c>
      <c r="U115" s="5">
        <f t="shared" si="111"/>
        <v>0</v>
      </c>
      <c r="V115" s="5">
        <f t="shared" si="111"/>
        <v>0</v>
      </c>
      <c r="W115" s="5">
        <f t="shared" si="111"/>
        <v>0</v>
      </c>
      <c r="X115" s="5">
        <f t="shared" si="111"/>
        <v>0</v>
      </c>
      <c r="Y115" s="5">
        <f t="shared" si="111"/>
        <v>0</v>
      </c>
      <c r="Z115" s="5">
        <f t="shared" si="111"/>
        <v>0</v>
      </c>
      <c r="AA115" s="5">
        <f t="shared" si="111"/>
        <v>0</v>
      </c>
      <c r="AB115" s="5">
        <f t="shared" si="111"/>
        <v>0</v>
      </c>
      <c r="AC115" s="5">
        <f t="shared" si="111"/>
        <v>0</v>
      </c>
      <c r="AD115" s="5">
        <f t="shared" si="111"/>
        <v>0</v>
      </c>
      <c r="AE115" s="5">
        <f t="shared" si="111"/>
        <v>0</v>
      </c>
      <c r="AF115" s="5">
        <f t="shared" si="111"/>
        <v>0</v>
      </c>
      <c r="AG115" s="5">
        <f t="shared" si="111"/>
        <v>0</v>
      </c>
      <c r="AH115" s="5">
        <f t="shared" si="111"/>
        <v>0</v>
      </c>
      <c r="AI115" s="5">
        <f t="shared" si="111"/>
        <v>0</v>
      </c>
      <c r="AJ115" s="5">
        <f t="shared" si="111"/>
        <v>0</v>
      </c>
      <c r="AK115" s="5">
        <f t="shared" si="111"/>
        <v>1</v>
      </c>
      <c r="AL115" s="5">
        <f t="shared" si="111"/>
        <v>1</v>
      </c>
      <c r="AM115" s="5">
        <f t="shared" si="111"/>
        <v>1</v>
      </c>
      <c r="AN115" s="5">
        <f t="shared" si="111"/>
        <v>1</v>
      </c>
      <c r="AO115" s="5">
        <f t="shared" si="111"/>
        <v>1</v>
      </c>
      <c r="AP115" s="5">
        <f t="shared" si="111"/>
        <v>1</v>
      </c>
      <c r="AQ115" s="5">
        <f t="shared" si="111"/>
        <v>1</v>
      </c>
      <c r="AR115" s="5">
        <f t="shared" si="111"/>
        <v>1</v>
      </c>
      <c r="AS115" s="5">
        <f t="shared" si="111"/>
        <v>1</v>
      </c>
      <c r="AT115" s="5">
        <f t="shared" si="111"/>
        <v>1</v>
      </c>
      <c r="AU115" s="5">
        <f t="shared" si="111"/>
        <v>1</v>
      </c>
      <c r="AV115" s="5">
        <f t="shared" si="111"/>
        <v>1</v>
      </c>
      <c r="AW115" s="5">
        <f t="shared" si="111"/>
        <v>1</v>
      </c>
      <c r="AX115" s="5">
        <f t="shared" si="111"/>
        <v>1</v>
      </c>
      <c r="AY115" s="5">
        <f t="shared" si="111"/>
        <v>1</v>
      </c>
      <c r="AZ115" s="5">
        <f t="shared" si="111"/>
        <v>1</v>
      </c>
      <c r="BA115" s="5">
        <f t="shared" si="111"/>
        <v>1</v>
      </c>
      <c r="BB115" s="8"/>
      <c r="BC115" s="8"/>
      <c r="BD115" s="8"/>
      <c r="BE115" s="8"/>
      <c r="BF115" s="8"/>
      <c r="BG115" s="8"/>
      <c r="BH115" s="8"/>
      <c r="BI115" s="8"/>
    </row>
    <row r="116" ht="12.75" customHeight="1">
      <c r="A116" s="4">
        <v>202.0</v>
      </c>
      <c r="B116" s="5" t="s">
        <v>280</v>
      </c>
      <c r="C116" s="5" t="s">
        <v>432</v>
      </c>
      <c r="D116" s="5" t="s">
        <v>433</v>
      </c>
      <c r="E116" s="5" t="s">
        <v>22</v>
      </c>
      <c r="F116" s="6">
        <v>45887.0</v>
      </c>
      <c r="G116" s="5" t="s">
        <v>23</v>
      </c>
      <c r="H116" s="6">
        <v>45887.0</v>
      </c>
      <c r="I116" s="5" t="s">
        <v>64</v>
      </c>
      <c r="J116" s="5" t="s">
        <v>35</v>
      </c>
      <c r="K116" s="5" t="s">
        <v>25</v>
      </c>
      <c r="L116" s="5" t="s">
        <v>334</v>
      </c>
      <c r="M116" s="5" t="s">
        <v>39</v>
      </c>
      <c r="N116" s="5" t="s">
        <v>85</v>
      </c>
      <c r="O116" s="5" t="s">
        <v>30</v>
      </c>
      <c r="P116" s="7" t="s">
        <v>75</v>
      </c>
      <c r="Q116" s="7" t="str">
        <f t="array" ref="Q116">IF($M116="Yes","Cost of Goods Sold:COGS- Travel Expenses:",IF($M116="No",XLOOKUP($P116,Key!$I:$I,Key!$J:$J),"Review Billable Status"))</f>
        <v>Cost of Goods Sold:COGS- Travel Expenses:</v>
      </c>
      <c r="R116" s="7" t="str">
        <f t="array" ref="R116">IF($M116="Yes","Cost of Goods Sold:COGS- Personnel Expense:",IF($M116="No",XLOOKUP($P116,Key!$I:$I,Key!$K:$K),"Review Billable Status"))</f>
        <v>Cost of Goods Sold:COGS- Personnel Expense:</v>
      </c>
      <c r="S116" s="10" t="str">
        <f t="array" ref="S116">IF($G116="Paid Intern","PD Intern",IF($G116="Contractor/Consultant","Contractor",XLOOKUP(M116&amp;P116,Key!$M:$M,Key!$L:$L)))</f>
        <v>COR</v>
      </c>
      <c r="T116" s="5">
        <f t="shared" ref="T116:BA116" si="112">IF(OR($F116&gt;T$12,AND($G116="Terminated",T$12&gt;=$H116)),0,1)</f>
        <v>0</v>
      </c>
      <c r="U116" s="5">
        <f t="shared" si="112"/>
        <v>0</v>
      </c>
      <c r="V116" s="5">
        <f t="shared" si="112"/>
        <v>0</v>
      </c>
      <c r="W116" s="5">
        <f t="shared" si="112"/>
        <v>0</v>
      </c>
      <c r="X116" s="5">
        <f t="shared" si="112"/>
        <v>0</v>
      </c>
      <c r="Y116" s="5">
        <f t="shared" si="112"/>
        <v>0</v>
      </c>
      <c r="Z116" s="5">
        <f t="shared" si="112"/>
        <v>0</v>
      </c>
      <c r="AA116" s="5">
        <f t="shared" si="112"/>
        <v>0</v>
      </c>
      <c r="AB116" s="5">
        <f t="shared" si="112"/>
        <v>0</v>
      </c>
      <c r="AC116" s="5">
        <f t="shared" si="112"/>
        <v>0</v>
      </c>
      <c r="AD116" s="5">
        <f t="shared" si="112"/>
        <v>0</v>
      </c>
      <c r="AE116" s="5">
        <f t="shared" si="112"/>
        <v>0</v>
      </c>
      <c r="AF116" s="5">
        <f t="shared" si="112"/>
        <v>0</v>
      </c>
      <c r="AG116" s="5">
        <f t="shared" si="112"/>
        <v>0</v>
      </c>
      <c r="AH116" s="5">
        <f t="shared" si="112"/>
        <v>0</v>
      </c>
      <c r="AI116" s="5">
        <f t="shared" si="112"/>
        <v>0</v>
      </c>
      <c r="AJ116" s="5">
        <f t="shared" si="112"/>
        <v>0</v>
      </c>
      <c r="AK116" s="5">
        <f t="shared" si="112"/>
        <v>1</v>
      </c>
      <c r="AL116" s="5">
        <f t="shared" si="112"/>
        <v>1</v>
      </c>
      <c r="AM116" s="5">
        <f t="shared" si="112"/>
        <v>1</v>
      </c>
      <c r="AN116" s="5">
        <f t="shared" si="112"/>
        <v>1</v>
      </c>
      <c r="AO116" s="5">
        <f t="shared" si="112"/>
        <v>1</v>
      </c>
      <c r="AP116" s="5">
        <f t="shared" si="112"/>
        <v>1</v>
      </c>
      <c r="AQ116" s="5">
        <f t="shared" si="112"/>
        <v>1</v>
      </c>
      <c r="AR116" s="5">
        <f t="shared" si="112"/>
        <v>1</v>
      </c>
      <c r="AS116" s="5">
        <f t="shared" si="112"/>
        <v>1</v>
      </c>
      <c r="AT116" s="5">
        <f t="shared" si="112"/>
        <v>1</v>
      </c>
      <c r="AU116" s="5">
        <f t="shared" si="112"/>
        <v>1</v>
      </c>
      <c r="AV116" s="5">
        <f t="shared" si="112"/>
        <v>1</v>
      </c>
      <c r="AW116" s="5">
        <f t="shared" si="112"/>
        <v>1</v>
      </c>
      <c r="AX116" s="5">
        <f t="shared" si="112"/>
        <v>1</v>
      </c>
      <c r="AY116" s="5">
        <f t="shared" si="112"/>
        <v>1</v>
      </c>
      <c r="AZ116" s="5">
        <f t="shared" si="112"/>
        <v>1</v>
      </c>
      <c r="BA116" s="5">
        <f t="shared" si="112"/>
        <v>1</v>
      </c>
      <c r="BB116" s="8"/>
      <c r="BC116" s="8"/>
      <c r="BD116" s="8"/>
      <c r="BE116" s="8"/>
      <c r="BF116" s="8"/>
      <c r="BG116" s="8"/>
      <c r="BH116" s="8"/>
      <c r="BI116" s="8"/>
    </row>
    <row r="117" ht="12.75" customHeight="1">
      <c r="A117" s="4">
        <v>204.0</v>
      </c>
      <c r="B117" s="5" t="s">
        <v>434</v>
      </c>
      <c r="C117" s="5" t="s">
        <v>435</v>
      </c>
      <c r="D117" s="5" t="s">
        <v>436</v>
      </c>
      <c r="E117" s="5" t="s">
        <v>22</v>
      </c>
      <c r="F117" s="6">
        <v>45890.0</v>
      </c>
      <c r="G117" s="5" t="s">
        <v>23</v>
      </c>
      <c r="H117" s="6">
        <v>45890.0</v>
      </c>
      <c r="I117" s="5" t="s">
        <v>34</v>
      </c>
      <c r="J117" s="5" t="s">
        <v>130</v>
      </c>
      <c r="K117" s="5" t="s">
        <v>25</v>
      </c>
      <c r="L117" s="5" t="s">
        <v>279</v>
      </c>
      <c r="M117" s="5" t="s">
        <v>39</v>
      </c>
      <c r="N117" s="5" t="s">
        <v>85</v>
      </c>
      <c r="O117" s="5" t="s">
        <v>30</v>
      </c>
      <c r="P117" s="7" t="s">
        <v>132</v>
      </c>
      <c r="Q117" s="7" t="str">
        <f t="array" ref="Q117">IF($M117="Yes","Cost of Goods Sold:COGS- Travel Expenses:",IF($M117="No",XLOOKUP($P117,Key!$I:$I,Key!$J:$J),"Review Billable Status"))</f>
        <v>Cost of Goods Sold:COGS- Travel Expenses:</v>
      </c>
      <c r="R117" s="7" t="str">
        <f t="array" ref="R117">IF($M117="Yes","Cost of Goods Sold:COGS- Personnel Expense:",IF($M117="No",XLOOKUP($P117,Key!$I:$I,Key!$K:$K),"Review Billable Status"))</f>
        <v>Cost of Goods Sold:COGS- Personnel Expense:</v>
      </c>
      <c r="S117" s="10" t="str">
        <f t="array" ref="S117">IF($G117="Paid Intern","PD Intern",IF($G117="Contractor/Consultant","Contractor",XLOOKUP(M117&amp;P117,Key!$M:$M,Key!$L:$L)))</f>
        <v>COR</v>
      </c>
      <c r="T117" s="5">
        <f t="shared" ref="T117:BA117" si="113">IF(OR($F117&gt;T$12,AND($G117="Terminated",T$12&gt;=$H117)),0,1)</f>
        <v>0</v>
      </c>
      <c r="U117" s="5">
        <f t="shared" si="113"/>
        <v>0</v>
      </c>
      <c r="V117" s="5">
        <f t="shared" si="113"/>
        <v>0</v>
      </c>
      <c r="W117" s="5">
        <f t="shared" si="113"/>
        <v>0</v>
      </c>
      <c r="X117" s="5">
        <f t="shared" si="113"/>
        <v>0</v>
      </c>
      <c r="Y117" s="5">
        <f t="shared" si="113"/>
        <v>0</v>
      </c>
      <c r="Z117" s="5">
        <f t="shared" si="113"/>
        <v>0</v>
      </c>
      <c r="AA117" s="5">
        <f t="shared" si="113"/>
        <v>0</v>
      </c>
      <c r="AB117" s="5">
        <f t="shared" si="113"/>
        <v>0</v>
      </c>
      <c r="AC117" s="5">
        <f t="shared" si="113"/>
        <v>0</v>
      </c>
      <c r="AD117" s="5">
        <f t="shared" si="113"/>
        <v>0</v>
      </c>
      <c r="AE117" s="5">
        <f t="shared" si="113"/>
        <v>0</v>
      </c>
      <c r="AF117" s="5">
        <f t="shared" si="113"/>
        <v>0</v>
      </c>
      <c r="AG117" s="5">
        <f t="shared" si="113"/>
        <v>0</v>
      </c>
      <c r="AH117" s="5">
        <f t="shared" si="113"/>
        <v>0</v>
      </c>
      <c r="AI117" s="5">
        <f t="shared" si="113"/>
        <v>0</v>
      </c>
      <c r="AJ117" s="5">
        <f t="shared" si="113"/>
        <v>0</v>
      </c>
      <c r="AK117" s="5">
        <f t="shared" si="113"/>
        <v>1</v>
      </c>
      <c r="AL117" s="5">
        <f t="shared" si="113"/>
        <v>1</v>
      </c>
      <c r="AM117" s="5">
        <f t="shared" si="113"/>
        <v>1</v>
      </c>
      <c r="AN117" s="5">
        <f t="shared" si="113"/>
        <v>1</v>
      </c>
      <c r="AO117" s="5">
        <f t="shared" si="113"/>
        <v>1</v>
      </c>
      <c r="AP117" s="5">
        <f t="shared" si="113"/>
        <v>1</v>
      </c>
      <c r="AQ117" s="5">
        <f t="shared" si="113"/>
        <v>1</v>
      </c>
      <c r="AR117" s="5">
        <f t="shared" si="113"/>
        <v>1</v>
      </c>
      <c r="AS117" s="5">
        <f t="shared" si="113"/>
        <v>1</v>
      </c>
      <c r="AT117" s="5">
        <f t="shared" si="113"/>
        <v>1</v>
      </c>
      <c r="AU117" s="5">
        <f t="shared" si="113"/>
        <v>1</v>
      </c>
      <c r="AV117" s="5">
        <f t="shared" si="113"/>
        <v>1</v>
      </c>
      <c r="AW117" s="5">
        <f t="shared" si="113"/>
        <v>1</v>
      </c>
      <c r="AX117" s="5">
        <f t="shared" si="113"/>
        <v>1</v>
      </c>
      <c r="AY117" s="5">
        <f t="shared" si="113"/>
        <v>1</v>
      </c>
      <c r="AZ117" s="5">
        <f t="shared" si="113"/>
        <v>1</v>
      </c>
      <c r="BA117" s="5">
        <f t="shared" si="113"/>
        <v>1</v>
      </c>
      <c r="BB117" s="8"/>
      <c r="BC117" s="8"/>
      <c r="BD117" s="8"/>
      <c r="BE117" s="8"/>
      <c r="BF117" s="8"/>
      <c r="BG117" s="8"/>
      <c r="BH117" s="8"/>
      <c r="BI117" s="8"/>
    </row>
    <row r="118" ht="12.75" customHeight="1">
      <c r="A118" s="4">
        <v>205.0</v>
      </c>
      <c r="B118" s="5" t="s">
        <v>437</v>
      </c>
      <c r="C118" s="5" t="s">
        <v>438</v>
      </c>
      <c r="D118" s="5" t="s">
        <v>439</v>
      </c>
      <c r="E118" s="5" t="s">
        <v>112</v>
      </c>
      <c r="F118" s="6">
        <v>45902.0</v>
      </c>
      <c r="G118" s="5" t="s">
        <v>23</v>
      </c>
      <c r="H118" s="6">
        <v>45902.0</v>
      </c>
      <c r="I118" s="5" t="s">
        <v>34</v>
      </c>
      <c r="J118" s="5" t="s">
        <v>35</v>
      </c>
      <c r="K118" s="5" t="s">
        <v>36</v>
      </c>
      <c r="L118" s="5" t="s">
        <v>179</v>
      </c>
      <c r="M118" s="5" t="s">
        <v>28</v>
      </c>
      <c r="N118" s="5" t="s">
        <v>59</v>
      </c>
      <c r="O118" s="5" t="s">
        <v>114</v>
      </c>
      <c r="P118" s="7" t="s">
        <v>38</v>
      </c>
      <c r="Q118" s="7" t="str">
        <f t="array" ref="Q118">IF($M118="Yes","Cost of Goods Sold:COGS- Travel Expenses:",IF($M118="No",XLOOKUP($P118,Key!$I:$I,Key!$J:$J),"Review Billable Status"))</f>
        <v>General &amp; Administrative:G&amp;A- Travel Expenses:</v>
      </c>
      <c r="R118" s="7" t="str">
        <f t="array" ref="R118">IF($M118="Yes","Cost of Goods Sold:COGS- Personnel Expense:",IF($M118="No",XLOOKUP($P118,Key!$I:$I,Key!$K:$K),"Review Billable Status"))</f>
        <v>General &amp; Administrative:G&amp;A- Personnel Expenses:</v>
      </c>
      <c r="S118" s="10" t="str">
        <f t="array" ref="S118">IF($G118="Paid Intern","PD Intern",IF($G118="Contractor/Consultant","Contractor",XLOOKUP(M118&amp;P118,Key!$M:$M,Key!$L:$L)))</f>
        <v>G&amp;A</v>
      </c>
      <c r="T118" s="5">
        <f t="shared" ref="T118:BA118" si="114">IF(OR($F118&gt;T$12,AND($G118="Terminated",T$12&gt;=$H118)),0,1)</f>
        <v>0</v>
      </c>
      <c r="U118" s="5">
        <f t="shared" si="114"/>
        <v>0</v>
      </c>
      <c r="V118" s="5">
        <f t="shared" si="114"/>
        <v>0</v>
      </c>
      <c r="W118" s="5">
        <f t="shared" si="114"/>
        <v>0</v>
      </c>
      <c r="X118" s="5">
        <f t="shared" si="114"/>
        <v>0</v>
      </c>
      <c r="Y118" s="5">
        <f t="shared" si="114"/>
        <v>0</v>
      </c>
      <c r="Z118" s="5">
        <f t="shared" si="114"/>
        <v>0</v>
      </c>
      <c r="AA118" s="5">
        <f t="shared" si="114"/>
        <v>0</v>
      </c>
      <c r="AB118" s="5">
        <f t="shared" si="114"/>
        <v>0</v>
      </c>
      <c r="AC118" s="5">
        <f t="shared" si="114"/>
        <v>0</v>
      </c>
      <c r="AD118" s="5">
        <f t="shared" si="114"/>
        <v>0</v>
      </c>
      <c r="AE118" s="5">
        <f t="shared" si="114"/>
        <v>0</v>
      </c>
      <c r="AF118" s="5">
        <f t="shared" si="114"/>
        <v>0</v>
      </c>
      <c r="AG118" s="5">
        <f t="shared" si="114"/>
        <v>0</v>
      </c>
      <c r="AH118" s="5">
        <f t="shared" si="114"/>
        <v>0</v>
      </c>
      <c r="AI118" s="5">
        <f t="shared" si="114"/>
        <v>0</v>
      </c>
      <c r="AJ118" s="5">
        <f t="shared" si="114"/>
        <v>0</v>
      </c>
      <c r="AK118" s="5">
        <f t="shared" si="114"/>
        <v>0</v>
      </c>
      <c r="AL118" s="5">
        <f t="shared" si="114"/>
        <v>1</v>
      </c>
      <c r="AM118" s="5">
        <f t="shared" si="114"/>
        <v>1</v>
      </c>
      <c r="AN118" s="5">
        <f t="shared" si="114"/>
        <v>1</v>
      </c>
      <c r="AO118" s="5">
        <f t="shared" si="114"/>
        <v>1</v>
      </c>
      <c r="AP118" s="5">
        <f t="shared" si="114"/>
        <v>1</v>
      </c>
      <c r="AQ118" s="5">
        <f t="shared" si="114"/>
        <v>1</v>
      </c>
      <c r="AR118" s="5">
        <f t="shared" si="114"/>
        <v>1</v>
      </c>
      <c r="AS118" s="5">
        <f t="shared" si="114"/>
        <v>1</v>
      </c>
      <c r="AT118" s="5">
        <f t="shared" si="114"/>
        <v>1</v>
      </c>
      <c r="AU118" s="5">
        <f t="shared" si="114"/>
        <v>1</v>
      </c>
      <c r="AV118" s="5">
        <f t="shared" si="114"/>
        <v>1</v>
      </c>
      <c r="AW118" s="5">
        <f t="shared" si="114"/>
        <v>1</v>
      </c>
      <c r="AX118" s="5">
        <f t="shared" si="114"/>
        <v>1</v>
      </c>
      <c r="AY118" s="5">
        <f t="shared" si="114"/>
        <v>1</v>
      </c>
      <c r="AZ118" s="5">
        <f t="shared" si="114"/>
        <v>1</v>
      </c>
      <c r="BA118" s="5">
        <f t="shared" si="114"/>
        <v>1</v>
      </c>
      <c r="BB118" s="8"/>
      <c r="BC118" s="8"/>
      <c r="BD118" s="8"/>
      <c r="BE118" s="8"/>
      <c r="BF118" s="8"/>
      <c r="BG118" s="8"/>
      <c r="BH118" s="8"/>
      <c r="BI118" s="8"/>
    </row>
    <row r="119" ht="12.75" customHeight="1">
      <c r="A119" s="4">
        <v>207.0</v>
      </c>
      <c r="B119" s="5" t="s">
        <v>159</v>
      </c>
      <c r="C119" s="5" t="s">
        <v>440</v>
      </c>
      <c r="D119" s="5" t="s">
        <v>441</v>
      </c>
      <c r="E119" s="5" t="s">
        <v>22</v>
      </c>
      <c r="F119" s="6">
        <v>45902.0</v>
      </c>
      <c r="G119" s="5" t="s">
        <v>23</v>
      </c>
      <c r="H119" s="6">
        <v>45902.0</v>
      </c>
      <c r="I119" s="5" t="s">
        <v>34</v>
      </c>
      <c r="J119" s="5" t="s">
        <v>35</v>
      </c>
      <c r="K119" s="5" t="s">
        <v>25</v>
      </c>
      <c r="L119" s="5" t="s">
        <v>442</v>
      </c>
      <c r="M119" s="5" t="s">
        <v>39</v>
      </c>
      <c r="N119" s="5" t="s">
        <v>239</v>
      </c>
      <c r="O119" s="5" t="s">
        <v>30</v>
      </c>
      <c r="P119" s="7" t="s">
        <v>38</v>
      </c>
      <c r="Q119" s="7" t="str">
        <f t="array" ref="Q119">IF($M119="Yes","Cost of Goods Sold:COGS- Travel Expenses:",IF($M119="No",XLOOKUP($P119,Key!$I:$I,Key!$J:$J),"Review Billable Status"))</f>
        <v>Cost of Goods Sold:COGS- Travel Expenses:</v>
      </c>
      <c r="R119" s="7" t="str">
        <f t="array" ref="R119">IF($M119="Yes","Cost of Goods Sold:COGS- Personnel Expense:",IF($M119="No",XLOOKUP($P119,Key!$I:$I,Key!$K:$K),"Review Billable Status"))</f>
        <v>Cost of Goods Sold:COGS- Personnel Expense:</v>
      </c>
      <c r="S119" s="10" t="str">
        <f t="array" ref="S119">IF($G119="Paid Intern","PD Intern",IF($G119="Contractor/Consultant","Contractor",XLOOKUP(M119&amp;P119,Key!$M:$M,Key!$L:$L)))</f>
        <v>COR</v>
      </c>
      <c r="T119" s="5">
        <f t="shared" ref="T119:BA119" si="115">IF(OR($F119&gt;T$12,AND($G119="Terminated",T$12&gt;=$H119)),0,1)</f>
        <v>0</v>
      </c>
      <c r="U119" s="5">
        <f t="shared" si="115"/>
        <v>0</v>
      </c>
      <c r="V119" s="5">
        <f t="shared" si="115"/>
        <v>0</v>
      </c>
      <c r="W119" s="5">
        <f t="shared" si="115"/>
        <v>0</v>
      </c>
      <c r="X119" s="5">
        <f t="shared" si="115"/>
        <v>0</v>
      </c>
      <c r="Y119" s="5">
        <f t="shared" si="115"/>
        <v>0</v>
      </c>
      <c r="Z119" s="5">
        <f t="shared" si="115"/>
        <v>0</v>
      </c>
      <c r="AA119" s="5">
        <f t="shared" si="115"/>
        <v>0</v>
      </c>
      <c r="AB119" s="5">
        <f t="shared" si="115"/>
        <v>0</v>
      </c>
      <c r="AC119" s="5">
        <f t="shared" si="115"/>
        <v>0</v>
      </c>
      <c r="AD119" s="5">
        <f t="shared" si="115"/>
        <v>0</v>
      </c>
      <c r="AE119" s="5">
        <f t="shared" si="115"/>
        <v>0</v>
      </c>
      <c r="AF119" s="5">
        <f t="shared" si="115"/>
        <v>0</v>
      </c>
      <c r="AG119" s="5">
        <f t="shared" si="115"/>
        <v>0</v>
      </c>
      <c r="AH119" s="5">
        <f t="shared" si="115"/>
        <v>0</v>
      </c>
      <c r="AI119" s="5">
        <f t="shared" si="115"/>
        <v>0</v>
      </c>
      <c r="AJ119" s="5">
        <f t="shared" si="115"/>
        <v>0</v>
      </c>
      <c r="AK119" s="5">
        <f t="shared" si="115"/>
        <v>0</v>
      </c>
      <c r="AL119" s="5">
        <f t="shared" si="115"/>
        <v>1</v>
      </c>
      <c r="AM119" s="5">
        <f t="shared" si="115"/>
        <v>1</v>
      </c>
      <c r="AN119" s="5">
        <f t="shared" si="115"/>
        <v>1</v>
      </c>
      <c r="AO119" s="5">
        <f t="shared" si="115"/>
        <v>1</v>
      </c>
      <c r="AP119" s="5">
        <f t="shared" si="115"/>
        <v>1</v>
      </c>
      <c r="AQ119" s="5">
        <f t="shared" si="115"/>
        <v>1</v>
      </c>
      <c r="AR119" s="5">
        <f t="shared" si="115"/>
        <v>1</v>
      </c>
      <c r="AS119" s="5">
        <f t="shared" si="115"/>
        <v>1</v>
      </c>
      <c r="AT119" s="5">
        <f t="shared" si="115"/>
        <v>1</v>
      </c>
      <c r="AU119" s="5">
        <f t="shared" si="115"/>
        <v>1</v>
      </c>
      <c r="AV119" s="5">
        <f t="shared" si="115"/>
        <v>1</v>
      </c>
      <c r="AW119" s="5">
        <f t="shared" si="115"/>
        <v>1</v>
      </c>
      <c r="AX119" s="5">
        <f t="shared" si="115"/>
        <v>1</v>
      </c>
      <c r="AY119" s="5">
        <f t="shared" si="115"/>
        <v>1</v>
      </c>
      <c r="AZ119" s="5">
        <f t="shared" si="115"/>
        <v>1</v>
      </c>
      <c r="BA119" s="5">
        <f t="shared" si="115"/>
        <v>1</v>
      </c>
      <c r="BB119" s="8"/>
      <c r="BC119" s="8"/>
      <c r="BD119" s="8"/>
      <c r="BE119" s="8"/>
      <c r="BF119" s="8"/>
      <c r="BG119" s="8"/>
      <c r="BH119" s="8"/>
      <c r="BI119" s="8"/>
    </row>
    <row r="120" ht="12.75" customHeight="1">
      <c r="A120" s="4">
        <v>208.0</v>
      </c>
      <c r="B120" s="5" t="s">
        <v>443</v>
      </c>
      <c r="C120" s="5" t="s">
        <v>444</v>
      </c>
      <c r="D120" s="5" t="s">
        <v>445</v>
      </c>
      <c r="E120" s="5" t="s">
        <v>22</v>
      </c>
      <c r="F120" s="6">
        <v>45902.0</v>
      </c>
      <c r="G120" s="5" t="s">
        <v>23</v>
      </c>
      <c r="H120" s="6">
        <v>45902.0</v>
      </c>
      <c r="I120" s="5" t="s">
        <v>34</v>
      </c>
      <c r="J120" s="5" t="s">
        <v>35</v>
      </c>
      <c r="K120" s="5" t="s">
        <v>25</v>
      </c>
      <c r="L120" s="5" t="s">
        <v>442</v>
      </c>
      <c r="M120" s="5" t="s">
        <v>39</v>
      </c>
      <c r="N120" s="5" t="s">
        <v>239</v>
      </c>
      <c r="O120" s="5" t="s">
        <v>30</v>
      </c>
      <c r="P120" s="7" t="s">
        <v>38</v>
      </c>
      <c r="Q120" s="7" t="str">
        <f t="array" ref="Q120">IF($M120="Yes","Cost of Goods Sold:COGS- Travel Expenses:",IF($M120="No",XLOOKUP($P120,Key!$I:$I,Key!$J:$J),"Review Billable Status"))</f>
        <v>Cost of Goods Sold:COGS- Travel Expenses:</v>
      </c>
      <c r="R120" s="7" t="str">
        <f t="array" ref="R120">IF($M120="Yes","Cost of Goods Sold:COGS- Personnel Expense:",IF($M120="No",XLOOKUP($P120,Key!$I:$I,Key!$K:$K),"Review Billable Status"))</f>
        <v>Cost of Goods Sold:COGS- Personnel Expense:</v>
      </c>
      <c r="S120" s="10" t="str">
        <f t="array" ref="S120">IF($G120="Paid Intern","PD Intern",IF($G120="Contractor/Consultant","Contractor",XLOOKUP(M120&amp;P120,Key!$M:$M,Key!$L:$L)))</f>
        <v>COR</v>
      </c>
      <c r="T120" s="5">
        <f t="shared" ref="T120:BA120" si="116">IF(OR($F120&gt;T$12,AND($G120="Terminated",T$12&gt;=$H120)),0,1)</f>
        <v>0</v>
      </c>
      <c r="U120" s="5">
        <f t="shared" si="116"/>
        <v>0</v>
      </c>
      <c r="V120" s="5">
        <f t="shared" si="116"/>
        <v>0</v>
      </c>
      <c r="W120" s="5">
        <f t="shared" si="116"/>
        <v>0</v>
      </c>
      <c r="X120" s="5">
        <f t="shared" si="116"/>
        <v>0</v>
      </c>
      <c r="Y120" s="5">
        <f t="shared" si="116"/>
        <v>0</v>
      </c>
      <c r="Z120" s="5">
        <f t="shared" si="116"/>
        <v>0</v>
      </c>
      <c r="AA120" s="5">
        <f t="shared" si="116"/>
        <v>0</v>
      </c>
      <c r="AB120" s="5">
        <f t="shared" si="116"/>
        <v>0</v>
      </c>
      <c r="AC120" s="5">
        <f t="shared" si="116"/>
        <v>0</v>
      </c>
      <c r="AD120" s="5">
        <f t="shared" si="116"/>
        <v>0</v>
      </c>
      <c r="AE120" s="5">
        <f t="shared" si="116"/>
        <v>0</v>
      </c>
      <c r="AF120" s="5">
        <f t="shared" si="116"/>
        <v>0</v>
      </c>
      <c r="AG120" s="5">
        <f t="shared" si="116"/>
        <v>0</v>
      </c>
      <c r="AH120" s="5">
        <f t="shared" si="116"/>
        <v>0</v>
      </c>
      <c r="AI120" s="5">
        <f t="shared" si="116"/>
        <v>0</v>
      </c>
      <c r="AJ120" s="5">
        <f t="shared" si="116"/>
        <v>0</v>
      </c>
      <c r="AK120" s="5">
        <f t="shared" si="116"/>
        <v>0</v>
      </c>
      <c r="AL120" s="5">
        <f t="shared" si="116"/>
        <v>1</v>
      </c>
      <c r="AM120" s="5">
        <f t="shared" si="116"/>
        <v>1</v>
      </c>
      <c r="AN120" s="5">
        <f t="shared" si="116"/>
        <v>1</v>
      </c>
      <c r="AO120" s="5">
        <f t="shared" si="116"/>
        <v>1</v>
      </c>
      <c r="AP120" s="5">
        <f t="shared" si="116"/>
        <v>1</v>
      </c>
      <c r="AQ120" s="5">
        <f t="shared" si="116"/>
        <v>1</v>
      </c>
      <c r="AR120" s="5">
        <f t="shared" si="116"/>
        <v>1</v>
      </c>
      <c r="AS120" s="5">
        <f t="shared" si="116"/>
        <v>1</v>
      </c>
      <c r="AT120" s="5">
        <f t="shared" si="116"/>
        <v>1</v>
      </c>
      <c r="AU120" s="5">
        <f t="shared" si="116"/>
        <v>1</v>
      </c>
      <c r="AV120" s="5">
        <f t="shared" si="116"/>
        <v>1</v>
      </c>
      <c r="AW120" s="5">
        <f t="shared" si="116"/>
        <v>1</v>
      </c>
      <c r="AX120" s="5">
        <f t="shared" si="116"/>
        <v>1</v>
      </c>
      <c r="AY120" s="5">
        <f t="shared" si="116"/>
        <v>1</v>
      </c>
      <c r="AZ120" s="5">
        <f t="shared" si="116"/>
        <v>1</v>
      </c>
      <c r="BA120" s="5">
        <f t="shared" si="116"/>
        <v>1</v>
      </c>
      <c r="BB120" s="8"/>
      <c r="BC120" s="8"/>
      <c r="BD120" s="8"/>
      <c r="BE120" s="8"/>
      <c r="BF120" s="8"/>
      <c r="BG120" s="8"/>
      <c r="BH120" s="8"/>
      <c r="BI120" s="8"/>
    </row>
    <row r="121" ht="12.75" customHeight="1">
      <c r="A121" s="4">
        <v>209.0</v>
      </c>
      <c r="B121" s="5" t="s">
        <v>446</v>
      </c>
      <c r="C121" s="5" t="s">
        <v>447</v>
      </c>
      <c r="D121" s="5" t="s">
        <v>448</v>
      </c>
      <c r="E121" s="5" t="s">
        <v>112</v>
      </c>
      <c r="F121" s="6">
        <v>45908.0</v>
      </c>
      <c r="G121" s="5" t="s">
        <v>23</v>
      </c>
      <c r="H121" s="6">
        <v>45908.0</v>
      </c>
      <c r="I121" s="5" t="s">
        <v>34</v>
      </c>
      <c r="J121" s="5" t="s">
        <v>35</v>
      </c>
      <c r="K121" s="5" t="s">
        <v>25</v>
      </c>
      <c r="L121" s="5" t="s">
        <v>442</v>
      </c>
      <c r="M121" s="5" t="s">
        <v>39</v>
      </c>
      <c r="N121" s="5" t="s">
        <v>239</v>
      </c>
      <c r="O121" s="5" t="s">
        <v>30</v>
      </c>
      <c r="P121" s="7" t="s">
        <v>38</v>
      </c>
      <c r="Q121" s="7" t="str">
        <f t="array" ref="Q121">IF($M121="Yes","Cost of Goods Sold:COGS- Travel Expenses:",IF($M121="No",XLOOKUP($P121,Key!$I:$I,Key!$J:$J),"Review Billable Status"))</f>
        <v>Cost of Goods Sold:COGS- Travel Expenses:</v>
      </c>
      <c r="R121" s="7" t="str">
        <f t="array" ref="R121">IF($M121="Yes","Cost of Goods Sold:COGS- Personnel Expense:",IF($M121="No",XLOOKUP($P121,Key!$I:$I,Key!$K:$K),"Review Billable Status"))</f>
        <v>Cost of Goods Sold:COGS- Personnel Expense:</v>
      </c>
      <c r="S121" s="10" t="str">
        <f t="array" ref="S121">IF($G121="Paid Intern","PD Intern",IF($G121="Contractor/Consultant","Contractor",XLOOKUP(M121&amp;P121,Key!$M:$M,Key!$L:$L)))</f>
        <v>COR</v>
      </c>
      <c r="T121" s="5">
        <f t="shared" ref="T121:BA121" si="117">IF(OR($F121&gt;T$12,AND($G121="Terminated",T$12&gt;=$H121)),0,1)</f>
        <v>0</v>
      </c>
      <c r="U121" s="5">
        <f t="shared" si="117"/>
        <v>0</v>
      </c>
      <c r="V121" s="5">
        <f t="shared" si="117"/>
        <v>0</v>
      </c>
      <c r="W121" s="5">
        <f t="shared" si="117"/>
        <v>0</v>
      </c>
      <c r="X121" s="5">
        <f t="shared" si="117"/>
        <v>0</v>
      </c>
      <c r="Y121" s="5">
        <f t="shared" si="117"/>
        <v>0</v>
      </c>
      <c r="Z121" s="5">
        <f t="shared" si="117"/>
        <v>0</v>
      </c>
      <c r="AA121" s="5">
        <f t="shared" si="117"/>
        <v>0</v>
      </c>
      <c r="AB121" s="5">
        <f t="shared" si="117"/>
        <v>0</v>
      </c>
      <c r="AC121" s="5">
        <f t="shared" si="117"/>
        <v>0</v>
      </c>
      <c r="AD121" s="5">
        <f t="shared" si="117"/>
        <v>0</v>
      </c>
      <c r="AE121" s="5">
        <f t="shared" si="117"/>
        <v>0</v>
      </c>
      <c r="AF121" s="5">
        <f t="shared" si="117"/>
        <v>0</v>
      </c>
      <c r="AG121" s="5">
        <f t="shared" si="117"/>
        <v>0</v>
      </c>
      <c r="AH121" s="5">
        <f t="shared" si="117"/>
        <v>0</v>
      </c>
      <c r="AI121" s="5">
        <f t="shared" si="117"/>
        <v>0</v>
      </c>
      <c r="AJ121" s="5">
        <f t="shared" si="117"/>
        <v>0</v>
      </c>
      <c r="AK121" s="5">
        <f t="shared" si="117"/>
        <v>0</v>
      </c>
      <c r="AL121" s="5">
        <f t="shared" si="117"/>
        <v>1</v>
      </c>
      <c r="AM121" s="5">
        <f t="shared" si="117"/>
        <v>1</v>
      </c>
      <c r="AN121" s="5">
        <f t="shared" si="117"/>
        <v>1</v>
      </c>
      <c r="AO121" s="5">
        <f t="shared" si="117"/>
        <v>1</v>
      </c>
      <c r="AP121" s="5">
        <f t="shared" si="117"/>
        <v>1</v>
      </c>
      <c r="AQ121" s="5">
        <f t="shared" si="117"/>
        <v>1</v>
      </c>
      <c r="AR121" s="5">
        <f t="shared" si="117"/>
        <v>1</v>
      </c>
      <c r="AS121" s="5">
        <f t="shared" si="117"/>
        <v>1</v>
      </c>
      <c r="AT121" s="5">
        <f t="shared" si="117"/>
        <v>1</v>
      </c>
      <c r="AU121" s="5">
        <f t="shared" si="117"/>
        <v>1</v>
      </c>
      <c r="AV121" s="5">
        <f t="shared" si="117"/>
        <v>1</v>
      </c>
      <c r="AW121" s="5">
        <f t="shared" si="117"/>
        <v>1</v>
      </c>
      <c r="AX121" s="5">
        <f t="shared" si="117"/>
        <v>1</v>
      </c>
      <c r="AY121" s="5">
        <f t="shared" si="117"/>
        <v>1</v>
      </c>
      <c r="AZ121" s="5">
        <f t="shared" si="117"/>
        <v>1</v>
      </c>
      <c r="BA121" s="5">
        <f t="shared" si="117"/>
        <v>1</v>
      </c>
      <c r="BB121" s="8"/>
      <c r="BC121" s="8"/>
      <c r="BD121" s="8"/>
      <c r="BE121" s="8"/>
      <c r="BF121" s="8"/>
      <c r="BG121" s="8"/>
      <c r="BH121" s="8"/>
      <c r="BI121" s="8"/>
    </row>
    <row r="122" ht="12.75" customHeight="1">
      <c r="A122" s="4">
        <v>210.0</v>
      </c>
      <c r="B122" s="5" t="s">
        <v>449</v>
      </c>
      <c r="C122" s="5" t="s">
        <v>450</v>
      </c>
      <c r="D122" s="5" t="s">
        <v>451</v>
      </c>
      <c r="E122" s="5" t="s">
        <v>22</v>
      </c>
      <c r="F122" s="6">
        <v>45915.0</v>
      </c>
      <c r="G122" s="5" t="s">
        <v>23</v>
      </c>
      <c r="H122" s="6">
        <v>45915.0</v>
      </c>
      <c r="I122" s="5" t="s">
        <v>64</v>
      </c>
      <c r="J122" s="5" t="s">
        <v>35</v>
      </c>
      <c r="K122" s="5" t="s">
        <v>25</v>
      </c>
      <c r="L122" s="5" t="s">
        <v>334</v>
      </c>
      <c r="M122" s="5" t="s">
        <v>39</v>
      </c>
      <c r="N122" s="5" t="s">
        <v>85</v>
      </c>
      <c r="O122" s="5" t="s">
        <v>30</v>
      </c>
      <c r="P122" s="7" t="s">
        <v>75</v>
      </c>
      <c r="Q122" s="7" t="str">
        <f t="array" ref="Q122">IF($M122="Yes","Cost of Goods Sold:COGS- Travel Expenses:",IF($M122="No",XLOOKUP($P122,Key!$I:$I,Key!$J:$J),"Review Billable Status"))</f>
        <v>Cost of Goods Sold:COGS- Travel Expenses:</v>
      </c>
      <c r="R122" s="7" t="str">
        <f t="array" ref="R122">IF($M122="Yes","Cost of Goods Sold:COGS- Personnel Expense:",IF($M122="No",XLOOKUP($P122,Key!$I:$I,Key!$K:$K),"Review Billable Status"))</f>
        <v>Cost of Goods Sold:COGS- Personnel Expense:</v>
      </c>
      <c r="S122" s="10" t="str">
        <f t="array" ref="S122">IF($G122="Paid Intern","PD Intern",IF($G122="Contractor/Consultant","Contractor",XLOOKUP(M122&amp;P122,Key!$M:$M,Key!$L:$L)))</f>
        <v>COR</v>
      </c>
      <c r="T122" s="5">
        <f t="shared" ref="T122:BA122" si="118">IF(OR($F122&gt;T$12,AND($G122="Terminated",T$12&gt;=$H122)),0,1)</f>
        <v>0</v>
      </c>
      <c r="U122" s="5">
        <f t="shared" si="118"/>
        <v>0</v>
      </c>
      <c r="V122" s="5">
        <f t="shared" si="118"/>
        <v>0</v>
      </c>
      <c r="W122" s="5">
        <f t="shared" si="118"/>
        <v>0</v>
      </c>
      <c r="X122" s="5">
        <f t="shared" si="118"/>
        <v>0</v>
      </c>
      <c r="Y122" s="5">
        <f t="shared" si="118"/>
        <v>0</v>
      </c>
      <c r="Z122" s="5">
        <f t="shared" si="118"/>
        <v>0</v>
      </c>
      <c r="AA122" s="5">
        <f t="shared" si="118"/>
        <v>0</v>
      </c>
      <c r="AB122" s="5">
        <f t="shared" si="118"/>
        <v>0</v>
      </c>
      <c r="AC122" s="5">
        <f t="shared" si="118"/>
        <v>0</v>
      </c>
      <c r="AD122" s="5">
        <f t="shared" si="118"/>
        <v>0</v>
      </c>
      <c r="AE122" s="5">
        <f t="shared" si="118"/>
        <v>0</v>
      </c>
      <c r="AF122" s="5">
        <f t="shared" si="118"/>
        <v>0</v>
      </c>
      <c r="AG122" s="5">
        <f t="shared" si="118"/>
        <v>0</v>
      </c>
      <c r="AH122" s="5">
        <f t="shared" si="118"/>
        <v>0</v>
      </c>
      <c r="AI122" s="5">
        <f t="shared" si="118"/>
        <v>0</v>
      </c>
      <c r="AJ122" s="5">
        <f t="shared" si="118"/>
        <v>0</v>
      </c>
      <c r="AK122" s="5">
        <f t="shared" si="118"/>
        <v>0</v>
      </c>
      <c r="AL122" s="5">
        <f t="shared" si="118"/>
        <v>1</v>
      </c>
      <c r="AM122" s="5">
        <f t="shared" si="118"/>
        <v>1</v>
      </c>
      <c r="AN122" s="5">
        <f t="shared" si="118"/>
        <v>1</v>
      </c>
      <c r="AO122" s="5">
        <f t="shared" si="118"/>
        <v>1</v>
      </c>
      <c r="AP122" s="5">
        <f t="shared" si="118"/>
        <v>1</v>
      </c>
      <c r="AQ122" s="5">
        <f t="shared" si="118"/>
        <v>1</v>
      </c>
      <c r="AR122" s="5">
        <f t="shared" si="118"/>
        <v>1</v>
      </c>
      <c r="AS122" s="5">
        <f t="shared" si="118"/>
        <v>1</v>
      </c>
      <c r="AT122" s="5">
        <f t="shared" si="118"/>
        <v>1</v>
      </c>
      <c r="AU122" s="5">
        <f t="shared" si="118"/>
        <v>1</v>
      </c>
      <c r="AV122" s="5">
        <f t="shared" si="118"/>
        <v>1</v>
      </c>
      <c r="AW122" s="5">
        <f t="shared" si="118"/>
        <v>1</v>
      </c>
      <c r="AX122" s="5">
        <f t="shared" si="118"/>
        <v>1</v>
      </c>
      <c r="AY122" s="5">
        <f t="shared" si="118"/>
        <v>1</v>
      </c>
      <c r="AZ122" s="5">
        <f t="shared" si="118"/>
        <v>1</v>
      </c>
      <c r="BA122" s="5">
        <f t="shared" si="118"/>
        <v>1</v>
      </c>
      <c r="BB122" s="8"/>
      <c r="BC122" s="8"/>
      <c r="BD122" s="8"/>
      <c r="BE122" s="8"/>
      <c r="BF122" s="8"/>
      <c r="BG122" s="8"/>
      <c r="BH122" s="8"/>
      <c r="BI122" s="8"/>
    </row>
    <row r="123" ht="12.75" customHeight="1">
      <c r="A123" s="4">
        <v>211.0</v>
      </c>
      <c r="B123" s="5" t="s">
        <v>287</v>
      </c>
      <c r="C123" s="5" t="s">
        <v>452</v>
      </c>
      <c r="D123" s="5" t="s">
        <v>453</v>
      </c>
      <c r="E123" s="5" t="s">
        <v>22</v>
      </c>
      <c r="F123" s="6">
        <v>45902.0</v>
      </c>
      <c r="G123" s="5" t="s">
        <v>23</v>
      </c>
      <c r="H123" s="6">
        <v>45902.0</v>
      </c>
      <c r="I123" s="5" t="s">
        <v>34</v>
      </c>
      <c r="J123" s="5" t="s">
        <v>35</v>
      </c>
      <c r="K123" s="5" t="s">
        <v>36</v>
      </c>
      <c r="L123" s="5" t="s">
        <v>153</v>
      </c>
      <c r="M123" s="5" t="s">
        <v>39</v>
      </c>
      <c r="N123" s="5" t="s">
        <v>85</v>
      </c>
      <c r="O123" s="5" t="s">
        <v>330</v>
      </c>
      <c r="P123" s="7" t="s">
        <v>38</v>
      </c>
      <c r="Q123" s="7" t="str">
        <f t="array" ref="Q123">IF($M123="Yes","Cost of Goods Sold:COGS- Travel Expenses:",IF($M123="No",XLOOKUP($P123,Key!$I:$I,Key!$J:$J),"Review Billable Status"))</f>
        <v>Cost of Goods Sold:COGS- Travel Expenses:</v>
      </c>
      <c r="R123" s="7" t="str">
        <f t="array" ref="R123">IF($M123="Yes","Cost of Goods Sold:COGS- Personnel Expense:",IF($M123="No",XLOOKUP($P123,Key!$I:$I,Key!$K:$K),"Review Billable Status"))</f>
        <v>Cost of Goods Sold:COGS- Personnel Expense:</v>
      </c>
      <c r="S123" s="10" t="str">
        <f t="array" ref="S123">IF($G123="Paid Intern","PD Intern",IF($G123="Contractor/Consultant","Contractor",XLOOKUP(M123&amp;P123,Key!$M:$M,Key!$L:$L)))</f>
        <v>COR</v>
      </c>
      <c r="T123" s="5">
        <f t="shared" ref="T123:BA123" si="119">IF(OR($F123&gt;T$12,AND($G123="Terminated",T$12&gt;=$H123)),0,1)</f>
        <v>0</v>
      </c>
      <c r="U123" s="5">
        <f t="shared" si="119"/>
        <v>0</v>
      </c>
      <c r="V123" s="5">
        <f t="shared" si="119"/>
        <v>0</v>
      </c>
      <c r="W123" s="5">
        <f t="shared" si="119"/>
        <v>0</v>
      </c>
      <c r="X123" s="5">
        <f t="shared" si="119"/>
        <v>0</v>
      </c>
      <c r="Y123" s="5">
        <f t="shared" si="119"/>
        <v>0</v>
      </c>
      <c r="Z123" s="5">
        <f t="shared" si="119"/>
        <v>0</v>
      </c>
      <c r="AA123" s="5">
        <f t="shared" si="119"/>
        <v>0</v>
      </c>
      <c r="AB123" s="5">
        <f t="shared" si="119"/>
        <v>0</v>
      </c>
      <c r="AC123" s="5">
        <f t="shared" si="119"/>
        <v>0</v>
      </c>
      <c r="AD123" s="5">
        <f t="shared" si="119"/>
        <v>0</v>
      </c>
      <c r="AE123" s="5">
        <f t="shared" si="119"/>
        <v>0</v>
      </c>
      <c r="AF123" s="5">
        <f t="shared" si="119"/>
        <v>0</v>
      </c>
      <c r="AG123" s="5">
        <f t="shared" si="119"/>
        <v>0</v>
      </c>
      <c r="AH123" s="5">
        <f t="shared" si="119"/>
        <v>0</v>
      </c>
      <c r="AI123" s="5">
        <f t="shared" si="119"/>
        <v>0</v>
      </c>
      <c r="AJ123" s="5">
        <f t="shared" si="119"/>
        <v>0</v>
      </c>
      <c r="AK123" s="5">
        <f t="shared" si="119"/>
        <v>0</v>
      </c>
      <c r="AL123" s="5">
        <f t="shared" si="119"/>
        <v>1</v>
      </c>
      <c r="AM123" s="5">
        <f t="shared" si="119"/>
        <v>1</v>
      </c>
      <c r="AN123" s="5">
        <f t="shared" si="119"/>
        <v>1</v>
      </c>
      <c r="AO123" s="5">
        <f t="shared" si="119"/>
        <v>1</v>
      </c>
      <c r="AP123" s="5">
        <f t="shared" si="119"/>
        <v>1</v>
      </c>
      <c r="AQ123" s="5">
        <f t="shared" si="119"/>
        <v>1</v>
      </c>
      <c r="AR123" s="5">
        <f t="shared" si="119"/>
        <v>1</v>
      </c>
      <c r="AS123" s="5">
        <f t="shared" si="119"/>
        <v>1</v>
      </c>
      <c r="AT123" s="5">
        <f t="shared" si="119"/>
        <v>1</v>
      </c>
      <c r="AU123" s="5">
        <f t="shared" si="119"/>
        <v>1</v>
      </c>
      <c r="AV123" s="5">
        <f t="shared" si="119"/>
        <v>1</v>
      </c>
      <c r="AW123" s="5">
        <f t="shared" si="119"/>
        <v>1</v>
      </c>
      <c r="AX123" s="5">
        <f t="shared" si="119"/>
        <v>1</v>
      </c>
      <c r="AY123" s="5">
        <f t="shared" si="119"/>
        <v>1</v>
      </c>
      <c r="AZ123" s="5">
        <f t="shared" si="119"/>
        <v>1</v>
      </c>
      <c r="BA123" s="5">
        <f t="shared" si="119"/>
        <v>1</v>
      </c>
      <c r="BB123" s="8"/>
      <c r="BC123" s="8"/>
      <c r="BD123" s="8"/>
      <c r="BE123" s="8"/>
      <c r="BF123" s="8"/>
      <c r="BG123" s="8"/>
      <c r="BH123" s="8"/>
      <c r="BI123" s="8"/>
    </row>
    <row r="124" ht="12.75" customHeight="1">
      <c r="A124" s="4">
        <v>212.0</v>
      </c>
      <c r="B124" s="5" t="s">
        <v>454</v>
      </c>
      <c r="C124" s="5" t="s">
        <v>455</v>
      </c>
      <c r="D124" s="5" t="s">
        <v>456</v>
      </c>
      <c r="E124" s="5" t="s">
        <v>22</v>
      </c>
      <c r="F124" s="6">
        <v>45915.0</v>
      </c>
      <c r="G124" s="5" t="s">
        <v>23</v>
      </c>
      <c r="H124" s="6">
        <v>45915.0</v>
      </c>
      <c r="I124" s="5" t="s">
        <v>34</v>
      </c>
      <c r="J124" s="5" t="s">
        <v>35</v>
      </c>
      <c r="K124" s="5" t="s">
        <v>107</v>
      </c>
      <c r="L124" s="5" t="s">
        <v>457</v>
      </c>
      <c r="M124" s="5" t="s">
        <v>39</v>
      </c>
      <c r="N124" s="5" t="s">
        <v>52</v>
      </c>
      <c r="O124" s="5" t="s">
        <v>458</v>
      </c>
      <c r="P124" s="7" t="s">
        <v>38</v>
      </c>
      <c r="Q124" s="7" t="str">
        <f t="array" ref="Q124">IF($M124="Yes","Cost of Goods Sold:COGS- Travel Expenses:",IF($M124="No",XLOOKUP($P124,Key!$I:$I,Key!$J:$J),"Review Billable Status"))</f>
        <v>Cost of Goods Sold:COGS- Travel Expenses:</v>
      </c>
      <c r="R124" s="7" t="str">
        <f t="array" ref="R124">IF($M124="Yes","Cost of Goods Sold:COGS- Personnel Expense:",IF($M124="No",XLOOKUP($P124,Key!$I:$I,Key!$K:$K),"Review Billable Status"))</f>
        <v>Cost of Goods Sold:COGS- Personnel Expense:</v>
      </c>
      <c r="S124" s="10" t="str">
        <f t="array" ref="S124">IF($G124="Paid Intern","PD Intern",IF($G124="Contractor/Consultant","Contractor",XLOOKUP(M124&amp;P124,Key!$M:$M,Key!$L:$L)))</f>
        <v>COR</v>
      </c>
      <c r="T124" s="5">
        <f t="shared" ref="T124:BA124" si="120">IF(OR($F124&gt;T$12,AND($G124="Terminated",T$12&gt;=$H124)),0,1)</f>
        <v>0</v>
      </c>
      <c r="U124" s="5">
        <f t="shared" si="120"/>
        <v>0</v>
      </c>
      <c r="V124" s="5">
        <f t="shared" si="120"/>
        <v>0</v>
      </c>
      <c r="W124" s="5">
        <f t="shared" si="120"/>
        <v>0</v>
      </c>
      <c r="X124" s="5">
        <f t="shared" si="120"/>
        <v>0</v>
      </c>
      <c r="Y124" s="5">
        <f t="shared" si="120"/>
        <v>0</v>
      </c>
      <c r="Z124" s="5">
        <f t="shared" si="120"/>
        <v>0</v>
      </c>
      <c r="AA124" s="5">
        <f t="shared" si="120"/>
        <v>0</v>
      </c>
      <c r="AB124" s="5">
        <f t="shared" si="120"/>
        <v>0</v>
      </c>
      <c r="AC124" s="5">
        <f t="shared" si="120"/>
        <v>0</v>
      </c>
      <c r="AD124" s="5">
        <f t="shared" si="120"/>
        <v>0</v>
      </c>
      <c r="AE124" s="5">
        <f t="shared" si="120"/>
        <v>0</v>
      </c>
      <c r="AF124" s="5">
        <f t="shared" si="120"/>
        <v>0</v>
      </c>
      <c r="AG124" s="5">
        <f t="shared" si="120"/>
        <v>0</v>
      </c>
      <c r="AH124" s="5">
        <f t="shared" si="120"/>
        <v>0</v>
      </c>
      <c r="AI124" s="5">
        <f t="shared" si="120"/>
        <v>0</v>
      </c>
      <c r="AJ124" s="5">
        <f t="shared" si="120"/>
        <v>0</v>
      </c>
      <c r="AK124" s="5">
        <f t="shared" si="120"/>
        <v>0</v>
      </c>
      <c r="AL124" s="5">
        <f t="shared" si="120"/>
        <v>1</v>
      </c>
      <c r="AM124" s="5">
        <f t="shared" si="120"/>
        <v>1</v>
      </c>
      <c r="AN124" s="5">
        <f t="shared" si="120"/>
        <v>1</v>
      </c>
      <c r="AO124" s="5">
        <f t="shared" si="120"/>
        <v>1</v>
      </c>
      <c r="AP124" s="5">
        <f t="shared" si="120"/>
        <v>1</v>
      </c>
      <c r="AQ124" s="5">
        <f t="shared" si="120"/>
        <v>1</v>
      </c>
      <c r="AR124" s="5">
        <f t="shared" si="120"/>
        <v>1</v>
      </c>
      <c r="AS124" s="5">
        <f t="shared" si="120"/>
        <v>1</v>
      </c>
      <c r="AT124" s="5">
        <f t="shared" si="120"/>
        <v>1</v>
      </c>
      <c r="AU124" s="5">
        <f t="shared" si="120"/>
        <v>1</v>
      </c>
      <c r="AV124" s="5">
        <f t="shared" si="120"/>
        <v>1</v>
      </c>
      <c r="AW124" s="5">
        <f t="shared" si="120"/>
        <v>1</v>
      </c>
      <c r="AX124" s="5">
        <f t="shared" si="120"/>
        <v>1</v>
      </c>
      <c r="AY124" s="5">
        <f t="shared" si="120"/>
        <v>1</v>
      </c>
      <c r="AZ124" s="5">
        <f t="shared" si="120"/>
        <v>1</v>
      </c>
      <c r="BA124" s="5">
        <f t="shared" si="120"/>
        <v>1</v>
      </c>
      <c r="BB124" s="8"/>
      <c r="BC124" s="8"/>
      <c r="BD124" s="8"/>
      <c r="BE124" s="8"/>
      <c r="BF124" s="8"/>
      <c r="BG124" s="8"/>
      <c r="BH124" s="8"/>
      <c r="BI124" s="8"/>
    </row>
    <row r="125" ht="12.75" customHeight="1">
      <c r="A125" s="4">
        <v>213.0</v>
      </c>
      <c r="B125" s="5" t="s">
        <v>443</v>
      </c>
      <c r="C125" s="5" t="s">
        <v>459</v>
      </c>
      <c r="D125" s="5" t="s">
        <v>460</v>
      </c>
      <c r="E125" s="5" t="s">
        <v>22</v>
      </c>
      <c r="F125" s="6">
        <v>45908.0</v>
      </c>
      <c r="G125" s="5" t="s">
        <v>23</v>
      </c>
      <c r="H125" s="6">
        <v>45908.0</v>
      </c>
      <c r="I125" s="5" t="s">
        <v>34</v>
      </c>
      <c r="J125" s="5" t="s">
        <v>130</v>
      </c>
      <c r="K125" s="5" t="s">
        <v>25</v>
      </c>
      <c r="L125" s="5" t="s">
        <v>131</v>
      </c>
      <c r="M125" s="5" t="s">
        <v>39</v>
      </c>
      <c r="N125" s="5" t="s">
        <v>52</v>
      </c>
      <c r="O125" s="5" t="s">
        <v>30</v>
      </c>
      <c r="P125" s="7" t="s">
        <v>132</v>
      </c>
      <c r="Q125" s="7" t="str">
        <f t="array" ref="Q125">IF($M125="Yes","Cost of Goods Sold:COGS- Travel Expenses:",IF($M125="No",XLOOKUP($P125,Key!$I:$I,Key!$J:$J),"Review Billable Status"))</f>
        <v>Cost of Goods Sold:COGS- Travel Expenses:</v>
      </c>
      <c r="R125" s="7" t="str">
        <f t="array" ref="R125">IF($M125="Yes","Cost of Goods Sold:COGS- Personnel Expense:",IF($M125="No",XLOOKUP($P125,Key!$I:$I,Key!$K:$K),"Review Billable Status"))</f>
        <v>Cost of Goods Sold:COGS- Personnel Expense:</v>
      </c>
      <c r="S125" s="10" t="str">
        <f t="array" ref="S125">IF($G125="Paid Intern","PD Intern",IF($G125="Contractor/Consultant","Contractor",XLOOKUP(M125&amp;P125,Key!$M:$M,Key!$L:$L)))</f>
        <v>COR</v>
      </c>
      <c r="T125" s="5">
        <f t="shared" ref="T125:BA125" si="121">IF(OR($F125&gt;T$12,AND($G125="Terminated",T$12&gt;=$H125)),0,1)</f>
        <v>0</v>
      </c>
      <c r="U125" s="5">
        <f t="shared" si="121"/>
        <v>0</v>
      </c>
      <c r="V125" s="5">
        <f t="shared" si="121"/>
        <v>0</v>
      </c>
      <c r="W125" s="5">
        <f t="shared" si="121"/>
        <v>0</v>
      </c>
      <c r="X125" s="5">
        <f t="shared" si="121"/>
        <v>0</v>
      </c>
      <c r="Y125" s="5">
        <f t="shared" si="121"/>
        <v>0</v>
      </c>
      <c r="Z125" s="5">
        <f t="shared" si="121"/>
        <v>0</v>
      </c>
      <c r="AA125" s="5">
        <f t="shared" si="121"/>
        <v>0</v>
      </c>
      <c r="AB125" s="5">
        <f t="shared" si="121"/>
        <v>0</v>
      </c>
      <c r="AC125" s="5">
        <f t="shared" si="121"/>
        <v>0</v>
      </c>
      <c r="AD125" s="5">
        <f t="shared" si="121"/>
        <v>0</v>
      </c>
      <c r="AE125" s="5">
        <f t="shared" si="121"/>
        <v>0</v>
      </c>
      <c r="AF125" s="5">
        <f t="shared" si="121"/>
        <v>0</v>
      </c>
      <c r="AG125" s="5">
        <f t="shared" si="121"/>
        <v>0</v>
      </c>
      <c r="AH125" s="5">
        <f t="shared" si="121"/>
        <v>0</v>
      </c>
      <c r="AI125" s="5">
        <f t="shared" si="121"/>
        <v>0</v>
      </c>
      <c r="AJ125" s="5">
        <f t="shared" si="121"/>
        <v>0</v>
      </c>
      <c r="AK125" s="5">
        <f t="shared" si="121"/>
        <v>0</v>
      </c>
      <c r="AL125" s="5">
        <f t="shared" si="121"/>
        <v>1</v>
      </c>
      <c r="AM125" s="5">
        <f t="shared" si="121"/>
        <v>1</v>
      </c>
      <c r="AN125" s="5">
        <f t="shared" si="121"/>
        <v>1</v>
      </c>
      <c r="AO125" s="5">
        <f t="shared" si="121"/>
        <v>1</v>
      </c>
      <c r="AP125" s="5">
        <f t="shared" si="121"/>
        <v>1</v>
      </c>
      <c r="AQ125" s="5">
        <f t="shared" si="121"/>
        <v>1</v>
      </c>
      <c r="AR125" s="5">
        <f t="shared" si="121"/>
        <v>1</v>
      </c>
      <c r="AS125" s="5">
        <f t="shared" si="121"/>
        <v>1</v>
      </c>
      <c r="AT125" s="5">
        <f t="shared" si="121"/>
        <v>1</v>
      </c>
      <c r="AU125" s="5">
        <f t="shared" si="121"/>
        <v>1</v>
      </c>
      <c r="AV125" s="5">
        <f t="shared" si="121"/>
        <v>1</v>
      </c>
      <c r="AW125" s="5">
        <f t="shared" si="121"/>
        <v>1</v>
      </c>
      <c r="AX125" s="5">
        <f t="shared" si="121"/>
        <v>1</v>
      </c>
      <c r="AY125" s="5">
        <f t="shared" si="121"/>
        <v>1</v>
      </c>
      <c r="AZ125" s="5">
        <f t="shared" si="121"/>
        <v>1</v>
      </c>
      <c r="BA125" s="5">
        <f t="shared" si="121"/>
        <v>1</v>
      </c>
      <c r="BB125" s="8"/>
      <c r="BC125" s="8"/>
      <c r="BD125" s="8"/>
      <c r="BE125" s="8"/>
      <c r="BF125" s="8"/>
      <c r="BG125" s="8"/>
      <c r="BH125" s="8"/>
      <c r="BI125" s="8"/>
    </row>
    <row r="126" ht="12.75" customHeight="1">
      <c r="A126" s="4">
        <v>214.0</v>
      </c>
      <c r="B126" s="5" t="s">
        <v>461</v>
      </c>
      <c r="C126" s="5" t="s">
        <v>462</v>
      </c>
      <c r="D126" s="5" t="s">
        <v>463</v>
      </c>
      <c r="E126" s="5" t="s">
        <v>22</v>
      </c>
      <c r="F126" s="6">
        <v>45915.0</v>
      </c>
      <c r="G126" s="5" t="s">
        <v>23</v>
      </c>
      <c r="H126" s="6">
        <v>45915.0</v>
      </c>
      <c r="I126" s="5" t="s">
        <v>34</v>
      </c>
      <c r="J126" s="5" t="s">
        <v>35</v>
      </c>
      <c r="K126" s="5" t="s">
        <v>36</v>
      </c>
      <c r="L126" s="5" t="s">
        <v>153</v>
      </c>
      <c r="M126" s="5" t="s">
        <v>39</v>
      </c>
      <c r="N126" s="5" t="s">
        <v>239</v>
      </c>
      <c r="O126" s="5" t="s">
        <v>149</v>
      </c>
      <c r="P126" s="7" t="s">
        <v>38</v>
      </c>
      <c r="Q126" s="7" t="str">
        <f t="array" ref="Q126">IF($M126="Yes","Cost of Goods Sold:COGS- Travel Expenses:",IF($M126="No",XLOOKUP($P126,Key!$I:$I,Key!$J:$J),"Review Billable Status"))</f>
        <v>Cost of Goods Sold:COGS- Travel Expenses:</v>
      </c>
      <c r="R126" s="7" t="str">
        <f t="array" ref="R126">IF($M126="Yes","Cost of Goods Sold:COGS- Personnel Expense:",IF($M126="No",XLOOKUP($P126,Key!$I:$I,Key!$K:$K),"Review Billable Status"))</f>
        <v>Cost of Goods Sold:COGS- Personnel Expense:</v>
      </c>
      <c r="S126" s="10" t="str">
        <f t="array" ref="S126">IF($G126="Paid Intern","PD Intern",IF($G126="Contractor/Consultant","Contractor",XLOOKUP(M126&amp;P126,Key!$M:$M,Key!$L:$L)))</f>
        <v>COR</v>
      </c>
      <c r="T126" s="5">
        <f t="shared" ref="T126:BA126" si="122">IF(OR($F126&gt;T$12,AND($G126="Terminated",T$12&gt;=$H126)),0,1)</f>
        <v>0</v>
      </c>
      <c r="U126" s="5">
        <f t="shared" si="122"/>
        <v>0</v>
      </c>
      <c r="V126" s="5">
        <f t="shared" si="122"/>
        <v>0</v>
      </c>
      <c r="W126" s="5">
        <f t="shared" si="122"/>
        <v>0</v>
      </c>
      <c r="X126" s="5">
        <f t="shared" si="122"/>
        <v>0</v>
      </c>
      <c r="Y126" s="5">
        <f t="shared" si="122"/>
        <v>0</v>
      </c>
      <c r="Z126" s="5">
        <f t="shared" si="122"/>
        <v>0</v>
      </c>
      <c r="AA126" s="5">
        <f t="shared" si="122"/>
        <v>0</v>
      </c>
      <c r="AB126" s="5">
        <f t="shared" si="122"/>
        <v>0</v>
      </c>
      <c r="AC126" s="5">
        <f t="shared" si="122"/>
        <v>0</v>
      </c>
      <c r="AD126" s="5">
        <f t="shared" si="122"/>
        <v>0</v>
      </c>
      <c r="AE126" s="5">
        <f t="shared" si="122"/>
        <v>0</v>
      </c>
      <c r="AF126" s="5">
        <f t="shared" si="122"/>
        <v>0</v>
      </c>
      <c r="AG126" s="5">
        <f t="shared" si="122"/>
        <v>0</v>
      </c>
      <c r="AH126" s="5">
        <f t="shared" si="122"/>
        <v>0</v>
      </c>
      <c r="AI126" s="5">
        <f t="shared" si="122"/>
        <v>0</v>
      </c>
      <c r="AJ126" s="5">
        <f t="shared" si="122"/>
        <v>0</v>
      </c>
      <c r="AK126" s="5">
        <f t="shared" si="122"/>
        <v>0</v>
      </c>
      <c r="AL126" s="5">
        <f t="shared" si="122"/>
        <v>1</v>
      </c>
      <c r="AM126" s="5">
        <f t="shared" si="122"/>
        <v>1</v>
      </c>
      <c r="AN126" s="5">
        <f t="shared" si="122"/>
        <v>1</v>
      </c>
      <c r="AO126" s="5">
        <f t="shared" si="122"/>
        <v>1</v>
      </c>
      <c r="AP126" s="5">
        <f t="shared" si="122"/>
        <v>1</v>
      </c>
      <c r="AQ126" s="5">
        <f t="shared" si="122"/>
        <v>1</v>
      </c>
      <c r="AR126" s="5">
        <f t="shared" si="122"/>
        <v>1</v>
      </c>
      <c r="AS126" s="5">
        <f t="shared" si="122"/>
        <v>1</v>
      </c>
      <c r="AT126" s="5">
        <f t="shared" si="122"/>
        <v>1</v>
      </c>
      <c r="AU126" s="5">
        <f t="shared" si="122"/>
        <v>1</v>
      </c>
      <c r="AV126" s="5">
        <f t="shared" si="122"/>
        <v>1</v>
      </c>
      <c r="AW126" s="5">
        <f t="shared" si="122"/>
        <v>1</v>
      </c>
      <c r="AX126" s="5">
        <f t="shared" si="122"/>
        <v>1</v>
      </c>
      <c r="AY126" s="5">
        <f t="shared" si="122"/>
        <v>1</v>
      </c>
      <c r="AZ126" s="5">
        <f t="shared" si="122"/>
        <v>1</v>
      </c>
      <c r="BA126" s="5">
        <f t="shared" si="122"/>
        <v>1</v>
      </c>
      <c r="BB126" s="8"/>
      <c r="BC126" s="8"/>
      <c r="BD126" s="8"/>
      <c r="BE126" s="8"/>
      <c r="BF126" s="8"/>
      <c r="BG126" s="8"/>
      <c r="BH126" s="8"/>
      <c r="BI126" s="8"/>
    </row>
    <row r="127" ht="12.75" customHeight="1">
      <c r="A127" s="4">
        <v>215.0</v>
      </c>
      <c r="B127" s="5" t="s">
        <v>464</v>
      </c>
      <c r="C127" s="5" t="s">
        <v>465</v>
      </c>
      <c r="D127" s="5" t="s">
        <v>466</v>
      </c>
      <c r="E127" s="5" t="s">
        <v>22</v>
      </c>
      <c r="F127" s="6">
        <v>45917.0</v>
      </c>
      <c r="G127" s="5" t="s">
        <v>23</v>
      </c>
      <c r="H127" s="6">
        <v>45917.0</v>
      </c>
      <c r="I127" s="5" t="s">
        <v>34</v>
      </c>
      <c r="J127" s="5" t="s">
        <v>35</v>
      </c>
      <c r="K127" s="5" t="s">
        <v>36</v>
      </c>
      <c r="L127" s="5" t="s">
        <v>153</v>
      </c>
      <c r="M127" s="5" t="s">
        <v>39</v>
      </c>
      <c r="N127" s="5" t="s">
        <v>85</v>
      </c>
      <c r="O127" s="5" t="s">
        <v>41</v>
      </c>
      <c r="P127" s="7" t="s">
        <v>38</v>
      </c>
      <c r="Q127" s="7" t="str">
        <f t="array" ref="Q127">IF($M127="Yes","Cost of Goods Sold:COGS- Travel Expenses:",IF($M127="No",XLOOKUP($P127,Key!$I:$I,Key!$J:$J),"Review Billable Status"))</f>
        <v>Cost of Goods Sold:COGS- Travel Expenses:</v>
      </c>
      <c r="R127" s="7" t="str">
        <f t="array" ref="R127">IF($M127="Yes","Cost of Goods Sold:COGS- Personnel Expense:",IF($M127="No",XLOOKUP($P127,Key!$I:$I,Key!$K:$K),"Review Billable Status"))</f>
        <v>Cost of Goods Sold:COGS- Personnel Expense:</v>
      </c>
      <c r="S127" s="10" t="str">
        <f t="array" ref="S127">IF($G127="Paid Intern","PD Intern",IF($G127="Contractor/Consultant","Contractor",XLOOKUP(M127&amp;P127,Key!$M:$M,Key!$L:$L)))</f>
        <v>COR</v>
      </c>
      <c r="T127" s="5">
        <f t="shared" ref="T127:BA127" si="123">IF(OR($F127&gt;T$12,AND($G127="Terminated",T$12&gt;=$H127)),0,1)</f>
        <v>0</v>
      </c>
      <c r="U127" s="5">
        <f t="shared" si="123"/>
        <v>0</v>
      </c>
      <c r="V127" s="5">
        <f t="shared" si="123"/>
        <v>0</v>
      </c>
      <c r="W127" s="5">
        <f t="shared" si="123"/>
        <v>0</v>
      </c>
      <c r="X127" s="5">
        <f t="shared" si="123"/>
        <v>0</v>
      </c>
      <c r="Y127" s="5">
        <f t="shared" si="123"/>
        <v>0</v>
      </c>
      <c r="Z127" s="5">
        <f t="shared" si="123"/>
        <v>0</v>
      </c>
      <c r="AA127" s="5">
        <f t="shared" si="123"/>
        <v>0</v>
      </c>
      <c r="AB127" s="5">
        <f t="shared" si="123"/>
        <v>0</v>
      </c>
      <c r="AC127" s="5">
        <f t="shared" si="123"/>
        <v>0</v>
      </c>
      <c r="AD127" s="5">
        <f t="shared" si="123"/>
        <v>0</v>
      </c>
      <c r="AE127" s="5">
        <f t="shared" si="123"/>
        <v>0</v>
      </c>
      <c r="AF127" s="5">
        <f t="shared" si="123"/>
        <v>0</v>
      </c>
      <c r="AG127" s="5">
        <f t="shared" si="123"/>
        <v>0</v>
      </c>
      <c r="AH127" s="5">
        <f t="shared" si="123"/>
        <v>0</v>
      </c>
      <c r="AI127" s="5">
        <f t="shared" si="123"/>
        <v>0</v>
      </c>
      <c r="AJ127" s="5">
        <f t="shared" si="123"/>
        <v>0</v>
      </c>
      <c r="AK127" s="5">
        <f t="shared" si="123"/>
        <v>0</v>
      </c>
      <c r="AL127" s="5">
        <f t="shared" si="123"/>
        <v>1</v>
      </c>
      <c r="AM127" s="5">
        <f t="shared" si="123"/>
        <v>1</v>
      </c>
      <c r="AN127" s="5">
        <f t="shared" si="123"/>
        <v>1</v>
      </c>
      <c r="AO127" s="5">
        <f t="shared" si="123"/>
        <v>1</v>
      </c>
      <c r="AP127" s="5">
        <f t="shared" si="123"/>
        <v>1</v>
      </c>
      <c r="AQ127" s="5">
        <f t="shared" si="123"/>
        <v>1</v>
      </c>
      <c r="AR127" s="5">
        <f t="shared" si="123"/>
        <v>1</v>
      </c>
      <c r="AS127" s="5">
        <f t="shared" si="123"/>
        <v>1</v>
      </c>
      <c r="AT127" s="5">
        <f t="shared" si="123"/>
        <v>1</v>
      </c>
      <c r="AU127" s="5">
        <f t="shared" si="123"/>
        <v>1</v>
      </c>
      <c r="AV127" s="5">
        <f t="shared" si="123"/>
        <v>1</v>
      </c>
      <c r="AW127" s="5">
        <f t="shared" si="123"/>
        <v>1</v>
      </c>
      <c r="AX127" s="5">
        <f t="shared" si="123"/>
        <v>1</v>
      </c>
      <c r="AY127" s="5">
        <f t="shared" si="123"/>
        <v>1</v>
      </c>
      <c r="AZ127" s="5">
        <f t="shared" si="123"/>
        <v>1</v>
      </c>
      <c r="BA127" s="5">
        <f t="shared" si="123"/>
        <v>1</v>
      </c>
      <c r="BB127" s="8"/>
      <c r="BC127" s="8"/>
      <c r="BD127" s="8"/>
      <c r="BE127" s="8"/>
      <c r="BF127" s="8"/>
      <c r="BG127" s="8"/>
      <c r="BH127" s="8"/>
      <c r="BI127" s="8"/>
    </row>
    <row r="128" ht="12.75" customHeight="1">
      <c r="A128" s="4">
        <v>216.0</v>
      </c>
      <c r="B128" s="5" t="s">
        <v>467</v>
      </c>
      <c r="C128" s="5" t="s">
        <v>468</v>
      </c>
      <c r="D128" s="5" t="s">
        <v>469</v>
      </c>
      <c r="E128" s="5" t="s">
        <v>22</v>
      </c>
      <c r="F128" s="6">
        <v>45936.0</v>
      </c>
      <c r="G128" s="5" t="s">
        <v>23</v>
      </c>
      <c r="H128" s="6">
        <v>45936.0</v>
      </c>
      <c r="I128" s="5" t="s">
        <v>64</v>
      </c>
      <c r="J128" s="5" t="s">
        <v>45</v>
      </c>
      <c r="K128" s="5" t="s">
        <v>107</v>
      </c>
      <c r="L128" s="5" t="s">
        <v>295</v>
      </c>
      <c r="M128" s="5" t="s">
        <v>28</v>
      </c>
      <c r="N128" s="5" t="s">
        <v>52</v>
      </c>
      <c r="O128" s="5" t="s">
        <v>470</v>
      </c>
      <c r="P128" s="7" t="s">
        <v>66</v>
      </c>
      <c r="Q128" s="7" t="str">
        <f t="array" ref="Q128">IF($M128="Yes","Cost of Goods Sold:COGS- Travel Expenses:",IF($M128="No",XLOOKUP($P128,Key!$I:$I,Key!$J:$J),"Review Billable Status"))</f>
        <v>Sales &amp; Marketing:Sales &amp; Marketing- Travel Expenses:</v>
      </c>
      <c r="R128" s="7" t="str">
        <f t="array" ref="R128">IF($M128="Yes","Cost of Goods Sold:COGS- Personnel Expense:",IF($M128="No",XLOOKUP($P128,Key!$I:$I,Key!$K:$K),"Review Billable Status"))</f>
        <v>Sales &amp; Marketing:Sales &amp; Marketing- Personnel Expenses:</v>
      </c>
      <c r="S128" s="10" t="str">
        <f t="array" ref="S128">IF($G128="Paid Intern","PD Intern",IF($G128="Contractor/Consultant","Contractor",XLOOKUP(M128&amp;P128,Key!$M:$M,Key!$L:$L)))</f>
        <v>S&amp;M</v>
      </c>
      <c r="T128" s="5">
        <f t="shared" ref="T128:BA128" si="124">IF(OR($F128&gt;T$12,AND($G128="Terminated",T$12&gt;=$H128)),0,1)</f>
        <v>0</v>
      </c>
      <c r="U128" s="5">
        <f t="shared" si="124"/>
        <v>0</v>
      </c>
      <c r="V128" s="5">
        <f t="shared" si="124"/>
        <v>0</v>
      </c>
      <c r="W128" s="5">
        <f t="shared" si="124"/>
        <v>0</v>
      </c>
      <c r="X128" s="5">
        <f t="shared" si="124"/>
        <v>0</v>
      </c>
      <c r="Y128" s="5">
        <f t="shared" si="124"/>
        <v>0</v>
      </c>
      <c r="Z128" s="5">
        <f t="shared" si="124"/>
        <v>0</v>
      </c>
      <c r="AA128" s="5">
        <f t="shared" si="124"/>
        <v>0</v>
      </c>
      <c r="AB128" s="5">
        <f t="shared" si="124"/>
        <v>0</v>
      </c>
      <c r="AC128" s="5">
        <f t="shared" si="124"/>
        <v>0</v>
      </c>
      <c r="AD128" s="5">
        <f t="shared" si="124"/>
        <v>0</v>
      </c>
      <c r="AE128" s="5">
        <f t="shared" si="124"/>
        <v>0</v>
      </c>
      <c r="AF128" s="5">
        <f t="shared" si="124"/>
        <v>0</v>
      </c>
      <c r="AG128" s="5">
        <f t="shared" si="124"/>
        <v>0</v>
      </c>
      <c r="AH128" s="5">
        <f t="shared" si="124"/>
        <v>0</v>
      </c>
      <c r="AI128" s="5">
        <f t="shared" si="124"/>
        <v>0</v>
      </c>
      <c r="AJ128" s="5">
        <f t="shared" si="124"/>
        <v>0</v>
      </c>
      <c r="AK128" s="5">
        <f t="shared" si="124"/>
        <v>0</v>
      </c>
      <c r="AL128" s="5">
        <f t="shared" si="124"/>
        <v>0</v>
      </c>
      <c r="AM128" s="5">
        <f t="shared" si="124"/>
        <v>1</v>
      </c>
      <c r="AN128" s="5">
        <f t="shared" si="124"/>
        <v>1</v>
      </c>
      <c r="AO128" s="5">
        <f t="shared" si="124"/>
        <v>1</v>
      </c>
      <c r="AP128" s="5">
        <f t="shared" si="124"/>
        <v>1</v>
      </c>
      <c r="AQ128" s="5">
        <f t="shared" si="124"/>
        <v>1</v>
      </c>
      <c r="AR128" s="5">
        <f t="shared" si="124"/>
        <v>1</v>
      </c>
      <c r="AS128" s="5">
        <f t="shared" si="124"/>
        <v>1</v>
      </c>
      <c r="AT128" s="5">
        <f t="shared" si="124"/>
        <v>1</v>
      </c>
      <c r="AU128" s="5">
        <f t="shared" si="124"/>
        <v>1</v>
      </c>
      <c r="AV128" s="5">
        <f t="shared" si="124"/>
        <v>1</v>
      </c>
      <c r="AW128" s="5">
        <f t="shared" si="124"/>
        <v>1</v>
      </c>
      <c r="AX128" s="5">
        <f t="shared" si="124"/>
        <v>1</v>
      </c>
      <c r="AY128" s="5">
        <f t="shared" si="124"/>
        <v>1</v>
      </c>
      <c r="AZ128" s="5">
        <f t="shared" si="124"/>
        <v>1</v>
      </c>
      <c r="BA128" s="5">
        <f t="shared" si="124"/>
        <v>1</v>
      </c>
      <c r="BB128" s="8"/>
      <c r="BC128" s="8"/>
      <c r="BD128" s="8"/>
      <c r="BE128" s="8"/>
      <c r="BF128" s="8"/>
      <c r="BG128" s="8"/>
      <c r="BH128" s="8"/>
      <c r="BI128" s="8"/>
    </row>
    <row r="129" ht="12.75" customHeight="1">
      <c r="A129" s="4">
        <v>217.0</v>
      </c>
      <c r="B129" s="5" t="s">
        <v>314</v>
      </c>
      <c r="C129" s="5" t="s">
        <v>471</v>
      </c>
      <c r="D129" s="5" t="s">
        <v>472</v>
      </c>
      <c r="E129" s="5" t="s">
        <v>22</v>
      </c>
      <c r="F129" s="6">
        <v>45929.0</v>
      </c>
      <c r="G129" s="5" t="s">
        <v>23</v>
      </c>
      <c r="H129" s="6">
        <v>45929.0</v>
      </c>
      <c r="I129" s="5" t="s">
        <v>64</v>
      </c>
      <c r="J129" s="5" t="s">
        <v>363</v>
      </c>
      <c r="K129" s="5" t="s">
        <v>25</v>
      </c>
      <c r="L129" s="5" t="s">
        <v>334</v>
      </c>
      <c r="M129" s="5" t="s">
        <v>39</v>
      </c>
      <c r="N129" s="5" t="s">
        <v>239</v>
      </c>
      <c r="O129" s="5" t="s">
        <v>60</v>
      </c>
      <c r="P129" s="7" t="s">
        <v>75</v>
      </c>
      <c r="Q129" s="7" t="str">
        <f t="array" ref="Q129">IF($M129="Yes","Cost of Goods Sold:COGS- Travel Expenses:",IF($M129="No",XLOOKUP($P129,Key!$I:$I,Key!$J:$J),"Review Billable Status"))</f>
        <v>Cost of Goods Sold:COGS- Travel Expenses:</v>
      </c>
      <c r="R129" s="7" t="str">
        <f t="array" ref="R129">IF($M129="Yes","Cost of Goods Sold:COGS- Personnel Expense:",IF($M129="No",XLOOKUP($P129,Key!$I:$I,Key!$K:$K),"Review Billable Status"))</f>
        <v>Cost of Goods Sold:COGS- Personnel Expense:</v>
      </c>
      <c r="S129" s="10" t="str">
        <f t="array" ref="S129">IF($G129="Paid Intern","PD Intern",IF($G129="Contractor/Consultant","Contractor",XLOOKUP(M129&amp;P129,Key!$M:$M,Key!$L:$L)))</f>
        <v>COR</v>
      </c>
      <c r="T129" s="5">
        <f t="shared" ref="T129:BA129" si="125">IF(OR($F129&gt;T$12,AND($G129="Terminated",T$12&gt;=$H129)),0,1)</f>
        <v>0</v>
      </c>
      <c r="U129" s="5">
        <f t="shared" si="125"/>
        <v>0</v>
      </c>
      <c r="V129" s="5">
        <f t="shared" si="125"/>
        <v>0</v>
      </c>
      <c r="W129" s="5">
        <f t="shared" si="125"/>
        <v>0</v>
      </c>
      <c r="X129" s="5">
        <f t="shared" si="125"/>
        <v>0</v>
      </c>
      <c r="Y129" s="5">
        <f t="shared" si="125"/>
        <v>0</v>
      </c>
      <c r="Z129" s="5">
        <f t="shared" si="125"/>
        <v>0</v>
      </c>
      <c r="AA129" s="5">
        <f t="shared" si="125"/>
        <v>0</v>
      </c>
      <c r="AB129" s="5">
        <f t="shared" si="125"/>
        <v>0</v>
      </c>
      <c r="AC129" s="5">
        <f t="shared" si="125"/>
        <v>0</v>
      </c>
      <c r="AD129" s="5">
        <f t="shared" si="125"/>
        <v>0</v>
      </c>
      <c r="AE129" s="5">
        <f t="shared" si="125"/>
        <v>0</v>
      </c>
      <c r="AF129" s="5">
        <f t="shared" si="125"/>
        <v>0</v>
      </c>
      <c r="AG129" s="5">
        <f t="shared" si="125"/>
        <v>0</v>
      </c>
      <c r="AH129" s="5">
        <f t="shared" si="125"/>
        <v>0</v>
      </c>
      <c r="AI129" s="5">
        <f t="shared" si="125"/>
        <v>0</v>
      </c>
      <c r="AJ129" s="5">
        <f t="shared" si="125"/>
        <v>0</v>
      </c>
      <c r="AK129" s="5">
        <f t="shared" si="125"/>
        <v>0</v>
      </c>
      <c r="AL129" s="5">
        <f t="shared" si="125"/>
        <v>1</v>
      </c>
      <c r="AM129" s="5">
        <f t="shared" si="125"/>
        <v>1</v>
      </c>
      <c r="AN129" s="5">
        <f t="shared" si="125"/>
        <v>1</v>
      </c>
      <c r="AO129" s="5">
        <f t="shared" si="125"/>
        <v>1</v>
      </c>
      <c r="AP129" s="5">
        <f t="shared" si="125"/>
        <v>1</v>
      </c>
      <c r="AQ129" s="5">
        <f t="shared" si="125"/>
        <v>1</v>
      </c>
      <c r="AR129" s="5">
        <f t="shared" si="125"/>
        <v>1</v>
      </c>
      <c r="AS129" s="5">
        <f t="shared" si="125"/>
        <v>1</v>
      </c>
      <c r="AT129" s="5">
        <f t="shared" si="125"/>
        <v>1</v>
      </c>
      <c r="AU129" s="5">
        <f t="shared" si="125"/>
        <v>1</v>
      </c>
      <c r="AV129" s="5">
        <f t="shared" si="125"/>
        <v>1</v>
      </c>
      <c r="AW129" s="5">
        <f t="shared" si="125"/>
        <v>1</v>
      </c>
      <c r="AX129" s="5">
        <f t="shared" si="125"/>
        <v>1</v>
      </c>
      <c r="AY129" s="5">
        <f t="shared" si="125"/>
        <v>1</v>
      </c>
      <c r="AZ129" s="5">
        <f t="shared" si="125"/>
        <v>1</v>
      </c>
      <c r="BA129" s="5">
        <f t="shared" si="125"/>
        <v>1</v>
      </c>
      <c r="BB129" s="8"/>
      <c r="BC129" s="8"/>
      <c r="BD129" s="8"/>
      <c r="BE129" s="8"/>
      <c r="BF129" s="8"/>
      <c r="BG129" s="8"/>
      <c r="BH129" s="8"/>
      <c r="BI129" s="8"/>
    </row>
    <row r="130" ht="12.75" customHeight="1">
      <c r="A130" s="4">
        <v>218.0</v>
      </c>
      <c r="B130" s="5" t="s">
        <v>473</v>
      </c>
      <c r="C130" s="5" t="s">
        <v>474</v>
      </c>
      <c r="D130" s="5" t="s">
        <v>475</v>
      </c>
      <c r="E130" s="5" t="s">
        <v>112</v>
      </c>
      <c r="F130" s="6">
        <v>45915.0</v>
      </c>
      <c r="G130" s="5" t="s">
        <v>23</v>
      </c>
      <c r="H130" s="6">
        <v>45915.0</v>
      </c>
      <c r="I130" s="5" t="s">
        <v>34</v>
      </c>
      <c r="J130" s="5" t="s">
        <v>130</v>
      </c>
      <c r="K130" s="5" t="s">
        <v>25</v>
      </c>
      <c r="L130" s="5" t="s">
        <v>131</v>
      </c>
      <c r="M130" s="5" t="s">
        <v>39</v>
      </c>
      <c r="N130" s="5" t="s">
        <v>52</v>
      </c>
      <c r="O130" s="5" t="s">
        <v>30</v>
      </c>
      <c r="P130" s="7" t="s">
        <v>132</v>
      </c>
      <c r="Q130" s="7" t="str">
        <f t="array" ref="Q130">IF($M130="Yes","Cost of Goods Sold:COGS- Travel Expenses:",IF($M130="No",XLOOKUP($P130,Key!$I:$I,Key!$J:$J),"Review Billable Status"))</f>
        <v>Cost of Goods Sold:COGS- Travel Expenses:</v>
      </c>
      <c r="R130" s="7" t="str">
        <f t="array" ref="R130">IF($M130="Yes","Cost of Goods Sold:COGS- Personnel Expense:",IF($M130="No",XLOOKUP($P130,Key!$I:$I,Key!$K:$K),"Review Billable Status"))</f>
        <v>Cost of Goods Sold:COGS- Personnel Expense:</v>
      </c>
      <c r="S130" s="10" t="str">
        <f t="array" ref="S130">IF($G130="Paid Intern","PD Intern",IF($G130="Contractor/Consultant","Contractor",XLOOKUP(M130&amp;P130,Key!$M:$M,Key!$L:$L)))</f>
        <v>COR</v>
      </c>
      <c r="T130" s="5">
        <f t="shared" ref="T130:BA130" si="126">IF(OR($F130&gt;T$12,AND($G130="Terminated",T$12&gt;=$H130)),0,1)</f>
        <v>0</v>
      </c>
      <c r="U130" s="5">
        <f t="shared" si="126"/>
        <v>0</v>
      </c>
      <c r="V130" s="5">
        <f t="shared" si="126"/>
        <v>0</v>
      </c>
      <c r="W130" s="5">
        <f t="shared" si="126"/>
        <v>0</v>
      </c>
      <c r="X130" s="5">
        <f t="shared" si="126"/>
        <v>0</v>
      </c>
      <c r="Y130" s="5">
        <f t="shared" si="126"/>
        <v>0</v>
      </c>
      <c r="Z130" s="5">
        <f t="shared" si="126"/>
        <v>0</v>
      </c>
      <c r="AA130" s="5">
        <f t="shared" si="126"/>
        <v>0</v>
      </c>
      <c r="AB130" s="5">
        <f t="shared" si="126"/>
        <v>0</v>
      </c>
      <c r="AC130" s="5">
        <f t="shared" si="126"/>
        <v>0</v>
      </c>
      <c r="AD130" s="5">
        <f t="shared" si="126"/>
        <v>0</v>
      </c>
      <c r="AE130" s="5">
        <f t="shared" si="126"/>
        <v>0</v>
      </c>
      <c r="AF130" s="5">
        <f t="shared" si="126"/>
        <v>0</v>
      </c>
      <c r="AG130" s="5">
        <f t="shared" si="126"/>
        <v>0</v>
      </c>
      <c r="AH130" s="5">
        <f t="shared" si="126"/>
        <v>0</v>
      </c>
      <c r="AI130" s="5">
        <f t="shared" si="126"/>
        <v>0</v>
      </c>
      <c r="AJ130" s="5">
        <f t="shared" si="126"/>
        <v>0</v>
      </c>
      <c r="AK130" s="5">
        <f t="shared" si="126"/>
        <v>0</v>
      </c>
      <c r="AL130" s="5">
        <f t="shared" si="126"/>
        <v>1</v>
      </c>
      <c r="AM130" s="5">
        <f t="shared" si="126"/>
        <v>1</v>
      </c>
      <c r="AN130" s="5">
        <f t="shared" si="126"/>
        <v>1</v>
      </c>
      <c r="AO130" s="5">
        <f t="shared" si="126"/>
        <v>1</v>
      </c>
      <c r="AP130" s="5">
        <f t="shared" si="126"/>
        <v>1</v>
      </c>
      <c r="AQ130" s="5">
        <f t="shared" si="126"/>
        <v>1</v>
      </c>
      <c r="AR130" s="5">
        <f t="shared" si="126"/>
        <v>1</v>
      </c>
      <c r="AS130" s="5">
        <f t="shared" si="126"/>
        <v>1</v>
      </c>
      <c r="AT130" s="5">
        <f t="shared" si="126"/>
        <v>1</v>
      </c>
      <c r="AU130" s="5">
        <f t="shared" si="126"/>
        <v>1</v>
      </c>
      <c r="AV130" s="5">
        <f t="shared" si="126"/>
        <v>1</v>
      </c>
      <c r="AW130" s="5">
        <f t="shared" si="126"/>
        <v>1</v>
      </c>
      <c r="AX130" s="5">
        <f t="shared" si="126"/>
        <v>1</v>
      </c>
      <c r="AY130" s="5">
        <f t="shared" si="126"/>
        <v>1</v>
      </c>
      <c r="AZ130" s="5">
        <f t="shared" si="126"/>
        <v>1</v>
      </c>
      <c r="BA130" s="5">
        <f t="shared" si="126"/>
        <v>1</v>
      </c>
      <c r="BB130" s="8"/>
      <c r="BC130" s="8"/>
      <c r="BD130" s="8"/>
      <c r="BE130" s="8"/>
      <c r="BF130" s="8"/>
      <c r="BG130" s="8"/>
      <c r="BH130" s="8"/>
      <c r="BI130" s="8"/>
    </row>
    <row r="131" ht="12.75" customHeight="1">
      <c r="A131" s="4">
        <v>219.0</v>
      </c>
      <c r="B131" s="5" t="s">
        <v>342</v>
      </c>
      <c r="C131" s="5" t="s">
        <v>476</v>
      </c>
      <c r="D131" s="5" t="s">
        <v>477</v>
      </c>
      <c r="E131" s="5" t="s">
        <v>22</v>
      </c>
      <c r="F131" s="6">
        <v>45922.0</v>
      </c>
      <c r="G131" s="5" t="s">
        <v>23</v>
      </c>
      <c r="H131" s="6">
        <v>45922.0</v>
      </c>
      <c r="I131" s="5" t="s">
        <v>64</v>
      </c>
      <c r="J131" s="5" t="s">
        <v>35</v>
      </c>
      <c r="K131" s="5" t="s">
        <v>25</v>
      </c>
      <c r="L131" s="5" t="s">
        <v>334</v>
      </c>
      <c r="M131" s="5" t="s">
        <v>39</v>
      </c>
      <c r="N131" s="5" t="s">
        <v>85</v>
      </c>
      <c r="O131" s="5" t="s">
        <v>30</v>
      </c>
      <c r="P131" s="7" t="s">
        <v>75</v>
      </c>
      <c r="Q131" s="7" t="str">
        <f t="array" ref="Q131">IF($M131="Yes","Cost of Goods Sold:COGS- Travel Expenses:",IF($M131="No",XLOOKUP($P131,Key!$I:$I,Key!$J:$J),"Review Billable Status"))</f>
        <v>Cost of Goods Sold:COGS- Travel Expenses:</v>
      </c>
      <c r="R131" s="7" t="str">
        <f t="array" ref="R131">IF($M131="Yes","Cost of Goods Sold:COGS- Personnel Expense:",IF($M131="No",XLOOKUP($P131,Key!$I:$I,Key!$K:$K),"Review Billable Status"))</f>
        <v>Cost of Goods Sold:COGS- Personnel Expense:</v>
      </c>
      <c r="S131" s="10" t="str">
        <f t="array" ref="S131">IF($G131="Paid Intern","PD Intern",IF($G131="Contractor/Consultant","Contractor",XLOOKUP(M131&amp;P131,Key!$M:$M,Key!$L:$L)))</f>
        <v>COR</v>
      </c>
      <c r="T131" s="5">
        <f t="shared" ref="T131:BA131" si="127">IF(OR($F131&gt;T$12,AND($G131="Terminated",T$12&gt;=$H131)),0,1)</f>
        <v>0</v>
      </c>
      <c r="U131" s="5">
        <f t="shared" si="127"/>
        <v>0</v>
      </c>
      <c r="V131" s="5">
        <f t="shared" si="127"/>
        <v>0</v>
      </c>
      <c r="W131" s="5">
        <f t="shared" si="127"/>
        <v>0</v>
      </c>
      <c r="X131" s="5">
        <f t="shared" si="127"/>
        <v>0</v>
      </c>
      <c r="Y131" s="5">
        <f t="shared" si="127"/>
        <v>0</v>
      </c>
      <c r="Z131" s="5">
        <f t="shared" si="127"/>
        <v>0</v>
      </c>
      <c r="AA131" s="5">
        <f t="shared" si="127"/>
        <v>0</v>
      </c>
      <c r="AB131" s="5">
        <f t="shared" si="127"/>
        <v>0</v>
      </c>
      <c r="AC131" s="5">
        <f t="shared" si="127"/>
        <v>0</v>
      </c>
      <c r="AD131" s="5">
        <f t="shared" si="127"/>
        <v>0</v>
      </c>
      <c r="AE131" s="5">
        <f t="shared" si="127"/>
        <v>0</v>
      </c>
      <c r="AF131" s="5">
        <f t="shared" si="127"/>
        <v>0</v>
      </c>
      <c r="AG131" s="5">
        <f t="shared" si="127"/>
        <v>0</v>
      </c>
      <c r="AH131" s="5">
        <f t="shared" si="127"/>
        <v>0</v>
      </c>
      <c r="AI131" s="5">
        <f t="shared" si="127"/>
        <v>0</v>
      </c>
      <c r="AJ131" s="5">
        <f t="shared" si="127"/>
        <v>0</v>
      </c>
      <c r="AK131" s="5">
        <f t="shared" si="127"/>
        <v>0</v>
      </c>
      <c r="AL131" s="5">
        <f t="shared" si="127"/>
        <v>1</v>
      </c>
      <c r="AM131" s="5">
        <f t="shared" si="127"/>
        <v>1</v>
      </c>
      <c r="AN131" s="5">
        <f t="shared" si="127"/>
        <v>1</v>
      </c>
      <c r="AO131" s="5">
        <f t="shared" si="127"/>
        <v>1</v>
      </c>
      <c r="AP131" s="5">
        <f t="shared" si="127"/>
        <v>1</v>
      </c>
      <c r="AQ131" s="5">
        <f t="shared" si="127"/>
        <v>1</v>
      </c>
      <c r="AR131" s="5">
        <f t="shared" si="127"/>
        <v>1</v>
      </c>
      <c r="AS131" s="5">
        <f t="shared" si="127"/>
        <v>1</v>
      </c>
      <c r="AT131" s="5">
        <f t="shared" si="127"/>
        <v>1</v>
      </c>
      <c r="AU131" s="5">
        <f t="shared" si="127"/>
        <v>1</v>
      </c>
      <c r="AV131" s="5">
        <f t="shared" si="127"/>
        <v>1</v>
      </c>
      <c r="AW131" s="5">
        <f t="shared" si="127"/>
        <v>1</v>
      </c>
      <c r="AX131" s="5">
        <f t="shared" si="127"/>
        <v>1</v>
      </c>
      <c r="AY131" s="5">
        <f t="shared" si="127"/>
        <v>1</v>
      </c>
      <c r="AZ131" s="5">
        <f t="shared" si="127"/>
        <v>1</v>
      </c>
      <c r="BA131" s="5">
        <f t="shared" si="127"/>
        <v>1</v>
      </c>
      <c r="BB131" s="8"/>
      <c r="BC131" s="8"/>
      <c r="BD131" s="8"/>
      <c r="BE131" s="8"/>
      <c r="BF131" s="8"/>
      <c r="BG131" s="8"/>
      <c r="BH131" s="8"/>
      <c r="BI131" s="8"/>
    </row>
    <row r="132" ht="12.75" customHeight="1">
      <c r="A132" s="4">
        <v>220.0</v>
      </c>
      <c r="B132" s="5" t="s">
        <v>478</v>
      </c>
      <c r="C132" s="5" t="s">
        <v>479</v>
      </c>
      <c r="D132" s="5" t="s">
        <v>480</v>
      </c>
      <c r="E132" s="5" t="s">
        <v>22</v>
      </c>
      <c r="F132" s="6">
        <v>45915.0</v>
      </c>
      <c r="G132" s="5" t="s">
        <v>23</v>
      </c>
      <c r="H132" s="6">
        <v>45915.0</v>
      </c>
      <c r="I132" s="5" t="s">
        <v>34</v>
      </c>
      <c r="J132" s="5" t="s">
        <v>35</v>
      </c>
      <c r="K132" s="5" t="s">
        <v>36</v>
      </c>
      <c r="L132" s="5" t="s">
        <v>153</v>
      </c>
      <c r="M132" s="5" t="s">
        <v>39</v>
      </c>
      <c r="N132" s="5" t="s">
        <v>85</v>
      </c>
      <c r="O132" s="5" t="s">
        <v>324</v>
      </c>
      <c r="P132" s="7" t="s">
        <v>38</v>
      </c>
      <c r="Q132" s="7" t="str">
        <f t="array" ref="Q132">IF($M132="Yes","Cost of Goods Sold:COGS- Travel Expenses:",IF($M132="No",XLOOKUP($P132,Key!$I:$I,Key!$J:$J),"Review Billable Status"))</f>
        <v>Cost of Goods Sold:COGS- Travel Expenses:</v>
      </c>
      <c r="R132" s="7" t="str">
        <f t="array" ref="R132">IF($M132="Yes","Cost of Goods Sold:COGS- Personnel Expense:",IF($M132="No",XLOOKUP($P132,Key!$I:$I,Key!$K:$K),"Review Billable Status"))</f>
        <v>Cost of Goods Sold:COGS- Personnel Expense:</v>
      </c>
      <c r="S132" s="10" t="str">
        <f t="array" ref="S132">IF($G132="Paid Intern","PD Intern",IF($G132="Contractor/Consultant","Contractor",XLOOKUP(M132&amp;P132,Key!$M:$M,Key!$L:$L)))</f>
        <v>COR</v>
      </c>
      <c r="T132" s="5">
        <f t="shared" ref="T132:BA132" si="128">IF(OR($F132&gt;T$12,AND($G132="Terminated",T$12&gt;=$H132)),0,1)</f>
        <v>0</v>
      </c>
      <c r="U132" s="5">
        <f t="shared" si="128"/>
        <v>0</v>
      </c>
      <c r="V132" s="5">
        <f t="shared" si="128"/>
        <v>0</v>
      </c>
      <c r="W132" s="5">
        <f t="shared" si="128"/>
        <v>0</v>
      </c>
      <c r="X132" s="5">
        <f t="shared" si="128"/>
        <v>0</v>
      </c>
      <c r="Y132" s="5">
        <f t="shared" si="128"/>
        <v>0</v>
      </c>
      <c r="Z132" s="5">
        <f t="shared" si="128"/>
        <v>0</v>
      </c>
      <c r="AA132" s="5">
        <f t="shared" si="128"/>
        <v>0</v>
      </c>
      <c r="AB132" s="5">
        <f t="shared" si="128"/>
        <v>0</v>
      </c>
      <c r="AC132" s="5">
        <f t="shared" si="128"/>
        <v>0</v>
      </c>
      <c r="AD132" s="5">
        <f t="shared" si="128"/>
        <v>0</v>
      </c>
      <c r="AE132" s="5">
        <f t="shared" si="128"/>
        <v>0</v>
      </c>
      <c r="AF132" s="5">
        <f t="shared" si="128"/>
        <v>0</v>
      </c>
      <c r="AG132" s="5">
        <f t="shared" si="128"/>
        <v>0</v>
      </c>
      <c r="AH132" s="5">
        <f t="shared" si="128"/>
        <v>0</v>
      </c>
      <c r="AI132" s="5">
        <f t="shared" si="128"/>
        <v>0</v>
      </c>
      <c r="AJ132" s="5">
        <f t="shared" si="128"/>
        <v>0</v>
      </c>
      <c r="AK132" s="5">
        <f t="shared" si="128"/>
        <v>0</v>
      </c>
      <c r="AL132" s="5">
        <f t="shared" si="128"/>
        <v>1</v>
      </c>
      <c r="AM132" s="5">
        <f t="shared" si="128"/>
        <v>1</v>
      </c>
      <c r="AN132" s="5">
        <f t="shared" si="128"/>
        <v>1</v>
      </c>
      <c r="AO132" s="5">
        <f t="shared" si="128"/>
        <v>1</v>
      </c>
      <c r="AP132" s="5">
        <f t="shared" si="128"/>
        <v>1</v>
      </c>
      <c r="AQ132" s="5">
        <f t="shared" si="128"/>
        <v>1</v>
      </c>
      <c r="AR132" s="5">
        <f t="shared" si="128"/>
        <v>1</v>
      </c>
      <c r="AS132" s="5">
        <f t="shared" si="128"/>
        <v>1</v>
      </c>
      <c r="AT132" s="5">
        <f t="shared" si="128"/>
        <v>1</v>
      </c>
      <c r="AU132" s="5">
        <f t="shared" si="128"/>
        <v>1</v>
      </c>
      <c r="AV132" s="5">
        <f t="shared" si="128"/>
        <v>1</v>
      </c>
      <c r="AW132" s="5">
        <f t="shared" si="128"/>
        <v>1</v>
      </c>
      <c r="AX132" s="5">
        <f t="shared" si="128"/>
        <v>1</v>
      </c>
      <c r="AY132" s="5">
        <f t="shared" si="128"/>
        <v>1</v>
      </c>
      <c r="AZ132" s="5">
        <f t="shared" si="128"/>
        <v>1</v>
      </c>
      <c r="BA132" s="5">
        <f t="shared" si="128"/>
        <v>1</v>
      </c>
      <c r="BB132" s="8"/>
      <c r="BC132" s="8"/>
      <c r="BD132" s="8"/>
      <c r="BE132" s="8"/>
      <c r="BF132" s="8"/>
      <c r="BG132" s="8"/>
      <c r="BH132" s="8"/>
      <c r="BI132" s="8"/>
    </row>
    <row r="133" ht="12.75" customHeight="1">
      <c r="A133" s="4">
        <v>221.0</v>
      </c>
      <c r="B133" s="5" t="s">
        <v>409</v>
      </c>
      <c r="C133" s="5" t="s">
        <v>481</v>
      </c>
      <c r="D133" s="5" t="s">
        <v>482</v>
      </c>
      <c r="E133" s="5" t="s">
        <v>22</v>
      </c>
      <c r="F133" s="6">
        <v>45936.0</v>
      </c>
      <c r="G133" s="5" t="s">
        <v>23</v>
      </c>
      <c r="H133" s="6">
        <v>45936.0</v>
      </c>
      <c r="I133" s="5" t="s">
        <v>34</v>
      </c>
      <c r="J133" s="5" t="s">
        <v>35</v>
      </c>
      <c r="K133" s="5" t="s">
        <v>36</v>
      </c>
      <c r="L133" s="5" t="s">
        <v>323</v>
      </c>
      <c r="M133" s="5" t="s">
        <v>39</v>
      </c>
      <c r="N133" s="5" t="s">
        <v>52</v>
      </c>
      <c r="O133" s="5" t="s">
        <v>483</v>
      </c>
      <c r="P133" s="7" t="s">
        <v>38</v>
      </c>
      <c r="Q133" s="7" t="str">
        <f t="array" ref="Q133">IF($M133="Yes","Cost of Goods Sold:COGS- Travel Expenses:",IF($M133="No",XLOOKUP($P133,Key!$I:$I,Key!$J:$J),"Review Billable Status"))</f>
        <v>Cost of Goods Sold:COGS- Travel Expenses:</v>
      </c>
      <c r="R133" s="7" t="str">
        <f t="array" ref="R133">IF($M133="Yes","Cost of Goods Sold:COGS- Personnel Expense:",IF($M133="No",XLOOKUP($P133,Key!$I:$I,Key!$K:$K),"Review Billable Status"))</f>
        <v>Cost of Goods Sold:COGS- Personnel Expense:</v>
      </c>
      <c r="S133" s="10" t="str">
        <f t="array" ref="S133">IF($G133="Paid Intern","PD Intern",IF($G133="Contractor/Consultant","Contractor",XLOOKUP(M133&amp;P133,Key!$M:$M,Key!$L:$L)))</f>
        <v>COR</v>
      </c>
      <c r="T133" s="5">
        <f t="shared" ref="T133:BA133" si="129">IF(OR($F133&gt;T$12,AND($G133="Terminated",T$12&gt;=$H133)),0,1)</f>
        <v>0</v>
      </c>
      <c r="U133" s="5">
        <f t="shared" si="129"/>
        <v>0</v>
      </c>
      <c r="V133" s="5">
        <f t="shared" si="129"/>
        <v>0</v>
      </c>
      <c r="W133" s="5">
        <f t="shared" si="129"/>
        <v>0</v>
      </c>
      <c r="X133" s="5">
        <f t="shared" si="129"/>
        <v>0</v>
      </c>
      <c r="Y133" s="5">
        <f t="shared" si="129"/>
        <v>0</v>
      </c>
      <c r="Z133" s="5">
        <f t="shared" si="129"/>
        <v>0</v>
      </c>
      <c r="AA133" s="5">
        <f t="shared" si="129"/>
        <v>0</v>
      </c>
      <c r="AB133" s="5">
        <f t="shared" si="129"/>
        <v>0</v>
      </c>
      <c r="AC133" s="5">
        <f t="shared" si="129"/>
        <v>0</v>
      </c>
      <c r="AD133" s="5">
        <f t="shared" si="129"/>
        <v>0</v>
      </c>
      <c r="AE133" s="5">
        <f t="shared" si="129"/>
        <v>0</v>
      </c>
      <c r="AF133" s="5">
        <f t="shared" si="129"/>
        <v>0</v>
      </c>
      <c r="AG133" s="5">
        <f t="shared" si="129"/>
        <v>0</v>
      </c>
      <c r="AH133" s="5">
        <f t="shared" si="129"/>
        <v>0</v>
      </c>
      <c r="AI133" s="5">
        <f t="shared" si="129"/>
        <v>0</v>
      </c>
      <c r="AJ133" s="5">
        <f t="shared" si="129"/>
        <v>0</v>
      </c>
      <c r="AK133" s="5">
        <f t="shared" si="129"/>
        <v>0</v>
      </c>
      <c r="AL133" s="5">
        <f t="shared" si="129"/>
        <v>0</v>
      </c>
      <c r="AM133" s="5">
        <f t="shared" si="129"/>
        <v>1</v>
      </c>
      <c r="AN133" s="5">
        <f t="shared" si="129"/>
        <v>1</v>
      </c>
      <c r="AO133" s="5">
        <f t="shared" si="129"/>
        <v>1</v>
      </c>
      <c r="AP133" s="5">
        <f t="shared" si="129"/>
        <v>1</v>
      </c>
      <c r="AQ133" s="5">
        <f t="shared" si="129"/>
        <v>1</v>
      </c>
      <c r="AR133" s="5">
        <f t="shared" si="129"/>
        <v>1</v>
      </c>
      <c r="AS133" s="5">
        <f t="shared" si="129"/>
        <v>1</v>
      </c>
      <c r="AT133" s="5">
        <f t="shared" si="129"/>
        <v>1</v>
      </c>
      <c r="AU133" s="5">
        <f t="shared" si="129"/>
        <v>1</v>
      </c>
      <c r="AV133" s="5">
        <f t="shared" si="129"/>
        <v>1</v>
      </c>
      <c r="AW133" s="5">
        <f t="shared" si="129"/>
        <v>1</v>
      </c>
      <c r="AX133" s="5">
        <f t="shared" si="129"/>
        <v>1</v>
      </c>
      <c r="AY133" s="5">
        <f t="shared" si="129"/>
        <v>1</v>
      </c>
      <c r="AZ133" s="5">
        <f t="shared" si="129"/>
        <v>1</v>
      </c>
      <c r="BA133" s="5">
        <f t="shared" si="129"/>
        <v>1</v>
      </c>
      <c r="BB133" s="8"/>
      <c r="BC133" s="8"/>
      <c r="BD133" s="8"/>
      <c r="BE133" s="8"/>
      <c r="BF133" s="8"/>
      <c r="BG133" s="8"/>
      <c r="BH133" s="8"/>
      <c r="BI133" s="8"/>
    </row>
    <row r="134" ht="12.75" customHeight="1">
      <c r="A134" s="4">
        <v>222.0</v>
      </c>
      <c r="B134" s="5" t="s">
        <v>305</v>
      </c>
      <c r="C134" s="5" t="s">
        <v>484</v>
      </c>
      <c r="D134" s="5" t="s">
        <v>485</v>
      </c>
      <c r="E134" s="5" t="s">
        <v>22</v>
      </c>
      <c r="F134" s="6">
        <v>45964.0</v>
      </c>
      <c r="G134" s="5" t="s">
        <v>23</v>
      </c>
      <c r="H134" s="6">
        <v>45964.0</v>
      </c>
      <c r="I134" s="5" t="s">
        <v>34</v>
      </c>
      <c r="J134" s="5" t="s">
        <v>45</v>
      </c>
      <c r="K134" s="5" t="s">
        <v>36</v>
      </c>
      <c r="L134" s="5" t="s">
        <v>165</v>
      </c>
      <c r="M134" s="5" t="s">
        <v>28</v>
      </c>
      <c r="N134" s="5" t="s">
        <v>59</v>
      </c>
      <c r="O134" s="5" t="s">
        <v>486</v>
      </c>
      <c r="P134" s="7" t="s">
        <v>47</v>
      </c>
      <c r="Q134" s="7" t="str">
        <f t="array" ref="Q134">IF($M134="Yes","Cost of Goods Sold:COGS- Travel Expenses:",IF($M134="No",XLOOKUP($P134,Key!$I:$I,Key!$J:$J),"Review Billable Status"))</f>
        <v>Sales &amp; Marketing:Sales &amp; Marketing- Travel Expenses:</v>
      </c>
      <c r="R134" s="7" t="str">
        <f t="array" ref="R134">IF($M134="Yes","Cost of Goods Sold:COGS- Personnel Expense:",IF($M134="No",XLOOKUP($P134,Key!$I:$I,Key!$K:$K),"Review Billable Status"))</f>
        <v>Sales &amp; Marketing:Sales &amp; Marketing- Personnel Expenses:</v>
      </c>
      <c r="S134" s="10" t="str">
        <f t="array" ref="S134">IF($G134="Paid Intern","PD Intern",IF($G134="Contractor/Consultant","Contractor",XLOOKUP(M134&amp;P134,Key!$M:$M,Key!$L:$L)))</f>
        <v>S&amp;M</v>
      </c>
      <c r="T134" s="5">
        <f t="shared" ref="T134:BA134" si="130">IF(OR($F134&gt;T$12,AND($G134="Terminated",T$12&gt;=$H134)),0,1)</f>
        <v>0</v>
      </c>
      <c r="U134" s="5">
        <f t="shared" si="130"/>
        <v>0</v>
      </c>
      <c r="V134" s="5">
        <f t="shared" si="130"/>
        <v>0</v>
      </c>
      <c r="W134" s="5">
        <f t="shared" si="130"/>
        <v>0</v>
      </c>
      <c r="X134" s="5">
        <f t="shared" si="130"/>
        <v>0</v>
      </c>
      <c r="Y134" s="5">
        <f t="shared" si="130"/>
        <v>0</v>
      </c>
      <c r="Z134" s="5">
        <f t="shared" si="130"/>
        <v>0</v>
      </c>
      <c r="AA134" s="5">
        <f t="shared" si="130"/>
        <v>0</v>
      </c>
      <c r="AB134" s="5">
        <f t="shared" si="130"/>
        <v>0</v>
      </c>
      <c r="AC134" s="5">
        <f t="shared" si="130"/>
        <v>0</v>
      </c>
      <c r="AD134" s="5">
        <f t="shared" si="130"/>
        <v>0</v>
      </c>
      <c r="AE134" s="5">
        <f t="shared" si="130"/>
        <v>0</v>
      </c>
      <c r="AF134" s="5">
        <f t="shared" si="130"/>
        <v>0</v>
      </c>
      <c r="AG134" s="5">
        <f t="shared" si="130"/>
        <v>0</v>
      </c>
      <c r="AH134" s="5">
        <f t="shared" si="130"/>
        <v>0</v>
      </c>
      <c r="AI134" s="5">
        <f t="shared" si="130"/>
        <v>0</v>
      </c>
      <c r="AJ134" s="5">
        <f t="shared" si="130"/>
        <v>0</v>
      </c>
      <c r="AK134" s="5">
        <f t="shared" si="130"/>
        <v>0</v>
      </c>
      <c r="AL134" s="5">
        <f t="shared" si="130"/>
        <v>0</v>
      </c>
      <c r="AM134" s="5">
        <f t="shared" si="130"/>
        <v>0</v>
      </c>
      <c r="AN134" s="5">
        <f t="shared" si="130"/>
        <v>1</v>
      </c>
      <c r="AO134" s="5">
        <f t="shared" si="130"/>
        <v>1</v>
      </c>
      <c r="AP134" s="5">
        <f t="shared" si="130"/>
        <v>1</v>
      </c>
      <c r="AQ134" s="5">
        <f t="shared" si="130"/>
        <v>1</v>
      </c>
      <c r="AR134" s="5">
        <f t="shared" si="130"/>
        <v>1</v>
      </c>
      <c r="AS134" s="5">
        <f t="shared" si="130"/>
        <v>1</v>
      </c>
      <c r="AT134" s="5">
        <f t="shared" si="130"/>
        <v>1</v>
      </c>
      <c r="AU134" s="5">
        <f t="shared" si="130"/>
        <v>1</v>
      </c>
      <c r="AV134" s="5">
        <f t="shared" si="130"/>
        <v>1</v>
      </c>
      <c r="AW134" s="5">
        <f t="shared" si="130"/>
        <v>1</v>
      </c>
      <c r="AX134" s="5">
        <f t="shared" si="130"/>
        <v>1</v>
      </c>
      <c r="AY134" s="5">
        <f t="shared" si="130"/>
        <v>1</v>
      </c>
      <c r="AZ134" s="5">
        <f t="shared" si="130"/>
        <v>1</v>
      </c>
      <c r="BA134" s="5">
        <f t="shared" si="130"/>
        <v>1</v>
      </c>
      <c r="BB134" s="8"/>
      <c r="BC134" s="8"/>
      <c r="BD134" s="8"/>
      <c r="BE134" s="8"/>
      <c r="BF134" s="8"/>
      <c r="BG134" s="8"/>
      <c r="BH134" s="8"/>
      <c r="BI134" s="8"/>
    </row>
    <row r="135" ht="12.75" customHeight="1">
      <c r="A135" s="4">
        <v>224.0</v>
      </c>
      <c r="B135" s="5" t="s">
        <v>31</v>
      </c>
      <c r="C135" s="5" t="s">
        <v>487</v>
      </c>
      <c r="D135" s="5" t="s">
        <v>488</v>
      </c>
      <c r="E135" s="5" t="s">
        <v>22</v>
      </c>
      <c r="F135" s="6">
        <v>45936.0</v>
      </c>
      <c r="G135" s="5" t="s">
        <v>23</v>
      </c>
      <c r="H135" s="6">
        <v>45936.0</v>
      </c>
      <c r="I135" s="5" t="s">
        <v>34</v>
      </c>
      <c r="J135" s="5" t="s">
        <v>35</v>
      </c>
      <c r="K135" s="5" t="s">
        <v>36</v>
      </c>
      <c r="L135" s="5" t="s">
        <v>153</v>
      </c>
      <c r="M135" s="5" t="s">
        <v>39</v>
      </c>
      <c r="N135" s="5" t="s">
        <v>85</v>
      </c>
      <c r="O135" s="5" t="s">
        <v>489</v>
      </c>
      <c r="P135" s="7" t="s">
        <v>38</v>
      </c>
      <c r="Q135" s="7" t="str">
        <f t="array" ref="Q135">IF($M135="Yes","Cost of Goods Sold:COGS- Travel Expenses:",IF($M135="No",XLOOKUP($P135,Key!$I:$I,Key!$J:$J),"Review Billable Status"))</f>
        <v>Cost of Goods Sold:COGS- Travel Expenses:</v>
      </c>
      <c r="R135" s="7" t="str">
        <f t="array" ref="R135">IF($M135="Yes","Cost of Goods Sold:COGS- Personnel Expense:",IF($M135="No",XLOOKUP($P135,Key!$I:$I,Key!$K:$K),"Review Billable Status"))</f>
        <v>Cost of Goods Sold:COGS- Personnel Expense:</v>
      </c>
      <c r="S135" s="10" t="str">
        <f t="array" ref="S135">IF($G135="Paid Intern","PD Intern",IF($G135="Contractor/Consultant","Contractor",XLOOKUP(M135&amp;P135,Key!$M:$M,Key!$L:$L)))</f>
        <v>COR</v>
      </c>
      <c r="T135" s="5">
        <f t="shared" ref="T135:BA135" si="131">IF(OR($F135&gt;T$12,AND($G135="Terminated",T$12&gt;=$H135)),0,1)</f>
        <v>0</v>
      </c>
      <c r="U135" s="5">
        <f t="shared" si="131"/>
        <v>0</v>
      </c>
      <c r="V135" s="5">
        <f t="shared" si="131"/>
        <v>0</v>
      </c>
      <c r="W135" s="5">
        <f t="shared" si="131"/>
        <v>0</v>
      </c>
      <c r="X135" s="5">
        <f t="shared" si="131"/>
        <v>0</v>
      </c>
      <c r="Y135" s="5">
        <f t="shared" si="131"/>
        <v>0</v>
      </c>
      <c r="Z135" s="5">
        <f t="shared" si="131"/>
        <v>0</v>
      </c>
      <c r="AA135" s="5">
        <f t="shared" si="131"/>
        <v>0</v>
      </c>
      <c r="AB135" s="5">
        <f t="shared" si="131"/>
        <v>0</v>
      </c>
      <c r="AC135" s="5">
        <f t="shared" si="131"/>
        <v>0</v>
      </c>
      <c r="AD135" s="5">
        <f t="shared" si="131"/>
        <v>0</v>
      </c>
      <c r="AE135" s="5">
        <f t="shared" si="131"/>
        <v>0</v>
      </c>
      <c r="AF135" s="5">
        <f t="shared" si="131"/>
        <v>0</v>
      </c>
      <c r="AG135" s="5">
        <f t="shared" si="131"/>
        <v>0</v>
      </c>
      <c r="AH135" s="5">
        <f t="shared" si="131"/>
        <v>0</v>
      </c>
      <c r="AI135" s="5">
        <f t="shared" si="131"/>
        <v>0</v>
      </c>
      <c r="AJ135" s="5">
        <f t="shared" si="131"/>
        <v>0</v>
      </c>
      <c r="AK135" s="5">
        <f t="shared" si="131"/>
        <v>0</v>
      </c>
      <c r="AL135" s="5">
        <f t="shared" si="131"/>
        <v>0</v>
      </c>
      <c r="AM135" s="5">
        <f t="shared" si="131"/>
        <v>1</v>
      </c>
      <c r="AN135" s="5">
        <f t="shared" si="131"/>
        <v>1</v>
      </c>
      <c r="AO135" s="5">
        <f t="shared" si="131"/>
        <v>1</v>
      </c>
      <c r="AP135" s="5">
        <f t="shared" si="131"/>
        <v>1</v>
      </c>
      <c r="AQ135" s="5">
        <f t="shared" si="131"/>
        <v>1</v>
      </c>
      <c r="AR135" s="5">
        <f t="shared" si="131"/>
        <v>1</v>
      </c>
      <c r="AS135" s="5">
        <f t="shared" si="131"/>
        <v>1</v>
      </c>
      <c r="AT135" s="5">
        <f t="shared" si="131"/>
        <v>1</v>
      </c>
      <c r="AU135" s="5">
        <f t="shared" si="131"/>
        <v>1</v>
      </c>
      <c r="AV135" s="5">
        <f t="shared" si="131"/>
        <v>1</v>
      </c>
      <c r="AW135" s="5">
        <f t="shared" si="131"/>
        <v>1</v>
      </c>
      <c r="AX135" s="5">
        <f t="shared" si="131"/>
        <v>1</v>
      </c>
      <c r="AY135" s="5">
        <f t="shared" si="131"/>
        <v>1</v>
      </c>
      <c r="AZ135" s="5">
        <f t="shared" si="131"/>
        <v>1</v>
      </c>
      <c r="BA135" s="5">
        <f t="shared" si="131"/>
        <v>1</v>
      </c>
      <c r="BB135" s="8"/>
      <c r="BC135" s="8"/>
      <c r="BD135" s="8"/>
      <c r="BE135" s="8"/>
      <c r="BF135" s="8"/>
      <c r="BG135" s="8"/>
      <c r="BH135" s="8"/>
      <c r="BI135" s="8"/>
    </row>
    <row r="136" ht="12.75" customHeight="1">
      <c r="A136" s="4">
        <v>225.0</v>
      </c>
      <c r="B136" s="5" t="s">
        <v>490</v>
      </c>
      <c r="C136" s="5" t="s">
        <v>491</v>
      </c>
      <c r="D136" s="5" t="s">
        <v>492</v>
      </c>
      <c r="E136" s="5" t="s">
        <v>22</v>
      </c>
      <c r="F136" s="6">
        <v>45964.0</v>
      </c>
      <c r="G136" s="5" t="s">
        <v>23</v>
      </c>
      <c r="H136" s="6">
        <v>45964.0</v>
      </c>
      <c r="I136" s="5" t="s">
        <v>34</v>
      </c>
      <c r="J136" s="5" t="s">
        <v>35</v>
      </c>
      <c r="K136" s="5" t="s">
        <v>25</v>
      </c>
      <c r="L136" s="5" t="s">
        <v>442</v>
      </c>
      <c r="M136" s="5" t="s">
        <v>39</v>
      </c>
      <c r="N136" s="5" t="s">
        <v>239</v>
      </c>
      <c r="O136" s="5" t="s">
        <v>30</v>
      </c>
      <c r="P136" s="7" t="s">
        <v>38</v>
      </c>
      <c r="Q136" s="7" t="str">
        <f t="array" ref="Q136">IF($M136="Yes","Cost of Goods Sold:COGS- Travel Expenses:",IF($M136="No",XLOOKUP($P136,Key!$I:$I,Key!$J:$J),"Review Billable Status"))</f>
        <v>Cost of Goods Sold:COGS- Travel Expenses:</v>
      </c>
      <c r="R136" s="7" t="str">
        <f t="array" ref="R136">IF($M136="Yes","Cost of Goods Sold:COGS- Personnel Expense:",IF($M136="No",XLOOKUP($P136,Key!$I:$I,Key!$K:$K),"Review Billable Status"))</f>
        <v>Cost of Goods Sold:COGS- Personnel Expense:</v>
      </c>
      <c r="S136" s="10" t="str">
        <f t="array" ref="S136">IF($G136="Paid Intern","PD Intern",IF($G136="Contractor/Consultant","Contractor",XLOOKUP(M136&amp;P136,Key!$M:$M,Key!$L:$L)))</f>
        <v>COR</v>
      </c>
      <c r="T136" s="5">
        <f t="shared" ref="T136:BA136" si="132">IF(OR($F136&gt;T$12,AND($G136="Terminated",T$12&gt;=$H136)),0,1)</f>
        <v>0</v>
      </c>
      <c r="U136" s="5">
        <f t="shared" si="132"/>
        <v>0</v>
      </c>
      <c r="V136" s="5">
        <f t="shared" si="132"/>
        <v>0</v>
      </c>
      <c r="W136" s="5">
        <f t="shared" si="132"/>
        <v>0</v>
      </c>
      <c r="X136" s="5">
        <f t="shared" si="132"/>
        <v>0</v>
      </c>
      <c r="Y136" s="5">
        <f t="shared" si="132"/>
        <v>0</v>
      </c>
      <c r="Z136" s="5">
        <f t="shared" si="132"/>
        <v>0</v>
      </c>
      <c r="AA136" s="5">
        <f t="shared" si="132"/>
        <v>0</v>
      </c>
      <c r="AB136" s="5">
        <f t="shared" si="132"/>
        <v>0</v>
      </c>
      <c r="AC136" s="5">
        <f t="shared" si="132"/>
        <v>0</v>
      </c>
      <c r="AD136" s="5">
        <f t="shared" si="132"/>
        <v>0</v>
      </c>
      <c r="AE136" s="5">
        <f t="shared" si="132"/>
        <v>0</v>
      </c>
      <c r="AF136" s="5">
        <f t="shared" si="132"/>
        <v>0</v>
      </c>
      <c r="AG136" s="5">
        <f t="shared" si="132"/>
        <v>0</v>
      </c>
      <c r="AH136" s="5">
        <f t="shared" si="132"/>
        <v>0</v>
      </c>
      <c r="AI136" s="5">
        <f t="shared" si="132"/>
        <v>0</v>
      </c>
      <c r="AJ136" s="5">
        <f t="shared" si="132"/>
        <v>0</v>
      </c>
      <c r="AK136" s="5">
        <f t="shared" si="132"/>
        <v>0</v>
      </c>
      <c r="AL136" s="5">
        <f t="shared" si="132"/>
        <v>0</v>
      </c>
      <c r="AM136" s="5">
        <f t="shared" si="132"/>
        <v>0</v>
      </c>
      <c r="AN136" s="5">
        <f t="shared" si="132"/>
        <v>1</v>
      </c>
      <c r="AO136" s="5">
        <f t="shared" si="132"/>
        <v>1</v>
      </c>
      <c r="AP136" s="5">
        <f t="shared" si="132"/>
        <v>1</v>
      </c>
      <c r="AQ136" s="5">
        <f t="shared" si="132"/>
        <v>1</v>
      </c>
      <c r="AR136" s="5">
        <f t="shared" si="132"/>
        <v>1</v>
      </c>
      <c r="AS136" s="5">
        <f t="shared" si="132"/>
        <v>1</v>
      </c>
      <c r="AT136" s="5">
        <f t="shared" si="132"/>
        <v>1</v>
      </c>
      <c r="AU136" s="5">
        <f t="shared" si="132"/>
        <v>1</v>
      </c>
      <c r="AV136" s="5">
        <f t="shared" si="132"/>
        <v>1</v>
      </c>
      <c r="AW136" s="5">
        <f t="shared" si="132"/>
        <v>1</v>
      </c>
      <c r="AX136" s="5">
        <f t="shared" si="132"/>
        <v>1</v>
      </c>
      <c r="AY136" s="5">
        <f t="shared" si="132"/>
        <v>1</v>
      </c>
      <c r="AZ136" s="5">
        <f t="shared" si="132"/>
        <v>1</v>
      </c>
      <c r="BA136" s="5">
        <f t="shared" si="132"/>
        <v>1</v>
      </c>
      <c r="BB136" s="8"/>
      <c r="BC136" s="8"/>
      <c r="BD136" s="8"/>
      <c r="BE136" s="8"/>
      <c r="BF136" s="8"/>
      <c r="BG136" s="8"/>
      <c r="BH136" s="8"/>
      <c r="BI136" s="8"/>
    </row>
    <row r="137" ht="12.75" customHeight="1">
      <c r="A137" s="4">
        <v>228.0</v>
      </c>
      <c r="B137" s="5" t="s">
        <v>493</v>
      </c>
      <c r="C137" s="5" t="s">
        <v>494</v>
      </c>
      <c r="D137" s="5" t="s">
        <v>495</v>
      </c>
      <c r="E137" s="5" t="s">
        <v>22</v>
      </c>
      <c r="F137" s="6">
        <v>46027.0</v>
      </c>
      <c r="G137" s="5" t="s">
        <v>23</v>
      </c>
      <c r="H137" s="6">
        <v>46027.0</v>
      </c>
      <c r="I137" s="5" t="s">
        <v>34</v>
      </c>
      <c r="J137" s="5" t="s">
        <v>35</v>
      </c>
      <c r="K137" s="5" t="s">
        <v>36</v>
      </c>
      <c r="L137" s="5" t="s">
        <v>153</v>
      </c>
      <c r="M137" s="5" t="s">
        <v>39</v>
      </c>
      <c r="N137" s="5" t="s">
        <v>239</v>
      </c>
      <c r="O137" s="5" t="s">
        <v>486</v>
      </c>
      <c r="P137" s="7" t="s">
        <v>38</v>
      </c>
      <c r="Q137" s="7" t="str">
        <f t="array" ref="Q137">IF($M137="Yes","Cost of Goods Sold:COGS- Travel Expenses:",IF($M137="No",XLOOKUP($P137,Key!$I:$I,Key!$J:$J),"Review Billable Status"))</f>
        <v>Cost of Goods Sold:COGS- Travel Expenses:</v>
      </c>
      <c r="R137" s="7" t="str">
        <f t="array" ref="R137">IF($M137="Yes","Cost of Goods Sold:COGS- Personnel Expense:",IF($M137="No",XLOOKUP($P137,Key!$I:$I,Key!$K:$K),"Review Billable Status"))</f>
        <v>Cost of Goods Sold:COGS- Personnel Expense:</v>
      </c>
      <c r="S137" s="10" t="str">
        <f t="array" ref="S137">IF($G137="Paid Intern","PD Intern",IF($G137="Contractor/Consultant","Contractor",XLOOKUP(M137&amp;P137,Key!$M:$M,Key!$L:$L)))</f>
        <v>COR</v>
      </c>
      <c r="T137" s="5">
        <f t="shared" ref="T137:BA137" si="133">IF(OR($F137&gt;T$12,AND($G137="Terminated",T$12&gt;=$H137)),0,1)</f>
        <v>0</v>
      </c>
      <c r="U137" s="5">
        <f t="shared" si="133"/>
        <v>0</v>
      </c>
      <c r="V137" s="5">
        <f t="shared" si="133"/>
        <v>0</v>
      </c>
      <c r="W137" s="5">
        <f t="shared" si="133"/>
        <v>0</v>
      </c>
      <c r="X137" s="5">
        <f t="shared" si="133"/>
        <v>0</v>
      </c>
      <c r="Y137" s="5">
        <f t="shared" si="133"/>
        <v>0</v>
      </c>
      <c r="Z137" s="5">
        <f t="shared" si="133"/>
        <v>0</v>
      </c>
      <c r="AA137" s="5">
        <f t="shared" si="133"/>
        <v>0</v>
      </c>
      <c r="AB137" s="5">
        <f t="shared" si="133"/>
        <v>0</v>
      </c>
      <c r="AC137" s="5">
        <f t="shared" si="133"/>
        <v>0</v>
      </c>
      <c r="AD137" s="5">
        <f t="shared" si="133"/>
        <v>0</v>
      </c>
      <c r="AE137" s="5">
        <f t="shared" si="133"/>
        <v>0</v>
      </c>
      <c r="AF137" s="5">
        <f t="shared" si="133"/>
        <v>0</v>
      </c>
      <c r="AG137" s="5">
        <f t="shared" si="133"/>
        <v>0</v>
      </c>
      <c r="AH137" s="5">
        <f t="shared" si="133"/>
        <v>0</v>
      </c>
      <c r="AI137" s="5">
        <f t="shared" si="133"/>
        <v>0</v>
      </c>
      <c r="AJ137" s="5">
        <f t="shared" si="133"/>
        <v>0</v>
      </c>
      <c r="AK137" s="5">
        <f t="shared" si="133"/>
        <v>0</v>
      </c>
      <c r="AL137" s="5">
        <f t="shared" si="133"/>
        <v>0</v>
      </c>
      <c r="AM137" s="5">
        <f t="shared" si="133"/>
        <v>0</v>
      </c>
      <c r="AN137" s="5">
        <f t="shared" si="133"/>
        <v>0</v>
      </c>
      <c r="AO137" s="5">
        <f t="shared" si="133"/>
        <v>0</v>
      </c>
      <c r="AP137" s="5">
        <f t="shared" si="133"/>
        <v>1</v>
      </c>
      <c r="AQ137" s="5">
        <f t="shared" si="133"/>
        <v>1</v>
      </c>
      <c r="AR137" s="5">
        <f t="shared" si="133"/>
        <v>1</v>
      </c>
      <c r="AS137" s="5">
        <f t="shared" si="133"/>
        <v>1</v>
      </c>
      <c r="AT137" s="5">
        <f t="shared" si="133"/>
        <v>1</v>
      </c>
      <c r="AU137" s="5">
        <f t="shared" si="133"/>
        <v>1</v>
      </c>
      <c r="AV137" s="5">
        <f t="shared" si="133"/>
        <v>1</v>
      </c>
      <c r="AW137" s="5">
        <f t="shared" si="133"/>
        <v>1</v>
      </c>
      <c r="AX137" s="5">
        <f t="shared" si="133"/>
        <v>1</v>
      </c>
      <c r="AY137" s="5">
        <f t="shared" si="133"/>
        <v>1</v>
      </c>
      <c r="AZ137" s="5">
        <f t="shared" si="133"/>
        <v>1</v>
      </c>
      <c r="BA137" s="5">
        <f t="shared" si="133"/>
        <v>1</v>
      </c>
      <c r="BB137" s="8"/>
      <c r="BC137" s="8"/>
      <c r="BD137" s="8"/>
      <c r="BE137" s="8"/>
      <c r="BF137" s="8"/>
      <c r="BG137" s="8"/>
      <c r="BH137" s="8"/>
      <c r="BI137" s="8"/>
    </row>
    <row r="138" ht="12.75" customHeight="1">
      <c r="A138" s="4">
        <v>229.0</v>
      </c>
      <c r="B138" s="5" t="s">
        <v>496</v>
      </c>
      <c r="C138" s="5" t="s">
        <v>497</v>
      </c>
      <c r="D138" s="5" t="s">
        <v>498</v>
      </c>
      <c r="E138" s="5" t="s">
        <v>112</v>
      </c>
      <c r="F138" s="6">
        <v>45943.0</v>
      </c>
      <c r="G138" s="5" t="s">
        <v>23</v>
      </c>
      <c r="H138" s="6">
        <v>45943.0</v>
      </c>
      <c r="I138" s="5" t="s">
        <v>64</v>
      </c>
      <c r="J138" s="5" t="s">
        <v>130</v>
      </c>
      <c r="K138" s="5" t="s">
        <v>25</v>
      </c>
      <c r="L138" s="5" t="s">
        <v>131</v>
      </c>
      <c r="M138" s="5" t="s">
        <v>39</v>
      </c>
      <c r="N138" s="5" t="s">
        <v>52</v>
      </c>
      <c r="O138" s="5" t="s">
        <v>30</v>
      </c>
      <c r="P138" s="7" t="s">
        <v>175</v>
      </c>
      <c r="Q138" s="7" t="str">
        <f t="array" ref="Q138">IF($M138="Yes","Cost of Goods Sold:COGS- Travel Expenses:",IF($M138="No",XLOOKUP($P138,Key!$I:$I,Key!$J:$J),"Review Billable Status"))</f>
        <v>Cost of Goods Sold:COGS- Travel Expenses:</v>
      </c>
      <c r="R138" s="7" t="str">
        <f t="array" ref="R138">IF($M138="Yes","Cost of Goods Sold:COGS- Personnel Expense:",IF($M138="No",XLOOKUP($P138,Key!$I:$I,Key!$K:$K),"Review Billable Status"))</f>
        <v>Cost of Goods Sold:COGS- Personnel Expense:</v>
      </c>
      <c r="S138" s="10" t="str">
        <f t="array" ref="S138">IF($G138="Paid Intern","PD Intern",IF($G138="Contractor/Consultant","Contractor",XLOOKUP(M138&amp;P138,Key!$M:$M,Key!$L:$L)))</f>
        <v>COR</v>
      </c>
      <c r="T138" s="5">
        <f t="shared" ref="T138:BA138" si="134">IF(OR($F138&gt;T$12,AND($G138="Terminated",T$12&gt;=$H138)),0,1)</f>
        <v>0</v>
      </c>
      <c r="U138" s="5">
        <f t="shared" si="134"/>
        <v>0</v>
      </c>
      <c r="V138" s="5">
        <f t="shared" si="134"/>
        <v>0</v>
      </c>
      <c r="W138" s="5">
        <f t="shared" si="134"/>
        <v>0</v>
      </c>
      <c r="X138" s="5">
        <f t="shared" si="134"/>
        <v>0</v>
      </c>
      <c r="Y138" s="5">
        <f t="shared" si="134"/>
        <v>0</v>
      </c>
      <c r="Z138" s="5">
        <f t="shared" si="134"/>
        <v>0</v>
      </c>
      <c r="AA138" s="5">
        <f t="shared" si="134"/>
        <v>0</v>
      </c>
      <c r="AB138" s="5">
        <f t="shared" si="134"/>
        <v>0</v>
      </c>
      <c r="AC138" s="5">
        <f t="shared" si="134"/>
        <v>0</v>
      </c>
      <c r="AD138" s="5">
        <f t="shared" si="134"/>
        <v>0</v>
      </c>
      <c r="AE138" s="5">
        <f t="shared" si="134"/>
        <v>0</v>
      </c>
      <c r="AF138" s="5">
        <f t="shared" si="134"/>
        <v>0</v>
      </c>
      <c r="AG138" s="5">
        <f t="shared" si="134"/>
        <v>0</v>
      </c>
      <c r="AH138" s="5">
        <f t="shared" si="134"/>
        <v>0</v>
      </c>
      <c r="AI138" s="5">
        <f t="shared" si="134"/>
        <v>0</v>
      </c>
      <c r="AJ138" s="5">
        <f t="shared" si="134"/>
        <v>0</v>
      </c>
      <c r="AK138" s="5">
        <f t="shared" si="134"/>
        <v>0</v>
      </c>
      <c r="AL138" s="5">
        <f t="shared" si="134"/>
        <v>0</v>
      </c>
      <c r="AM138" s="5">
        <f t="shared" si="134"/>
        <v>1</v>
      </c>
      <c r="AN138" s="5">
        <f t="shared" si="134"/>
        <v>1</v>
      </c>
      <c r="AO138" s="5">
        <f t="shared" si="134"/>
        <v>1</v>
      </c>
      <c r="AP138" s="5">
        <f t="shared" si="134"/>
        <v>1</v>
      </c>
      <c r="AQ138" s="5">
        <f t="shared" si="134"/>
        <v>1</v>
      </c>
      <c r="AR138" s="5">
        <f t="shared" si="134"/>
        <v>1</v>
      </c>
      <c r="AS138" s="5">
        <f t="shared" si="134"/>
        <v>1</v>
      </c>
      <c r="AT138" s="5">
        <f t="shared" si="134"/>
        <v>1</v>
      </c>
      <c r="AU138" s="5">
        <f t="shared" si="134"/>
        <v>1</v>
      </c>
      <c r="AV138" s="5">
        <f t="shared" si="134"/>
        <v>1</v>
      </c>
      <c r="AW138" s="5">
        <f t="shared" si="134"/>
        <v>1</v>
      </c>
      <c r="AX138" s="5">
        <f t="shared" si="134"/>
        <v>1</v>
      </c>
      <c r="AY138" s="5">
        <f t="shared" si="134"/>
        <v>1</v>
      </c>
      <c r="AZ138" s="5">
        <f t="shared" si="134"/>
        <v>1</v>
      </c>
      <c r="BA138" s="5">
        <f t="shared" si="134"/>
        <v>1</v>
      </c>
      <c r="BB138" s="8"/>
      <c r="BC138" s="8"/>
      <c r="BD138" s="8"/>
      <c r="BE138" s="8"/>
      <c r="BF138" s="8"/>
      <c r="BG138" s="8"/>
      <c r="BH138" s="8"/>
      <c r="BI138" s="8"/>
    </row>
    <row r="139" ht="12.75" customHeight="1">
      <c r="A139" s="4">
        <v>232.0</v>
      </c>
      <c r="B139" s="5" t="s">
        <v>266</v>
      </c>
      <c r="C139" s="5" t="s">
        <v>499</v>
      </c>
      <c r="D139" s="5" t="s">
        <v>500</v>
      </c>
      <c r="E139" s="5" t="s">
        <v>112</v>
      </c>
      <c r="F139" s="6">
        <v>45964.0</v>
      </c>
      <c r="G139" s="5" t="s">
        <v>23</v>
      </c>
      <c r="H139" s="6">
        <v>45964.0</v>
      </c>
      <c r="I139" s="5" t="s">
        <v>64</v>
      </c>
      <c r="J139" s="5" t="s">
        <v>366</v>
      </c>
      <c r="K139" s="5" t="s">
        <v>36</v>
      </c>
      <c r="L139" s="5" t="s">
        <v>501</v>
      </c>
      <c r="M139" s="5" t="s">
        <v>39</v>
      </c>
      <c r="N139" s="5" t="s">
        <v>239</v>
      </c>
      <c r="O139" s="5" t="s">
        <v>205</v>
      </c>
      <c r="P139" s="7" t="s">
        <v>75</v>
      </c>
      <c r="Q139" s="7" t="str">
        <f t="array" ref="Q139">IF($M139="Yes","Cost of Goods Sold:COGS- Travel Expenses:",IF($M139="No",XLOOKUP($P139,Key!$I:$I,Key!$J:$J),"Review Billable Status"))</f>
        <v>Cost of Goods Sold:COGS- Travel Expenses:</v>
      </c>
      <c r="R139" s="7" t="str">
        <f t="array" ref="R139">IF($M139="Yes","Cost of Goods Sold:COGS- Personnel Expense:",IF($M139="No",XLOOKUP($P139,Key!$I:$I,Key!$K:$K),"Review Billable Status"))</f>
        <v>Cost of Goods Sold:COGS- Personnel Expense:</v>
      </c>
      <c r="S139" s="10" t="str">
        <f t="array" ref="S139">IF($G139="Paid Intern","PD Intern",IF($G139="Contractor/Consultant","Contractor",XLOOKUP(M139&amp;P139,Key!$M:$M,Key!$L:$L)))</f>
        <v>COR</v>
      </c>
      <c r="T139" s="5">
        <f t="shared" ref="T139:BA139" si="135">IF(OR($F139&gt;T$12,AND($G139="Terminated",T$12&gt;=$H139)),0,1)</f>
        <v>0</v>
      </c>
      <c r="U139" s="5">
        <f t="shared" si="135"/>
        <v>0</v>
      </c>
      <c r="V139" s="5">
        <f t="shared" si="135"/>
        <v>0</v>
      </c>
      <c r="W139" s="5">
        <f t="shared" si="135"/>
        <v>0</v>
      </c>
      <c r="X139" s="5">
        <f t="shared" si="135"/>
        <v>0</v>
      </c>
      <c r="Y139" s="5">
        <f t="shared" si="135"/>
        <v>0</v>
      </c>
      <c r="Z139" s="5">
        <f t="shared" si="135"/>
        <v>0</v>
      </c>
      <c r="AA139" s="5">
        <f t="shared" si="135"/>
        <v>0</v>
      </c>
      <c r="AB139" s="5">
        <f t="shared" si="135"/>
        <v>0</v>
      </c>
      <c r="AC139" s="5">
        <f t="shared" si="135"/>
        <v>0</v>
      </c>
      <c r="AD139" s="5">
        <f t="shared" si="135"/>
        <v>0</v>
      </c>
      <c r="AE139" s="5">
        <f t="shared" si="135"/>
        <v>0</v>
      </c>
      <c r="AF139" s="5">
        <f t="shared" si="135"/>
        <v>0</v>
      </c>
      <c r="AG139" s="5">
        <f t="shared" si="135"/>
        <v>0</v>
      </c>
      <c r="AH139" s="5">
        <f t="shared" si="135"/>
        <v>0</v>
      </c>
      <c r="AI139" s="5">
        <f t="shared" si="135"/>
        <v>0</v>
      </c>
      <c r="AJ139" s="5">
        <f t="shared" si="135"/>
        <v>0</v>
      </c>
      <c r="AK139" s="5">
        <f t="shared" si="135"/>
        <v>0</v>
      </c>
      <c r="AL139" s="5">
        <f t="shared" si="135"/>
        <v>0</v>
      </c>
      <c r="AM139" s="5">
        <f t="shared" si="135"/>
        <v>0</v>
      </c>
      <c r="AN139" s="5">
        <f t="shared" si="135"/>
        <v>1</v>
      </c>
      <c r="AO139" s="5">
        <f t="shared" si="135"/>
        <v>1</v>
      </c>
      <c r="AP139" s="5">
        <f t="shared" si="135"/>
        <v>1</v>
      </c>
      <c r="AQ139" s="5">
        <f t="shared" si="135"/>
        <v>1</v>
      </c>
      <c r="AR139" s="5">
        <f t="shared" si="135"/>
        <v>1</v>
      </c>
      <c r="AS139" s="5">
        <f t="shared" si="135"/>
        <v>1</v>
      </c>
      <c r="AT139" s="5">
        <f t="shared" si="135"/>
        <v>1</v>
      </c>
      <c r="AU139" s="5">
        <f t="shared" si="135"/>
        <v>1</v>
      </c>
      <c r="AV139" s="5">
        <f t="shared" si="135"/>
        <v>1</v>
      </c>
      <c r="AW139" s="5">
        <f t="shared" si="135"/>
        <v>1</v>
      </c>
      <c r="AX139" s="5">
        <f t="shared" si="135"/>
        <v>1</v>
      </c>
      <c r="AY139" s="5">
        <f t="shared" si="135"/>
        <v>1</v>
      </c>
      <c r="AZ139" s="5">
        <f t="shared" si="135"/>
        <v>1</v>
      </c>
      <c r="BA139" s="5">
        <f t="shared" si="135"/>
        <v>1</v>
      </c>
      <c r="BB139" s="8"/>
      <c r="BC139" s="8"/>
      <c r="BD139" s="8"/>
      <c r="BE139" s="8"/>
      <c r="BF139" s="8"/>
      <c r="BG139" s="8"/>
      <c r="BH139" s="8"/>
      <c r="BI139" s="8"/>
    </row>
    <row r="140" ht="12.75" customHeight="1">
      <c r="A140" s="4">
        <v>233.0</v>
      </c>
      <c r="B140" s="5" t="s">
        <v>502</v>
      </c>
      <c r="C140" s="5" t="s">
        <v>503</v>
      </c>
      <c r="D140" s="5" t="s">
        <v>504</v>
      </c>
      <c r="E140" s="5" t="s">
        <v>22</v>
      </c>
      <c r="F140" s="6">
        <v>45964.0</v>
      </c>
      <c r="G140" s="5" t="s">
        <v>23</v>
      </c>
      <c r="H140" s="6">
        <v>45964.0</v>
      </c>
      <c r="I140" s="5" t="s">
        <v>64</v>
      </c>
      <c r="J140" s="5" t="s">
        <v>35</v>
      </c>
      <c r="K140" s="5" t="s">
        <v>25</v>
      </c>
      <c r="L140" s="5" t="s">
        <v>334</v>
      </c>
      <c r="M140" s="5" t="s">
        <v>39</v>
      </c>
      <c r="N140" s="5" t="s">
        <v>85</v>
      </c>
      <c r="O140" s="5" t="s">
        <v>30</v>
      </c>
      <c r="P140" s="7" t="s">
        <v>75</v>
      </c>
      <c r="Q140" s="7" t="str">
        <f t="array" ref="Q140">IF($M140="Yes","Cost of Goods Sold:COGS- Travel Expenses:",IF($M140="No",XLOOKUP($P140,Key!$I:$I,Key!$J:$J),"Review Billable Status"))</f>
        <v>Cost of Goods Sold:COGS- Travel Expenses:</v>
      </c>
      <c r="R140" s="7" t="str">
        <f t="array" ref="R140">IF($M140="Yes","Cost of Goods Sold:COGS- Personnel Expense:",IF($M140="No",XLOOKUP($P140,Key!$I:$I,Key!$K:$K),"Review Billable Status"))</f>
        <v>Cost of Goods Sold:COGS- Personnel Expense:</v>
      </c>
      <c r="S140" s="10" t="str">
        <f t="array" ref="S140">IF($G140="Paid Intern","PD Intern",IF($G140="Contractor/Consultant","Contractor",XLOOKUP(M140&amp;P140,Key!$M:$M,Key!$L:$L)))</f>
        <v>COR</v>
      </c>
      <c r="T140" s="5">
        <f t="shared" ref="T140:BA140" si="136">IF(OR($F140&gt;T$12,AND($G140="Terminated",T$12&gt;=$H140)),0,1)</f>
        <v>0</v>
      </c>
      <c r="U140" s="5">
        <f t="shared" si="136"/>
        <v>0</v>
      </c>
      <c r="V140" s="5">
        <f t="shared" si="136"/>
        <v>0</v>
      </c>
      <c r="W140" s="5">
        <f t="shared" si="136"/>
        <v>0</v>
      </c>
      <c r="X140" s="5">
        <f t="shared" si="136"/>
        <v>0</v>
      </c>
      <c r="Y140" s="5">
        <f t="shared" si="136"/>
        <v>0</v>
      </c>
      <c r="Z140" s="5">
        <f t="shared" si="136"/>
        <v>0</v>
      </c>
      <c r="AA140" s="5">
        <f t="shared" si="136"/>
        <v>0</v>
      </c>
      <c r="AB140" s="5">
        <f t="shared" si="136"/>
        <v>0</v>
      </c>
      <c r="AC140" s="5">
        <f t="shared" si="136"/>
        <v>0</v>
      </c>
      <c r="AD140" s="5">
        <f t="shared" si="136"/>
        <v>0</v>
      </c>
      <c r="AE140" s="5">
        <f t="shared" si="136"/>
        <v>0</v>
      </c>
      <c r="AF140" s="5">
        <f t="shared" si="136"/>
        <v>0</v>
      </c>
      <c r="AG140" s="5">
        <f t="shared" si="136"/>
        <v>0</v>
      </c>
      <c r="AH140" s="5">
        <f t="shared" si="136"/>
        <v>0</v>
      </c>
      <c r="AI140" s="5">
        <f t="shared" si="136"/>
        <v>0</v>
      </c>
      <c r="AJ140" s="5">
        <f t="shared" si="136"/>
        <v>0</v>
      </c>
      <c r="AK140" s="5">
        <f t="shared" si="136"/>
        <v>0</v>
      </c>
      <c r="AL140" s="5">
        <f t="shared" si="136"/>
        <v>0</v>
      </c>
      <c r="AM140" s="5">
        <f t="shared" si="136"/>
        <v>0</v>
      </c>
      <c r="AN140" s="5">
        <f t="shared" si="136"/>
        <v>1</v>
      </c>
      <c r="AO140" s="5">
        <f t="shared" si="136"/>
        <v>1</v>
      </c>
      <c r="AP140" s="5">
        <f t="shared" si="136"/>
        <v>1</v>
      </c>
      <c r="AQ140" s="5">
        <f t="shared" si="136"/>
        <v>1</v>
      </c>
      <c r="AR140" s="5">
        <f t="shared" si="136"/>
        <v>1</v>
      </c>
      <c r="AS140" s="5">
        <f t="shared" si="136"/>
        <v>1</v>
      </c>
      <c r="AT140" s="5">
        <f t="shared" si="136"/>
        <v>1</v>
      </c>
      <c r="AU140" s="5">
        <f t="shared" si="136"/>
        <v>1</v>
      </c>
      <c r="AV140" s="5">
        <f t="shared" si="136"/>
        <v>1</v>
      </c>
      <c r="AW140" s="5">
        <f t="shared" si="136"/>
        <v>1</v>
      </c>
      <c r="AX140" s="5">
        <f t="shared" si="136"/>
        <v>1</v>
      </c>
      <c r="AY140" s="5">
        <f t="shared" si="136"/>
        <v>1</v>
      </c>
      <c r="AZ140" s="5">
        <f t="shared" si="136"/>
        <v>1</v>
      </c>
      <c r="BA140" s="5">
        <f t="shared" si="136"/>
        <v>1</v>
      </c>
      <c r="BB140" s="8"/>
      <c r="BC140" s="8"/>
      <c r="BD140" s="8"/>
      <c r="BE140" s="8"/>
      <c r="BF140" s="8"/>
      <c r="BG140" s="8"/>
      <c r="BH140" s="8"/>
      <c r="BI140" s="8"/>
    </row>
    <row r="141" ht="12.75" customHeight="1">
      <c r="A141" s="4">
        <v>235.0</v>
      </c>
      <c r="B141" s="5" t="s">
        <v>308</v>
      </c>
      <c r="C141" s="5" t="s">
        <v>505</v>
      </c>
      <c r="D141" s="5" t="s">
        <v>506</v>
      </c>
      <c r="E141" s="5" t="s">
        <v>22</v>
      </c>
      <c r="F141" s="6">
        <v>45971.0</v>
      </c>
      <c r="G141" s="5" t="s">
        <v>23</v>
      </c>
      <c r="H141" s="6">
        <v>45971.0</v>
      </c>
      <c r="I141" s="5" t="s">
        <v>34</v>
      </c>
      <c r="J141" s="5" t="s">
        <v>35</v>
      </c>
      <c r="K141" s="5" t="s">
        <v>36</v>
      </c>
      <c r="L141" s="5" t="s">
        <v>323</v>
      </c>
      <c r="M141" s="5" t="s">
        <v>39</v>
      </c>
      <c r="N141" s="5" t="s">
        <v>52</v>
      </c>
      <c r="O141" s="5" t="s">
        <v>330</v>
      </c>
      <c r="P141" s="7" t="s">
        <v>38</v>
      </c>
      <c r="Q141" s="7" t="str">
        <f t="array" ref="Q141">IF($M141="Yes","Cost of Goods Sold:COGS- Travel Expenses:",IF($M141="No",XLOOKUP($P141,Key!$I:$I,Key!$J:$J),"Review Billable Status"))</f>
        <v>Cost of Goods Sold:COGS- Travel Expenses:</v>
      </c>
      <c r="R141" s="7" t="str">
        <f t="array" ref="R141">IF($M141="Yes","Cost of Goods Sold:COGS- Personnel Expense:",IF($M141="No",XLOOKUP($P141,Key!$I:$I,Key!$K:$K),"Review Billable Status"))</f>
        <v>Cost of Goods Sold:COGS- Personnel Expense:</v>
      </c>
      <c r="S141" s="10" t="str">
        <f t="array" ref="S141">IF($G141="Paid Intern","PD Intern",IF($G141="Contractor/Consultant","Contractor",XLOOKUP(M141&amp;P141,Key!$M:$M,Key!$L:$L)))</f>
        <v>COR</v>
      </c>
      <c r="T141" s="5">
        <f t="shared" ref="T141:BA141" si="137">IF(OR($F141&gt;T$12,AND($G141="Terminated",T$12&gt;=$H141)),0,1)</f>
        <v>0</v>
      </c>
      <c r="U141" s="5">
        <f t="shared" si="137"/>
        <v>0</v>
      </c>
      <c r="V141" s="5">
        <f t="shared" si="137"/>
        <v>0</v>
      </c>
      <c r="W141" s="5">
        <f t="shared" si="137"/>
        <v>0</v>
      </c>
      <c r="X141" s="5">
        <f t="shared" si="137"/>
        <v>0</v>
      </c>
      <c r="Y141" s="5">
        <f t="shared" si="137"/>
        <v>0</v>
      </c>
      <c r="Z141" s="5">
        <f t="shared" si="137"/>
        <v>0</v>
      </c>
      <c r="AA141" s="5">
        <f t="shared" si="137"/>
        <v>0</v>
      </c>
      <c r="AB141" s="5">
        <f t="shared" si="137"/>
        <v>0</v>
      </c>
      <c r="AC141" s="5">
        <f t="shared" si="137"/>
        <v>0</v>
      </c>
      <c r="AD141" s="5">
        <f t="shared" si="137"/>
        <v>0</v>
      </c>
      <c r="AE141" s="5">
        <f t="shared" si="137"/>
        <v>0</v>
      </c>
      <c r="AF141" s="5">
        <f t="shared" si="137"/>
        <v>0</v>
      </c>
      <c r="AG141" s="5">
        <f t="shared" si="137"/>
        <v>0</v>
      </c>
      <c r="AH141" s="5">
        <f t="shared" si="137"/>
        <v>0</v>
      </c>
      <c r="AI141" s="5">
        <f t="shared" si="137"/>
        <v>0</v>
      </c>
      <c r="AJ141" s="5">
        <f t="shared" si="137"/>
        <v>0</v>
      </c>
      <c r="AK141" s="5">
        <f t="shared" si="137"/>
        <v>0</v>
      </c>
      <c r="AL141" s="5">
        <f t="shared" si="137"/>
        <v>0</v>
      </c>
      <c r="AM141" s="5">
        <f t="shared" si="137"/>
        <v>0</v>
      </c>
      <c r="AN141" s="5">
        <f t="shared" si="137"/>
        <v>1</v>
      </c>
      <c r="AO141" s="5">
        <f t="shared" si="137"/>
        <v>1</v>
      </c>
      <c r="AP141" s="5">
        <f t="shared" si="137"/>
        <v>1</v>
      </c>
      <c r="AQ141" s="5">
        <f t="shared" si="137"/>
        <v>1</v>
      </c>
      <c r="AR141" s="5">
        <f t="shared" si="137"/>
        <v>1</v>
      </c>
      <c r="AS141" s="5">
        <f t="shared" si="137"/>
        <v>1</v>
      </c>
      <c r="AT141" s="5">
        <f t="shared" si="137"/>
        <v>1</v>
      </c>
      <c r="AU141" s="5">
        <f t="shared" si="137"/>
        <v>1</v>
      </c>
      <c r="AV141" s="5">
        <f t="shared" si="137"/>
        <v>1</v>
      </c>
      <c r="AW141" s="5">
        <f t="shared" si="137"/>
        <v>1</v>
      </c>
      <c r="AX141" s="5">
        <f t="shared" si="137"/>
        <v>1</v>
      </c>
      <c r="AY141" s="5">
        <f t="shared" si="137"/>
        <v>1</v>
      </c>
      <c r="AZ141" s="5">
        <f t="shared" si="137"/>
        <v>1</v>
      </c>
      <c r="BA141" s="5">
        <f t="shared" si="137"/>
        <v>1</v>
      </c>
      <c r="BB141" s="8"/>
      <c r="BC141" s="8"/>
      <c r="BD141" s="8"/>
      <c r="BE141" s="8"/>
      <c r="BF141" s="8"/>
      <c r="BG141" s="8"/>
      <c r="BH141" s="8"/>
      <c r="BI141" s="8"/>
    </row>
    <row r="142" ht="12.75" customHeight="1">
      <c r="A142" s="4">
        <v>237.0</v>
      </c>
      <c r="B142" s="5" t="s">
        <v>507</v>
      </c>
      <c r="C142" s="5" t="s">
        <v>508</v>
      </c>
      <c r="D142" s="5" t="s">
        <v>509</v>
      </c>
      <c r="E142" s="5" t="s">
        <v>22</v>
      </c>
      <c r="F142" s="6">
        <v>45964.0</v>
      </c>
      <c r="G142" s="5" t="s">
        <v>23</v>
      </c>
      <c r="H142" s="6">
        <v>45964.0</v>
      </c>
      <c r="I142" s="5" t="s">
        <v>64</v>
      </c>
      <c r="J142" s="5" t="s">
        <v>366</v>
      </c>
      <c r="K142" s="5" t="s">
        <v>36</v>
      </c>
      <c r="L142" s="5" t="s">
        <v>501</v>
      </c>
      <c r="M142" s="5" t="s">
        <v>39</v>
      </c>
      <c r="N142" s="5" t="s">
        <v>239</v>
      </c>
      <c r="O142" s="5" t="s">
        <v>158</v>
      </c>
      <c r="P142" s="7" t="s">
        <v>75</v>
      </c>
      <c r="Q142" s="7" t="str">
        <f t="array" ref="Q142">IF($M142="Yes","Cost of Goods Sold:COGS- Travel Expenses:",IF($M142="No",XLOOKUP($P142,Key!$I:$I,Key!$J:$J),"Review Billable Status"))</f>
        <v>Cost of Goods Sold:COGS- Travel Expenses:</v>
      </c>
      <c r="R142" s="7" t="str">
        <f t="array" ref="R142">IF($M142="Yes","Cost of Goods Sold:COGS- Personnel Expense:",IF($M142="No",XLOOKUP($P142,Key!$I:$I,Key!$K:$K),"Review Billable Status"))</f>
        <v>Cost of Goods Sold:COGS- Personnel Expense:</v>
      </c>
      <c r="S142" s="10" t="str">
        <f t="array" ref="S142">IF($G142="Paid Intern","PD Intern",IF($G142="Contractor/Consultant","Contractor",XLOOKUP(M142&amp;P142,Key!$M:$M,Key!$L:$L)))</f>
        <v>COR</v>
      </c>
      <c r="T142" s="5">
        <f t="shared" ref="T142:BA142" si="138">IF(OR($F142&gt;T$12,AND($G142="Terminated",T$12&gt;=$H142)),0,1)</f>
        <v>0</v>
      </c>
      <c r="U142" s="5">
        <f t="shared" si="138"/>
        <v>0</v>
      </c>
      <c r="V142" s="5">
        <f t="shared" si="138"/>
        <v>0</v>
      </c>
      <c r="W142" s="5">
        <f t="shared" si="138"/>
        <v>0</v>
      </c>
      <c r="X142" s="5">
        <f t="shared" si="138"/>
        <v>0</v>
      </c>
      <c r="Y142" s="5">
        <f t="shared" si="138"/>
        <v>0</v>
      </c>
      <c r="Z142" s="5">
        <f t="shared" si="138"/>
        <v>0</v>
      </c>
      <c r="AA142" s="5">
        <f t="shared" si="138"/>
        <v>0</v>
      </c>
      <c r="AB142" s="5">
        <f t="shared" si="138"/>
        <v>0</v>
      </c>
      <c r="AC142" s="5">
        <f t="shared" si="138"/>
        <v>0</v>
      </c>
      <c r="AD142" s="5">
        <f t="shared" si="138"/>
        <v>0</v>
      </c>
      <c r="AE142" s="5">
        <f t="shared" si="138"/>
        <v>0</v>
      </c>
      <c r="AF142" s="5">
        <f t="shared" si="138"/>
        <v>0</v>
      </c>
      <c r="AG142" s="5">
        <f t="shared" si="138"/>
        <v>0</v>
      </c>
      <c r="AH142" s="5">
        <f t="shared" si="138"/>
        <v>0</v>
      </c>
      <c r="AI142" s="5">
        <f t="shared" si="138"/>
        <v>0</v>
      </c>
      <c r="AJ142" s="5">
        <f t="shared" si="138"/>
        <v>0</v>
      </c>
      <c r="AK142" s="5">
        <f t="shared" si="138"/>
        <v>0</v>
      </c>
      <c r="AL142" s="5">
        <f t="shared" si="138"/>
        <v>0</v>
      </c>
      <c r="AM142" s="5">
        <f t="shared" si="138"/>
        <v>0</v>
      </c>
      <c r="AN142" s="5">
        <f t="shared" si="138"/>
        <v>1</v>
      </c>
      <c r="AO142" s="5">
        <f t="shared" si="138"/>
        <v>1</v>
      </c>
      <c r="AP142" s="5">
        <f t="shared" si="138"/>
        <v>1</v>
      </c>
      <c r="AQ142" s="5">
        <f t="shared" si="138"/>
        <v>1</v>
      </c>
      <c r="AR142" s="5">
        <f t="shared" si="138"/>
        <v>1</v>
      </c>
      <c r="AS142" s="5">
        <f t="shared" si="138"/>
        <v>1</v>
      </c>
      <c r="AT142" s="5">
        <f t="shared" si="138"/>
        <v>1</v>
      </c>
      <c r="AU142" s="5">
        <f t="shared" si="138"/>
        <v>1</v>
      </c>
      <c r="AV142" s="5">
        <f t="shared" si="138"/>
        <v>1</v>
      </c>
      <c r="AW142" s="5">
        <f t="shared" si="138"/>
        <v>1</v>
      </c>
      <c r="AX142" s="5">
        <f t="shared" si="138"/>
        <v>1</v>
      </c>
      <c r="AY142" s="5">
        <f t="shared" si="138"/>
        <v>1</v>
      </c>
      <c r="AZ142" s="5">
        <f t="shared" si="138"/>
        <v>1</v>
      </c>
      <c r="BA142" s="5">
        <f t="shared" si="138"/>
        <v>1</v>
      </c>
      <c r="BB142" s="8"/>
      <c r="BC142" s="8"/>
      <c r="BD142" s="8"/>
      <c r="BE142" s="8"/>
      <c r="BF142" s="8"/>
      <c r="BG142" s="8"/>
      <c r="BH142" s="8"/>
      <c r="BI142" s="8"/>
    </row>
    <row r="143" ht="12.75" customHeight="1">
      <c r="A143" s="4">
        <v>238.0</v>
      </c>
      <c r="B143" s="5" t="s">
        <v>510</v>
      </c>
      <c r="C143" s="5" t="s">
        <v>511</v>
      </c>
      <c r="D143" s="5" t="s">
        <v>512</v>
      </c>
      <c r="E143" s="5" t="s">
        <v>112</v>
      </c>
      <c r="F143" s="6">
        <v>45964.0</v>
      </c>
      <c r="G143" s="5" t="s">
        <v>23</v>
      </c>
      <c r="H143" s="6">
        <v>45964.0</v>
      </c>
      <c r="I143" s="5" t="s">
        <v>24</v>
      </c>
      <c r="J143" s="5" t="s">
        <v>256</v>
      </c>
      <c r="K143" s="5" t="s">
        <v>25</v>
      </c>
      <c r="L143" s="5" t="s">
        <v>304</v>
      </c>
      <c r="M143" s="5" t="s">
        <v>28</v>
      </c>
      <c r="N143" s="5" t="s">
        <v>239</v>
      </c>
      <c r="O143" s="5" t="s">
        <v>30</v>
      </c>
      <c r="P143" s="7" t="s">
        <v>258</v>
      </c>
      <c r="Q143" s="7" t="str">
        <f t="array" ref="Q143">IF($M143="Yes","Cost of Goods Sold:COGS- Travel Expenses:",IF($M143="No",XLOOKUP($P143,Key!$I:$I,Key!$J:$J),"Review Billable Status"))</f>
        <v>Sales &amp; Marketing:Sales &amp; Marketing- Travel Expenses:</v>
      </c>
      <c r="R143" s="7" t="str">
        <f t="array" ref="R143">IF($M143="Yes","Cost of Goods Sold:COGS- Personnel Expense:",IF($M143="No",XLOOKUP($P143,Key!$I:$I,Key!$K:$K),"Review Billable Status"))</f>
        <v>Sales &amp; Marketing:Sales &amp; Marketing- Personnel Expenses:</v>
      </c>
      <c r="S143" s="10" t="str">
        <f t="array" ref="S143">IF($G143="Paid Intern","PD Intern",IF($G143="Contractor/Consultant","Contractor",XLOOKUP(M143&amp;P143,Key!$M:$M,Key!$L:$L)))</f>
        <v>S&amp;M</v>
      </c>
      <c r="T143" s="5">
        <f t="shared" ref="T143:BA143" si="139">IF(OR($F143&gt;T$12,AND($G143="Terminated",T$12&gt;=$H143)),0,1)</f>
        <v>0</v>
      </c>
      <c r="U143" s="5">
        <f t="shared" si="139"/>
        <v>0</v>
      </c>
      <c r="V143" s="5">
        <f t="shared" si="139"/>
        <v>0</v>
      </c>
      <c r="W143" s="5">
        <f t="shared" si="139"/>
        <v>0</v>
      </c>
      <c r="X143" s="5">
        <f t="shared" si="139"/>
        <v>0</v>
      </c>
      <c r="Y143" s="5">
        <f t="shared" si="139"/>
        <v>0</v>
      </c>
      <c r="Z143" s="5">
        <f t="shared" si="139"/>
        <v>0</v>
      </c>
      <c r="AA143" s="5">
        <f t="shared" si="139"/>
        <v>0</v>
      </c>
      <c r="AB143" s="5">
        <f t="shared" si="139"/>
        <v>0</v>
      </c>
      <c r="AC143" s="5">
        <f t="shared" si="139"/>
        <v>0</v>
      </c>
      <c r="AD143" s="5">
        <f t="shared" si="139"/>
        <v>0</v>
      </c>
      <c r="AE143" s="5">
        <f t="shared" si="139"/>
        <v>0</v>
      </c>
      <c r="AF143" s="5">
        <f t="shared" si="139"/>
        <v>0</v>
      </c>
      <c r="AG143" s="5">
        <f t="shared" si="139"/>
        <v>0</v>
      </c>
      <c r="AH143" s="5">
        <f t="shared" si="139"/>
        <v>0</v>
      </c>
      <c r="AI143" s="5">
        <f t="shared" si="139"/>
        <v>0</v>
      </c>
      <c r="AJ143" s="5">
        <f t="shared" si="139"/>
        <v>0</v>
      </c>
      <c r="AK143" s="5">
        <f t="shared" si="139"/>
        <v>0</v>
      </c>
      <c r="AL143" s="5">
        <f t="shared" si="139"/>
        <v>0</v>
      </c>
      <c r="AM143" s="5">
        <f t="shared" si="139"/>
        <v>0</v>
      </c>
      <c r="AN143" s="5">
        <f t="shared" si="139"/>
        <v>1</v>
      </c>
      <c r="AO143" s="5">
        <f t="shared" si="139"/>
        <v>1</v>
      </c>
      <c r="AP143" s="5">
        <f t="shared" si="139"/>
        <v>1</v>
      </c>
      <c r="AQ143" s="5">
        <f t="shared" si="139"/>
        <v>1</v>
      </c>
      <c r="AR143" s="5">
        <f t="shared" si="139"/>
        <v>1</v>
      </c>
      <c r="AS143" s="5">
        <f t="shared" si="139"/>
        <v>1</v>
      </c>
      <c r="AT143" s="5">
        <f t="shared" si="139"/>
        <v>1</v>
      </c>
      <c r="AU143" s="5">
        <f t="shared" si="139"/>
        <v>1</v>
      </c>
      <c r="AV143" s="5">
        <f t="shared" si="139"/>
        <v>1</v>
      </c>
      <c r="AW143" s="5">
        <f t="shared" si="139"/>
        <v>1</v>
      </c>
      <c r="AX143" s="5">
        <f t="shared" si="139"/>
        <v>1</v>
      </c>
      <c r="AY143" s="5">
        <f t="shared" si="139"/>
        <v>1</v>
      </c>
      <c r="AZ143" s="5">
        <f t="shared" si="139"/>
        <v>1</v>
      </c>
      <c r="BA143" s="5">
        <f t="shared" si="139"/>
        <v>1</v>
      </c>
      <c r="BB143" s="8"/>
      <c r="BC143" s="8"/>
      <c r="BD143" s="8"/>
      <c r="BE143" s="8"/>
      <c r="BF143" s="8"/>
      <c r="BG143" s="8"/>
      <c r="BH143" s="8"/>
      <c r="BI143" s="8"/>
    </row>
    <row r="144" ht="12.75" customHeight="1">
      <c r="A144" s="4">
        <v>239.0</v>
      </c>
      <c r="B144" s="5" t="s">
        <v>409</v>
      </c>
      <c r="C144" s="5" t="s">
        <v>513</v>
      </c>
      <c r="D144" s="5" t="s">
        <v>514</v>
      </c>
      <c r="E144" s="5" t="s">
        <v>22</v>
      </c>
      <c r="F144" s="6">
        <v>45964.0</v>
      </c>
      <c r="G144" s="5" t="s">
        <v>23</v>
      </c>
      <c r="H144" s="6">
        <v>45964.0</v>
      </c>
      <c r="I144" s="5" t="s">
        <v>34</v>
      </c>
      <c r="J144" s="5" t="s">
        <v>130</v>
      </c>
      <c r="K144" s="5" t="s">
        <v>25</v>
      </c>
      <c r="L144" s="5" t="s">
        <v>131</v>
      </c>
      <c r="M144" s="5" t="s">
        <v>39</v>
      </c>
      <c r="N144" s="5" t="s">
        <v>52</v>
      </c>
      <c r="O144" s="5" t="s">
        <v>30</v>
      </c>
      <c r="P144" s="7" t="s">
        <v>132</v>
      </c>
      <c r="Q144" s="7" t="str">
        <f t="array" ref="Q144">IF($M144="Yes","Cost of Goods Sold:COGS- Travel Expenses:",IF($M144="No",XLOOKUP($P144,Key!$I:$I,Key!$J:$J),"Review Billable Status"))</f>
        <v>Cost of Goods Sold:COGS- Travel Expenses:</v>
      </c>
      <c r="R144" s="7" t="str">
        <f t="array" ref="R144">IF($M144="Yes","Cost of Goods Sold:COGS- Personnel Expense:",IF($M144="No",XLOOKUP($P144,Key!$I:$I,Key!$K:$K),"Review Billable Status"))</f>
        <v>Cost of Goods Sold:COGS- Personnel Expense:</v>
      </c>
      <c r="S144" s="10" t="str">
        <f t="array" ref="S144">IF($G144="Paid Intern","PD Intern",IF($G144="Contractor/Consultant","Contractor",XLOOKUP(M144&amp;P144,Key!$M:$M,Key!$L:$L)))</f>
        <v>COR</v>
      </c>
      <c r="T144" s="5">
        <f t="shared" ref="T144:BA144" si="140">IF(OR($F144&gt;T$12,AND($G144="Terminated",T$12&gt;=$H144)),0,1)</f>
        <v>0</v>
      </c>
      <c r="U144" s="5">
        <f t="shared" si="140"/>
        <v>0</v>
      </c>
      <c r="V144" s="5">
        <f t="shared" si="140"/>
        <v>0</v>
      </c>
      <c r="W144" s="5">
        <f t="shared" si="140"/>
        <v>0</v>
      </c>
      <c r="X144" s="5">
        <f t="shared" si="140"/>
        <v>0</v>
      </c>
      <c r="Y144" s="5">
        <f t="shared" si="140"/>
        <v>0</v>
      </c>
      <c r="Z144" s="5">
        <f t="shared" si="140"/>
        <v>0</v>
      </c>
      <c r="AA144" s="5">
        <f t="shared" si="140"/>
        <v>0</v>
      </c>
      <c r="AB144" s="5">
        <f t="shared" si="140"/>
        <v>0</v>
      </c>
      <c r="AC144" s="5">
        <f t="shared" si="140"/>
        <v>0</v>
      </c>
      <c r="AD144" s="5">
        <f t="shared" si="140"/>
        <v>0</v>
      </c>
      <c r="AE144" s="5">
        <f t="shared" si="140"/>
        <v>0</v>
      </c>
      <c r="AF144" s="5">
        <f t="shared" si="140"/>
        <v>0</v>
      </c>
      <c r="AG144" s="5">
        <f t="shared" si="140"/>
        <v>0</v>
      </c>
      <c r="AH144" s="5">
        <f t="shared" si="140"/>
        <v>0</v>
      </c>
      <c r="AI144" s="5">
        <f t="shared" si="140"/>
        <v>0</v>
      </c>
      <c r="AJ144" s="5">
        <f t="shared" si="140"/>
        <v>0</v>
      </c>
      <c r="AK144" s="5">
        <f t="shared" si="140"/>
        <v>0</v>
      </c>
      <c r="AL144" s="5">
        <f t="shared" si="140"/>
        <v>0</v>
      </c>
      <c r="AM144" s="5">
        <f t="shared" si="140"/>
        <v>0</v>
      </c>
      <c r="AN144" s="5">
        <f t="shared" si="140"/>
        <v>1</v>
      </c>
      <c r="AO144" s="5">
        <f t="shared" si="140"/>
        <v>1</v>
      </c>
      <c r="AP144" s="5">
        <f t="shared" si="140"/>
        <v>1</v>
      </c>
      <c r="AQ144" s="5">
        <f t="shared" si="140"/>
        <v>1</v>
      </c>
      <c r="AR144" s="5">
        <f t="shared" si="140"/>
        <v>1</v>
      </c>
      <c r="AS144" s="5">
        <f t="shared" si="140"/>
        <v>1</v>
      </c>
      <c r="AT144" s="5">
        <f t="shared" si="140"/>
        <v>1</v>
      </c>
      <c r="AU144" s="5">
        <f t="shared" si="140"/>
        <v>1</v>
      </c>
      <c r="AV144" s="5">
        <f t="shared" si="140"/>
        <v>1</v>
      </c>
      <c r="AW144" s="5">
        <f t="shared" si="140"/>
        <v>1</v>
      </c>
      <c r="AX144" s="5">
        <f t="shared" si="140"/>
        <v>1</v>
      </c>
      <c r="AY144" s="5">
        <f t="shared" si="140"/>
        <v>1</v>
      </c>
      <c r="AZ144" s="5">
        <f t="shared" si="140"/>
        <v>1</v>
      </c>
      <c r="BA144" s="5">
        <f t="shared" si="140"/>
        <v>1</v>
      </c>
      <c r="BB144" s="8"/>
      <c r="BC144" s="8"/>
      <c r="BD144" s="8"/>
      <c r="BE144" s="8"/>
      <c r="BF144" s="8"/>
      <c r="BG144" s="8"/>
      <c r="BH144" s="8"/>
      <c r="BI144" s="8"/>
    </row>
    <row r="145" ht="12.75" customHeight="1">
      <c r="A145" s="4">
        <v>240.0</v>
      </c>
      <c r="B145" s="5" t="s">
        <v>515</v>
      </c>
      <c r="C145" s="5" t="s">
        <v>516</v>
      </c>
      <c r="D145" s="5" t="s">
        <v>517</v>
      </c>
      <c r="E145" s="5" t="s">
        <v>112</v>
      </c>
      <c r="F145" s="6">
        <v>45999.0</v>
      </c>
      <c r="G145" s="5" t="s">
        <v>23</v>
      </c>
      <c r="H145" s="6">
        <v>45999.0</v>
      </c>
      <c r="I145" s="5" t="s">
        <v>34</v>
      </c>
      <c r="J145" s="5" t="s">
        <v>35</v>
      </c>
      <c r="K145" s="5" t="s">
        <v>25</v>
      </c>
      <c r="L145" s="5" t="s">
        <v>179</v>
      </c>
      <c r="M145" s="5" t="s">
        <v>39</v>
      </c>
      <c r="N145" s="5" t="s">
        <v>59</v>
      </c>
      <c r="O145" s="5" t="s">
        <v>30</v>
      </c>
      <c r="P145" s="7" t="s">
        <v>38</v>
      </c>
      <c r="Q145" s="7" t="str">
        <f t="array" ref="Q145">IF($M145="Yes","Cost of Goods Sold:COGS- Travel Expenses:",IF($M145="No",XLOOKUP($P145,Key!$I:$I,Key!$J:$J),"Review Billable Status"))</f>
        <v>Cost of Goods Sold:COGS- Travel Expenses:</v>
      </c>
      <c r="R145" s="7" t="str">
        <f t="array" ref="R145">IF($M145="Yes","Cost of Goods Sold:COGS- Personnel Expense:",IF($M145="No",XLOOKUP($P145,Key!$I:$I,Key!$K:$K),"Review Billable Status"))</f>
        <v>Cost of Goods Sold:COGS- Personnel Expense:</v>
      </c>
      <c r="S145" s="10" t="str">
        <f t="array" ref="S145">IF($G145="Paid Intern","PD Intern",IF($G145="Contractor/Consultant","Contractor",XLOOKUP(M145&amp;P145,Key!$M:$M,Key!$L:$L)))</f>
        <v>COR</v>
      </c>
      <c r="T145" s="5">
        <f t="shared" ref="T145:BA145" si="141">IF(OR($F145&gt;T$12,AND($G145="Terminated",T$12&gt;=$H145)),0,1)</f>
        <v>0</v>
      </c>
      <c r="U145" s="5">
        <f t="shared" si="141"/>
        <v>0</v>
      </c>
      <c r="V145" s="5">
        <f t="shared" si="141"/>
        <v>0</v>
      </c>
      <c r="W145" s="5">
        <f t="shared" si="141"/>
        <v>0</v>
      </c>
      <c r="X145" s="5">
        <f t="shared" si="141"/>
        <v>0</v>
      </c>
      <c r="Y145" s="5">
        <f t="shared" si="141"/>
        <v>0</v>
      </c>
      <c r="Z145" s="5">
        <f t="shared" si="141"/>
        <v>0</v>
      </c>
      <c r="AA145" s="5">
        <f t="shared" si="141"/>
        <v>0</v>
      </c>
      <c r="AB145" s="5">
        <f t="shared" si="141"/>
        <v>0</v>
      </c>
      <c r="AC145" s="5">
        <f t="shared" si="141"/>
        <v>0</v>
      </c>
      <c r="AD145" s="5">
        <f t="shared" si="141"/>
        <v>0</v>
      </c>
      <c r="AE145" s="5">
        <f t="shared" si="141"/>
        <v>0</v>
      </c>
      <c r="AF145" s="5">
        <f t="shared" si="141"/>
        <v>0</v>
      </c>
      <c r="AG145" s="5">
        <f t="shared" si="141"/>
        <v>0</v>
      </c>
      <c r="AH145" s="5">
        <f t="shared" si="141"/>
        <v>0</v>
      </c>
      <c r="AI145" s="5">
        <f t="shared" si="141"/>
        <v>0</v>
      </c>
      <c r="AJ145" s="5">
        <f t="shared" si="141"/>
        <v>0</v>
      </c>
      <c r="AK145" s="5">
        <f t="shared" si="141"/>
        <v>0</v>
      </c>
      <c r="AL145" s="5">
        <f t="shared" si="141"/>
        <v>0</v>
      </c>
      <c r="AM145" s="5">
        <f t="shared" si="141"/>
        <v>0</v>
      </c>
      <c r="AN145" s="5">
        <f t="shared" si="141"/>
        <v>0</v>
      </c>
      <c r="AO145" s="5">
        <f t="shared" si="141"/>
        <v>1</v>
      </c>
      <c r="AP145" s="5">
        <f t="shared" si="141"/>
        <v>1</v>
      </c>
      <c r="AQ145" s="5">
        <f t="shared" si="141"/>
        <v>1</v>
      </c>
      <c r="AR145" s="5">
        <f t="shared" si="141"/>
        <v>1</v>
      </c>
      <c r="AS145" s="5">
        <f t="shared" si="141"/>
        <v>1</v>
      </c>
      <c r="AT145" s="5">
        <f t="shared" si="141"/>
        <v>1</v>
      </c>
      <c r="AU145" s="5">
        <f t="shared" si="141"/>
        <v>1</v>
      </c>
      <c r="AV145" s="5">
        <f t="shared" si="141"/>
        <v>1</v>
      </c>
      <c r="AW145" s="5">
        <f t="shared" si="141"/>
        <v>1</v>
      </c>
      <c r="AX145" s="5">
        <f t="shared" si="141"/>
        <v>1</v>
      </c>
      <c r="AY145" s="5">
        <f t="shared" si="141"/>
        <v>1</v>
      </c>
      <c r="AZ145" s="5">
        <f t="shared" si="141"/>
        <v>1</v>
      </c>
      <c r="BA145" s="5">
        <f t="shared" si="141"/>
        <v>1</v>
      </c>
      <c r="BB145" s="8"/>
      <c r="BC145" s="8"/>
      <c r="BD145" s="8"/>
      <c r="BE145" s="8"/>
      <c r="BF145" s="8"/>
      <c r="BG145" s="8"/>
      <c r="BH145" s="8"/>
      <c r="BI145" s="8"/>
    </row>
    <row r="146" ht="12.75" customHeight="1">
      <c r="A146" s="4">
        <v>241.0</v>
      </c>
      <c r="B146" s="5" t="s">
        <v>518</v>
      </c>
      <c r="C146" s="5" t="s">
        <v>519</v>
      </c>
      <c r="D146" s="5" t="s">
        <v>520</v>
      </c>
      <c r="E146" s="5" t="s">
        <v>112</v>
      </c>
      <c r="F146" s="6">
        <v>45992.0</v>
      </c>
      <c r="G146" s="5" t="s">
        <v>23</v>
      </c>
      <c r="H146" s="6">
        <v>45992.0</v>
      </c>
      <c r="I146" s="5" t="s">
        <v>34</v>
      </c>
      <c r="J146" s="5" t="s">
        <v>45</v>
      </c>
      <c r="K146" s="5" t="s">
        <v>36</v>
      </c>
      <c r="L146" s="5" t="s">
        <v>140</v>
      </c>
      <c r="M146" s="5" t="s">
        <v>28</v>
      </c>
      <c r="N146" s="5" t="s">
        <v>239</v>
      </c>
      <c r="O146" s="5" t="s">
        <v>345</v>
      </c>
      <c r="P146" s="7" t="s">
        <v>47</v>
      </c>
      <c r="Q146" s="7" t="str">
        <f t="array" ref="Q146">IF($M146="Yes","Cost of Goods Sold:COGS- Travel Expenses:",IF($M146="No",XLOOKUP($P146,Key!$I:$I,Key!$J:$J),"Review Billable Status"))</f>
        <v>Sales &amp; Marketing:Sales &amp; Marketing- Travel Expenses:</v>
      </c>
      <c r="R146" s="7" t="str">
        <f t="array" ref="R146">IF($M146="Yes","Cost of Goods Sold:COGS- Personnel Expense:",IF($M146="No",XLOOKUP($P146,Key!$I:$I,Key!$K:$K),"Review Billable Status"))</f>
        <v>Sales &amp; Marketing:Sales &amp; Marketing- Personnel Expenses:</v>
      </c>
      <c r="S146" s="10" t="str">
        <f t="array" ref="S146">IF($G146="Paid Intern","PD Intern",IF($G146="Contractor/Consultant","Contractor",XLOOKUP(M146&amp;P146,Key!$M:$M,Key!$L:$L)))</f>
        <v>S&amp;M</v>
      </c>
      <c r="T146" s="5">
        <f t="shared" ref="T146:BA146" si="142">IF(OR($F146&gt;T$12,AND($G146="Terminated",T$12&gt;=$H146)),0,1)</f>
        <v>0</v>
      </c>
      <c r="U146" s="5">
        <f t="shared" si="142"/>
        <v>0</v>
      </c>
      <c r="V146" s="5">
        <f t="shared" si="142"/>
        <v>0</v>
      </c>
      <c r="W146" s="5">
        <f t="shared" si="142"/>
        <v>0</v>
      </c>
      <c r="X146" s="5">
        <f t="shared" si="142"/>
        <v>0</v>
      </c>
      <c r="Y146" s="5">
        <f t="shared" si="142"/>
        <v>0</v>
      </c>
      <c r="Z146" s="5">
        <f t="shared" si="142"/>
        <v>0</v>
      </c>
      <c r="AA146" s="5">
        <f t="shared" si="142"/>
        <v>0</v>
      </c>
      <c r="AB146" s="5">
        <f t="shared" si="142"/>
        <v>0</v>
      </c>
      <c r="AC146" s="5">
        <f t="shared" si="142"/>
        <v>0</v>
      </c>
      <c r="AD146" s="5">
        <f t="shared" si="142"/>
        <v>0</v>
      </c>
      <c r="AE146" s="5">
        <f t="shared" si="142"/>
        <v>0</v>
      </c>
      <c r="AF146" s="5">
        <f t="shared" si="142"/>
        <v>0</v>
      </c>
      <c r="AG146" s="5">
        <f t="shared" si="142"/>
        <v>0</v>
      </c>
      <c r="AH146" s="5">
        <f t="shared" si="142"/>
        <v>0</v>
      </c>
      <c r="AI146" s="5">
        <f t="shared" si="142"/>
        <v>0</v>
      </c>
      <c r="AJ146" s="5">
        <f t="shared" si="142"/>
        <v>0</v>
      </c>
      <c r="AK146" s="5">
        <f t="shared" si="142"/>
        <v>0</v>
      </c>
      <c r="AL146" s="5">
        <f t="shared" si="142"/>
        <v>0</v>
      </c>
      <c r="AM146" s="5">
        <f t="shared" si="142"/>
        <v>0</v>
      </c>
      <c r="AN146" s="5">
        <f t="shared" si="142"/>
        <v>0</v>
      </c>
      <c r="AO146" s="5">
        <f t="shared" si="142"/>
        <v>1</v>
      </c>
      <c r="AP146" s="5">
        <f t="shared" si="142"/>
        <v>1</v>
      </c>
      <c r="AQ146" s="5">
        <f t="shared" si="142"/>
        <v>1</v>
      </c>
      <c r="AR146" s="5">
        <f t="shared" si="142"/>
        <v>1</v>
      </c>
      <c r="AS146" s="5">
        <f t="shared" si="142"/>
        <v>1</v>
      </c>
      <c r="AT146" s="5">
        <f t="shared" si="142"/>
        <v>1</v>
      </c>
      <c r="AU146" s="5">
        <f t="shared" si="142"/>
        <v>1</v>
      </c>
      <c r="AV146" s="5">
        <f t="shared" si="142"/>
        <v>1</v>
      </c>
      <c r="AW146" s="5">
        <f t="shared" si="142"/>
        <v>1</v>
      </c>
      <c r="AX146" s="5">
        <f t="shared" si="142"/>
        <v>1</v>
      </c>
      <c r="AY146" s="5">
        <f t="shared" si="142"/>
        <v>1</v>
      </c>
      <c r="AZ146" s="5">
        <f t="shared" si="142"/>
        <v>1</v>
      </c>
      <c r="BA146" s="5">
        <f t="shared" si="142"/>
        <v>1</v>
      </c>
      <c r="BB146" s="8"/>
      <c r="BC146" s="8"/>
      <c r="BD146" s="8"/>
      <c r="BE146" s="8"/>
      <c r="BF146" s="8"/>
      <c r="BG146" s="8"/>
      <c r="BH146" s="8"/>
      <c r="BI146" s="8"/>
    </row>
    <row r="147" ht="12.75" customHeight="1">
      <c r="A147" s="4">
        <v>242.0</v>
      </c>
      <c r="B147" s="5" t="s">
        <v>353</v>
      </c>
      <c r="C147" s="5" t="s">
        <v>521</v>
      </c>
      <c r="D147" s="5" t="s">
        <v>522</v>
      </c>
      <c r="E147" s="5" t="s">
        <v>22</v>
      </c>
      <c r="F147" s="6">
        <v>45992.0</v>
      </c>
      <c r="G147" s="5" t="s">
        <v>23</v>
      </c>
      <c r="H147" s="6">
        <v>45992.0</v>
      </c>
      <c r="I147" s="5" t="s">
        <v>34</v>
      </c>
      <c r="J147" s="5" t="s">
        <v>35</v>
      </c>
      <c r="K147" s="5" t="s">
        <v>36</v>
      </c>
      <c r="L147" s="5" t="s">
        <v>153</v>
      </c>
      <c r="M147" s="5" t="s">
        <v>39</v>
      </c>
      <c r="N147" s="5" t="s">
        <v>85</v>
      </c>
      <c r="O147" s="5" t="s">
        <v>114</v>
      </c>
      <c r="P147" s="7" t="s">
        <v>38</v>
      </c>
      <c r="Q147" s="7" t="str">
        <f t="array" ref="Q147">IF($M147="Yes","Cost of Goods Sold:COGS- Travel Expenses:",IF($M147="No",XLOOKUP($P147,Key!$I:$I,Key!$J:$J),"Review Billable Status"))</f>
        <v>Cost of Goods Sold:COGS- Travel Expenses:</v>
      </c>
      <c r="R147" s="7" t="str">
        <f t="array" ref="R147">IF($M147="Yes","Cost of Goods Sold:COGS- Personnel Expense:",IF($M147="No",XLOOKUP($P147,Key!$I:$I,Key!$K:$K),"Review Billable Status"))</f>
        <v>Cost of Goods Sold:COGS- Personnel Expense:</v>
      </c>
      <c r="S147" s="10" t="str">
        <f t="array" ref="S147">IF($G147="Paid Intern","PD Intern",IF($G147="Contractor/Consultant","Contractor",XLOOKUP(M147&amp;P147,Key!$M:$M,Key!$L:$L)))</f>
        <v>COR</v>
      </c>
      <c r="T147" s="5">
        <f t="shared" ref="T147:BA147" si="143">IF(OR($F147&gt;T$12,AND($G147="Terminated",T$12&gt;=$H147)),0,1)</f>
        <v>0</v>
      </c>
      <c r="U147" s="5">
        <f t="shared" si="143"/>
        <v>0</v>
      </c>
      <c r="V147" s="5">
        <f t="shared" si="143"/>
        <v>0</v>
      </c>
      <c r="W147" s="5">
        <f t="shared" si="143"/>
        <v>0</v>
      </c>
      <c r="X147" s="5">
        <f t="shared" si="143"/>
        <v>0</v>
      </c>
      <c r="Y147" s="5">
        <f t="shared" si="143"/>
        <v>0</v>
      </c>
      <c r="Z147" s="5">
        <f t="shared" si="143"/>
        <v>0</v>
      </c>
      <c r="AA147" s="5">
        <f t="shared" si="143"/>
        <v>0</v>
      </c>
      <c r="AB147" s="5">
        <f t="shared" si="143"/>
        <v>0</v>
      </c>
      <c r="AC147" s="5">
        <f t="shared" si="143"/>
        <v>0</v>
      </c>
      <c r="AD147" s="5">
        <f t="shared" si="143"/>
        <v>0</v>
      </c>
      <c r="AE147" s="5">
        <f t="shared" si="143"/>
        <v>0</v>
      </c>
      <c r="AF147" s="5">
        <f t="shared" si="143"/>
        <v>0</v>
      </c>
      <c r="AG147" s="5">
        <f t="shared" si="143"/>
        <v>0</v>
      </c>
      <c r="AH147" s="5">
        <f t="shared" si="143"/>
        <v>0</v>
      </c>
      <c r="AI147" s="5">
        <f t="shared" si="143"/>
        <v>0</v>
      </c>
      <c r="AJ147" s="5">
        <f t="shared" si="143"/>
        <v>0</v>
      </c>
      <c r="AK147" s="5">
        <f t="shared" si="143"/>
        <v>0</v>
      </c>
      <c r="AL147" s="5">
        <f t="shared" si="143"/>
        <v>0</v>
      </c>
      <c r="AM147" s="5">
        <f t="shared" si="143"/>
        <v>0</v>
      </c>
      <c r="AN147" s="5">
        <f t="shared" si="143"/>
        <v>0</v>
      </c>
      <c r="AO147" s="5">
        <f t="shared" si="143"/>
        <v>1</v>
      </c>
      <c r="AP147" s="5">
        <f t="shared" si="143"/>
        <v>1</v>
      </c>
      <c r="AQ147" s="5">
        <f t="shared" si="143"/>
        <v>1</v>
      </c>
      <c r="AR147" s="5">
        <f t="shared" si="143"/>
        <v>1</v>
      </c>
      <c r="AS147" s="5">
        <f t="shared" si="143"/>
        <v>1</v>
      </c>
      <c r="AT147" s="5">
        <f t="shared" si="143"/>
        <v>1</v>
      </c>
      <c r="AU147" s="5">
        <f t="shared" si="143"/>
        <v>1</v>
      </c>
      <c r="AV147" s="5">
        <f t="shared" si="143"/>
        <v>1</v>
      </c>
      <c r="AW147" s="5">
        <f t="shared" si="143"/>
        <v>1</v>
      </c>
      <c r="AX147" s="5">
        <f t="shared" si="143"/>
        <v>1</v>
      </c>
      <c r="AY147" s="5">
        <f t="shared" si="143"/>
        <v>1</v>
      </c>
      <c r="AZ147" s="5">
        <f t="shared" si="143"/>
        <v>1</v>
      </c>
      <c r="BA147" s="5">
        <f t="shared" si="143"/>
        <v>1</v>
      </c>
      <c r="BB147" s="8"/>
      <c r="BC147" s="8"/>
      <c r="BD147" s="8"/>
      <c r="BE147" s="8"/>
      <c r="BF147" s="8"/>
      <c r="BG147" s="8"/>
      <c r="BH147" s="8"/>
      <c r="BI147" s="8"/>
    </row>
    <row r="148" ht="12.75" customHeight="1">
      <c r="A148" s="4">
        <v>243.0</v>
      </c>
      <c r="B148" s="5" t="s">
        <v>523</v>
      </c>
      <c r="C148" s="5" t="s">
        <v>524</v>
      </c>
      <c r="D148" s="5" t="s">
        <v>525</v>
      </c>
      <c r="E148" s="5" t="s">
        <v>22</v>
      </c>
      <c r="F148" s="6">
        <v>45999.0</v>
      </c>
      <c r="G148" s="5" t="s">
        <v>23</v>
      </c>
      <c r="H148" s="6">
        <v>45999.0</v>
      </c>
      <c r="I148" s="5" t="s">
        <v>34</v>
      </c>
      <c r="J148" s="5" t="s">
        <v>35</v>
      </c>
      <c r="K148" s="5" t="s">
        <v>36</v>
      </c>
      <c r="L148" s="5" t="s">
        <v>153</v>
      </c>
      <c r="M148" s="5" t="s">
        <v>39</v>
      </c>
      <c r="N148" s="5" t="s">
        <v>85</v>
      </c>
      <c r="O148" s="5" t="s">
        <v>320</v>
      </c>
      <c r="P148" s="7" t="s">
        <v>38</v>
      </c>
      <c r="Q148" s="7" t="str">
        <f t="array" ref="Q148">IF($M148="Yes","Cost of Goods Sold:COGS- Travel Expenses:",IF($M148="No",XLOOKUP($P148,Key!$I:$I,Key!$J:$J),"Review Billable Status"))</f>
        <v>Cost of Goods Sold:COGS- Travel Expenses:</v>
      </c>
      <c r="R148" s="7" t="str">
        <f t="array" ref="R148">IF($M148="Yes","Cost of Goods Sold:COGS- Personnel Expense:",IF($M148="No",XLOOKUP($P148,Key!$I:$I,Key!$K:$K),"Review Billable Status"))</f>
        <v>Cost of Goods Sold:COGS- Personnel Expense:</v>
      </c>
      <c r="S148" s="10" t="str">
        <f t="array" ref="S148">IF($G148="Paid Intern","PD Intern",IF($G148="Contractor/Consultant","Contractor",XLOOKUP(M148&amp;P148,Key!$M:$M,Key!$L:$L)))</f>
        <v>COR</v>
      </c>
      <c r="T148" s="5">
        <f t="shared" ref="T148:BA148" si="144">IF(OR($F148&gt;T$12,AND($G148="Terminated",T$12&gt;=$H148)),0,1)</f>
        <v>0</v>
      </c>
      <c r="U148" s="5">
        <f t="shared" si="144"/>
        <v>0</v>
      </c>
      <c r="V148" s="5">
        <f t="shared" si="144"/>
        <v>0</v>
      </c>
      <c r="W148" s="5">
        <f t="shared" si="144"/>
        <v>0</v>
      </c>
      <c r="X148" s="5">
        <f t="shared" si="144"/>
        <v>0</v>
      </c>
      <c r="Y148" s="5">
        <f t="shared" si="144"/>
        <v>0</v>
      </c>
      <c r="Z148" s="5">
        <f t="shared" si="144"/>
        <v>0</v>
      </c>
      <c r="AA148" s="5">
        <f t="shared" si="144"/>
        <v>0</v>
      </c>
      <c r="AB148" s="5">
        <f t="shared" si="144"/>
        <v>0</v>
      </c>
      <c r="AC148" s="5">
        <f t="shared" si="144"/>
        <v>0</v>
      </c>
      <c r="AD148" s="5">
        <f t="shared" si="144"/>
        <v>0</v>
      </c>
      <c r="AE148" s="5">
        <f t="shared" si="144"/>
        <v>0</v>
      </c>
      <c r="AF148" s="5">
        <f t="shared" si="144"/>
        <v>0</v>
      </c>
      <c r="AG148" s="5">
        <f t="shared" si="144"/>
        <v>0</v>
      </c>
      <c r="AH148" s="5">
        <f t="shared" si="144"/>
        <v>0</v>
      </c>
      <c r="AI148" s="5">
        <f t="shared" si="144"/>
        <v>0</v>
      </c>
      <c r="AJ148" s="5">
        <f t="shared" si="144"/>
        <v>0</v>
      </c>
      <c r="AK148" s="5">
        <f t="shared" si="144"/>
        <v>0</v>
      </c>
      <c r="AL148" s="5">
        <f t="shared" si="144"/>
        <v>0</v>
      </c>
      <c r="AM148" s="5">
        <f t="shared" si="144"/>
        <v>0</v>
      </c>
      <c r="AN148" s="5">
        <f t="shared" si="144"/>
        <v>0</v>
      </c>
      <c r="AO148" s="5">
        <f t="shared" si="144"/>
        <v>1</v>
      </c>
      <c r="AP148" s="5">
        <f t="shared" si="144"/>
        <v>1</v>
      </c>
      <c r="AQ148" s="5">
        <f t="shared" si="144"/>
        <v>1</v>
      </c>
      <c r="AR148" s="5">
        <f t="shared" si="144"/>
        <v>1</v>
      </c>
      <c r="AS148" s="5">
        <f t="shared" si="144"/>
        <v>1</v>
      </c>
      <c r="AT148" s="5">
        <f t="shared" si="144"/>
        <v>1</v>
      </c>
      <c r="AU148" s="5">
        <f t="shared" si="144"/>
        <v>1</v>
      </c>
      <c r="AV148" s="5">
        <f t="shared" si="144"/>
        <v>1</v>
      </c>
      <c r="AW148" s="5">
        <f t="shared" si="144"/>
        <v>1</v>
      </c>
      <c r="AX148" s="5">
        <f t="shared" si="144"/>
        <v>1</v>
      </c>
      <c r="AY148" s="5">
        <f t="shared" si="144"/>
        <v>1</v>
      </c>
      <c r="AZ148" s="5">
        <f t="shared" si="144"/>
        <v>1</v>
      </c>
      <c r="BA148" s="5">
        <f t="shared" si="144"/>
        <v>1</v>
      </c>
      <c r="BB148" s="8"/>
      <c r="BC148" s="8"/>
      <c r="BD148" s="8"/>
      <c r="BE148" s="8"/>
      <c r="BF148" s="8"/>
      <c r="BG148" s="8"/>
      <c r="BH148" s="8"/>
      <c r="BI148" s="8"/>
    </row>
    <row r="149" ht="12.75" customHeight="1">
      <c r="A149" s="4">
        <v>244.0</v>
      </c>
      <c r="B149" s="5" t="s">
        <v>526</v>
      </c>
      <c r="C149" s="5" t="s">
        <v>527</v>
      </c>
      <c r="D149" s="5" t="s">
        <v>528</v>
      </c>
      <c r="E149" s="5" t="s">
        <v>22</v>
      </c>
      <c r="F149" s="6">
        <v>46006.0</v>
      </c>
      <c r="G149" s="5" t="s">
        <v>23</v>
      </c>
      <c r="H149" s="6">
        <v>46006.0</v>
      </c>
      <c r="I149" s="5" t="s">
        <v>64</v>
      </c>
      <c r="J149" s="5" t="s">
        <v>35</v>
      </c>
      <c r="K149" s="5" t="s">
        <v>25</v>
      </c>
      <c r="L149" s="5" t="s">
        <v>334</v>
      </c>
      <c r="M149" s="5" t="s">
        <v>39</v>
      </c>
      <c r="N149" s="5" t="s">
        <v>85</v>
      </c>
      <c r="O149" s="5" t="s">
        <v>30</v>
      </c>
      <c r="P149" s="7" t="s">
        <v>75</v>
      </c>
      <c r="Q149" s="7" t="str">
        <f t="array" ref="Q149">IF($M149="Yes","Cost of Goods Sold:COGS- Travel Expenses:",IF($M149="No",XLOOKUP($P149,Key!$I:$I,Key!$J:$J),"Review Billable Status"))</f>
        <v>Cost of Goods Sold:COGS- Travel Expenses:</v>
      </c>
      <c r="R149" s="7" t="str">
        <f t="array" ref="R149">IF($M149="Yes","Cost of Goods Sold:COGS- Personnel Expense:",IF($M149="No",XLOOKUP($P149,Key!$I:$I,Key!$K:$K),"Review Billable Status"))</f>
        <v>Cost of Goods Sold:COGS- Personnel Expense:</v>
      </c>
      <c r="S149" s="10" t="str">
        <f t="array" ref="S149">IF($G149="Paid Intern","PD Intern",IF($G149="Contractor/Consultant","Contractor",XLOOKUP(M149&amp;P149,Key!$M:$M,Key!$L:$L)))</f>
        <v>COR</v>
      </c>
      <c r="T149" s="5">
        <f t="shared" ref="T149:BA149" si="145">IF(OR($F149&gt;T$12,AND($G149="Terminated",T$12&gt;=$H149)),0,1)</f>
        <v>0</v>
      </c>
      <c r="U149" s="5">
        <f t="shared" si="145"/>
        <v>0</v>
      </c>
      <c r="V149" s="5">
        <f t="shared" si="145"/>
        <v>0</v>
      </c>
      <c r="W149" s="5">
        <f t="shared" si="145"/>
        <v>0</v>
      </c>
      <c r="X149" s="5">
        <f t="shared" si="145"/>
        <v>0</v>
      </c>
      <c r="Y149" s="5">
        <f t="shared" si="145"/>
        <v>0</v>
      </c>
      <c r="Z149" s="5">
        <f t="shared" si="145"/>
        <v>0</v>
      </c>
      <c r="AA149" s="5">
        <f t="shared" si="145"/>
        <v>0</v>
      </c>
      <c r="AB149" s="5">
        <f t="shared" si="145"/>
        <v>0</v>
      </c>
      <c r="AC149" s="5">
        <f t="shared" si="145"/>
        <v>0</v>
      </c>
      <c r="AD149" s="5">
        <f t="shared" si="145"/>
        <v>0</v>
      </c>
      <c r="AE149" s="5">
        <f t="shared" si="145"/>
        <v>0</v>
      </c>
      <c r="AF149" s="5">
        <f t="shared" si="145"/>
        <v>0</v>
      </c>
      <c r="AG149" s="5">
        <f t="shared" si="145"/>
        <v>0</v>
      </c>
      <c r="AH149" s="5">
        <f t="shared" si="145"/>
        <v>0</v>
      </c>
      <c r="AI149" s="5">
        <f t="shared" si="145"/>
        <v>0</v>
      </c>
      <c r="AJ149" s="5">
        <f t="shared" si="145"/>
        <v>0</v>
      </c>
      <c r="AK149" s="5">
        <f t="shared" si="145"/>
        <v>0</v>
      </c>
      <c r="AL149" s="5">
        <f t="shared" si="145"/>
        <v>0</v>
      </c>
      <c r="AM149" s="5">
        <f t="shared" si="145"/>
        <v>0</v>
      </c>
      <c r="AN149" s="5">
        <f t="shared" si="145"/>
        <v>0</v>
      </c>
      <c r="AO149" s="5">
        <f t="shared" si="145"/>
        <v>1</v>
      </c>
      <c r="AP149" s="5">
        <f t="shared" si="145"/>
        <v>1</v>
      </c>
      <c r="AQ149" s="5">
        <f t="shared" si="145"/>
        <v>1</v>
      </c>
      <c r="AR149" s="5">
        <f t="shared" si="145"/>
        <v>1</v>
      </c>
      <c r="AS149" s="5">
        <f t="shared" si="145"/>
        <v>1</v>
      </c>
      <c r="AT149" s="5">
        <f t="shared" si="145"/>
        <v>1</v>
      </c>
      <c r="AU149" s="5">
        <f t="shared" si="145"/>
        <v>1</v>
      </c>
      <c r="AV149" s="5">
        <f t="shared" si="145"/>
        <v>1</v>
      </c>
      <c r="AW149" s="5">
        <f t="shared" si="145"/>
        <v>1</v>
      </c>
      <c r="AX149" s="5">
        <f t="shared" si="145"/>
        <v>1</v>
      </c>
      <c r="AY149" s="5">
        <f t="shared" si="145"/>
        <v>1</v>
      </c>
      <c r="AZ149" s="5">
        <f t="shared" si="145"/>
        <v>1</v>
      </c>
      <c r="BA149" s="5">
        <f t="shared" si="145"/>
        <v>1</v>
      </c>
      <c r="BB149" s="8"/>
      <c r="BC149" s="8"/>
      <c r="BD149" s="8"/>
      <c r="BE149" s="8"/>
      <c r="BF149" s="8"/>
      <c r="BG149" s="8"/>
      <c r="BH149" s="8"/>
      <c r="BI149" s="8"/>
    </row>
    <row r="150" ht="12.75" customHeight="1">
      <c r="A150" s="4">
        <v>245.0</v>
      </c>
      <c r="B150" s="5" t="s">
        <v>529</v>
      </c>
      <c r="C150" s="5" t="s">
        <v>530</v>
      </c>
      <c r="D150" s="5" t="s">
        <v>531</v>
      </c>
      <c r="E150" s="5" t="s">
        <v>22</v>
      </c>
      <c r="F150" s="6">
        <v>45999.0</v>
      </c>
      <c r="G150" s="5" t="s">
        <v>23</v>
      </c>
      <c r="H150" s="6">
        <v>45999.0</v>
      </c>
      <c r="I150" s="5" t="s">
        <v>34</v>
      </c>
      <c r="J150" s="5" t="s">
        <v>35</v>
      </c>
      <c r="K150" s="5" t="s">
        <v>36</v>
      </c>
      <c r="L150" s="5" t="s">
        <v>153</v>
      </c>
      <c r="M150" s="5" t="s">
        <v>39</v>
      </c>
      <c r="N150" s="5" t="s">
        <v>85</v>
      </c>
      <c r="O150" s="5" t="s">
        <v>114</v>
      </c>
      <c r="P150" s="7" t="s">
        <v>38</v>
      </c>
      <c r="Q150" s="7" t="str">
        <f t="array" ref="Q150">IF($M150="Yes","Cost of Goods Sold:COGS- Travel Expenses:",IF($M150="No",XLOOKUP($P150,Key!$I:$I,Key!$J:$J),"Review Billable Status"))</f>
        <v>Cost of Goods Sold:COGS- Travel Expenses:</v>
      </c>
      <c r="R150" s="7" t="str">
        <f t="array" ref="R150">IF($M150="Yes","Cost of Goods Sold:COGS- Personnel Expense:",IF($M150="No",XLOOKUP($P150,Key!$I:$I,Key!$K:$K),"Review Billable Status"))</f>
        <v>Cost of Goods Sold:COGS- Personnel Expense:</v>
      </c>
      <c r="S150" s="10" t="str">
        <f t="array" ref="S150">IF($G150="Paid Intern","PD Intern",IF($G150="Contractor/Consultant","Contractor",XLOOKUP(M150&amp;P150,Key!$M:$M,Key!$L:$L)))</f>
        <v>COR</v>
      </c>
      <c r="T150" s="5">
        <f t="shared" ref="T150:BA150" si="146">IF(OR($F150&gt;T$12,AND($G150="Terminated",T$12&gt;=$H150)),0,1)</f>
        <v>0</v>
      </c>
      <c r="U150" s="5">
        <f t="shared" si="146"/>
        <v>0</v>
      </c>
      <c r="V150" s="5">
        <f t="shared" si="146"/>
        <v>0</v>
      </c>
      <c r="W150" s="5">
        <f t="shared" si="146"/>
        <v>0</v>
      </c>
      <c r="X150" s="5">
        <f t="shared" si="146"/>
        <v>0</v>
      </c>
      <c r="Y150" s="5">
        <f t="shared" si="146"/>
        <v>0</v>
      </c>
      <c r="Z150" s="5">
        <f t="shared" si="146"/>
        <v>0</v>
      </c>
      <c r="AA150" s="5">
        <f t="shared" si="146"/>
        <v>0</v>
      </c>
      <c r="AB150" s="5">
        <f t="shared" si="146"/>
        <v>0</v>
      </c>
      <c r="AC150" s="5">
        <f t="shared" si="146"/>
        <v>0</v>
      </c>
      <c r="AD150" s="5">
        <f t="shared" si="146"/>
        <v>0</v>
      </c>
      <c r="AE150" s="5">
        <f t="shared" si="146"/>
        <v>0</v>
      </c>
      <c r="AF150" s="5">
        <f t="shared" si="146"/>
        <v>0</v>
      </c>
      <c r="AG150" s="5">
        <f t="shared" si="146"/>
        <v>0</v>
      </c>
      <c r="AH150" s="5">
        <f t="shared" si="146"/>
        <v>0</v>
      </c>
      <c r="AI150" s="5">
        <f t="shared" si="146"/>
        <v>0</v>
      </c>
      <c r="AJ150" s="5">
        <f t="shared" si="146"/>
        <v>0</v>
      </c>
      <c r="AK150" s="5">
        <f t="shared" si="146"/>
        <v>0</v>
      </c>
      <c r="AL150" s="5">
        <f t="shared" si="146"/>
        <v>0</v>
      </c>
      <c r="AM150" s="5">
        <f t="shared" si="146"/>
        <v>0</v>
      </c>
      <c r="AN150" s="5">
        <f t="shared" si="146"/>
        <v>0</v>
      </c>
      <c r="AO150" s="5">
        <f t="shared" si="146"/>
        <v>1</v>
      </c>
      <c r="AP150" s="5">
        <f t="shared" si="146"/>
        <v>1</v>
      </c>
      <c r="AQ150" s="5">
        <f t="shared" si="146"/>
        <v>1</v>
      </c>
      <c r="AR150" s="5">
        <f t="shared" si="146"/>
        <v>1</v>
      </c>
      <c r="AS150" s="5">
        <f t="shared" si="146"/>
        <v>1</v>
      </c>
      <c r="AT150" s="5">
        <f t="shared" si="146"/>
        <v>1</v>
      </c>
      <c r="AU150" s="5">
        <f t="shared" si="146"/>
        <v>1</v>
      </c>
      <c r="AV150" s="5">
        <f t="shared" si="146"/>
        <v>1</v>
      </c>
      <c r="AW150" s="5">
        <f t="shared" si="146"/>
        <v>1</v>
      </c>
      <c r="AX150" s="5">
        <f t="shared" si="146"/>
        <v>1</v>
      </c>
      <c r="AY150" s="5">
        <f t="shared" si="146"/>
        <v>1</v>
      </c>
      <c r="AZ150" s="5">
        <f t="shared" si="146"/>
        <v>1</v>
      </c>
      <c r="BA150" s="5">
        <f t="shared" si="146"/>
        <v>1</v>
      </c>
      <c r="BB150" s="8"/>
      <c r="BC150" s="8"/>
      <c r="BD150" s="8"/>
      <c r="BE150" s="8"/>
      <c r="BF150" s="8"/>
      <c r="BG150" s="8"/>
      <c r="BH150" s="8"/>
      <c r="BI150" s="8"/>
    </row>
    <row r="151" ht="12.75" customHeight="1">
      <c r="A151" s="4">
        <v>246.0</v>
      </c>
      <c r="B151" s="5" t="s">
        <v>532</v>
      </c>
      <c r="C151" s="5" t="s">
        <v>533</v>
      </c>
      <c r="D151" s="5" t="s">
        <v>534</v>
      </c>
      <c r="E151" s="5" t="s">
        <v>22</v>
      </c>
      <c r="F151" s="6">
        <v>45999.0</v>
      </c>
      <c r="G151" s="5" t="s">
        <v>23</v>
      </c>
      <c r="H151" s="6">
        <v>45999.0</v>
      </c>
      <c r="I151" s="5" t="s">
        <v>24</v>
      </c>
      <c r="J151" s="5" t="s">
        <v>244</v>
      </c>
      <c r="K151" s="5" t="s">
        <v>25</v>
      </c>
      <c r="L151" s="5" t="s">
        <v>535</v>
      </c>
      <c r="M151" s="5" t="s">
        <v>28</v>
      </c>
      <c r="N151" s="5" t="s">
        <v>239</v>
      </c>
      <c r="O151" s="5" t="s">
        <v>30</v>
      </c>
      <c r="P151" s="7" t="s">
        <v>199</v>
      </c>
      <c r="Q151" s="7" t="str">
        <f t="array" ref="Q151">IF($M151="Yes","Cost of Goods Sold:COGS- Travel Expenses:",IF($M151="No",XLOOKUP($P151,Key!$I:$I,Key!$J:$J),"Review Billable Status"))</f>
        <v>General &amp; Administrative:G&amp;A- Travel Expenses:</v>
      </c>
      <c r="R151" s="7" t="str">
        <f t="array" ref="R151">IF($M151="Yes","Cost of Goods Sold:COGS- Personnel Expense:",IF($M151="No",XLOOKUP($P151,Key!$I:$I,Key!$K:$K),"Review Billable Status"))</f>
        <v>General &amp; Administrative:G&amp;A- Personnel Expenses:</v>
      </c>
      <c r="S151" s="10" t="str">
        <f t="array" ref="S151">IF($G151="Paid Intern","PD Intern",IF($G151="Contractor/Consultant","Contractor",XLOOKUP(M151&amp;P151,Key!$M:$M,Key!$L:$L)))</f>
        <v>G&amp;A</v>
      </c>
      <c r="T151" s="5">
        <f t="shared" ref="T151:BA151" si="147">IF(OR($F151&gt;T$12,AND($G151="Terminated",T$12&gt;=$H151)),0,1)</f>
        <v>0</v>
      </c>
      <c r="U151" s="5">
        <f t="shared" si="147"/>
        <v>0</v>
      </c>
      <c r="V151" s="5">
        <f t="shared" si="147"/>
        <v>0</v>
      </c>
      <c r="W151" s="5">
        <f t="shared" si="147"/>
        <v>0</v>
      </c>
      <c r="X151" s="5">
        <f t="shared" si="147"/>
        <v>0</v>
      </c>
      <c r="Y151" s="5">
        <f t="shared" si="147"/>
        <v>0</v>
      </c>
      <c r="Z151" s="5">
        <f t="shared" si="147"/>
        <v>0</v>
      </c>
      <c r="AA151" s="5">
        <f t="shared" si="147"/>
        <v>0</v>
      </c>
      <c r="AB151" s="5">
        <f t="shared" si="147"/>
        <v>0</v>
      </c>
      <c r="AC151" s="5">
        <f t="shared" si="147"/>
        <v>0</v>
      </c>
      <c r="AD151" s="5">
        <f t="shared" si="147"/>
        <v>0</v>
      </c>
      <c r="AE151" s="5">
        <f t="shared" si="147"/>
        <v>0</v>
      </c>
      <c r="AF151" s="5">
        <f t="shared" si="147"/>
        <v>0</v>
      </c>
      <c r="AG151" s="5">
        <f t="shared" si="147"/>
        <v>0</v>
      </c>
      <c r="AH151" s="5">
        <f t="shared" si="147"/>
        <v>0</v>
      </c>
      <c r="AI151" s="5">
        <f t="shared" si="147"/>
        <v>0</v>
      </c>
      <c r="AJ151" s="5">
        <f t="shared" si="147"/>
        <v>0</v>
      </c>
      <c r="AK151" s="5">
        <f t="shared" si="147"/>
        <v>0</v>
      </c>
      <c r="AL151" s="5">
        <f t="shared" si="147"/>
        <v>0</v>
      </c>
      <c r="AM151" s="5">
        <f t="shared" si="147"/>
        <v>0</v>
      </c>
      <c r="AN151" s="5">
        <f t="shared" si="147"/>
        <v>0</v>
      </c>
      <c r="AO151" s="5">
        <f t="shared" si="147"/>
        <v>1</v>
      </c>
      <c r="AP151" s="5">
        <f t="shared" si="147"/>
        <v>1</v>
      </c>
      <c r="AQ151" s="5">
        <f t="shared" si="147"/>
        <v>1</v>
      </c>
      <c r="AR151" s="5">
        <f t="shared" si="147"/>
        <v>1</v>
      </c>
      <c r="AS151" s="5">
        <f t="shared" si="147"/>
        <v>1</v>
      </c>
      <c r="AT151" s="5">
        <f t="shared" si="147"/>
        <v>1</v>
      </c>
      <c r="AU151" s="5">
        <f t="shared" si="147"/>
        <v>1</v>
      </c>
      <c r="AV151" s="5">
        <f t="shared" si="147"/>
        <v>1</v>
      </c>
      <c r="AW151" s="5">
        <f t="shared" si="147"/>
        <v>1</v>
      </c>
      <c r="AX151" s="5">
        <f t="shared" si="147"/>
        <v>1</v>
      </c>
      <c r="AY151" s="5">
        <f t="shared" si="147"/>
        <v>1</v>
      </c>
      <c r="AZ151" s="5">
        <f t="shared" si="147"/>
        <v>1</v>
      </c>
      <c r="BA151" s="5">
        <f t="shared" si="147"/>
        <v>1</v>
      </c>
      <c r="BB151" s="8"/>
      <c r="BC151" s="8"/>
      <c r="BD151" s="8"/>
      <c r="BE151" s="8"/>
      <c r="BF151" s="8"/>
      <c r="BG151" s="8"/>
      <c r="BH151" s="8"/>
      <c r="BI151" s="8"/>
    </row>
    <row r="152" ht="12.75" customHeight="1">
      <c r="A152" s="4">
        <v>247.0</v>
      </c>
      <c r="B152" s="5" t="s">
        <v>536</v>
      </c>
      <c r="C152" s="5" t="s">
        <v>537</v>
      </c>
      <c r="D152" s="5" t="s">
        <v>538</v>
      </c>
      <c r="E152" s="5" t="s">
        <v>22</v>
      </c>
      <c r="F152" s="6">
        <v>46027.0</v>
      </c>
      <c r="G152" s="5" t="s">
        <v>23</v>
      </c>
      <c r="H152" s="6">
        <v>46027.0</v>
      </c>
      <c r="I152" s="5" t="s">
        <v>24</v>
      </c>
      <c r="J152" s="5" t="s">
        <v>170</v>
      </c>
      <c r="K152" s="5" t="s">
        <v>25</v>
      </c>
      <c r="L152" s="5" t="s">
        <v>539</v>
      </c>
      <c r="M152" s="5" t="s">
        <v>28</v>
      </c>
      <c r="N152" s="5" t="s">
        <v>239</v>
      </c>
      <c r="O152" s="5" t="s">
        <v>30</v>
      </c>
      <c r="P152" s="7" t="s">
        <v>199</v>
      </c>
      <c r="Q152" s="7" t="str">
        <f t="array" ref="Q152">IF($M152="Yes","Cost of Goods Sold:COGS- Travel Expenses:",IF($M152="No",XLOOKUP($P152,Key!$I:$I,Key!$J:$J),"Review Billable Status"))</f>
        <v>General &amp; Administrative:G&amp;A- Travel Expenses:</v>
      </c>
      <c r="R152" s="7" t="str">
        <f t="array" ref="R152">IF($M152="Yes","Cost of Goods Sold:COGS- Personnel Expense:",IF($M152="No",XLOOKUP($P152,Key!$I:$I,Key!$K:$K),"Review Billable Status"))</f>
        <v>General &amp; Administrative:G&amp;A- Personnel Expenses:</v>
      </c>
      <c r="S152" s="10" t="str">
        <f t="array" ref="S152">IF($G152="Paid Intern","PD Intern",IF($G152="Contractor/Consultant","Contractor",XLOOKUP(M152&amp;P152,Key!$M:$M,Key!$L:$L)))</f>
        <v>G&amp;A</v>
      </c>
      <c r="T152" s="5">
        <f t="shared" ref="T152:BA152" si="148">IF(OR($F152&gt;T$12,AND($G152="Terminated",T$12&gt;=$H152)),0,1)</f>
        <v>0</v>
      </c>
      <c r="U152" s="5">
        <f t="shared" si="148"/>
        <v>0</v>
      </c>
      <c r="V152" s="5">
        <f t="shared" si="148"/>
        <v>0</v>
      </c>
      <c r="W152" s="5">
        <f t="shared" si="148"/>
        <v>0</v>
      </c>
      <c r="X152" s="5">
        <f t="shared" si="148"/>
        <v>0</v>
      </c>
      <c r="Y152" s="5">
        <f t="shared" si="148"/>
        <v>0</v>
      </c>
      <c r="Z152" s="5">
        <f t="shared" si="148"/>
        <v>0</v>
      </c>
      <c r="AA152" s="5">
        <f t="shared" si="148"/>
        <v>0</v>
      </c>
      <c r="AB152" s="5">
        <f t="shared" si="148"/>
        <v>0</v>
      </c>
      <c r="AC152" s="5">
        <f t="shared" si="148"/>
        <v>0</v>
      </c>
      <c r="AD152" s="5">
        <f t="shared" si="148"/>
        <v>0</v>
      </c>
      <c r="AE152" s="5">
        <f t="shared" si="148"/>
        <v>0</v>
      </c>
      <c r="AF152" s="5">
        <f t="shared" si="148"/>
        <v>0</v>
      </c>
      <c r="AG152" s="5">
        <f t="shared" si="148"/>
        <v>0</v>
      </c>
      <c r="AH152" s="5">
        <f t="shared" si="148"/>
        <v>0</v>
      </c>
      <c r="AI152" s="5">
        <f t="shared" si="148"/>
        <v>0</v>
      </c>
      <c r="AJ152" s="5">
        <f t="shared" si="148"/>
        <v>0</v>
      </c>
      <c r="AK152" s="5">
        <f t="shared" si="148"/>
        <v>0</v>
      </c>
      <c r="AL152" s="5">
        <f t="shared" si="148"/>
        <v>0</v>
      </c>
      <c r="AM152" s="5">
        <f t="shared" si="148"/>
        <v>0</v>
      </c>
      <c r="AN152" s="5">
        <f t="shared" si="148"/>
        <v>0</v>
      </c>
      <c r="AO152" s="5">
        <f t="shared" si="148"/>
        <v>0</v>
      </c>
      <c r="AP152" s="5">
        <f t="shared" si="148"/>
        <v>1</v>
      </c>
      <c r="AQ152" s="5">
        <f t="shared" si="148"/>
        <v>1</v>
      </c>
      <c r="AR152" s="5">
        <f t="shared" si="148"/>
        <v>1</v>
      </c>
      <c r="AS152" s="5">
        <f t="shared" si="148"/>
        <v>1</v>
      </c>
      <c r="AT152" s="5">
        <f t="shared" si="148"/>
        <v>1</v>
      </c>
      <c r="AU152" s="5">
        <f t="shared" si="148"/>
        <v>1</v>
      </c>
      <c r="AV152" s="5">
        <f t="shared" si="148"/>
        <v>1</v>
      </c>
      <c r="AW152" s="5">
        <f t="shared" si="148"/>
        <v>1</v>
      </c>
      <c r="AX152" s="5">
        <f t="shared" si="148"/>
        <v>1</v>
      </c>
      <c r="AY152" s="5">
        <f t="shared" si="148"/>
        <v>1</v>
      </c>
      <c r="AZ152" s="5">
        <f t="shared" si="148"/>
        <v>1</v>
      </c>
      <c r="BA152" s="5">
        <f t="shared" si="148"/>
        <v>1</v>
      </c>
      <c r="BB152" s="8"/>
      <c r="BC152" s="8"/>
      <c r="BD152" s="8"/>
      <c r="BE152" s="8"/>
      <c r="BF152" s="8"/>
      <c r="BG152" s="8"/>
      <c r="BH152" s="8"/>
      <c r="BI152" s="8"/>
    </row>
    <row r="153" ht="12.75" customHeight="1">
      <c r="A153" s="4">
        <v>248.0</v>
      </c>
      <c r="B153" s="5" t="s">
        <v>540</v>
      </c>
      <c r="C153" s="5" t="s">
        <v>541</v>
      </c>
      <c r="D153" s="5" t="s">
        <v>542</v>
      </c>
      <c r="E153" s="5" t="s">
        <v>22</v>
      </c>
      <c r="F153" s="6">
        <v>46034.0</v>
      </c>
      <c r="G153" s="5" t="s">
        <v>23</v>
      </c>
      <c r="H153" s="6">
        <v>46034.0</v>
      </c>
      <c r="I153" s="5" t="s">
        <v>34</v>
      </c>
      <c r="J153" s="5" t="s">
        <v>35</v>
      </c>
      <c r="K153" s="5" t="s">
        <v>107</v>
      </c>
      <c r="L153" s="5" t="s">
        <v>153</v>
      </c>
      <c r="M153" s="5" t="s">
        <v>39</v>
      </c>
      <c r="N153" s="5" t="s">
        <v>85</v>
      </c>
      <c r="O153" s="5" t="s">
        <v>543</v>
      </c>
      <c r="P153" s="7" t="s">
        <v>38</v>
      </c>
      <c r="Q153" s="7" t="str">
        <f t="array" ref="Q153">IF($M153="Yes","Cost of Goods Sold:COGS- Travel Expenses:",IF($M153="No",XLOOKUP($P153,Key!$I:$I,Key!$J:$J),"Review Billable Status"))</f>
        <v>Cost of Goods Sold:COGS- Travel Expenses:</v>
      </c>
      <c r="R153" s="7" t="str">
        <f t="array" ref="R153">IF($M153="Yes","Cost of Goods Sold:COGS- Personnel Expense:",IF($M153="No",XLOOKUP($P153,Key!$I:$I,Key!$K:$K),"Review Billable Status"))</f>
        <v>Cost of Goods Sold:COGS- Personnel Expense:</v>
      </c>
      <c r="S153" s="10" t="str">
        <f t="array" ref="S153">IF($G153="Paid Intern","PD Intern",IF($G153="Contractor/Consultant","Contractor",XLOOKUP(M153&amp;P153,Key!$M:$M,Key!$L:$L)))</f>
        <v>COR</v>
      </c>
      <c r="T153" s="5">
        <f t="shared" ref="T153:BA153" si="149">IF(OR($F153&gt;T$12,AND($G153="Terminated",T$12&gt;=$H153)),0,1)</f>
        <v>0</v>
      </c>
      <c r="U153" s="5">
        <f t="shared" si="149"/>
        <v>0</v>
      </c>
      <c r="V153" s="5">
        <f t="shared" si="149"/>
        <v>0</v>
      </c>
      <c r="W153" s="5">
        <f t="shared" si="149"/>
        <v>0</v>
      </c>
      <c r="X153" s="5">
        <f t="shared" si="149"/>
        <v>0</v>
      </c>
      <c r="Y153" s="5">
        <f t="shared" si="149"/>
        <v>0</v>
      </c>
      <c r="Z153" s="5">
        <f t="shared" si="149"/>
        <v>0</v>
      </c>
      <c r="AA153" s="5">
        <f t="shared" si="149"/>
        <v>0</v>
      </c>
      <c r="AB153" s="5">
        <f t="shared" si="149"/>
        <v>0</v>
      </c>
      <c r="AC153" s="5">
        <f t="shared" si="149"/>
        <v>0</v>
      </c>
      <c r="AD153" s="5">
        <f t="shared" si="149"/>
        <v>0</v>
      </c>
      <c r="AE153" s="5">
        <f t="shared" si="149"/>
        <v>0</v>
      </c>
      <c r="AF153" s="5">
        <f t="shared" si="149"/>
        <v>0</v>
      </c>
      <c r="AG153" s="5">
        <f t="shared" si="149"/>
        <v>0</v>
      </c>
      <c r="AH153" s="5">
        <f t="shared" si="149"/>
        <v>0</v>
      </c>
      <c r="AI153" s="5">
        <f t="shared" si="149"/>
        <v>0</v>
      </c>
      <c r="AJ153" s="5">
        <f t="shared" si="149"/>
        <v>0</v>
      </c>
      <c r="AK153" s="5">
        <f t="shared" si="149"/>
        <v>0</v>
      </c>
      <c r="AL153" s="5">
        <f t="shared" si="149"/>
        <v>0</v>
      </c>
      <c r="AM153" s="5">
        <f t="shared" si="149"/>
        <v>0</v>
      </c>
      <c r="AN153" s="5">
        <f t="shared" si="149"/>
        <v>0</v>
      </c>
      <c r="AO153" s="5">
        <f t="shared" si="149"/>
        <v>0</v>
      </c>
      <c r="AP153" s="5">
        <f t="shared" si="149"/>
        <v>1</v>
      </c>
      <c r="AQ153" s="5">
        <f t="shared" si="149"/>
        <v>1</v>
      </c>
      <c r="AR153" s="5">
        <f t="shared" si="149"/>
        <v>1</v>
      </c>
      <c r="AS153" s="5">
        <f t="shared" si="149"/>
        <v>1</v>
      </c>
      <c r="AT153" s="5">
        <f t="shared" si="149"/>
        <v>1</v>
      </c>
      <c r="AU153" s="5">
        <f t="shared" si="149"/>
        <v>1</v>
      </c>
      <c r="AV153" s="5">
        <f t="shared" si="149"/>
        <v>1</v>
      </c>
      <c r="AW153" s="5">
        <f t="shared" si="149"/>
        <v>1</v>
      </c>
      <c r="AX153" s="5">
        <f t="shared" si="149"/>
        <v>1</v>
      </c>
      <c r="AY153" s="5">
        <f t="shared" si="149"/>
        <v>1</v>
      </c>
      <c r="AZ153" s="5">
        <f t="shared" si="149"/>
        <v>1</v>
      </c>
      <c r="BA153" s="5">
        <f t="shared" si="149"/>
        <v>1</v>
      </c>
      <c r="BB153" s="8"/>
      <c r="BC153" s="8"/>
      <c r="BD153" s="8"/>
      <c r="BE153" s="8"/>
      <c r="BF153" s="8"/>
      <c r="BG153" s="8"/>
      <c r="BH153" s="8"/>
      <c r="BI153" s="8"/>
    </row>
    <row r="154" ht="12.75" customHeight="1">
      <c r="A154" s="4">
        <v>249.0</v>
      </c>
      <c r="B154" s="5" t="s">
        <v>544</v>
      </c>
      <c r="C154" s="5" t="s">
        <v>545</v>
      </c>
      <c r="D154" s="5" t="s">
        <v>546</v>
      </c>
      <c r="E154" s="5" t="s">
        <v>22</v>
      </c>
      <c r="F154" s="6">
        <v>46027.0</v>
      </c>
      <c r="G154" s="5" t="s">
        <v>23</v>
      </c>
      <c r="H154" s="6">
        <v>46027.0</v>
      </c>
      <c r="I154" s="5" t="s">
        <v>34</v>
      </c>
      <c r="J154" s="5" t="s">
        <v>35</v>
      </c>
      <c r="K154" s="5" t="s">
        <v>36</v>
      </c>
      <c r="L154" s="5" t="s">
        <v>153</v>
      </c>
      <c r="M154" s="5" t="s">
        <v>39</v>
      </c>
      <c r="N154" s="5" t="s">
        <v>85</v>
      </c>
      <c r="O154" s="5" t="s">
        <v>205</v>
      </c>
      <c r="P154" s="7" t="s">
        <v>38</v>
      </c>
      <c r="Q154" s="7" t="str">
        <f t="array" ref="Q154">IF($M154="Yes","Cost of Goods Sold:COGS- Travel Expenses:",IF($M154="No",XLOOKUP($P154,Key!$I:$I,Key!$J:$J),"Review Billable Status"))</f>
        <v>Cost of Goods Sold:COGS- Travel Expenses:</v>
      </c>
      <c r="R154" s="7" t="str">
        <f t="array" ref="R154">IF($M154="Yes","Cost of Goods Sold:COGS- Personnel Expense:",IF($M154="No",XLOOKUP($P154,Key!$I:$I,Key!$K:$K),"Review Billable Status"))</f>
        <v>Cost of Goods Sold:COGS- Personnel Expense:</v>
      </c>
      <c r="S154" s="10" t="str">
        <f t="array" ref="S154">IF($G154="Paid Intern","PD Intern",IF($G154="Contractor/Consultant","Contractor",XLOOKUP(M154&amp;P154,Key!$M:$M,Key!$L:$L)))</f>
        <v>COR</v>
      </c>
      <c r="T154" s="5">
        <f t="shared" ref="T154:BA154" si="150">IF(OR($F154&gt;T$12,AND($G154="Terminated",T$12&gt;=$H154)),0,1)</f>
        <v>0</v>
      </c>
      <c r="U154" s="5">
        <f t="shared" si="150"/>
        <v>0</v>
      </c>
      <c r="V154" s="5">
        <f t="shared" si="150"/>
        <v>0</v>
      </c>
      <c r="W154" s="5">
        <f t="shared" si="150"/>
        <v>0</v>
      </c>
      <c r="X154" s="5">
        <f t="shared" si="150"/>
        <v>0</v>
      </c>
      <c r="Y154" s="5">
        <f t="shared" si="150"/>
        <v>0</v>
      </c>
      <c r="Z154" s="5">
        <f t="shared" si="150"/>
        <v>0</v>
      </c>
      <c r="AA154" s="5">
        <f t="shared" si="150"/>
        <v>0</v>
      </c>
      <c r="AB154" s="5">
        <f t="shared" si="150"/>
        <v>0</v>
      </c>
      <c r="AC154" s="5">
        <f t="shared" si="150"/>
        <v>0</v>
      </c>
      <c r="AD154" s="5">
        <f t="shared" si="150"/>
        <v>0</v>
      </c>
      <c r="AE154" s="5">
        <f t="shared" si="150"/>
        <v>0</v>
      </c>
      <c r="AF154" s="5">
        <f t="shared" si="150"/>
        <v>0</v>
      </c>
      <c r="AG154" s="5">
        <f t="shared" si="150"/>
        <v>0</v>
      </c>
      <c r="AH154" s="5">
        <f t="shared" si="150"/>
        <v>0</v>
      </c>
      <c r="AI154" s="5">
        <f t="shared" si="150"/>
        <v>0</v>
      </c>
      <c r="AJ154" s="5">
        <f t="shared" si="150"/>
        <v>0</v>
      </c>
      <c r="AK154" s="5">
        <f t="shared" si="150"/>
        <v>0</v>
      </c>
      <c r="AL154" s="5">
        <f t="shared" si="150"/>
        <v>0</v>
      </c>
      <c r="AM154" s="5">
        <f t="shared" si="150"/>
        <v>0</v>
      </c>
      <c r="AN154" s="5">
        <f t="shared" si="150"/>
        <v>0</v>
      </c>
      <c r="AO154" s="5">
        <f t="shared" si="150"/>
        <v>0</v>
      </c>
      <c r="AP154" s="5">
        <f t="shared" si="150"/>
        <v>1</v>
      </c>
      <c r="AQ154" s="5">
        <f t="shared" si="150"/>
        <v>1</v>
      </c>
      <c r="AR154" s="5">
        <f t="shared" si="150"/>
        <v>1</v>
      </c>
      <c r="AS154" s="5">
        <f t="shared" si="150"/>
        <v>1</v>
      </c>
      <c r="AT154" s="5">
        <f t="shared" si="150"/>
        <v>1</v>
      </c>
      <c r="AU154" s="5">
        <f t="shared" si="150"/>
        <v>1</v>
      </c>
      <c r="AV154" s="5">
        <f t="shared" si="150"/>
        <v>1</v>
      </c>
      <c r="AW154" s="5">
        <f t="shared" si="150"/>
        <v>1</v>
      </c>
      <c r="AX154" s="5">
        <f t="shared" si="150"/>
        <v>1</v>
      </c>
      <c r="AY154" s="5">
        <f t="shared" si="150"/>
        <v>1</v>
      </c>
      <c r="AZ154" s="5">
        <f t="shared" si="150"/>
        <v>1</v>
      </c>
      <c r="BA154" s="5">
        <f t="shared" si="150"/>
        <v>1</v>
      </c>
      <c r="BB154" s="8"/>
      <c r="BC154" s="8"/>
      <c r="BD154" s="8"/>
      <c r="BE154" s="8"/>
      <c r="BF154" s="8"/>
      <c r="BG154" s="8"/>
      <c r="BH154" s="8"/>
      <c r="BI154" s="8"/>
    </row>
    <row r="155" ht="12.75" customHeight="1">
      <c r="A155" s="4">
        <v>250.0</v>
      </c>
      <c r="B155" s="5" t="s">
        <v>547</v>
      </c>
      <c r="C155" s="5" t="s">
        <v>548</v>
      </c>
      <c r="D155" s="5" t="s">
        <v>549</v>
      </c>
      <c r="E155" s="5" t="s">
        <v>22</v>
      </c>
      <c r="F155" s="6">
        <v>46013.0</v>
      </c>
      <c r="G155" s="5" t="s">
        <v>23</v>
      </c>
      <c r="H155" s="6">
        <v>46013.0</v>
      </c>
      <c r="I155" s="5" t="s">
        <v>34</v>
      </c>
      <c r="J155" s="5" t="s">
        <v>35</v>
      </c>
      <c r="K155" s="5" t="s">
        <v>36</v>
      </c>
      <c r="L155" s="5" t="s">
        <v>323</v>
      </c>
      <c r="M155" s="5" t="s">
        <v>39</v>
      </c>
      <c r="N155" s="5" t="s">
        <v>52</v>
      </c>
      <c r="O155" s="5" t="s">
        <v>486</v>
      </c>
      <c r="P155" s="7" t="s">
        <v>38</v>
      </c>
      <c r="Q155" s="7" t="str">
        <f t="array" ref="Q155">IF($M155="Yes","Cost of Goods Sold:COGS- Travel Expenses:",IF($M155="No",XLOOKUP($P155,Key!$I:$I,Key!$J:$J),"Review Billable Status"))</f>
        <v>Cost of Goods Sold:COGS- Travel Expenses:</v>
      </c>
      <c r="R155" s="7" t="str">
        <f t="array" ref="R155">IF($M155="Yes","Cost of Goods Sold:COGS- Personnel Expense:",IF($M155="No",XLOOKUP($P155,Key!$I:$I,Key!$K:$K),"Review Billable Status"))</f>
        <v>Cost of Goods Sold:COGS- Personnel Expense:</v>
      </c>
      <c r="S155" s="10" t="str">
        <f t="array" ref="S155">IF($G155="Paid Intern","PD Intern",IF($G155="Contractor/Consultant","Contractor",XLOOKUP(M155&amp;P155,Key!$M:$M,Key!$L:$L)))</f>
        <v>COR</v>
      </c>
      <c r="T155" s="5">
        <f t="shared" ref="T155:BA155" si="151">IF(OR($F155&gt;T$12,AND($G155="Terminated",T$12&gt;=$H155)),0,1)</f>
        <v>0</v>
      </c>
      <c r="U155" s="5">
        <f t="shared" si="151"/>
        <v>0</v>
      </c>
      <c r="V155" s="5">
        <f t="shared" si="151"/>
        <v>0</v>
      </c>
      <c r="W155" s="5">
        <f t="shared" si="151"/>
        <v>0</v>
      </c>
      <c r="X155" s="5">
        <f t="shared" si="151"/>
        <v>0</v>
      </c>
      <c r="Y155" s="5">
        <f t="shared" si="151"/>
        <v>0</v>
      </c>
      <c r="Z155" s="5">
        <f t="shared" si="151"/>
        <v>0</v>
      </c>
      <c r="AA155" s="5">
        <f t="shared" si="151"/>
        <v>0</v>
      </c>
      <c r="AB155" s="5">
        <f t="shared" si="151"/>
        <v>0</v>
      </c>
      <c r="AC155" s="5">
        <f t="shared" si="151"/>
        <v>0</v>
      </c>
      <c r="AD155" s="5">
        <f t="shared" si="151"/>
        <v>0</v>
      </c>
      <c r="AE155" s="5">
        <f t="shared" si="151"/>
        <v>0</v>
      </c>
      <c r="AF155" s="5">
        <f t="shared" si="151"/>
        <v>0</v>
      </c>
      <c r="AG155" s="5">
        <f t="shared" si="151"/>
        <v>0</v>
      </c>
      <c r="AH155" s="5">
        <f t="shared" si="151"/>
        <v>0</v>
      </c>
      <c r="AI155" s="5">
        <f t="shared" si="151"/>
        <v>0</v>
      </c>
      <c r="AJ155" s="5">
        <f t="shared" si="151"/>
        <v>0</v>
      </c>
      <c r="AK155" s="5">
        <f t="shared" si="151"/>
        <v>0</v>
      </c>
      <c r="AL155" s="5">
        <f t="shared" si="151"/>
        <v>0</v>
      </c>
      <c r="AM155" s="5">
        <f t="shared" si="151"/>
        <v>0</v>
      </c>
      <c r="AN155" s="5">
        <f t="shared" si="151"/>
        <v>0</v>
      </c>
      <c r="AO155" s="5">
        <f t="shared" si="151"/>
        <v>1</v>
      </c>
      <c r="AP155" s="5">
        <f t="shared" si="151"/>
        <v>1</v>
      </c>
      <c r="AQ155" s="5">
        <f t="shared" si="151"/>
        <v>1</v>
      </c>
      <c r="AR155" s="5">
        <f t="shared" si="151"/>
        <v>1</v>
      </c>
      <c r="AS155" s="5">
        <f t="shared" si="151"/>
        <v>1</v>
      </c>
      <c r="AT155" s="5">
        <f t="shared" si="151"/>
        <v>1</v>
      </c>
      <c r="AU155" s="5">
        <f t="shared" si="151"/>
        <v>1</v>
      </c>
      <c r="AV155" s="5">
        <f t="shared" si="151"/>
        <v>1</v>
      </c>
      <c r="AW155" s="5">
        <f t="shared" si="151"/>
        <v>1</v>
      </c>
      <c r="AX155" s="5">
        <f t="shared" si="151"/>
        <v>1</v>
      </c>
      <c r="AY155" s="5">
        <f t="shared" si="151"/>
        <v>1</v>
      </c>
      <c r="AZ155" s="5">
        <f t="shared" si="151"/>
        <v>1</v>
      </c>
      <c r="BA155" s="5">
        <f t="shared" si="151"/>
        <v>1</v>
      </c>
      <c r="BB155" s="8"/>
      <c r="BC155" s="8"/>
      <c r="BD155" s="8"/>
      <c r="BE155" s="8"/>
      <c r="BF155" s="8"/>
      <c r="BG155" s="8"/>
      <c r="BH155" s="8"/>
      <c r="BI155" s="8"/>
    </row>
    <row r="156" ht="12.75" customHeight="1">
      <c r="A156" s="4">
        <v>251.0</v>
      </c>
      <c r="B156" s="5" t="s">
        <v>550</v>
      </c>
      <c r="C156" s="5" t="s">
        <v>551</v>
      </c>
      <c r="D156" s="5" t="s">
        <v>552</v>
      </c>
      <c r="E156" s="5" t="s">
        <v>22</v>
      </c>
      <c r="F156" s="6">
        <v>46083.0</v>
      </c>
      <c r="G156" s="5" t="s">
        <v>23</v>
      </c>
      <c r="H156" s="6">
        <v>46083.0</v>
      </c>
      <c r="I156" s="5" t="s">
        <v>34</v>
      </c>
      <c r="J156" s="5" t="s">
        <v>45</v>
      </c>
      <c r="K156" s="5" t="s">
        <v>36</v>
      </c>
      <c r="L156" s="5" t="s">
        <v>140</v>
      </c>
      <c r="M156" s="5" t="s">
        <v>28</v>
      </c>
      <c r="N156" s="5" t="s">
        <v>52</v>
      </c>
      <c r="O156" s="5" t="s">
        <v>158</v>
      </c>
      <c r="P156" s="7" t="s">
        <v>47</v>
      </c>
      <c r="Q156" s="7" t="str">
        <f t="array" ref="Q156">IF($M156="Yes","Cost of Goods Sold:COGS- Travel Expenses:",IF($M156="No",XLOOKUP($P156,Key!$I:$I,Key!$J:$J),"Review Billable Status"))</f>
        <v>Sales &amp; Marketing:Sales &amp; Marketing- Travel Expenses:</v>
      </c>
      <c r="R156" s="7" t="str">
        <f t="array" ref="R156">IF($M156="Yes","Cost of Goods Sold:COGS- Personnel Expense:",IF($M156="No",XLOOKUP($P156,Key!$I:$I,Key!$K:$K),"Review Billable Status"))</f>
        <v>Sales &amp; Marketing:Sales &amp; Marketing- Personnel Expenses:</v>
      </c>
      <c r="S156" s="10" t="str">
        <f t="array" ref="S156">IF($G156="Paid Intern","PD Intern",IF($G156="Contractor/Consultant","Contractor",XLOOKUP(M156&amp;P156,Key!$M:$M,Key!$L:$L)))</f>
        <v>S&amp;M</v>
      </c>
      <c r="T156" s="5">
        <f t="shared" ref="T156:BA156" si="152">IF(OR($F156&gt;T$12,AND($G156="Terminated",T$12&gt;=$H156)),0,1)</f>
        <v>0</v>
      </c>
      <c r="U156" s="5">
        <f t="shared" si="152"/>
        <v>0</v>
      </c>
      <c r="V156" s="5">
        <f t="shared" si="152"/>
        <v>0</v>
      </c>
      <c r="W156" s="5">
        <f t="shared" si="152"/>
        <v>0</v>
      </c>
      <c r="X156" s="5">
        <f t="shared" si="152"/>
        <v>0</v>
      </c>
      <c r="Y156" s="5">
        <f t="shared" si="152"/>
        <v>0</v>
      </c>
      <c r="Z156" s="5">
        <f t="shared" si="152"/>
        <v>0</v>
      </c>
      <c r="AA156" s="5">
        <f t="shared" si="152"/>
        <v>0</v>
      </c>
      <c r="AB156" s="5">
        <f t="shared" si="152"/>
        <v>0</v>
      </c>
      <c r="AC156" s="5">
        <f t="shared" si="152"/>
        <v>0</v>
      </c>
      <c r="AD156" s="5">
        <f t="shared" si="152"/>
        <v>0</v>
      </c>
      <c r="AE156" s="5">
        <f t="shared" si="152"/>
        <v>0</v>
      </c>
      <c r="AF156" s="5">
        <f t="shared" si="152"/>
        <v>0</v>
      </c>
      <c r="AG156" s="5">
        <f t="shared" si="152"/>
        <v>0</v>
      </c>
      <c r="AH156" s="5">
        <f t="shared" si="152"/>
        <v>0</v>
      </c>
      <c r="AI156" s="5">
        <f t="shared" si="152"/>
        <v>0</v>
      </c>
      <c r="AJ156" s="5">
        <f t="shared" si="152"/>
        <v>0</v>
      </c>
      <c r="AK156" s="5">
        <f t="shared" si="152"/>
        <v>0</v>
      </c>
      <c r="AL156" s="5">
        <f t="shared" si="152"/>
        <v>0</v>
      </c>
      <c r="AM156" s="5">
        <f t="shared" si="152"/>
        <v>0</v>
      </c>
      <c r="AN156" s="5">
        <f t="shared" si="152"/>
        <v>0</v>
      </c>
      <c r="AO156" s="5">
        <f t="shared" si="152"/>
        <v>0</v>
      </c>
      <c r="AP156" s="5">
        <f t="shared" si="152"/>
        <v>0</v>
      </c>
      <c r="AQ156" s="5">
        <f t="shared" si="152"/>
        <v>0</v>
      </c>
      <c r="AR156" s="5">
        <f t="shared" si="152"/>
        <v>1</v>
      </c>
      <c r="AS156" s="5">
        <f t="shared" si="152"/>
        <v>1</v>
      </c>
      <c r="AT156" s="5">
        <f t="shared" si="152"/>
        <v>1</v>
      </c>
      <c r="AU156" s="5">
        <f t="shared" si="152"/>
        <v>1</v>
      </c>
      <c r="AV156" s="5">
        <f t="shared" si="152"/>
        <v>1</v>
      </c>
      <c r="AW156" s="5">
        <f t="shared" si="152"/>
        <v>1</v>
      </c>
      <c r="AX156" s="5">
        <f t="shared" si="152"/>
        <v>1</v>
      </c>
      <c r="AY156" s="5">
        <f t="shared" si="152"/>
        <v>1</v>
      </c>
      <c r="AZ156" s="5">
        <f t="shared" si="152"/>
        <v>1</v>
      </c>
      <c r="BA156" s="5">
        <f t="shared" si="152"/>
        <v>1</v>
      </c>
      <c r="BB156" s="8"/>
      <c r="BC156" s="8"/>
      <c r="BD156" s="8"/>
      <c r="BE156" s="8"/>
      <c r="BF156" s="8"/>
      <c r="BG156" s="8"/>
      <c r="BH156" s="8"/>
      <c r="BI156" s="8"/>
    </row>
    <row r="157" ht="12.75" customHeight="1">
      <c r="A157" s="4">
        <v>252.0</v>
      </c>
      <c r="B157" s="5" t="s">
        <v>133</v>
      </c>
      <c r="C157" s="5" t="s">
        <v>553</v>
      </c>
      <c r="D157" s="5" t="s">
        <v>554</v>
      </c>
      <c r="E157" s="5" t="s">
        <v>22</v>
      </c>
      <c r="F157" s="6">
        <v>46048.0</v>
      </c>
      <c r="G157" s="5" t="s">
        <v>23</v>
      </c>
      <c r="H157" s="6">
        <v>46048.0</v>
      </c>
      <c r="I157" s="5" t="s">
        <v>34</v>
      </c>
      <c r="J157" s="5" t="s">
        <v>35</v>
      </c>
      <c r="K157" s="5" t="s">
        <v>36</v>
      </c>
      <c r="L157" s="5" t="s">
        <v>323</v>
      </c>
      <c r="M157" s="5" t="s">
        <v>39</v>
      </c>
      <c r="N157" s="5" t="s">
        <v>52</v>
      </c>
      <c r="O157" s="5" t="s">
        <v>555</v>
      </c>
      <c r="P157" s="7" t="s">
        <v>38</v>
      </c>
      <c r="Q157" s="7" t="str">
        <f t="array" ref="Q157">IF($M157="Yes","Cost of Goods Sold:COGS- Travel Expenses:",IF($M157="No",XLOOKUP($P157,Key!$I:$I,Key!$J:$J),"Review Billable Status"))</f>
        <v>Cost of Goods Sold:COGS- Travel Expenses:</v>
      </c>
      <c r="R157" s="7" t="str">
        <f t="array" ref="R157">IF($M157="Yes","Cost of Goods Sold:COGS- Personnel Expense:",IF($M157="No",XLOOKUP($P157,Key!$I:$I,Key!$K:$K),"Review Billable Status"))</f>
        <v>Cost of Goods Sold:COGS- Personnel Expense:</v>
      </c>
      <c r="S157" s="10" t="str">
        <f t="array" ref="S157">IF($G157="Paid Intern","PD Intern",IF($G157="Contractor/Consultant","Contractor",XLOOKUP(M157&amp;P157,Key!$M:$M,Key!$L:$L)))</f>
        <v>COR</v>
      </c>
      <c r="T157" s="5">
        <f t="shared" ref="T157:BA157" si="153">IF(OR($F157&gt;T$12,AND($G157="Terminated",T$12&gt;=$H157)),0,1)</f>
        <v>0</v>
      </c>
      <c r="U157" s="5">
        <f t="shared" si="153"/>
        <v>0</v>
      </c>
      <c r="V157" s="5">
        <f t="shared" si="153"/>
        <v>0</v>
      </c>
      <c r="W157" s="5">
        <f t="shared" si="153"/>
        <v>0</v>
      </c>
      <c r="X157" s="5">
        <f t="shared" si="153"/>
        <v>0</v>
      </c>
      <c r="Y157" s="5">
        <f t="shared" si="153"/>
        <v>0</v>
      </c>
      <c r="Z157" s="5">
        <f t="shared" si="153"/>
        <v>0</v>
      </c>
      <c r="AA157" s="5">
        <f t="shared" si="153"/>
        <v>0</v>
      </c>
      <c r="AB157" s="5">
        <f t="shared" si="153"/>
        <v>0</v>
      </c>
      <c r="AC157" s="5">
        <f t="shared" si="153"/>
        <v>0</v>
      </c>
      <c r="AD157" s="5">
        <f t="shared" si="153"/>
        <v>0</v>
      </c>
      <c r="AE157" s="5">
        <f t="shared" si="153"/>
        <v>0</v>
      </c>
      <c r="AF157" s="5">
        <f t="shared" si="153"/>
        <v>0</v>
      </c>
      <c r="AG157" s="5">
        <f t="shared" si="153"/>
        <v>0</v>
      </c>
      <c r="AH157" s="5">
        <f t="shared" si="153"/>
        <v>0</v>
      </c>
      <c r="AI157" s="5">
        <f t="shared" si="153"/>
        <v>0</v>
      </c>
      <c r="AJ157" s="5">
        <f t="shared" si="153"/>
        <v>0</v>
      </c>
      <c r="AK157" s="5">
        <f t="shared" si="153"/>
        <v>0</v>
      </c>
      <c r="AL157" s="5">
        <f t="shared" si="153"/>
        <v>0</v>
      </c>
      <c r="AM157" s="5">
        <f t="shared" si="153"/>
        <v>0</v>
      </c>
      <c r="AN157" s="5">
        <f t="shared" si="153"/>
        <v>0</v>
      </c>
      <c r="AO157" s="5">
        <f t="shared" si="153"/>
        <v>0</v>
      </c>
      <c r="AP157" s="5">
        <f t="shared" si="153"/>
        <v>1</v>
      </c>
      <c r="AQ157" s="5">
        <f t="shared" si="153"/>
        <v>1</v>
      </c>
      <c r="AR157" s="5">
        <f t="shared" si="153"/>
        <v>1</v>
      </c>
      <c r="AS157" s="5">
        <f t="shared" si="153"/>
        <v>1</v>
      </c>
      <c r="AT157" s="5">
        <f t="shared" si="153"/>
        <v>1</v>
      </c>
      <c r="AU157" s="5">
        <f t="shared" si="153"/>
        <v>1</v>
      </c>
      <c r="AV157" s="5">
        <f t="shared" si="153"/>
        <v>1</v>
      </c>
      <c r="AW157" s="5">
        <f t="shared" si="153"/>
        <v>1</v>
      </c>
      <c r="AX157" s="5">
        <f t="shared" si="153"/>
        <v>1</v>
      </c>
      <c r="AY157" s="5">
        <f t="shared" si="153"/>
        <v>1</v>
      </c>
      <c r="AZ157" s="5">
        <f t="shared" si="153"/>
        <v>1</v>
      </c>
      <c r="BA157" s="5">
        <f t="shared" si="153"/>
        <v>1</v>
      </c>
      <c r="BB157" s="8"/>
      <c r="BC157" s="8"/>
      <c r="BD157" s="8"/>
      <c r="BE157" s="8"/>
      <c r="BF157" s="8"/>
      <c r="BG157" s="8"/>
      <c r="BH157" s="8"/>
      <c r="BI157" s="8"/>
    </row>
    <row r="158" ht="12.75" customHeight="1">
      <c r="A158" s="4">
        <v>253.0</v>
      </c>
      <c r="B158" s="5" t="s">
        <v>556</v>
      </c>
      <c r="C158" s="5" t="s">
        <v>557</v>
      </c>
      <c r="D158" s="5" t="s">
        <v>558</v>
      </c>
      <c r="E158" s="5" t="s">
        <v>22</v>
      </c>
      <c r="F158" s="6">
        <v>46069.0</v>
      </c>
      <c r="G158" s="5" t="s">
        <v>23</v>
      </c>
      <c r="H158" s="6">
        <v>46069.0</v>
      </c>
      <c r="I158" s="5" t="s">
        <v>34</v>
      </c>
      <c r="J158" s="5" t="s">
        <v>35</v>
      </c>
      <c r="K158" s="5" t="s">
        <v>36</v>
      </c>
      <c r="L158" s="5" t="s">
        <v>179</v>
      </c>
      <c r="M158" s="5" t="s">
        <v>39</v>
      </c>
      <c r="N158" s="5" t="s">
        <v>59</v>
      </c>
      <c r="O158" s="5" t="s">
        <v>76</v>
      </c>
      <c r="P158" s="7" t="s">
        <v>38</v>
      </c>
      <c r="Q158" s="7" t="str">
        <f t="array" ref="Q158">IF($M158="Yes","Cost of Goods Sold:COGS- Travel Expenses:",IF($M158="No",XLOOKUP($P158,Key!$I:$I,Key!$J:$J),"Review Billable Status"))</f>
        <v>Cost of Goods Sold:COGS- Travel Expenses:</v>
      </c>
      <c r="R158" s="7" t="str">
        <f t="array" ref="R158">IF($M158="Yes","Cost of Goods Sold:COGS- Personnel Expense:",IF($M158="No",XLOOKUP($P158,Key!$I:$I,Key!$K:$K),"Review Billable Status"))</f>
        <v>Cost of Goods Sold:COGS- Personnel Expense:</v>
      </c>
      <c r="S158" s="10" t="str">
        <f t="array" ref="S158">IF($G158="Paid Intern","PD Intern",IF($G158="Contractor/Consultant","Contractor",XLOOKUP(M158&amp;P158,Key!$M:$M,Key!$L:$L)))</f>
        <v>COR</v>
      </c>
      <c r="T158" s="5">
        <f t="shared" ref="T158:BA158" si="154">IF(OR($F158&gt;T$12,AND($G158="Terminated",T$12&gt;=$H158)),0,1)</f>
        <v>0</v>
      </c>
      <c r="U158" s="5">
        <f t="shared" si="154"/>
        <v>0</v>
      </c>
      <c r="V158" s="5">
        <f t="shared" si="154"/>
        <v>0</v>
      </c>
      <c r="W158" s="5">
        <f t="shared" si="154"/>
        <v>0</v>
      </c>
      <c r="X158" s="5">
        <f t="shared" si="154"/>
        <v>0</v>
      </c>
      <c r="Y158" s="5">
        <f t="shared" si="154"/>
        <v>0</v>
      </c>
      <c r="Z158" s="5">
        <f t="shared" si="154"/>
        <v>0</v>
      </c>
      <c r="AA158" s="5">
        <f t="shared" si="154"/>
        <v>0</v>
      </c>
      <c r="AB158" s="5">
        <f t="shared" si="154"/>
        <v>0</v>
      </c>
      <c r="AC158" s="5">
        <f t="shared" si="154"/>
        <v>0</v>
      </c>
      <c r="AD158" s="5">
        <f t="shared" si="154"/>
        <v>0</v>
      </c>
      <c r="AE158" s="5">
        <f t="shared" si="154"/>
        <v>0</v>
      </c>
      <c r="AF158" s="5">
        <f t="shared" si="154"/>
        <v>0</v>
      </c>
      <c r="AG158" s="5">
        <f t="shared" si="154"/>
        <v>0</v>
      </c>
      <c r="AH158" s="5">
        <f t="shared" si="154"/>
        <v>0</v>
      </c>
      <c r="AI158" s="5">
        <f t="shared" si="154"/>
        <v>0</v>
      </c>
      <c r="AJ158" s="5">
        <f t="shared" si="154"/>
        <v>0</v>
      </c>
      <c r="AK158" s="5">
        <f t="shared" si="154"/>
        <v>0</v>
      </c>
      <c r="AL158" s="5">
        <f t="shared" si="154"/>
        <v>0</v>
      </c>
      <c r="AM158" s="5">
        <f t="shared" si="154"/>
        <v>0</v>
      </c>
      <c r="AN158" s="5">
        <f t="shared" si="154"/>
        <v>0</v>
      </c>
      <c r="AO158" s="5">
        <f t="shared" si="154"/>
        <v>0</v>
      </c>
      <c r="AP158" s="5">
        <f t="shared" si="154"/>
        <v>0</v>
      </c>
      <c r="AQ158" s="5">
        <f t="shared" si="154"/>
        <v>1</v>
      </c>
      <c r="AR158" s="5">
        <f t="shared" si="154"/>
        <v>1</v>
      </c>
      <c r="AS158" s="5">
        <f t="shared" si="154"/>
        <v>1</v>
      </c>
      <c r="AT158" s="5">
        <f t="shared" si="154"/>
        <v>1</v>
      </c>
      <c r="AU158" s="5">
        <f t="shared" si="154"/>
        <v>1</v>
      </c>
      <c r="AV158" s="5">
        <f t="shared" si="154"/>
        <v>1</v>
      </c>
      <c r="AW158" s="5">
        <f t="shared" si="154"/>
        <v>1</v>
      </c>
      <c r="AX158" s="5">
        <f t="shared" si="154"/>
        <v>1</v>
      </c>
      <c r="AY158" s="5">
        <f t="shared" si="154"/>
        <v>1</v>
      </c>
      <c r="AZ158" s="5">
        <f t="shared" si="154"/>
        <v>1</v>
      </c>
      <c r="BA158" s="5">
        <f t="shared" si="154"/>
        <v>1</v>
      </c>
      <c r="BB158" s="8"/>
      <c r="BC158" s="8"/>
      <c r="BD158" s="8"/>
      <c r="BE158" s="8"/>
      <c r="BF158" s="8"/>
      <c r="BG158" s="8"/>
      <c r="BH158" s="8"/>
      <c r="BI158" s="8"/>
    </row>
    <row r="159" ht="12.75" customHeight="1">
      <c r="A159" s="4">
        <v>254.0</v>
      </c>
      <c r="B159" s="5" t="s">
        <v>559</v>
      </c>
      <c r="C159" s="5" t="s">
        <v>560</v>
      </c>
      <c r="D159" s="5" t="s">
        <v>561</v>
      </c>
      <c r="E159" s="5" t="s">
        <v>22</v>
      </c>
      <c r="F159" s="6">
        <v>46062.0</v>
      </c>
      <c r="G159" s="5" t="s">
        <v>23</v>
      </c>
      <c r="H159" s="6">
        <v>46062.0</v>
      </c>
      <c r="I159" s="5" t="s">
        <v>34</v>
      </c>
      <c r="J159" s="5" t="s">
        <v>35</v>
      </c>
      <c r="K159" s="5" t="s">
        <v>36</v>
      </c>
      <c r="L159" s="5" t="s">
        <v>153</v>
      </c>
      <c r="M159" s="5" t="s">
        <v>39</v>
      </c>
      <c r="N159" s="5" t="s">
        <v>85</v>
      </c>
      <c r="O159" s="5" t="s">
        <v>205</v>
      </c>
      <c r="P159" s="7" t="s">
        <v>38</v>
      </c>
      <c r="Q159" s="7" t="str">
        <f t="array" ref="Q159">IF($M159="Yes","Cost of Goods Sold:COGS- Travel Expenses:",IF($M159="No",XLOOKUP($P159,Key!$I:$I,Key!$J:$J),"Review Billable Status"))</f>
        <v>Cost of Goods Sold:COGS- Travel Expenses:</v>
      </c>
      <c r="R159" s="7" t="str">
        <f t="array" ref="R159">IF($M159="Yes","Cost of Goods Sold:COGS- Personnel Expense:",IF($M159="No",XLOOKUP($P159,Key!$I:$I,Key!$K:$K),"Review Billable Status"))</f>
        <v>Cost of Goods Sold:COGS- Personnel Expense:</v>
      </c>
      <c r="S159" s="10" t="str">
        <f t="array" ref="S159">IF($G159="Paid Intern","PD Intern",IF($G159="Contractor/Consultant","Contractor",XLOOKUP(M159&amp;P159,Key!$M:$M,Key!$L:$L)))</f>
        <v>COR</v>
      </c>
      <c r="T159" s="5">
        <f t="shared" ref="T159:BA159" si="155">IF(OR($F159&gt;T$12,AND($G159="Terminated",T$12&gt;=$H159)),0,1)</f>
        <v>0</v>
      </c>
      <c r="U159" s="5">
        <f t="shared" si="155"/>
        <v>0</v>
      </c>
      <c r="V159" s="5">
        <f t="shared" si="155"/>
        <v>0</v>
      </c>
      <c r="W159" s="5">
        <f t="shared" si="155"/>
        <v>0</v>
      </c>
      <c r="X159" s="5">
        <f t="shared" si="155"/>
        <v>0</v>
      </c>
      <c r="Y159" s="5">
        <f t="shared" si="155"/>
        <v>0</v>
      </c>
      <c r="Z159" s="5">
        <f t="shared" si="155"/>
        <v>0</v>
      </c>
      <c r="AA159" s="5">
        <f t="shared" si="155"/>
        <v>0</v>
      </c>
      <c r="AB159" s="5">
        <f t="shared" si="155"/>
        <v>0</v>
      </c>
      <c r="AC159" s="5">
        <f t="shared" si="155"/>
        <v>0</v>
      </c>
      <c r="AD159" s="5">
        <f t="shared" si="155"/>
        <v>0</v>
      </c>
      <c r="AE159" s="5">
        <f t="shared" si="155"/>
        <v>0</v>
      </c>
      <c r="AF159" s="5">
        <f t="shared" si="155"/>
        <v>0</v>
      </c>
      <c r="AG159" s="5">
        <f t="shared" si="155"/>
        <v>0</v>
      </c>
      <c r="AH159" s="5">
        <f t="shared" si="155"/>
        <v>0</v>
      </c>
      <c r="AI159" s="5">
        <f t="shared" si="155"/>
        <v>0</v>
      </c>
      <c r="AJ159" s="5">
        <f t="shared" si="155"/>
        <v>0</v>
      </c>
      <c r="AK159" s="5">
        <f t="shared" si="155"/>
        <v>0</v>
      </c>
      <c r="AL159" s="5">
        <f t="shared" si="155"/>
        <v>0</v>
      </c>
      <c r="AM159" s="5">
        <f t="shared" si="155"/>
        <v>0</v>
      </c>
      <c r="AN159" s="5">
        <f t="shared" si="155"/>
        <v>0</v>
      </c>
      <c r="AO159" s="5">
        <f t="shared" si="155"/>
        <v>0</v>
      </c>
      <c r="AP159" s="5">
        <f t="shared" si="155"/>
        <v>0</v>
      </c>
      <c r="AQ159" s="5">
        <f t="shared" si="155"/>
        <v>1</v>
      </c>
      <c r="AR159" s="5">
        <f t="shared" si="155"/>
        <v>1</v>
      </c>
      <c r="AS159" s="5">
        <f t="shared" si="155"/>
        <v>1</v>
      </c>
      <c r="AT159" s="5">
        <f t="shared" si="155"/>
        <v>1</v>
      </c>
      <c r="AU159" s="5">
        <f t="shared" si="155"/>
        <v>1</v>
      </c>
      <c r="AV159" s="5">
        <f t="shared" si="155"/>
        <v>1</v>
      </c>
      <c r="AW159" s="5">
        <f t="shared" si="155"/>
        <v>1</v>
      </c>
      <c r="AX159" s="5">
        <f t="shared" si="155"/>
        <v>1</v>
      </c>
      <c r="AY159" s="5">
        <f t="shared" si="155"/>
        <v>1</v>
      </c>
      <c r="AZ159" s="5">
        <f t="shared" si="155"/>
        <v>1</v>
      </c>
      <c r="BA159" s="5">
        <f t="shared" si="155"/>
        <v>1</v>
      </c>
      <c r="BB159" s="8"/>
      <c r="BC159" s="8"/>
      <c r="BD159" s="8"/>
      <c r="BE159" s="8"/>
      <c r="BF159" s="8"/>
      <c r="BG159" s="8"/>
      <c r="BH159" s="8"/>
      <c r="BI159" s="8"/>
    </row>
    <row r="160" ht="12.75" customHeight="1">
      <c r="A160" s="4">
        <v>255.0</v>
      </c>
      <c r="B160" s="5" t="s">
        <v>287</v>
      </c>
      <c r="C160" s="5" t="s">
        <v>562</v>
      </c>
      <c r="D160" s="5" t="s">
        <v>563</v>
      </c>
      <c r="E160" s="5" t="s">
        <v>22</v>
      </c>
      <c r="F160" s="6">
        <v>46055.0</v>
      </c>
      <c r="G160" s="5" t="s">
        <v>23</v>
      </c>
      <c r="H160" s="6">
        <v>46055.0</v>
      </c>
      <c r="I160" s="5" t="s">
        <v>64</v>
      </c>
      <c r="J160" s="5" t="s">
        <v>35</v>
      </c>
      <c r="K160" s="5" t="s">
        <v>25</v>
      </c>
      <c r="L160" s="5" t="s">
        <v>334</v>
      </c>
      <c r="M160" s="5" t="s">
        <v>39</v>
      </c>
      <c r="N160" s="5" t="s">
        <v>85</v>
      </c>
      <c r="O160" s="5" t="s">
        <v>30</v>
      </c>
      <c r="P160" s="7" t="s">
        <v>75</v>
      </c>
      <c r="Q160" s="7" t="str">
        <f t="array" ref="Q160">IF($M160="Yes","Cost of Goods Sold:COGS- Travel Expenses:",IF($M160="No",XLOOKUP($P160,Key!$I:$I,Key!$J:$J),"Review Billable Status"))</f>
        <v>Cost of Goods Sold:COGS- Travel Expenses:</v>
      </c>
      <c r="R160" s="7" t="str">
        <f t="array" ref="R160">IF($M160="Yes","Cost of Goods Sold:COGS- Personnel Expense:",IF($M160="No",XLOOKUP($P160,Key!$I:$I,Key!$K:$K),"Review Billable Status"))</f>
        <v>Cost of Goods Sold:COGS- Personnel Expense:</v>
      </c>
      <c r="S160" s="10" t="str">
        <f t="array" ref="S160">IF($G160="Paid Intern","PD Intern",IF($G160="Contractor/Consultant","Contractor",XLOOKUP(M160&amp;P160,Key!$M:$M,Key!$L:$L)))</f>
        <v>COR</v>
      </c>
      <c r="T160" s="5">
        <f t="shared" ref="T160:BA160" si="156">IF(OR($F160&gt;T$12,AND($G160="Terminated",T$12&gt;=$H160)),0,1)</f>
        <v>0</v>
      </c>
      <c r="U160" s="5">
        <f t="shared" si="156"/>
        <v>0</v>
      </c>
      <c r="V160" s="5">
        <f t="shared" si="156"/>
        <v>0</v>
      </c>
      <c r="W160" s="5">
        <f t="shared" si="156"/>
        <v>0</v>
      </c>
      <c r="X160" s="5">
        <f t="shared" si="156"/>
        <v>0</v>
      </c>
      <c r="Y160" s="5">
        <f t="shared" si="156"/>
        <v>0</v>
      </c>
      <c r="Z160" s="5">
        <f t="shared" si="156"/>
        <v>0</v>
      </c>
      <c r="AA160" s="5">
        <f t="shared" si="156"/>
        <v>0</v>
      </c>
      <c r="AB160" s="5">
        <f t="shared" si="156"/>
        <v>0</v>
      </c>
      <c r="AC160" s="5">
        <f t="shared" si="156"/>
        <v>0</v>
      </c>
      <c r="AD160" s="5">
        <f t="shared" si="156"/>
        <v>0</v>
      </c>
      <c r="AE160" s="5">
        <f t="shared" si="156"/>
        <v>0</v>
      </c>
      <c r="AF160" s="5">
        <f t="shared" si="156"/>
        <v>0</v>
      </c>
      <c r="AG160" s="5">
        <f t="shared" si="156"/>
        <v>0</v>
      </c>
      <c r="AH160" s="5">
        <f t="shared" si="156"/>
        <v>0</v>
      </c>
      <c r="AI160" s="5">
        <f t="shared" si="156"/>
        <v>0</v>
      </c>
      <c r="AJ160" s="5">
        <f t="shared" si="156"/>
        <v>0</v>
      </c>
      <c r="AK160" s="5">
        <f t="shared" si="156"/>
        <v>0</v>
      </c>
      <c r="AL160" s="5">
        <f t="shared" si="156"/>
        <v>0</v>
      </c>
      <c r="AM160" s="5">
        <f t="shared" si="156"/>
        <v>0</v>
      </c>
      <c r="AN160" s="5">
        <f t="shared" si="156"/>
        <v>0</v>
      </c>
      <c r="AO160" s="5">
        <f t="shared" si="156"/>
        <v>0</v>
      </c>
      <c r="AP160" s="5">
        <f t="shared" si="156"/>
        <v>0</v>
      </c>
      <c r="AQ160" s="5">
        <f t="shared" si="156"/>
        <v>1</v>
      </c>
      <c r="AR160" s="5">
        <f t="shared" si="156"/>
        <v>1</v>
      </c>
      <c r="AS160" s="5">
        <f t="shared" si="156"/>
        <v>1</v>
      </c>
      <c r="AT160" s="5">
        <f t="shared" si="156"/>
        <v>1</v>
      </c>
      <c r="AU160" s="5">
        <f t="shared" si="156"/>
        <v>1</v>
      </c>
      <c r="AV160" s="5">
        <f t="shared" si="156"/>
        <v>1</v>
      </c>
      <c r="AW160" s="5">
        <f t="shared" si="156"/>
        <v>1</v>
      </c>
      <c r="AX160" s="5">
        <f t="shared" si="156"/>
        <v>1</v>
      </c>
      <c r="AY160" s="5">
        <f t="shared" si="156"/>
        <v>1</v>
      </c>
      <c r="AZ160" s="5">
        <f t="shared" si="156"/>
        <v>1</v>
      </c>
      <c r="BA160" s="5">
        <f t="shared" si="156"/>
        <v>1</v>
      </c>
      <c r="BB160" s="8"/>
      <c r="BC160" s="8"/>
      <c r="BD160" s="8"/>
      <c r="BE160" s="8"/>
      <c r="BF160" s="8"/>
      <c r="BG160" s="8"/>
      <c r="BH160" s="8"/>
      <c r="BI160" s="8"/>
    </row>
    <row r="161" ht="12.75" customHeight="1">
      <c r="A161" s="4">
        <v>256.0</v>
      </c>
      <c r="B161" s="5" t="s">
        <v>564</v>
      </c>
      <c r="C161" s="5" t="s">
        <v>565</v>
      </c>
      <c r="D161" s="5" t="s">
        <v>566</v>
      </c>
      <c r="E161" s="5" t="s">
        <v>112</v>
      </c>
      <c r="F161" s="6">
        <v>46076.0</v>
      </c>
      <c r="G161" s="5" t="s">
        <v>23</v>
      </c>
      <c r="H161" s="6">
        <v>46076.0</v>
      </c>
      <c r="I161" s="5" t="s">
        <v>34</v>
      </c>
      <c r="J161" s="5" t="s">
        <v>130</v>
      </c>
      <c r="K161" s="5" t="s">
        <v>25</v>
      </c>
      <c r="L161" s="5" t="s">
        <v>279</v>
      </c>
      <c r="M161" s="5" t="s">
        <v>39</v>
      </c>
      <c r="N161" s="5" t="s">
        <v>85</v>
      </c>
      <c r="O161" s="5" t="s">
        <v>30</v>
      </c>
      <c r="P161" s="7" t="s">
        <v>132</v>
      </c>
      <c r="Q161" s="7" t="str">
        <f t="array" ref="Q161">IF($M161="Yes","Cost of Goods Sold:COGS- Travel Expenses:",IF($M161="No",XLOOKUP($P161,Key!$I:$I,Key!$J:$J),"Review Billable Status"))</f>
        <v>Cost of Goods Sold:COGS- Travel Expenses:</v>
      </c>
      <c r="R161" s="7" t="str">
        <f t="array" ref="R161">IF($M161="Yes","Cost of Goods Sold:COGS- Personnel Expense:",IF($M161="No",XLOOKUP($P161,Key!$I:$I,Key!$K:$K),"Review Billable Status"))</f>
        <v>Cost of Goods Sold:COGS- Personnel Expense:</v>
      </c>
      <c r="S161" s="10" t="str">
        <f t="array" ref="S161">IF($G161="Paid Intern","PD Intern",IF($G161="Contractor/Consultant","Contractor",XLOOKUP(M161&amp;P161,Key!$M:$M,Key!$L:$L)))</f>
        <v>COR</v>
      </c>
      <c r="T161" s="5">
        <f t="shared" ref="T161:BA161" si="157">IF(OR($F161&gt;T$12,AND($G161="Terminated",T$12&gt;=$H161)),0,1)</f>
        <v>0</v>
      </c>
      <c r="U161" s="5">
        <f t="shared" si="157"/>
        <v>0</v>
      </c>
      <c r="V161" s="5">
        <f t="shared" si="157"/>
        <v>0</v>
      </c>
      <c r="W161" s="5">
        <f t="shared" si="157"/>
        <v>0</v>
      </c>
      <c r="X161" s="5">
        <f t="shared" si="157"/>
        <v>0</v>
      </c>
      <c r="Y161" s="5">
        <f t="shared" si="157"/>
        <v>0</v>
      </c>
      <c r="Z161" s="5">
        <f t="shared" si="157"/>
        <v>0</v>
      </c>
      <c r="AA161" s="5">
        <f t="shared" si="157"/>
        <v>0</v>
      </c>
      <c r="AB161" s="5">
        <f t="shared" si="157"/>
        <v>0</v>
      </c>
      <c r="AC161" s="5">
        <f t="shared" si="157"/>
        <v>0</v>
      </c>
      <c r="AD161" s="5">
        <f t="shared" si="157"/>
        <v>0</v>
      </c>
      <c r="AE161" s="5">
        <f t="shared" si="157"/>
        <v>0</v>
      </c>
      <c r="AF161" s="5">
        <f t="shared" si="157"/>
        <v>0</v>
      </c>
      <c r="AG161" s="5">
        <f t="shared" si="157"/>
        <v>0</v>
      </c>
      <c r="AH161" s="5">
        <f t="shared" si="157"/>
        <v>0</v>
      </c>
      <c r="AI161" s="5">
        <f t="shared" si="157"/>
        <v>0</v>
      </c>
      <c r="AJ161" s="5">
        <f t="shared" si="157"/>
        <v>0</v>
      </c>
      <c r="AK161" s="5">
        <f t="shared" si="157"/>
        <v>0</v>
      </c>
      <c r="AL161" s="5">
        <f t="shared" si="157"/>
        <v>0</v>
      </c>
      <c r="AM161" s="5">
        <f t="shared" si="157"/>
        <v>0</v>
      </c>
      <c r="AN161" s="5">
        <f t="shared" si="157"/>
        <v>0</v>
      </c>
      <c r="AO161" s="5">
        <f t="shared" si="157"/>
        <v>0</v>
      </c>
      <c r="AP161" s="5">
        <f t="shared" si="157"/>
        <v>0</v>
      </c>
      <c r="AQ161" s="5">
        <f t="shared" si="157"/>
        <v>1</v>
      </c>
      <c r="AR161" s="5">
        <f t="shared" si="157"/>
        <v>1</v>
      </c>
      <c r="AS161" s="5">
        <f t="shared" si="157"/>
        <v>1</v>
      </c>
      <c r="AT161" s="5">
        <f t="shared" si="157"/>
        <v>1</v>
      </c>
      <c r="AU161" s="5">
        <f t="shared" si="157"/>
        <v>1</v>
      </c>
      <c r="AV161" s="5">
        <f t="shared" si="157"/>
        <v>1</v>
      </c>
      <c r="AW161" s="5">
        <f t="shared" si="157"/>
        <v>1</v>
      </c>
      <c r="AX161" s="5">
        <f t="shared" si="157"/>
        <v>1</v>
      </c>
      <c r="AY161" s="5">
        <f t="shared" si="157"/>
        <v>1</v>
      </c>
      <c r="AZ161" s="5">
        <f t="shared" si="157"/>
        <v>1</v>
      </c>
      <c r="BA161" s="5">
        <f t="shared" si="157"/>
        <v>1</v>
      </c>
      <c r="BB161" s="8"/>
      <c r="BC161" s="8"/>
      <c r="BD161" s="8"/>
      <c r="BE161" s="8"/>
      <c r="BF161" s="8"/>
      <c r="BG161" s="8"/>
      <c r="BH161" s="8"/>
      <c r="BI161" s="8"/>
    </row>
    <row r="162" ht="12.75" customHeight="1">
      <c r="A162" s="4">
        <v>257.0</v>
      </c>
      <c r="B162" s="5" t="s">
        <v>567</v>
      </c>
      <c r="C162" s="5" t="s">
        <v>568</v>
      </c>
      <c r="D162" s="5" t="s">
        <v>569</v>
      </c>
      <c r="E162" s="5" t="s">
        <v>22</v>
      </c>
      <c r="F162" s="6">
        <v>46069.0</v>
      </c>
      <c r="G162" s="5" t="s">
        <v>23</v>
      </c>
      <c r="H162" s="6">
        <v>46069.0</v>
      </c>
      <c r="I162" s="5" t="s">
        <v>34</v>
      </c>
      <c r="J162" s="5" t="s">
        <v>45</v>
      </c>
      <c r="K162" s="5" t="s">
        <v>36</v>
      </c>
      <c r="L162" s="5" t="s">
        <v>570</v>
      </c>
      <c r="M162" s="5" t="s">
        <v>28</v>
      </c>
      <c r="N162" s="5" t="s">
        <v>52</v>
      </c>
      <c r="O162" s="5" t="s">
        <v>180</v>
      </c>
      <c r="P162" s="7" t="s">
        <v>47</v>
      </c>
      <c r="Q162" s="7" t="str">
        <f t="array" ref="Q162">IF($M162="Yes","Cost of Goods Sold:COGS- Travel Expenses:",IF($M162="No",XLOOKUP($P162,Key!$I:$I,Key!$J:$J),"Review Billable Status"))</f>
        <v>Sales &amp; Marketing:Sales &amp; Marketing- Travel Expenses:</v>
      </c>
      <c r="R162" s="7" t="str">
        <f t="array" ref="R162">IF($M162="Yes","Cost of Goods Sold:COGS- Personnel Expense:",IF($M162="No",XLOOKUP($P162,Key!$I:$I,Key!$K:$K),"Review Billable Status"))</f>
        <v>Sales &amp; Marketing:Sales &amp; Marketing- Personnel Expenses:</v>
      </c>
      <c r="S162" s="10" t="str">
        <f t="array" ref="S162">IF($G162="Paid Intern","PD Intern",IF($G162="Contractor/Consultant","Contractor",XLOOKUP(M162&amp;P162,Key!$M:$M,Key!$L:$L)))</f>
        <v>S&amp;M</v>
      </c>
      <c r="T162" s="5">
        <f t="shared" ref="T162:BA162" si="158">IF(OR($F162&gt;T$12,AND($G162="Terminated",T$12&gt;=$H162)),0,1)</f>
        <v>0</v>
      </c>
      <c r="U162" s="5">
        <f t="shared" si="158"/>
        <v>0</v>
      </c>
      <c r="V162" s="5">
        <f t="shared" si="158"/>
        <v>0</v>
      </c>
      <c r="W162" s="5">
        <f t="shared" si="158"/>
        <v>0</v>
      </c>
      <c r="X162" s="5">
        <f t="shared" si="158"/>
        <v>0</v>
      </c>
      <c r="Y162" s="5">
        <f t="shared" si="158"/>
        <v>0</v>
      </c>
      <c r="Z162" s="5">
        <f t="shared" si="158"/>
        <v>0</v>
      </c>
      <c r="AA162" s="5">
        <f t="shared" si="158"/>
        <v>0</v>
      </c>
      <c r="AB162" s="5">
        <f t="shared" si="158"/>
        <v>0</v>
      </c>
      <c r="AC162" s="5">
        <f t="shared" si="158"/>
        <v>0</v>
      </c>
      <c r="AD162" s="5">
        <f t="shared" si="158"/>
        <v>0</v>
      </c>
      <c r="AE162" s="5">
        <f t="shared" si="158"/>
        <v>0</v>
      </c>
      <c r="AF162" s="5">
        <f t="shared" si="158"/>
        <v>0</v>
      </c>
      <c r="AG162" s="5">
        <f t="shared" si="158"/>
        <v>0</v>
      </c>
      <c r="AH162" s="5">
        <f t="shared" si="158"/>
        <v>0</v>
      </c>
      <c r="AI162" s="5">
        <f t="shared" si="158"/>
        <v>0</v>
      </c>
      <c r="AJ162" s="5">
        <f t="shared" si="158"/>
        <v>0</v>
      </c>
      <c r="AK162" s="5">
        <f t="shared" si="158"/>
        <v>0</v>
      </c>
      <c r="AL162" s="5">
        <f t="shared" si="158"/>
        <v>0</v>
      </c>
      <c r="AM162" s="5">
        <f t="shared" si="158"/>
        <v>0</v>
      </c>
      <c r="AN162" s="5">
        <f t="shared" si="158"/>
        <v>0</v>
      </c>
      <c r="AO162" s="5">
        <f t="shared" si="158"/>
        <v>0</v>
      </c>
      <c r="AP162" s="5">
        <f t="shared" si="158"/>
        <v>0</v>
      </c>
      <c r="AQ162" s="5">
        <f t="shared" si="158"/>
        <v>1</v>
      </c>
      <c r="AR162" s="5">
        <f t="shared" si="158"/>
        <v>1</v>
      </c>
      <c r="AS162" s="5">
        <f t="shared" si="158"/>
        <v>1</v>
      </c>
      <c r="AT162" s="5">
        <f t="shared" si="158"/>
        <v>1</v>
      </c>
      <c r="AU162" s="5">
        <f t="shared" si="158"/>
        <v>1</v>
      </c>
      <c r="AV162" s="5">
        <f t="shared" si="158"/>
        <v>1</v>
      </c>
      <c r="AW162" s="5">
        <f t="shared" si="158"/>
        <v>1</v>
      </c>
      <c r="AX162" s="5">
        <f t="shared" si="158"/>
        <v>1</v>
      </c>
      <c r="AY162" s="5">
        <f t="shared" si="158"/>
        <v>1</v>
      </c>
      <c r="AZ162" s="5">
        <f t="shared" si="158"/>
        <v>1</v>
      </c>
      <c r="BA162" s="5">
        <f t="shared" si="158"/>
        <v>1</v>
      </c>
      <c r="BB162" s="8"/>
      <c r="BC162" s="8"/>
      <c r="BD162" s="8"/>
      <c r="BE162" s="8"/>
      <c r="BF162" s="8"/>
      <c r="BG162" s="8"/>
      <c r="BH162" s="8"/>
      <c r="BI162" s="8"/>
    </row>
    <row r="163" ht="12.75" customHeight="1">
      <c r="A163" s="4">
        <v>259.0</v>
      </c>
      <c r="B163" s="5" t="s">
        <v>571</v>
      </c>
      <c r="C163" s="5" t="s">
        <v>572</v>
      </c>
      <c r="D163" s="5" t="s">
        <v>573</v>
      </c>
      <c r="E163" s="5" t="s">
        <v>22</v>
      </c>
      <c r="F163" s="6">
        <v>46084.0</v>
      </c>
      <c r="G163" s="5" t="s">
        <v>23</v>
      </c>
      <c r="H163" s="6">
        <v>46084.0</v>
      </c>
      <c r="I163" s="5" t="s">
        <v>34</v>
      </c>
      <c r="J163" s="5" t="s">
        <v>35</v>
      </c>
      <c r="K163" s="5" t="s">
        <v>36</v>
      </c>
      <c r="L163" s="5" t="s">
        <v>179</v>
      </c>
      <c r="M163" s="5" t="s">
        <v>39</v>
      </c>
      <c r="N163" s="5" t="s">
        <v>59</v>
      </c>
      <c r="O163" s="5" t="s">
        <v>386</v>
      </c>
      <c r="P163" s="7" t="s">
        <v>38</v>
      </c>
      <c r="Q163" s="7" t="str">
        <f t="array" ref="Q163">IF($M163="Yes","Cost of Goods Sold:COGS- Travel Expenses:",IF($M163="No",XLOOKUP($P163,Key!$I:$I,Key!$J:$J),"Review Billable Status"))</f>
        <v>Cost of Goods Sold:COGS- Travel Expenses:</v>
      </c>
      <c r="R163" s="7" t="str">
        <f t="array" ref="R163">IF($M163="Yes","Cost of Goods Sold:COGS- Personnel Expense:",IF($M163="No",XLOOKUP($P163,Key!$I:$I,Key!$K:$K),"Review Billable Status"))</f>
        <v>Cost of Goods Sold:COGS- Personnel Expense:</v>
      </c>
      <c r="S163" s="10" t="str">
        <f t="array" ref="S163">IF($G163="Paid Intern","PD Intern",IF($G163="Contractor/Consultant","Contractor",XLOOKUP(M163&amp;P163,Key!$M:$M,Key!$L:$L)))</f>
        <v>COR</v>
      </c>
      <c r="T163" s="5">
        <f t="shared" ref="T163:BA163" si="159">IF(OR($F163&gt;T$12,AND($G163="Terminated",T$12&gt;=$H163)),0,1)</f>
        <v>0</v>
      </c>
      <c r="U163" s="5">
        <f t="shared" si="159"/>
        <v>0</v>
      </c>
      <c r="V163" s="5">
        <f t="shared" si="159"/>
        <v>0</v>
      </c>
      <c r="W163" s="5">
        <f t="shared" si="159"/>
        <v>0</v>
      </c>
      <c r="X163" s="5">
        <f t="shared" si="159"/>
        <v>0</v>
      </c>
      <c r="Y163" s="5">
        <f t="shared" si="159"/>
        <v>0</v>
      </c>
      <c r="Z163" s="5">
        <f t="shared" si="159"/>
        <v>0</v>
      </c>
      <c r="AA163" s="5">
        <f t="shared" si="159"/>
        <v>0</v>
      </c>
      <c r="AB163" s="5">
        <f t="shared" si="159"/>
        <v>0</v>
      </c>
      <c r="AC163" s="5">
        <f t="shared" si="159"/>
        <v>0</v>
      </c>
      <c r="AD163" s="5">
        <f t="shared" si="159"/>
        <v>0</v>
      </c>
      <c r="AE163" s="5">
        <f t="shared" si="159"/>
        <v>0</v>
      </c>
      <c r="AF163" s="5">
        <f t="shared" si="159"/>
        <v>0</v>
      </c>
      <c r="AG163" s="5">
        <f t="shared" si="159"/>
        <v>0</v>
      </c>
      <c r="AH163" s="5">
        <f t="shared" si="159"/>
        <v>0</v>
      </c>
      <c r="AI163" s="5">
        <f t="shared" si="159"/>
        <v>0</v>
      </c>
      <c r="AJ163" s="5">
        <f t="shared" si="159"/>
        <v>0</v>
      </c>
      <c r="AK163" s="5">
        <f t="shared" si="159"/>
        <v>0</v>
      </c>
      <c r="AL163" s="5">
        <f t="shared" si="159"/>
        <v>0</v>
      </c>
      <c r="AM163" s="5">
        <f t="shared" si="159"/>
        <v>0</v>
      </c>
      <c r="AN163" s="5">
        <f t="shared" si="159"/>
        <v>0</v>
      </c>
      <c r="AO163" s="5">
        <f t="shared" si="159"/>
        <v>0</v>
      </c>
      <c r="AP163" s="5">
        <f t="shared" si="159"/>
        <v>0</v>
      </c>
      <c r="AQ163" s="5">
        <f t="shared" si="159"/>
        <v>0</v>
      </c>
      <c r="AR163" s="5">
        <f t="shared" si="159"/>
        <v>1</v>
      </c>
      <c r="AS163" s="5">
        <f t="shared" si="159"/>
        <v>1</v>
      </c>
      <c r="AT163" s="5">
        <f t="shared" si="159"/>
        <v>1</v>
      </c>
      <c r="AU163" s="5">
        <f t="shared" si="159"/>
        <v>1</v>
      </c>
      <c r="AV163" s="5">
        <f t="shared" si="159"/>
        <v>1</v>
      </c>
      <c r="AW163" s="5">
        <f t="shared" si="159"/>
        <v>1</v>
      </c>
      <c r="AX163" s="5">
        <f t="shared" si="159"/>
        <v>1</v>
      </c>
      <c r="AY163" s="5">
        <f t="shared" si="159"/>
        <v>1</v>
      </c>
      <c r="AZ163" s="5">
        <f t="shared" si="159"/>
        <v>1</v>
      </c>
      <c r="BA163" s="5">
        <f t="shared" si="159"/>
        <v>1</v>
      </c>
      <c r="BB163" s="8"/>
      <c r="BC163" s="8"/>
      <c r="BD163" s="8"/>
      <c r="BE163" s="8"/>
      <c r="BF163" s="8"/>
      <c r="BG163" s="8"/>
      <c r="BH163" s="8"/>
      <c r="BI163" s="8"/>
    </row>
    <row r="164" ht="12.75" customHeight="1">
      <c r="A164" s="4">
        <v>260.0</v>
      </c>
      <c r="B164" s="5" t="s">
        <v>574</v>
      </c>
      <c r="C164" s="5" t="s">
        <v>575</v>
      </c>
      <c r="D164" s="5" t="s">
        <v>576</v>
      </c>
      <c r="E164" s="5" t="s">
        <v>22</v>
      </c>
      <c r="F164" s="6">
        <v>46097.0</v>
      </c>
      <c r="G164" s="5" t="s">
        <v>23</v>
      </c>
      <c r="H164" s="6">
        <v>46097.0</v>
      </c>
      <c r="I164" s="5" t="s">
        <v>34</v>
      </c>
      <c r="J164" s="5" t="s">
        <v>35</v>
      </c>
      <c r="K164" s="5" t="s">
        <v>36</v>
      </c>
      <c r="L164" s="5" t="s">
        <v>153</v>
      </c>
      <c r="M164" s="5" t="s">
        <v>39</v>
      </c>
      <c r="N164" s="5" t="s">
        <v>85</v>
      </c>
      <c r="O164" s="5" t="s">
        <v>320</v>
      </c>
      <c r="P164" s="7" t="s">
        <v>38</v>
      </c>
      <c r="Q164" s="7" t="str">
        <f t="array" ref="Q164">IF($M164="Yes","Cost of Goods Sold:COGS- Travel Expenses:",IF($M164="No",XLOOKUP($P164,Key!$I:$I,Key!$J:$J),"Review Billable Status"))</f>
        <v>Cost of Goods Sold:COGS- Travel Expenses:</v>
      </c>
      <c r="R164" s="7" t="str">
        <f t="array" ref="R164">IF($M164="Yes","Cost of Goods Sold:COGS- Personnel Expense:",IF($M164="No",XLOOKUP($P164,Key!$I:$I,Key!$K:$K),"Review Billable Status"))</f>
        <v>Cost of Goods Sold:COGS- Personnel Expense:</v>
      </c>
      <c r="S164" s="10" t="str">
        <f t="array" ref="S164">IF($G164="Paid Intern","PD Intern",IF($G164="Contractor/Consultant","Contractor",XLOOKUP(M164&amp;P164,Key!$M:$M,Key!$L:$L)))</f>
        <v>COR</v>
      </c>
      <c r="T164" s="5">
        <f t="shared" ref="T164:BA164" si="160">IF(OR($F164&gt;T$12,AND($G164="Terminated",T$12&gt;=$H164)),0,1)</f>
        <v>0</v>
      </c>
      <c r="U164" s="5">
        <f t="shared" si="160"/>
        <v>0</v>
      </c>
      <c r="V164" s="5">
        <f t="shared" si="160"/>
        <v>0</v>
      </c>
      <c r="W164" s="5">
        <f t="shared" si="160"/>
        <v>0</v>
      </c>
      <c r="X164" s="5">
        <f t="shared" si="160"/>
        <v>0</v>
      </c>
      <c r="Y164" s="5">
        <f t="shared" si="160"/>
        <v>0</v>
      </c>
      <c r="Z164" s="5">
        <f t="shared" si="160"/>
        <v>0</v>
      </c>
      <c r="AA164" s="5">
        <f t="shared" si="160"/>
        <v>0</v>
      </c>
      <c r="AB164" s="5">
        <f t="shared" si="160"/>
        <v>0</v>
      </c>
      <c r="AC164" s="5">
        <f t="shared" si="160"/>
        <v>0</v>
      </c>
      <c r="AD164" s="5">
        <f t="shared" si="160"/>
        <v>0</v>
      </c>
      <c r="AE164" s="5">
        <f t="shared" si="160"/>
        <v>0</v>
      </c>
      <c r="AF164" s="5">
        <f t="shared" si="160"/>
        <v>0</v>
      </c>
      <c r="AG164" s="5">
        <f t="shared" si="160"/>
        <v>0</v>
      </c>
      <c r="AH164" s="5">
        <f t="shared" si="160"/>
        <v>0</v>
      </c>
      <c r="AI164" s="5">
        <f t="shared" si="160"/>
        <v>0</v>
      </c>
      <c r="AJ164" s="5">
        <f t="shared" si="160"/>
        <v>0</v>
      </c>
      <c r="AK164" s="5">
        <f t="shared" si="160"/>
        <v>0</v>
      </c>
      <c r="AL164" s="5">
        <f t="shared" si="160"/>
        <v>0</v>
      </c>
      <c r="AM164" s="5">
        <f t="shared" si="160"/>
        <v>0</v>
      </c>
      <c r="AN164" s="5">
        <f t="shared" si="160"/>
        <v>0</v>
      </c>
      <c r="AO164" s="5">
        <f t="shared" si="160"/>
        <v>0</v>
      </c>
      <c r="AP164" s="5">
        <f t="shared" si="160"/>
        <v>0</v>
      </c>
      <c r="AQ164" s="5">
        <f t="shared" si="160"/>
        <v>0</v>
      </c>
      <c r="AR164" s="5">
        <f t="shared" si="160"/>
        <v>1</v>
      </c>
      <c r="AS164" s="5">
        <f t="shared" si="160"/>
        <v>1</v>
      </c>
      <c r="AT164" s="5">
        <f t="shared" si="160"/>
        <v>1</v>
      </c>
      <c r="AU164" s="5">
        <f t="shared" si="160"/>
        <v>1</v>
      </c>
      <c r="AV164" s="5">
        <f t="shared" si="160"/>
        <v>1</v>
      </c>
      <c r="AW164" s="5">
        <f t="shared" si="160"/>
        <v>1</v>
      </c>
      <c r="AX164" s="5">
        <f t="shared" si="160"/>
        <v>1</v>
      </c>
      <c r="AY164" s="5">
        <f t="shared" si="160"/>
        <v>1</v>
      </c>
      <c r="AZ164" s="5">
        <f t="shared" si="160"/>
        <v>1</v>
      </c>
      <c r="BA164" s="5">
        <f t="shared" si="160"/>
        <v>1</v>
      </c>
      <c r="BB164" s="8"/>
      <c r="BC164" s="8"/>
      <c r="BD164" s="8"/>
      <c r="BE164" s="8"/>
      <c r="BF164" s="8"/>
      <c r="BG164" s="8"/>
      <c r="BH164" s="8"/>
      <c r="BI164" s="8"/>
    </row>
    <row r="165" ht="12.75" customHeight="1">
      <c r="A165" s="4">
        <v>261.0</v>
      </c>
      <c r="B165" s="5" t="s">
        <v>159</v>
      </c>
      <c r="C165" s="5" t="s">
        <v>577</v>
      </c>
      <c r="D165" s="5" t="s">
        <v>578</v>
      </c>
      <c r="E165" s="5" t="s">
        <v>22</v>
      </c>
      <c r="F165" s="6">
        <v>46091.0</v>
      </c>
      <c r="G165" s="5" t="s">
        <v>23</v>
      </c>
      <c r="H165" s="6">
        <v>46091.0</v>
      </c>
      <c r="I165" s="5" t="s">
        <v>64</v>
      </c>
      <c r="J165" s="5" t="s">
        <v>35</v>
      </c>
      <c r="K165" s="5" t="s">
        <v>107</v>
      </c>
      <c r="L165" s="5" t="s">
        <v>579</v>
      </c>
      <c r="M165" s="5" t="s">
        <v>39</v>
      </c>
      <c r="N165" s="5" t="s">
        <v>52</v>
      </c>
      <c r="O165" s="5" t="s">
        <v>580</v>
      </c>
      <c r="P165" s="7" t="s">
        <v>75</v>
      </c>
      <c r="Q165" s="7" t="str">
        <f t="array" ref="Q165">IF($M165="Yes","Cost of Goods Sold:COGS- Travel Expenses:",IF($M165="No",XLOOKUP($P165,Key!$I:$I,Key!$J:$J),"Review Billable Status"))</f>
        <v>Cost of Goods Sold:COGS- Travel Expenses:</v>
      </c>
      <c r="R165" s="7" t="str">
        <f t="array" ref="R165">IF($M165="Yes","Cost of Goods Sold:COGS- Personnel Expense:",IF($M165="No",XLOOKUP($P165,Key!$I:$I,Key!$K:$K),"Review Billable Status"))</f>
        <v>Cost of Goods Sold:COGS- Personnel Expense:</v>
      </c>
      <c r="S165" s="10" t="str">
        <f t="array" ref="S165">IF($G165="Paid Intern","PD Intern",IF($G165="Contractor/Consultant","Contractor",XLOOKUP(M165&amp;P165,Key!$M:$M,Key!$L:$L)))</f>
        <v>COR</v>
      </c>
      <c r="T165" s="5">
        <f t="shared" ref="T165:BA165" si="161">IF(OR($F165&gt;T$12,AND($G165="Terminated",T$12&gt;=$H165)),0,1)</f>
        <v>0</v>
      </c>
      <c r="U165" s="5">
        <f t="shared" si="161"/>
        <v>0</v>
      </c>
      <c r="V165" s="5">
        <f t="shared" si="161"/>
        <v>0</v>
      </c>
      <c r="W165" s="5">
        <f t="shared" si="161"/>
        <v>0</v>
      </c>
      <c r="X165" s="5">
        <f t="shared" si="161"/>
        <v>0</v>
      </c>
      <c r="Y165" s="5">
        <f t="shared" si="161"/>
        <v>0</v>
      </c>
      <c r="Z165" s="5">
        <f t="shared" si="161"/>
        <v>0</v>
      </c>
      <c r="AA165" s="5">
        <f t="shared" si="161"/>
        <v>0</v>
      </c>
      <c r="AB165" s="5">
        <f t="shared" si="161"/>
        <v>0</v>
      </c>
      <c r="AC165" s="5">
        <f t="shared" si="161"/>
        <v>0</v>
      </c>
      <c r="AD165" s="5">
        <f t="shared" si="161"/>
        <v>0</v>
      </c>
      <c r="AE165" s="5">
        <f t="shared" si="161"/>
        <v>0</v>
      </c>
      <c r="AF165" s="5">
        <f t="shared" si="161"/>
        <v>0</v>
      </c>
      <c r="AG165" s="5">
        <f t="shared" si="161"/>
        <v>0</v>
      </c>
      <c r="AH165" s="5">
        <f t="shared" si="161"/>
        <v>0</v>
      </c>
      <c r="AI165" s="5">
        <f t="shared" si="161"/>
        <v>0</v>
      </c>
      <c r="AJ165" s="5">
        <f t="shared" si="161"/>
        <v>0</v>
      </c>
      <c r="AK165" s="5">
        <f t="shared" si="161"/>
        <v>0</v>
      </c>
      <c r="AL165" s="5">
        <f t="shared" si="161"/>
        <v>0</v>
      </c>
      <c r="AM165" s="5">
        <f t="shared" si="161"/>
        <v>0</v>
      </c>
      <c r="AN165" s="5">
        <f t="shared" si="161"/>
        <v>0</v>
      </c>
      <c r="AO165" s="5">
        <f t="shared" si="161"/>
        <v>0</v>
      </c>
      <c r="AP165" s="5">
        <f t="shared" si="161"/>
        <v>0</v>
      </c>
      <c r="AQ165" s="5">
        <f t="shared" si="161"/>
        <v>0</v>
      </c>
      <c r="AR165" s="5">
        <f t="shared" si="161"/>
        <v>1</v>
      </c>
      <c r="AS165" s="5">
        <f t="shared" si="161"/>
        <v>1</v>
      </c>
      <c r="AT165" s="5">
        <f t="shared" si="161"/>
        <v>1</v>
      </c>
      <c r="AU165" s="5">
        <f t="shared" si="161"/>
        <v>1</v>
      </c>
      <c r="AV165" s="5">
        <f t="shared" si="161"/>
        <v>1</v>
      </c>
      <c r="AW165" s="5">
        <f t="shared" si="161"/>
        <v>1</v>
      </c>
      <c r="AX165" s="5">
        <f t="shared" si="161"/>
        <v>1</v>
      </c>
      <c r="AY165" s="5">
        <f t="shared" si="161"/>
        <v>1</v>
      </c>
      <c r="AZ165" s="5">
        <f t="shared" si="161"/>
        <v>1</v>
      </c>
      <c r="BA165" s="5">
        <f t="shared" si="161"/>
        <v>1</v>
      </c>
      <c r="BB165" s="8"/>
      <c r="BC165" s="8"/>
      <c r="BD165" s="8"/>
      <c r="BE165" s="8"/>
      <c r="BF165" s="8"/>
      <c r="BG165" s="8"/>
      <c r="BH165" s="8"/>
      <c r="BI165" s="8"/>
    </row>
    <row r="166" ht="12.75" customHeight="1">
      <c r="A166" s="4">
        <v>262.0</v>
      </c>
      <c r="B166" s="5" t="s">
        <v>581</v>
      </c>
      <c r="C166" s="5" t="s">
        <v>582</v>
      </c>
      <c r="D166" s="5" t="s">
        <v>583</v>
      </c>
      <c r="E166" s="5" t="s">
        <v>22</v>
      </c>
      <c r="F166" s="6">
        <v>46076.0</v>
      </c>
      <c r="G166" s="5" t="s">
        <v>23</v>
      </c>
      <c r="H166" s="6">
        <v>46076.0</v>
      </c>
      <c r="I166" s="5" t="s">
        <v>64</v>
      </c>
      <c r="J166" s="5" t="s">
        <v>35</v>
      </c>
      <c r="K166" s="5" t="s">
        <v>25</v>
      </c>
      <c r="L166" s="5" t="s">
        <v>579</v>
      </c>
      <c r="M166" s="5" t="s">
        <v>39</v>
      </c>
      <c r="N166" s="5" t="s">
        <v>52</v>
      </c>
      <c r="O166" s="5" t="s">
        <v>30</v>
      </c>
      <c r="P166" s="7" t="s">
        <v>75</v>
      </c>
      <c r="Q166" s="7" t="str">
        <f t="array" ref="Q166">IF($M166="Yes","Cost of Goods Sold:COGS- Travel Expenses:",IF($M166="No",XLOOKUP($P166,Key!$I:$I,Key!$J:$J),"Review Billable Status"))</f>
        <v>Cost of Goods Sold:COGS- Travel Expenses:</v>
      </c>
      <c r="R166" s="7" t="str">
        <f t="array" ref="R166">IF($M166="Yes","Cost of Goods Sold:COGS- Personnel Expense:",IF($M166="No",XLOOKUP($P166,Key!$I:$I,Key!$K:$K),"Review Billable Status"))</f>
        <v>Cost of Goods Sold:COGS- Personnel Expense:</v>
      </c>
      <c r="S166" s="10" t="str">
        <f t="array" ref="S166">IF($G166="Paid Intern","PD Intern",IF($G166="Contractor/Consultant","Contractor",XLOOKUP(M166&amp;P166,Key!$M:$M,Key!$L:$L)))</f>
        <v>COR</v>
      </c>
      <c r="T166" s="5">
        <f t="shared" ref="T166:BA166" si="162">IF(OR($F166&gt;T$12,AND($G166="Terminated",T$12&gt;=$H166)),0,1)</f>
        <v>0</v>
      </c>
      <c r="U166" s="5">
        <f t="shared" si="162"/>
        <v>0</v>
      </c>
      <c r="V166" s="5">
        <f t="shared" si="162"/>
        <v>0</v>
      </c>
      <c r="W166" s="5">
        <f t="shared" si="162"/>
        <v>0</v>
      </c>
      <c r="X166" s="5">
        <f t="shared" si="162"/>
        <v>0</v>
      </c>
      <c r="Y166" s="5">
        <f t="shared" si="162"/>
        <v>0</v>
      </c>
      <c r="Z166" s="5">
        <f t="shared" si="162"/>
        <v>0</v>
      </c>
      <c r="AA166" s="5">
        <f t="shared" si="162"/>
        <v>0</v>
      </c>
      <c r="AB166" s="5">
        <f t="shared" si="162"/>
        <v>0</v>
      </c>
      <c r="AC166" s="5">
        <f t="shared" si="162"/>
        <v>0</v>
      </c>
      <c r="AD166" s="5">
        <f t="shared" si="162"/>
        <v>0</v>
      </c>
      <c r="AE166" s="5">
        <f t="shared" si="162"/>
        <v>0</v>
      </c>
      <c r="AF166" s="5">
        <f t="shared" si="162"/>
        <v>0</v>
      </c>
      <c r="AG166" s="5">
        <f t="shared" si="162"/>
        <v>0</v>
      </c>
      <c r="AH166" s="5">
        <f t="shared" si="162"/>
        <v>0</v>
      </c>
      <c r="AI166" s="5">
        <f t="shared" si="162"/>
        <v>0</v>
      </c>
      <c r="AJ166" s="5">
        <f t="shared" si="162"/>
        <v>0</v>
      </c>
      <c r="AK166" s="5">
        <f t="shared" si="162"/>
        <v>0</v>
      </c>
      <c r="AL166" s="5">
        <f t="shared" si="162"/>
        <v>0</v>
      </c>
      <c r="AM166" s="5">
        <f t="shared" si="162"/>
        <v>0</v>
      </c>
      <c r="AN166" s="5">
        <f t="shared" si="162"/>
        <v>0</v>
      </c>
      <c r="AO166" s="5">
        <f t="shared" si="162"/>
        <v>0</v>
      </c>
      <c r="AP166" s="5">
        <f t="shared" si="162"/>
        <v>0</v>
      </c>
      <c r="AQ166" s="5">
        <f t="shared" si="162"/>
        <v>1</v>
      </c>
      <c r="AR166" s="5">
        <f t="shared" si="162"/>
        <v>1</v>
      </c>
      <c r="AS166" s="5">
        <f t="shared" si="162"/>
        <v>1</v>
      </c>
      <c r="AT166" s="5">
        <f t="shared" si="162"/>
        <v>1</v>
      </c>
      <c r="AU166" s="5">
        <f t="shared" si="162"/>
        <v>1</v>
      </c>
      <c r="AV166" s="5">
        <f t="shared" si="162"/>
        <v>1</v>
      </c>
      <c r="AW166" s="5">
        <f t="shared" si="162"/>
        <v>1</v>
      </c>
      <c r="AX166" s="5">
        <f t="shared" si="162"/>
        <v>1</v>
      </c>
      <c r="AY166" s="5">
        <f t="shared" si="162"/>
        <v>1</v>
      </c>
      <c r="AZ166" s="5">
        <f t="shared" si="162"/>
        <v>1</v>
      </c>
      <c r="BA166" s="5">
        <f t="shared" si="162"/>
        <v>1</v>
      </c>
      <c r="BB166" s="8"/>
      <c r="BC166" s="8"/>
      <c r="BD166" s="8"/>
      <c r="BE166" s="8"/>
      <c r="BF166" s="8"/>
      <c r="BG166" s="8"/>
      <c r="BH166" s="8"/>
      <c r="BI166" s="8"/>
    </row>
    <row r="167" ht="12.75" customHeight="1">
      <c r="A167" s="4">
        <v>263.0</v>
      </c>
      <c r="B167" s="5" t="s">
        <v>584</v>
      </c>
      <c r="C167" s="5" t="s">
        <v>101</v>
      </c>
      <c r="D167" s="5" t="s">
        <v>585</v>
      </c>
      <c r="E167" s="5" t="s">
        <v>22</v>
      </c>
      <c r="F167" s="6">
        <v>46083.0</v>
      </c>
      <c r="G167" s="5" t="s">
        <v>23</v>
      </c>
      <c r="H167" s="6">
        <v>46083.0</v>
      </c>
      <c r="I167" s="5" t="s">
        <v>64</v>
      </c>
      <c r="J167" s="5" t="s">
        <v>35</v>
      </c>
      <c r="K167" s="5" t="s">
        <v>25</v>
      </c>
      <c r="L167" s="5" t="s">
        <v>586</v>
      </c>
      <c r="M167" s="5" t="s">
        <v>39</v>
      </c>
      <c r="N167" s="5" t="s">
        <v>52</v>
      </c>
      <c r="O167" s="5" t="s">
        <v>30</v>
      </c>
      <c r="P167" s="7" t="s">
        <v>75</v>
      </c>
      <c r="Q167" s="7" t="str">
        <f t="array" ref="Q167">IF($M167="Yes","Cost of Goods Sold:COGS- Travel Expenses:",IF($M167="No",XLOOKUP($P167,Key!$I:$I,Key!$J:$J),"Review Billable Status"))</f>
        <v>Cost of Goods Sold:COGS- Travel Expenses:</v>
      </c>
      <c r="R167" s="7" t="str">
        <f t="array" ref="R167">IF($M167="Yes","Cost of Goods Sold:COGS- Personnel Expense:",IF($M167="No",XLOOKUP($P167,Key!$I:$I,Key!$K:$K),"Review Billable Status"))</f>
        <v>Cost of Goods Sold:COGS- Personnel Expense:</v>
      </c>
      <c r="S167" s="10" t="str">
        <f t="array" ref="S167">IF($G167="Paid Intern","PD Intern",IF($G167="Contractor/Consultant","Contractor",XLOOKUP(M167&amp;P167,Key!$M:$M,Key!$L:$L)))</f>
        <v>COR</v>
      </c>
      <c r="T167" s="5">
        <f t="shared" ref="T167:BA167" si="163">IF(OR($F167&gt;T$12,AND($G167="Terminated",T$12&gt;=$H167)),0,1)</f>
        <v>0</v>
      </c>
      <c r="U167" s="5">
        <f t="shared" si="163"/>
        <v>0</v>
      </c>
      <c r="V167" s="5">
        <f t="shared" si="163"/>
        <v>0</v>
      </c>
      <c r="W167" s="5">
        <f t="shared" si="163"/>
        <v>0</v>
      </c>
      <c r="X167" s="5">
        <f t="shared" si="163"/>
        <v>0</v>
      </c>
      <c r="Y167" s="5">
        <f t="shared" si="163"/>
        <v>0</v>
      </c>
      <c r="Z167" s="5">
        <f t="shared" si="163"/>
        <v>0</v>
      </c>
      <c r="AA167" s="5">
        <f t="shared" si="163"/>
        <v>0</v>
      </c>
      <c r="AB167" s="5">
        <f t="shared" si="163"/>
        <v>0</v>
      </c>
      <c r="AC167" s="5">
        <f t="shared" si="163"/>
        <v>0</v>
      </c>
      <c r="AD167" s="5">
        <f t="shared" si="163"/>
        <v>0</v>
      </c>
      <c r="AE167" s="5">
        <f t="shared" si="163"/>
        <v>0</v>
      </c>
      <c r="AF167" s="5">
        <f t="shared" si="163"/>
        <v>0</v>
      </c>
      <c r="AG167" s="5">
        <f t="shared" si="163"/>
        <v>0</v>
      </c>
      <c r="AH167" s="5">
        <f t="shared" si="163"/>
        <v>0</v>
      </c>
      <c r="AI167" s="5">
        <f t="shared" si="163"/>
        <v>0</v>
      </c>
      <c r="AJ167" s="5">
        <f t="shared" si="163"/>
        <v>0</v>
      </c>
      <c r="AK167" s="5">
        <f t="shared" si="163"/>
        <v>0</v>
      </c>
      <c r="AL167" s="5">
        <f t="shared" si="163"/>
        <v>0</v>
      </c>
      <c r="AM167" s="5">
        <f t="shared" si="163"/>
        <v>0</v>
      </c>
      <c r="AN167" s="5">
        <f t="shared" si="163"/>
        <v>0</v>
      </c>
      <c r="AO167" s="5">
        <f t="shared" si="163"/>
        <v>0</v>
      </c>
      <c r="AP167" s="5">
        <f t="shared" si="163"/>
        <v>0</v>
      </c>
      <c r="AQ167" s="5">
        <f t="shared" si="163"/>
        <v>0</v>
      </c>
      <c r="AR167" s="5">
        <f t="shared" si="163"/>
        <v>1</v>
      </c>
      <c r="AS167" s="5">
        <f t="shared" si="163"/>
        <v>1</v>
      </c>
      <c r="AT167" s="5">
        <f t="shared" si="163"/>
        <v>1</v>
      </c>
      <c r="AU167" s="5">
        <f t="shared" si="163"/>
        <v>1</v>
      </c>
      <c r="AV167" s="5">
        <f t="shared" si="163"/>
        <v>1</v>
      </c>
      <c r="AW167" s="5">
        <f t="shared" si="163"/>
        <v>1</v>
      </c>
      <c r="AX167" s="5">
        <f t="shared" si="163"/>
        <v>1</v>
      </c>
      <c r="AY167" s="5">
        <f t="shared" si="163"/>
        <v>1</v>
      </c>
      <c r="AZ167" s="5">
        <f t="shared" si="163"/>
        <v>1</v>
      </c>
      <c r="BA167" s="5">
        <f t="shared" si="163"/>
        <v>1</v>
      </c>
      <c r="BB167" s="8"/>
      <c r="BC167" s="8"/>
      <c r="BD167" s="8"/>
      <c r="BE167" s="8"/>
      <c r="BF167" s="8"/>
      <c r="BG167" s="8"/>
      <c r="BH167" s="8"/>
      <c r="BI167" s="8"/>
    </row>
    <row r="168" ht="12.75" customHeight="1">
      <c r="A168" s="4">
        <v>264.0</v>
      </c>
      <c r="B168" s="5" t="s">
        <v>587</v>
      </c>
      <c r="C168" s="5" t="s">
        <v>588</v>
      </c>
      <c r="D168" s="5" t="s">
        <v>589</v>
      </c>
      <c r="E168" s="5" t="s">
        <v>22</v>
      </c>
      <c r="F168" s="6">
        <v>46132.0</v>
      </c>
      <c r="G168" s="5" t="s">
        <v>23</v>
      </c>
      <c r="H168" s="6">
        <v>46132.0</v>
      </c>
      <c r="I168" s="5" t="s">
        <v>64</v>
      </c>
      <c r="J168" s="5" t="s">
        <v>45</v>
      </c>
      <c r="K168" s="5" t="s">
        <v>36</v>
      </c>
      <c r="L168" s="5" t="s">
        <v>140</v>
      </c>
      <c r="M168" s="5" t="s">
        <v>28</v>
      </c>
      <c r="N168" s="5" t="s">
        <v>52</v>
      </c>
      <c r="O168" s="5" t="s">
        <v>345</v>
      </c>
      <c r="P168" s="7" t="s">
        <v>66</v>
      </c>
      <c r="Q168" s="7" t="str">
        <f t="array" ref="Q168">IF($M168="Yes","Cost of Goods Sold:COGS- Travel Expenses:",IF($M168="No",XLOOKUP($P168,Key!$I:$I,Key!$J:$J),"Review Billable Status"))</f>
        <v>Sales &amp; Marketing:Sales &amp; Marketing- Travel Expenses:</v>
      </c>
      <c r="R168" s="7" t="str">
        <f t="array" ref="R168">IF($M168="Yes","Cost of Goods Sold:COGS- Personnel Expense:",IF($M168="No",XLOOKUP($P168,Key!$I:$I,Key!$K:$K),"Review Billable Status"))</f>
        <v>Sales &amp; Marketing:Sales &amp; Marketing- Personnel Expenses:</v>
      </c>
      <c r="S168" s="10" t="str">
        <f t="array" ref="S168">IF($G168="Paid Intern","PD Intern",IF($G168="Contractor/Consultant","Contractor",XLOOKUP(M168&amp;P168,Key!$M:$M,Key!$L:$L)))</f>
        <v>S&amp;M</v>
      </c>
      <c r="T168" s="5">
        <f t="shared" ref="T168:BA168" si="164">IF(OR($F168&gt;T$12,AND($G168="Terminated",T$12&gt;=$H168)),0,1)</f>
        <v>0</v>
      </c>
      <c r="U168" s="5">
        <f t="shared" si="164"/>
        <v>0</v>
      </c>
      <c r="V168" s="5">
        <f t="shared" si="164"/>
        <v>0</v>
      </c>
      <c r="W168" s="5">
        <f t="shared" si="164"/>
        <v>0</v>
      </c>
      <c r="X168" s="5">
        <f t="shared" si="164"/>
        <v>0</v>
      </c>
      <c r="Y168" s="5">
        <f t="shared" si="164"/>
        <v>0</v>
      </c>
      <c r="Z168" s="5">
        <f t="shared" si="164"/>
        <v>0</v>
      </c>
      <c r="AA168" s="5">
        <f t="shared" si="164"/>
        <v>0</v>
      </c>
      <c r="AB168" s="5">
        <f t="shared" si="164"/>
        <v>0</v>
      </c>
      <c r="AC168" s="5">
        <f t="shared" si="164"/>
        <v>0</v>
      </c>
      <c r="AD168" s="5">
        <f t="shared" si="164"/>
        <v>0</v>
      </c>
      <c r="AE168" s="5">
        <f t="shared" si="164"/>
        <v>0</v>
      </c>
      <c r="AF168" s="5">
        <f t="shared" si="164"/>
        <v>0</v>
      </c>
      <c r="AG168" s="5">
        <f t="shared" si="164"/>
        <v>0</v>
      </c>
      <c r="AH168" s="5">
        <f t="shared" si="164"/>
        <v>0</v>
      </c>
      <c r="AI168" s="5">
        <f t="shared" si="164"/>
        <v>0</v>
      </c>
      <c r="AJ168" s="5">
        <f t="shared" si="164"/>
        <v>0</v>
      </c>
      <c r="AK168" s="5">
        <f t="shared" si="164"/>
        <v>0</v>
      </c>
      <c r="AL168" s="5">
        <f t="shared" si="164"/>
        <v>0</v>
      </c>
      <c r="AM168" s="5">
        <f t="shared" si="164"/>
        <v>0</v>
      </c>
      <c r="AN168" s="5">
        <f t="shared" si="164"/>
        <v>0</v>
      </c>
      <c r="AO168" s="5">
        <f t="shared" si="164"/>
        <v>0</v>
      </c>
      <c r="AP168" s="5">
        <f t="shared" si="164"/>
        <v>0</v>
      </c>
      <c r="AQ168" s="5">
        <f t="shared" si="164"/>
        <v>0</v>
      </c>
      <c r="AR168" s="5">
        <f t="shared" si="164"/>
        <v>0</v>
      </c>
      <c r="AS168" s="5">
        <f t="shared" si="164"/>
        <v>1</v>
      </c>
      <c r="AT168" s="5">
        <f t="shared" si="164"/>
        <v>1</v>
      </c>
      <c r="AU168" s="5">
        <f t="shared" si="164"/>
        <v>1</v>
      </c>
      <c r="AV168" s="5">
        <f t="shared" si="164"/>
        <v>1</v>
      </c>
      <c r="AW168" s="5">
        <f t="shared" si="164"/>
        <v>1</v>
      </c>
      <c r="AX168" s="5">
        <f t="shared" si="164"/>
        <v>1</v>
      </c>
      <c r="AY168" s="5">
        <f t="shared" si="164"/>
        <v>1</v>
      </c>
      <c r="AZ168" s="5">
        <f t="shared" si="164"/>
        <v>1</v>
      </c>
      <c r="BA168" s="5">
        <f t="shared" si="164"/>
        <v>1</v>
      </c>
      <c r="BB168" s="8"/>
      <c r="BC168" s="8"/>
      <c r="BD168" s="8"/>
      <c r="BE168" s="8"/>
      <c r="BF168" s="8"/>
      <c r="BG168" s="8"/>
      <c r="BH168" s="8"/>
      <c r="BI168" s="8"/>
    </row>
    <row r="169" ht="12.75" customHeight="1">
      <c r="A169" s="4">
        <v>266.0</v>
      </c>
      <c r="B169" s="5" t="s">
        <v>590</v>
      </c>
      <c r="C169" s="5" t="s">
        <v>591</v>
      </c>
      <c r="D169" s="5" t="s">
        <v>592</v>
      </c>
      <c r="E169" s="5" t="s">
        <v>112</v>
      </c>
      <c r="F169" s="6">
        <v>46168.0</v>
      </c>
      <c r="G169" s="5" t="s">
        <v>377</v>
      </c>
      <c r="H169" s="6">
        <v>46168.0</v>
      </c>
      <c r="I169" s="5" t="s">
        <v>34</v>
      </c>
      <c r="J169" s="5" t="s">
        <v>130</v>
      </c>
      <c r="K169" s="5" t="s">
        <v>25</v>
      </c>
      <c r="L169" s="5" t="s">
        <v>593</v>
      </c>
      <c r="M169" s="5" t="s">
        <v>28</v>
      </c>
      <c r="N169" s="5" t="s">
        <v>379</v>
      </c>
      <c r="O169" s="5" t="s">
        <v>30</v>
      </c>
      <c r="P169" s="7" t="s">
        <v>132</v>
      </c>
      <c r="Q169" s="7" t="str">
        <f t="array" ref="Q169">IF($M169="Yes","Cost of Goods Sold:COGS- Travel Expenses:",IF($M169="No",XLOOKUP($P169,Key!$I:$I,Key!$J:$J),"Review Billable Status"))</f>
        <v>General &amp; Administrative:G&amp;A- Travel Expenses:</v>
      </c>
      <c r="R169" s="7" t="str">
        <f t="array" ref="R169">IF($M169="Yes","Cost of Goods Sold:COGS- Personnel Expense:",IF($M169="No",XLOOKUP($P169,Key!$I:$I,Key!$K:$K),"Review Billable Status"))</f>
        <v>General &amp; Administrative:G&amp;A- Personnel Expenses:</v>
      </c>
      <c r="S169" s="10" t="str">
        <f t="array" ref="S169">IF($G169="Paid Intern","PD Intern",IF($G169="Contractor/Consultant","Contractor",XLOOKUP(M169&amp;P169,Key!$M:$M,Key!$L:$L)))</f>
        <v>PD Intern</v>
      </c>
      <c r="T169" s="5">
        <f t="shared" ref="T169:BA169" si="165">IF(OR($F169&gt;T$12,AND($G169="Terminated",T$12&gt;=$H169)),0,1)</f>
        <v>0</v>
      </c>
      <c r="U169" s="5">
        <f t="shared" si="165"/>
        <v>0</v>
      </c>
      <c r="V169" s="5">
        <f t="shared" si="165"/>
        <v>0</v>
      </c>
      <c r="W169" s="5">
        <f t="shared" si="165"/>
        <v>0</v>
      </c>
      <c r="X169" s="5">
        <f t="shared" si="165"/>
        <v>0</v>
      </c>
      <c r="Y169" s="5">
        <f t="shared" si="165"/>
        <v>0</v>
      </c>
      <c r="Z169" s="5">
        <f t="shared" si="165"/>
        <v>0</v>
      </c>
      <c r="AA169" s="5">
        <f t="shared" si="165"/>
        <v>0</v>
      </c>
      <c r="AB169" s="5">
        <f t="shared" si="165"/>
        <v>0</v>
      </c>
      <c r="AC169" s="5">
        <f t="shared" si="165"/>
        <v>0</v>
      </c>
      <c r="AD169" s="5">
        <f t="shared" si="165"/>
        <v>0</v>
      </c>
      <c r="AE169" s="5">
        <f t="shared" si="165"/>
        <v>0</v>
      </c>
      <c r="AF169" s="5">
        <f t="shared" si="165"/>
        <v>0</v>
      </c>
      <c r="AG169" s="5">
        <f t="shared" si="165"/>
        <v>0</v>
      </c>
      <c r="AH169" s="5">
        <f t="shared" si="165"/>
        <v>0</v>
      </c>
      <c r="AI169" s="5">
        <f t="shared" si="165"/>
        <v>0</v>
      </c>
      <c r="AJ169" s="5">
        <f t="shared" si="165"/>
        <v>0</v>
      </c>
      <c r="AK169" s="5">
        <f t="shared" si="165"/>
        <v>0</v>
      </c>
      <c r="AL169" s="5">
        <f t="shared" si="165"/>
        <v>0</v>
      </c>
      <c r="AM169" s="5">
        <f t="shared" si="165"/>
        <v>0</v>
      </c>
      <c r="AN169" s="5">
        <f t="shared" si="165"/>
        <v>0</v>
      </c>
      <c r="AO169" s="5">
        <f t="shared" si="165"/>
        <v>0</v>
      </c>
      <c r="AP169" s="5">
        <f t="shared" si="165"/>
        <v>0</v>
      </c>
      <c r="AQ169" s="5">
        <f t="shared" si="165"/>
        <v>0</v>
      </c>
      <c r="AR169" s="5">
        <f t="shared" si="165"/>
        <v>0</v>
      </c>
      <c r="AS169" s="5">
        <f t="shared" si="165"/>
        <v>0</v>
      </c>
      <c r="AT169" s="5">
        <f t="shared" si="165"/>
        <v>1</v>
      </c>
      <c r="AU169" s="5">
        <f t="shared" si="165"/>
        <v>1</v>
      </c>
      <c r="AV169" s="5">
        <f t="shared" si="165"/>
        <v>1</v>
      </c>
      <c r="AW169" s="5">
        <f t="shared" si="165"/>
        <v>1</v>
      </c>
      <c r="AX169" s="5">
        <f t="shared" si="165"/>
        <v>1</v>
      </c>
      <c r="AY169" s="5">
        <f t="shared" si="165"/>
        <v>1</v>
      </c>
      <c r="AZ169" s="5">
        <f t="shared" si="165"/>
        <v>1</v>
      </c>
      <c r="BA169" s="5">
        <f t="shared" si="165"/>
        <v>1</v>
      </c>
      <c r="BB169" s="8"/>
      <c r="BC169" s="8"/>
      <c r="BD169" s="8"/>
      <c r="BE169" s="8"/>
      <c r="BF169" s="8"/>
      <c r="BG169" s="8"/>
      <c r="BH169" s="8"/>
      <c r="BI169" s="8"/>
    </row>
    <row r="170" ht="12.75" customHeight="1">
      <c r="A170" s="4">
        <v>268.0</v>
      </c>
      <c r="B170" s="5" t="s">
        <v>594</v>
      </c>
      <c r="C170" s="5" t="s">
        <v>595</v>
      </c>
      <c r="D170" s="5" t="s">
        <v>596</v>
      </c>
      <c r="E170" s="5" t="s">
        <v>112</v>
      </c>
      <c r="F170" s="6">
        <v>46105.0</v>
      </c>
      <c r="G170" s="5" t="s">
        <v>377</v>
      </c>
      <c r="H170" s="6">
        <v>46105.0</v>
      </c>
      <c r="I170" s="5" t="s">
        <v>24</v>
      </c>
      <c r="J170" s="5" t="s">
        <v>170</v>
      </c>
      <c r="K170" s="5" t="s">
        <v>25</v>
      </c>
      <c r="L170" s="5" t="s">
        <v>597</v>
      </c>
      <c r="M170" s="5" t="s">
        <v>28</v>
      </c>
      <c r="N170" s="5" t="s">
        <v>379</v>
      </c>
      <c r="O170" s="5" t="s">
        <v>30</v>
      </c>
      <c r="P170" s="7" t="s">
        <v>199</v>
      </c>
      <c r="Q170" s="7" t="str">
        <f t="array" ref="Q170">IF($M170="Yes","Cost of Goods Sold:COGS- Travel Expenses:",IF($M170="No",XLOOKUP($P170,Key!$I:$I,Key!$J:$J),"Review Billable Status"))</f>
        <v>General &amp; Administrative:G&amp;A- Travel Expenses:</v>
      </c>
      <c r="R170" s="7" t="str">
        <f t="array" ref="R170">IF($M170="Yes","Cost of Goods Sold:COGS- Personnel Expense:",IF($M170="No",XLOOKUP($P170,Key!$I:$I,Key!$K:$K),"Review Billable Status"))</f>
        <v>General &amp; Administrative:G&amp;A- Personnel Expenses:</v>
      </c>
      <c r="S170" s="10" t="str">
        <f t="array" ref="S170">IF($G170="Paid Intern","PD Intern",IF($G170="Contractor/Consultant","Contractor",XLOOKUP(M170&amp;P170,Key!$M:$M,Key!$L:$L)))</f>
        <v>PD Intern</v>
      </c>
      <c r="T170" s="5">
        <f t="shared" ref="T170:BA170" si="166">IF(OR($F170&gt;T$12,AND($G170="Terminated",T$12&gt;=$H170)),0,1)</f>
        <v>0</v>
      </c>
      <c r="U170" s="5">
        <f t="shared" si="166"/>
        <v>0</v>
      </c>
      <c r="V170" s="5">
        <f t="shared" si="166"/>
        <v>0</v>
      </c>
      <c r="W170" s="5">
        <f t="shared" si="166"/>
        <v>0</v>
      </c>
      <c r="X170" s="5">
        <f t="shared" si="166"/>
        <v>0</v>
      </c>
      <c r="Y170" s="5">
        <f t="shared" si="166"/>
        <v>0</v>
      </c>
      <c r="Z170" s="5">
        <f t="shared" si="166"/>
        <v>0</v>
      </c>
      <c r="AA170" s="5">
        <f t="shared" si="166"/>
        <v>0</v>
      </c>
      <c r="AB170" s="5">
        <f t="shared" si="166"/>
        <v>0</v>
      </c>
      <c r="AC170" s="5">
        <f t="shared" si="166"/>
        <v>0</v>
      </c>
      <c r="AD170" s="5">
        <f t="shared" si="166"/>
        <v>0</v>
      </c>
      <c r="AE170" s="5">
        <f t="shared" si="166"/>
        <v>0</v>
      </c>
      <c r="AF170" s="5">
        <f t="shared" si="166"/>
        <v>0</v>
      </c>
      <c r="AG170" s="5">
        <f t="shared" si="166"/>
        <v>0</v>
      </c>
      <c r="AH170" s="5">
        <f t="shared" si="166"/>
        <v>0</v>
      </c>
      <c r="AI170" s="5">
        <f t="shared" si="166"/>
        <v>0</v>
      </c>
      <c r="AJ170" s="5">
        <f t="shared" si="166"/>
        <v>0</v>
      </c>
      <c r="AK170" s="5">
        <f t="shared" si="166"/>
        <v>0</v>
      </c>
      <c r="AL170" s="5">
        <f t="shared" si="166"/>
        <v>0</v>
      </c>
      <c r="AM170" s="5">
        <f t="shared" si="166"/>
        <v>0</v>
      </c>
      <c r="AN170" s="5">
        <f t="shared" si="166"/>
        <v>0</v>
      </c>
      <c r="AO170" s="5">
        <f t="shared" si="166"/>
        <v>0</v>
      </c>
      <c r="AP170" s="5">
        <f t="shared" si="166"/>
        <v>0</v>
      </c>
      <c r="AQ170" s="5">
        <f t="shared" si="166"/>
        <v>0</v>
      </c>
      <c r="AR170" s="5">
        <f t="shared" si="166"/>
        <v>1</v>
      </c>
      <c r="AS170" s="5">
        <f t="shared" si="166"/>
        <v>1</v>
      </c>
      <c r="AT170" s="5">
        <f t="shared" si="166"/>
        <v>1</v>
      </c>
      <c r="AU170" s="5">
        <f t="shared" si="166"/>
        <v>1</v>
      </c>
      <c r="AV170" s="5">
        <f t="shared" si="166"/>
        <v>1</v>
      </c>
      <c r="AW170" s="5">
        <f t="shared" si="166"/>
        <v>1</v>
      </c>
      <c r="AX170" s="5">
        <f t="shared" si="166"/>
        <v>1</v>
      </c>
      <c r="AY170" s="5">
        <f t="shared" si="166"/>
        <v>1</v>
      </c>
      <c r="AZ170" s="5">
        <f t="shared" si="166"/>
        <v>1</v>
      </c>
      <c r="BA170" s="5">
        <f t="shared" si="166"/>
        <v>1</v>
      </c>
      <c r="BB170" s="8"/>
      <c r="BC170" s="8"/>
      <c r="BD170" s="8"/>
      <c r="BE170" s="8"/>
      <c r="BF170" s="8"/>
      <c r="BG170" s="8"/>
      <c r="BH170" s="8"/>
      <c r="BI170" s="8"/>
    </row>
    <row r="171" ht="12.75" customHeight="1">
      <c r="A171" s="4">
        <v>269.0</v>
      </c>
      <c r="B171" s="5" t="s">
        <v>598</v>
      </c>
      <c r="C171" s="5" t="s">
        <v>599</v>
      </c>
      <c r="D171" s="5" t="s">
        <v>600</v>
      </c>
      <c r="E171" s="5" t="s">
        <v>22</v>
      </c>
      <c r="F171" s="6">
        <v>46118.0</v>
      </c>
      <c r="G171" s="5" t="s">
        <v>23</v>
      </c>
      <c r="H171" s="6">
        <v>46118.0</v>
      </c>
      <c r="I171" s="5" t="s">
        <v>34</v>
      </c>
      <c r="J171" s="5" t="s">
        <v>45</v>
      </c>
      <c r="K171" s="5" t="s">
        <v>36</v>
      </c>
      <c r="L171" s="5" t="s">
        <v>140</v>
      </c>
      <c r="M171" s="5" t="s">
        <v>28</v>
      </c>
      <c r="N171" s="5" t="s">
        <v>52</v>
      </c>
      <c r="O171" s="5" t="s">
        <v>144</v>
      </c>
      <c r="P171" s="7" t="s">
        <v>47</v>
      </c>
      <c r="Q171" s="7" t="str">
        <f t="array" ref="Q171">IF($M171="Yes","Cost of Goods Sold:COGS- Travel Expenses:",IF($M171="No",XLOOKUP($P171,Key!$I:$I,Key!$J:$J),"Review Billable Status"))</f>
        <v>Sales &amp; Marketing:Sales &amp; Marketing- Travel Expenses:</v>
      </c>
      <c r="R171" s="7" t="str">
        <f t="array" ref="R171">IF($M171="Yes","Cost of Goods Sold:COGS- Personnel Expense:",IF($M171="No",XLOOKUP($P171,Key!$I:$I,Key!$K:$K),"Review Billable Status"))</f>
        <v>Sales &amp; Marketing:Sales &amp; Marketing- Personnel Expenses:</v>
      </c>
      <c r="S171" s="10" t="str">
        <f t="array" ref="S171">IF($G171="Paid Intern","PD Intern",IF($G171="Contractor/Consultant","Contractor",XLOOKUP(M171&amp;P171,Key!$M:$M,Key!$L:$L)))</f>
        <v>S&amp;M</v>
      </c>
      <c r="T171" s="5">
        <f t="shared" ref="T171:BA171" si="167">IF(OR($F171&gt;T$12,AND($G171="Terminated",T$12&gt;=$H171)),0,1)</f>
        <v>0</v>
      </c>
      <c r="U171" s="5">
        <f t="shared" si="167"/>
        <v>0</v>
      </c>
      <c r="V171" s="5">
        <f t="shared" si="167"/>
        <v>0</v>
      </c>
      <c r="W171" s="5">
        <f t="shared" si="167"/>
        <v>0</v>
      </c>
      <c r="X171" s="5">
        <f t="shared" si="167"/>
        <v>0</v>
      </c>
      <c r="Y171" s="5">
        <f t="shared" si="167"/>
        <v>0</v>
      </c>
      <c r="Z171" s="5">
        <f t="shared" si="167"/>
        <v>0</v>
      </c>
      <c r="AA171" s="5">
        <f t="shared" si="167"/>
        <v>0</v>
      </c>
      <c r="AB171" s="5">
        <f t="shared" si="167"/>
        <v>0</v>
      </c>
      <c r="AC171" s="5">
        <f t="shared" si="167"/>
        <v>0</v>
      </c>
      <c r="AD171" s="5">
        <f t="shared" si="167"/>
        <v>0</v>
      </c>
      <c r="AE171" s="5">
        <f t="shared" si="167"/>
        <v>0</v>
      </c>
      <c r="AF171" s="5">
        <f t="shared" si="167"/>
        <v>0</v>
      </c>
      <c r="AG171" s="5">
        <f t="shared" si="167"/>
        <v>0</v>
      </c>
      <c r="AH171" s="5">
        <f t="shared" si="167"/>
        <v>0</v>
      </c>
      <c r="AI171" s="5">
        <f t="shared" si="167"/>
        <v>0</v>
      </c>
      <c r="AJ171" s="5">
        <f t="shared" si="167"/>
        <v>0</v>
      </c>
      <c r="AK171" s="5">
        <f t="shared" si="167"/>
        <v>0</v>
      </c>
      <c r="AL171" s="5">
        <f t="shared" si="167"/>
        <v>0</v>
      </c>
      <c r="AM171" s="5">
        <f t="shared" si="167"/>
        <v>0</v>
      </c>
      <c r="AN171" s="5">
        <f t="shared" si="167"/>
        <v>0</v>
      </c>
      <c r="AO171" s="5">
        <f t="shared" si="167"/>
        <v>0</v>
      </c>
      <c r="AP171" s="5">
        <f t="shared" si="167"/>
        <v>0</v>
      </c>
      <c r="AQ171" s="5">
        <f t="shared" si="167"/>
        <v>0</v>
      </c>
      <c r="AR171" s="5">
        <f t="shared" si="167"/>
        <v>0</v>
      </c>
      <c r="AS171" s="5">
        <f t="shared" si="167"/>
        <v>1</v>
      </c>
      <c r="AT171" s="5">
        <f t="shared" si="167"/>
        <v>1</v>
      </c>
      <c r="AU171" s="5">
        <f t="shared" si="167"/>
        <v>1</v>
      </c>
      <c r="AV171" s="5">
        <f t="shared" si="167"/>
        <v>1</v>
      </c>
      <c r="AW171" s="5">
        <f t="shared" si="167"/>
        <v>1</v>
      </c>
      <c r="AX171" s="5">
        <f t="shared" si="167"/>
        <v>1</v>
      </c>
      <c r="AY171" s="5">
        <f t="shared" si="167"/>
        <v>1</v>
      </c>
      <c r="AZ171" s="5">
        <f t="shared" si="167"/>
        <v>1</v>
      </c>
      <c r="BA171" s="5">
        <f t="shared" si="167"/>
        <v>1</v>
      </c>
      <c r="BB171" s="8"/>
      <c r="BC171" s="8"/>
      <c r="BD171" s="8"/>
      <c r="BE171" s="8"/>
      <c r="BF171" s="8"/>
      <c r="BG171" s="8"/>
      <c r="BH171" s="8"/>
      <c r="BI171" s="8"/>
    </row>
    <row r="172" ht="12.75" customHeight="1">
      <c r="A172" s="4">
        <v>270.0</v>
      </c>
      <c r="B172" s="5" t="s">
        <v>409</v>
      </c>
      <c r="C172" s="5" t="s">
        <v>467</v>
      </c>
      <c r="D172" s="5" t="s">
        <v>601</v>
      </c>
      <c r="E172" s="5"/>
      <c r="F172" s="6">
        <v>46209.0</v>
      </c>
      <c r="G172" s="5" t="s">
        <v>23</v>
      </c>
      <c r="H172" s="6">
        <v>46209.0</v>
      </c>
      <c r="I172" s="5" t="s">
        <v>64</v>
      </c>
      <c r="J172" s="5" t="s">
        <v>45</v>
      </c>
      <c r="K172" s="5" t="s">
        <v>107</v>
      </c>
      <c r="L172" s="5" t="s">
        <v>165</v>
      </c>
      <c r="M172" s="5" t="s">
        <v>28</v>
      </c>
      <c r="N172" s="5" t="s">
        <v>59</v>
      </c>
      <c r="O172" s="5" t="s">
        <v>602</v>
      </c>
      <c r="P172" s="7" t="s">
        <v>66</v>
      </c>
      <c r="Q172" s="7" t="str">
        <f t="array" ref="Q172">IF($M172="Yes","Cost of Goods Sold:COGS- Travel Expenses:",IF($M172="No",XLOOKUP($P172,Key!$I:$I,Key!$J:$J),"Review Billable Status"))</f>
        <v>Sales &amp; Marketing:Sales &amp; Marketing- Travel Expenses:</v>
      </c>
      <c r="R172" s="7" t="str">
        <f t="array" ref="R172">IF($M172="Yes","Cost of Goods Sold:COGS- Personnel Expense:",IF($M172="No",XLOOKUP($P172,Key!$I:$I,Key!$K:$K),"Review Billable Status"))</f>
        <v>Sales &amp; Marketing:Sales &amp; Marketing- Personnel Expenses:</v>
      </c>
      <c r="S172" s="10" t="str">
        <f t="array" ref="S172">IF($G172="Paid Intern","PD Intern",IF($G172="Contractor/Consultant","Contractor",XLOOKUP(M172&amp;P172,Key!$M:$M,Key!$L:$L)))</f>
        <v>S&amp;M</v>
      </c>
      <c r="T172" s="5">
        <f t="shared" ref="T172:BA172" si="168">IF(OR($F172&gt;T$12,AND($G172="Terminated",T$12&gt;=$H172)),0,1)</f>
        <v>0</v>
      </c>
      <c r="U172" s="5">
        <f t="shared" si="168"/>
        <v>0</v>
      </c>
      <c r="V172" s="5">
        <f t="shared" si="168"/>
        <v>0</v>
      </c>
      <c r="W172" s="5">
        <f t="shared" si="168"/>
        <v>0</v>
      </c>
      <c r="X172" s="5">
        <f t="shared" si="168"/>
        <v>0</v>
      </c>
      <c r="Y172" s="5">
        <f t="shared" si="168"/>
        <v>0</v>
      </c>
      <c r="Z172" s="5">
        <f t="shared" si="168"/>
        <v>0</v>
      </c>
      <c r="AA172" s="5">
        <f t="shared" si="168"/>
        <v>0</v>
      </c>
      <c r="AB172" s="5">
        <f t="shared" si="168"/>
        <v>0</v>
      </c>
      <c r="AC172" s="5">
        <f t="shared" si="168"/>
        <v>0</v>
      </c>
      <c r="AD172" s="5">
        <f t="shared" si="168"/>
        <v>0</v>
      </c>
      <c r="AE172" s="5">
        <f t="shared" si="168"/>
        <v>0</v>
      </c>
      <c r="AF172" s="5">
        <f t="shared" si="168"/>
        <v>0</v>
      </c>
      <c r="AG172" s="5">
        <f t="shared" si="168"/>
        <v>0</v>
      </c>
      <c r="AH172" s="5">
        <f t="shared" si="168"/>
        <v>0</v>
      </c>
      <c r="AI172" s="5">
        <f t="shared" si="168"/>
        <v>0</v>
      </c>
      <c r="AJ172" s="5">
        <f t="shared" si="168"/>
        <v>0</v>
      </c>
      <c r="AK172" s="5">
        <f t="shared" si="168"/>
        <v>0</v>
      </c>
      <c r="AL172" s="5">
        <f t="shared" si="168"/>
        <v>0</v>
      </c>
      <c r="AM172" s="5">
        <f t="shared" si="168"/>
        <v>0</v>
      </c>
      <c r="AN172" s="5">
        <f t="shared" si="168"/>
        <v>0</v>
      </c>
      <c r="AO172" s="5">
        <f t="shared" si="168"/>
        <v>0</v>
      </c>
      <c r="AP172" s="5">
        <f t="shared" si="168"/>
        <v>0</v>
      </c>
      <c r="AQ172" s="5">
        <f t="shared" si="168"/>
        <v>0</v>
      </c>
      <c r="AR172" s="5">
        <f t="shared" si="168"/>
        <v>0</v>
      </c>
      <c r="AS172" s="5">
        <f t="shared" si="168"/>
        <v>0</v>
      </c>
      <c r="AT172" s="5">
        <f t="shared" si="168"/>
        <v>0</v>
      </c>
      <c r="AU172" s="5">
        <f t="shared" si="168"/>
        <v>0</v>
      </c>
      <c r="AV172" s="5">
        <f t="shared" si="168"/>
        <v>1</v>
      </c>
      <c r="AW172" s="5">
        <f t="shared" si="168"/>
        <v>1</v>
      </c>
      <c r="AX172" s="5">
        <f t="shared" si="168"/>
        <v>1</v>
      </c>
      <c r="AY172" s="5">
        <f t="shared" si="168"/>
        <v>1</v>
      </c>
      <c r="AZ172" s="5">
        <f t="shared" si="168"/>
        <v>1</v>
      </c>
      <c r="BA172" s="5">
        <f t="shared" si="168"/>
        <v>1</v>
      </c>
      <c r="BB172" s="8"/>
      <c r="BC172" s="8"/>
      <c r="BD172" s="8"/>
      <c r="BE172" s="8"/>
      <c r="BF172" s="8"/>
      <c r="BG172" s="8"/>
      <c r="BH172" s="8"/>
      <c r="BI172" s="8"/>
    </row>
    <row r="173" ht="12.75" customHeight="1">
      <c r="A173" s="4">
        <v>271.0</v>
      </c>
      <c r="B173" s="5" t="s">
        <v>603</v>
      </c>
      <c r="C173" s="5" t="s">
        <v>604</v>
      </c>
      <c r="D173" s="5" t="s">
        <v>605</v>
      </c>
      <c r="E173" s="5" t="s">
        <v>112</v>
      </c>
      <c r="F173" s="6">
        <v>46133.0</v>
      </c>
      <c r="G173" s="5" t="s">
        <v>23</v>
      </c>
      <c r="H173" s="6">
        <v>46133.0</v>
      </c>
      <c r="I173" s="5" t="s">
        <v>34</v>
      </c>
      <c r="J173" s="5" t="s">
        <v>130</v>
      </c>
      <c r="K173" s="5" t="s">
        <v>25</v>
      </c>
      <c r="L173" s="5" t="s">
        <v>606</v>
      </c>
      <c r="M173" s="5" t="s">
        <v>39</v>
      </c>
      <c r="N173" s="5" t="s">
        <v>59</v>
      </c>
      <c r="O173" s="5" t="s">
        <v>30</v>
      </c>
      <c r="P173" s="7" t="s">
        <v>132</v>
      </c>
      <c r="Q173" s="7" t="str">
        <f t="array" ref="Q173">IF($M173="Yes","Cost of Goods Sold:COGS- Travel Expenses:",IF($M173="No",XLOOKUP($P173,Key!$I:$I,Key!$J:$J),"Review Billable Status"))</f>
        <v>Cost of Goods Sold:COGS- Travel Expenses:</v>
      </c>
      <c r="R173" s="7" t="str">
        <f t="array" ref="R173">IF($M173="Yes","Cost of Goods Sold:COGS- Personnel Expense:",IF($M173="No",XLOOKUP($P173,Key!$I:$I,Key!$K:$K),"Review Billable Status"))</f>
        <v>Cost of Goods Sold:COGS- Personnel Expense:</v>
      </c>
      <c r="S173" s="10" t="str">
        <f t="array" ref="S173">IF($G173="Paid Intern","PD Intern",IF($G173="Contractor/Consultant","Contractor",XLOOKUP(M173&amp;P173,Key!$M:$M,Key!$L:$L)))</f>
        <v>COR</v>
      </c>
      <c r="T173" s="5">
        <f t="shared" ref="T173:BA173" si="169">IF(OR($F173&gt;T$12,AND($G173="Terminated",T$12&gt;=$H173)),0,1)</f>
        <v>0</v>
      </c>
      <c r="U173" s="5">
        <f t="shared" si="169"/>
        <v>0</v>
      </c>
      <c r="V173" s="5">
        <f t="shared" si="169"/>
        <v>0</v>
      </c>
      <c r="W173" s="5">
        <f t="shared" si="169"/>
        <v>0</v>
      </c>
      <c r="X173" s="5">
        <f t="shared" si="169"/>
        <v>0</v>
      </c>
      <c r="Y173" s="5">
        <f t="shared" si="169"/>
        <v>0</v>
      </c>
      <c r="Z173" s="5">
        <f t="shared" si="169"/>
        <v>0</v>
      </c>
      <c r="AA173" s="5">
        <f t="shared" si="169"/>
        <v>0</v>
      </c>
      <c r="AB173" s="5">
        <f t="shared" si="169"/>
        <v>0</v>
      </c>
      <c r="AC173" s="5">
        <f t="shared" si="169"/>
        <v>0</v>
      </c>
      <c r="AD173" s="5">
        <f t="shared" si="169"/>
        <v>0</v>
      </c>
      <c r="AE173" s="5">
        <f t="shared" si="169"/>
        <v>0</v>
      </c>
      <c r="AF173" s="5">
        <f t="shared" si="169"/>
        <v>0</v>
      </c>
      <c r="AG173" s="5">
        <f t="shared" si="169"/>
        <v>0</v>
      </c>
      <c r="AH173" s="5">
        <f t="shared" si="169"/>
        <v>0</v>
      </c>
      <c r="AI173" s="5">
        <f t="shared" si="169"/>
        <v>0</v>
      </c>
      <c r="AJ173" s="5">
        <f t="shared" si="169"/>
        <v>0</v>
      </c>
      <c r="AK173" s="5">
        <f t="shared" si="169"/>
        <v>0</v>
      </c>
      <c r="AL173" s="5">
        <f t="shared" si="169"/>
        <v>0</v>
      </c>
      <c r="AM173" s="5">
        <f t="shared" si="169"/>
        <v>0</v>
      </c>
      <c r="AN173" s="5">
        <f t="shared" si="169"/>
        <v>0</v>
      </c>
      <c r="AO173" s="5">
        <f t="shared" si="169"/>
        <v>0</v>
      </c>
      <c r="AP173" s="5">
        <f t="shared" si="169"/>
        <v>0</v>
      </c>
      <c r="AQ173" s="5">
        <f t="shared" si="169"/>
        <v>0</v>
      </c>
      <c r="AR173" s="5">
        <f t="shared" si="169"/>
        <v>0</v>
      </c>
      <c r="AS173" s="5">
        <f t="shared" si="169"/>
        <v>1</v>
      </c>
      <c r="AT173" s="5">
        <f t="shared" si="169"/>
        <v>1</v>
      </c>
      <c r="AU173" s="5">
        <f t="shared" si="169"/>
        <v>1</v>
      </c>
      <c r="AV173" s="5">
        <f t="shared" si="169"/>
        <v>1</v>
      </c>
      <c r="AW173" s="5">
        <f t="shared" si="169"/>
        <v>1</v>
      </c>
      <c r="AX173" s="5">
        <f t="shared" si="169"/>
        <v>1</v>
      </c>
      <c r="AY173" s="5">
        <f t="shared" si="169"/>
        <v>1</v>
      </c>
      <c r="AZ173" s="5">
        <f t="shared" si="169"/>
        <v>1</v>
      </c>
      <c r="BA173" s="5">
        <f t="shared" si="169"/>
        <v>1</v>
      </c>
      <c r="BB173" s="8"/>
      <c r="BC173" s="8"/>
      <c r="BD173" s="8"/>
      <c r="BE173" s="8"/>
      <c r="BF173" s="8"/>
      <c r="BG173" s="8"/>
      <c r="BH173" s="8"/>
      <c r="BI173" s="8"/>
    </row>
    <row r="174" ht="12.75" customHeight="1">
      <c r="A174" s="4">
        <v>273.0</v>
      </c>
      <c r="B174" s="5" t="s">
        <v>145</v>
      </c>
      <c r="C174" s="5" t="s">
        <v>607</v>
      </c>
      <c r="D174" s="5" t="s">
        <v>608</v>
      </c>
      <c r="E174" s="5" t="s">
        <v>22</v>
      </c>
      <c r="F174" s="6">
        <v>46153.0</v>
      </c>
      <c r="G174" s="5" t="s">
        <v>377</v>
      </c>
      <c r="H174" s="6">
        <v>46153.0</v>
      </c>
      <c r="I174" s="5" t="s">
        <v>24</v>
      </c>
      <c r="J174" s="5" t="s">
        <v>24</v>
      </c>
      <c r="K174" s="5" t="s">
        <v>25</v>
      </c>
      <c r="L174" s="5" t="s">
        <v>609</v>
      </c>
      <c r="M174" s="5" t="s">
        <v>28</v>
      </c>
      <c r="N174" s="5" t="s">
        <v>379</v>
      </c>
      <c r="O174" s="5" t="s">
        <v>30</v>
      </c>
      <c r="P174" s="7" t="s">
        <v>199</v>
      </c>
      <c r="Q174" s="7" t="str">
        <f t="array" ref="Q174">IF($M174="Yes","Cost of Goods Sold:COGS- Travel Expenses:",IF($M174="No",XLOOKUP($P174,Key!$I:$I,Key!$J:$J),"Review Billable Status"))</f>
        <v>General &amp; Administrative:G&amp;A- Travel Expenses:</v>
      </c>
      <c r="R174" s="7" t="str">
        <f t="array" ref="R174">IF($M174="Yes","Cost of Goods Sold:COGS- Personnel Expense:",IF($M174="No",XLOOKUP($P174,Key!$I:$I,Key!$K:$K),"Review Billable Status"))</f>
        <v>General &amp; Administrative:G&amp;A- Personnel Expenses:</v>
      </c>
      <c r="S174" s="10" t="str">
        <f t="array" ref="S174">IF($G174="Paid Intern","PD Intern",IF($G174="Contractor/Consultant","Contractor",XLOOKUP(M174&amp;P174,Key!$M:$M,Key!$L:$L)))</f>
        <v>PD Intern</v>
      </c>
      <c r="T174" s="5">
        <f t="shared" ref="T174:BA174" si="170">IF(OR($F174&gt;T$12,AND($G174="Terminated",T$12&gt;=$H174)),0,1)</f>
        <v>0</v>
      </c>
      <c r="U174" s="5">
        <f t="shared" si="170"/>
        <v>0</v>
      </c>
      <c r="V174" s="5">
        <f t="shared" si="170"/>
        <v>0</v>
      </c>
      <c r="W174" s="5">
        <f t="shared" si="170"/>
        <v>0</v>
      </c>
      <c r="X174" s="5">
        <f t="shared" si="170"/>
        <v>0</v>
      </c>
      <c r="Y174" s="5">
        <f t="shared" si="170"/>
        <v>0</v>
      </c>
      <c r="Z174" s="5">
        <f t="shared" si="170"/>
        <v>0</v>
      </c>
      <c r="AA174" s="5">
        <f t="shared" si="170"/>
        <v>0</v>
      </c>
      <c r="AB174" s="5">
        <f t="shared" si="170"/>
        <v>0</v>
      </c>
      <c r="AC174" s="5">
        <f t="shared" si="170"/>
        <v>0</v>
      </c>
      <c r="AD174" s="5">
        <f t="shared" si="170"/>
        <v>0</v>
      </c>
      <c r="AE174" s="5">
        <f t="shared" si="170"/>
        <v>0</v>
      </c>
      <c r="AF174" s="5">
        <f t="shared" si="170"/>
        <v>0</v>
      </c>
      <c r="AG174" s="5">
        <f t="shared" si="170"/>
        <v>0</v>
      </c>
      <c r="AH174" s="5">
        <f t="shared" si="170"/>
        <v>0</v>
      </c>
      <c r="AI174" s="5">
        <f t="shared" si="170"/>
        <v>0</v>
      </c>
      <c r="AJ174" s="5">
        <f t="shared" si="170"/>
        <v>0</v>
      </c>
      <c r="AK174" s="5">
        <f t="shared" si="170"/>
        <v>0</v>
      </c>
      <c r="AL174" s="5">
        <f t="shared" si="170"/>
        <v>0</v>
      </c>
      <c r="AM174" s="5">
        <f t="shared" si="170"/>
        <v>0</v>
      </c>
      <c r="AN174" s="5">
        <f t="shared" si="170"/>
        <v>0</v>
      </c>
      <c r="AO174" s="5">
        <f t="shared" si="170"/>
        <v>0</v>
      </c>
      <c r="AP174" s="5">
        <f t="shared" si="170"/>
        <v>0</v>
      </c>
      <c r="AQ174" s="5">
        <f t="shared" si="170"/>
        <v>0</v>
      </c>
      <c r="AR174" s="5">
        <f t="shared" si="170"/>
        <v>0</v>
      </c>
      <c r="AS174" s="5">
        <f t="shared" si="170"/>
        <v>0</v>
      </c>
      <c r="AT174" s="5">
        <f t="shared" si="170"/>
        <v>1</v>
      </c>
      <c r="AU174" s="5">
        <f t="shared" si="170"/>
        <v>1</v>
      </c>
      <c r="AV174" s="5">
        <f t="shared" si="170"/>
        <v>1</v>
      </c>
      <c r="AW174" s="5">
        <f t="shared" si="170"/>
        <v>1</v>
      </c>
      <c r="AX174" s="5">
        <f t="shared" si="170"/>
        <v>1</v>
      </c>
      <c r="AY174" s="5">
        <f t="shared" si="170"/>
        <v>1</v>
      </c>
      <c r="AZ174" s="5">
        <f t="shared" si="170"/>
        <v>1</v>
      </c>
      <c r="BA174" s="5">
        <f t="shared" si="170"/>
        <v>1</v>
      </c>
      <c r="BB174" s="8"/>
      <c r="BC174" s="8"/>
      <c r="BD174" s="8"/>
      <c r="BE174" s="8"/>
      <c r="BF174" s="8"/>
      <c r="BG174" s="8"/>
      <c r="BH174" s="8"/>
      <c r="BI174" s="8"/>
    </row>
    <row r="175" ht="12.75" customHeight="1">
      <c r="A175" s="4">
        <v>274.0</v>
      </c>
      <c r="B175" s="5" t="s">
        <v>610</v>
      </c>
      <c r="C175" s="5" t="s">
        <v>611</v>
      </c>
      <c r="D175" s="5" t="s">
        <v>612</v>
      </c>
      <c r="E175" s="5" t="s">
        <v>22</v>
      </c>
      <c r="F175" s="6">
        <v>46132.0</v>
      </c>
      <c r="G175" s="5" t="s">
        <v>23</v>
      </c>
      <c r="H175" s="6">
        <v>46132.0</v>
      </c>
      <c r="I175" s="5" t="s">
        <v>64</v>
      </c>
      <c r="J175" s="5" t="s">
        <v>35</v>
      </c>
      <c r="K175" s="5" t="s">
        <v>107</v>
      </c>
      <c r="L175" s="5" t="s">
        <v>579</v>
      </c>
      <c r="M175" s="5" t="s">
        <v>39</v>
      </c>
      <c r="N175" s="5" t="s">
        <v>52</v>
      </c>
      <c r="O175" s="5" t="s">
        <v>613</v>
      </c>
      <c r="P175" s="7" t="s">
        <v>75</v>
      </c>
      <c r="Q175" s="7" t="str">
        <f t="array" ref="Q175">IF($M175="Yes","Cost of Goods Sold:COGS- Travel Expenses:",IF($M175="No",XLOOKUP($P175,Key!$I:$I,Key!$J:$J),"Review Billable Status"))</f>
        <v>Cost of Goods Sold:COGS- Travel Expenses:</v>
      </c>
      <c r="R175" s="7" t="str">
        <f t="array" ref="R175">IF($M175="Yes","Cost of Goods Sold:COGS- Personnel Expense:",IF($M175="No",XLOOKUP($P175,Key!$I:$I,Key!$K:$K),"Review Billable Status"))</f>
        <v>Cost of Goods Sold:COGS- Personnel Expense:</v>
      </c>
      <c r="S175" s="10" t="str">
        <f t="array" ref="S175">IF($G175="Paid Intern","PD Intern",IF($G175="Contractor/Consultant","Contractor",XLOOKUP(M175&amp;P175,Key!$M:$M,Key!$L:$L)))</f>
        <v>COR</v>
      </c>
      <c r="T175" s="5">
        <f t="shared" ref="T175:BA175" si="171">IF(OR($F175&gt;T$12,AND($G175="Terminated",T$12&gt;=$H175)),0,1)</f>
        <v>0</v>
      </c>
      <c r="U175" s="5">
        <f t="shared" si="171"/>
        <v>0</v>
      </c>
      <c r="V175" s="5">
        <f t="shared" si="171"/>
        <v>0</v>
      </c>
      <c r="W175" s="5">
        <f t="shared" si="171"/>
        <v>0</v>
      </c>
      <c r="X175" s="5">
        <f t="shared" si="171"/>
        <v>0</v>
      </c>
      <c r="Y175" s="5">
        <f t="shared" si="171"/>
        <v>0</v>
      </c>
      <c r="Z175" s="5">
        <f t="shared" si="171"/>
        <v>0</v>
      </c>
      <c r="AA175" s="5">
        <f t="shared" si="171"/>
        <v>0</v>
      </c>
      <c r="AB175" s="5">
        <f t="shared" si="171"/>
        <v>0</v>
      </c>
      <c r="AC175" s="5">
        <f t="shared" si="171"/>
        <v>0</v>
      </c>
      <c r="AD175" s="5">
        <f t="shared" si="171"/>
        <v>0</v>
      </c>
      <c r="AE175" s="5">
        <f t="shared" si="171"/>
        <v>0</v>
      </c>
      <c r="AF175" s="5">
        <f t="shared" si="171"/>
        <v>0</v>
      </c>
      <c r="AG175" s="5">
        <f t="shared" si="171"/>
        <v>0</v>
      </c>
      <c r="AH175" s="5">
        <f t="shared" si="171"/>
        <v>0</v>
      </c>
      <c r="AI175" s="5">
        <f t="shared" si="171"/>
        <v>0</v>
      </c>
      <c r="AJ175" s="5">
        <f t="shared" si="171"/>
        <v>0</v>
      </c>
      <c r="AK175" s="5">
        <f t="shared" si="171"/>
        <v>0</v>
      </c>
      <c r="AL175" s="5">
        <f t="shared" si="171"/>
        <v>0</v>
      </c>
      <c r="AM175" s="5">
        <f t="shared" si="171"/>
        <v>0</v>
      </c>
      <c r="AN175" s="5">
        <f t="shared" si="171"/>
        <v>0</v>
      </c>
      <c r="AO175" s="5">
        <f t="shared" si="171"/>
        <v>0</v>
      </c>
      <c r="AP175" s="5">
        <f t="shared" si="171"/>
        <v>0</v>
      </c>
      <c r="AQ175" s="5">
        <f t="shared" si="171"/>
        <v>0</v>
      </c>
      <c r="AR175" s="5">
        <f t="shared" si="171"/>
        <v>0</v>
      </c>
      <c r="AS175" s="5">
        <f t="shared" si="171"/>
        <v>1</v>
      </c>
      <c r="AT175" s="5">
        <f t="shared" si="171"/>
        <v>1</v>
      </c>
      <c r="AU175" s="5">
        <f t="shared" si="171"/>
        <v>1</v>
      </c>
      <c r="AV175" s="5">
        <f t="shared" si="171"/>
        <v>1</v>
      </c>
      <c r="AW175" s="5">
        <f t="shared" si="171"/>
        <v>1</v>
      </c>
      <c r="AX175" s="5">
        <f t="shared" si="171"/>
        <v>1</v>
      </c>
      <c r="AY175" s="5">
        <f t="shared" si="171"/>
        <v>1</v>
      </c>
      <c r="AZ175" s="5">
        <f t="shared" si="171"/>
        <v>1</v>
      </c>
      <c r="BA175" s="5">
        <f t="shared" si="171"/>
        <v>1</v>
      </c>
      <c r="BB175" s="8"/>
      <c r="BC175" s="8"/>
      <c r="BD175" s="8"/>
      <c r="BE175" s="8"/>
      <c r="BF175" s="8"/>
      <c r="BG175" s="8"/>
      <c r="BH175" s="8"/>
      <c r="BI175" s="8"/>
    </row>
    <row r="176" ht="12.75" customHeight="1">
      <c r="A176" s="4">
        <v>275.0</v>
      </c>
      <c r="B176" s="5" t="s">
        <v>262</v>
      </c>
      <c r="C176" s="5" t="s">
        <v>614</v>
      </c>
      <c r="D176" s="5" t="s">
        <v>615</v>
      </c>
      <c r="E176" s="5" t="s">
        <v>22</v>
      </c>
      <c r="F176" s="6">
        <v>46160.0</v>
      </c>
      <c r="G176" s="5" t="s">
        <v>23</v>
      </c>
      <c r="H176" s="6">
        <v>46160.0</v>
      </c>
      <c r="I176" s="5" t="s">
        <v>24</v>
      </c>
      <c r="J176" s="5" t="s">
        <v>256</v>
      </c>
      <c r="K176" s="5" t="s">
        <v>25</v>
      </c>
      <c r="L176" s="5" t="s">
        <v>616</v>
      </c>
      <c r="M176" s="5" t="s">
        <v>28</v>
      </c>
      <c r="N176" s="5" t="s">
        <v>85</v>
      </c>
      <c r="O176" s="5" t="s">
        <v>30</v>
      </c>
      <c r="P176" s="7" t="s">
        <v>258</v>
      </c>
      <c r="Q176" s="7" t="str">
        <f t="array" ref="Q176">IF($M176="Yes","Cost of Goods Sold:COGS- Travel Expenses:",IF($M176="No",XLOOKUP($P176,Key!$I:$I,Key!$J:$J),"Review Billable Status"))</f>
        <v>Sales &amp; Marketing:Sales &amp; Marketing- Travel Expenses:</v>
      </c>
      <c r="R176" s="7" t="str">
        <f t="array" ref="R176">IF($M176="Yes","Cost of Goods Sold:COGS- Personnel Expense:",IF($M176="No",XLOOKUP($P176,Key!$I:$I,Key!$K:$K),"Review Billable Status"))</f>
        <v>Sales &amp; Marketing:Sales &amp; Marketing- Personnel Expenses:</v>
      </c>
      <c r="S176" s="10" t="str">
        <f t="array" ref="S176">IF($G176="Paid Intern","PD Intern",IF($G176="Contractor/Consultant","Contractor",XLOOKUP(M176&amp;P176,Key!$M:$M,Key!$L:$L)))</f>
        <v>S&amp;M</v>
      </c>
      <c r="T176" s="5">
        <f t="shared" ref="T176:BA176" si="172">IF(OR($F176&gt;T$12,AND($G176="Terminated",T$12&gt;=$H176)),0,1)</f>
        <v>0</v>
      </c>
      <c r="U176" s="5">
        <f t="shared" si="172"/>
        <v>0</v>
      </c>
      <c r="V176" s="5">
        <f t="shared" si="172"/>
        <v>0</v>
      </c>
      <c r="W176" s="5">
        <f t="shared" si="172"/>
        <v>0</v>
      </c>
      <c r="X176" s="5">
        <f t="shared" si="172"/>
        <v>0</v>
      </c>
      <c r="Y176" s="5">
        <f t="shared" si="172"/>
        <v>0</v>
      </c>
      <c r="Z176" s="5">
        <f t="shared" si="172"/>
        <v>0</v>
      </c>
      <c r="AA176" s="5">
        <f t="shared" si="172"/>
        <v>0</v>
      </c>
      <c r="AB176" s="5">
        <f t="shared" si="172"/>
        <v>0</v>
      </c>
      <c r="AC176" s="5">
        <f t="shared" si="172"/>
        <v>0</v>
      </c>
      <c r="AD176" s="5">
        <f t="shared" si="172"/>
        <v>0</v>
      </c>
      <c r="AE176" s="5">
        <f t="shared" si="172"/>
        <v>0</v>
      </c>
      <c r="AF176" s="5">
        <f t="shared" si="172"/>
        <v>0</v>
      </c>
      <c r="AG176" s="5">
        <f t="shared" si="172"/>
        <v>0</v>
      </c>
      <c r="AH176" s="5">
        <f t="shared" si="172"/>
        <v>0</v>
      </c>
      <c r="AI176" s="5">
        <f t="shared" si="172"/>
        <v>0</v>
      </c>
      <c r="AJ176" s="5">
        <f t="shared" si="172"/>
        <v>0</v>
      </c>
      <c r="AK176" s="5">
        <f t="shared" si="172"/>
        <v>0</v>
      </c>
      <c r="AL176" s="5">
        <f t="shared" si="172"/>
        <v>0</v>
      </c>
      <c r="AM176" s="5">
        <f t="shared" si="172"/>
        <v>0</v>
      </c>
      <c r="AN176" s="5">
        <f t="shared" si="172"/>
        <v>0</v>
      </c>
      <c r="AO176" s="5">
        <f t="shared" si="172"/>
        <v>0</v>
      </c>
      <c r="AP176" s="5">
        <f t="shared" si="172"/>
        <v>0</v>
      </c>
      <c r="AQ176" s="5">
        <f t="shared" si="172"/>
        <v>0</v>
      </c>
      <c r="AR176" s="5">
        <f t="shared" si="172"/>
        <v>0</v>
      </c>
      <c r="AS176" s="5">
        <f t="shared" si="172"/>
        <v>0</v>
      </c>
      <c r="AT176" s="5">
        <f t="shared" si="172"/>
        <v>1</v>
      </c>
      <c r="AU176" s="5">
        <f t="shared" si="172"/>
        <v>1</v>
      </c>
      <c r="AV176" s="5">
        <f t="shared" si="172"/>
        <v>1</v>
      </c>
      <c r="AW176" s="5">
        <f t="shared" si="172"/>
        <v>1</v>
      </c>
      <c r="AX176" s="5">
        <f t="shared" si="172"/>
        <v>1</v>
      </c>
      <c r="AY176" s="5">
        <f t="shared" si="172"/>
        <v>1</v>
      </c>
      <c r="AZ176" s="5">
        <f t="shared" si="172"/>
        <v>1</v>
      </c>
      <c r="BA176" s="5">
        <f t="shared" si="172"/>
        <v>1</v>
      </c>
      <c r="BB176" s="8"/>
      <c r="BC176" s="8"/>
      <c r="BD176" s="8"/>
      <c r="BE176" s="8"/>
      <c r="BF176" s="8"/>
      <c r="BG176" s="8"/>
      <c r="BH176" s="8"/>
      <c r="BI176" s="8"/>
    </row>
    <row r="177" ht="12.75" customHeight="1">
      <c r="A177" s="4">
        <v>276.0</v>
      </c>
      <c r="B177" s="5" t="s">
        <v>617</v>
      </c>
      <c r="C177" s="5" t="s">
        <v>618</v>
      </c>
      <c r="D177" s="5" t="s">
        <v>619</v>
      </c>
      <c r="E177" s="5" t="s">
        <v>112</v>
      </c>
      <c r="F177" s="6">
        <v>46153.0</v>
      </c>
      <c r="G177" s="5" t="s">
        <v>23</v>
      </c>
      <c r="H177" s="6">
        <v>46153.0</v>
      </c>
      <c r="I177" s="5" t="s">
        <v>24</v>
      </c>
      <c r="J177" s="5" t="s">
        <v>170</v>
      </c>
      <c r="K177" s="5" t="s">
        <v>25</v>
      </c>
      <c r="L177" s="5" t="s">
        <v>620</v>
      </c>
      <c r="M177" s="5" t="s">
        <v>28</v>
      </c>
      <c r="N177" s="5" t="s">
        <v>239</v>
      </c>
      <c r="O177" s="5" t="s">
        <v>30</v>
      </c>
      <c r="P177" s="7" t="s">
        <v>199</v>
      </c>
      <c r="Q177" s="7" t="str">
        <f t="array" ref="Q177">IF($M177="Yes","Cost of Goods Sold:COGS- Travel Expenses:",IF($M177="No",XLOOKUP($P177,Key!$I:$I,Key!$J:$J),"Review Billable Status"))</f>
        <v>General &amp; Administrative:G&amp;A- Travel Expenses:</v>
      </c>
      <c r="R177" s="7" t="str">
        <f t="array" ref="R177">IF($M177="Yes","Cost of Goods Sold:COGS- Personnel Expense:",IF($M177="No",XLOOKUP($P177,Key!$I:$I,Key!$K:$K),"Review Billable Status"))</f>
        <v>General &amp; Administrative:G&amp;A- Personnel Expenses:</v>
      </c>
      <c r="S177" s="10" t="str">
        <f t="array" ref="S177">IF($G177="Paid Intern","PD Intern",IF($G177="Contractor/Consultant","Contractor",XLOOKUP(M177&amp;P177,Key!$M:$M,Key!$L:$L)))</f>
        <v>G&amp;A</v>
      </c>
      <c r="T177" s="5">
        <f t="shared" ref="T177:BA177" si="173">IF(OR($F177&gt;T$12,AND($G177="Terminated",T$12&gt;=$H177)),0,1)</f>
        <v>0</v>
      </c>
      <c r="U177" s="5">
        <f t="shared" si="173"/>
        <v>0</v>
      </c>
      <c r="V177" s="5">
        <f t="shared" si="173"/>
        <v>0</v>
      </c>
      <c r="W177" s="5">
        <f t="shared" si="173"/>
        <v>0</v>
      </c>
      <c r="X177" s="5">
        <f t="shared" si="173"/>
        <v>0</v>
      </c>
      <c r="Y177" s="5">
        <f t="shared" si="173"/>
        <v>0</v>
      </c>
      <c r="Z177" s="5">
        <f t="shared" si="173"/>
        <v>0</v>
      </c>
      <c r="AA177" s="5">
        <f t="shared" si="173"/>
        <v>0</v>
      </c>
      <c r="AB177" s="5">
        <f t="shared" si="173"/>
        <v>0</v>
      </c>
      <c r="AC177" s="5">
        <f t="shared" si="173"/>
        <v>0</v>
      </c>
      <c r="AD177" s="5">
        <f t="shared" si="173"/>
        <v>0</v>
      </c>
      <c r="AE177" s="5">
        <f t="shared" si="173"/>
        <v>0</v>
      </c>
      <c r="AF177" s="5">
        <f t="shared" si="173"/>
        <v>0</v>
      </c>
      <c r="AG177" s="5">
        <f t="shared" si="173"/>
        <v>0</v>
      </c>
      <c r="AH177" s="5">
        <f t="shared" si="173"/>
        <v>0</v>
      </c>
      <c r="AI177" s="5">
        <f t="shared" si="173"/>
        <v>0</v>
      </c>
      <c r="AJ177" s="5">
        <f t="shared" si="173"/>
        <v>0</v>
      </c>
      <c r="AK177" s="5">
        <f t="shared" si="173"/>
        <v>0</v>
      </c>
      <c r="AL177" s="5">
        <f t="shared" si="173"/>
        <v>0</v>
      </c>
      <c r="AM177" s="5">
        <f t="shared" si="173"/>
        <v>0</v>
      </c>
      <c r="AN177" s="5">
        <f t="shared" si="173"/>
        <v>0</v>
      </c>
      <c r="AO177" s="5">
        <f t="shared" si="173"/>
        <v>0</v>
      </c>
      <c r="AP177" s="5">
        <f t="shared" si="173"/>
        <v>0</v>
      </c>
      <c r="AQ177" s="5">
        <f t="shared" si="173"/>
        <v>0</v>
      </c>
      <c r="AR177" s="5">
        <f t="shared" si="173"/>
        <v>0</v>
      </c>
      <c r="AS177" s="5">
        <f t="shared" si="173"/>
        <v>0</v>
      </c>
      <c r="AT177" s="5">
        <f t="shared" si="173"/>
        <v>1</v>
      </c>
      <c r="AU177" s="5">
        <f t="shared" si="173"/>
        <v>1</v>
      </c>
      <c r="AV177" s="5">
        <f t="shared" si="173"/>
        <v>1</v>
      </c>
      <c r="AW177" s="5">
        <f t="shared" si="173"/>
        <v>1</v>
      </c>
      <c r="AX177" s="5">
        <f t="shared" si="173"/>
        <v>1</v>
      </c>
      <c r="AY177" s="5">
        <f t="shared" si="173"/>
        <v>1</v>
      </c>
      <c r="AZ177" s="5">
        <f t="shared" si="173"/>
        <v>1</v>
      </c>
      <c r="BA177" s="5">
        <f t="shared" si="173"/>
        <v>1</v>
      </c>
      <c r="BB177" s="8"/>
      <c r="BC177" s="8"/>
      <c r="BD177" s="8"/>
      <c r="BE177" s="8"/>
      <c r="BF177" s="8"/>
      <c r="BG177" s="8"/>
      <c r="BH177" s="8"/>
      <c r="BI177" s="8"/>
    </row>
    <row r="178" ht="12.75" customHeight="1">
      <c r="A178" s="4">
        <v>277.0</v>
      </c>
      <c r="B178" s="5" t="s">
        <v>297</v>
      </c>
      <c r="C178" s="5" t="s">
        <v>621</v>
      </c>
      <c r="D178" s="5" t="s">
        <v>622</v>
      </c>
      <c r="E178" s="5" t="s">
        <v>22</v>
      </c>
      <c r="F178" s="6">
        <v>46160.0</v>
      </c>
      <c r="G178" s="5" t="s">
        <v>377</v>
      </c>
      <c r="H178" s="6">
        <v>46160.0</v>
      </c>
      <c r="I178" s="5" t="s">
        <v>34</v>
      </c>
      <c r="J178" s="5" t="s">
        <v>35</v>
      </c>
      <c r="K178" s="5" t="s">
        <v>25</v>
      </c>
      <c r="L178" s="5" t="s">
        <v>623</v>
      </c>
      <c r="M178" s="5" t="s">
        <v>28</v>
      </c>
      <c r="N178" s="5" t="s">
        <v>379</v>
      </c>
      <c r="O178" s="5" t="s">
        <v>213</v>
      </c>
      <c r="P178" s="7" t="s">
        <v>38</v>
      </c>
      <c r="Q178" s="7" t="str">
        <f t="array" ref="Q178">IF($M178="Yes","Cost of Goods Sold:COGS- Travel Expenses:",IF($M178="No",XLOOKUP($P178,Key!$I:$I,Key!$J:$J),"Review Billable Status"))</f>
        <v>General &amp; Administrative:G&amp;A- Travel Expenses:</v>
      </c>
      <c r="R178" s="7" t="str">
        <f t="array" ref="R178">IF($M178="Yes","Cost of Goods Sold:COGS- Personnel Expense:",IF($M178="No",XLOOKUP($P178,Key!$I:$I,Key!$K:$K),"Review Billable Status"))</f>
        <v>General &amp; Administrative:G&amp;A- Personnel Expenses:</v>
      </c>
      <c r="S178" s="10" t="str">
        <f t="array" ref="S178">IF($G178="Paid Intern","PD Intern",IF($G178="Contractor/Consultant","Contractor",XLOOKUP(M178&amp;P178,Key!$M:$M,Key!$L:$L)))</f>
        <v>PD Intern</v>
      </c>
      <c r="T178" s="5">
        <f t="shared" ref="T178:BA178" si="174">IF(OR($F178&gt;T$12,AND($G178="Terminated",T$12&gt;=$H178)),0,1)</f>
        <v>0</v>
      </c>
      <c r="U178" s="5">
        <f t="shared" si="174"/>
        <v>0</v>
      </c>
      <c r="V178" s="5">
        <f t="shared" si="174"/>
        <v>0</v>
      </c>
      <c r="W178" s="5">
        <f t="shared" si="174"/>
        <v>0</v>
      </c>
      <c r="X178" s="5">
        <f t="shared" si="174"/>
        <v>0</v>
      </c>
      <c r="Y178" s="5">
        <f t="shared" si="174"/>
        <v>0</v>
      </c>
      <c r="Z178" s="5">
        <f t="shared" si="174"/>
        <v>0</v>
      </c>
      <c r="AA178" s="5">
        <f t="shared" si="174"/>
        <v>0</v>
      </c>
      <c r="AB178" s="5">
        <f t="shared" si="174"/>
        <v>0</v>
      </c>
      <c r="AC178" s="5">
        <f t="shared" si="174"/>
        <v>0</v>
      </c>
      <c r="AD178" s="5">
        <f t="shared" si="174"/>
        <v>0</v>
      </c>
      <c r="AE178" s="5">
        <f t="shared" si="174"/>
        <v>0</v>
      </c>
      <c r="AF178" s="5">
        <f t="shared" si="174"/>
        <v>0</v>
      </c>
      <c r="AG178" s="5">
        <f t="shared" si="174"/>
        <v>0</v>
      </c>
      <c r="AH178" s="5">
        <f t="shared" si="174"/>
        <v>0</v>
      </c>
      <c r="AI178" s="5">
        <f t="shared" si="174"/>
        <v>0</v>
      </c>
      <c r="AJ178" s="5">
        <f t="shared" si="174"/>
        <v>0</v>
      </c>
      <c r="AK178" s="5">
        <f t="shared" si="174"/>
        <v>0</v>
      </c>
      <c r="AL178" s="5">
        <f t="shared" si="174"/>
        <v>0</v>
      </c>
      <c r="AM178" s="5">
        <f t="shared" si="174"/>
        <v>0</v>
      </c>
      <c r="AN178" s="5">
        <f t="shared" si="174"/>
        <v>0</v>
      </c>
      <c r="AO178" s="5">
        <f t="shared" si="174"/>
        <v>0</v>
      </c>
      <c r="AP178" s="5">
        <f t="shared" si="174"/>
        <v>0</v>
      </c>
      <c r="AQ178" s="5">
        <f t="shared" si="174"/>
        <v>0</v>
      </c>
      <c r="AR178" s="5">
        <f t="shared" si="174"/>
        <v>0</v>
      </c>
      <c r="AS178" s="5">
        <f t="shared" si="174"/>
        <v>0</v>
      </c>
      <c r="AT178" s="5">
        <f t="shared" si="174"/>
        <v>1</v>
      </c>
      <c r="AU178" s="5">
        <f t="shared" si="174"/>
        <v>1</v>
      </c>
      <c r="AV178" s="5">
        <f t="shared" si="174"/>
        <v>1</v>
      </c>
      <c r="AW178" s="5">
        <f t="shared" si="174"/>
        <v>1</v>
      </c>
      <c r="AX178" s="5">
        <f t="shared" si="174"/>
        <v>1</v>
      </c>
      <c r="AY178" s="5">
        <f t="shared" si="174"/>
        <v>1</v>
      </c>
      <c r="AZ178" s="5">
        <f t="shared" si="174"/>
        <v>1</v>
      </c>
      <c r="BA178" s="5">
        <f t="shared" si="174"/>
        <v>1</v>
      </c>
      <c r="BB178" s="8"/>
      <c r="BC178" s="8"/>
      <c r="BD178" s="8"/>
      <c r="BE178" s="8"/>
      <c r="BF178" s="8"/>
      <c r="BG178" s="8"/>
      <c r="BH178" s="8"/>
      <c r="BI178" s="8"/>
    </row>
    <row r="179" ht="12.75" customHeight="1">
      <c r="A179" s="4">
        <v>278.0</v>
      </c>
      <c r="B179" s="5" t="s">
        <v>624</v>
      </c>
      <c r="C179" s="5" t="s">
        <v>625</v>
      </c>
      <c r="D179" s="5" t="s">
        <v>626</v>
      </c>
      <c r="E179" s="5" t="s">
        <v>112</v>
      </c>
      <c r="F179" s="6">
        <v>46153.0</v>
      </c>
      <c r="G179" s="5" t="s">
        <v>23</v>
      </c>
      <c r="H179" s="6">
        <v>46153.0</v>
      </c>
      <c r="I179" s="5" t="s">
        <v>24</v>
      </c>
      <c r="J179" s="5" t="s">
        <v>24</v>
      </c>
      <c r="K179" s="5" t="s">
        <v>25</v>
      </c>
      <c r="L179" s="5" t="s">
        <v>627</v>
      </c>
      <c r="M179" s="5" t="s">
        <v>28</v>
      </c>
      <c r="N179" s="5" t="s">
        <v>239</v>
      </c>
      <c r="O179" s="5" t="s">
        <v>30</v>
      </c>
      <c r="P179" s="7" t="s">
        <v>27</v>
      </c>
      <c r="Q179" s="7" t="str">
        <f t="array" ref="Q179">IF($M179="Yes","Cost of Goods Sold:COGS- Travel Expenses:",IF($M179="No",XLOOKUP($P179,Key!$I:$I,Key!$J:$J),"Review Billable Status"))</f>
        <v>General &amp; Administrative:G&amp;A- Travel Expenses:</v>
      </c>
      <c r="R179" s="7" t="str">
        <f t="array" ref="R179">IF($M179="Yes","Cost of Goods Sold:COGS- Personnel Expense:",IF($M179="No",XLOOKUP($P179,Key!$I:$I,Key!$K:$K),"Review Billable Status"))</f>
        <v>General &amp; Administrative:G&amp;A- Personnel Expenses:</v>
      </c>
      <c r="S179" s="10" t="str">
        <f t="array" ref="S179">IF($G179="Paid Intern","PD Intern",IF($G179="Contractor/Consultant","Contractor",XLOOKUP(M179&amp;P179,Key!$M:$M,Key!$L:$L)))</f>
        <v>G&amp;A</v>
      </c>
      <c r="T179" s="5">
        <f t="shared" ref="T179:BA179" si="175">IF(OR($F179&gt;T$12,AND($G179="Terminated",T$12&gt;=$H179)),0,1)</f>
        <v>0</v>
      </c>
      <c r="U179" s="5">
        <f t="shared" si="175"/>
        <v>0</v>
      </c>
      <c r="V179" s="5">
        <f t="shared" si="175"/>
        <v>0</v>
      </c>
      <c r="W179" s="5">
        <f t="shared" si="175"/>
        <v>0</v>
      </c>
      <c r="X179" s="5">
        <f t="shared" si="175"/>
        <v>0</v>
      </c>
      <c r="Y179" s="5">
        <f t="shared" si="175"/>
        <v>0</v>
      </c>
      <c r="Z179" s="5">
        <f t="shared" si="175"/>
        <v>0</v>
      </c>
      <c r="AA179" s="5">
        <f t="shared" si="175"/>
        <v>0</v>
      </c>
      <c r="AB179" s="5">
        <f t="shared" si="175"/>
        <v>0</v>
      </c>
      <c r="AC179" s="5">
        <f t="shared" si="175"/>
        <v>0</v>
      </c>
      <c r="AD179" s="5">
        <f t="shared" si="175"/>
        <v>0</v>
      </c>
      <c r="AE179" s="5">
        <f t="shared" si="175"/>
        <v>0</v>
      </c>
      <c r="AF179" s="5">
        <f t="shared" si="175"/>
        <v>0</v>
      </c>
      <c r="AG179" s="5">
        <f t="shared" si="175"/>
        <v>0</v>
      </c>
      <c r="AH179" s="5">
        <f t="shared" si="175"/>
        <v>0</v>
      </c>
      <c r="AI179" s="5">
        <f t="shared" si="175"/>
        <v>0</v>
      </c>
      <c r="AJ179" s="5">
        <f t="shared" si="175"/>
        <v>0</v>
      </c>
      <c r="AK179" s="5">
        <f t="shared" si="175"/>
        <v>0</v>
      </c>
      <c r="AL179" s="5">
        <f t="shared" si="175"/>
        <v>0</v>
      </c>
      <c r="AM179" s="5">
        <f t="shared" si="175"/>
        <v>0</v>
      </c>
      <c r="AN179" s="5">
        <f t="shared" si="175"/>
        <v>0</v>
      </c>
      <c r="AO179" s="5">
        <f t="shared" si="175"/>
        <v>0</v>
      </c>
      <c r="AP179" s="5">
        <f t="shared" si="175"/>
        <v>0</v>
      </c>
      <c r="AQ179" s="5">
        <f t="shared" si="175"/>
        <v>0</v>
      </c>
      <c r="AR179" s="5">
        <f t="shared" si="175"/>
        <v>0</v>
      </c>
      <c r="AS179" s="5">
        <f t="shared" si="175"/>
        <v>0</v>
      </c>
      <c r="AT179" s="5">
        <f t="shared" si="175"/>
        <v>1</v>
      </c>
      <c r="AU179" s="5">
        <f t="shared" si="175"/>
        <v>1</v>
      </c>
      <c r="AV179" s="5">
        <f t="shared" si="175"/>
        <v>1</v>
      </c>
      <c r="AW179" s="5">
        <f t="shared" si="175"/>
        <v>1</v>
      </c>
      <c r="AX179" s="5">
        <f t="shared" si="175"/>
        <v>1</v>
      </c>
      <c r="AY179" s="5">
        <f t="shared" si="175"/>
        <v>1</v>
      </c>
      <c r="AZ179" s="5">
        <f t="shared" si="175"/>
        <v>1</v>
      </c>
      <c r="BA179" s="5">
        <f t="shared" si="175"/>
        <v>1</v>
      </c>
      <c r="BB179" s="8"/>
      <c r="BC179" s="8"/>
      <c r="BD179" s="8"/>
      <c r="BE179" s="8"/>
      <c r="BF179" s="8"/>
      <c r="BG179" s="8"/>
      <c r="BH179" s="8"/>
      <c r="BI179" s="8"/>
    </row>
    <row r="180" ht="12.75" customHeight="1">
      <c r="A180" s="4">
        <v>283.0</v>
      </c>
      <c r="B180" s="5" t="s">
        <v>628</v>
      </c>
      <c r="C180" s="5" t="s">
        <v>629</v>
      </c>
      <c r="D180" s="5" t="s">
        <v>630</v>
      </c>
      <c r="E180" s="5"/>
      <c r="F180" s="6">
        <v>46140.0</v>
      </c>
      <c r="G180" s="5" t="s">
        <v>631</v>
      </c>
      <c r="H180" s="6">
        <v>46140.0</v>
      </c>
      <c r="I180" s="5" t="s">
        <v>24</v>
      </c>
      <c r="J180" s="5" t="s">
        <v>24</v>
      </c>
      <c r="K180" s="5" t="s">
        <v>25</v>
      </c>
      <c r="L180" s="5"/>
      <c r="M180" s="5" t="s">
        <v>28</v>
      </c>
      <c r="N180" s="5"/>
      <c r="O180" s="5" t="s">
        <v>30</v>
      </c>
      <c r="P180" s="7" t="s">
        <v>199</v>
      </c>
      <c r="Q180" s="7" t="str">
        <f t="array" ref="Q180">IF($M180="Yes","Cost of Goods Sold:COGS- Travel Expenses:",IF($M180="No",XLOOKUP($P180,Key!$I:$I,Key!$J:$J),"Review Billable Status"))</f>
        <v>General &amp; Administrative:G&amp;A- Travel Expenses:</v>
      </c>
      <c r="R180" s="7" t="str">
        <f t="array" ref="R180">IF($M180="Yes","Cost of Goods Sold:COGS- Personnel Expense:",IF($M180="No",XLOOKUP($P180,Key!$I:$I,Key!$K:$K),"Review Billable Status"))</f>
        <v>General &amp; Administrative:G&amp;A- Personnel Expenses:</v>
      </c>
      <c r="S180" s="10" t="str">
        <f t="array" ref="S180">IF($G180="Paid Intern","PD Intern",IF($G180="Contractor/Consultant","Contractor",XLOOKUP(M180&amp;P180,Key!$M:$M,Key!$L:$L)))</f>
        <v>Contractor</v>
      </c>
      <c r="T180" s="5">
        <f t="shared" ref="T180:BA180" si="176">IF(OR($F180&gt;T$12,AND($G180="Terminated",T$12&gt;=$H180)),0,1)</f>
        <v>0</v>
      </c>
      <c r="U180" s="5">
        <f t="shared" si="176"/>
        <v>0</v>
      </c>
      <c r="V180" s="5">
        <f t="shared" si="176"/>
        <v>0</v>
      </c>
      <c r="W180" s="5">
        <f t="shared" si="176"/>
        <v>0</v>
      </c>
      <c r="X180" s="5">
        <f t="shared" si="176"/>
        <v>0</v>
      </c>
      <c r="Y180" s="5">
        <f t="shared" si="176"/>
        <v>0</v>
      </c>
      <c r="Z180" s="5">
        <f t="shared" si="176"/>
        <v>0</v>
      </c>
      <c r="AA180" s="5">
        <f t="shared" si="176"/>
        <v>0</v>
      </c>
      <c r="AB180" s="5">
        <f t="shared" si="176"/>
        <v>0</v>
      </c>
      <c r="AC180" s="5">
        <f t="shared" si="176"/>
        <v>0</v>
      </c>
      <c r="AD180" s="5">
        <f t="shared" si="176"/>
        <v>0</v>
      </c>
      <c r="AE180" s="5">
        <f t="shared" si="176"/>
        <v>0</v>
      </c>
      <c r="AF180" s="5">
        <f t="shared" si="176"/>
        <v>0</v>
      </c>
      <c r="AG180" s="5">
        <f t="shared" si="176"/>
        <v>0</v>
      </c>
      <c r="AH180" s="5">
        <f t="shared" si="176"/>
        <v>0</v>
      </c>
      <c r="AI180" s="5">
        <f t="shared" si="176"/>
        <v>0</v>
      </c>
      <c r="AJ180" s="5">
        <f t="shared" si="176"/>
        <v>0</v>
      </c>
      <c r="AK180" s="5">
        <f t="shared" si="176"/>
        <v>0</v>
      </c>
      <c r="AL180" s="5">
        <f t="shared" si="176"/>
        <v>0</v>
      </c>
      <c r="AM180" s="5">
        <f t="shared" si="176"/>
        <v>0</v>
      </c>
      <c r="AN180" s="5">
        <f t="shared" si="176"/>
        <v>0</v>
      </c>
      <c r="AO180" s="5">
        <f t="shared" si="176"/>
        <v>0</v>
      </c>
      <c r="AP180" s="5">
        <f t="shared" si="176"/>
        <v>0</v>
      </c>
      <c r="AQ180" s="5">
        <f t="shared" si="176"/>
        <v>0</v>
      </c>
      <c r="AR180" s="5">
        <f t="shared" si="176"/>
        <v>0</v>
      </c>
      <c r="AS180" s="5">
        <f t="shared" si="176"/>
        <v>1</v>
      </c>
      <c r="AT180" s="5">
        <f t="shared" si="176"/>
        <v>1</v>
      </c>
      <c r="AU180" s="5">
        <f t="shared" si="176"/>
        <v>1</v>
      </c>
      <c r="AV180" s="5">
        <f t="shared" si="176"/>
        <v>1</v>
      </c>
      <c r="AW180" s="5">
        <f t="shared" si="176"/>
        <v>1</v>
      </c>
      <c r="AX180" s="5">
        <f t="shared" si="176"/>
        <v>1</v>
      </c>
      <c r="AY180" s="5">
        <f t="shared" si="176"/>
        <v>1</v>
      </c>
      <c r="AZ180" s="5">
        <f t="shared" si="176"/>
        <v>1</v>
      </c>
      <c r="BA180" s="5">
        <f t="shared" si="176"/>
        <v>1</v>
      </c>
      <c r="BB180" s="8"/>
      <c r="BC180" s="8"/>
      <c r="BD180" s="8"/>
      <c r="BE180" s="8"/>
      <c r="BF180" s="8"/>
      <c r="BG180" s="8"/>
      <c r="BH180" s="8"/>
      <c r="BI180" s="8"/>
    </row>
    <row r="181" ht="12.75" customHeight="1">
      <c r="A181" s="4">
        <v>284.0</v>
      </c>
      <c r="B181" s="5" t="s">
        <v>632</v>
      </c>
      <c r="C181" s="5" t="s">
        <v>633</v>
      </c>
      <c r="D181" s="5" t="s">
        <v>634</v>
      </c>
      <c r="E181" s="5"/>
      <c r="F181" s="6">
        <v>46181.0</v>
      </c>
      <c r="G181" s="5" t="s">
        <v>23</v>
      </c>
      <c r="H181" s="6">
        <v>46181.0</v>
      </c>
      <c r="I181" s="5" t="s">
        <v>64</v>
      </c>
      <c r="J181" s="5" t="s">
        <v>363</v>
      </c>
      <c r="K181" s="5" t="s">
        <v>25</v>
      </c>
      <c r="L181" s="5" t="s">
        <v>635</v>
      </c>
      <c r="M181" s="5" t="s">
        <v>28</v>
      </c>
      <c r="N181" s="5" t="s">
        <v>85</v>
      </c>
      <c r="O181" s="5" t="s">
        <v>30</v>
      </c>
      <c r="P181" s="7" t="s">
        <v>75</v>
      </c>
      <c r="Q181" s="7" t="str">
        <f t="array" ref="Q181">IF($M181="Yes","Cost of Goods Sold:COGS- Travel Expenses:",IF($M181="No",XLOOKUP($P181,Key!$I:$I,Key!$J:$J),"Review Billable Status"))</f>
        <v>General &amp; Administrative:G&amp;A- Travel Expenses:</v>
      </c>
      <c r="R181" s="7" t="str">
        <f t="array" ref="R181">IF($M181="Yes","Cost of Goods Sold:COGS- Personnel Expense:",IF($M181="No",XLOOKUP($P181,Key!$I:$I,Key!$K:$K),"Review Billable Status"))</f>
        <v>General &amp; Administrative:G&amp;A- Personnel Expenses:</v>
      </c>
      <c r="S181" s="10" t="str">
        <f t="array" ref="S181">IF($G181="Paid Intern","PD Intern",IF($G181="Contractor/Consultant","Contractor",XLOOKUP(M181&amp;P181,Key!$M:$M,Key!$L:$L)))</f>
        <v>G&amp;A</v>
      </c>
      <c r="T181" s="5">
        <f t="shared" ref="T181:BA181" si="177">IF(OR($F181&gt;T$12,AND($G181="Terminated",T$12&gt;=$H181)),0,1)</f>
        <v>0</v>
      </c>
      <c r="U181" s="5">
        <f t="shared" si="177"/>
        <v>0</v>
      </c>
      <c r="V181" s="5">
        <f t="shared" si="177"/>
        <v>0</v>
      </c>
      <c r="W181" s="5">
        <f t="shared" si="177"/>
        <v>0</v>
      </c>
      <c r="X181" s="5">
        <f t="shared" si="177"/>
        <v>0</v>
      </c>
      <c r="Y181" s="5">
        <f t="shared" si="177"/>
        <v>0</v>
      </c>
      <c r="Z181" s="5">
        <f t="shared" si="177"/>
        <v>0</v>
      </c>
      <c r="AA181" s="5">
        <f t="shared" si="177"/>
        <v>0</v>
      </c>
      <c r="AB181" s="5">
        <f t="shared" si="177"/>
        <v>0</v>
      </c>
      <c r="AC181" s="5">
        <f t="shared" si="177"/>
        <v>0</v>
      </c>
      <c r="AD181" s="5">
        <f t="shared" si="177"/>
        <v>0</v>
      </c>
      <c r="AE181" s="5">
        <f t="shared" si="177"/>
        <v>0</v>
      </c>
      <c r="AF181" s="5">
        <f t="shared" si="177"/>
        <v>0</v>
      </c>
      <c r="AG181" s="5">
        <f t="shared" si="177"/>
        <v>0</v>
      </c>
      <c r="AH181" s="5">
        <f t="shared" si="177"/>
        <v>0</v>
      </c>
      <c r="AI181" s="5">
        <f t="shared" si="177"/>
        <v>0</v>
      </c>
      <c r="AJ181" s="5">
        <f t="shared" si="177"/>
        <v>0</v>
      </c>
      <c r="AK181" s="5">
        <f t="shared" si="177"/>
        <v>0</v>
      </c>
      <c r="AL181" s="5">
        <f t="shared" si="177"/>
        <v>0</v>
      </c>
      <c r="AM181" s="5">
        <f t="shared" si="177"/>
        <v>0</v>
      </c>
      <c r="AN181" s="5">
        <f t="shared" si="177"/>
        <v>0</v>
      </c>
      <c r="AO181" s="5">
        <f t="shared" si="177"/>
        <v>0</v>
      </c>
      <c r="AP181" s="5">
        <f t="shared" si="177"/>
        <v>0</v>
      </c>
      <c r="AQ181" s="5">
        <f t="shared" si="177"/>
        <v>0</v>
      </c>
      <c r="AR181" s="5">
        <f t="shared" si="177"/>
        <v>0</v>
      </c>
      <c r="AS181" s="5">
        <f t="shared" si="177"/>
        <v>0</v>
      </c>
      <c r="AT181" s="5">
        <f t="shared" si="177"/>
        <v>0</v>
      </c>
      <c r="AU181" s="5">
        <f t="shared" si="177"/>
        <v>1</v>
      </c>
      <c r="AV181" s="5">
        <f t="shared" si="177"/>
        <v>1</v>
      </c>
      <c r="AW181" s="5">
        <f t="shared" si="177"/>
        <v>1</v>
      </c>
      <c r="AX181" s="5">
        <f t="shared" si="177"/>
        <v>1</v>
      </c>
      <c r="AY181" s="5">
        <f t="shared" si="177"/>
        <v>1</v>
      </c>
      <c r="AZ181" s="5">
        <f t="shared" si="177"/>
        <v>1</v>
      </c>
      <c r="BA181" s="5">
        <f t="shared" si="177"/>
        <v>1</v>
      </c>
      <c r="BB181" s="8"/>
      <c r="BC181" s="8"/>
      <c r="BD181" s="8"/>
      <c r="BE181" s="8"/>
      <c r="BF181" s="8"/>
      <c r="BG181" s="8"/>
      <c r="BH181" s="8"/>
      <c r="BI181" s="8"/>
    </row>
    <row r="182" ht="12.75" customHeight="1">
      <c r="A182" s="4">
        <v>285.0</v>
      </c>
      <c r="B182" s="5" t="s">
        <v>314</v>
      </c>
      <c r="C182" s="5" t="s">
        <v>636</v>
      </c>
      <c r="D182" s="5" t="s">
        <v>637</v>
      </c>
      <c r="E182" s="5"/>
      <c r="F182" s="6">
        <v>46209.0</v>
      </c>
      <c r="G182" s="5"/>
      <c r="H182" s="6"/>
      <c r="I182" s="5" t="s">
        <v>64</v>
      </c>
      <c r="J182" s="5" t="s">
        <v>35</v>
      </c>
      <c r="K182" s="5"/>
      <c r="L182" s="5"/>
      <c r="M182" s="5" t="s">
        <v>28</v>
      </c>
      <c r="N182" s="5"/>
      <c r="O182" s="5" t="s">
        <v>638</v>
      </c>
      <c r="P182" s="7" t="s">
        <v>75</v>
      </c>
      <c r="Q182" s="7" t="str">
        <f t="array" ref="Q182">IF($M182="Yes","Cost of Goods Sold:COGS- Travel Expenses:",IF($M182="No",XLOOKUP($P182,Key!$I:$I,Key!$J:$J),"Review Billable Status"))</f>
        <v>General &amp; Administrative:G&amp;A- Travel Expenses:</v>
      </c>
      <c r="R182" s="7" t="str">
        <f t="array" ref="R182">IF($M182="Yes","Cost of Goods Sold:COGS- Personnel Expense:",IF($M182="No",XLOOKUP($P182,Key!$I:$I,Key!$K:$K),"Review Billable Status"))</f>
        <v>General &amp; Administrative:G&amp;A- Personnel Expenses:</v>
      </c>
      <c r="S182" s="10" t="str">
        <f t="array" ref="S182">IF($G182="Paid Intern","PD Intern",IF($G182="Contractor/Consultant","Contractor",XLOOKUP(M182&amp;P182,Key!$M:$M,Key!$L:$L)))</f>
        <v>G&amp;A</v>
      </c>
      <c r="T182" s="5">
        <f t="shared" ref="T182:BA182" si="178">IF(OR($F182&gt;T$12,AND($G182="Terminated",T$12&gt;=$H182)),0,1)</f>
        <v>0</v>
      </c>
      <c r="U182" s="5">
        <f t="shared" si="178"/>
        <v>0</v>
      </c>
      <c r="V182" s="5">
        <f t="shared" si="178"/>
        <v>0</v>
      </c>
      <c r="W182" s="5">
        <f t="shared" si="178"/>
        <v>0</v>
      </c>
      <c r="X182" s="5">
        <f t="shared" si="178"/>
        <v>0</v>
      </c>
      <c r="Y182" s="5">
        <f t="shared" si="178"/>
        <v>0</v>
      </c>
      <c r="Z182" s="5">
        <f t="shared" si="178"/>
        <v>0</v>
      </c>
      <c r="AA182" s="5">
        <f t="shared" si="178"/>
        <v>0</v>
      </c>
      <c r="AB182" s="5">
        <f t="shared" si="178"/>
        <v>0</v>
      </c>
      <c r="AC182" s="5">
        <f t="shared" si="178"/>
        <v>0</v>
      </c>
      <c r="AD182" s="5">
        <f t="shared" si="178"/>
        <v>0</v>
      </c>
      <c r="AE182" s="5">
        <f t="shared" si="178"/>
        <v>0</v>
      </c>
      <c r="AF182" s="5">
        <f t="shared" si="178"/>
        <v>0</v>
      </c>
      <c r="AG182" s="5">
        <f t="shared" si="178"/>
        <v>0</v>
      </c>
      <c r="AH182" s="5">
        <f t="shared" si="178"/>
        <v>0</v>
      </c>
      <c r="AI182" s="5">
        <f t="shared" si="178"/>
        <v>0</v>
      </c>
      <c r="AJ182" s="5">
        <f t="shared" si="178"/>
        <v>0</v>
      </c>
      <c r="AK182" s="5">
        <f t="shared" si="178"/>
        <v>0</v>
      </c>
      <c r="AL182" s="5">
        <f t="shared" si="178"/>
        <v>0</v>
      </c>
      <c r="AM182" s="5">
        <f t="shared" si="178"/>
        <v>0</v>
      </c>
      <c r="AN182" s="5">
        <f t="shared" si="178"/>
        <v>0</v>
      </c>
      <c r="AO182" s="5">
        <f t="shared" si="178"/>
        <v>0</v>
      </c>
      <c r="AP182" s="5">
        <f t="shared" si="178"/>
        <v>0</v>
      </c>
      <c r="AQ182" s="5">
        <f t="shared" si="178"/>
        <v>0</v>
      </c>
      <c r="AR182" s="5">
        <f t="shared" si="178"/>
        <v>0</v>
      </c>
      <c r="AS182" s="5">
        <f t="shared" si="178"/>
        <v>0</v>
      </c>
      <c r="AT182" s="5">
        <f t="shared" si="178"/>
        <v>0</v>
      </c>
      <c r="AU182" s="5">
        <f t="shared" si="178"/>
        <v>0</v>
      </c>
      <c r="AV182" s="5">
        <f t="shared" si="178"/>
        <v>1</v>
      </c>
      <c r="AW182" s="5">
        <f t="shared" si="178"/>
        <v>1</v>
      </c>
      <c r="AX182" s="5">
        <f t="shared" si="178"/>
        <v>1</v>
      </c>
      <c r="AY182" s="5">
        <f t="shared" si="178"/>
        <v>1</v>
      </c>
      <c r="AZ182" s="5">
        <f t="shared" si="178"/>
        <v>1</v>
      </c>
      <c r="BA182" s="5">
        <f t="shared" si="178"/>
        <v>1</v>
      </c>
      <c r="BB182" s="8"/>
      <c r="BC182" s="8"/>
      <c r="BD182" s="8"/>
      <c r="BE182" s="8"/>
      <c r="BF182" s="8"/>
      <c r="BG182" s="8"/>
      <c r="BH182" s="8"/>
      <c r="BI182" s="8"/>
    </row>
    <row r="183" ht="12.75" customHeight="1">
      <c r="A183" s="17">
        <v>286.0</v>
      </c>
      <c r="B183" s="17" t="s">
        <v>639</v>
      </c>
      <c r="C183" s="17" t="s">
        <v>640</v>
      </c>
      <c r="D183" s="17" t="s">
        <v>641</v>
      </c>
      <c r="E183" s="8"/>
      <c r="F183" s="17">
        <v>46181.0</v>
      </c>
      <c r="G183" s="17" t="s">
        <v>23</v>
      </c>
      <c r="H183" s="17">
        <v>46181.0</v>
      </c>
      <c r="I183" s="17" t="s">
        <v>34</v>
      </c>
      <c r="J183" s="17" t="s">
        <v>130</v>
      </c>
      <c r="K183" s="17" t="s">
        <v>25</v>
      </c>
      <c r="L183" s="17" t="s">
        <v>642</v>
      </c>
      <c r="M183" s="17" t="s">
        <v>39</v>
      </c>
      <c r="N183" s="17" t="s">
        <v>239</v>
      </c>
      <c r="O183" s="17" t="s">
        <v>30</v>
      </c>
      <c r="P183" s="7" t="s">
        <v>132</v>
      </c>
      <c r="Q183" s="7" t="str">
        <f t="array" ref="Q183">IF($M183="Yes","Cost of Goods Sold:COGS- Travel Expenses:",IF($M183="No",XLOOKUP($P183,Key!$I:$I,Key!$J:$J),"Review Billable Status"))</f>
        <v>Cost of Goods Sold:COGS- Travel Expenses:</v>
      </c>
      <c r="R183" s="7" t="str">
        <f t="array" ref="R183">IF($M183="Yes","Cost of Goods Sold:COGS- Personnel Expense:",IF($M183="No",XLOOKUP($P183,Key!$I:$I,Key!$K:$K),"Review Billable Status"))</f>
        <v>Cost of Goods Sold:COGS- Personnel Expense:</v>
      </c>
      <c r="S183" s="10" t="str">
        <f t="array" ref="S183">IF($G183="Paid Intern","PD Intern",IF($G183="Contractor/Consultant","Contractor",XLOOKUP(M183&amp;P183,Key!$M:$M,Key!$L:$L)))</f>
        <v>COR</v>
      </c>
      <c r="T183" s="5">
        <f t="shared" ref="T183:BA183" si="179">IF(OR($F183&gt;T$12,AND($G183="Terminated",T$12&gt;=$H183)),0,1)</f>
        <v>0</v>
      </c>
      <c r="U183" s="5">
        <f t="shared" si="179"/>
        <v>0</v>
      </c>
      <c r="V183" s="5">
        <f t="shared" si="179"/>
        <v>0</v>
      </c>
      <c r="W183" s="8">
        <f t="shared" si="179"/>
        <v>0</v>
      </c>
      <c r="X183" s="8">
        <f t="shared" si="179"/>
        <v>0</v>
      </c>
      <c r="Y183" s="8">
        <f t="shared" si="179"/>
        <v>0</v>
      </c>
      <c r="Z183" s="8">
        <f t="shared" si="179"/>
        <v>0</v>
      </c>
      <c r="AA183" s="8">
        <f t="shared" si="179"/>
        <v>0</v>
      </c>
      <c r="AB183" s="8">
        <f t="shared" si="179"/>
        <v>0</v>
      </c>
      <c r="AC183" s="8">
        <f t="shared" si="179"/>
        <v>0</v>
      </c>
      <c r="AD183" s="8">
        <f t="shared" si="179"/>
        <v>0</v>
      </c>
      <c r="AE183" s="8">
        <f t="shared" si="179"/>
        <v>0</v>
      </c>
      <c r="AF183" s="8">
        <f t="shared" si="179"/>
        <v>0</v>
      </c>
      <c r="AG183" s="8">
        <f t="shared" si="179"/>
        <v>0</v>
      </c>
      <c r="AH183" s="8">
        <f t="shared" si="179"/>
        <v>0</v>
      </c>
      <c r="AI183" s="8">
        <f t="shared" si="179"/>
        <v>0</v>
      </c>
      <c r="AJ183" s="8">
        <f t="shared" si="179"/>
        <v>0</v>
      </c>
      <c r="AK183" s="8">
        <f t="shared" si="179"/>
        <v>0</v>
      </c>
      <c r="AL183" s="8">
        <f t="shared" si="179"/>
        <v>0</v>
      </c>
      <c r="AM183" s="8">
        <f t="shared" si="179"/>
        <v>0</v>
      </c>
      <c r="AN183" s="8">
        <f t="shared" si="179"/>
        <v>0</v>
      </c>
      <c r="AO183" s="8">
        <f t="shared" si="179"/>
        <v>0</v>
      </c>
      <c r="AP183" s="8">
        <f t="shared" si="179"/>
        <v>0</v>
      </c>
      <c r="AQ183" s="8">
        <f t="shared" si="179"/>
        <v>0</v>
      </c>
      <c r="AR183" s="8">
        <f t="shared" si="179"/>
        <v>0</v>
      </c>
      <c r="AS183" s="8">
        <f t="shared" si="179"/>
        <v>0</v>
      </c>
      <c r="AT183" s="8">
        <f t="shared" si="179"/>
        <v>0</v>
      </c>
      <c r="AU183" s="8">
        <f t="shared" si="179"/>
        <v>1</v>
      </c>
      <c r="AV183" s="8">
        <f t="shared" si="179"/>
        <v>1</v>
      </c>
      <c r="AW183" s="8">
        <f t="shared" si="179"/>
        <v>1</v>
      </c>
      <c r="AX183" s="8">
        <f t="shared" si="179"/>
        <v>1</v>
      </c>
      <c r="AY183" s="8">
        <f t="shared" si="179"/>
        <v>1</v>
      </c>
      <c r="AZ183" s="8">
        <f t="shared" si="179"/>
        <v>1</v>
      </c>
      <c r="BA183" s="8">
        <f t="shared" si="179"/>
        <v>1</v>
      </c>
      <c r="BB183" s="8"/>
      <c r="BC183" s="8"/>
      <c r="BD183" s="8"/>
      <c r="BE183" s="8"/>
      <c r="BF183" s="8"/>
      <c r="BG183" s="8"/>
      <c r="BH183" s="8"/>
      <c r="BI183" s="8"/>
    </row>
    <row r="184" ht="12.75" customHeight="1">
      <c r="A184" s="17">
        <v>287.0</v>
      </c>
      <c r="B184" s="17" t="s">
        <v>643</v>
      </c>
      <c r="C184" s="17" t="s">
        <v>644</v>
      </c>
      <c r="D184" s="17" t="s">
        <v>645</v>
      </c>
      <c r="E184" s="8"/>
      <c r="F184" s="18">
        <v>46195.0</v>
      </c>
      <c r="G184" s="8"/>
      <c r="H184" s="8"/>
      <c r="I184" s="8"/>
      <c r="J184" s="8"/>
      <c r="K184" s="8"/>
      <c r="L184" s="8"/>
      <c r="M184" s="17" t="s">
        <v>39</v>
      </c>
      <c r="N184" s="8"/>
      <c r="O184" s="17" t="s">
        <v>458</v>
      </c>
      <c r="P184" s="7"/>
      <c r="Q184" s="7" t="str">
        <f t="array" ref="Q184">IF($M184="Yes","Cost of Goods Sold:COGS- Travel Expenses:",IF($M184="No",XLOOKUP($P184,Key!$I:$I,Key!$J:$J),"Review Billable Status"))</f>
        <v>Cost of Goods Sold:COGS- Travel Expenses:</v>
      </c>
      <c r="R184" s="7" t="str">
        <f t="array" ref="R184">IF($M184="Yes","Cost of Goods Sold:COGS- Personnel Expense:",IF($M184="No",XLOOKUP($P184,Key!$I:$I,Key!$K:$K),"Review Billable Status"))</f>
        <v>Cost of Goods Sold:COGS- Personnel Expense:</v>
      </c>
      <c r="S184" s="10" t="str">
        <f t="array" ref="S184">IF($G184="Paid Intern","PD Intern",IF($G184="Contractor/Consultant","Contractor",XLOOKUP(M184&amp;P184,Key!$M:$M,Key!$L:$L)))</f>
        <v>#N/A</v>
      </c>
      <c r="T184" s="17">
        <f t="shared" ref="T184:BA184" si="180">IF(OR($F184&gt;T$12,AND($G184="Terminated",T$12&gt;=$H184)),0,1)</f>
        <v>0</v>
      </c>
      <c r="U184" s="17">
        <f t="shared" si="180"/>
        <v>0</v>
      </c>
      <c r="V184" s="17">
        <f t="shared" si="180"/>
        <v>0</v>
      </c>
      <c r="W184" s="17">
        <f t="shared" si="180"/>
        <v>0</v>
      </c>
      <c r="X184" s="17">
        <f t="shared" si="180"/>
        <v>0</v>
      </c>
      <c r="Y184" s="17">
        <f t="shared" si="180"/>
        <v>0</v>
      </c>
      <c r="Z184" s="17">
        <f t="shared" si="180"/>
        <v>0</v>
      </c>
      <c r="AA184" s="17">
        <f t="shared" si="180"/>
        <v>0</v>
      </c>
      <c r="AB184" s="17">
        <f t="shared" si="180"/>
        <v>0</v>
      </c>
      <c r="AC184" s="17">
        <f t="shared" si="180"/>
        <v>0</v>
      </c>
      <c r="AD184" s="17">
        <f t="shared" si="180"/>
        <v>0</v>
      </c>
      <c r="AE184" s="17">
        <f t="shared" si="180"/>
        <v>0</v>
      </c>
      <c r="AF184" s="17">
        <f t="shared" si="180"/>
        <v>0</v>
      </c>
      <c r="AG184" s="17">
        <f t="shared" si="180"/>
        <v>0</v>
      </c>
      <c r="AH184" s="17">
        <f t="shared" si="180"/>
        <v>0</v>
      </c>
      <c r="AI184" s="17">
        <f t="shared" si="180"/>
        <v>0</v>
      </c>
      <c r="AJ184" s="17">
        <f t="shared" si="180"/>
        <v>0</v>
      </c>
      <c r="AK184" s="17">
        <f t="shared" si="180"/>
        <v>0</v>
      </c>
      <c r="AL184" s="17">
        <f t="shared" si="180"/>
        <v>0</v>
      </c>
      <c r="AM184" s="17">
        <f t="shared" si="180"/>
        <v>0</v>
      </c>
      <c r="AN184" s="17">
        <f t="shared" si="180"/>
        <v>0</v>
      </c>
      <c r="AO184" s="17">
        <f t="shared" si="180"/>
        <v>0</v>
      </c>
      <c r="AP184" s="17">
        <f t="shared" si="180"/>
        <v>0</v>
      </c>
      <c r="AQ184" s="17">
        <f t="shared" si="180"/>
        <v>0</v>
      </c>
      <c r="AR184" s="17">
        <f t="shared" si="180"/>
        <v>0</v>
      </c>
      <c r="AS184" s="17">
        <f t="shared" si="180"/>
        <v>0</v>
      </c>
      <c r="AT184" s="17">
        <f t="shared" si="180"/>
        <v>0</v>
      </c>
      <c r="AU184" s="17">
        <f t="shared" si="180"/>
        <v>1</v>
      </c>
      <c r="AV184" s="17">
        <f t="shared" si="180"/>
        <v>1</v>
      </c>
      <c r="AW184" s="17">
        <f t="shared" si="180"/>
        <v>1</v>
      </c>
      <c r="AX184" s="17">
        <f t="shared" si="180"/>
        <v>1</v>
      </c>
      <c r="AY184" s="17">
        <f t="shared" si="180"/>
        <v>1</v>
      </c>
      <c r="AZ184" s="17">
        <f t="shared" si="180"/>
        <v>1</v>
      </c>
      <c r="BA184" s="17">
        <f t="shared" si="180"/>
        <v>1</v>
      </c>
      <c r="BB184" s="8"/>
      <c r="BC184" s="8"/>
      <c r="BD184" s="8"/>
      <c r="BE184" s="8"/>
      <c r="BF184" s="8"/>
      <c r="BG184" s="8"/>
      <c r="BH184" s="8"/>
      <c r="BI184" s="8"/>
    </row>
    <row r="185" ht="12.75" customHeight="1">
      <c r="A185" s="17">
        <v>289.0</v>
      </c>
      <c r="B185" s="17" t="s">
        <v>646</v>
      </c>
      <c r="C185" s="17" t="s">
        <v>647</v>
      </c>
      <c r="D185" s="17" t="s">
        <v>648</v>
      </c>
      <c r="E185" s="8"/>
      <c r="F185" s="18">
        <v>46212.0</v>
      </c>
      <c r="G185" s="8"/>
      <c r="H185" s="8"/>
      <c r="I185" s="8"/>
      <c r="J185" s="8"/>
      <c r="K185" s="8"/>
      <c r="L185" s="8"/>
      <c r="M185" s="17" t="s">
        <v>28</v>
      </c>
      <c r="N185" s="8"/>
      <c r="O185" s="17" t="s">
        <v>649</v>
      </c>
      <c r="P185" s="7"/>
      <c r="Q185" s="7" t="str">
        <f t="array" ref="Q185">IF($M185="Yes","Cost of Goods Sold:COGS- Travel Expenses:",IF($M185="No",XLOOKUP($P185,Key!$I:$I,Key!$J:$J),"Review Billable Status"))</f>
        <v>#N/A</v>
      </c>
      <c r="R185" s="7" t="str">
        <f t="array" ref="R185">IF($M185="Yes","Cost of Goods Sold:COGS- Personnel Expense:",IF($M185="No",XLOOKUP($P185,Key!$I:$I,Key!$K:$K),"Review Billable Status"))</f>
        <v>#N/A</v>
      </c>
      <c r="S185" s="10" t="str">
        <f t="array" ref="S185">IF($G185="Paid Intern","PD Intern",IF($G185="Contractor/Consultant","Contractor",XLOOKUP(M185&amp;P185,Key!$M:$M,Key!$L:$L)))</f>
        <v>#N/A</v>
      </c>
      <c r="T185" s="17">
        <f t="shared" ref="T185:BA185" si="181">IF(OR($F185&gt;T$12,AND($G185="Terminated",T$12&gt;=$H185)),0,1)</f>
        <v>0</v>
      </c>
      <c r="U185" s="17">
        <f t="shared" si="181"/>
        <v>0</v>
      </c>
      <c r="V185" s="17">
        <f t="shared" si="181"/>
        <v>0</v>
      </c>
      <c r="W185" s="17">
        <f t="shared" si="181"/>
        <v>0</v>
      </c>
      <c r="X185" s="17">
        <f t="shared" si="181"/>
        <v>0</v>
      </c>
      <c r="Y185" s="17">
        <f t="shared" si="181"/>
        <v>0</v>
      </c>
      <c r="Z185" s="17">
        <f t="shared" si="181"/>
        <v>0</v>
      </c>
      <c r="AA185" s="17">
        <f t="shared" si="181"/>
        <v>0</v>
      </c>
      <c r="AB185" s="17">
        <f t="shared" si="181"/>
        <v>0</v>
      </c>
      <c r="AC185" s="17">
        <f t="shared" si="181"/>
        <v>0</v>
      </c>
      <c r="AD185" s="17">
        <f t="shared" si="181"/>
        <v>0</v>
      </c>
      <c r="AE185" s="17">
        <f t="shared" si="181"/>
        <v>0</v>
      </c>
      <c r="AF185" s="17">
        <f t="shared" si="181"/>
        <v>0</v>
      </c>
      <c r="AG185" s="17">
        <f t="shared" si="181"/>
        <v>0</v>
      </c>
      <c r="AH185" s="17">
        <f t="shared" si="181"/>
        <v>0</v>
      </c>
      <c r="AI185" s="17">
        <f t="shared" si="181"/>
        <v>0</v>
      </c>
      <c r="AJ185" s="17">
        <f t="shared" si="181"/>
        <v>0</v>
      </c>
      <c r="AK185" s="17">
        <f t="shared" si="181"/>
        <v>0</v>
      </c>
      <c r="AL185" s="17">
        <f t="shared" si="181"/>
        <v>0</v>
      </c>
      <c r="AM185" s="17">
        <f t="shared" si="181"/>
        <v>0</v>
      </c>
      <c r="AN185" s="17">
        <f t="shared" si="181"/>
        <v>0</v>
      </c>
      <c r="AO185" s="17">
        <f t="shared" si="181"/>
        <v>0</v>
      </c>
      <c r="AP185" s="17">
        <f t="shared" si="181"/>
        <v>0</v>
      </c>
      <c r="AQ185" s="17">
        <f t="shared" si="181"/>
        <v>0</v>
      </c>
      <c r="AR185" s="17">
        <f t="shared" si="181"/>
        <v>0</v>
      </c>
      <c r="AS185" s="17">
        <f t="shared" si="181"/>
        <v>0</v>
      </c>
      <c r="AT185" s="17">
        <f t="shared" si="181"/>
        <v>0</v>
      </c>
      <c r="AU185" s="17">
        <f t="shared" si="181"/>
        <v>0</v>
      </c>
      <c r="AV185" s="17">
        <f t="shared" si="181"/>
        <v>1</v>
      </c>
      <c r="AW185" s="17">
        <f t="shared" si="181"/>
        <v>1</v>
      </c>
      <c r="AX185" s="17">
        <f t="shared" si="181"/>
        <v>1</v>
      </c>
      <c r="AY185" s="17">
        <f t="shared" si="181"/>
        <v>1</v>
      </c>
      <c r="AZ185" s="17">
        <f t="shared" si="181"/>
        <v>1</v>
      </c>
      <c r="BA185" s="17">
        <f t="shared" si="181"/>
        <v>1</v>
      </c>
      <c r="BB185" s="8"/>
      <c r="BC185" s="8"/>
      <c r="BD185" s="8"/>
      <c r="BE185" s="8"/>
      <c r="BF185" s="8"/>
      <c r="BG185" s="8"/>
      <c r="BH185" s="8"/>
      <c r="BI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10"/>
      <c r="Q186" s="10"/>
      <c r="R186" s="10"/>
      <c r="S186" s="10"/>
      <c r="T186" s="5"/>
      <c r="U186" s="5"/>
      <c r="V186" s="5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10"/>
      <c r="Q187" s="10"/>
      <c r="R187" s="10"/>
      <c r="S187" s="10"/>
      <c r="T187" s="5"/>
      <c r="U187" s="5"/>
      <c r="V187" s="5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10"/>
      <c r="Q188" s="10"/>
      <c r="R188" s="10"/>
      <c r="S188" s="10"/>
      <c r="T188" s="5"/>
      <c r="U188" s="5"/>
      <c r="V188" s="5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10"/>
      <c r="Q189" s="10"/>
      <c r="R189" s="10"/>
      <c r="S189" s="10"/>
      <c r="T189" s="5"/>
      <c r="U189" s="5"/>
      <c r="V189" s="5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10"/>
      <c r="Q190" s="10"/>
      <c r="R190" s="10"/>
      <c r="S190" s="10"/>
      <c r="T190" s="5"/>
      <c r="U190" s="5"/>
      <c r="V190" s="5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10"/>
      <c r="Q191" s="10"/>
      <c r="R191" s="10"/>
      <c r="S191" s="10"/>
      <c r="T191" s="5"/>
      <c r="U191" s="5"/>
      <c r="V191" s="5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10"/>
      <c r="Q192" s="10"/>
      <c r="R192" s="10"/>
      <c r="S192" s="10"/>
      <c r="T192" s="5"/>
      <c r="U192" s="5"/>
      <c r="V192" s="5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10"/>
      <c r="Q193" s="10"/>
      <c r="R193" s="10"/>
      <c r="S193" s="10"/>
      <c r="T193" s="5"/>
      <c r="U193" s="5"/>
      <c r="V193" s="5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10"/>
      <c r="Q194" s="10"/>
      <c r="R194" s="10"/>
      <c r="S194" s="10"/>
      <c r="T194" s="5"/>
      <c r="U194" s="5"/>
      <c r="V194" s="5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10"/>
      <c r="Q195" s="10"/>
      <c r="R195" s="10"/>
      <c r="S195" s="10"/>
      <c r="T195" s="5"/>
      <c r="U195" s="5"/>
      <c r="V195" s="5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10"/>
      <c r="Q196" s="10"/>
      <c r="R196" s="10"/>
      <c r="S196" s="10"/>
      <c r="T196" s="5"/>
      <c r="U196" s="5"/>
      <c r="V196" s="5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10"/>
      <c r="Q197" s="10"/>
      <c r="R197" s="10"/>
      <c r="S197" s="10"/>
      <c r="T197" s="5"/>
      <c r="U197" s="5"/>
      <c r="V197" s="5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10"/>
      <c r="Q198" s="10"/>
      <c r="R198" s="10"/>
      <c r="S198" s="10"/>
      <c r="T198" s="5"/>
      <c r="U198" s="5"/>
      <c r="V198" s="5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10"/>
      <c r="Q199" s="10"/>
      <c r="R199" s="10"/>
      <c r="S199" s="10"/>
      <c r="T199" s="5"/>
      <c r="U199" s="5"/>
      <c r="V199" s="5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10"/>
      <c r="Q200" s="10"/>
      <c r="R200" s="10"/>
      <c r="S200" s="10"/>
      <c r="T200" s="5"/>
      <c r="U200" s="5"/>
      <c r="V200" s="5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10"/>
      <c r="Q201" s="10"/>
      <c r="R201" s="10"/>
      <c r="S201" s="10"/>
      <c r="T201" s="5"/>
      <c r="U201" s="5"/>
      <c r="V201" s="5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10"/>
      <c r="Q202" s="10"/>
      <c r="R202" s="10"/>
      <c r="S202" s="10"/>
      <c r="T202" s="5"/>
      <c r="U202" s="5"/>
      <c r="V202" s="5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10"/>
      <c r="Q203" s="10"/>
      <c r="R203" s="10"/>
      <c r="S203" s="10"/>
      <c r="T203" s="5"/>
      <c r="U203" s="5"/>
      <c r="V203" s="5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10"/>
      <c r="Q204" s="10"/>
      <c r="R204" s="10"/>
      <c r="S204" s="10"/>
      <c r="T204" s="5"/>
      <c r="U204" s="5"/>
      <c r="V204" s="5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10"/>
      <c r="Q205" s="10"/>
      <c r="R205" s="10"/>
      <c r="S205" s="10"/>
      <c r="T205" s="5"/>
      <c r="U205" s="5"/>
      <c r="V205" s="5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10"/>
      <c r="Q206" s="10"/>
      <c r="R206" s="10"/>
      <c r="S206" s="10"/>
      <c r="T206" s="5"/>
      <c r="U206" s="5"/>
      <c r="V206" s="5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10"/>
      <c r="Q207" s="10"/>
      <c r="R207" s="10"/>
      <c r="S207" s="10"/>
      <c r="T207" s="5"/>
      <c r="U207" s="5"/>
      <c r="V207" s="5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10"/>
      <c r="Q208" s="10"/>
      <c r="R208" s="10"/>
      <c r="S208" s="10"/>
      <c r="T208" s="5"/>
      <c r="U208" s="5"/>
      <c r="V208" s="5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10"/>
      <c r="Q209" s="10"/>
      <c r="R209" s="10"/>
      <c r="S209" s="10"/>
      <c r="T209" s="5"/>
      <c r="U209" s="5"/>
      <c r="V209" s="5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10"/>
      <c r="Q210" s="10"/>
      <c r="R210" s="10"/>
      <c r="S210" s="10"/>
      <c r="T210" s="5"/>
      <c r="U210" s="5"/>
      <c r="V210" s="5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10"/>
      <c r="Q211" s="10"/>
      <c r="R211" s="10"/>
      <c r="S211" s="10"/>
      <c r="T211" s="5"/>
      <c r="U211" s="5"/>
      <c r="V211" s="5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10"/>
      <c r="Q212" s="10"/>
      <c r="R212" s="10"/>
      <c r="S212" s="10"/>
      <c r="T212" s="5"/>
      <c r="U212" s="5"/>
      <c r="V212" s="5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10"/>
      <c r="Q213" s="10"/>
      <c r="R213" s="10"/>
      <c r="S213" s="10"/>
      <c r="T213" s="5"/>
      <c r="U213" s="5"/>
      <c r="V213" s="5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10"/>
      <c r="Q214" s="10"/>
      <c r="R214" s="10"/>
      <c r="S214" s="10"/>
      <c r="T214" s="5"/>
      <c r="U214" s="5"/>
      <c r="V214" s="5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10"/>
      <c r="Q215" s="10"/>
      <c r="R215" s="10"/>
      <c r="S215" s="10"/>
      <c r="T215" s="5"/>
      <c r="U215" s="5"/>
      <c r="V215" s="5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10"/>
      <c r="Q216" s="10"/>
      <c r="R216" s="10"/>
      <c r="S216" s="10"/>
      <c r="T216" s="5"/>
      <c r="U216" s="5"/>
      <c r="V216" s="5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10"/>
      <c r="Q217" s="10"/>
      <c r="R217" s="10"/>
      <c r="S217" s="10"/>
      <c r="T217" s="5"/>
      <c r="U217" s="5"/>
      <c r="V217" s="5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10"/>
      <c r="Q218" s="10"/>
      <c r="R218" s="10"/>
      <c r="S218" s="10"/>
      <c r="T218" s="5"/>
      <c r="U218" s="5"/>
      <c r="V218" s="5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10"/>
      <c r="Q219" s="10"/>
      <c r="R219" s="10"/>
      <c r="S219" s="10"/>
      <c r="T219" s="5"/>
      <c r="U219" s="5"/>
      <c r="V219" s="5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10"/>
      <c r="Q220" s="10"/>
      <c r="R220" s="10"/>
      <c r="S220" s="10"/>
      <c r="T220" s="5"/>
      <c r="U220" s="5"/>
      <c r="V220" s="5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10"/>
      <c r="Q221" s="10"/>
      <c r="R221" s="10"/>
      <c r="S221" s="10"/>
      <c r="T221" s="5"/>
      <c r="U221" s="5"/>
      <c r="V221" s="5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10"/>
      <c r="Q222" s="10"/>
      <c r="R222" s="10"/>
      <c r="S222" s="10"/>
      <c r="T222" s="5"/>
      <c r="U222" s="5"/>
      <c r="V222" s="5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10"/>
      <c r="Q223" s="10"/>
      <c r="R223" s="10"/>
      <c r="S223" s="10"/>
      <c r="T223" s="5"/>
      <c r="U223" s="5"/>
      <c r="V223" s="5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10"/>
      <c r="Q224" s="10"/>
      <c r="R224" s="10"/>
      <c r="S224" s="10"/>
      <c r="T224" s="5"/>
      <c r="U224" s="5"/>
      <c r="V224" s="5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10"/>
      <c r="Q225" s="10"/>
      <c r="R225" s="10"/>
      <c r="S225" s="10"/>
      <c r="T225" s="5"/>
      <c r="U225" s="5"/>
      <c r="V225" s="5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10"/>
      <c r="Q226" s="10"/>
      <c r="R226" s="10"/>
      <c r="S226" s="10"/>
      <c r="T226" s="5"/>
      <c r="U226" s="5"/>
      <c r="V226" s="5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10"/>
      <c r="Q227" s="10"/>
      <c r="R227" s="10"/>
      <c r="S227" s="10"/>
      <c r="T227" s="5"/>
      <c r="U227" s="5"/>
      <c r="V227" s="5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10"/>
      <c r="Q228" s="10"/>
      <c r="R228" s="10"/>
      <c r="S228" s="10"/>
      <c r="T228" s="5"/>
      <c r="U228" s="5"/>
      <c r="V228" s="5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10"/>
      <c r="Q229" s="10"/>
      <c r="R229" s="10"/>
      <c r="S229" s="10"/>
      <c r="T229" s="5"/>
      <c r="U229" s="5"/>
      <c r="V229" s="5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10"/>
      <c r="Q230" s="10"/>
      <c r="R230" s="10"/>
      <c r="S230" s="10"/>
      <c r="T230" s="5"/>
      <c r="U230" s="5"/>
      <c r="V230" s="5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10"/>
      <c r="Q231" s="10"/>
      <c r="R231" s="10"/>
      <c r="S231" s="10"/>
      <c r="T231" s="5"/>
      <c r="U231" s="5"/>
      <c r="V231" s="5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10"/>
      <c r="Q232" s="10"/>
      <c r="R232" s="10"/>
      <c r="S232" s="10"/>
      <c r="T232" s="5"/>
      <c r="U232" s="5"/>
      <c r="V232" s="5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10"/>
      <c r="Q233" s="10"/>
      <c r="R233" s="10"/>
      <c r="S233" s="10"/>
      <c r="T233" s="5"/>
      <c r="U233" s="5"/>
      <c r="V233" s="5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10"/>
      <c r="Q234" s="10"/>
      <c r="R234" s="10"/>
      <c r="S234" s="10"/>
      <c r="T234" s="5"/>
      <c r="U234" s="5"/>
      <c r="V234" s="5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10"/>
      <c r="Q235" s="10"/>
      <c r="R235" s="10"/>
      <c r="S235" s="10"/>
      <c r="T235" s="5"/>
      <c r="U235" s="5"/>
      <c r="V235" s="5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10"/>
      <c r="Q236" s="10"/>
      <c r="R236" s="10"/>
      <c r="S236" s="10"/>
      <c r="T236" s="5"/>
      <c r="U236" s="5"/>
      <c r="V236" s="5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10"/>
      <c r="Q237" s="10"/>
      <c r="R237" s="10"/>
      <c r="S237" s="10"/>
      <c r="T237" s="5"/>
      <c r="U237" s="5"/>
      <c r="V237" s="5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10"/>
      <c r="Q238" s="10"/>
      <c r="R238" s="10"/>
      <c r="S238" s="10"/>
      <c r="T238" s="5"/>
      <c r="U238" s="5"/>
      <c r="V238" s="5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10"/>
      <c r="Q239" s="10"/>
      <c r="R239" s="10"/>
      <c r="S239" s="10"/>
      <c r="T239" s="5"/>
      <c r="U239" s="5"/>
      <c r="V239" s="5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10"/>
      <c r="Q240" s="10"/>
      <c r="R240" s="10"/>
      <c r="S240" s="10"/>
      <c r="T240" s="5"/>
      <c r="U240" s="5"/>
      <c r="V240" s="5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10"/>
      <c r="Q241" s="10"/>
      <c r="R241" s="10"/>
      <c r="S241" s="10"/>
      <c r="T241" s="5"/>
      <c r="U241" s="5"/>
      <c r="V241" s="5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10"/>
      <c r="Q242" s="10"/>
      <c r="R242" s="10"/>
      <c r="S242" s="10"/>
      <c r="T242" s="5"/>
      <c r="U242" s="5"/>
      <c r="V242" s="5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10"/>
      <c r="Q243" s="10"/>
      <c r="R243" s="10"/>
      <c r="S243" s="10"/>
      <c r="T243" s="5"/>
      <c r="U243" s="5"/>
      <c r="V243" s="5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10"/>
      <c r="Q244" s="10"/>
      <c r="R244" s="10"/>
      <c r="S244" s="10"/>
      <c r="T244" s="5"/>
      <c r="U244" s="5"/>
      <c r="V244" s="5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10"/>
      <c r="Q245" s="10"/>
      <c r="R245" s="10"/>
      <c r="S245" s="10"/>
      <c r="T245" s="5"/>
      <c r="U245" s="5"/>
      <c r="V245" s="5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10"/>
      <c r="Q246" s="10"/>
      <c r="R246" s="10"/>
      <c r="S246" s="10"/>
      <c r="T246" s="5"/>
      <c r="U246" s="5"/>
      <c r="V246" s="5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10"/>
      <c r="Q247" s="10"/>
      <c r="R247" s="10"/>
      <c r="S247" s="10"/>
      <c r="T247" s="5"/>
      <c r="U247" s="5"/>
      <c r="V247" s="5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10"/>
      <c r="Q248" s="10"/>
      <c r="R248" s="10"/>
      <c r="S248" s="10"/>
      <c r="T248" s="5"/>
      <c r="U248" s="5"/>
      <c r="V248" s="5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10"/>
      <c r="Q249" s="10"/>
      <c r="R249" s="10"/>
      <c r="S249" s="10"/>
      <c r="T249" s="5"/>
      <c r="U249" s="5"/>
      <c r="V249" s="5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10"/>
      <c r="Q250" s="10"/>
      <c r="R250" s="10"/>
      <c r="S250" s="10"/>
      <c r="T250" s="5"/>
      <c r="U250" s="5"/>
      <c r="V250" s="5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10"/>
      <c r="Q251" s="10"/>
      <c r="R251" s="10"/>
      <c r="S251" s="10"/>
      <c r="T251" s="5"/>
      <c r="U251" s="5"/>
      <c r="V251" s="5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10"/>
      <c r="Q252" s="10"/>
      <c r="R252" s="10"/>
      <c r="S252" s="10"/>
      <c r="T252" s="5"/>
      <c r="U252" s="5"/>
      <c r="V252" s="5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10"/>
      <c r="Q253" s="10"/>
      <c r="R253" s="10"/>
      <c r="S253" s="10"/>
      <c r="T253" s="5"/>
      <c r="U253" s="5"/>
      <c r="V253" s="5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10"/>
      <c r="Q254" s="10"/>
      <c r="R254" s="10"/>
      <c r="S254" s="10"/>
      <c r="T254" s="5"/>
      <c r="U254" s="5"/>
      <c r="V254" s="5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10"/>
      <c r="Q255" s="10"/>
      <c r="R255" s="10"/>
      <c r="S255" s="10"/>
      <c r="T255" s="5"/>
      <c r="U255" s="5"/>
      <c r="V255" s="5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10"/>
      <c r="Q256" s="10"/>
      <c r="R256" s="10"/>
      <c r="S256" s="10"/>
      <c r="T256" s="5"/>
      <c r="U256" s="5"/>
      <c r="V256" s="5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10"/>
      <c r="Q257" s="10"/>
      <c r="R257" s="10"/>
      <c r="S257" s="10"/>
      <c r="T257" s="5"/>
      <c r="U257" s="5"/>
      <c r="V257" s="5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10"/>
      <c r="Q258" s="10"/>
      <c r="R258" s="10"/>
      <c r="S258" s="10"/>
      <c r="T258" s="5"/>
      <c r="U258" s="5"/>
      <c r="V258" s="5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10"/>
      <c r="Q259" s="10"/>
      <c r="R259" s="10"/>
      <c r="S259" s="10"/>
      <c r="T259" s="5"/>
      <c r="U259" s="5"/>
      <c r="V259" s="5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10"/>
      <c r="Q260" s="10"/>
      <c r="R260" s="10"/>
      <c r="S260" s="10"/>
      <c r="T260" s="5"/>
      <c r="U260" s="5"/>
      <c r="V260" s="5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10"/>
      <c r="Q261" s="10"/>
      <c r="R261" s="10"/>
      <c r="S261" s="10"/>
      <c r="T261" s="5"/>
      <c r="U261" s="5"/>
      <c r="V261" s="5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10"/>
      <c r="Q262" s="10"/>
      <c r="R262" s="10"/>
      <c r="S262" s="10"/>
      <c r="T262" s="5"/>
      <c r="U262" s="5"/>
      <c r="V262" s="5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10"/>
      <c r="Q263" s="10"/>
      <c r="R263" s="10"/>
      <c r="S263" s="10"/>
      <c r="T263" s="5"/>
      <c r="U263" s="5"/>
      <c r="V263" s="5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10"/>
      <c r="Q264" s="10"/>
      <c r="R264" s="10"/>
      <c r="S264" s="10"/>
      <c r="T264" s="5"/>
      <c r="U264" s="5"/>
      <c r="V264" s="5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10"/>
      <c r="Q265" s="10"/>
      <c r="R265" s="10"/>
      <c r="S265" s="10"/>
      <c r="T265" s="5"/>
      <c r="U265" s="5"/>
      <c r="V265" s="5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10"/>
      <c r="Q266" s="10"/>
      <c r="R266" s="10"/>
      <c r="S266" s="10"/>
      <c r="T266" s="5"/>
      <c r="U266" s="5"/>
      <c r="V266" s="5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10"/>
      <c r="Q267" s="10"/>
      <c r="R267" s="10"/>
      <c r="S267" s="10"/>
      <c r="T267" s="5"/>
      <c r="U267" s="5"/>
      <c r="V267" s="5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10"/>
      <c r="Q268" s="10"/>
      <c r="R268" s="10"/>
      <c r="S268" s="10"/>
      <c r="T268" s="5"/>
      <c r="U268" s="5"/>
      <c r="V268" s="5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10"/>
      <c r="Q269" s="10"/>
      <c r="R269" s="10"/>
      <c r="S269" s="10"/>
      <c r="T269" s="5"/>
      <c r="U269" s="5"/>
      <c r="V269" s="5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10"/>
      <c r="Q270" s="10"/>
      <c r="R270" s="10"/>
      <c r="S270" s="10"/>
      <c r="T270" s="5"/>
      <c r="U270" s="5"/>
      <c r="V270" s="5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10"/>
      <c r="Q271" s="10"/>
      <c r="R271" s="10"/>
      <c r="S271" s="10"/>
      <c r="T271" s="5"/>
      <c r="U271" s="5"/>
      <c r="V271" s="5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10"/>
      <c r="Q272" s="10"/>
      <c r="R272" s="10"/>
      <c r="S272" s="10"/>
      <c r="T272" s="5"/>
      <c r="U272" s="5"/>
      <c r="V272" s="5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10"/>
      <c r="Q273" s="10"/>
      <c r="R273" s="10"/>
      <c r="S273" s="10"/>
      <c r="T273" s="5"/>
      <c r="U273" s="5"/>
      <c r="V273" s="5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10"/>
      <c r="Q274" s="10"/>
      <c r="R274" s="10"/>
      <c r="S274" s="10"/>
      <c r="T274" s="5"/>
      <c r="U274" s="5"/>
      <c r="V274" s="5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10"/>
      <c r="Q275" s="10"/>
      <c r="R275" s="10"/>
      <c r="S275" s="10"/>
      <c r="T275" s="5"/>
      <c r="U275" s="5"/>
      <c r="V275" s="5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10"/>
      <c r="Q276" s="10"/>
      <c r="R276" s="10"/>
      <c r="S276" s="10"/>
      <c r="T276" s="5"/>
      <c r="U276" s="5"/>
      <c r="V276" s="5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10"/>
      <c r="Q277" s="10"/>
      <c r="R277" s="10"/>
      <c r="S277" s="10"/>
      <c r="T277" s="5"/>
      <c r="U277" s="5"/>
      <c r="V277" s="5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10"/>
      <c r="Q278" s="10"/>
      <c r="R278" s="10"/>
      <c r="S278" s="10"/>
      <c r="T278" s="5"/>
      <c r="U278" s="5"/>
      <c r="V278" s="5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10"/>
      <c r="Q279" s="10"/>
      <c r="R279" s="10"/>
      <c r="S279" s="10"/>
      <c r="T279" s="5"/>
      <c r="U279" s="5"/>
      <c r="V279" s="5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10"/>
      <c r="Q280" s="10"/>
      <c r="R280" s="10"/>
      <c r="S280" s="10"/>
      <c r="T280" s="5"/>
      <c r="U280" s="5"/>
      <c r="V280" s="5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10"/>
      <c r="Q281" s="10"/>
      <c r="R281" s="10"/>
      <c r="S281" s="10"/>
      <c r="T281" s="5"/>
      <c r="U281" s="5"/>
      <c r="V281" s="5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10"/>
      <c r="Q282" s="10"/>
      <c r="R282" s="10"/>
      <c r="S282" s="10"/>
      <c r="T282" s="5"/>
      <c r="U282" s="5"/>
      <c r="V282" s="5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10"/>
      <c r="Q283" s="10"/>
      <c r="R283" s="10"/>
      <c r="S283" s="10"/>
      <c r="T283" s="5"/>
      <c r="U283" s="5"/>
      <c r="V283" s="5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10"/>
      <c r="Q284" s="10"/>
      <c r="R284" s="10"/>
      <c r="S284" s="10"/>
      <c r="T284" s="5"/>
      <c r="U284" s="5"/>
      <c r="V284" s="5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10"/>
      <c r="Q285" s="10"/>
      <c r="R285" s="10"/>
      <c r="S285" s="10"/>
      <c r="T285" s="5"/>
      <c r="U285" s="5"/>
      <c r="V285" s="5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10"/>
      <c r="Q286" s="10"/>
      <c r="R286" s="10"/>
      <c r="S286" s="10"/>
      <c r="T286" s="5"/>
      <c r="U286" s="5"/>
      <c r="V286" s="5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10"/>
      <c r="Q287" s="10"/>
      <c r="R287" s="10"/>
      <c r="S287" s="10"/>
      <c r="T287" s="5"/>
      <c r="U287" s="5"/>
      <c r="V287" s="5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10"/>
      <c r="Q288" s="10"/>
      <c r="R288" s="10"/>
      <c r="S288" s="10"/>
      <c r="T288" s="5"/>
      <c r="U288" s="5"/>
      <c r="V288" s="5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10"/>
      <c r="Q289" s="10"/>
      <c r="R289" s="10"/>
      <c r="S289" s="10"/>
      <c r="T289" s="5"/>
      <c r="U289" s="5"/>
      <c r="V289" s="5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10"/>
      <c r="Q290" s="10"/>
      <c r="R290" s="10"/>
      <c r="S290" s="10"/>
      <c r="T290" s="5"/>
      <c r="U290" s="5"/>
      <c r="V290" s="5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10"/>
      <c r="Q291" s="10"/>
      <c r="R291" s="10"/>
      <c r="S291" s="10"/>
      <c r="T291" s="5"/>
      <c r="U291" s="5"/>
      <c r="V291" s="5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10"/>
      <c r="Q292" s="10"/>
      <c r="R292" s="10"/>
      <c r="S292" s="10"/>
      <c r="T292" s="5"/>
      <c r="U292" s="5"/>
      <c r="V292" s="5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10"/>
      <c r="Q293" s="10"/>
      <c r="R293" s="10"/>
      <c r="S293" s="10"/>
      <c r="T293" s="5"/>
      <c r="U293" s="5"/>
      <c r="V293" s="5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10"/>
      <c r="Q294" s="10"/>
      <c r="R294" s="10"/>
      <c r="S294" s="10"/>
      <c r="T294" s="5"/>
      <c r="U294" s="5"/>
      <c r="V294" s="5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10"/>
      <c r="Q295" s="10"/>
      <c r="R295" s="10"/>
      <c r="S295" s="10"/>
      <c r="T295" s="5"/>
      <c r="U295" s="5"/>
      <c r="V295" s="5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10"/>
      <c r="Q296" s="10"/>
      <c r="R296" s="10"/>
      <c r="S296" s="10"/>
      <c r="T296" s="5"/>
      <c r="U296" s="5"/>
      <c r="V296" s="5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10"/>
      <c r="Q297" s="10"/>
      <c r="R297" s="10"/>
      <c r="S297" s="10"/>
      <c r="T297" s="5"/>
      <c r="U297" s="5"/>
      <c r="V297" s="5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10"/>
      <c r="Q298" s="10"/>
      <c r="R298" s="10"/>
      <c r="S298" s="10"/>
      <c r="T298" s="5"/>
      <c r="U298" s="5"/>
      <c r="V298" s="5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10"/>
      <c r="Q299" s="10"/>
      <c r="R299" s="10"/>
      <c r="S299" s="10"/>
      <c r="T299" s="5"/>
      <c r="U299" s="5"/>
      <c r="V299" s="5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10"/>
      <c r="Q300" s="10"/>
      <c r="R300" s="10"/>
      <c r="S300" s="10"/>
      <c r="T300" s="5"/>
      <c r="U300" s="5"/>
      <c r="V300" s="5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10"/>
      <c r="Q301" s="10"/>
      <c r="R301" s="10"/>
      <c r="S301" s="10"/>
      <c r="T301" s="5"/>
      <c r="U301" s="5"/>
      <c r="V301" s="5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10"/>
      <c r="Q302" s="10"/>
      <c r="R302" s="10"/>
      <c r="S302" s="10"/>
      <c r="T302" s="5"/>
      <c r="U302" s="5"/>
      <c r="V302" s="5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10"/>
      <c r="Q303" s="10"/>
      <c r="R303" s="10"/>
      <c r="S303" s="10"/>
      <c r="T303" s="5"/>
      <c r="U303" s="5"/>
      <c r="V303" s="5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10"/>
      <c r="Q304" s="10"/>
      <c r="R304" s="10"/>
      <c r="S304" s="10"/>
      <c r="T304" s="5"/>
      <c r="U304" s="5"/>
      <c r="V304" s="5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10"/>
      <c r="Q305" s="10"/>
      <c r="R305" s="10"/>
      <c r="S305" s="10"/>
      <c r="T305" s="5"/>
      <c r="U305" s="5"/>
      <c r="V305" s="5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10"/>
      <c r="Q306" s="10"/>
      <c r="R306" s="10"/>
      <c r="S306" s="10"/>
      <c r="T306" s="5"/>
      <c r="U306" s="5"/>
      <c r="V306" s="5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10"/>
      <c r="Q307" s="10"/>
      <c r="R307" s="10"/>
      <c r="S307" s="10"/>
      <c r="T307" s="5"/>
      <c r="U307" s="5"/>
      <c r="V307" s="5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10"/>
      <c r="Q308" s="10"/>
      <c r="R308" s="10"/>
      <c r="S308" s="10"/>
      <c r="T308" s="5"/>
      <c r="U308" s="5"/>
      <c r="V308" s="5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10"/>
      <c r="Q309" s="10"/>
      <c r="R309" s="10"/>
      <c r="S309" s="10"/>
      <c r="T309" s="5"/>
      <c r="U309" s="5"/>
      <c r="V309" s="5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10"/>
      <c r="Q310" s="10"/>
      <c r="R310" s="10"/>
      <c r="S310" s="10"/>
      <c r="T310" s="5"/>
      <c r="U310" s="5"/>
      <c r="V310" s="5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10"/>
      <c r="Q311" s="10"/>
      <c r="R311" s="10"/>
      <c r="S311" s="10"/>
      <c r="T311" s="5"/>
      <c r="U311" s="5"/>
      <c r="V311" s="5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10"/>
      <c r="Q312" s="10"/>
      <c r="R312" s="10"/>
      <c r="S312" s="10"/>
      <c r="T312" s="5"/>
      <c r="U312" s="5"/>
      <c r="V312" s="5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10"/>
      <c r="Q313" s="10"/>
      <c r="R313" s="10"/>
      <c r="S313" s="10"/>
      <c r="T313" s="5"/>
      <c r="U313" s="5"/>
      <c r="V313" s="5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10"/>
      <c r="Q314" s="10"/>
      <c r="R314" s="10"/>
      <c r="S314" s="10"/>
      <c r="T314" s="5"/>
      <c r="U314" s="5"/>
      <c r="V314" s="5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10"/>
      <c r="Q315" s="10"/>
      <c r="R315" s="10"/>
      <c r="S315" s="10"/>
      <c r="T315" s="5"/>
      <c r="U315" s="5"/>
      <c r="V315" s="5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10"/>
      <c r="Q316" s="10"/>
      <c r="R316" s="10"/>
      <c r="S316" s="10"/>
      <c r="T316" s="5"/>
      <c r="U316" s="5"/>
      <c r="V316" s="5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10"/>
      <c r="Q317" s="10"/>
      <c r="R317" s="10"/>
      <c r="S317" s="10"/>
      <c r="T317" s="5"/>
      <c r="U317" s="5"/>
      <c r="V317" s="5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10"/>
      <c r="Q318" s="10"/>
      <c r="R318" s="10"/>
      <c r="S318" s="10"/>
      <c r="T318" s="5"/>
      <c r="U318" s="5"/>
      <c r="V318" s="5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10"/>
      <c r="Q319" s="10"/>
      <c r="R319" s="10"/>
      <c r="S319" s="10"/>
      <c r="T319" s="5"/>
      <c r="U319" s="5"/>
      <c r="V319" s="5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10"/>
      <c r="Q320" s="10"/>
      <c r="R320" s="10"/>
      <c r="S320" s="10"/>
      <c r="T320" s="5"/>
      <c r="U320" s="5"/>
      <c r="V320" s="5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10"/>
      <c r="Q321" s="10"/>
      <c r="R321" s="10"/>
      <c r="S321" s="10"/>
      <c r="T321" s="5"/>
      <c r="U321" s="5"/>
      <c r="V321" s="5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10"/>
      <c r="Q322" s="10"/>
      <c r="R322" s="10"/>
      <c r="S322" s="10"/>
      <c r="T322" s="5"/>
      <c r="U322" s="5"/>
      <c r="V322" s="5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10"/>
      <c r="Q323" s="10"/>
      <c r="R323" s="10"/>
      <c r="S323" s="10"/>
      <c r="T323" s="5"/>
      <c r="U323" s="5"/>
      <c r="V323" s="5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10"/>
      <c r="Q324" s="10"/>
      <c r="R324" s="10"/>
      <c r="S324" s="10"/>
      <c r="T324" s="5"/>
      <c r="U324" s="5"/>
      <c r="V324" s="5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10"/>
      <c r="Q325" s="10"/>
      <c r="R325" s="10"/>
      <c r="S325" s="10"/>
      <c r="T325" s="5"/>
      <c r="U325" s="5"/>
      <c r="V325" s="5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10"/>
      <c r="Q326" s="10"/>
      <c r="R326" s="10"/>
      <c r="S326" s="10"/>
      <c r="T326" s="5"/>
      <c r="U326" s="5"/>
      <c r="V326" s="5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10"/>
      <c r="Q327" s="10"/>
      <c r="R327" s="10"/>
      <c r="S327" s="10"/>
      <c r="T327" s="5"/>
      <c r="U327" s="5"/>
      <c r="V327" s="5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10"/>
      <c r="Q328" s="10"/>
      <c r="R328" s="10"/>
      <c r="S328" s="10"/>
      <c r="T328" s="5"/>
      <c r="U328" s="5"/>
      <c r="V328" s="5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10"/>
      <c r="Q329" s="10"/>
      <c r="R329" s="10"/>
      <c r="S329" s="10"/>
      <c r="T329" s="5"/>
      <c r="U329" s="5"/>
      <c r="V329" s="5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10"/>
      <c r="Q330" s="10"/>
      <c r="R330" s="10"/>
      <c r="S330" s="10"/>
      <c r="T330" s="5"/>
      <c r="U330" s="5"/>
      <c r="V330" s="5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10"/>
      <c r="Q331" s="10"/>
      <c r="R331" s="10"/>
      <c r="S331" s="10"/>
      <c r="T331" s="5"/>
      <c r="U331" s="5"/>
      <c r="V331" s="5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10"/>
      <c r="Q332" s="10"/>
      <c r="R332" s="10"/>
      <c r="S332" s="10"/>
      <c r="T332" s="5"/>
      <c r="U332" s="5"/>
      <c r="V332" s="5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10"/>
      <c r="Q333" s="10"/>
      <c r="R333" s="10"/>
      <c r="S333" s="10"/>
      <c r="T333" s="5"/>
      <c r="U333" s="5"/>
      <c r="V333" s="5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10"/>
      <c r="Q334" s="10"/>
      <c r="R334" s="10"/>
      <c r="S334" s="10"/>
      <c r="T334" s="5"/>
      <c r="U334" s="5"/>
      <c r="V334" s="5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10"/>
      <c r="Q335" s="10"/>
      <c r="R335" s="10"/>
      <c r="S335" s="10"/>
      <c r="T335" s="5"/>
      <c r="U335" s="5"/>
      <c r="V335" s="5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10"/>
      <c r="Q336" s="10"/>
      <c r="R336" s="10"/>
      <c r="S336" s="10"/>
      <c r="T336" s="5"/>
      <c r="U336" s="5"/>
      <c r="V336" s="5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10"/>
      <c r="Q337" s="10"/>
      <c r="R337" s="10"/>
      <c r="S337" s="10"/>
      <c r="T337" s="5"/>
      <c r="U337" s="5"/>
      <c r="V337" s="5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10"/>
      <c r="Q338" s="10"/>
      <c r="R338" s="10"/>
      <c r="S338" s="10"/>
      <c r="T338" s="5"/>
      <c r="U338" s="5"/>
      <c r="V338" s="5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10"/>
      <c r="Q339" s="10"/>
      <c r="R339" s="10"/>
      <c r="S339" s="10"/>
      <c r="T339" s="5"/>
      <c r="U339" s="5"/>
      <c r="V339" s="5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10"/>
      <c r="Q340" s="10"/>
      <c r="R340" s="10"/>
      <c r="S340" s="10"/>
      <c r="T340" s="5"/>
      <c r="U340" s="5"/>
      <c r="V340" s="5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10"/>
      <c r="Q341" s="10"/>
      <c r="R341" s="10"/>
      <c r="S341" s="10"/>
      <c r="T341" s="5"/>
      <c r="U341" s="5"/>
      <c r="V341" s="5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10"/>
      <c r="Q342" s="10"/>
      <c r="R342" s="10"/>
      <c r="S342" s="10"/>
      <c r="T342" s="5"/>
      <c r="U342" s="5"/>
      <c r="V342" s="5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10"/>
      <c r="Q343" s="10"/>
      <c r="R343" s="10"/>
      <c r="S343" s="10"/>
      <c r="T343" s="5"/>
      <c r="U343" s="5"/>
      <c r="V343" s="5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10"/>
      <c r="Q344" s="10"/>
      <c r="R344" s="10"/>
      <c r="S344" s="10"/>
      <c r="T344" s="5"/>
      <c r="U344" s="5"/>
      <c r="V344" s="5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10"/>
      <c r="Q345" s="10"/>
      <c r="R345" s="10"/>
      <c r="S345" s="10"/>
      <c r="T345" s="5"/>
      <c r="U345" s="5"/>
      <c r="V345" s="5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10"/>
      <c r="Q346" s="10"/>
      <c r="R346" s="10"/>
      <c r="S346" s="10"/>
      <c r="T346" s="5"/>
      <c r="U346" s="5"/>
      <c r="V346" s="5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10"/>
      <c r="Q347" s="10"/>
      <c r="R347" s="10"/>
      <c r="S347" s="10"/>
      <c r="T347" s="5"/>
      <c r="U347" s="5"/>
      <c r="V347" s="5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10"/>
      <c r="Q348" s="10"/>
      <c r="R348" s="10"/>
      <c r="S348" s="10"/>
      <c r="T348" s="5"/>
      <c r="U348" s="5"/>
      <c r="V348" s="5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10"/>
      <c r="Q349" s="10"/>
      <c r="R349" s="10"/>
      <c r="S349" s="10"/>
      <c r="T349" s="5"/>
      <c r="U349" s="5"/>
      <c r="V349" s="5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10"/>
      <c r="Q350" s="10"/>
      <c r="R350" s="10"/>
      <c r="S350" s="10"/>
      <c r="T350" s="5"/>
      <c r="U350" s="5"/>
      <c r="V350" s="5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10"/>
      <c r="Q351" s="10"/>
      <c r="R351" s="10"/>
      <c r="S351" s="10"/>
      <c r="T351" s="5"/>
      <c r="U351" s="5"/>
      <c r="V351" s="5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10"/>
      <c r="Q352" s="10"/>
      <c r="R352" s="10"/>
      <c r="S352" s="10"/>
      <c r="T352" s="5"/>
      <c r="U352" s="5"/>
      <c r="V352" s="5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10"/>
      <c r="Q353" s="10"/>
      <c r="R353" s="10"/>
      <c r="S353" s="10"/>
      <c r="T353" s="5"/>
      <c r="U353" s="5"/>
      <c r="V353" s="5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10"/>
      <c r="Q354" s="10"/>
      <c r="R354" s="10"/>
      <c r="S354" s="10"/>
      <c r="T354" s="5"/>
      <c r="U354" s="5"/>
      <c r="V354" s="5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10"/>
      <c r="Q355" s="10"/>
      <c r="R355" s="10"/>
      <c r="S355" s="10"/>
      <c r="T355" s="5"/>
      <c r="U355" s="5"/>
      <c r="V355" s="5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10"/>
      <c r="Q356" s="10"/>
      <c r="R356" s="10"/>
      <c r="S356" s="10"/>
      <c r="T356" s="5"/>
      <c r="U356" s="5"/>
      <c r="V356" s="5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10"/>
      <c r="Q357" s="10"/>
      <c r="R357" s="10"/>
      <c r="S357" s="10"/>
      <c r="T357" s="5"/>
      <c r="U357" s="5"/>
      <c r="V357" s="5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10"/>
      <c r="Q358" s="10"/>
      <c r="R358" s="10"/>
      <c r="S358" s="10"/>
      <c r="T358" s="5"/>
      <c r="U358" s="5"/>
      <c r="V358" s="5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10"/>
      <c r="Q359" s="10"/>
      <c r="R359" s="10"/>
      <c r="S359" s="10"/>
      <c r="T359" s="5"/>
      <c r="U359" s="5"/>
      <c r="V359" s="5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10"/>
      <c r="Q360" s="10"/>
      <c r="R360" s="10"/>
      <c r="S360" s="10"/>
      <c r="T360" s="5"/>
      <c r="U360" s="5"/>
      <c r="V360" s="5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10"/>
      <c r="Q361" s="10"/>
      <c r="R361" s="10"/>
      <c r="S361" s="10"/>
      <c r="T361" s="5"/>
      <c r="U361" s="5"/>
      <c r="V361" s="5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10"/>
      <c r="Q362" s="10"/>
      <c r="R362" s="10"/>
      <c r="S362" s="10"/>
      <c r="T362" s="5"/>
      <c r="U362" s="5"/>
      <c r="V362" s="5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10"/>
      <c r="Q363" s="10"/>
      <c r="R363" s="10"/>
      <c r="S363" s="10"/>
      <c r="T363" s="5"/>
      <c r="U363" s="5"/>
      <c r="V363" s="5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10"/>
      <c r="Q364" s="10"/>
      <c r="R364" s="10"/>
      <c r="S364" s="10"/>
      <c r="T364" s="5"/>
      <c r="U364" s="5"/>
      <c r="V364" s="5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10"/>
      <c r="Q365" s="10"/>
      <c r="R365" s="10"/>
      <c r="S365" s="10"/>
      <c r="T365" s="5"/>
      <c r="U365" s="5"/>
      <c r="V365" s="5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10"/>
      <c r="Q366" s="10"/>
      <c r="R366" s="10"/>
      <c r="S366" s="10"/>
      <c r="T366" s="5"/>
      <c r="U366" s="5"/>
      <c r="V366" s="5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10"/>
      <c r="Q367" s="10"/>
      <c r="R367" s="10"/>
      <c r="S367" s="10"/>
      <c r="T367" s="5"/>
      <c r="U367" s="5"/>
      <c r="V367" s="5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10"/>
      <c r="Q368" s="10"/>
      <c r="R368" s="10"/>
      <c r="S368" s="10"/>
      <c r="T368" s="5"/>
      <c r="U368" s="5"/>
      <c r="V368" s="5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10"/>
      <c r="Q369" s="10"/>
      <c r="R369" s="10"/>
      <c r="S369" s="10"/>
      <c r="T369" s="5"/>
      <c r="U369" s="5"/>
      <c r="V369" s="5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10"/>
      <c r="Q370" s="10"/>
      <c r="R370" s="10"/>
      <c r="S370" s="10"/>
      <c r="T370" s="5"/>
      <c r="U370" s="5"/>
      <c r="V370" s="5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10"/>
      <c r="Q371" s="10"/>
      <c r="R371" s="10"/>
      <c r="S371" s="10"/>
      <c r="T371" s="5"/>
      <c r="U371" s="5"/>
      <c r="V371" s="5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10"/>
      <c r="Q372" s="10"/>
      <c r="R372" s="10"/>
      <c r="S372" s="10"/>
      <c r="T372" s="5"/>
      <c r="U372" s="5"/>
      <c r="V372" s="5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10"/>
      <c r="Q373" s="10"/>
      <c r="R373" s="10"/>
      <c r="S373" s="10"/>
      <c r="T373" s="5"/>
      <c r="U373" s="5"/>
      <c r="V373" s="5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10"/>
      <c r="Q374" s="10"/>
      <c r="R374" s="10"/>
      <c r="S374" s="10"/>
      <c r="T374" s="5"/>
      <c r="U374" s="5"/>
      <c r="V374" s="5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10"/>
      <c r="Q375" s="10"/>
      <c r="R375" s="10"/>
      <c r="S375" s="10"/>
      <c r="T375" s="5"/>
      <c r="U375" s="5"/>
      <c r="V375" s="5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10"/>
      <c r="Q376" s="10"/>
      <c r="R376" s="10"/>
      <c r="S376" s="10"/>
      <c r="T376" s="5"/>
      <c r="U376" s="5"/>
      <c r="V376" s="5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10"/>
      <c r="Q377" s="10"/>
      <c r="R377" s="10"/>
      <c r="S377" s="10"/>
      <c r="T377" s="5"/>
      <c r="U377" s="5"/>
      <c r="V377" s="5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10"/>
      <c r="Q378" s="10"/>
      <c r="R378" s="10"/>
      <c r="S378" s="10"/>
      <c r="T378" s="5"/>
      <c r="U378" s="5"/>
      <c r="V378" s="5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10"/>
      <c r="Q379" s="10"/>
      <c r="R379" s="10"/>
      <c r="S379" s="10"/>
      <c r="T379" s="5"/>
      <c r="U379" s="5"/>
      <c r="V379" s="5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10"/>
      <c r="Q380" s="10"/>
      <c r="R380" s="10"/>
      <c r="S380" s="10"/>
      <c r="T380" s="5"/>
      <c r="U380" s="5"/>
      <c r="V380" s="5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10"/>
      <c r="Q381" s="10"/>
      <c r="R381" s="10"/>
      <c r="S381" s="10"/>
      <c r="T381" s="5"/>
      <c r="U381" s="5"/>
      <c r="V381" s="5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10"/>
      <c r="Q382" s="10"/>
      <c r="R382" s="10"/>
      <c r="S382" s="10"/>
      <c r="T382" s="5"/>
      <c r="U382" s="5"/>
      <c r="V382" s="5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10"/>
      <c r="Q383" s="10"/>
      <c r="R383" s="10"/>
      <c r="S383" s="10"/>
      <c r="T383" s="5"/>
      <c r="U383" s="5"/>
      <c r="V383" s="5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10"/>
      <c r="Q384" s="10"/>
      <c r="R384" s="10"/>
      <c r="S384" s="10"/>
      <c r="T384" s="5"/>
      <c r="U384" s="5"/>
      <c r="V384" s="5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10"/>
      <c r="Q385" s="10"/>
      <c r="R385" s="10"/>
      <c r="S385" s="10"/>
      <c r="T385" s="5"/>
      <c r="U385" s="5"/>
      <c r="V385" s="5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</row>
  </sheetData>
  <autoFilter ref="$A$12:$BA$282"/>
  <conditionalFormatting sqref="U13:BA1000">
    <cfRule type="expression" dxfId="0" priority="1">
      <formula>U13&lt;T13</formula>
    </cfRule>
  </conditionalFormatting>
  <conditionalFormatting sqref="U13:BA1000">
    <cfRule type="expression" dxfId="1" priority="2">
      <formula>U13&gt;T13</formula>
    </cfRule>
  </conditionalFormatting>
  <printOptions/>
  <pageMargins bottom="0.25" footer="0.0" header="0.0" left="0.2" right="0.2" top="0.2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28.25"/>
    <col customWidth="1" min="3" max="4" width="20.0"/>
    <col customWidth="1" min="5" max="5" width="21.75"/>
    <col customWidth="1" min="6" max="8" width="8.63"/>
    <col customWidth="1" min="9" max="9" width="29.88"/>
    <col customWidth="1" min="10" max="10" width="49.0"/>
    <col customWidth="1" min="11" max="11" width="52.38"/>
    <col customWidth="1" min="12" max="12" width="18.0"/>
    <col customWidth="1" min="13" max="13" width="33.13"/>
  </cols>
  <sheetData>
    <row r="1" ht="12.75" customHeight="1">
      <c r="A1" s="8"/>
      <c r="B1" s="19" t="s">
        <v>661</v>
      </c>
      <c r="C1" s="19" t="s">
        <v>8</v>
      </c>
      <c r="D1" s="19" t="s">
        <v>9</v>
      </c>
      <c r="E1" s="19" t="s">
        <v>16</v>
      </c>
      <c r="F1" s="8"/>
      <c r="G1" s="8"/>
      <c r="H1" s="19" t="s">
        <v>662</v>
      </c>
      <c r="I1" s="19" t="s">
        <v>16</v>
      </c>
      <c r="J1" s="19" t="s">
        <v>17</v>
      </c>
      <c r="K1" s="19" t="s">
        <v>663</v>
      </c>
      <c r="L1" s="19" t="s">
        <v>664</v>
      </c>
      <c r="M1" s="19" t="s">
        <v>665</v>
      </c>
    </row>
    <row r="2" ht="14.25" customHeight="1">
      <c r="A2" s="8"/>
      <c r="B2" s="5" t="str">
        <f t="shared" ref="B2:B16" si="1">C2&amp;D2</f>
        <v>OperationsOperations</v>
      </c>
      <c r="C2" s="5" t="s">
        <v>24</v>
      </c>
      <c r="D2" s="5" t="s">
        <v>24</v>
      </c>
      <c r="E2" s="20" t="s">
        <v>199</v>
      </c>
      <c r="F2" s="5"/>
      <c r="G2" s="5"/>
      <c r="H2" s="5" t="s">
        <v>28</v>
      </c>
      <c r="I2" s="5" t="s">
        <v>199</v>
      </c>
      <c r="J2" s="5" t="s">
        <v>666</v>
      </c>
      <c r="K2" s="5" t="s">
        <v>667</v>
      </c>
      <c r="L2" s="12" t="s">
        <v>652</v>
      </c>
      <c r="M2" s="12" t="str">
        <f t="shared" ref="M2:M15" si="2">H2&amp;I2</f>
        <v>No100- Operations:110- G&amp;A</v>
      </c>
    </row>
    <row r="3" ht="14.25" customHeight="1">
      <c r="A3" s="8"/>
      <c r="B3" s="5" t="str">
        <f t="shared" si="1"/>
        <v>ServiceNowEngineering</v>
      </c>
      <c r="C3" s="5" t="s">
        <v>34</v>
      </c>
      <c r="D3" s="5" t="s">
        <v>35</v>
      </c>
      <c r="E3" s="20" t="s">
        <v>38</v>
      </c>
      <c r="F3" s="5"/>
      <c r="G3" s="5"/>
      <c r="H3" s="5" t="s">
        <v>28</v>
      </c>
      <c r="I3" s="5" t="s">
        <v>258</v>
      </c>
      <c r="J3" s="5" t="s">
        <v>668</v>
      </c>
      <c r="K3" s="5" t="s">
        <v>669</v>
      </c>
      <c r="L3" s="12" t="s">
        <v>651</v>
      </c>
      <c r="M3" s="12" t="str">
        <f t="shared" si="2"/>
        <v>No100- Operations:120- Marketing</v>
      </c>
    </row>
    <row r="4" ht="14.25" customHeight="1">
      <c r="A4" s="8"/>
      <c r="B4" s="5" t="str">
        <f t="shared" si="1"/>
        <v>ServiceNowSales</v>
      </c>
      <c r="C4" s="5" t="s">
        <v>34</v>
      </c>
      <c r="D4" s="5" t="s">
        <v>45</v>
      </c>
      <c r="E4" s="20" t="s">
        <v>47</v>
      </c>
      <c r="F4" s="5"/>
      <c r="G4" s="5"/>
      <c r="H4" s="5" t="s">
        <v>28</v>
      </c>
      <c r="I4" s="5" t="s">
        <v>175</v>
      </c>
      <c r="J4" s="5" t="s">
        <v>666</v>
      </c>
      <c r="K4" s="5" t="s">
        <v>667</v>
      </c>
      <c r="L4" s="12" t="s">
        <v>652</v>
      </c>
      <c r="M4" s="12" t="str">
        <f t="shared" si="2"/>
        <v>No200- Datadog:210- Delivery</v>
      </c>
    </row>
    <row r="5" ht="14.25" customHeight="1">
      <c r="A5" s="8"/>
      <c r="B5" s="5" t="str">
        <f t="shared" si="1"/>
        <v>DatadogEngineering</v>
      </c>
      <c r="C5" s="5" t="s">
        <v>64</v>
      </c>
      <c r="D5" s="5" t="s">
        <v>35</v>
      </c>
      <c r="E5" s="20" t="s">
        <v>75</v>
      </c>
      <c r="F5" s="5"/>
      <c r="G5" s="5"/>
      <c r="H5" s="5" t="s">
        <v>28</v>
      </c>
      <c r="I5" s="5" t="s">
        <v>75</v>
      </c>
      <c r="J5" s="5" t="s">
        <v>666</v>
      </c>
      <c r="K5" s="5" t="s">
        <v>667</v>
      </c>
      <c r="L5" s="12" t="s">
        <v>652</v>
      </c>
      <c r="M5" s="12" t="str">
        <f t="shared" si="2"/>
        <v>No200- Datadog:220- Engineering</v>
      </c>
    </row>
    <row r="6" ht="14.25" customHeight="1">
      <c r="A6" s="8"/>
      <c r="B6" s="5" t="str">
        <f t="shared" si="1"/>
        <v>OperationsStrategy</v>
      </c>
      <c r="C6" s="5" t="s">
        <v>24</v>
      </c>
      <c r="D6" s="5" t="s">
        <v>57</v>
      </c>
      <c r="E6" s="20" t="s">
        <v>199</v>
      </c>
      <c r="F6" s="5"/>
      <c r="G6" s="5"/>
      <c r="H6" s="5" t="s">
        <v>28</v>
      </c>
      <c r="I6" s="5" t="s">
        <v>66</v>
      </c>
      <c r="J6" s="5" t="s">
        <v>668</v>
      </c>
      <c r="K6" s="5" t="s">
        <v>669</v>
      </c>
      <c r="L6" s="12" t="s">
        <v>651</v>
      </c>
      <c r="M6" s="12" t="str">
        <f t="shared" si="2"/>
        <v>No200- Datadog:230- Sales</v>
      </c>
    </row>
    <row r="7" ht="14.25" customHeight="1">
      <c r="A7" s="8"/>
      <c r="B7" s="5" t="str">
        <f t="shared" si="1"/>
        <v>OperationsAdmin</v>
      </c>
      <c r="C7" s="5" t="s">
        <v>24</v>
      </c>
      <c r="D7" s="5" t="s">
        <v>670</v>
      </c>
      <c r="E7" s="20" t="s">
        <v>199</v>
      </c>
      <c r="F7" s="5"/>
      <c r="G7" s="5"/>
      <c r="H7" s="5" t="s">
        <v>28</v>
      </c>
      <c r="I7" s="5" t="s">
        <v>132</v>
      </c>
      <c r="J7" s="5" t="s">
        <v>666</v>
      </c>
      <c r="K7" s="5" t="s">
        <v>667</v>
      </c>
      <c r="L7" s="12" t="s">
        <v>652</v>
      </c>
      <c r="M7" s="12" t="str">
        <f t="shared" si="2"/>
        <v>No300- ServiceNow:310- Delivery</v>
      </c>
    </row>
    <row r="8" ht="14.25" customHeight="1">
      <c r="A8" s="8"/>
      <c r="B8" s="5" t="str">
        <f t="shared" si="1"/>
        <v>DatadogSales</v>
      </c>
      <c r="C8" s="5" t="s">
        <v>64</v>
      </c>
      <c r="D8" s="5" t="s">
        <v>45</v>
      </c>
      <c r="E8" s="20" t="s">
        <v>66</v>
      </c>
      <c r="F8" s="5"/>
      <c r="G8" s="5"/>
      <c r="H8" s="5" t="s">
        <v>28</v>
      </c>
      <c r="I8" s="5" t="s">
        <v>38</v>
      </c>
      <c r="J8" s="5" t="s">
        <v>666</v>
      </c>
      <c r="K8" s="5" t="s">
        <v>667</v>
      </c>
      <c r="L8" s="12" t="s">
        <v>652</v>
      </c>
      <c r="M8" s="12" t="str">
        <f t="shared" si="2"/>
        <v>No300- ServiceNow:320- Engineering</v>
      </c>
    </row>
    <row r="9" ht="12.75" customHeight="1">
      <c r="A9" s="8"/>
      <c r="B9" s="5" t="str">
        <f t="shared" si="1"/>
        <v>DatadogProject Management</v>
      </c>
      <c r="C9" s="5" t="s">
        <v>64</v>
      </c>
      <c r="D9" s="5" t="s">
        <v>130</v>
      </c>
      <c r="E9" s="21" t="s">
        <v>175</v>
      </c>
      <c r="F9" s="5"/>
      <c r="G9" s="5"/>
      <c r="H9" s="5" t="s">
        <v>28</v>
      </c>
      <c r="I9" s="5" t="s">
        <v>47</v>
      </c>
      <c r="J9" s="5" t="s">
        <v>668</v>
      </c>
      <c r="K9" s="5" t="s">
        <v>669</v>
      </c>
      <c r="L9" s="12" t="s">
        <v>651</v>
      </c>
      <c r="M9" s="12" t="str">
        <f t="shared" si="2"/>
        <v>No300- ServiceNow:330- Sales</v>
      </c>
    </row>
    <row r="10" ht="14.25" customHeight="1">
      <c r="A10" s="8"/>
      <c r="B10" s="5" t="str">
        <f t="shared" si="1"/>
        <v>ServiceNowProject Management</v>
      </c>
      <c r="C10" s="5" t="s">
        <v>34</v>
      </c>
      <c r="D10" s="5" t="s">
        <v>130</v>
      </c>
      <c r="E10" s="20" t="s">
        <v>132</v>
      </c>
      <c r="F10" s="5"/>
      <c r="G10" s="5"/>
      <c r="H10" s="5" t="s">
        <v>28</v>
      </c>
      <c r="I10" s="5" t="s">
        <v>75</v>
      </c>
      <c r="J10" s="5" t="s">
        <v>666</v>
      </c>
      <c r="K10" s="5" t="s">
        <v>667</v>
      </c>
      <c r="L10" s="12" t="s">
        <v>652</v>
      </c>
      <c r="M10" s="12" t="str">
        <f t="shared" si="2"/>
        <v>No200- Datadog:220- Engineering</v>
      </c>
    </row>
    <row r="11" ht="14.25" customHeight="1">
      <c r="A11" s="8"/>
      <c r="B11" s="5" t="str">
        <f t="shared" si="1"/>
        <v>OperationsMarketing</v>
      </c>
      <c r="C11" s="5" t="s">
        <v>24</v>
      </c>
      <c r="D11" s="5" t="s">
        <v>256</v>
      </c>
      <c r="E11" s="20" t="s">
        <v>258</v>
      </c>
      <c r="F11" s="5"/>
      <c r="G11" s="5"/>
      <c r="H11" s="5" t="s">
        <v>28</v>
      </c>
      <c r="I11" s="5" t="s">
        <v>27</v>
      </c>
      <c r="J11" s="5" t="s">
        <v>666</v>
      </c>
      <c r="K11" s="5" t="s">
        <v>667</v>
      </c>
      <c r="L11" s="12" t="s">
        <v>652</v>
      </c>
      <c r="M11" s="22" t="str">
        <f t="shared" si="2"/>
        <v>No400- Synechron:410- Digital platforms G&amp;A</v>
      </c>
    </row>
    <row r="12" ht="14.25" customHeight="1">
      <c r="A12" s="8"/>
      <c r="B12" s="5" t="str">
        <f t="shared" si="1"/>
        <v>OperationsPeople Operations</v>
      </c>
      <c r="C12" s="5" t="s">
        <v>24</v>
      </c>
      <c r="D12" s="5" t="s">
        <v>170</v>
      </c>
      <c r="E12" s="20" t="s">
        <v>199</v>
      </c>
      <c r="F12" s="5"/>
      <c r="G12" s="5"/>
      <c r="H12" s="5" t="s">
        <v>39</v>
      </c>
      <c r="I12" s="5" t="s">
        <v>175</v>
      </c>
      <c r="J12" s="5"/>
      <c r="K12" s="8"/>
      <c r="L12" s="12" t="s">
        <v>650</v>
      </c>
      <c r="M12" s="12" t="str">
        <f t="shared" si="2"/>
        <v>Yes200- Datadog:210- Delivery</v>
      </c>
    </row>
    <row r="13" ht="14.25" customHeight="1">
      <c r="A13" s="8"/>
      <c r="B13" s="5" t="str">
        <f t="shared" si="1"/>
        <v>OperationsFinance</v>
      </c>
      <c r="C13" s="5" t="s">
        <v>24</v>
      </c>
      <c r="D13" s="5" t="s">
        <v>244</v>
      </c>
      <c r="E13" s="20" t="s">
        <v>199</v>
      </c>
      <c r="F13" s="5"/>
      <c r="G13" s="5"/>
      <c r="H13" s="5" t="s">
        <v>39</v>
      </c>
      <c r="I13" s="5" t="s">
        <v>75</v>
      </c>
      <c r="J13" s="5"/>
      <c r="K13" s="8"/>
      <c r="L13" s="12" t="s">
        <v>650</v>
      </c>
      <c r="M13" s="12" t="str">
        <f t="shared" si="2"/>
        <v>Yes200- Datadog:220- Engineering</v>
      </c>
    </row>
    <row r="14" ht="14.25" customHeight="1">
      <c r="A14" s="8"/>
      <c r="B14" s="5" t="str">
        <f t="shared" si="1"/>
        <v>OperationsSales</v>
      </c>
      <c r="C14" s="5" t="s">
        <v>24</v>
      </c>
      <c r="D14" s="5" t="s">
        <v>45</v>
      </c>
      <c r="E14" s="20" t="s">
        <v>199</v>
      </c>
      <c r="F14" s="5"/>
      <c r="G14" s="5"/>
      <c r="H14" s="5" t="s">
        <v>39</v>
      </c>
      <c r="I14" s="5" t="s">
        <v>132</v>
      </c>
      <c r="J14" s="5"/>
      <c r="K14" s="8"/>
      <c r="L14" s="12" t="s">
        <v>650</v>
      </c>
      <c r="M14" s="12" t="str">
        <f t="shared" si="2"/>
        <v>Yes300- ServiceNow:310- Delivery</v>
      </c>
    </row>
    <row r="15" ht="14.25" customHeight="1">
      <c r="A15" s="8"/>
      <c r="B15" s="5" t="str">
        <f t="shared" si="1"/>
        <v>DatadogMDD</v>
      </c>
      <c r="C15" s="5" t="s">
        <v>64</v>
      </c>
      <c r="D15" s="5" t="s">
        <v>363</v>
      </c>
      <c r="E15" s="20" t="s">
        <v>75</v>
      </c>
      <c r="F15" s="5"/>
      <c r="G15" s="5"/>
      <c r="H15" s="5" t="s">
        <v>39</v>
      </c>
      <c r="I15" s="5" t="s">
        <v>38</v>
      </c>
      <c r="J15" s="5"/>
      <c r="K15" s="8"/>
      <c r="L15" s="12" t="s">
        <v>650</v>
      </c>
      <c r="M15" s="12" t="str">
        <f t="shared" si="2"/>
        <v>Yes300- ServiceNow:320- Engineering</v>
      </c>
    </row>
    <row r="16" ht="14.25" customHeight="1">
      <c r="A16" s="8"/>
      <c r="B16" s="5" t="str">
        <f t="shared" si="1"/>
        <v>DatadogMSOC</v>
      </c>
      <c r="C16" s="5" t="s">
        <v>64</v>
      </c>
      <c r="D16" s="5" t="s">
        <v>366</v>
      </c>
      <c r="E16" s="20" t="s">
        <v>75</v>
      </c>
      <c r="F16" s="5"/>
      <c r="G16" s="5"/>
      <c r="H16" s="5"/>
      <c r="I16" s="5"/>
      <c r="J16" s="5"/>
      <c r="K16" s="8"/>
      <c r="L16" s="8"/>
      <c r="M16" s="8"/>
    </row>
    <row r="17" ht="12.75" customHeight="1">
      <c r="A17" s="8"/>
      <c r="B17" s="5"/>
      <c r="C17" s="5"/>
      <c r="D17" s="5"/>
      <c r="E17" s="5"/>
      <c r="F17" s="5"/>
      <c r="G17" s="5"/>
      <c r="H17" s="5"/>
      <c r="I17" s="5"/>
      <c r="J17" s="5"/>
      <c r="K17" s="8"/>
      <c r="L17" s="8"/>
      <c r="M17" s="8"/>
    </row>
    <row r="18" ht="12.75" customHeight="1">
      <c r="A18" s="8"/>
      <c r="B18" s="5"/>
      <c r="C18" s="5"/>
      <c r="D18" s="5"/>
      <c r="E18" s="5"/>
      <c r="F18" s="5"/>
      <c r="G18" s="5"/>
      <c r="H18" s="5"/>
      <c r="I18" s="5"/>
      <c r="J18" s="5"/>
      <c r="K18" s="8"/>
      <c r="L18" s="8"/>
      <c r="M18" s="8"/>
    </row>
    <row r="19" ht="12.75" customHeight="1">
      <c r="A19" s="8"/>
      <c r="B19" s="5"/>
      <c r="C19" s="5"/>
      <c r="D19" s="5"/>
      <c r="E19" s="5"/>
      <c r="F19" s="5"/>
      <c r="G19" s="5"/>
      <c r="H19" s="5"/>
      <c r="I19" s="5"/>
      <c r="J19" s="5"/>
      <c r="K19" s="8"/>
      <c r="L19" s="8"/>
      <c r="M19" s="8"/>
    </row>
    <row r="20" ht="12.75" customHeight="1">
      <c r="A20" s="8"/>
      <c r="B20" s="5"/>
      <c r="C20" s="5"/>
      <c r="D20" s="5"/>
      <c r="E20" s="5"/>
      <c r="F20" s="5"/>
      <c r="G20" s="5"/>
      <c r="H20" s="5"/>
      <c r="I20" s="5"/>
      <c r="J20" s="5"/>
      <c r="K20" s="8"/>
      <c r="L20" s="8"/>
      <c r="M20" s="8"/>
    </row>
    <row r="21" ht="12.75" customHeight="1">
      <c r="A21" s="8"/>
      <c r="B21" s="5"/>
      <c r="C21" s="5"/>
      <c r="D21" s="5"/>
      <c r="E21" s="5"/>
      <c r="F21" s="5"/>
      <c r="G21" s="5"/>
      <c r="H21" s="5"/>
      <c r="I21" s="5"/>
      <c r="J21" s="5"/>
      <c r="K21" s="8"/>
      <c r="L21" s="8"/>
      <c r="M21" s="8"/>
    </row>
    <row r="22" ht="12.75" customHeight="1">
      <c r="A22" s="8"/>
      <c r="B22" s="5"/>
      <c r="C22" s="5"/>
      <c r="D22" s="5"/>
      <c r="E22" s="5"/>
      <c r="F22" s="5"/>
      <c r="G22" s="5"/>
      <c r="H22" s="5"/>
      <c r="I22" s="5"/>
      <c r="J22" s="5"/>
      <c r="K22" s="8"/>
      <c r="L22" s="8"/>
      <c r="M22" s="8"/>
    </row>
    <row r="23" ht="12.75" customHeight="1">
      <c r="A23" s="8"/>
      <c r="B23" s="8"/>
      <c r="C23" s="8"/>
      <c r="D23" s="8"/>
      <c r="E23" s="8"/>
      <c r="F23" s="8"/>
      <c r="G23" s="8"/>
      <c r="H23" s="5"/>
      <c r="I23" s="5"/>
      <c r="J23" s="5"/>
      <c r="K23" s="8"/>
      <c r="L23" s="8"/>
      <c r="M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5"/>
      <c r="J24" s="8"/>
      <c r="K24" s="8"/>
      <c r="L24" s="8"/>
      <c r="M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5"/>
      <c r="J25" s="8"/>
      <c r="K25" s="8"/>
      <c r="L25" s="8"/>
      <c r="M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5"/>
      <c r="J26" s="8"/>
      <c r="K26" s="8"/>
      <c r="L26" s="8"/>
      <c r="M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5"/>
      <c r="J27" s="8"/>
      <c r="K27" s="8"/>
      <c r="L27" s="8"/>
      <c r="M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5"/>
      <c r="J28" s="8"/>
      <c r="K28" s="8"/>
      <c r="L28" s="8"/>
      <c r="M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5"/>
      <c r="J29" s="8"/>
      <c r="K29" s="8"/>
      <c r="L29" s="8"/>
      <c r="M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5"/>
      <c r="J30" s="8"/>
      <c r="K30" s="8"/>
      <c r="L30" s="8"/>
      <c r="M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5"/>
      <c r="J31" s="8"/>
      <c r="K31" s="8"/>
      <c r="L31" s="8"/>
      <c r="M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5"/>
      <c r="J32" s="8"/>
      <c r="K32" s="8"/>
      <c r="L32" s="8"/>
      <c r="M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5"/>
      <c r="J33" s="8"/>
      <c r="K33" s="8"/>
      <c r="L33" s="8"/>
      <c r="M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5"/>
      <c r="J34" s="8"/>
      <c r="K34" s="8"/>
      <c r="L34" s="8"/>
      <c r="M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5"/>
      <c r="J35" s="8"/>
      <c r="K35" s="8"/>
      <c r="L35" s="8"/>
      <c r="M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5"/>
      <c r="J36" s="8"/>
      <c r="K36" s="8"/>
      <c r="L36" s="8"/>
      <c r="M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5"/>
      <c r="J37" s="8"/>
      <c r="K37" s="8"/>
      <c r="L37" s="8"/>
      <c r="M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5"/>
      <c r="J38" s="8"/>
      <c r="K38" s="8"/>
      <c r="L38" s="8"/>
      <c r="M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5"/>
      <c r="J39" s="8"/>
      <c r="K39" s="8"/>
      <c r="L39" s="8"/>
      <c r="M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5"/>
      <c r="J40" s="8"/>
      <c r="K40" s="8"/>
      <c r="L40" s="8"/>
      <c r="M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5"/>
      <c r="J41" s="8"/>
      <c r="K41" s="8"/>
      <c r="L41" s="8"/>
      <c r="M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5"/>
      <c r="J42" s="8"/>
      <c r="K42" s="8"/>
      <c r="L42" s="8"/>
      <c r="M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5"/>
      <c r="J43" s="8"/>
      <c r="K43" s="8"/>
      <c r="L43" s="8"/>
      <c r="M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5"/>
      <c r="J44" s="8"/>
      <c r="K44" s="8"/>
      <c r="L44" s="8"/>
      <c r="M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5"/>
      <c r="J45" s="8"/>
      <c r="K45" s="8"/>
      <c r="L45" s="8"/>
      <c r="M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5"/>
      <c r="J46" s="8"/>
      <c r="K46" s="8"/>
      <c r="L46" s="8"/>
      <c r="M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5"/>
      <c r="J47" s="8"/>
      <c r="K47" s="8"/>
      <c r="L47" s="8"/>
      <c r="M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5"/>
      <c r="J48" s="8"/>
      <c r="K48" s="8"/>
      <c r="L48" s="8"/>
      <c r="M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5"/>
      <c r="J49" s="8"/>
      <c r="K49" s="8"/>
      <c r="L49" s="8"/>
      <c r="M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5"/>
      <c r="J50" s="8"/>
      <c r="K50" s="8"/>
      <c r="L50" s="8"/>
      <c r="M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5"/>
      <c r="J51" s="8"/>
      <c r="K51" s="8"/>
      <c r="L51" s="8"/>
      <c r="M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5"/>
      <c r="J52" s="8"/>
      <c r="K52" s="8"/>
      <c r="L52" s="8"/>
      <c r="M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5"/>
      <c r="J53" s="8"/>
      <c r="K53" s="8"/>
      <c r="L53" s="8"/>
      <c r="M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5"/>
      <c r="J54" s="8"/>
      <c r="K54" s="8"/>
      <c r="L54" s="8"/>
      <c r="M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5"/>
      <c r="J55" s="8"/>
      <c r="K55" s="8"/>
      <c r="L55" s="8"/>
      <c r="M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5"/>
      <c r="J56" s="8"/>
      <c r="K56" s="8"/>
      <c r="L56" s="8"/>
      <c r="M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5"/>
      <c r="J57" s="8"/>
      <c r="K57" s="8"/>
      <c r="L57" s="8"/>
      <c r="M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5"/>
      <c r="J58" s="8"/>
      <c r="K58" s="8"/>
      <c r="L58" s="8"/>
      <c r="M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5"/>
      <c r="J59" s="8"/>
      <c r="K59" s="8"/>
      <c r="L59" s="8"/>
      <c r="M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5"/>
      <c r="J60" s="8"/>
      <c r="K60" s="8"/>
      <c r="L60" s="8"/>
      <c r="M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</sheetData>
  <autoFilter ref="$B$1:$J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2026-06-23T18:07:55Z</dcterms:created>
  <dc:creator>openpyxl</dc:creator>
</cp:coreProperties>
</file>