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dit Card Charge" sheetId="1" state="visible" r:id="rId1"/>
    <sheet name="QBO Transactions" sheetId="2" state="visible" r:id="rId2"/>
    <sheet name="Card Mapping" sheetId="3" state="visible" r:id="rId3"/>
    <sheet name="Category Mapping" sheetId="4" state="visible" r:id="rId4"/>
    <sheet name="COA" sheetId="5" state="visible" r:id="rId5"/>
    <sheet name="Instructions" sheetId="6" state="visible" r:id="rId6"/>
    <sheet name="Name Aliases" sheetId="7" state="visible" r:id="rId7"/>
    <sheet name="Department Listing" sheetId="8" state="visible" r:id="rId8"/>
  </sheets>
  <definedNames>
    <definedName name="_xlnm._FilterDatabase" localSheetId="1" hidden="1">'QBO Transactions'!$B$3:$Z$659</definedName>
    <definedName name="_xlnm._FilterDatabase" localSheetId="2" hidden="1">'Card Mapping'!$B$2:$E$135</definedName>
    <definedName name="_xlnm._FilterDatabase" localSheetId="7" hidden="1">'Department Listing'!$A$1:$O$273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mm/dd/yyyy"/>
  </numFmts>
  <fonts count="13">
    <font>
      <name val="Calibri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0"/>
    </font>
    <font>
      <name val="Arial"/>
      <color rgb="FF000000"/>
      <sz val="10"/>
      <u val="single"/>
    </font>
    <font>
      <name val="Calibri"/>
      <b val="1"/>
      <color theme="1"/>
      <sz val="11"/>
    </font>
    <font>
      <name val="Calibri"/>
      <color theme="1"/>
      <sz val="11"/>
    </font>
    <font/>
    <font>
      <name val="Calibri"/>
      <color theme="1"/>
      <scheme val="minor"/>
    </font>
    <font>
      <name val="Calibri"/>
      <color theme="1"/>
      <sz val="11"/>
      <u val="single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Arial"/>
      <b val="1"/>
      <color rgb="FFFFFFFF"/>
      <sz val="10"/>
    </font>
    <font>
      <b val="1"/>
    </font>
  </fonts>
  <fills count="8">
    <fill>
      <patternFill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C8C8C8"/>
        <bgColor rgb="FFC8C8C8"/>
      </patternFill>
    </fill>
    <fill>
      <patternFill patternType="solid">
        <fgColor rgb="FFFFF2CB"/>
        <bgColor rgb="FFFFF2CB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000000"/>
      </bottom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</border>
    <border>
      <left/>
      <right/>
      <top/>
      <bottom/>
    </border>
    <border>
      <top style="thin">
        <color rgb="FFD8D8D8"/>
      </top>
    </border>
    <border>
      <right style="thin">
        <color rgb="FFD8D8D8"/>
      </right>
      <top style="thin">
        <color rgb="FFD8D8D8"/>
      </top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43" fontId="2" fillId="0" borderId="0" pivotButton="0" quotePrefix="0" xfId="0"/>
    <xf numFmtId="14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center"/>
    </xf>
    <xf numFmtId="0" fontId="6" fillId="0" borderId="3" pivotButton="0" quotePrefix="0" xfId="0"/>
    <xf numFmtId="0" fontId="6" fillId="0" borderId="4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4" fontId="5" fillId="0" borderId="0" pivotButton="0" quotePrefix="0" xfId="0"/>
    <xf numFmtId="0" fontId="7" fillId="0" borderId="0" pivotButton="0" quotePrefix="0" xfId="0"/>
    <xf numFmtId="164" fontId="5" fillId="0" borderId="0" pivotButton="0" quotePrefix="0" xfId="0"/>
    <xf numFmtId="0" fontId="5" fillId="3" borderId="1" pivotButton="0" quotePrefix="0" xfId="0"/>
    <xf numFmtId="14" fontId="5" fillId="3" borderId="1" pivotButton="0" quotePrefix="0" xfId="0"/>
    <xf numFmtId="43" fontId="5" fillId="3" borderId="1" pivotButton="0" quotePrefix="0" xfId="0"/>
    <xf numFmtId="0" fontId="5" fillId="3" borderId="6" pivotButton="0" quotePrefix="0" xfId="0"/>
    <xf numFmtId="0" fontId="8" fillId="3" borderId="1" pivotButton="0" quotePrefix="0" xfId="0"/>
    <xf numFmtId="0" fontId="5" fillId="2" borderId="1" applyAlignment="1" pivotButton="0" quotePrefix="0" xfId="0">
      <alignment horizontal="left"/>
    </xf>
    <xf numFmtId="0" fontId="5" fillId="0" borderId="0" applyAlignment="1" pivotButton="0" quotePrefix="0" xfId="0">
      <alignment horizontal="right"/>
    </xf>
    <xf numFmtId="14" fontId="5" fillId="0" borderId="1" pivotButton="0" quotePrefix="0" xfId="0"/>
    <xf numFmtId="0" fontId="5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0" borderId="0" pivotButton="0" quotePrefix="1" xfId="0"/>
    <xf numFmtId="49" fontId="5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center" vertical="center"/>
    </xf>
    <xf numFmtId="14" fontId="5" fillId="4" borderId="7" applyAlignment="1" pivotButton="0" quotePrefix="0" xfId="0">
      <alignment horizontal="center"/>
    </xf>
    <xf numFmtId="0" fontId="10" fillId="0" borderId="0" pivotButton="0" quotePrefix="0" xfId="0"/>
    <xf numFmtId="0" fontId="11" fillId="5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" fontId="5" fillId="6" borderId="9" applyAlignment="1" pivotButton="0" quotePrefix="0" xfId="0">
      <alignment horizontal="left" vertical="center"/>
    </xf>
    <xf numFmtId="0" fontId="5" fillId="6" borderId="9" applyAlignment="1" pivotButton="0" quotePrefix="0" xfId="0">
      <alignment horizontal="left" vertical="center"/>
    </xf>
    <xf numFmtId="165" fontId="5" fillId="6" borderId="9" applyAlignment="1" pivotButton="0" quotePrefix="0" xfId="0">
      <alignment horizontal="left" vertical="center"/>
    </xf>
    <xf numFmtId="0" fontId="5" fillId="7" borderId="9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I4" authorId="0" shapeId="0">
      <text>
        <t>======
ID#AAAB9w8Aza4
Brex Import Skill    (2026-06-18 14:26:33)
Manual override (Claude curated, pre-approved by user)
Value: Travel Vendor
Reason: Zayn override 2026-05-28: Qantas airline. Resolver missed via vendor list lookup because merchant string is QANTASXXXXXXXX41055 (no word boundary). Promoted to memory.md.
(xlsx row 4 · manual:travel)</t>
      </text>
    </comment>
    <comment ref="L4" authorId="0" shapeId="0">
      <text>
        <t>======
ID#AAAB-HuvnGc
Brex Import Skill    (2026-06-18 14:26:35)
Sub Category Override: Airfare
Linked to High-confidence Payee Override decision; see comment on Payee Override cell.</t>
      </text>
    </comment>
    <comment ref="I5" authorId="0" shapeId="0">
      <text>
        <t>======
ID#AAAB-HuvnGY
Brex Import Skill    (2026-06-18 14:26:35)
Medium confidence
Value: Food Vendor
Reason: keyword:food
(xlsx row 5 · rule:keyword)</t>
      </text>
    </comment>
    <comment ref="L5" authorId="0" shapeId="0">
      <text>
        <t>======
ID#AAAB-HuvnGU
Brex Import Skill    (2026-06-18 14:26:35)
Sub Category Override: Meals &amp; Entertainment
Linked to Medium-confidence Payee Override decision; see comment on Payee Override cell.</t>
      </text>
    </comment>
    <comment ref="I6" authorId="0" shapeId="0">
      <text>
        <t>======
ID#AAAB-HuvnHA
Brex Import Skill    (2026-06-18 14:26:35)
Medium confidence
Value: Food Vendor
Reason: keyword:food
(xlsx row 6 · rule:keyword)</t>
      </text>
    </comment>
    <comment ref="I15" authorId="0" shapeId="0">
      <text>
        <t>======
ID#AAAB9wFuslg
Brex Import Skill    (2026-06-18 14:26:33)
Manual override (Claude curated, pre-approved by user)
Value: Office Vendor
Reason: Zayn override 2026-05-28: contractor (per Zayn's 'matching Jamie Cosgrove pattern' answer). Note: could plausibly be Software Licenses or Office Supplies — revise sub-cat in QBO if needed.
(xlsx row 15 · manual:office)</t>
      </text>
    </comment>
    <comment ref="L15" authorId="0" shapeId="0">
      <text>
        <t>======
ID#AAAB-HuvnGk
Brex Import Skill    (2026-06-18 14:26:35)
Sub Category Override: Dues &amp; Subscriptions
Linked to High-confidence Payee Override decision; see comment on Payee Override cell.</t>
      </text>
    </comment>
    <comment ref="I42" authorId="0" shapeId="0">
      <text>
        <t>======
ID#AAAB-HuvnHs
Brex Import Skill    (2026-06-18 14:26:35)
Manual override (Claude curated, pre-approved by user)
Value: Office Vendor
Reason: Zayn override 2026-05-28: contractor. Per Zayn's choice in the judgment-call question (not charity, not Food).
(xlsx row 42 · manual:office)</t>
      </text>
    </comment>
    <comment ref="L42" authorId="0" shapeId="0">
      <text>
        <t>======
ID#AAAB9w8AzbQ
Brex Import Skill    (2026-06-18 14:26:33)
Sub Category Override: Dues &amp; Subscriptions
Linked to High-confidence Payee Override decision; see comment on Payee Override cell.</t>
      </text>
    </comment>
    <comment ref="I43" authorId="0" shapeId="0">
      <text>
        <t>======
ID#AAAB9w8Azbw
Brex Import Skill    (2026-06-18 14:26:33)
Manual override (Claude curated, pre-approved by user)
Value: Hotel Vendor
Reason: Zayn override 2026-05-28: Puro Hotel Warsaw, booked via Guestrs (GUESTRS*PUROWARSZA). Promoted to memory.md.
(xlsx row 43 · manual:travel)</t>
      </text>
    </comment>
    <comment ref="L43" authorId="0" shapeId="0">
      <text>
        <t>======
ID#AAAB9w8AzaU
Brex Import Skill    (2026-06-18 14:26:33)
Sub Category Override: Lodging
Linked to High-confidence Payee Override decision; see comment on Payee Override cell.</t>
      </text>
    </comment>
    <comment ref="I48" authorId="0" shapeId="0">
      <text>
        <t>======
ID#AAAB9w8AzbU
Brex Import Skill    (2026-06-18 14:26:33)
⚠️ LOW CONFIDENCE — review
Value: Food Vendor
Reason: no rule matched — best guess Food Vendor (review)
(xlsx row 48 · guess)</t>
      </text>
    </comment>
    <comment ref="I49" authorId="0" shapeId="0">
      <text>
        <t>======
ID#AAAB9w8Azao
Brex Import Skill    (2026-06-18 14:26:33)
⚠️ LOW CONFIDENCE — review
Value: Food Vendor
Reason: no rule matched — best guess Food Vendor (review)
(xlsx row 49 · guess)</t>
      </text>
    </comment>
    <comment ref="I57" authorId="0" shapeId="0">
      <text>
        <t>======
ID#AAAB9w8Azbo
Brex Import Skill    (2026-06-18 14:26:33)
Manual override (Claude curated, pre-approved by user)
Value: Hotel Vendor
Reason: Zayn override 2026-05-28: Puro Hotel Warsaw, booked via Guestrs (GUESTRS*PUROWARSZA). Promoted to memory.md.
(xlsx row 57 · manual:travel)</t>
      </text>
    </comment>
    <comment ref="L57" authorId="0" shapeId="0">
      <text>
        <t>======
ID#AAAB-HuvnGs
Brex Import Skill    (2026-06-18 14:26:35)
Sub Category Override: Lodging
Linked to High-confidence Payee Override decision; see comment on Payee Override cell.</t>
      </text>
    </comment>
    <comment ref="I69" authorId="0" shapeId="0">
      <text>
        <t>======
ID#AAAB-HuvnHg
Brex Import Skill    (2026-06-18 14:26:35)
⚠️ LOW CONFIDENCE — review
Value: Food Vendor
Reason: no rule matched — best guess Food Vendor (review)
(xlsx row 69 · guess)</t>
      </text>
    </comment>
    <comment ref="I71" authorId="0" shapeId="0">
      <text>
        <t>======
ID#AAAB9w8AzbA
Brex Import Skill    (2026-06-18 14:26:33)
Medium confidence
Value: Food Vendor
Reason: keyword:food
(xlsx row 71 · rule:keyword)</t>
      </text>
    </comment>
    <comment ref="I73" authorId="0" shapeId="0">
      <text>
        <t>======
ID#AAAB-HuvnGg
Brex Import Skill    (2026-06-18 14:26:35)
Medium confidence
Value: Travel Vendor
Reason: memory.md historical fallback via 'bca ltd* belfast city'
(xlsx row 73 · memory:fallback)</t>
      </text>
    </comment>
    <comment ref="L73" authorId="0" shapeId="0">
      <text>
        <t>======
ID#AAAB9w8AzbE
Brex Import Skill    (2026-06-18 14:26:33)
Sub Category Override: Other Travel Expenses
Linked to Medium-confidence Payee Override decision; see comment on Payee Override cell.</t>
      </text>
    </comment>
    <comment ref="I80" authorId="0" shapeId="0">
      <text>
        <t>======
ID#AAAB9w8Azbg
Brex Import Skill    (2026-06-18 14:26:33)
Medium confidence
Value: Food Vendor
Reason: keyword:food
(xlsx row 80 · rule:keyword)</t>
      </text>
    </comment>
    <comment ref="I81" authorId="0" shapeId="0">
      <text>
        <t>======
ID#AAAB-HuvnG8
Brex Import Skill    (2026-06-18 14:26:35)
Medium confidence
Value: Food Vendor
Reason: keyword:food
(xlsx row 81 · rule:keyword)</t>
      </text>
    </comment>
    <comment ref="I90" authorId="0" shapeId="0">
      <text>
        <t>======
ID#AAAB9w8AzaQ
Brex Import Skill    (2026-06-18 14:26:33)
Medium confidence
Value: Food Vendor
Reason: keyword:food
(xlsx row 90 · rule:keyword)</t>
      </text>
    </comment>
    <comment ref="I91" authorId="0" shapeId="0">
      <text>
        <t>======
ID#AAAB-HuvnHU
Brex Import Skill    (2026-06-18 14:26:35)
Medium confidence
Value: Raising Canes
Reason: vendor list whole-word match 'Raising Canes'
(xlsx row 91 · vendor:substring)</t>
      </text>
    </comment>
    <comment ref="I105" authorId="0" shapeId="0">
      <text>
        <t>======
ID#AAAB9w8AzbI
Brex Import Skill    (2026-06-18 14:26:33)
Medium confidence
Value: Taxi Vendor
Reason: memory.md historical fallback via 'taxi'
(xlsx row 105 · memory:fallback)</t>
      </text>
    </comment>
    <comment ref="I107" authorId="0" shapeId="0">
      <text>
        <t>======
ID#AAAB9w8AzbY
Brex Import Skill    (2026-06-18 14:26:33)
⚠️ LOW CONFIDENCE — review
Value: Food Vendor
Reason: no rule matched — best guess Food Vendor (review)
(xlsx row 107 · guess)</t>
      </text>
    </comment>
    <comment ref="I114" authorId="0" shapeId="0">
      <text>
        <t>======
ID#AAAB9w8Azbs
Brex Import Skill    (2026-06-18 14:26:33)
Medium confidence
Value: Food Vendor
Reason: keyword:food
(xlsx row 114 · rule:keyword)</t>
      </text>
    </comment>
    <comment ref="I119" authorId="0" shapeId="0">
      <text>
        <t>======
ID#AAAB9w8AzaI
Brex Import Skill    (2026-06-18 14:26:33)
Manual override (Claude curated, pre-approved by user)
Value: Mbta
Reason: Zayn override 2026-05-28: MBTA expanded name. Vendor list contains 'Mbta' (Rule 5); buses/transit -&gt; Taxi Vendor per Rule 2, but exact vendor name supersedes the fallback.
(xlsx row 119 · manual:travel)</t>
      </text>
    </comment>
    <comment ref="L119" authorId="0" shapeId="0">
      <text>
        <t>======
ID#AAAB9w8Azag
Brex Import Skill    (2026-06-18 14:26:33)
Sub Category Override: Ground Transportation
Linked to High-confidence Payee Override decision; see comment on Payee Override cell.</t>
      </text>
    </comment>
    <comment ref="I122" authorId="0" shapeId="0">
      <text>
        <t>======
ID#AAAB-HuvnG4
Brex Import Skill    (2026-06-18 14:26:35)
Medium confidence
Value: Food Vendor
Reason: keyword:food
(xlsx row 122 · rule:keyword)</t>
      </text>
    </comment>
    <comment ref="I126" authorId="0" shapeId="0">
      <text>
        <t>======
ID#AAAB9w8AzaY
Brex Import Skill    (2026-06-18 14:26:33)
⚠️ LOW CONFIDENCE — review
Value: Food Vendor
Reason: no rule matched — best guess Food Vendor (review)
(xlsx row 126 · guess)</t>
      </text>
    </comment>
    <comment ref="I127" authorId="0" shapeId="0">
      <text>
        <t>======
ID#AAAB-HuvnHY
Brex Import Skill    (2026-06-18 14:26:35)
Medium confidence
Value: Food Vendor
Reason: keyword:food
(xlsx row 127 · rule:keyword)</t>
      </text>
    </comment>
    <comment ref="I130" authorId="0" shapeId="0">
      <text>
        <t>======
ID#AAAB9w8Azak
Brex Import Skill    (2026-06-18 14:26:33)
Manual override (Claude curated, pre-approved by user)
Value: Office Vendor
Reason: Zayn override 2026-05-28: SaaS link-in-bio subscription. Col F also coded Dues &amp; Subscriptions.
(xlsx row 130 · manual:office)</t>
      </text>
    </comment>
    <comment ref="L130" authorId="0" shapeId="0">
      <text>
        <t>======
ID#AAAB9w8Aza8
Brex Import Skill    (2026-06-18 14:26:33)
Sub Category Override: Dues &amp; Subscriptions
Linked to High-confidence Payee Override decision; see comment on Payee Override cell.</t>
      </text>
    </comment>
    <comment ref="I131" authorId="0" shapeId="0">
      <text>
        <t>======
ID#AAAB-HuvnH0
Brex Import Skill    (2026-06-18 14:26:35)
⚠️ LOW CONFIDENCE — review
Value: Food Vendor
Reason: no rule matched — best guess Food Vendor (review)
(xlsx row 131 · guess)</t>
      </text>
    </comment>
    <comment ref="L131" authorId="0" shapeId="0">
      <text>
        <t>======
ID#AAAB9w8Azbk
Brex Import Skill    (2026-06-18 14:26:33)
Sub Category Override: Meals &amp; Entertainment
Linked to Low-confidence Payee Override decision; see comment on Payee Override cell.</t>
      </text>
    </comment>
    <comment ref="I134" authorId="0" shapeId="0">
      <text>
        <t>======
ID#AAAB9w8AzaM
Brex Import Skill    (2026-06-18 14:26:33)
Medium confidence
Value: Travel Vendor
Reason: memory.md historical fallback via '500 boylston'
(xlsx row 134 · memory:fallback)</t>
      </text>
    </comment>
    <comment ref="L134" authorId="0" shapeId="0">
      <text>
        <t>======
ID#AAAB9w8Azbc
Brex Import Skill    (2026-06-18 14:26:33)
Sub Category Override: Other Travel Expenses
Linked to Medium-confidence Payee Override decision; see comment on Payee Override cell.</t>
      </text>
    </comment>
    <comment ref="I138" authorId="0" shapeId="0">
      <text>
        <t>======
ID#AAAB-HuvnHI
Brex Import Skill    (2026-06-18 14:26:35)
Medium confidence
Value: Travel Vendor
Reason: memory.md historical fallback via 'hingham launch'
(xlsx row 138 · memory:fallback)</t>
      </text>
    </comment>
    <comment ref="L138" authorId="0" shapeId="0">
      <text>
        <t>======
ID#AAAB9w8Aza0
Brex Import Skill    (2026-06-18 14:26:33)
Sub Category Override: Other Travel Expenses
Linked to Medium-confidence Payee Override decision; see comment on Payee Override cell.</t>
      </text>
    </comment>
    <comment ref="I139" authorId="0" shapeId="0">
      <text>
        <t>======
ID#AAAB-HuvnHo
Brex Import Skill    (2026-06-18 14:26:35)
Medium confidence
Value: Travel Vendor
Reason: memory.md historical fallback via '500 boylston'
(xlsx row 139 · memory:fallback)</t>
      </text>
    </comment>
    <comment ref="L139" authorId="0" shapeId="0">
      <text>
        <t>======
ID#AAAB9w8Azac
Brex Import Skill    (2026-06-18 14:26:33)
Sub Category Override: Other Travel Expenses
Linked to Medium-confidence Payee Override decision; see comment on Payee Override cell.</t>
      </text>
    </comment>
    <comment ref="I140" authorId="0" shapeId="0">
      <text>
        <t>======
ID#AAAB-HuvnHE
Brex Import Skill    (2026-06-18 14:26:35)
Medium confidence
Value: Travel Vendor
Reason: memory.md historical fallback via '500 boylston'
(xlsx row 140 · memory:fallback)</t>
      </text>
    </comment>
    <comment ref="L140" authorId="0" shapeId="0">
      <text>
        <t>======
ID#AAAB-HuvnHk
Brex Import Skill    (2026-06-18 14:26:35)
Sub Category Override: Other Travel Expenses
Linked to Medium-confidence Payee Override decision; see comment on Payee Override cell.</t>
      </text>
    </comment>
    <comment ref="I141" authorId="0" shapeId="0">
      <text>
        <t>======
ID#AAAB9w8AzbM
Brex Import Skill    (2026-06-18 14:26:33)
Medium confidence
Value: Travel Vendor
Reason: memory.md historical fallback via '500 boylston'
(xlsx row 141 · memory:fallback)</t>
      </text>
    </comment>
    <comment ref="L141" authorId="0" shapeId="0">
      <text>
        <t>======
ID#AAAB-HuvnGo
Brex Import Skill    (2026-06-18 14:26:35)
Sub Category Override: Other Travel Expenses
Linked to Medium-confidence Payee Override decision; see comment on Payee Override cell.</t>
      </text>
    </comment>
    <comment ref="I149" authorId="0" shapeId="0">
      <text>
        <t>======
ID#AAAB-HuvnG0
Brex Import Skill    (2026-06-18 14:26:35)
⚠️ LOW CONFIDENCE — review
Value: Food Vendor
Reason: no rule matched — best guess Food Vendor (review)
(xlsx row 149 · guess)</t>
      </text>
    </comment>
    <comment ref="I150" authorId="0" shapeId="0">
      <text>
        <t>======
ID#AAAB-HuvnGQ
Brex Import Skill    (2026-06-18 14:26:35)
Medium confidence
Value: Food Vendor
Reason: keyword:food
(xlsx row 150 · rule:keyword)</t>
      </text>
    </comment>
    <comment ref="I152" authorId="0" shapeId="0">
      <text>
        <t>======
ID#AAAB-HuvnHM
Brex Import Skill    (2026-06-18 14:26:35)
⚠️ LOW CONFIDENCE — review
Value: Food Vendor
Reason: no rule matched — best guess Food Vendor (review)
(xlsx row 152 · guess)</t>
      </text>
    </comment>
    <comment ref="I155" authorId="0" shapeId="0">
      <text>
        <t>======
ID#AAAB-HuvnGw
Brex Import Skill    (2026-06-18 14:26:35)
⚠️ LOW CONFIDENCE — review
Value: Food Vendor
Reason: no rule matched — best guess Food Vendor (review)
(xlsx row 155 · guess)</t>
      </text>
    </comment>
    <comment ref="I157" authorId="0" shapeId="0">
      <text>
        <t>======
ID#AAAB9w8Azas
Brex Import Skill    (2026-06-18 14:26:33)
⚠️ LOW CONFIDENCE — review
Value: Food Vendor
Reason: no rule matched — best guess Food Vendor (review)
(xlsx row 157 · guess)</t>
      </text>
    </comment>
    <comment ref="L157" authorId="0" shapeId="0">
      <text>
        <t>======
ID#AAAB-HuvnHQ
Brex Import Skill    (2026-06-18 14:26:35)
Sub Category Override: Meals &amp; Entertainment
Linked to Low-confidence Payee Override decision; see comment on Payee Override cell.</t>
      </text>
    </comment>
    <comment ref="I162" authorId="0" shapeId="0">
      <text>
        <t>======
ID#AAAB-HuvnHw
Brex Import Skill    (2026-06-18 14:26:35)
Medium confidence
Value: Food Vendor
Reason: keyword:food
(xlsx row 162 · rule:keyword)</t>
      </text>
    </comment>
    <comment ref="I163" authorId="0" shapeId="0">
      <text>
        <t>======
ID#AAAB9w8Azaw
Brex Import Skill    (2026-06-18 14:26:33)
Medium confidence
Value: Food Vendor
Reason: keyword:food
(xlsx row 163 · rule:keyword)</t>
      </text>
    </comment>
    <comment ref="I166" authorId="0" shapeId="0">
      <text>
        <t>======
ID#AAAB-HuvnHc
Brex Import Skill    (2026-06-18 14:26:35)
⚠️ LOW CONFIDENCE — review
Value: Food Vendor
Reason: no rule matched — best guess Food Vendor (review)
(xlsx row 166 · guess)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hidden="1" width="20.29" customWidth="1" style="52" min="1" max="1"/>
    <col width="20" customWidth="1" style="52" min="2" max="2"/>
    <col width="15" customWidth="1" style="52" min="3" max="3"/>
    <col width="7.43" customWidth="1" style="52" min="4" max="4"/>
    <col width="6.29" customWidth="1" style="52" min="5" max="5"/>
    <col width="55.14" customWidth="1" style="52" min="6" max="6"/>
    <col hidden="1" width="7.86" customWidth="1" style="52" min="7" max="7"/>
    <col hidden="1" width="10.86" customWidth="1" style="52" min="8" max="8"/>
    <col hidden="1" width="10.29" customWidth="1" style="52" min="9" max="9"/>
    <col hidden="1" width="16.43" customWidth="1" style="52" min="10" max="10"/>
    <col hidden="1" width="22.86" customWidth="1" style="52" min="11" max="11"/>
    <col hidden="1" width="28.29" customWidth="1" style="52" min="12" max="12"/>
    <col hidden="1" width="21" customWidth="1" style="52" min="13" max="13"/>
    <col width="30.43" customWidth="1" style="52" min="14" max="14"/>
    <col hidden="1" width="16.86" customWidth="1" style="52" min="15" max="15"/>
    <col hidden="1" width="15.71" customWidth="1" style="52" min="16" max="16"/>
    <col width="69" customWidth="1" style="52" min="17" max="17"/>
    <col hidden="1" width="18.43" customWidth="1" style="52" min="18" max="18"/>
    <col hidden="1" width="23" customWidth="1" style="52" min="19" max="19"/>
    <col hidden="1" width="14.57" customWidth="1" style="52" min="20" max="20"/>
    <col hidden="1" width="15" customWidth="1" style="52" min="21" max="21"/>
    <col hidden="1" width="16.43" customWidth="1" style="52" min="22" max="22"/>
    <col hidden="1" width="18.29" customWidth="1" style="52" min="23" max="23"/>
    <col width="72" customWidth="1" style="52" min="24" max="24"/>
    <col width="12.57" customWidth="1" style="52" min="25" max="25"/>
    <col width="12.71" customWidth="1" style="52" min="26" max="26"/>
    <col width="9.859999999999999" customWidth="1" style="52" min="27" max="27"/>
    <col width="27.43" customWidth="1" style="52" min="28" max="28"/>
    <col width="22.43" customWidth="1" style="52" min="29" max="29"/>
    <col width="15.43" customWidth="1" style="52" min="30" max="30"/>
    <col width="28.71" customWidth="1" style="52" min="31" max="31"/>
  </cols>
  <sheetData>
    <row r="1" ht="12.75" customHeight="1" s="52">
      <c r="A1" s="1" t="inlineStr">
        <is>
          <t xml:space="preserve">Reference number </t>
        </is>
      </c>
      <c r="B1" s="1" t="inlineStr">
        <is>
          <t>CC account</t>
        </is>
      </c>
      <c r="C1" s="1" t="inlineStr">
        <is>
          <t>Line: Amount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 xml:space="preserve">Line: Account </t>
        </is>
      </c>
      <c r="G1" s="1" t="inlineStr">
        <is>
          <t>Credit</t>
        </is>
      </c>
      <c r="H1" s="1" t="inlineStr">
        <is>
          <t>Currency</t>
        </is>
      </c>
      <c r="I1" s="1" t="inlineStr">
        <is>
          <t>Location</t>
        </is>
      </c>
      <c r="J1" s="1" t="inlineStr">
        <is>
          <t>Exchange Rate</t>
        </is>
      </c>
      <c r="K1" s="1" t="inlineStr">
        <is>
          <t>Global tax calculation</t>
        </is>
      </c>
      <c r="L1" s="1" t="inlineStr">
        <is>
          <t>Update Credit Card Charge</t>
        </is>
      </c>
      <c r="M1" s="1" t="inlineStr">
        <is>
          <t>Line: Billable status</t>
        </is>
      </c>
      <c r="N1" s="1" t="inlineStr">
        <is>
          <t>Line: Class</t>
        </is>
      </c>
      <c r="O1" s="1" t="inlineStr">
        <is>
          <t>Line: Customer</t>
        </is>
      </c>
      <c r="P1" s="1" t="inlineStr">
        <is>
          <t>Line: Tax code</t>
        </is>
      </c>
      <c r="Q1" s="1" t="inlineStr">
        <is>
          <t>Line: Description</t>
        </is>
      </c>
      <c r="R1" s="1" t="inlineStr">
        <is>
          <t>Line: Tax amount</t>
        </is>
      </c>
      <c r="S1" s="1" t="inlineStr">
        <is>
          <t>Line: Markup percent</t>
        </is>
      </c>
      <c r="T1" s="1" t="inlineStr">
        <is>
          <t>Item: Product</t>
        </is>
      </c>
      <c r="U1" s="1" t="inlineStr">
        <is>
          <t>Item: Quantity</t>
        </is>
      </c>
      <c r="V1" s="1" t="inlineStr">
        <is>
          <t>Item: Unit price</t>
        </is>
      </c>
      <c r="W1" s="1" t="inlineStr">
        <is>
          <t>Payment method</t>
        </is>
      </c>
      <c r="X1" s="1" t="inlineStr">
        <is>
          <t>Memo</t>
        </is>
      </c>
      <c r="Y1" s="1" t="inlineStr">
        <is>
          <t>Txn date</t>
        </is>
      </c>
      <c r="Z1" s="1" t="inlineStr">
        <is>
          <t>Txn source</t>
        </is>
      </c>
      <c r="AA1" s="1" t="inlineStr">
        <is>
          <t>Total tax</t>
        </is>
      </c>
      <c r="AB1" s="1" t="inlineStr">
        <is>
          <t>Transaction Location Type</t>
        </is>
      </c>
      <c r="AC1" s="1" t="inlineStr">
        <is>
          <t>Attachment: File Link</t>
        </is>
      </c>
      <c r="AD1" s="1" t="inlineStr">
        <is>
          <t>Attachment: Id</t>
        </is>
      </c>
      <c r="AE1" s="1" t="inlineStr">
        <is>
          <t>Attachment: Attach to email</t>
        </is>
      </c>
    </row>
    <row r="2" ht="12.75" customHeight="1" s="52">
      <c r="A2" s="2" t="n"/>
      <c r="B2" s="2">
        <f>'QBO Transactions'!$U4</f>
        <v/>
      </c>
      <c r="C2" s="3">
        <f>'QBO Transactions'!$S4</f>
        <v/>
      </c>
      <c r="D2" s="2">
        <f>'QBO Transactions'!$R4</f>
        <v/>
      </c>
      <c r="E2" s="2" t="n"/>
      <c r="F2" s="3">
        <f>'QBO Transactions'!$X4</f>
        <v/>
      </c>
      <c r="G2" s="2" t="n"/>
      <c r="H2" s="2" t="n"/>
      <c r="I2" s="2" t="n"/>
      <c r="J2" s="2" t="n"/>
      <c r="K2" s="2" t="n"/>
      <c r="L2" s="2" t="n"/>
      <c r="M2" s="2" t="n"/>
      <c r="N2" s="2">
        <f>'QBO Transactions'!$Y4</f>
        <v/>
      </c>
      <c r="O2" s="2" t="n"/>
      <c r="P2" s="2" t="n"/>
      <c r="Q2" s="2">
        <f>'QBO Transactions'!$T4</f>
        <v/>
      </c>
      <c r="R2" s="2" t="n"/>
      <c r="S2" s="2" t="n"/>
      <c r="T2" s="2" t="n"/>
      <c r="U2" s="2" t="n"/>
      <c r="V2" s="2" t="n"/>
      <c r="W2" s="2" t="n"/>
      <c r="X2" s="2">
        <f>Q2</f>
        <v/>
      </c>
      <c r="Y2" s="4">
        <f>'QBO Transactions'!$Q4</f>
        <v/>
      </c>
      <c r="Z2" s="4" t="n"/>
      <c r="AA2" s="2" t="n"/>
      <c r="AB2" s="2" t="n"/>
      <c r="AC2" s="2" t="n"/>
      <c r="AD2" s="2" t="n"/>
      <c r="AE2" s="2" t="n"/>
    </row>
    <row r="3" ht="12.75" customHeight="1" s="52">
      <c r="A3" s="2" t="n"/>
      <c r="B3" s="2">
        <f>'QBO Transactions'!$U5</f>
        <v/>
      </c>
      <c r="C3" s="3">
        <f>'QBO Transactions'!$S5</f>
        <v/>
      </c>
      <c r="D3" s="2">
        <f>'QBO Transactions'!$R5</f>
        <v/>
      </c>
      <c r="E3" s="2" t="n"/>
      <c r="F3" s="3">
        <f>'QBO Transactions'!$X5</f>
        <v/>
      </c>
      <c r="G3" s="2" t="n"/>
      <c r="H3" s="2" t="n"/>
      <c r="I3" s="2" t="n"/>
      <c r="J3" s="2" t="n"/>
      <c r="K3" s="2" t="n"/>
      <c r="L3" s="2" t="n"/>
      <c r="M3" s="2" t="n"/>
      <c r="N3" s="2">
        <f>'QBO Transactions'!$Y5</f>
        <v/>
      </c>
      <c r="O3" s="2" t="n"/>
      <c r="P3" s="2" t="n"/>
      <c r="Q3" s="2">
        <f>'QBO Transactions'!$T5</f>
        <v/>
      </c>
      <c r="R3" s="2" t="n"/>
      <c r="S3" s="2" t="n"/>
      <c r="T3" s="2" t="n"/>
      <c r="U3" s="2" t="n"/>
      <c r="V3" s="2" t="n"/>
      <c r="W3" s="2" t="n"/>
      <c r="X3" s="2">
        <f>Q3</f>
        <v/>
      </c>
      <c r="Y3" s="4">
        <f>'QBO Transactions'!$Q5</f>
        <v/>
      </c>
      <c r="Z3" s="2" t="n"/>
      <c r="AA3" s="2" t="n"/>
      <c r="AB3" s="2" t="n"/>
      <c r="AC3" s="2" t="n"/>
      <c r="AD3" s="2" t="n"/>
      <c r="AE3" s="2" t="n"/>
    </row>
    <row r="4" ht="12.75" customHeight="1" s="52">
      <c r="A4" s="2" t="n"/>
      <c r="B4" s="2">
        <f>'QBO Transactions'!$U6</f>
        <v/>
      </c>
      <c r="C4" s="3">
        <f>'QBO Transactions'!$S6</f>
        <v/>
      </c>
      <c r="D4" s="2">
        <f>'QBO Transactions'!$R6</f>
        <v/>
      </c>
      <c r="E4" s="2" t="n"/>
      <c r="F4" s="3">
        <f>'QBO Transactions'!$X6</f>
        <v/>
      </c>
      <c r="G4" s="2" t="n"/>
      <c r="H4" s="2" t="n"/>
      <c r="I4" s="2" t="n"/>
      <c r="J4" s="2" t="n"/>
      <c r="K4" s="2" t="n"/>
      <c r="L4" s="2" t="n"/>
      <c r="M4" s="2" t="n"/>
      <c r="N4" s="2">
        <f>'QBO Transactions'!$Y6</f>
        <v/>
      </c>
      <c r="O4" s="2" t="n"/>
      <c r="P4" s="2" t="n"/>
      <c r="Q4" s="2">
        <f>'QBO Transactions'!$T6</f>
        <v/>
      </c>
      <c r="R4" s="2" t="n"/>
      <c r="S4" s="2" t="n"/>
      <c r="T4" s="2" t="n"/>
      <c r="U4" s="2" t="n"/>
      <c r="V4" s="2" t="n"/>
      <c r="W4" s="2" t="n"/>
      <c r="X4" s="2">
        <f>Q4</f>
        <v/>
      </c>
      <c r="Y4" s="4">
        <f>'QBO Transactions'!$Q6</f>
        <v/>
      </c>
      <c r="Z4" s="2" t="n"/>
      <c r="AA4" s="2" t="n"/>
      <c r="AB4" s="2" t="n"/>
      <c r="AC4" s="2" t="n"/>
      <c r="AD4" s="2" t="n"/>
      <c r="AE4" s="2" t="n"/>
    </row>
    <row r="5" ht="12.75" customHeight="1" s="52">
      <c r="A5" s="2" t="n"/>
      <c r="B5" s="2">
        <f>'QBO Transactions'!$U7</f>
        <v/>
      </c>
      <c r="C5" s="3">
        <f>'QBO Transactions'!$S7</f>
        <v/>
      </c>
      <c r="D5" s="2">
        <f>'QBO Transactions'!$R7</f>
        <v/>
      </c>
      <c r="E5" s="2" t="n"/>
      <c r="F5" s="3">
        <f>'QBO Transactions'!$X7</f>
        <v/>
      </c>
      <c r="G5" s="2" t="n"/>
      <c r="H5" s="2" t="n"/>
      <c r="I5" s="2" t="n"/>
      <c r="J5" s="2" t="n"/>
      <c r="K5" s="2" t="n"/>
      <c r="L5" s="2" t="n"/>
      <c r="M5" s="2" t="n"/>
      <c r="N5" s="2">
        <f>'QBO Transactions'!$Y7</f>
        <v/>
      </c>
      <c r="O5" s="2" t="n"/>
      <c r="P5" s="2" t="n"/>
      <c r="Q5" s="2">
        <f>'QBO Transactions'!$T7</f>
        <v/>
      </c>
      <c r="R5" s="2" t="n"/>
      <c r="S5" s="2" t="n"/>
      <c r="T5" s="2" t="n"/>
      <c r="U5" s="2" t="n"/>
      <c r="V5" s="2" t="n"/>
      <c r="W5" s="2" t="n"/>
      <c r="X5" s="2">
        <f>Q5</f>
        <v/>
      </c>
      <c r="Y5" s="4">
        <f>'QBO Transactions'!$Q7</f>
        <v/>
      </c>
      <c r="Z5" s="2" t="n"/>
      <c r="AA5" s="2" t="n"/>
      <c r="AB5" s="2" t="n"/>
      <c r="AC5" s="2" t="n"/>
      <c r="AD5" s="2" t="n"/>
      <c r="AE5" s="2" t="n"/>
    </row>
    <row r="6" ht="12" customHeight="1" s="52">
      <c r="A6" s="2" t="n"/>
      <c r="B6" s="2">
        <f>'QBO Transactions'!$U8</f>
        <v/>
      </c>
      <c r="C6" s="3">
        <f>'QBO Transactions'!$S8</f>
        <v/>
      </c>
      <c r="D6" s="2">
        <f>'QBO Transactions'!$R8</f>
        <v/>
      </c>
      <c r="E6" s="2" t="n"/>
      <c r="F6" s="3">
        <f>'QBO Transactions'!$X8</f>
        <v/>
      </c>
      <c r="G6" s="2" t="n"/>
      <c r="H6" s="2" t="n"/>
      <c r="I6" s="2" t="n"/>
      <c r="J6" s="2" t="n"/>
      <c r="K6" s="2" t="n"/>
      <c r="L6" s="2" t="n"/>
      <c r="M6" s="2" t="n"/>
      <c r="N6" s="2">
        <f>'QBO Transactions'!$Y8</f>
        <v/>
      </c>
      <c r="O6" s="2" t="n"/>
      <c r="P6" s="2" t="n"/>
      <c r="Q6" s="2">
        <f>'QBO Transactions'!$T8</f>
        <v/>
      </c>
      <c r="R6" s="2" t="n"/>
      <c r="S6" s="2" t="n"/>
      <c r="T6" s="2" t="n"/>
      <c r="U6" s="2" t="n"/>
      <c r="V6" s="2" t="n"/>
      <c r="W6" s="2" t="n"/>
      <c r="X6" s="2">
        <f>Q6</f>
        <v/>
      </c>
      <c r="Y6" s="4">
        <f>'QBO Transactions'!$Q8</f>
        <v/>
      </c>
      <c r="Z6" s="2" t="n"/>
      <c r="AA6" s="2" t="n"/>
      <c r="AB6" s="2" t="n"/>
      <c r="AC6" s="2" t="n"/>
      <c r="AD6" s="2" t="n"/>
      <c r="AE6" s="2" t="n"/>
    </row>
    <row r="7" ht="12.75" customHeight="1" s="52">
      <c r="A7" s="2" t="n"/>
      <c r="B7" s="2">
        <f>'QBO Transactions'!$U9</f>
        <v/>
      </c>
      <c r="C7" s="3">
        <f>'QBO Transactions'!$S9</f>
        <v/>
      </c>
      <c r="D7" s="5">
        <f>'QBO Transactions'!$R9</f>
        <v/>
      </c>
      <c r="E7" s="2" t="n"/>
      <c r="F7" s="3">
        <f>'QBO Transactions'!$X9</f>
        <v/>
      </c>
      <c r="G7" s="2" t="n"/>
      <c r="H7" s="2" t="n"/>
      <c r="I7" s="2" t="n"/>
      <c r="J7" s="2" t="n"/>
      <c r="K7" s="2" t="n"/>
      <c r="L7" s="2" t="n"/>
      <c r="M7" s="2" t="n"/>
      <c r="N7" s="2">
        <f>'QBO Transactions'!$Y9</f>
        <v/>
      </c>
      <c r="O7" s="2" t="n"/>
      <c r="P7" s="2" t="n"/>
      <c r="Q7" s="2">
        <f>'QBO Transactions'!$T9</f>
        <v/>
      </c>
      <c r="R7" s="2" t="n"/>
      <c r="S7" s="2" t="n"/>
      <c r="T7" s="2" t="n"/>
      <c r="U7" s="2" t="n"/>
      <c r="V7" s="2" t="n"/>
      <c r="W7" s="2" t="n"/>
      <c r="X7" s="2">
        <f>Q7</f>
        <v/>
      </c>
      <c r="Y7" s="4">
        <f>'QBO Transactions'!$Q9</f>
        <v/>
      </c>
      <c r="Z7" s="2" t="n"/>
      <c r="AA7" s="2" t="n"/>
      <c r="AB7" s="2" t="n"/>
      <c r="AC7" s="2" t="n"/>
      <c r="AD7" s="2" t="n"/>
      <c r="AE7" s="2" t="n"/>
    </row>
    <row r="8" ht="12.75" customHeight="1" s="52">
      <c r="A8" s="2" t="n"/>
      <c r="B8" s="2">
        <f>'QBO Transactions'!$U10</f>
        <v/>
      </c>
      <c r="C8" s="3">
        <f>'QBO Transactions'!$S10</f>
        <v/>
      </c>
      <c r="D8" s="5">
        <f>'QBO Transactions'!$R10</f>
        <v/>
      </c>
      <c r="E8" s="2" t="n"/>
      <c r="F8" s="3">
        <f>'QBO Transactions'!$X10</f>
        <v/>
      </c>
      <c r="G8" s="2" t="n"/>
      <c r="H8" s="2" t="n"/>
      <c r="I8" s="2" t="n"/>
      <c r="J8" s="2" t="n"/>
      <c r="K8" s="2" t="n"/>
      <c r="L8" s="2" t="n"/>
      <c r="M8" s="2" t="n"/>
      <c r="N8" s="2">
        <f>'QBO Transactions'!$Y10</f>
        <v/>
      </c>
      <c r="O8" s="2" t="n"/>
      <c r="P8" s="2" t="n"/>
      <c r="Q8" s="2">
        <f>'QBO Transactions'!$T10</f>
        <v/>
      </c>
      <c r="R8" s="2" t="n"/>
      <c r="S8" s="2" t="n"/>
      <c r="T8" s="2" t="n"/>
      <c r="U8" s="2" t="n"/>
      <c r="V8" s="2" t="n"/>
      <c r="W8" s="2" t="n"/>
      <c r="X8" s="2">
        <f>Q8</f>
        <v/>
      </c>
      <c r="Y8" s="4">
        <f>'QBO Transactions'!$Q10</f>
        <v/>
      </c>
      <c r="Z8" s="2" t="n"/>
      <c r="AA8" s="2" t="n"/>
      <c r="AB8" s="2" t="n"/>
      <c r="AC8" s="2" t="n"/>
      <c r="AD8" s="2" t="n"/>
      <c r="AE8" s="2" t="n"/>
    </row>
    <row r="9" ht="12.75" customHeight="1" s="52">
      <c r="A9" s="2" t="n"/>
      <c r="B9" s="2">
        <f>'QBO Transactions'!$U11</f>
        <v/>
      </c>
      <c r="C9" s="3">
        <f>'QBO Transactions'!$S11</f>
        <v/>
      </c>
      <c r="D9" s="5">
        <f>'QBO Transactions'!$R11</f>
        <v/>
      </c>
      <c r="E9" s="2" t="n"/>
      <c r="F9" s="3">
        <f>'QBO Transactions'!$X11</f>
        <v/>
      </c>
      <c r="G9" s="2" t="n"/>
      <c r="H9" s="2" t="n"/>
      <c r="I9" s="2" t="n"/>
      <c r="J9" s="2" t="n"/>
      <c r="K9" s="2" t="n"/>
      <c r="L9" s="2" t="n"/>
      <c r="M9" s="2" t="n"/>
      <c r="N9" s="2">
        <f>'QBO Transactions'!$Y11</f>
        <v/>
      </c>
      <c r="O9" s="2" t="n"/>
      <c r="P9" s="2" t="n"/>
      <c r="Q9" s="2">
        <f>'QBO Transactions'!$T11</f>
        <v/>
      </c>
      <c r="R9" s="2" t="n"/>
      <c r="S9" s="2" t="n"/>
      <c r="T9" s="2" t="n"/>
      <c r="U9" s="2" t="n"/>
      <c r="V9" s="2" t="n"/>
      <c r="W9" s="2" t="n"/>
      <c r="X9" s="2">
        <f>Q9</f>
        <v/>
      </c>
      <c r="Y9" s="4">
        <f>'QBO Transactions'!$Q11</f>
        <v/>
      </c>
      <c r="Z9" s="2" t="n"/>
      <c r="AA9" s="2" t="n"/>
      <c r="AB9" s="2" t="n"/>
      <c r="AC9" s="2" t="n"/>
      <c r="AD9" s="2" t="n"/>
      <c r="AE9" s="2" t="n"/>
    </row>
    <row r="10" ht="12.75" customHeight="1" s="52">
      <c r="A10" s="2" t="n"/>
      <c r="B10" s="2">
        <f>'QBO Transactions'!$U12</f>
        <v/>
      </c>
      <c r="C10" s="3">
        <f>'QBO Transactions'!$S12</f>
        <v/>
      </c>
      <c r="D10" s="5">
        <f>'QBO Transactions'!$R12</f>
        <v/>
      </c>
      <c r="E10" s="2" t="n"/>
      <c r="F10" s="3">
        <f>'QBO Transactions'!$X12</f>
        <v/>
      </c>
      <c r="G10" s="2" t="n"/>
      <c r="H10" s="2" t="n"/>
      <c r="I10" s="2" t="n"/>
      <c r="J10" s="2" t="n"/>
      <c r="K10" s="2" t="n"/>
      <c r="L10" s="2" t="n"/>
      <c r="M10" s="2" t="n"/>
      <c r="N10" s="2">
        <f>'QBO Transactions'!$Y12</f>
        <v/>
      </c>
      <c r="O10" s="2" t="n"/>
      <c r="P10" s="2" t="n"/>
      <c r="Q10" s="2">
        <f>'QBO Transactions'!$T12</f>
        <v/>
      </c>
      <c r="R10" s="2" t="n"/>
      <c r="S10" s="2" t="n"/>
      <c r="T10" s="2" t="n"/>
      <c r="U10" s="2" t="n"/>
      <c r="V10" s="2" t="n"/>
      <c r="W10" s="2" t="n"/>
      <c r="X10" s="2">
        <f>Q10</f>
        <v/>
      </c>
      <c r="Y10" s="4">
        <f>'QBO Transactions'!$Q12</f>
        <v/>
      </c>
      <c r="Z10" s="2" t="n"/>
      <c r="AA10" s="2" t="n"/>
      <c r="AB10" s="2" t="n"/>
      <c r="AC10" s="2" t="n"/>
      <c r="AD10" s="2" t="n"/>
      <c r="AE10" s="2" t="n"/>
    </row>
    <row r="11" ht="12.75" customHeight="1" s="52">
      <c r="A11" s="2" t="n"/>
      <c r="B11" s="2">
        <f>'QBO Transactions'!$U13</f>
        <v/>
      </c>
      <c r="C11" s="3">
        <f>'QBO Transactions'!$S13</f>
        <v/>
      </c>
      <c r="D11" s="5">
        <f>'QBO Transactions'!$R13</f>
        <v/>
      </c>
      <c r="E11" s="2" t="n"/>
      <c r="F11" s="3">
        <f>'QBO Transactions'!$X13</f>
        <v/>
      </c>
      <c r="G11" s="2" t="n"/>
      <c r="H11" s="2" t="n"/>
      <c r="I11" s="2" t="n"/>
      <c r="J11" s="2" t="n"/>
      <c r="K11" s="2" t="n"/>
      <c r="L11" s="2" t="n"/>
      <c r="M11" s="2" t="n"/>
      <c r="N11" s="2">
        <f>'QBO Transactions'!$Y13</f>
        <v/>
      </c>
      <c r="O11" s="2" t="n"/>
      <c r="P11" s="2" t="n"/>
      <c r="Q11" s="2">
        <f>'QBO Transactions'!$T13</f>
        <v/>
      </c>
      <c r="R11" s="2" t="n"/>
      <c r="S11" s="2" t="n"/>
      <c r="T11" s="2" t="n"/>
      <c r="U11" s="2" t="n"/>
      <c r="V11" s="2" t="n"/>
      <c r="W11" s="2" t="n"/>
      <c r="X11" s="2">
        <f>Q11</f>
        <v/>
      </c>
      <c r="Y11" s="4">
        <f>'QBO Transactions'!$Q13</f>
        <v/>
      </c>
      <c r="Z11" s="2" t="n"/>
      <c r="AA11" s="2" t="n"/>
      <c r="AB11" s="2" t="n"/>
      <c r="AC11" s="2" t="n"/>
      <c r="AD11" s="2" t="n"/>
      <c r="AE11" s="2" t="n"/>
    </row>
    <row r="12" ht="12.75" customHeight="1" s="52">
      <c r="A12" s="2" t="n"/>
      <c r="B12" s="2">
        <f>'QBO Transactions'!$U14</f>
        <v/>
      </c>
      <c r="C12" s="3">
        <f>'QBO Transactions'!$S14</f>
        <v/>
      </c>
      <c r="D12" s="5">
        <f>'QBO Transactions'!$R14</f>
        <v/>
      </c>
      <c r="E12" s="2" t="n"/>
      <c r="F12" s="3">
        <f>'QBO Transactions'!$X14</f>
        <v/>
      </c>
      <c r="G12" s="2" t="n"/>
      <c r="H12" s="2" t="n"/>
      <c r="I12" s="2" t="n"/>
      <c r="J12" s="2" t="n"/>
      <c r="K12" s="2" t="n"/>
      <c r="L12" s="2" t="n"/>
      <c r="M12" s="2" t="n"/>
      <c r="N12" s="2">
        <f>'QBO Transactions'!$Y14</f>
        <v/>
      </c>
      <c r="O12" s="2" t="n"/>
      <c r="P12" s="2" t="n"/>
      <c r="Q12" s="2">
        <f>'QBO Transactions'!$T14</f>
        <v/>
      </c>
      <c r="R12" s="2" t="n"/>
      <c r="S12" s="2" t="n"/>
      <c r="T12" s="2" t="n"/>
      <c r="U12" s="2" t="n"/>
      <c r="V12" s="2" t="n"/>
      <c r="W12" s="2" t="n"/>
      <c r="X12" s="2">
        <f>Q12</f>
        <v/>
      </c>
      <c r="Y12" s="4">
        <f>'QBO Transactions'!$Q14</f>
        <v/>
      </c>
      <c r="Z12" s="2" t="n"/>
      <c r="AA12" s="2" t="n"/>
      <c r="AB12" s="2" t="n"/>
      <c r="AC12" s="2" t="n"/>
      <c r="AD12" s="2" t="n"/>
      <c r="AE12" s="2" t="n"/>
    </row>
    <row r="13" ht="12.75" customHeight="1" s="52">
      <c r="A13" s="2" t="n"/>
      <c r="B13" s="2">
        <f>'QBO Transactions'!$U15</f>
        <v/>
      </c>
      <c r="C13" s="3">
        <f>'QBO Transactions'!$S15</f>
        <v/>
      </c>
      <c r="D13" s="2">
        <f>'QBO Transactions'!$R15</f>
        <v/>
      </c>
      <c r="E13" s="2" t="n"/>
      <c r="F13" s="3">
        <f>'QBO Transactions'!$X15</f>
        <v/>
      </c>
      <c r="G13" s="2" t="n"/>
      <c r="H13" s="2" t="n"/>
      <c r="I13" s="2" t="n"/>
      <c r="J13" s="2" t="n"/>
      <c r="K13" s="2" t="n"/>
      <c r="L13" s="2" t="n"/>
      <c r="M13" s="2" t="n"/>
      <c r="N13" s="2">
        <f>'QBO Transactions'!$Y15</f>
        <v/>
      </c>
      <c r="O13" s="2" t="n"/>
      <c r="P13" s="2" t="n"/>
      <c r="Q13" s="2">
        <f>'QBO Transactions'!$T15</f>
        <v/>
      </c>
      <c r="R13" s="2" t="n"/>
      <c r="S13" s="2" t="n"/>
      <c r="T13" s="2" t="n"/>
      <c r="U13" s="2" t="n"/>
      <c r="V13" s="2" t="n"/>
      <c r="W13" s="2" t="n"/>
      <c r="X13" s="2">
        <f>Q13</f>
        <v/>
      </c>
      <c r="Y13" s="4">
        <f>'QBO Transactions'!$Q15</f>
        <v/>
      </c>
      <c r="Z13" s="2" t="n"/>
      <c r="AA13" s="2" t="n"/>
      <c r="AB13" s="2" t="n"/>
      <c r="AC13" s="2" t="n"/>
      <c r="AD13" s="2" t="n"/>
      <c r="AE13" s="2" t="n"/>
    </row>
    <row r="14" ht="12.75" customHeight="1" s="52">
      <c r="A14" s="2" t="n"/>
      <c r="B14" s="2">
        <f>'QBO Transactions'!$U16</f>
        <v/>
      </c>
      <c r="C14" s="3">
        <f>'QBO Transactions'!$S16</f>
        <v/>
      </c>
      <c r="D14" s="5">
        <f>'QBO Transactions'!$R16</f>
        <v/>
      </c>
      <c r="E14" s="2" t="n"/>
      <c r="F14" s="3">
        <f>'QBO Transactions'!$X16</f>
        <v/>
      </c>
      <c r="G14" s="2" t="n"/>
      <c r="H14" s="2" t="n"/>
      <c r="I14" s="2" t="n"/>
      <c r="J14" s="2" t="n"/>
      <c r="K14" s="2" t="n"/>
      <c r="L14" s="2" t="n"/>
      <c r="M14" s="2" t="n"/>
      <c r="N14" s="2">
        <f>'QBO Transactions'!$Y16</f>
        <v/>
      </c>
      <c r="O14" s="2" t="n"/>
      <c r="P14" s="2" t="n"/>
      <c r="Q14" s="2">
        <f>'QBO Transactions'!$T16</f>
        <v/>
      </c>
      <c r="R14" s="2" t="n"/>
      <c r="S14" s="2" t="n"/>
      <c r="T14" s="2" t="n"/>
      <c r="U14" s="2" t="n"/>
      <c r="V14" s="2" t="n"/>
      <c r="W14" s="2" t="n"/>
      <c r="X14" s="2">
        <f>Q14</f>
        <v/>
      </c>
      <c r="Y14" s="4">
        <f>'QBO Transactions'!$Q16</f>
        <v/>
      </c>
      <c r="Z14" s="2" t="n"/>
      <c r="AA14" s="2" t="n"/>
      <c r="AB14" s="2" t="n"/>
      <c r="AC14" s="2" t="n"/>
      <c r="AD14" s="2" t="n"/>
      <c r="AE14" s="2" t="n"/>
    </row>
    <row r="15" ht="12.75" customHeight="1" s="52">
      <c r="A15" s="2" t="n"/>
      <c r="B15" s="2">
        <f>'QBO Transactions'!$U17</f>
        <v/>
      </c>
      <c r="C15" s="3">
        <f>'QBO Transactions'!$S17</f>
        <v/>
      </c>
      <c r="D15" s="5">
        <f>'QBO Transactions'!$R17</f>
        <v/>
      </c>
      <c r="E15" s="2" t="n"/>
      <c r="F15" s="3">
        <f>'QBO Transactions'!$X17</f>
        <v/>
      </c>
      <c r="G15" s="2" t="n"/>
      <c r="H15" s="2" t="n"/>
      <c r="I15" s="2" t="n"/>
      <c r="J15" s="2" t="n"/>
      <c r="K15" s="2" t="n"/>
      <c r="L15" s="2" t="n"/>
      <c r="M15" s="2" t="n"/>
      <c r="N15" s="2">
        <f>'QBO Transactions'!$Y17</f>
        <v/>
      </c>
      <c r="O15" s="2" t="n"/>
      <c r="P15" s="2" t="n"/>
      <c r="Q15" s="2">
        <f>'QBO Transactions'!$T17</f>
        <v/>
      </c>
      <c r="R15" s="2" t="n"/>
      <c r="S15" s="2" t="n"/>
      <c r="T15" s="2" t="n"/>
      <c r="U15" s="2" t="n"/>
      <c r="V15" s="2" t="n"/>
      <c r="W15" s="2" t="n"/>
      <c r="X15" s="2">
        <f>Q15</f>
        <v/>
      </c>
      <c r="Y15" s="4">
        <f>'QBO Transactions'!$Q17</f>
        <v/>
      </c>
      <c r="Z15" s="2" t="n"/>
      <c r="AA15" s="2" t="n"/>
      <c r="AB15" s="2" t="n"/>
      <c r="AC15" s="2" t="n"/>
      <c r="AD15" s="2" t="n"/>
      <c r="AE15" s="2" t="n"/>
    </row>
    <row r="16" ht="12.75" customHeight="1" s="52">
      <c r="A16" s="2" t="n"/>
      <c r="B16" s="2">
        <f>'QBO Transactions'!$U18</f>
        <v/>
      </c>
      <c r="C16" s="3">
        <f>'QBO Transactions'!$S18</f>
        <v/>
      </c>
      <c r="D16" s="5">
        <f>'QBO Transactions'!$R18</f>
        <v/>
      </c>
      <c r="E16" s="2" t="n"/>
      <c r="F16" s="3">
        <f>'QBO Transactions'!$X18</f>
        <v/>
      </c>
      <c r="G16" s="2" t="n"/>
      <c r="H16" s="2" t="n"/>
      <c r="I16" s="2" t="n"/>
      <c r="J16" s="2" t="n"/>
      <c r="K16" s="2" t="n"/>
      <c r="L16" s="2" t="n"/>
      <c r="M16" s="2" t="n"/>
      <c r="N16" s="2">
        <f>'QBO Transactions'!$Y18</f>
        <v/>
      </c>
      <c r="O16" s="2" t="n"/>
      <c r="P16" s="2" t="n"/>
      <c r="Q16" s="2">
        <f>'QBO Transactions'!$T18</f>
        <v/>
      </c>
      <c r="R16" s="2" t="n"/>
      <c r="S16" s="2" t="n"/>
      <c r="T16" s="2" t="n"/>
      <c r="U16" s="2" t="n"/>
      <c r="V16" s="2" t="n"/>
      <c r="W16" s="2" t="n"/>
      <c r="X16" s="2">
        <f>Q16</f>
        <v/>
      </c>
      <c r="Y16" s="4">
        <f>'QBO Transactions'!$Q18</f>
        <v/>
      </c>
      <c r="Z16" s="2" t="n"/>
      <c r="AA16" s="2" t="n"/>
      <c r="AB16" s="2" t="n"/>
      <c r="AC16" s="2" t="n"/>
      <c r="AD16" s="2" t="n"/>
      <c r="AE16" s="2" t="n"/>
    </row>
    <row r="17" ht="12.75" customHeight="1" s="52">
      <c r="A17" s="2" t="n"/>
      <c r="B17" s="2">
        <f>'QBO Transactions'!$U19</f>
        <v/>
      </c>
      <c r="C17" s="3">
        <f>'QBO Transactions'!$S19</f>
        <v/>
      </c>
      <c r="D17" s="5">
        <f>'QBO Transactions'!$R19</f>
        <v/>
      </c>
      <c r="E17" s="2" t="n"/>
      <c r="F17" s="3">
        <f>'QBO Transactions'!$X19</f>
        <v/>
      </c>
      <c r="G17" s="2" t="n"/>
      <c r="H17" s="2" t="n"/>
      <c r="I17" s="2" t="n"/>
      <c r="J17" s="2" t="n"/>
      <c r="K17" s="2" t="n"/>
      <c r="L17" s="2" t="n"/>
      <c r="M17" s="2" t="n"/>
      <c r="N17" s="2">
        <f>'QBO Transactions'!$Y19</f>
        <v/>
      </c>
      <c r="O17" s="2" t="n"/>
      <c r="P17" s="2" t="n"/>
      <c r="Q17" s="2">
        <f>'QBO Transactions'!$T19</f>
        <v/>
      </c>
      <c r="R17" s="2" t="n"/>
      <c r="S17" s="2" t="n"/>
      <c r="T17" s="2" t="n"/>
      <c r="U17" s="2" t="n"/>
      <c r="V17" s="2" t="n"/>
      <c r="W17" s="2" t="n"/>
      <c r="X17" s="2">
        <f>Q17</f>
        <v/>
      </c>
      <c r="Y17" s="4">
        <f>'QBO Transactions'!$Q19</f>
        <v/>
      </c>
      <c r="Z17" s="2" t="n"/>
      <c r="AA17" s="2" t="n"/>
      <c r="AB17" s="2" t="n"/>
      <c r="AC17" s="2" t="n"/>
      <c r="AD17" s="2" t="n"/>
      <c r="AE17" s="2" t="n"/>
    </row>
    <row r="18" ht="12.75" customHeight="1" s="52">
      <c r="A18" s="2" t="n"/>
      <c r="B18" s="2">
        <f>'QBO Transactions'!$U20</f>
        <v/>
      </c>
      <c r="C18" s="3">
        <f>'QBO Transactions'!$S20</f>
        <v/>
      </c>
      <c r="D18" s="5">
        <f>'QBO Transactions'!$R20</f>
        <v/>
      </c>
      <c r="E18" s="2" t="n"/>
      <c r="F18" s="3">
        <f>'QBO Transactions'!$X20</f>
        <v/>
      </c>
      <c r="G18" s="2" t="n"/>
      <c r="H18" s="2" t="n"/>
      <c r="I18" s="2" t="n"/>
      <c r="J18" s="2" t="n"/>
      <c r="K18" s="2" t="n"/>
      <c r="L18" s="2" t="n"/>
      <c r="M18" s="2" t="n"/>
      <c r="N18" s="2">
        <f>'QBO Transactions'!$Y20</f>
        <v/>
      </c>
      <c r="O18" s="2" t="n"/>
      <c r="P18" s="2" t="n"/>
      <c r="Q18" s="2">
        <f>'QBO Transactions'!$T20</f>
        <v/>
      </c>
      <c r="R18" s="2" t="n"/>
      <c r="S18" s="2" t="n"/>
      <c r="T18" s="2" t="n"/>
      <c r="U18" s="2" t="n"/>
      <c r="V18" s="2" t="n"/>
      <c r="W18" s="2" t="n"/>
      <c r="X18" s="2">
        <f>Q18</f>
        <v/>
      </c>
      <c r="Y18" s="4">
        <f>'QBO Transactions'!$Q20</f>
        <v/>
      </c>
      <c r="Z18" s="2" t="n"/>
      <c r="AA18" s="2" t="n"/>
      <c r="AB18" s="2" t="n"/>
      <c r="AC18" s="2" t="n"/>
      <c r="AD18" s="2" t="n"/>
      <c r="AE18" s="2" t="n"/>
    </row>
    <row r="19" ht="12.75" customHeight="1" s="52">
      <c r="A19" s="2" t="n"/>
      <c r="B19" s="2">
        <f>'QBO Transactions'!$U21</f>
        <v/>
      </c>
      <c r="C19" s="3">
        <f>'QBO Transactions'!$S21</f>
        <v/>
      </c>
      <c r="D19" s="5">
        <f>'QBO Transactions'!$R21</f>
        <v/>
      </c>
      <c r="E19" s="2" t="n"/>
      <c r="F19" s="3">
        <f>'QBO Transactions'!$X21</f>
        <v/>
      </c>
      <c r="G19" s="2" t="n"/>
      <c r="H19" s="2" t="n"/>
      <c r="I19" s="2" t="n"/>
      <c r="J19" s="2" t="n"/>
      <c r="K19" s="2" t="n"/>
      <c r="L19" s="2" t="n"/>
      <c r="M19" s="2" t="n"/>
      <c r="N19" s="2">
        <f>'QBO Transactions'!$Y21</f>
        <v/>
      </c>
      <c r="O19" s="2" t="n"/>
      <c r="P19" s="2" t="n"/>
      <c r="Q19" s="2">
        <f>'QBO Transactions'!$T21</f>
        <v/>
      </c>
      <c r="R19" s="2" t="n"/>
      <c r="S19" s="2" t="n"/>
      <c r="T19" s="2" t="n"/>
      <c r="U19" s="2" t="n"/>
      <c r="V19" s="2" t="n"/>
      <c r="W19" s="2" t="n"/>
      <c r="X19" s="2">
        <f>Q19</f>
        <v/>
      </c>
      <c r="Y19" s="4">
        <f>'QBO Transactions'!$Q21</f>
        <v/>
      </c>
      <c r="Z19" s="2" t="n"/>
      <c r="AA19" s="2" t="n"/>
      <c r="AB19" s="2" t="n"/>
      <c r="AC19" s="2" t="n"/>
      <c r="AD19" s="2" t="n"/>
      <c r="AE19" s="2" t="n"/>
    </row>
    <row r="20" ht="12.75" customHeight="1" s="52">
      <c r="A20" s="2" t="n"/>
      <c r="B20" s="2">
        <f>'QBO Transactions'!$U22</f>
        <v/>
      </c>
      <c r="C20" s="3">
        <f>'QBO Transactions'!$S22</f>
        <v/>
      </c>
      <c r="D20" s="5">
        <f>'QBO Transactions'!$R22</f>
        <v/>
      </c>
      <c r="E20" s="2" t="n"/>
      <c r="F20" s="3">
        <f>'QBO Transactions'!$X22</f>
        <v/>
      </c>
      <c r="G20" s="2" t="n"/>
      <c r="H20" s="2" t="n"/>
      <c r="I20" s="2" t="n"/>
      <c r="J20" s="2" t="n"/>
      <c r="K20" s="2" t="n"/>
      <c r="L20" s="2" t="n"/>
      <c r="M20" s="2" t="n"/>
      <c r="N20" s="2">
        <f>'QBO Transactions'!$Y22</f>
        <v/>
      </c>
      <c r="O20" s="2" t="n"/>
      <c r="P20" s="2" t="n"/>
      <c r="Q20" s="2">
        <f>'QBO Transactions'!$T22</f>
        <v/>
      </c>
      <c r="R20" s="2" t="n"/>
      <c r="S20" s="2" t="n"/>
      <c r="T20" s="2" t="n"/>
      <c r="U20" s="2" t="n"/>
      <c r="V20" s="2" t="n"/>
      <c r="W20" s="2" t="n"/>
      <c r="X20" s="2">
        <f>Q20</f>
        <v/>
      </c>
      <c r="Y20" s="4">
        <f>'QBO Transactions'!$Q22</f>
        <v/>
      </c>
      <c r="Z20" s="2" t="n"/>
      <c r="AA20" s="2" t="n"/>
      <c r="AB20" s="2" t="n"/>
      <c r="AC20" s="2" t="n"/>
      <c r="AD20" s="2" t="n"/>
      <c r="AE20" s="2" t="n"/>
    </row>
    <row r="21" ht="12.75" customHeight="1" s="52">
      <c r="A21" s="2" t="n"/>
      <c r="B21" s="2">
        <f>'QBO Transactions'!$U23</f>
        <v/>
      </c>
      <c r="C21" s="3">
        <f>'QBO Transactions'!$S23</f>
        <v/>
      </c>
      <c r="D21" s="5">
        <f>'QBO Transactions'!$R23</f>
        <v/>
      </c>
      <c r="E21" s="2" t="n"/>
      <c r="F21" s="3">
        <f>'QBO Transactions'!$X23</f>
        <v/>
      </c>
      <c r="G21" s="2" t="n"/>
      <c r="H21" s="2" t="n"/>
      <c r="I21" s="2" t="n"/>
      <c r="J21" s="2" t="n"/>
      <c r="K21" s="2" t="n"/>
      <c r="L21" s="2" t="n"/>
      <c r="M21" s="2" t="n"/>
      <c r="N21" s="2">
        <f>'QBO Transactions'!$Y23</f>
        <v/>
      </c>
      <c r="O21" s="2" t="n"/>
      <c r="P21" s="2" t="n"/>
      <c r="Q21" s="2">
        <f>'QBO Transactions'!$T23</f>
        <v/>
      </c>
      <c r="R21" s="2" t="n"/>
      <c r="S21" s="2" t="n"/>
      <c r="T21" s="2" t="n"/>
      <c r="U21" s="2" t="n"/>
      <c r="V21" s="2" t="n"/>
      <c r="W21" s="2" t="n"/>
      <c r="X21" s="2">
        <f>Q21</f>
        <v/>
      </c>
      <c r="Y21" s="4">
        <f>'QBO Transactions'!$Q23</f>
        <v/>
      </c>
      <c r="Z21" s="2" t="n"/>
      <c r="AA21" s="2" t="n"/>
      <c r="AB21" s="2" t="n"/>
      <c r="AC21" s="2" t="n"/>
      <c r="AD21" s="2" t="n"/>
      <c r="AE21" s="2" t="n"/>
    </row>
    <row r="22" ht="12.75" customHeight="1" s="52">
      <c r="A22" s="2" t="n"/>
      <c r="B22" s="2">
        <f>'QBO Transactions'!$U24</f>
        <v/>
      </c>
      <c r="C22" s="3">
        <f>'QBO Transactions'!$S24</f>
        <v/>
      </c>
      <c r="D22" s="5">
        <f>'QBO Transactions'!$R24</f>
        <v/>
      </c>
      <c r="E22" s="2" t="n"/>
      <c r="F22" s="3">
        <f>'QBO Transactions'!$X24</f>
        <v/>
      </c>
      <c r="G22" s="2" t="n"/>
      <c r="H22" s="2" t="n"/>
      <c r="I22" s="2" t="n"/>
      <c r="J22" s="2" t="n"/>
      <c r="K22" s="2" t="n"/>
      <c r="L22" s="2" t="n"/>
      <c r="M22" s="2" t="n"/>
      <c r="N22" s="2">
        <f>'QBO Transactions'!$Y24</f>
        <v/>
      </c>
      <c r="O22" s="2" t="n"/>
      <c r="P22" s="2" t="n"/>
      <c r="Q22" s="2">
        <f>'QBO Transactions'!$T24</f>
        <v/>
      </c>
      <c r="R22" s="2" t="n"/>
      <c r="S22" s="2" t="n"/>
      <c r="T22" s="2" t="n"/>
      <c r="U22" s="2" t="n"/>
      <c r="V22" s="2" t="n"/>
      <c r="W22" s="2" t="n"/>
      <c r="X22" s="2">
        <f>Q22</f>
        <v/>
      </c>
      <c r="Y22" s="4">
        <f>'QBO Transactions'!$Q24</f>
        <v/>
      </c>
      <c r="Z22" s="2" t="n"/>
      <c r="AA22" s="2" t="n"/>
      <c r="AB22" s="2" t="n"/>
      <c r="AC22" s="2" t="n"/>
      <c r="AD22" s="2" t="n"/>
      <c r="AE22" s="2" t="n"/>
    </row>
    <row r="23" ht="12.75" customHeight="1" s="52">
      <c r="A23" s="2" t="n"/>
      <c r="B23" s="2">
        <f>'QBO Transactions'!$U25</f>
        <v/>
      </c>
      <c r="C23" s="3">
        <f>'QBO Transactions'!$S25</f>
        <v/>
      </c>
      <c r="D23" s="5">
        <f>'QBO Transactions'!$R25</f>
        <v/>
      </c>
      <c r="E23" s="2" t="n"/>
      <c r="F23" s="3">
        <f>'QBO Transactions'!$X25</f>
        <v/>
      </c>
      <c r="G23" s="2" t="n"/>
      <c r="H23" s="2" t="n"/>
      <c r="I23" s="2" t="n"/>
      <c r="J23" s="2" t="n"/>
      <c r="K23" s="2" t="n"/>
      <c r="L23" s="2" t="n"/>
      <c r="M23" s="2" t="n"/>
      <c r="N23" s="2">
        <f>'QBO Transactions'!$Y25</f>
        <v/>
      </c>
      <c r="O23" s="2" t="n"/>
      <c r="P23" s="2" t="n"/>
      <c r="Q23" s="2">
        <f>'QBO Transactions'!$T25</f>
        <v/>
      </c>
      <c r="R23" s="2" t="n"/>
      <c r="S23" s="2" t="n"/>
      <c r="T23" s="2" t="n"/>
      <c r="U23" s="2" t="n"/>
      <c r="V23" s="2" t="n"/>
      <c r="W23" s="2" t="n"/>
      <c r="X23" s="2">
        <f>Q23</f>
        <v/>
      </c>
      <c r="Y23" s="4">
        <f>'QBO Transactions'!$Q25</f>
        <v/>
      </c>
      <c r="Z23" s="2" t="n"/>
      <c r="AA23" s="2" t="n"/>
      <c r="AB23" s="2" t="n"/>
      <c r="AC23" s="2" t="n"/>
      <c r="AD23" s="2" t="n"/>
      <c r="AE23" s="2" t="n"/>
    </row>
    <row r="24" ht="12.75" customHeight="1" s="52">
      <c r="A24" s="2" t="n"/>
      <c r="B24" s="2">
        <f>'QBO Transactions'!$U26</f>
        <v/>
      </c>
      <c r="C24" s="3">
        <f>'QBO Transactions'!$S26</f>
        <v/>
      </c>
      <c r="D24" s="5">
        <f>'QBO Transactions'!$R26</f>
        <v/>
      </c>
      <c r="E24" s="2" t="n"/>
      <c r="F24" s="3">
        <f>'QBO Transactions'!$X26</f>
        <v/>
      </c>
      <c r="G24" s="2" t="n"/>
      <c r="H24" s="2" t="n"/>
      <c r="I24" s="2" t="n"/>
      <c r="J24" s="2" t="n"/>
      <c r="K24" s="2" t="n"/>
      <c r="L24" s="2" t="n"/>
      <c r="M24" s="2" t="n"/>
      <c r="N24" s="2">
        <f>'QBO Transactions'!$Y26</f>
        <v/>
      </c>
      <c r="O24" s="2" t="n"/>
      <c r="P24" s="2" t="n"/>
      <c r="Q24" s="2">
        <f>'QBO Transactions'!$T26</f>
        <v/>
      </c>
      <c r="R24" s="2" t="n"/>
      <c r="S24" s="2" t="n"/>
      <c r="T24" s="2" t="n"/>
      <c r="U24" s="2" t="n"/>
      <c r="V24" s="2" t="n"/>
      <c r="W24" s="2" t="n"/>
      <c r="X24" s="2">
        <f>Q24</f>
        <v/>
      </c>
      <c r="Y24" s="4">
        <f>'QBO Transactions'!$Q26</f>
        <v/>
      </c>
      <c r="Z24" s="2" t="n"/>
      <c r="AA24" s="2" t="n"/>
      <c r="AB24" s="2" t="n"/>
      <c r="AC24" s="2" t="n"/>
      <c r="AD24" s="2" t="n"/>
      <c r="AE24" s="2" t="n"/>
    </row>
    <row r="25" ht="12.75" customHeight="1" s="52">
      <c r="A25" s="2" t="n"/>
      <c r="B25" s="2">
        <f>'QBO Transactions'!$U27</f>
        <v/>
      </c>
      <c r="C25" s="3">
        <f>'QBO Transactions'!$S27</f>
        <v/>
      </c>
      <c r="D25" s="5">
        <f>'QBO Transactions'!$R27</f>
        <v/>
      </c>
      <c r="E25" s="2" t="n"/>
      <c r="F25" s="3">
        <f>'QBO Transactions'!$X27</f>
        <v/>
      </c>
      <c r="G25" s="2" t="n"/>
      <c r="H25" s="2" t="n"/>
      <c r="I25" s="2" t="n"/>
      <c r="J25" s="2" t="n"/>
      <c r="K25" s="2" t="n"/>
      <c r="L25" s="2" t="n"/>
      <c r="M25" s="2" t="n"/>
      <c r="N25" s="2">
        <f>'QBO Transactions'!$Y27</f>
        <v/>
      </c>
      <c r="O25" s="2" t="n"/>
      <c r="P25" s="2" t="n"/>
      <c r="Q25" s="2">
        <f>'QBO Transactions'!$T27</f>
        <v/>
      </c>
      <c r="R25" s="2" t="n"/>
      <c r="S25" s="2" t="n"/>
      <c r="T25" s="2" t="n"/>
      <c r="U25" s="2" t="n"/>
      <c r="V25" s="2" t="n"/>
      <c r="W25" s="2" t="n"/>
      <c r="X25" s="2">
        <f>Q25</f>
        <v/>
      </c>
      <c r="Y25" s="4">
        <f>'QBO Transactions'!$Q27</f>
        <v/>
      </c>
      <c r="Z25" s="2" t="n"/>
      <c r="AA25" s="2" t="n"/>
      <c r="AB25" s="2" t="n"/>
      <c r="AC25" s="2" t="n"/>
      <c r="AD25" s="2" t="n"/>
      <c r="AE25" s="2" t="n"/>
    </row>
    <row r="26" ht="12.75" customHeight="1" s="52">
      <c r="A26" s="2" t="n"/>
      <c r="B26" s="2">
        <f>'QBO Transactions'!$U28</f>
        <v/>
      </c>
      <c r="C26" s="3">
        <f>'QBO Transactions'!$S28</f>
        <v/>
      </c>
      <c r="D26" s="5">
        <f>'QBO Transactions'!$R28</f>
        <v/>
      </c>
      <c r="E26" s="2" t="n"/>
      <c r="F26" s="3">
        <f>'QBO Transactions'!$X28</f>
        <v/>
      </c>
      <c r="G26" s="2" t="n"/>
      <c r="H26" s="2" t="n"/>
      <c r="I26" s="2" t="n"/>
      <c r="J26" s="2" t="n"/>
      <c r="K26" s="2" t="n"/>
      <c r="L26" s="2" t="n"/>
      <c r="M26" s="2" t="n"/>
      <c r="N26" s="2">
        <f>'QBO Transactions'!$Y28</f>
        <v/>
      </c>
      <c r="O26" s="2" t="n"/>
      <c r="P26" s="2" t="n"/>
      <c r="Q26" s="2">
        <f>'QBO Transactions'!$T28</f>
        <v/>
      </c>
      <c r="R26" s="2" t="n"/>
      <c r="S26" s="2" t="n"/>
      <c r="T26" s="2" t="n"/>
      <c r="U26" s="2" t="n"/>
      <c r="V26" s="2" t="n"/>
      <c r="W26" s="2" t="n"/>
      <c r="X26" s="2">
        <f>Q26</f>
        <v/>
      </c>
      <c r="Y26" s="4">
        <f>'QBO Transactions'!$Q28</f>
        <v/>
      </c>
      <c r="Z26" s="2" t="n"/>
      <c r="AA26" s="2" t="n"/>
      <c r="AB26" s="2" t="n"/>
      <c r="AC26" s="2" t="n"/>
      <c r="AD26" s="2" t="n"/>
      <c r="AE26" s="2" t="n"/>
    </row>
    <row r="27" ht="12.75" customHeight="1" s="52">
      <c r="A27" s="2" t="n"/>
      <c r="B27" s="2">
        <f>'QBO Transactions'!$U29</f>
        <v/>
      </c>
      <c r="C27" s="3">
        <f>'QBO Transactions'!$S29</f>
        <v/>
      </c>
      <c r="D27" s="5">
        <f>'QBO Transactions'!$R29</f>
        <v/>
      </c>
      <c r="E27" s="2" t="n"/>
      <c r="F27" s="3">
        <f>'QBO Transactions'!$X29</f>
        <v/>
      </c>
      <c r="G27" s="2" t="n"/>
      <c r="H27" s="2" t="n"/>
      <c r="I27" s="2" t="n"/>
      <c r="J27" s="2" t="n"/>
      <c r="K27" s="2" t="n"/>
      <c r="L27" s="2" t="n"/>
      <c r="M27" s="2" t="n"/>
      <c r="N27" s="2">
        <f>'QBO Transactions'!$Y29</f>
        <v/>
      </c>
      <c r="O27" s="2" t="n"/>
      <c r="P27" s="2" t="n"/>
      <c r="Q27" s="2">
        <f>'QBO Transactions'!$T29</f>
        <v/>
      </c>
      <c r="R27" s="2" t="n"/>
      <c r="S27" s="2" t="n"/>
      <c r="T27" s="2" t="n"/>
      <c r="U27" s="2" t="n"/>
      <c r="V27" s="2" t="n"/>
      <c r="W27" s="2" t="n"/>
      <c r="X27" s="2">
        <f>Q27</f>
        <v/>
      </c>
      <c r="Y27" s="4">
        <f>'QBO Transactions'!$Q29</f>
        <v/>
      </c>
      <c r="Z27" s="2" t="n"/>
      <c r="AA27" s="2" t="n"/>
      <c r="AB27" s="2" t="n"/>
      <c r="AC27" s="2" t="n"/>
      <c r="AD27" s="2" t="n"/>
      <c r="AE27" s="2" t="n"/>
    </row>
    <row r="28" ht="12.75" customHeight="1" s="52">
      <c r="A28" s="2" t="n"/>
      <c r="B28" s="2">
        <f>'QBO Transactions'!$U30</f>
        <v/>
      </c>
      <c r="C28" s="3">
        <f>'QBO Transactions'!$S30</f>
        <v/>
      </c>
      <c r="D28" s="5">
        <f>'QBO Transactions'!$R30</f>
        <v/>
      </c>
      <c r="E28" s="2" t="n"/>
      <c r="F28" s="3">
        <f>'QBO Transactions'!$X30</f>
        <v/>
      </c>
      <c r="G28" s="2" t="n"/>
      <c r="H28" s="2" t="n"/>
      <c r="I28" s="2" t="n"/>
      <c r="J28" s="2" t="n"/>
      <c r="K28" s="2" t="n"/>
      <c r="L28" s="2" t="n"/>
      <c r="M28" s="2" t="n"/>
      <c r="N28" s="2">
        <f>'QBO Transactions'!$Y30</f>
        <v/>
      </c>
      <c r="O28" s="2" t="n"/>
      <c r="P28" s="2" t="n"/>
      <c r="Q28" s="2">
        <f>'QBO Transactions'!$T30</f>
        <v/>
      </c>
      <c r="R28" s="2" t="n"/>
      <c r="S28" s="2" t="n"/>
      <c r="T28" s="2" t="n"/>
      <c r="U28" s="2" t="n"/>
      <c r="V28" s="2" t="n"/>
      <c r="W28" s="2" t="n"/>
      <c r="X28" s="2">
        <f>Q28</f>
        <v/>
      </c>
      <c r="Y28" s="4">
        <f>'QBO Transactions'!$Q30</f>
        <v/>
      </c>
      <c r="Z28" s="2" t="n"/>
      <c r="AA28" s="2" t="n"/>
      <c r="AB28" s="2" t="n"/>
      <c r="AC28" s="2" t="n"/>
      <c r="AD28" s="2" t="n"/>
      <c r="AE28" s="2" t="n"/>
    </row>
    <row r="29" ht="12.75" customHeight="1" s="52">
      <c r="A29" s="2" t="n"/>
      <c r="B29" s="2">
        <f>'QBO Transactions'!$U31</f>
        <v/>
      </c>
      <c r="C29" s="3">
        <f>'QBO Transactions'!$S31</f>
        <v/>
      </c>
      <c r="D29" s="5">
        <f>'QBO Transactions'!$R31</f>
        <v/>
      </c>
      <c r="E29" s="2" t="n"/>
      <c r="F29" s="3">
        <f>'QBO Transactions'!$X31</f>
        <v/>
      </c>
      <c r="G29" s="2" t="n"/>
      <c r="H29" s="2" t="n"/>
      <c r="I29" s="2" t="n"/>
      <c r="J29" s="2" t="n"/>
      <c r="K29" s="2" t="n"/>
      <c r="L29" s="2" t="n"/>
      <c r="M29" s="2" t="n"/>
      <c r="N29" s="2">
        <f>'QBO Transactions'!$Y31</f>
        <v/>
      </c>
      <c r="O29" s="2" t="n"/>
      <c r="P29" s="2" t="n"/>
      <c r="Q29" s="2">
        <f>'QBO Transactions'!$T31</f>
        <v/>
      </c>
      <c r="R29" s="2" t="n"/>
      <c r="S29" s="2" t="n"/>
      <c r="T29" s="2" t="n"/>
      <c r="U29" s="2" t="n"/>
      <c r="V29" s="2" t="n"/>
      <c r="W29" s="2" t="n"/>
      <c r="X29" s="2">
        <f>Q29</f>
        <v/>
      </c>
      <c r="Y29" s="4">
        <f>'QBO Transactions'!$Q31</f>
        <v/>
      </c>
      <c r="Z29" s="2" t="n"/>
      <c r="AA29" s="2" t="n"/>
      <c r="AB29" s="2" t="n"/>
      <c r="AC29" s="2" t="n"/>
      <c r="AD29" s="2" t="n"/>
      <c r="AE29" s="2" t="n"/>
    </row>
    <row r="30" ht="12.75" customHeight="1" s="52">
      <c r="A30" s="2" t="n"/>
      <c r="B30" s="2">
        <f>'QBO Transactions'!$U32</f>
        <v/>
      </c>
      <c r="C30" s="3">
        <f>'QBO Transactions'!$S32</f>
        <v/>
      </c>
      <c r="D30" s="5">
        <f>'QBO Transactions'!$R32</f>
        <v/>
      </c>
      <c r="E30" s="2" t="n"/>
      <c r="F30" s="3">
        <f>'QBO Transactions'!$X32</f>
        <v/>
      </c>
      <c r="G30" s="2" t="n"/>
      <c r="H30" s="2" t="n"/>
      <c r="I30" s="2" t="n"/>
      <c r="J30" s="2" t="n"/>
      <c r="K30" s="2" t="n"/>
      <c r="L30" s="2" t="n"/>
      <c r="M30" s="2" t="n"/>
      <c r="N30" s="2">
        <f>'QBO Transactions'!$Y32</f>
        <v/>
      </c>
      <c r="O30" s="2" t="n"/>
      <c r="P30" s="2" t="n"/>
      <c r="Q30" s="2">
        <f>'QBO Transactions'!$T32</f>
        <v/>
      </c>
      <c r="R30" s="2" t="n"/>
      <c r="S30" s="2" t="n"/>
      <c r="T30" s="2" t="n"/>
      <c r="U30" s="2" t="n"/>
      <c r="V30" s="2" t="n"/>
      <c r="W30" s="2" t="n"/>
      <c r="X30" s="2">
        <f>Q30</f>
        <v/>
      </c>
      <c r="Y30" s="4">
        <f>'QBO Transactions'!$Q32</f>
        <v/>
      </c>
      <c r="Z30" s="2" t="n"/>
      <c r="AA30" s="2" t="n"/>
      <c r="AB30" s="2" t="n"/>
      <c r="AC30" s="2" t="n"/>
      <c r="AD30" s="2" t="n"/>
      <c r="AE30" s="2" t="n"/>
    </row>
    <row r="31" ht="12.75" customHeight="1" s="52">
      <c r="A31" s="2" t="n"/>
      <c r="B31" s="2">
        <f>'QBO Transactions'!$U33</f>
        <v/>
      </c>
      <c r="C31" s="3">
        <f>'QBO Transactions'!$S33</f>
        <v/>
      </c>
      <c r="D31" s="5">
        <f>'QBO Transactions'!$R33</f>
        <v/>
      </c>
      <c r="E31" s="2" t="n"/>
      <c r="F31" s="3">
        <f>'QBO Transactions'!$X33</f>
        <v/>
      </c>
      <c r="G31" s="2" t="n"/>
      <c r="H31" s="2" t="n"/>
      <c r="I31" s="2" t="n"/>
      <c r="J31" s="2" t="n"/>
      <c r="K31" s="2" t="n"/>
      <c r="L31" s="2" t="n"/>
      <c r="M31" s="2" t="n"/>
      <c r="N31" s="2">
        <f>'QBO Transactions'!$Y33</f>
        <v/>
      </c>
      <c r="O31" s="2" t="n"/>
      <c r="P31" s="2" t="n"/>
      <c r="Q31" s="2">
        <f>'QBO Transactions'!$T33</f>
        <v/>
      </c>
      <c r="R31" s="2" t="n"/>
      <c r="S31" s="2" t="n"/>
      <c r="T31" s="2" t="n"/>
      <c r="U31" s="2" t="n"/>
      <c r="V31" s="2" t="n"/>
      <c r="W31" s="2" t="n"/>
      <c r="X31" s="2">
        <f>Q31</f>
        <v/>
      </c>
      <c r="Y31" s="4">
        <f>'QBO Transactions'!$Q33</f>
        <v/>
      </c>
      <c r="Z31" s="2" t="n"/>
      <c r="AA31" s="2" t="n"/>
      <c r="AB31" s="2" t="n"/>
      <c r="AC31" s="2" t="n"/>
      <c r="AD31" s="2" t="n"/>
      <c r="AE31" s="2" t="n"/>
    </row>
    <row r="32" ht="12.75" customHeight="1" s="52">
      <c r="A32" s="2" t="n"/>
      <c r="B32" s="2">
        <f>'QBO Transactions'!$U34</f>
        <v/>
      </c>
      <c r="C32" s="3">
        <f>'QBO Transactions'!$S34</f>
        <v/>
      </c>
      <c r="D32" s="5">
        <f>'QBO Transactions'!$R34</f>
        <v/>
      </c>
      <c r="E32" s="2" t="n"/>
      <c r="F32" s="3">
        <f>'QBO Transactions'!$X34</f>
        <v/>
      </c>
      <c r="G32" s="2" t="n"/>
      <c r="H32" s="2" t="n"/>
      <c r="I32" s="2" t="n"/>
      <c r="J32" s="2" t="n"/>
      <c r="K32" s="2" t="n"/>
      <c r="L32" s="2" t="n"/>
      <c r="M32" s="2" t="n"/>
      <c r="N32" s="2">
        <f>'QBO Transactions'!$Y34</f>
        <v/>
      </c>
      <c r="O32" s="2" t="n"/>
      <c r="P32" s="2" t="n"/>
      <c r="Q32" s="2">
        <f>'QBO Transactions'!$T34</f>
        <v/>
      </c>
      <c r="R32" s="2" t="n"/>
      <c r="S32" s="2" t="n"/>
      <c r="T32" s="2" t="n"/>
      <c r="U32" s="2" t="n"/>
      <c r="V32" s="2" t="n"/>
      <c r="W32" s="2" t="n"/>
      <c r="X32" s="2">
        <f>Q32</f>
        <v/>
      </c>
      <c r="Y32" s="4">
        <f>'QBO Transactions'!$Q34</f>
        <v/>
      </c>
      <c r="Z32" s="2" t="n"/>
      <c r="AA32" s="2" t="n"/>
      <c r="AB32" s="2" t="n"/>
      <c r="AC32" s="2" t="n"/>
      <c r="AD32" s="2" t="n"/>
      <c r="AE32" s="2" t="n"/>
    </row>
    <row r="33" ht="12.75" customHeight="1" s="52">
      <c r="A33" s="2" t="n"/>
      <c r="B33" s="2">
        <f>'QBO Transactions'!$U35</f>
        <v/>
      </c>
      <c r="C33" s="3">
        <f>'QBO Transactions'!$S35</f>
        <v/>
      </c>
      <c r="D33" s="5">
        <f>'QBO Transactions'!$R35</f>
        <v/>
      </c>
      <c r="E33" s="2" t="n"/>
      <c r="F33" s="3">
        <f>'QBO Transactions'!$X35</f>
        <v/>
      </c>
      <c r="G33" s="2" t="n"/>
      <c r="H33" s="2" t="n"/>
      <c r="I33" s="2" t="n"/>
      <c r="J33" s="2" t="n"/>
      <c r="K33" s="2" t="n"/>
      <c r="L33" s="2" t="n"/>
      <c r="M33" s="2" t="n"/>
      <c r="N33" s="2">
        <f>'QBO Transactions'!$Y35</f>
        <v/>
      </c>
      <c r="O33" s="2" t="n"/>
      <c r="P33" s="2" t="n"/>
      <c r="Q33" s="2">
        <f>'QBO Transactions'!$T35</f>
        <v/>
      </c>
      <c r="R33" s="2" t="n"/>
      <c r="S33" s="2" t="n"/>
      <c r="T33" s="2" t="n"/>
      <c r="U33" s="2" t="n"/>
      <c r="V33" s="2" t="n"/>
      <c r="W33" s="2" t="n"/>
      <c r="X33" s="2">
        <f>Q33</f>
        <v/>
      </c>
      <c r="Y33" s="4">
        <f>'QBO Transactions'!$Q35</f>
        <v/>
      </c>
      <c r="Z33" s="2" t="n"/>
      <c r="AA33" s="2" t="n"/>
      <c r="AB33" s="2" t="n"/>
      <c r="AC33" s="2" t="n"/>
      <c r="AD33" s="2" t="n"/>
      <c r="AE33" s="2" t="n"/>
    </row>
    <row r="34" ht="12.75" customHeight="1" s="52">
      <c r="A34" s="2" t="n"/>
      <c r="B34" s="2">
        <f>'QBO Transactions'!$U36</f>
        <v/>
      </c>
      <c r="C34" s="3">
        <f>'QBO Transactions'!$S36</f>
        <v/>
      </c>
      <c r="D34" s="5">
        <f>'QBO Transactions'!$R36</f>
        <v/>
      </c>
      <c r="E34" s="2" t="n"/>
      <c r="F34" s="3">
        <f>'QBO Transactions'!$X36</f>
        <v/>
      </c>
      <c r="G34" s="2" t="n"/>
      <c r="H34" s="2" t="n"/>
      <c r="I34" s="2" t="n"/>
      <c r="J34" s="2" t="n"/>
      <c r="K34" s="2" t="n"/>
      <c r="L34" s="2" t="n"/>
      <c r="M34" s="2" t="n"/>
      <c r="N34" s="2">
        <f>'QBO Transactions'!$Y36</f>
        <v/>
      </c>
      <c r="O34" s="2" t="n"/>
      <c r="P34" s="2" t="n"/>
      <c r="Q34" s="2">
        <f>'QBO Transactions'!$T36</f>
        <v/>
      </c>
      <c r="R34" s="2" t="n"/>
      <c r="S34" s="2" t="n"/>
      <c r="T34" s="2" t="n"/>
      <c r="U34" s="2" t="n"/>
      <c r="V34" s="2" t="n"/>
      <c r="W34" s="2" t="n"/>
      <c r="X34" s="2">
        <f>Q34</f>
        <v/>
      </c>
      <c r="Y34" s="4">
        <f>'QBO Transactions'!$Q36</f>
        <v/>
      </c>
      <c r="Z34" s="2" t="n"/>
      <c r="AA34" s="2" t="n"/>
      <c r="AB34" s="2" t="n"/>
      <c r="AC34" s="2" t="n"/>
      <c r="AD34" s="2" t="n"/>
      <c r="AE34" s="2" t="n"/>
    </row>
    <row r="35" ht="12.75" customHeight="1" s="52">
      <c r="A35" s="2" t="n"/>
      <c r="B35" s="2">
        <f>'QBO Transactions'!$U37</f>
        <v/>
      </c>
      <c r="C35" s="3">
        <f>'QBO Transactions'!$S37</f>
        <v/>
      </c>
      <c r="D35" s="5">
        <f>'QBO Transactions'!$R37</f>
        <v/>
      </c>
      <c r="E35" s="2" t="n"/>
      <c r="F35" s="3">
        <f>'QBO Transactions'!$X37</f>
        <v/>
      </c>
      <c r="G35" s="2" t="n"/>
      <c r="H35" s="2" t="n"/>
      <c r="I35" s="2" t="n"/>
      <c r="J35" s="2" t="n"/>
      <c r="K35" s="2" t="n"/>
      <c r="L35" s="2" t="n"/>
      <c r="M35" s="2" t="n"/>
      <c r="N35" s="2">
        <f>'QBO Transactions'!$Y37</f>
        <v/>
      </c>
      <c r="O35" s="2" t="n"/>
      <c r="P35" s="2" t="n"/>
      <c r="Q35" s="2">
        <f>'QBO Transactions'!$T37</f>
        <v/>
      </c>
      <c r="R35" s="2" t="n"/>
      <c r="S35" s="2" t="n"/>
      <c r="T35" s="2" t="n"/>
      <c r="U35" s="2" t="n"/>
      <c r="V35" s="2" t="n"/>
      <c r="W35" s="2" t="n"/>
      <c r="X35" s="2">
        <f>Q35</f>
        <v/>
      </c>
      <c r="Y35" s="4">
        <f>'QBO Transactions'!$Q37</f>
        <v/>
      </c>
      <c r="Z35" s="2" t="n"/>
      <c r="AA35" s="2" t="n"/>
      <c r="AB35" s="2" t="n"/>
      <c r="AC35" s="2" t="n"/>
      <c r="AD35" s="2" t="n"/>
      <c r="AE35" s="2" t="n"/>
    </row>
    <row r="36" ht="12.75" customHeight="1" s="52">
      <c r="A36" s="2" t="n"/>
      <c r="B36" s="2">
        <f>'QBO Transactions'!$U38</f>
        <v/>
      </c>
      <c r="C36" s="3">
        <f>'QBO Transactions'!$S38</f>
        <v/>
      </c>
      <c r="D36" s="5">
        <f>'QBO Transactions'!$R38</f>
        <v/>
      </c>
      <c r="E36" s="2" t="n"/>
      <c r="F36" s="3">
        <f>'QBO Transactions'!$X38</f>
        <v/>
      </c>
      <c r="G36" s="2" t="n"/>
      <c r="H36" s="2" t="n"/>
      <c r="I36" s="2" t="n"/>
      <c r="J36" s="2" t="n"/>
      <c r="K36" s="2" t="n"/>
      <c r="L36" s="2" t="n"/>
      <c r="M36" s="2" t="n"/>
      <c r="N36" s="2">
        <f>'QBO Transactions'!$Y38</f>
        <v/>
      </c>
      <c r="O36" s="2" t="n"/>
      <c r="P36" s="2" t="n"/>
      <c r="Q36" s="2">
        <f>'QBO Transactions'!$T38</f>
        <v/>
      </c>
      <c r="R36" s="2" t="n"/>
      <c r="S36" s="2" t="n"/>
      <c r="T36" s="2" t="n"/>
      <c r="U36" s="2" t="n"/>
      <c r="V36" s="2" t="n"/>
      <c r="W36" s="2" t="n"/>
      <c r="X36" s="2">
        <f>Q36</f>
        <v/>
      </c>
      <c r="Y36" s="4">
        <f>'QBO Transactions'!$Q38</f>
        <v/>
      </c>
      <c r="Z36" s="2" t="n"/>
      <c r="AA36" s="2" t="n"/>
      <c r="AB36" s="2" t="n"/>
      <c r="AC36" s="2" t="n"/>
      <c r="AD36" s="2" t="n"/>
      <c r="AE36" s="2" t="n"/>
    </row>
    <row r="37" ht="12.75" customHeight="1" s="52">
      <c r="A37" s="2" t="n"/>
      <c r="B37" s="2">
        <f>'QBO Transactions'!$U39</f>
        <v/>
      </c>
      <c r="C37" s="3">
        <f>'QBO Transactions'!$S39</f>
        <v/>
      </c>
      <c r="D37" s="5">
        <f>'QBO Transactions'!$R39</f>
        <v/>
      </c>
      <c r="E37" s="2" t="n"/>
      <c r="F37" s="3">
        <f>'QBO Transactions'!$X39</f>
        <v/>
      </c>
      <c r="G37" s="2" t="n"/>
      <c r="H37" s="2" t="n"/>
      <c r="I37" s="2" t="n"/>
      <c r="J37" s="2" t="n"/>
      <c r="K37" s="2" t="n"/>
      <c r="L37" s="2" t="n"/>
      <c r="M37" s="2" t="n"/>
      <c r="N37" s="2">
        <f>'QBO Transactions'!$Y39</f>
        <v/>
      </c>
      <c r="O37" s="2" t="n"/>
      <c r="P37" s="2" t="n"/>
      <c r="Q37" s="2">
        <f>'QBO Transactions'!$T39</f>
        <v/>
      </c>
      <c r="R37" s="2" t="n"/>
      <c r="S37" s="2" t="n"/>
      <c r="T37" s="2" t="n"/>
      <c r="U37" s="2" t="n"/>
      <c r="V37" s="2" t="n"/>
      <c r="W37" s="2" t="n"/>
      <c r="X37" s="2">
        <f>Q37</f>
        <v/>
      </c>
      <c r="Y37" s="4">
        <f>'QBO Transactions'!$Q39</f>
        <v/>
      </c>
      <c r="Z37" s="2" t="n"/>
      <c r="AA37" s="2" t="n"/>
      <c r="AB37" s="2" t="n"/>
      <c r="AC37" s="2" t="n"/>
      <c r="AD37" s="2" t="n"/>
      <c r="AE37" s="2" t="n"/>
    </row>
    <row r="38" ht="12.75" customHeight="1" s="52">
      <c r="A38" s="2" t="n"/>
      <c r="B38" s="2">
        <f>'QBO Transactions'!$U40</f>
        <v/>
      </c>
      <c r="C38" s="3">
        <f>'QBO Transactions'!$S40</f>
        <v/>
      </c>
      <c r="D38" s="5">
        <f>'QBO Transactions'!$R40</f>
        <v/>
      </c>
      <c r="E38" s="2" t="n"/>
      <c r="F38" s="3">
        <f>'QBO Transactions'!$X40</f>
        <v/>
      </c>
      <c r="G38" s="2" t="n"/>
      <c r="H38" s="2" t="n"/>
      <c r="I38" s="2" t="n"/>
      <c r="J38" s="2" t="n"/>
      <c r="K38" s="2" t="n"/>
      <c r="L38" s="2" t="n"/>
      <c r="M38" s="2" t="n"/>
      <c r="N38" s="2">
        <f>'QBO Transactions'!$Y40</f>
        <v/>
      </c>
      <c r="O38" s="2" t="n"/>
      <c r="P38" s="2" t="n"/>
      <c r="Q38" s="2">
        <f>'QBO Transactions'!$T40</f>
        <v/>
      </c>
      <c r="R38" s="2" t="n"/>
      <c r="S38" s="2" t="n"/>
      <c r="T38" s="2" t="n"/>
      <c r="U38" s="2" t="n"/>
      <c r="V38" s="2" t="n"/>
      <c r="W38" s="2" t="n"/>
      <c r="X38" s="2">
        <f>Q38</f>
        <v/>
      </c>
      <c r="Y38" s="4">
        <f>'QBO Transactions'!$Q40</f>
        <v/>
      </c>
      <c r="Z38" s="2" t="n"/>
      <c r="AA38" s="2" t="n"/>
      <c r="AB38" s="2" t="n"/>
      <c r="AC38" s="2" t="n"/>
      <c r="AD38" s="2" t="n"/>
      <c r="AE38" s="2" t="n"/>
    </row>
    <row r="39" ht="12.75" customHeight="1" s="52">
      <c r="A39" s="2" t="n"/>
      <c r="B39" s="2">
        <f>'QBO Transactions'!$U41</f>
        <v/>
      </c>
      <c r="C39" s="3">
        <f>'QBO Transactions'!$S41</f>
        <v/>
      </c>
      <c r="D39" s="2">
        <f>'QBO Transactions'!$R41</f>
        <v/>
      </c>
      <c r="E39" s="2" t="n"/>
      <c r="F39" s="3">
        <f>'QBO Transactions'!$X41</f>
        <v/>
      </c>
      <c r="G39" s="2" t="n"/>
      <c r="H39" s="2" t="n"/>
      <c r="I39" s="2" t="n"/>
      <c r="J39" s="2" t="n"/>
      <c r="K39" s="2" t="n"/>
      <c r="L39" s="2" t="n"/>
      <c r="M39" s="2" t="n"/>
      <c r="N39" s="2">
        <f>'QBO Transactions'!$Y41</f>
        <v/>
      </c>
      <c r="O39" s="2" t="n"/>
      <c r="P39" s="2" t="n"/>
      <c r="Q39" s="2">
        <f>'QBO Transactions'!$T41</f>
        <v/>
      </c>
      <c r="R39" s="2" t="n"/>
      <c r="S39" s="2" t="n"/>
      <c r="T39" s="2" t="n"/>
      <c r="U39" s="2" t="n"/>
      <c r="V39" s="2" t="n"/>
      <c r="W39" s="2" t="n"/>
      <c r="X39" s="2">
        <f>Q39</f>
        <v/>
      </c>
      <c r="Y39" s="4">
        <f>'QBO Transactions'!$Q41</f>
        <v/>
      </c>
      <c r="Z39" s="2" t="n"/>
      <c r="AA39" s="2" t="n"/>
      <c r="AB39" s="2" t="n"/>
      <c r="AC39" s="2" t="n"/>
      <c r="AD39" s="2" t="n"/>
      <c r="AE39" s="2" t="n"/>
    </row>
    <row r="40" ht="12.75" customHeight="1" s="52">
      <c r="A40" s="2" t="n"/>
      <c r="B40" s="2">
        <f>'QBO Transactions'!$U42</f>
        <v/>
      </c>
      <c r="C40" s="3">
        <f>'QBO Transactions'!$S42</f>
        <v/>
      </c>
      <c r="D40" s="2">
        <f>'QBO Transactions'!$R42</f>
        <v/>
      </c>
      <c r="E40" s="2" t="n"/>
      <c r="F40" s="3">
        <f>'QBO Transactions'!$X42</f>
        <v/>
      </c>
      <c r="G40" s="2" t="n"/>
      <c r="H40" s="2" t="n"/>
      <c r="I40" s="2" t="n"/>
      <c r="J40" s="2" t="n"/>
      <c r="K40" s="2" t="n"/>
      <c r="L40" s="2" t="n"/>
      <c r="M40" s="2" t="n"/>
      <c r="N40" s="2">
        <f>'QBO Transactions'!$Y42</f>
        <v/>
      </c>
      <c r="O40" s="2" t="n"/>
      <c r="P40" s="2" t="n"/>
      <c r="Q40" s="2">
        <f>'QBO Transactions'!$T42</f>
        <v/>
      </c>
      <c r="R40" s="2" t="n"/>
      <c r="S40" s="2" t="n"/>
      <c r="T40" s="2" t="n"/>
      <c r="U40" s="2" t="n"/>
      <c r="V40" s="2" t="n"/>
      <c r="W40" s="2" t="n"/>
      <c r="X40" s="2">
        <f>Q40</f>
        <v/>
      </c>
      <c r="Y40" s="4">
        <f>'QBO Transactions'!$Q42</f>
        <v/>
      </c>
      <c r="Z40" s="2" t="n"/>
      <c r="AA40" s="2" t="n"/>
      <c r="AB40" s="2" t="n"/>
      <c r="AC40" s="2" t="n"/>
      <c r="AD40" s="2" t="n"/>
      <c r="AE40" s="2" t="n"/>
    </row>
    <row r="41" ht="12.75" customHeight="1" s="52">
      <c r="A41" s="2" t="n"/>
      <c r="B41" s="2">
        <f>'QBO Transactions'!$U43</f>
        <v/>
      </c>
      <c r="C41" s="3">
        <f>'QBO Transactions'!$S43</f>
        <v/>
      </c>
      <c r="D41" s="2">
        <f>'QBO Transactions'!$R43</f>
        <v/>
      </c>
      <c r="E41" s="2" t="n"/>
      <c r="F41" s="3">
        <f>'QBO Transactions'!$X43</f>
        <v/>
      </c>
      <c r="G41" s="2" t="n"/>
      <c r="H41" s="2" t="n"/>
      <c r="I41" s="2" t="n"/>
      <c r="J41" s="2" t="n"/>
      <c r="K41" s="2" t="n"/>
      <c r="L41" s="2" t="n"/>
      <c r="M41" s="2" t="n"/>
      <c r="N41" s="2">
        <f>'QBO Transactions'!$Y43</f>
        <v/>
      </c>
      <c r="O41" s="2" t="n"/>
      <c r="P41" s="2" t="n"/>
      <c r="Q41" s="2">
        <f>'QBO Transactions'!$T43</f>
        <v/>
      </c>
      <c r="R41" s="2" t="n"/>
      <c r="S41" s="2" t="n"/>
      <c r="T41" s="2" t="n"/>
      <c r="U41" s="2" t="n"/>
      <c r="V41" s="2" t="n"/>
      <c r="W41" s="2" t="n"/>
      <c r="X41" s="2">
        <f>Q41</f>
        <v/>
      </c>
      <c r="Y41" s="4">
        <f>'QBO Transactions'!$Q43</f>
        <v/>
      </c>
      <c r="Z41" s="2" t="n"/>
      <c r="AA41" s="2" t="n"/>
      <c r="AB41" s="2" t="n"/>
      <c r="AC41" s="2" t="n"/>
      <c r="AD41" s="2" t="n"/>
      <c r="AE41" s="2" t="n"/>
    </row>
    <row r="42" ht="12.75" customHeight="1" s="52">
      <c r="A42" s="2" t="n"/>
      <c r="B42" s="2">
        <f>'QBO Transactions'!$U44</f>
        <v/>
      </c>
      <c r="C42" s="3">
        <f>'QBO Transactions'!$S44</f>
        <v/>
      </c>
      <c r="D42" s="2">
        <f>'QBO Transactions'!$R44</f>
        <v/>
      </c>
      <c r="E42" s="2" t="n"/>
      <c r="F42" s="3">
        <f>'QBO Transactions'!$X44</f>
        <v/>
      </c>
      <c r="G42" s="2" t="n"/>
      <c r="H42" s="2" t="n"/>
      <c r="I42" s="2" t="n"/>
      <c r="J42" s="2" t="n"/>
      <c r="K42" s="2" t="n"/>
      <c r="L42" s="2" t="n"/>
      <c r="M42" s="2" t="n"/>
      <c r="N42" s="2">
        <f>'QBO Transactions'!$Y44</f>
        <v/>
      </c>
      <c r="O42" s="2" t="n"/>
      <c r="P42" s="2" t="n"/>
      <c r="Q42" s="2">
        <f>'QBO Transactions'!$T44</f>
        <v/>
      </c>
      <c r="R42" s="2" t="n"/>
      <c r="S42" s="2" t="n"/>
      <c r="T42" s="2" t="n"/>
      <c r="U42" s="2" t="n"/>
      <c r="V42" s="2" t="n"/>
      <c r="W42" s="2" t="n"/>
      <c r="X42" s="2">
        <f>Q42</f>
        <v/>
      </c>
      <c r="Y42" s="4">
        <f>'QBO Transactions'!$Q44</f>
        <v/>
      </c>
      <c r="Z42" s="2" t="n"/>
      <c r="AA42" s="2" t="n"/>
      <c r="AB42" s="2" t="n"/>
      <c r="AC42" s="2" t="n"/>
      <c r="AD42" s="2" t="n"/>
      <c r="AE42" s="2" t="n"/>
    </row>
    <row r="43" ht="12.75" customHeight="1" s="52">
      <c r="A43" s="2" t="n"/>
      <c r="B43" s="2">
        <f>'QBO Transactions'!$U45</f>
        <v/>
      </c>
      <c r="C43" s="3">
        <f>'QBO Transactions'!$S45</f>
        <v/>
      </c>
      <c r="D43" s="2">
        <f>'QBO Transactions'!$R45</f>
        <v/>
      </c>
      <c r="E43" s="2" t="n"/>
      <c r="F43" s="3">
        <f>'QBO Transactions'!$X45</f>
        <v/>
      </c>
      <c r="G43" s="2" t="n"/>
      <c r="H43" s="2" t="n"/>
      <c r="I43" s="2" t="n"/>
      <c r="J43" s="2" t="n"/>
      <c r="K43" s="2" t="n"/>
      <c r="L43" s="2" t="n"/>
      <c r="M43" s="2" t="n"/>
      <c r="N43" s="2">
        <f>'QBO Transactions'!$Y45</f>
        <v/>
      </c>
      <c r="O43" s="2" t="n"/>
      <c r="P43" s="2" t="n"/>
      <c r="Q43" s="2">
        <f>'QBO Transactions'!$T45</f>
        <v/>
      </c>
      <c r="R43" s="2" t="n"/>
      <c r="S43" s="2" t="n"/>
      <c r="T43" s="2" t="n"/>
      <c r="U43" s="2" t="n"/>
      <c r="V43" s="2" t="n"/>
      <c r="W43" s="2" t="n"/>
      <c r="X43" s="2">
        <f>Q43</f>
        <v/>
      </c>
      <c r="Y43" s="4">
        <f>'QBO Transactions'!$Q45</f>
        <v/>
      </c>
      <c r="Z43" s="2" t="n"/>
      <c r="AA43" s="2" t="n"/>
      <c r="AB43" s="2" t="n"/>
      <c r="AC43" s="2" t="n"/>
      <c r="AD43" s="2" t="n"/>
      <c r="AE43" s="2" t="n"/>
    </row>
    <row r="44" ht="12.75" customHeight="1" s="52">
      <c r="A44" s="2" t="n"/>
      <c r="B44" s="2">
        <f>'QBO Transactions'!$U46</f>
        <v/>
      </c>
      <c r="C44" s="3">
        <f>'QBO Transactions'!$S46</f>
        <v/>
      </c>
      <c r="D44" s="2">
        <f>'QBO Transactions'!$R46</f>
        <v/>
      </c>
      <c r="E44" s="2" t="n"/>
      <c r="F44" s="3">
        <f>'QBO Transactions'!$X46</f>
        <v/>
      </c>
      <c r="G44" s="2" t="n"/>
      <c r="H44" s="2" t="n"/>
      <c r="I44" s="2" t="n"/>
      <c r="J44" s="2" t="n"/>
      <c r="K44" s="2" t="n"/>
      <c r="L44" s="2" t="n"/>
      <c r="M44" s="2" t="n"/>
      <c r="N44" s="2">
        <f>'QBO Transactions'!$Y46</f>
        <v/>
      </c>
      <c r="O44" s="2" t="n"/>
      <c r="P44" s="2" t="n"/>
      <c r="Q44" s="2">
        <f>'QBO Transactions'!$T46</f>
        <v/>
      </c>
      <c r="R44" s="2" t="n"/>
      <c r="S44" s="2" t="n"/>
      <c r="T44" s="2" t="n"/>
      <c r="U44" s="2" t="n"/>
      <c r="V44" s="2" t="n"/>
      <c r="W44" s="2" t="n"/>
      <c r="X44" s="2">
        <f>Q44</f>
        <v/>
      </c>
      <c r="Y44" s="4">
        <f>'QBO Transactions'!$Q46</f>
        <v/>
      </c>
      <c r="Z44" s="2" t="n"/>
      <c r="AA44" s="2" t="n"/>
      <c r="AB44" s="2" t="n"/>
      <c r="AC44" s="2" t="n"/>
      <c r="AD44" s="2" t="n"/>
      <c r="AE44" s="2" t="n"/>
    </row>
    <row r="45" ht="12.75" customHeight="1" s="52">
      <c r="A45" s="2" t="n"/>
      <c r="B45" s="2">
        <f>'QBO Transactions'!$U47</f>
        <v/>
      </c>
      <c r="C45" s="3">
        <f>'QBO Transactions'!$S47</f>
        <v/>
      </c>
      <c r="D45" s="2">
        <f>'QBO Transactions'!$R47</f>
        <v/>
      </c>
      <c r="E45" s="2" t="n"/>
      <c r="F45" s="3">
        <f>'QBO Transactions'!$X47</f>
        <v/>
      </c>
      <c r="G45" s="2" t="n"/>
      <c r="H45" s="2" t="n"/>
      <c r="I45" s="2" t="n"/>
      <c r="J45" s="2" t="n"/>
      <c r="K45" s="2" t="n"/>
      <c r="L45" s="2" t="n"/>
      <c r="M45" s="2" t="n"/>
      <c r="N45" s="2">
        <f>'QBO Transactions'!$Y47</f>
        <v/>
      </c>
      <c r="O45" s="2" t="n"/>
      <c r="P45" s="2" t="n"/>
      <c r="Q45" s="2">
        <f>'QBO Transactions'!$T47</f>
        <v/>
      </c>
      <c r="R45" s="2" t="n"/>
      <c r="S45" s="2" t="n"/>
      <c r="T45" s="2" t="n"/>
      <c r="U45" s="2" t="n"/>
      <c r="V45" s="2" t="n"/>
      <c r="W45" s="2" t="n"/>
      <c r="X45" s="2">
        <f>Q45</f>
        <v/>
      </c>
      <c r="Y45" s="4">
        <f>'QBO Transactions'!$Q47</f>
        <v/>
      </c>
      <c r="Z45" s="2" t="n"/>
      <c r="AA45" s="2" t="n"/>
      <c r="AB45" s="2" t="n"/>
      <c r="AC45" s="2" t="n"/>
      <c r="AD45" s="2" t="n"/>
      <c r="AE45" s="2" t="n"/>
    </row>
    <row r="46" ht="12.75" customHeight="1" s="52">
      <c r="A46" s="2" t="n"/>
      <c r="B46" s="2">
        <f>'QBO Transactions'!$U48</f>
        <v/>
      </c>
      <c r="C46" s="3">
        <f>'QBO Transactions'!$S48</f>
        <v/>
      </c>
      <c r="D46" s="2">
        <f>'QBO Transactions'!$R48</f>
        <v/>
      </c>
      <c r="E46" s="2" t="n"/>
      <c r="F46" s="3">
        <f>'QBO Transactions'!$X48</f>
        <v/>
      </c>
      <c r="G46" s="2" t="n"/>
      <c r="H46" s="2" t="n"/>
      <c r="I46" s="2" t="n"/>
      <c r="J46" s="2" t="n"/>
      <c r="K46" s="2" t="n"/>
      <c r="L46" s="2" t="n"/>
      <c r="M46" s="2" t="n"/>
      <c r="N46" s="2">
        <f>'QBO Transactions'!$Y48</f>
        <v/>
      </c>
      <c r="O46" s="2" t="n"/>
      <c r="P46" s="2" t="n"/>
      <c r="Q46" s="2">
        <f>'QBO Transactions'!$T48</f>
        <v/>
      </c>
      <c r="R46" s="2" t="n"/>
      <c r="S46" s="2" t="n"/>
      <c r="T46" s="2" t="n"/>
      <c r="U46" s="2" t="n"/>
      <c r="V46" s="2" t="n"/>
      <c r="W46" s="2" t="n"/>
      <c r="X46" s="2">
        <f>Q46</f>
        <v/>
      </c>
      <c r="Y46" s="4">
        <f>'QBO Transactions'!$Q48</f>
        <v/>
      </c>
      <c r="Z46" s="2" t="n"/>
      <c r="AA46" s="2" t="n"/>
      <c r="AB46" s="2" t="n"/>
      <c r="AC46" s="2" t="n"/>
      <c r="AD46" s="2" t="n"/>
      <c r="AE46" s="2" t="n"/>
    </row>
    <row r="47" ht="12.75" customHeight="1" s="52">
      <c r="A47" s="2" t="n"/>
      <c r="B47" s="2">
        <f>'QBO Transactions'!$U49</f>
        <v/>
      </c>
      <c r="C47" s="3">
        <f>'QBO Transactions'!$S49</f>
        <v/>
      </c>
      <c r="D47" s="2">
        <f>'QBO Transactions'!$R49</f>
        <v/>
      </c>
      <c r="E47" s="2" t="n"/>
      <c r="F47" s="3">
        <f>'QBO Transactions'!$X49</f>
        <v/>
      </c>
      <c r="G47" s="2" t="n"/>
      <c r="H47" s="2" t="n"/>
      <c r="I47" s="2" t="n"/>
      <c r="J47" s="2" t="n"/>
      <c r="K47" s="2" t="n"/>
      <c r="L47" s="2" t="n"/>
      <c r="M47" s="2" t="n"/>
      <c r="N47" s="2">
        <f>'QBO Transactions'!$Y49</f>
        <v/>
      </c>
      <c r="O47" s="2" t="n"/>
      <c r="P47" s="2" t="n"/>
      <c r="Q47" s="2">
        <f>'QBO Transactions'!$T49</f>
        <v/>
      </c>
      <c r="R47" s="2" t="n"/>
      <c r="S47" s="2" t="n"/>
      <c r="T47" s="2" t="n"/>
      <c r="U47" s="2" t="n"/>
      <c r="V47" s="2" t="n"/>
      <c r="W47" s="2" t="n"/>
      <c r="X47" s="2">
        <f>Q47</f>
        <v/>
      </c>
      <c r="Y47" s="4">
        <f>'QBO Transactions'!$Q49</f>
        <v/>
      </c>
      <c r="Z47" s="2" t="n"/>
      <c r="AA47" s="2" t="n"/>
      <c r="AB47" s="2" t="n"/>
      <c r="AC47" s="2" t="n"/>
      <c r="AD47" s="2" t="n"/>
      <c r="AE47" s="2" t="n"/>
    </row>
    <row r="48" ht="12.75" customHeight="1" s="52">
      <c r="A48" s="2" t="n"/>
      <c r="B48" s="2">
        <f>'QBO Transactions'!$U50</f>
        <v/>
      </c>
      <c r="C48" s="3">
        <f>'QBO Transactions'!$S50</f>
        <v/>
      </c>
      <c r="D48" s="2">
        <f>'QBO Transactions'!$R50</f>
        <v/>
      </c>
      <c r="E48" s="2" t="n"/>
      <c r="F48" s="3">
        <f>'QBO Transactions'!$X50</f>
        <v/>
      </c>
      <c r="G48" s="2" t="n"/>
      <c r="H48" s="2" t="n"/>
      <c r="I48" s="2" t="n"/>
      <c r="J48" s="2" t="n"/>
      <c r="K48" s="2" t="n"/>
      <c r="L48" s="2" t="n"/>
      <c r="M48" s="2" t="n"/>
      <c r="N48" s="2">
        <f>'QBO Transactions'!$Y50</f>
        <v/>
      </c>
      <c r="O48" s="2" t="n"/>
      <c r="P48" s="2" t="n"/>
      <c r="Q48" s="2">
        <f>'QBO Transactions'!$T50</f>
        <v/>
      </c>
      <c r="R48" s="2" t="n"/>
      <c r="S48" s="2" t="n"/>
      <c r="T48" s="2" t="n"/>
      <c r="U48" s="2" t="n"/>
      <c r="V48" s="2" t="n"/>
      <c r="W48" s="2" t="n"/>
      <c r="X48" s="2">
        <f>Q48</f>
        <v/>
      </c>
      <c r="Y48" s="4">
        <f>'QBO Transactions'!$Q50</f>
        <v/>
      </c>
      <c r="Z48" s="2" t="n"/>
      <c r="AA48" s="2" t="n"/>
      <c r="AB48" s="2" t="n"/>
      <c r="AC48" s="2" t="n"/>
      <c r="AD48" s="2" t="n"/>
      <c r="AE48" s="2" t="n"/>
    </row>
    <row r="49" ht="12.75" customHeight="1" s="52">
      <c r="A49" s="2" t="n"/>
      <c r="B49" s="2">
        <f>'QBO Transactions'!$U51</f>
        <v/>
      </c>
      <c r="C49" s="3">
        <f>'QBO Transactions'!$S51</f>
        <v/>
      </c>
      <c r="D49" s="2">
        <f>'QBO Transactions'!$R51</f>
        <v/>
      </c>
      <c r="E49" s="2" t="n"/>
      <c r="F49" s="3">
        <f>'QBO Transactions'!$X51</f>
        <v/>
      </c>
      <c r="G49" s="2" t="n"/>
      <c r="H49" s="2" t="n"/>
      <c r="I49" s="2" t="n"/>
      <c r="J49" s="2" t="n"/>
      <c r="K49" s="2" t="n"/>
      <c r="L49" s="2" t="n"/>
      <c r="M49" s="2" t="n"/>
      <c r="N49" s="2">
        <f>'QBO Transactions'!$Y51</f>
        <v/>
      </c>
      <c r="O49" s="2" t="n"/>
      <c r="P49" s="2" t="n"/>
      <c r="Q49" s="2">
        <f>'QBO Transactions'!$T51</f>
        <v/>
      </c>
      <c r="R49" s="2" t="n"/>
      <c r="S49" s="2" t="n"/>
      <c r="T49" s="2" t="n"/>
      <c r="U49" s="2" t="n"/>
      <c r="V49" s="2" t="n"/>
      <c r="W49" s="2" t="n"/>
      <c r="X49" s="2">
        <f>Q49</f>
        <v/>
      </c>
      <c r="Y49" s="4">
        <f>'QBO Transactions'!$Q51</f>
        <v/>
      </c>
      <c r="Z49" s="2" t="n"/>
      <c r="AA49" s="2" t="n"/>
      <c r="AB49" s="2" t="n"/>
      <c r="AC49" s="2" t="n"/>
      <c r="AD49" s="2" t="n"/>
      <c r="AE49" s="2" t="n"/>
    </row>
    <row r="50" ht="12.75" customHeight="1" s="52">
      <c r="A50" s="2" t="n"/>
      <c r="B50" s="2">
        <f>'QBO Transactions'!$U52</f>
        <v/>
      </c>
      <c r="C50" s="3">
        <f>'QBO Transactions'!$S52</f>
        <v/>
      </c>
      <c r="D50" s="2">
        <f>'QBO Transactions'!$R52</f>
        <v/>
      </c>
      <c r="E50" s="2" t="n"/>
      <c r="F50" s="3">
        <f>'QBO Transactions'!$X52</f>
        <v/>
      </c>
      <c r="G50" s="2" t="n"/>
      <c r="H50" s="2" t="n"/>
      <c r="I50" s="2" t="n"/>
      <c r="J50" s="2" t="n"/>
      <c r="K50" s="2" t="n"/>
      <c r="L50" s="2" t="n"/>
      <c r="M50" s="2" t="n"/>
      <c r="N50" s="2">
        <f>'QBO Transactions'!$Y52</f>
        <v/>
      </c>
      <c r="O50" s="2" t="n"/>
      <c r="P50" s="2" t="n"/>
      <c r="Q50" s="2">
        <f>'QBO Transactions'!$T52</f>
        <v/>
      </c>
      <c r="R50" s="2" t="n"/>
      <c r="S50" s="2" t="n"/>
      <c r="T50" s="2" t="n"/>
      <c r="U50" s="2" t="n"/>
      <c r="V50" s="2" t="n"/>
      <c r="W50" s="2" t="n"/>
      <c r="X50" s="2">
        <f>Q50</f>
        <v/>
      </c>
      <c r="Y50" s="4">
        <f>'QBO Transactions'!$Q52</f>
        <v/>
      </c>
      <c r="Z50" s="2" t="n"/>
      <c r="AA50" s="2" t="n"/>
      <c r="AB50" s="2" t="n"/>
      <c r="AC50" s="2" t="n"/>
      <c r="AD50" s="2" t="n"/>
      <c r="AE50" s="2" t="n"/>
    </row>
    <row r="51" ht="12.75" customHeight="1" s="52">
      <c r="A51" s="2" t="n"/>
      <c r="B51" s="2">
        <f>'QBO Transactions'!$U53</f>
        <v/>
      </c>
      <c r="C51" s="3">
        <f>'QBO Transactions'!$S53</f>
        <v/>
      </c>
      <c r="D51" s="2">
        <f>'QBO Transactions'!$R53</f>
        <v/>
      </c>
      <c r="E51" s="2" t="n"/>
      <c r="F51" s="3">
        <f>'QBO Transactions'!$X53</f>
        <v/>
      </c>
      <c r="G51" s="2" t="n"/>
      <c r="H51" s="2" t="n"/>
      <c r="I51" s="2" t="n"/>
      <c r="J51" s="2" t="n"/>
      <c r="K51" s="2" t="n"/>
      <c r="L51" s="2" t="n"/>
      <c r="M51" s="2" t="n"/>
      <c r="N51" s="2">
        <f>'QBO Transactions'!$Y53</f>
        <v/>
      </c>
      <c r="O51" s="2" t="n"/>
      <c r="P51" s="2" t="n"/>
      <c r="Q51" s="2">
        <f>'QBO Transactions'!$T53</f>
        <v/>
      </c>
      <c r="R51" s="2" t="n"/>
      <c r="S51" s="2" t="n"/>
      <c r="T51" s="2" t="n"/>
      <c r="U51" s="2" t="n"/>
      <c r="V51" s="2" t="n"/>
      <c r="W51" s="2" t="n"/>
      <c r="X51" s="2">
        <f>Q51</f>
        <v/>
      </c>
      <c r="Y51" s="4">
        <f>'QBO Transactions'!$Q53</f>
        <v/>
      </c>
      <c r="Z51" s="2" t="n"/>
      <c r="AA51" s="2" t="n"/>
      <c r="AB51" s="2" t="n"/>
      <c r="AC51" s="2" t="n"/>
      <c r="AD51" s="2" t="n"/>
      <c r="AE51" s="2" t="n"/>
    </row>
    <row r="52" ht="12.75" customHeight="1" s="52">
      <c r="A52" s="2" t="n"/>
      <c r="B52" s="2">
        <f>'QBO Transactions'!$U54</f>
        <v/>
      </c>
      <c r="C52" s="3">
        <f>'QBO Transactions'!$S54</f>
        <v/>
      </c>
      <c r="D52" s="2">
        <f>'QBO Transactions'!$R54</f>
        <v/>
      </c>
      <c r="E52" s="2" t="n"/>
      <c r="F52" s="3">
        <f>'QBO Transactions'!$X54</f>
        <v/>
      </c>
      <c r="G52" s="2" t="n"/>
      <c r="H52" s="2" t="n"/>
      <c r="I52" s="2" t="n"/>
      <c r="J52" s="2" t="n"/>
      <c r="K52" s="2" t="n"/>
      <c r="L52" s="2" t="n"/>
      <c r="M52" s="2" t="n"/>
      <c r="N52" s="2">
        <f>'QBO Transactions'!$Y54</f>
        <v/>
      </c>
      <c r="O52" s="2" t="n"/>
      <c r="P52" s="2" t="n"/>
      <c r="Q52" s="2">
        <f>'QBO Transactions'!$T54</f>
        <v/>
      </c>
      <c r="R52" s="2" t="n"/>
      <c r="S52" s="2" t="n"/>
      <c r="T52" s="2" t="n"/>
      <c r="U52" s="2" t="n"/>
      <c r="V52" s="2" t="n"/>
      <c r="W52" s="2" t="n"/>
      <c r="X52" s="2">
        <f>Q52</f>
        <v/>
      </c>
      <c r="Y52" s="4">
        <f>'QBO Transactions'!$Q54</f>
        <v/>
      </c>
      <c r="Z52" s="2" t="n"/>
      <c r="AA52" s="2" t="n"/>
      <c r="AB52" s="2" t="n"/>
      <c r="AC52" s="2" t="n"/>
      <c r="AD52" s="2" t="n"/>
      <c r="AE52" s="2" t="n"/>
    </row>
    <row r="53" ht="12.75" customHeight="1" s="52">
      <c r="A53" s="2" t="n"/>
      <c r="B53" s="2">
        <f>'QBO Transactions'!$U55</f>
        <v/>
      </c>
      <c r="C53" s="3">
        <f>'QBO Transactions'!$S55</f>
        <v/>
      </c>
      <c r="D53" s="2">
        <f>'QBO Transactions'!$R55</f>
        <v/>
      </c>
      <c r="E53" s="2" t="n"/>
      <c r="F53" s="3">
        <f>'QBO Transactions'!$X55</f>
        <v/>
      </c>
      <c r="G53" s="2" t="n"/>
      <c r="H53" s="2" t="n"/>
      <c r="I53" s="2" t="n"/>
      <c r="J53" s="2" t="n"/>
      <c r="K53" s="2" t="n"/>
      <c r="L53" s="2" t="n"/>
      <c r="M53" s="2" t="n"/>
      <c r="N53" s="2">
        <f>'QBO Transactions'!$Y55</f>
        <v/>
      </c>
      <c r="O53" s="2" t="n"/>
      <c r="P53" s="2" t="n"/>
      <c r="Q53" s="2">
        <f>'QBO Transactions'!$T55</f>
        <v/>
      </c>
      <c r="R53" s="2" t="n"/>
      <c r="S53" s="2" t="n"/>
      <c r="T53" s="2" t="n"/>
      <c r="U53" s="2" t="n"/>
      <c r="V53" s="2" t="n"/>
      <c r="W53" s="2" t="n"/>
      <c r="X53" s="2">
        <f>Q53</f>
        <v/>
      </c>
      <c r="Y53" s="4">
        <f>'QBO Transactions'!$Q55</f>
        <v/>
      </c>
      <c r="Z53" s="2" t="n"/>
      <c r="AA53" s="2" t="n"/>
      <c r="AB53" s="2" t="n"/>
      <c r="AC53" s="2" t="n"/>
      <c r="AD53" s="2" t="n"/>
      <c r="AE53" s="2" t="n"/>
    </row>
    <row r="54" ht="12.75" customHeight="1" s="52">
      <c r="A54" s="2" t="n"/>
      <c r="B54" s="2">
        <f>'QBO Transactions'!$U56</f>
        <v/>
      </c>
      <c r="C54" s="3">
        <f>'QBO Transactions'!$S56</f>
        <v/>
      </c>
      <c r="D54" s="2">
        <f>'QBO Transactions'!$R56</f>
        <v/>
      </c>
      <c r="E54" s="2" t="n"/>
      <c r="F54" s="3">
        <f>'QBO Transactions'!$X56</f>
        <v/>
      </c>
      <c r="G54" s="2" t="n"/>
      <c r="H54" s="2" t="n"/>
      <c r="I54" s="2" t="n"/>
      <c r="J54" s="2" t="n"/>
      <c r="K54" s="2" t="n"/>
      <c r="L54" s="2" t="n"/>
      <c r="M54" s="2" t="n"/>
      <c r="N54" s="2">
        <f>'QBO Transactions'!$Y56</f>
        <v/>
      </c>
      <c r="O54" s="2" t="n"/>
      <c r="P54" s="2" t="n"/>
      <c r="Q54" s="2">
        <f>'QBO Transactions'!$T56</f>
        <v/>
      </c>
      <c r="R54" s="2" t="n"/>
      <c r="S54" s="2" t="n"/>
      <c r="T54" s="2" t="n"/>
      <c r="U54" s="2" t="n"/>
      <c r="V54" s="2" t="n"/>
      <c r="W54" s="2" t="n"/>
      <c r="X54" s="2">
        <f>Q54</f>
        <v/>
      </c>
      <c r="Y54" s="4">
        <f>'QBO Transactions'!$Q56</f>
        <v/>
      </c>
      <c r="Z54" s="2" t="n"/>
      <c r="AA54" s="2" t="n"/>
      <c r="AB54" s="2" t="n"/>
      <c r="AC54" s="2" t="n"/>
      <c r="AD54" s="2" t="n"/>
      <c r="AE54" s="2" t="n"/>
    </row>
    <row r="55" ht="12.75" customHeight="1" s="52">
      <c r="A55" s="2" t="n"/>
      <c r="B55" s="2">
        <f>'QBO Transactions'!$U57</f>
        <v/>
      </c>
      <c r="C55" s="3">
        <f>'QBO Transactions'!$S57</f>
        <v/>
      </c>
      <c r="D55" s="2">
        <f>'QBO Transactions'!$R57</f>
        <v/>
      </c>
      <c r="E55" s="2" t="n"/>
      <c r="F55" s="3">
        <f>'QBO Transactions'!$X57</f>
        <v/>
      </c>
      <c r="G55" s="2" t="n"/>
      <c r="H55" s="2" t="n"/>
      <c r="I55" s="2" t="n"/>
      <c r="J55" s="2" t="n"/>
      <c r="K55" s="2" t="n"/>
      <c r="L55" s="2" t="n"/>
      <c r="M55" s="2" t="n"/>
      <c r="N55" s="2">
        <f>'QBO Transactions'!$Y57</f>
        <v/>
      </c>
      <c r="O55" s="2" t="n"/>
      <c r="P55" s="2" t="n"/>
      <c r="Q55" s="2">
        <f>'QBO Transactions'!$T57</f>
        <v/>
      </c>
      <c r="R55" s="2" t="n"/>
      <c r="S55" s="2" t="n"/>
      <c r="T55" s="2" t="n"/>
      <c r="U55" s="2" t="n"/>
      <c r="V55" s="2" t="n"/>
      <c r="W55" s="2" t="n"/>
      <c r="X55" s="2">
        <f>Q55</f>
        <v/>
      </c>
      <c r="Y55" s="4">
        <f>'QBO Transactions'!$Q57</f>
        <v/>
      </c>
      <c r="Z55" s="2" t="n"/>
      <c r="AA55" s="2" t="n"/>
      <c r="AB55" s="2" t="n"/>
      <c r="AC55" s="2" t="n"/>
      <c r="AD55" s="2" t="n"/>
      <c r="AE55" s="2" t="n"/>
    </row>
    <row r="56" ht="12.75" customHeight="1" s="52">
      <c r="A56" s="2" t="n"/>
      <c r="B56" s="2">
        <f>'QBO Transactions'!$U58</f>
        <v/>
      </c>
      <c r="C56" s="3">
        <f>'QBO Transactions'!$S58</f>
        <v/>
      </c>
      <c r="D56" s="5">
        <f>'QBO Transactions'!$R58</f>
        <v/>
      </c>
      <c r="E56" s="2" t="n"/>
      <c r="F56" s="3">
        <f>'QBO Transactions'!$X58</f>
        <v/>
      </c>
      <c r="G56" s="2" t="n"/>
      <c r="H56" s="2" t="n"/>
      <c r="I56" s="2" t="n"/>
      <c r="J56" s="2" t="n"/>
      <c r="K56" s="2" t="n"/>
      <c r="L56" s="2" t="n"/>
      <c r="M56" s="2" t="n"/>
      <c r="N56" s="2">
        <f>'QBO Transactions'!$Y58</f>
        <v/>
      </c>
      <c r="O56" s="2" t="n"/>
      <c r="P56" s="2" t="n"/>
      <c r="Q56" s="2">
        <f>'QBO Transactions'!$T58</f>
        <v/>
      </c>
      <c r="R56" s="2" t="n"/>
      <c r="S56" s="2" t="n"/>
      <c r="T56" s="2" t="n"/>
      <c r="U56" s="2" t="n"/>
      <c r="V56" s="2" t="n"/>
      <c r="W56" s="2" t="n"/>
      <c r="X56" s="2">
        <f>Q56</f>
        <v/>
      </c>
      <c r="Y56" s="4">
        <f>'QBO Transactions'!$Q58</f>
        <v/>
      </c>
      <c r="Z56" s="2" t="n"/>
      <c r="AA56" s="2" t="n"/>
      <c r="AB56" s="2" t="n"/>
      <c r="AC56" s="2" t="n"/>
      <c r="AD56" s="2" t="n"/>
      <c r="AE56" s="2" t="n"/>
    </row>
    <row r="57" ht="12.75" customHeight="1" s="52">
      <c r="A57" s="2" t="n"/>
      <c r="B57" s="2">
        <f>'QBO Transactions'!$U59</f>
        <v/>
      </c>
      <c r="C57" s="3">
        <f>'QBO Transactions'!$S59</f>
        <v/>
      </c>
      <c r="D57" s="2">
        <f>'QBO Transactions'!$R59</f>
        <v/>
      </c>
      <c r="E57" s="2" t="n"/>
      <c r="F57" s="3">
        <f>'QBO Transactions'!$X59</f>
        <v/>
      </c>
      <c r="G57" s="2" t="n"/>
      <c r="H57" s="2" t="n"/>
      <c r="I57" s="2" t="n"/>
      <c r="J57" s="2" t="n"/>
      <c r="K57" s="2" t="n"/>
      <c r="L57" s="2" t="n"/>
      <c r="M57" s="2" t="n"/>
      <c r="N57" s="2">
        <f>'QBO Transactions'!$Y59</f>
        <v/>
      </c>
      <c r="O57" s="2" t="n"/>
      <c r="P57" s="2" t="n"/>
      <c r="Q57" s="2">
        <f>'QBO Transactions'!$T59</f>
        <v/>
      </c>
      <c r="R57" s="2" t="n"/>
      <c r="S57" s="2" t="n"/>
      <c r="T57" s="2" t="n"/>
      <c r="U57" s="2" t="n"/>
      <c r="V57" s="2" t="n"/>
      <c r="W57" s="2" t="n"/>
      <c r="X57" s="2">
        <f>Q57</f>
        <v/>
      </c>
      <c r="Y57" s="4">
        <f>'QBO Transactions'!$Q59</f>
        <v/>
      </c>
      <c r="Z57" s="2" t="n"/>
      <c r="AA57" s="2" t="n"/>
      <c r="AB57" s="2" t="n"/>
      <c r="AC57" s="2" t="n"/>
      <c r="AD57" s="2" t="n"/>
      <c r="AE57" s="2" t="n"/>
    </row>
    <row r="58" ht="12.75" customHeight="1" s="52">
      <c r="A58" s="2" t="n"/>
      <c r="B58" s="2">
        <f>'QBO Transactions'!$U60</f>
        <v/>
      </c>
      <c r="C58" s="3">
        <f>'QBO Transactions'!$S60</f>
        <v/>
      </c>
      <c r="D58" s="2">
        <f>'QBO Transactions'!$R60</f>
        <v/>
      </c>
      <c r="E58" s="2" t="n"/>
      <c r="F58" s="3">
        <f>'QBO Transactions'!$X60</f>
        <v/>
      </c>
      <c r="G58" s="2" t="n"/>
      <c r="H58" s="2" t="n"/>
      <c r="I58" s="2" t="n"/>
      <c r="J58" s="2" t="n"/>
      <c r="K58" s="2" t="n"/>
      <c r="L58" s="2" t="n"/>
      <c r="M58" s="2" t="n"/>
      <c r="N58" s="2">
        <f>'QBO Transactions'!$Y60</f>
        <v/>
      </c>
      <c r="O58" s="2" t="n"/>
      <c r="P58" s="2" t="n"/>
      <c r="Q58" s="2">
        <f>'QBO Transactions'!$T60</f>
        <v/>
      </c>
      <c r="R58" s="2" t="n"/>
      <c r="S58" s="2" t="n"/>
      <c r="T58" s="2" t="n"/>
      <c r="U58" s="2" t="n"/>
      <c r="V58" s="2" t="n"/>
      <c r="W58" s="2" t="n"/>
      <c r="X58" s="2">
        <f>Q58</f>
        <v/>
      </c>
      <c r="Y58" s="4">
        <f>'QBO Transactions'!$Q60</f>
        <v/>
      </c>
      <c r="Z58" s="2" t="n"/>
      <c r="AA58" s="2" t="n"/>
      <c r="AB58" s="2" t="n"/>
      <c r="AC58" s="2" t="n"/>
      <c r="AD58" s="2" t="n"/>
      <c r="AE58" s="2" t="n"/>
    </row>
    <row r="59" ht="12.75" customHeight="1" s="52">
      <c r="A59" s="2" t="n"/>
      <c r="B59" s="2">
        <f>'QBO Transactions'!$U61</f>
        <v/>
      </c>
      <c r="C59" s="3">
        <f>'QBO Transactions'!$S61</f>
        <v/>
      </c>
      <c r="D59" s="5">
        <f>'QBO Transactions'!$R61</f>
        <v/>
      </c>
      <c r="E59" s="2" t="n"/>
      <c r="F59" s="3">
        <f>'QBO Transactions'!$X61</f>
        <v/>
      </c>
      <c r="G59" s="2" t="n"/>
      <c r="H59" s="2" t="n"/>
      <c r="I59" s="2" t="n"/>
      <c r="J59" s="2" t="n"/>
      <c r="K59" s="2" t="n"/>
      <c r="L59" s="2" t="n"/>
      <c r="M59" s="2" t="n"/>
      <c r="N59" s="2">
        <f>'QBO Transactions'!$Y61</f>
        <v/>
      </c>
      <c r="O59" s="2" t="n"/>
      <c r="P59" s="2" t="n"/>
      <c r="Q59" s="2">
        <f>'QBO Transactions'!$T61</f>
        <v/>
      </c>
      <c r="R59" s="2" t="n"/>
      <c r="S59" s="2" t="n"/>
      <c r="T59" s="2" t="n"/>
      <c r="U59" s="2" t="n"/>
      <c r="V59" s="2" t="n"/>
      <c r="W59" s="2" t="n"/>
      <c r="X59" s="2">
        <f>Q59</f>
        <v/>
      </c>
      <c r="Y59" s="4">
        <f>'QBO Transactions'!$Q61</f>
        <v/>
      </c>
      <c r="Z59" s="2" t="n"/>
      <c r="AA59" s="2" t="n"/>
      <c r="AB59" s="2" t="n"/>
      <c r="AC59" s="2" t="n"/>
      <c r="AD59" s="2" t="n"/>
      <c r="AE59" s="2" t="n"/>
    </row>
    <row r="60" ht="12.75" customHeight="1" s="52">
      <c r="A60" s="2" t="n"/>
      <c r="B60" s="2">
        <f>'QBO Transactions'!$U62</f>
        <v/>
      </c>
      <c r="C60" s="3">
        <f>'QBO Transactions'!$S62</f>
        <v/>
      </c>
      <c r="D60" s="2">
        <f>'QBO Transactions'!$R62</f>
        <v/>
      </c>
      <c r="E60" s="2" t="n"/>
      <c r="F60" s="3">
        <f>'QBO Transactions'!$X62</f>
        <v/>
      </c>
      <c r="G60" s="2" t="n"/>
      <c r="H60" s="2" t="n"/>
      <c r="I60" s="2" t="n"/>
      <c r="J60" s="2" t="n"/>
      <c r="K60" s="2" t="n"/>
      <c r="L60" s="2" t="n"/>
      <c r="M60" s="2" t="n"/>
      <c r="N60" s="2">
        <f>'QBO Transactions'!$Y62</f>
        <v/>
      </c>
      <c r="O60" s="2" t="n"/>
      <c r="P60" s="2" t="n"/>
      <c r="Q60" s="2">
        <f>'QBO Transactions'!$T62</f>
        <v/>
      </c>
      <c r="R60" s="2" t="n"/>
      <c r="S60" s="2" t="n"/>
      <c r="T60" s="2" t="n"/>
      <c r="U60" s="2" t="n"/>
      <c r="V60" s="2" t="n"/>
      <c r="W60" s="2" t="n"/>
      <c r="X60" s="2">
        <f>Q60</f>
        <v/>
      </c>
      <c r="Y60" s="4">
        <f>'QBO Transactions'!$Q62</f>
        <v/>
      </c>
      <c r="Z60" s="2" t="n"/>
      <c r="AA60" s="2" t="n"/>
      <c r="AB60" s="2" t="n"/>
      <c r="AC60" s="2" t="n"/>
      <c r="AD60" s="2" t="n"/>
      <c r="AE60" s="2" t="n"/>
    </row>
    <row r="61" ht="12.75" customHeight="1" s="52">
      <c r="A61" s="2" t="n"/>
      <c r="B61" s="2">
        <f>'QBO Transactions'!$U63</f>
        <v/>
      </c>
      <c r="C61" s="3">
        <f>'QBO Transactions'!$S63</f>
        <v/>
      </c>
      <c r="D61" s="2">
        <f>'QBO Transactions'!$R63</f>
        <v/>
      </c>
      <c r="E61" s="2" t="n"/>
      <c r="F61" s="3">
        <f>'QBO Transactions'!$X63</f>
        <v/>
      </c>
      <c r="G61" s="2" t="n"/>
      <c r="H61" s="2" t="n"/>
      <c r="I61" s="2" t="n"/>
      <c r="J61" s="2" t="n"/>
      <c r="K61" s="2" t="n"/>
      <c r="L61" s="2" t="n"/>
      <c r="M61" s="2" t="n"/>
      <c r="N61" s="2">
        <f>'QBO Transactions'!$Y63</f>
        <v/>
      </c>
      <c r="O61" s="2" t="n"/>
      <c r="P61" s="2" t="n"/>
      <c r="Q61" s="2">
        <f>'QBO Transactions'!$T63</f>
        <v/>
      </c>
      <c r="R61" s="2" t="n"/>
      <c r="S61" s="2" t="n"/>
      <c r="T61" s="2" t="n"/>
      <c r="U61" s="2" t="n"/>
      <c r="V61" s="2" t="n"/>
      <c r="W61" s="2" t="n"/>
      <c r="X61" s="2">
        <f>Q61</f>
        <v/>
      </c>
      <c r="Y61" s="4">
        <f>'QBO Transactions'!$Q63</f>
        <v/>
      </c>
      <c r="Z61" s="2" t="n"/>
      <c r="AA61" s="2" t="n"/>
      <c r="AB61" s="2" t="n"/>
      <c r="AC61" s="2" t="n"/>
      <c r="AD61" s="2" t="n"/>
      <c r="AE61" s="2" t="n"/>
    </row>
    <row r="62" ht="12.75" customHeight="1" s="52">
      <c r="A62" s="2" t="n"/>
      <c r="B62" s="2">
        <f>'QBO Transactions'!$U64</f>
        <v/>
      </c>
      <c r="C62" s="3">
        <f>'QBO Transactions'!$S64</f>
        <v/>
      </c>
      <c r="D62" s="2">
        <f>'QBO Transactions'!$R64</f>
        <v/>
      </c>
      <c r="E62" s="2" t="n"/>
      <c r="F62" s="3">
        <f>'QBO Transactions'!$X64</f>
        <v/>
      </c>
      <c r="G62" s="2" t="n"/>
      <c r="H62" s="2" t="n"/>
      <c r="I62" s="2" t="n"/>
      <c r="J62" s="2" t="n"/>
      <c r="K62" s="2" t="n"/>
      <c r="L62" s="2" t="n"/>
      <c r="M62" s="2" t="n"/>
      <c r="N62" s="2">
        <f>'QBO Transactions'!$Y64</f>
        <v/>
      </c>
      <c r="O62" s="2" t="n"/>
      <c r="P62" s="2" t="n"/>
      <c r="Q62" s="2">
        <f>'QBO Transactions'!$T64</f>
        <v/>
      </c>
      <c r="R62" s="2" t="n"/>
      <c r="S62" s="2" t="n"/>
      <c r="T62" s="2" t="n"/>
      <c r="U62" s="2" t="n"/>
      <c r="V62" s="2" t="n"/>
      <c r="W62" s="2" t="n"/>
      <c r="X62" s="2">
        <f>Q62</f>
        <v/>
      </c>
      <c r="Y62" s="4">
        <f>'QBO Transactions'!$Q64</f>
        <v/>
      </c>
      <c r="Z62" s="2" t="n"/>
      <c r="AA62" s="2" t="n"/>
      <c r="AB62" s="2" t="n"/>
      <c r="AC62" s="2" t="n"/>
      <c r="AD62" s="2" t="n"/>
      <c r="AE62" s="2" t="n"/>
    </row>
    <row r="63" ht="12.75" customHeight="1" s="52">
      <c r="A63" s="2" t="n"/>
      <c r="B63" s="2">
        <f>'QBO Transactions'!$U65</f>
        <v/>
      </c>
      <c r="C63" s="3">
        <f>'QBO Transactions'!$S65</f>
        <v/>
      </c>
      <c r="D63" s="2">
        <f>'QBO Transactions'!$R65</f>
        <v/>
      </c>
      <c r="E63" s="2" t="n"/>
      <c r="F63" s="3">
        <f>'QBO Transactions'!$X65</f>
        <v/>
      </c>
      <c r="G63" s="2" t="n"/>
      <c r="H63" s="2" t="n"/>
      <c r="I63" s="2" t="n"/>
      <c r="J63" s="2" t="n"/>
      <c r="K63" s="2" t="n"/>
      <c r="L63" s="2" t="n"/>
      <c r="M63" s="2" t="n"/>
      <c r="N63" s="2">
        <f>'QBO Transactions'!$Y65</f>
        <v/>
      </c>
      <c r="O63" s="2" t="n"/>
      <c r="P63" s="2" t="n"/>
      <c r="Q63" s="2">
        <f>'QBO Transactions'!$T65</f>
        <v/>
      </c>
      <c r="R63" s="2" t="n"/>
      <c r="S63" s="2" t="n"/>
      <c r="T63" s="2" t="n"/>
      <c r="U63" s="2" t="n"/>
      <c r="V63" s="2" t="n"/>
      <c r="W63" s="2" t="n"/>
      <c r="X63" s="2">
        <f>Q63</f>
        <v/>
      </c>
      <c r="Y63" s="4">
        <f>'QBO Transactions'!$Q65</f>
        <v/>
      </c>
      <c r="Z63" s="2" t="n"/>
      <c r="AA63" s="2" t="n"/>
      <c r="AB63" s="2" t="n"/>
      <c r="AC63" s="2" t="n"/>
      <c r="AD63" s="2" t="n"/>
      <c r="AE63" s="2" t="n"/>
    </row>
    <row r="64" ht="12.75" customHeight="1" s="52">
      <c r="A64" s="2" t="n"/>
      <c r="B64" s="2">
        <f>'QBO Transactions'!$U66</f>
        <v/>
      </c>
      <c r="C64" s="3">
        <f>'QBO Transactions'!$S66</f>
        <v/>
      </c>
      <c r="D64" s="2">
        <f>'QBO Transactions'!$R66</f>
        <v/>
      </c>
      <c r="E64" s="2" t="n"/>
      <c r="F64" s="3">
        <f>'QBO Transactions'!$X66</f>
        <v/>
      </c>
      <c r="G64" s="2" t="n"/>
      <c r="H64" s="2" t="n"/>
      <c r="I64" s="2" t="n"/>
      <c r="J64" s="2" t="n"/>
      <c r="K64" s="2" t="n"/>
      <c r="L64" s="2" t="n"/>
      <c r="M64" s="2" t="n"/>
      <c r="N64" s="2">
        <f>'QBO Transactions'!$Y66</f>
        <v/>
      </c>
      <c r="O64" s="2" t="n"/>
      <c r="P64" s="2" t="n"/>
      <c r="Q64" s="2">
        <f>'QBO Transactions'!$T66</f>
        <v/>
      </c>
      <c r="R64" s="2" t="n"/>
      <c r="S64" s="2" t="n"/>
      <c r="T64" s="2" t="n"/>
      <c r="U64" s="2" t="n"/>
      <c r="V64" s="2" t="n"/>
      <c r="W64" s="2" t="n"/>
      <c r="X64" s="2">
        <f>Q64</f>
        <v/>
      </c>
      <c r="Y64" s="4">
        <f>'QBO Transactions'!$Q66</f>
        <v/>
      </c>
      <c r="Z64" s="2" t="n"/>
      <c r="AA64" s="2" t="n"/>
      <c r="AB64" s="2" t="n"/>
      <c r="AC64" s="2" t="n"/>
      <c r="AD64" s="2" t="n"/>
      <c r="AE64" s="2" t="n"/>
    </row>
    <row r="65" ht="12.75" customHeight="1" s="52">
      <c r="A65" s="2" t="n"/>
      <c r="B65" s="2">
        <f>'QBO Transactions'!$U67</f>
        <v/>
      </c>
      <c r="C65" s="3">
        <f>'QBO Transactions'!$S67</f>
        <v/>
      </c>
      <c r="D65" s="2">
        <f>'QBO Transactions'!$R67</f>
        <v/>
      </c>
      <c r="E65" s="2" t="n"/>
      <c r="F65" s="3">
        <f>'QBO Transactions'!$X67</f>
        <v/>
      </c>
      <c r="G65" s="2" t="n"/>
      <c r="H65" s="2" t="n"/>
      <c r="I65" s="2" t="n"/>
      <c r="J65" s="2" t="n"/>
      <c r="K65" s="2" t="n"/>
      <c r="L65" s="2" t="n"/>
      <c r="M65" s="2" t="n"/>
      <c r="N65" s="2">
        <f>'QBO Transactions'!$Y67</f>
        <v/>
      </c>
      <c r="O65" s="2" t="n"/>
      <c r="P65" s="2" t="n"/>
      <c r="Q65" s="2">
        <f>'QBO Transactions'!$T67</f>
        <v/>
      </c>
      <c r="R65" s="2" t="n"/>
      <c r="S65" s="2" t="n"/>
      <c r="T65" s="2" t="n"/>
      <c r="U65" s="2" t="n"/>
      <c r="V65" s="2" t="n"/>
      <c r="W65" s="2" t="n"/>
      <c r="X65" s="2">
        <f>Q65</f>
        <v/>
      </c>
      <c r="Y65" s="4">
        <f>'QBO Transactions'!$Q67</f>
        <v/>
      </c>
      <c r="Z65" s="2" t="n"/>
      <c r="AA65" s="2" t="n"/>
      <c r="AB65" s="2" t="n"/>
      <c r="AC65" s="2" t="n"/>
      <c r="AD65" s="2" t="n"/>
      <c r="AE65" s="2" t="n"/>
    </row>
    <row r="66" ht="12.75" customHeight="1" s="52">
      <c r="A66" s="2" t="n"/>
      <c r="B66" s="2">
        <f>'QBO Transactions'!$U68</f>
        <v/>
      </c>
      <c r="C66" s="3">
        <f>'QBO Transactions'!$S68</f>
        <v/>
      </c>
      <c r="D66" s="2">
        <f>'QBO Transactions'!$R68</f>
        <v/>
      </c>
      <c r="E66" s="2" t="n"/>
      <c r="F66" s="3">
        <f>'QBO Transactions'!$X68</f>
        <v/>
      </c>
      <c r="G66" s="2" t="n"/>
      <c r="H66" s="2" t="n"/>
      <c r="I66" s="2" t="n"/>
      <c r="J66" s="2" t="n"/>
      <c r="K66" s="2" t="n"/>
      <c r="L66" s="2" t="n"/>
      <c r="M66" s="2" t="n"/>
      <c r="N66" s="2">
        <f>'QBO Transactions'!$Y68</f>
        <v/>
      </c>
      <c r="O66" s="2" t="n"/>
      <c r="P66" s="2" t="n"/>
      <c r="Q66" s="2">
        <f>'QBO Transactions'!$T68</f>
        <v/>
      </c>
      <c r="R66" s="2" t="n"/>
      <c r="S66" s="2" t="n"/>
      <c r="T66" s="2" t="n"/>
      <c r="U66" s="2" t="n"/>
      <c r="V66" s="2" t="n"/>
      <c r="W66" s="2" t="n"/>
      <c r="X66" s="2">
        <f>Q66</f>
        <v/>
      </c>
      <c r="Y66" s="4">
        <f>'QBO Transactions'!$Q68</f>
        <v/>
      </c>
      <c r="Z66" s="2" t="n"/>
      <c r="AA66" s="2" t="n"/>
      <c r="AB66" s="2" t="n"/>
      <c r="AC66" s="2" t="n"/>
      <c r="AD66" s="2" t="n"/>
      <c r="AE66" s="2" t="n"/>
    </row>
    <row r="67" ht="12.75" customHeight="1" s="52">
      <c r="A67" s="2" t="n"/>
      <c r="B67" s="2">
        <f>'QBO Transactions'!$U69</f>
        <v/>
      </c>
      <c r="C67" s="3">
        <f>'QBO Transactions'!$S69</f>
        <v/>
      </c>
      <c r="D67" s="2">
        <f>'QBO Transactions'!$R69</f>
        <v/>
      </c>
      <c r="E67" s="2" t="n"/>
      <c r="F67" s="3">
        <f>'QBO Transactions'!$X69</f>
        <v/>
      </c>
      <c r="G67" s="2" t="n"/>
      <c r="H67" s="2" t="n"/>
      <c r="I67" s="2" t="n"/>
      <c r="J67" s="2" t="n"/>
      <c r="K67" s="2" t="n"/>
      <c r="L67" s="2" t="n"/>
      <c r="M67" s="2" t="n"/>
      <c r="N67" s="2">
        <f>'QBO Transactions'!$Y69</f>
        <v/>
      </c>
      <c r="O67" s="2" t="n"/>
      <c r="P67" s="2" t="n"/>
      <c r="Q67" s="2">
        <f>'QBO Transactions'!$T69</f>
        <v/>
      </c>
      <c r="R67" s="2" t="n"/>
      <c r="S67" s="2" t="n"/>
      <c r="T67" s="2" t="n"/>
      <c r="U67" s="2" t="n"/>
      <c r="V67" s="2" t="n"/>
      <c r="W67" s="2" t="n"/>
      <c r="X67" s="2">
        <f>Q67</f>
        <v/>
      </c>
      <c r="Y67" s="4">
        <f>'QBO Transactions'!$Q69</f>
        <v/>
      </c>
      <c r="Z67" s="2" t="n"/>
      <c r="AA67" s="2" t="n"/>
      <c r="AB67" s="2" t="n"/>
      <c r="AC67" s="2" t="n"/>
      <c r="AD67" s="2" t="n"/>
      <c r="AE67" s="2" t="n"/>
    </row>
    <row r="68" ht="12.75" customHeight="1" s="52">
      <c r="A68" s="2" t="n"/>
      <c r="B68" s="2">
        <f>'QBO Transactions'!$U70</f>
        <v/>
      </c>
      <c r="C68" s="3">
        <f>'QBO Transactions'!$S70</f>
        <v/>
      </c>
      <c r="D68" s="2">
        <f>'QBO Transactions'!$R70</f>
        <v/>
      </c>
      <c r="E68" s="2" t="n"/>
      <c r="F68" s="3">
        <f>'QBO Transactions'!$X70</f>
        <v/>
      </c>
      <c r="G68" s="2" t="n"/>
      <c r="H68" s="2" t="n"/>
      <c r="I68" s="2" t="n"/>
      <c r="J68" s="2" t="n"/>
      <c r="K68" s="2" t="n"/>
      <c r="L68" s="2" t="n"/>
      <c r="M68" s="2" t="n"/>
      <c r="N68" s="2">
        <f>'QBO Transactions'!$Y70</f>
        <v/>
      </c>
      <c r="O68" s="2" t="n"/>
      <c r="P68" s="2" t="n"/>
      <c r="Q68" s="2">
        <f>'QBO Transactions'!$T70</f>
        <v/>
      </c>
      <c r="R68" s="2" t="n"/>
      <c r="S68" s="2" t="n"/>
      <c r="T68" s="2" t="n"/>
      <c r="U68" s="2" t="n"/>
      <c r="V68" s="2" t="n"/>
      <c r="W68" s="2" t="n"/>
      <c r="X68" s="2">
        <f>Q68</f>
        <v/>
      </c>
      <c r="Y68" s="4">
        <f>'QBO Transactions'!$Q70</f>
        <v/>
      </c>
      <c r="Z68" s="2" t="n"/>
      <c r="AA68" s="2" t="n"/>
      <c r="AB68" s="2" t="n"/>
      <c r="AC68" s="2" t="n"/>
      <c r="AD68" s="2" t="n"/>
      <c r="AE68" s="2" t="n"/>
    </row>
    <row r="69" ht="12.75" customHeight="1" s="52">
      <c r="A69" s="2" t="n"/>
      <c r="B69" s="2">
        <f>'QBO Transactions'!$U71</f>
        <v/>
      </c>
      <c r="C69" s="3">
        <f>'QBO Transactions'!$S71</f>
        <v/>
      </c>
      <c r="D69" s="2">
        <f>'QBO Transactions'!$R71</f>
        <v/>
      </c>
      <c r="E69" s="2" t="n"/>
      <c r="F69" s="3">
        <f>'QBO Transactions'!$X71</f>
        <v/>
      </c>
      <c r="G69" s="2" t="n"/>
      <c r="H69" s="2" t="n"/>
      <c r="I69" s="2" t="n"/>
      <c r="J69" s="2" t="n"/>
      <c r="K69" s="2" t="n"/>
      <c r="L69" s="2" t="n"/>
      <c r="M69" s="2" t="n"/>
      <c r="N69" s="2">
        <f>'QBO Transactions'!$Y71</f>
        <v/>
      </c>
      <c r="O69" s="2" t="n"/>
      <c r="P69" s="2" t="n"/>
      <c r="Q69" s="2">
        <f>'QBO Transactions'!$T71</f>
        <v/>
      </c>
      <c r="R69" s="2" t="n"/>
      <c r="S69" s="2" t="n"/>
      <c r="T69" s="2" t="n"/>
      <c r="U69" s="2" t="n"/>
      <c r="V69" s="2" t="n"/>
      <c r="W69" s="2" t="n"/>
      <c r="X69" s="2">
        <f>Q69</f>
        <v/>
      </c>
      <c r="Y69" s="4">
        <f>'QBO Transactions'!$Q71</f>
        <v/>
      </c>
      <c r="Z69" s="2" t="n"/>
      <c r="AA69" s="2" t="n"/>
      <c r="AB69" s="2" t="n"/>
      <c r="AC69" s="2" t="n"/>
      <c r="AD69" s="2" t="n"/>
      <c r="AE69" s="2" t="n"/>
    </row>
    <row r="70" ht="12.75" customHeight="1" s="52">
      <c r="A70" s="2" t="n"/>
      <c r="B70" s="2">
        <f>'QBO Transactions'!$U72</f>
        <v/>
      </c>
      <c r="C70" s="3">
        <f>'QBO Transactions'!$S72</f>
        <v/>
      </c>
      <c r="D70" s="2">
        <f>'QBO Transactions'!$R72</f>
        <v/>
      </c>
      <c r="E70" s="2" t="n"/>
      <c r="F70" s="3">
        <f>'QBO Transactions'!$X72</f>
        <v/>
      </c>
      <c r="G70" s="2" t="n"/>
      <c r="H70" s="2" t="n"/>
      <c r="I70" s="2" t="n"/>
      <c r="J70" s="2" t="n"/>
      <c r="K70" s="2" t="n"/>
      <c r="L70" s="2" t="n"/>
      <c r="M70" s="2" t="n"/>
      <c r="N70" s="2">
        <f>'QBO Transactions'!$Y72</f>
        <v/>
      </c>
      <c r="O70" s="2" t="n"/>
      <c r="P70" s="2" t="n"/>
      <c r="Q70" s="2">
        <f>'QBO Transactions'!$T72</f>
        <v/>
      </c>
      <c r="R70" s="2" t="n"/>
      <c r="S70" s="2" t="n"/>
      <c r="T70" s="2" t="n"/>
      <c r="U70" s="2" t="n"/>
      <c r="V70" s="2" t="n"/>
      <c r="W70" s="2" t="n"/>
      <c r="X70" s="2">
        <f>Q70</f>
        <v/>
      </c>
      <c r="Y70" s="4">
        <f>'QBO Transactions'!$Q72</f>
        <v/>
      </c>
      <c r="Z70" s="2" t="n"/>
      <c r="AA70" s="2" t="n"/>
      <c r="AB70" s="2" t="n"/>
      <c r="AC70" s="2" t="n"/>
      <c r="AD70" s="2" t="n"/>
      <c r="AE70" s="2" t="n"/>
    </row>
    <row r="71" ht="12.75" customHeight="1" s="52">
      <c r="A71" s="2" t="n"/>
      <c r="B71" s="2">
        <f>'QBO Transactions'!$U73</f>
        <v/>
      </c>
      <c r="C71" s="3">
        <f>'QBO Transactions'!$S73</f>
        <v/>
      </c>
      <c r="D71" s="2">
        <f>'QBO Transactions'!$R73</f>
        <v/>
      </c>
      <c r="E71" s="2" t="n"/>
      <c r="F71" s="3">
        <f>'QBO Transactions'!$X73</f>
        <v/>
      </c>
      <c r="G71" s="2" t="n"/>
      <c r="H71" s="2" t="n"/>
      <c r="I71" s="2" t="n"/>
      <c r="J71" s="2" t="n"/>
      <c r="K71" s="2" t="n"/>
      <c r="L71" s="2" t="n"/>
      <c r="M71" s="2" t="n"/>
      <c r="N71" s="2">
        <f>'QBO Transactions'!$Y73</f>
        <v/>
      </c>
      <c r="O71" s="2" t="n"/>
      <c r="P71" s="2" t="n"/>
      <c r="Q71" s="2">
        <f>'QBO Transactions'!$T73</f>
        <v/>
      </c>
      <c r="R71" s="2" t="n"/>
      <c r="S71" s="2" t="n"/>
      <c r="T71" s="2" t="n"/>
      <c r="U71" s="2" t="n"/>
      <c r="V71" s="2" t="n"/>
      <c r="W71" s="2" t="n"/>
      <c r="X71" s="2">
        <f>Q71</f>
        <v/>
      </c>
      <c r="Y71" s="4">
        <f>'QBO Transactions'!$Q73</f>
        <v/>
      </c>
      <c r="Z71" s="2" t="n"/>
      <c r="AA71" s="2" t="n"/>
      <c r="AB71" s="2" t="n"/>
      <c r="AC71" s="2" t="n"/>
      <c r="AD71" s="2" t="n"/>
      <c r="AE71" s="2" t="n"/>
    </row>
    <row r="72" ht="12.75" customHeight="1" s="52">
      <c r="A72" s="2" t="n"/>
      <c r="B72" s="2">
        <f>'QBO Transactions'!$U74</f>
        <v/>
      </c>
      <c r="C72" s="3">
        <f>'QBO Transactions'!$S74</f>
        <v/>
      </c>
      <c r="D72" s="2">
        <f>'QBO Transactions'!$R74</f>
        <v/>
      </c>
      <c r="E72" s="2" t="n"/>
      <c r="F72" s="3">
        <f>'QBO Transactions'!$X74</f>
        <v/>
      </c>
      <c r="G72" s="2" t="n"/>
      <c r="H72" s="2" t="n"/>
      <c r="I72" s="2" t="n"/>
      <c r="J72" s="2" t="n"/>
      <c r="K72" s="2" t="n"/>
      <c r="L72" s="2" t="n"/>
      <c r="M72" s="2" t="n"/>
      <c r="N72" s="2">
        <f>'QBO Transactions'!$Y74</f>
        <v/>
      </c>
      <c r="O72" s="2" t="n"/>
      <c r="P72" s="2" t="n"/>
      <c r="Q72" s="2">
        <f>'QBO Transactions'!$T74</f>
        <v/>
      </c>
      <c r="R72" s="2" t="n"/>
      <c r="S72" s="2" t="n"/>
      <c r="T72" s="2" t="n"/>
      <c r="U72" s="2" t="n"/>
      <c r="V72" s="2" t="n"/>
      <c r="W72" s="2" t="n"/>
      <c r="X72" s="2">
        <f>Q72</f>
        <v/>
      </c>
      <c r="Y72" s="4">
        <f>'QBO Transactions'!$Q74</f>
        <v/>
      </c>
      <c r="Z72" s="2" t="n"/>
      <c r="AA72" s="2" t="n"/>
      <c r="AB72" s="2" t="n"/>
      <c r="AC72" s="2" t="n"/>
      <c r="AD72" s="2" t="n"/>
      <c r="AE72" s="2" t="n"/>
    </row>
    <row r="73" ht="12.75" customHeight="1" s="52">
      <c r="A73" s="2" t="n"/>
      <c r="B73" s="2">
        <f>'QBO Transactions'!$U75</f>
        <v/>
      </c>
      <c r="C73" s="3">
        <f>'QBO Transactions'!$S75</f>
        <v/>
      </c>
      <c r="D73" s="2">
        <f>'QBO Transactions'!$R75</f>
        <v/>
      </c>
      <c r="E73" s="2" t="n"/>
      <c r="F73" s="3">
        <f>'QBO Transactions'!$X75</f>
        <v/>
      </c>
      <c r="G73" s="2" t="n"/>
      <c r="H73" s="2" t="n"/>
      <c r="I73" s="2" t="n"/>
      <c r="J73" s="2" t="n"/>
      <c r="K73" s="2" t="n"/>
      <c r="L73" s="2" t="n"/>
      <c r="M73" s="2" t="n"/>
      <c r="N73" s="2">
        <f>'QBO Transactions'!$Y75</f>
        <v/>
      </c>
      <c r="O73" s="2" t="n"/>
      <c r="P73" s="2" t="n"/>
      <c r="Q73" s="2">
        <f>'QBO Transactions'!$T75</f>
        <v/>
      </c>
      <c r="R73" s="2" t="n"/>
      <c r="S73" s="2" t="n"/>
      <c r="T73" s="2" t="n"/>
      <c r="U73" s="2" t="n"/>
      <c r="V73" s="2" t="n"/>
      <c r="W73" s="2" t="n"/>
      <c r="X73" s="2">
        <f>Q73</f>
        <v/>
      </c>
      <c r="Y73" s="4">
        <f>'QBO Transactions'!$Q75</f>
        <v/>
      </c>
      <c r="Z73" s="2" t="n"/>
      <c r="AA73" s="2" t="n"/>
      <c r="AB73" s="2" t="n"/>
      <c r="AC73" s="2" t="n"/>
      <c r="AD73" s="2" t="n"/>
      <c r="AE73" s="2" t="n"/>
    </row>
    <row r="74" ht="12.75" customHeight="1" s="52">
      <c r="A74" s="2" t="n"/>
      <c r="B74" s="2">
        <f>'QBO Transactions'!$U76</f>
        <v/>
      </c>
      <c r="C74" s="3">
        <f>'QBO Transactions'!$S76</f>
        <v/>
      </c>
      <c r="D74" s="2">
        <f>'QBO Transactions'!$R76</f>
        <v/>
      </c>
      <c r="E74" s="2" t="n"/>
      <c r="F74" s="3">
        <f>'QBO Transactions'!$X76</f>
        <v/>
      </c>
      <c r="G74" s="2" t="n"/>
      <c r="H74" s="2" t="n"/>
      <c r="I74" s="2" t="n"/>
      <c r="J74" s="2" t="n"/>
      <c r="K74" s="2" t="n"/>
      <c r="L74" s="2" t="n"/>
      <c r="M74" s="2" t="n"/>
      <c r="N74" s="2">
        <f>'QBO Transactions'!$Y76</f>
        <v/>
      </c>
      <c r="O74" s="2" t="n"/>
      <c r="P74" s="2" t="n"/>
      <c r="Q74" s="2">
        <f>'QBO Transactions'!$T76</f>
        <v/>
      </c>
      <c r="R74" s="2" t="n"/>
      <c r="S74" s="2" t="n"/>
      <c r="T74" s="2" t="n"/>
      <c r="U74" s="2" t="n"/>
      <c r="V74" s="2" t="n"/>
      <c r="W74" s="2" t="n"/>
      <c r="X74" s="2">
        <f>Q74</f>
        <v/>
      </c>
      <c r="Y74" s="4">
        <f>'QBO Transactions'!$Q76</f>
        <v/>
      </c>
      <c r="Z74" s="2" t="n"/>
      <c r="AA74" s="2" t="n"/>
      <c r="AB74" s="2" t="n"/>
      <c r="AC74" s="2" t="n"/>
      <c r="AD74" s="2" t="n"/>
      <c r="AE74" s="2" t="n"/>
    </row>
    <row r="75" ht="12.75" customHeight="1" s="52">
      <c r="A75" s="2" t="n"/>
      <c r="B75" s="2">
        <f>'QBO Transactions'!$U77</f>
        <v/>
      </c>
      <c r="C75" s="3">
        <f>'QBO Transactions'!$S77</f>
        <v/>
      </c>
      <c r="D75" s="2">
        <f>'QBO Transactions'!$R77</f>
        <v/>
      </c>
      <c r="E75" s="2" t="n"/>
      <c r="F75" s="3">
        <f>'QBO Transactions'!$X77</f>
        <v/>
      </c>
      <c r="G75" s="2" t="n"/>
      <c r="H75" s="2" t="n"/>
      <c r="I75" s="2" t="n"/>
      <c r="J75" s="2" t="n"/>
      <c r="K75" s="2" t="n"/>
      <c r="L75" s="2" t="n"/>
      <c r="M75" s="2" t="n"/>
      <c r="N75" s="2">
        <f>'QBO Transactions'!$Y77</f>
        <v/>
      </c>
      <c r="O75" s="2" t="n"/>
      <c r="P75" s="2" t="n"/>
      <c r="Q75" s="2">
        <f>'QBO Transactions'!$T77</f>
        <v/>
      </c>
      <c r="R75" s="2" t="n"/>
      <c r="S75" s="2" t="n"/>
      <c r="T75" s="2" t="n"/>
      <c r="U75" s="2" t="n"/>
      <c r="V75" s="2" t="n"/>
      <c r="W75" s="2" t="n"/>
      <c r="X75" s="2">
        <f>Q75</f>
        <v/>
      </c>
      <c r="Y75" s="4">
        <f>'QBO Transactions'!$Q77</f>
        <v/>
      </c>
      <c r="Z75" s="2" t="n"/>
      <c r="AA75" s="2" t="n"/>
      <c r="AB75" s="2" t="n"/>
      <c r="AC75" s="2" t="n"/>
      <c r="AD75" s="2" t="n"/>
      <c r="AE75" s="2" t="n"/>
    </row>
    <row r="76" ht="12.75" customHeight="1" s="52">
      <c r="A76" s="2" t="n"/>
      <c r="B76" s="2">
        <f>'QBO Transactions'!$U78</f>
        <v/>
      </c>
      <c r="C76" s="3">
        <f>'QBO Transactions'!$S78</f>
        <v/>
      </c>
      <c r="D76" s="2">
        <f>'QBO Transactions'!$R78</f>
        <v/>
      </c>
      <c r="E76" s="2" t="n"/>
      <c r="F76" s="3">
        <f>'QBO Transactions'!$X78</f>
        <v/>
      </c>
      <c r="G76" s="2" t="n"/>
      <c r="H76" s="2" t="n"/>
      <c r="I76" s="2" t="n"/>
      <c r="J76" s="2" t="n"/>
      <c r="K76" s="2" t="n"/>
      <c r="L76" s="2" t="n"/>
      <c r="M76" s="2" t="n"/>
      <c r="N76" s="2">
        <f>'QBO Transactions'!$Y78</f>
        <v/>
      </c>
      <c r="O76" s="2" t="n"/>
      <c r="P76" s="2" t="n"/>
      <c r="Q76" s="2">
        <f>'QBO Transactions'!$T78</f>
        <v/>
      </c>
      <c r="R76" s="2" t="n"/>
      <c r="S76" s="2" t="n"/>
      <c r="T76" s="2" t="n"/>
      <c r="U76" s="2" t="n"/>
      <c r="V76" s="2" t="n"/>
      <c r="W76" s="2" t="n"/>
      <c r="X76" s="2">
        <f>Q76</f>
        <v/>
      </c>
      <c r="Y76" s="4">
        <f>'QBO Transactions'!$Q78</f>
        <v/>
      </c>
      <c r="Z76" s="2" t="n"/>
      <c r="AA76" s="2" t="n"/>
      <c r="AB76" s="2" t="n"/>
      <c r="AC76" s="2" t="n"/>
      <c r="AD76" s="2" t="n"/>
      <c r="AE76" s="2" t="n"/>
    </row>
    <row r="77" ht="12.75" customHeight="1" s="52">
      <c r="A77" s="2" t="n"/>
      <c r="B77" s="2">
        <f>'QBO Transactions'!$U79</f>
        <v/>
      </c>
      <c r="C77" s="3">
        <f>'QBO Transactions'!$S79</f>
        <v/>
      </c>
      <c r="D77" s="2">
        <f>'QBO Transactions'!$R79</f>
        <v/>
      </c>
      <c r="E77" s="2" t="n"/>
      <c r="F77" s="3">
        <f>'QBO Transactions'!$X79</f>
        <v/>
      </c>
      <c r="G77" s="2" t="n"/>
      <c r="H77" s="2" t="n"/>
      <c r="I77" s="2" t="n"/>
      <c r="J77" s="2" t="n"/>
      <c r="K77" s="2" t="n"/>
      <c r="L77" s="2" t="n"/>
      <c r="M77" s="2" t="n"/>
      <c r="N77" s="2">
        <f>'QBO Transactions'!$Y79</f>
        <v/>
      </c>
      <c r="O77" s="2" t="n"/>
      <c r="P77" s="2" t="n"/>
      <c r="Q77" s="2">
        <f>'QBO Transactions'!$T79</f>
        <v/>
      </c>
      <c r="R77" s="2" t="n"/>
      <c r="S77" s="2" t="n"/>
      <c r="T77" s="2" t="n"/>
      <c r="U77" s="2" t="n"/>
      <c r="V77" s="2" t="n"/>
      <c r="W77" s="2" t="n"/>
      <c r="X77" s="2">
        <f>Q77</f>
        <v/>
      </c>
      <c r="Y77" s="4">
        <f>'QBO Transactions'!$Q79</f>
        <v/>
      </c>
      <c r="Z77" s="2" t="n"/>
      <c r="AA77" s="2" t="n"/>
      <c r="AB77" s="2" t="n"/>
      <c r="AC77" s="2" t="n"/>
      <c r="AD77" s="2" t="n"/>
      <c r="AE77" s="2" t="n"/>
    </row>
    <row r="78" ht="12.75" customHeight="1" s="52">
      <c r="A78" s="2" t="n"/>
      <c r="B78" s="2">
        <f>'QBO Transactions'!$U80</f>
        <v/>
      </c>
      <c r="C78" s="3">
        <f>'QBO Transactions'!$S80</f>
        <v/>
      </c>
      <c r="D78" s="2">
        <f>'QBO Transactions'!$R80</f>
        <v/>
      </c>
      <c r="E78" s="2" t="n"/>
      <c r="F78" s="3">
        <f>'QBO Transactions'!$X80</f>
        <v/>
      </c>
      <c r="G78" s="2" t="n"/>
      <c r="H78" s="2" t="n"/>
      <c r="I78" s="2" t="n"/>
      <c r="J78" s="2" t="n"/>
      <c r="K78" s="2" t="n"/>
      <c r="L78" s="2" t="n"/>
      <c r="M78" s="2" t="n"/>
      <c r="N78" s="2">
        <f>'QBO Transactions'!$Y80</f>
        <v/>
      </c>
      <c r="O78" s="2" t="n"/>
      <c r="P78" s="2" t="n"/>
      <c r="Q78" s="2">
        <f>'QBO Transactions'!$T80</f>
        <v/>
      </c>
      <c r="R78" s="2" t="n"/>
      <c r="S78" s="2" t="n"/>
      <c r="T78" s="2" t="n"/>
      <c r="U78" s="2" t="n"/>
      <c r="V78" s="2" t="n"/>
      <c r="W78" s="2" t="n"/>
      <c r="X78" s="2">
        <f>Q78</f>
        <v/>
      </c>
      <c r="Y78" s="4">
        <f>'QBO Transactions'!$Q80</f>
        <v/>
      </c>
      <c r="Z78" s="2" t="n"/>
      <c r="AA78" s="2" t="n"/>
      <c r="AB78" s="2" t="n"/>
      <c r="AC78" s="2" t="n"/>
      <c r="AD78" s="2" t="n"/>
      <c r="AE78" s="2" t="n"/>
    </row>
    <row r="79" ht="12.75" customHeight="1" s="52">
      <c r="A79" s="2" t="n"/>
      <c r="B79" s="2">
        <f>'QBO Transactions'!$U81</f>
        <v/>
      </c>
      <c r="C79" s="3">
        <f>'QBO Transactions'!$S81</f>
        <v/>
      </c>
      <c r="D79" s="2">
        <f>'QBO Transactions'!$R81</f>
        <v/>
      </c>
      <c r="E79" s="2" t="n"/>
      <c r="F79" s="3">
        <f>'QBO Transactions'!$X81</f>
        <v/>
      </c>
      <c r="G79" s="2" t="n"/>
      <c r="H79" s="2" t="n"/>
      <c r="I79" s="2" t="n"/>
      <c r="J79" s="2" t="n"/>
      <c r="K79" s="2" t="n"/>
      <c r="L79" s="2" t="n"/>
      <c r="M79" s="2" t="n"/>
      <c r="N79" s="2">
        <f>'QBO Transactions'!$Y81</f>
        <v/>
      </c>
      <c r="O79" s="2" t="n"/>
      <c r="P79" s="2" t="n"/>
      <c r="Q79" s="2">
        <f>'QBO Transactions'!$T81</f>
        <v/>
      </c>
      <c r="R79" s="2" t="n"/>
      <c r="S79" s="2" t="n"/>
      <c r="T79" s="2" t="n"/>
      <c r="U79" s="2" t="n"/>
      <c r="V79" s="2" t="n"/>
      <c r="W79" s="2" t="n"/>
      <c r="X79" s="2">
        <f>Q79</f>
        <v/>
      </c>
      <c r="Y79" s="4">
        <f>'QBO Transactions'!$Q81</f>
        <v/>
      </c>
      <c r="Z79" s="2" t="n"/>
      <c r="AA79" s="2" t="n"/>
      <c r="AB79" s="2" t="n"/>
      <c r="AC79" s="2" t="n"/>
      <c r="AD79" s="2" t="n"/>
      <c r="AE79" s="2" t="n"/>
    </row>
    <row r="80" ht="12.75" customHeight="1" s="52">
      <c r="A80" s="2" t="n"/>
      <c r="B80" s="2">
        <f>'QBO Transactions'!$U82</f>
        <v/>
      </c>
      <c r="C80" s="3">
        <f>'QBO Transactions'!$S82</f>
        <v/>
      </c>
      <c r="D80" s="2">
        <f>'QBO Transactions'!$R82</f>
        <v/>
      </c>
      <c r="E80" s="2" t="n"/>
      <c r="F80" s="3">
        <f>'QBO Transactions'!$X82</f>
        <v/>
      </c>
      <c r="G80" s="2" t="n"/>
      <c r="H80" s="2" t="n"/>
      <c r="I80" s="2" t="n"/>
      <c r="J80" s="2" t="n"/>
      <c r="K80" s="2" t="n"/>
      <c r="L80" s="2" t="n"/>
      <c r="M80" s="2" t="n"/>
      <c r="N80" s="2">
        <f>'QBO Transactions'!$Y82</f>
        <v/>
      </c>
      <c r="O80" s="2" t="n"/>
      <c r="P80" s="2" t="n"/>
      <c r="Q80" s="2">
        <f>'QBO Transactions'!$T82</f>
        <v/>
      </c>
      <c r="R80" s="2" t="n"/>
      <c r="S80" s="2" t="n"/>
      <c r="T80" s="2" t="n"/>
      <c r="U80" s="2" t="n"/>
      <c r="V80" s="2" t="n"/>
      <c r="W80" s="2" t="n"/>
      <c r="X80" s="2">
        <f>Q80</f>
        <v/>
      </c>
      <c r="Y80" s="4">
        <f>'QBO Transactions'!$Q82</f>
        <v/>
      </c>
      <c r="Z80" s="2" t="n"/>
      <c r="AA80" s="2" t="n"/>
      <c r="AB80" s="2" t="n"/>
      <c r="AC80" s="2" t="n"/>
      <c r="AD80" s="2" t="n"/>
      <c r="AE80" s="2" t="n"/>
    </row>
    <row r="81" ht="12.75" customHeight="1" s="52">
      <c r="A81" s="2" t="n"/>
      <c r="B81" s="2">
        <f>'QBO Transactions'!$U83</f>
        <v/>
      </c>
      <c r="C81" s="3">
        <f>'QBO Transactions'!$S83</f>
        <v/>
      </c>
      <c r="D81" s="2">
        <f>'QBO Transactions'!$R83</f>
        <v/>
      </c>
      <c r="E81" s="2" t="n"/>
      <c r="F81" s="3">
        <f>'QBO Transactions'!$X83</f>
        <v/>
      </c>
      <c r="G81" s="2" t="n"/>
      <c r="H81" s="2" t="n"/>
      <c r="I81" s="2" t="n"/>
      <c r="J81" s="2" t="n"/>
      <c r="K81" s="2" t="n"/>
      <c r="L81" s="2" t="n"/>
      <c r="M81" s="2" t="n"/>
      <c r="N81" s="2">
        <f>'QBO Transactions'!$Y83</f>
        <v/>
      </c>
      <c r="O81" s="2" t="n"/>
      <c r="P81" s="2" t="n"/>
      <c r="Q81" s="2">
        <f>'QBO Transactions'!$T83</f>
        <v/>
      </c>
      <c r="R81" s="2" t="n"/>
      <c r="S81" s="2" t="n"/>
      <c r="T81" s="2" t="n"/>
      <c r="U81" s="2" t="n"/>
      <c r="V81" s="2" t="n"/>
      <c r="W81" s="2" t="n"/>
      <c r="X81" s="2">
        <f>Q81</f>
        <v/>
      </c>
      <c r="Y81" s="4">
        <f>'QBO Transactions'!$Q83</f>
        <v/>
      </c>
      <c r="Z81" s="2" t="n"/>
      <c r="AA81" s="2" t="n"/>
      <c r="AB81" s="2" t="n"/>
      <c r="AC81" s="2" t="n"/>
      <c r="AD81" s="2" t="n"/>
      <c r="AE81" s="2" t="n"/>
    </row>
    <row r="82" ht="12.75" customHeight="1" s="52">
      <c r="A82" s="2" t="n"/>
      <c r="B82" s="2">
        <f>'QBO Transactions'!$U84</f>
        <v/>
      </c>
      <c r="C82" s="3">
        <f>'QBO Transactions'!$S84</f>
        <v/>
      </c>
      <c r="D82" s="2">
        <f>'QBO Transactions'!$R84</f>
        <v/>
      </c>
      <c r="E82" s="2" t="n"/>
      <c r="F82" s="3">
        <f>'QBO Transactions'!$X84</f>
        <v/>
      </c>
      <c r="G82" s="2" t="n"/>
      <c r="H82" s="2" t="n"/>
      <c r="I82" s="2" t="n"/>
      <c r="J82" s="2" t="n"/>
      <c r="K82" s="2" t="n"/>
      <c r="L82" s="2" t="n"/>
      <c r="M82" s="2" t="n"/>
      <c r="N82" s="2">
        <f>'QBO Transactions'!$Y84</f>
        <v/>
      </c>
      <c r="O82" s="2" t="n"/>
      <c r="P82" s="2" t="n"/>
      <c r="Q82" s="2">
        <f>'QBO Transactions'!$T84</f>
        <v/>
      </c>
      <c r="R82" s="2" t="n"/>
      <c r="S82" s="2" t="n"/>
      <c r="T82" s="2" t="n"/>
      <c r="U82" s="2" t="n"/>
      <c r="V82" s="2" t="n"/>
      <c r="W82" s="2" t="n"/>
      <c r="X82" s="2">
        <f>Q82</f>
        <v/>
      </c>
      <c r="Y82" s="4">
        <f>'QBO Transactions'!$Q84</f>
        <v/>
      </c>
      <c r="Z82" s="2" t="n"/>
      <c r="AA82" s="2" t="n"/>
      <c r="AB82" s="2" t="n"/>
      <c r="AC82" s="2" t="n"/>
      <c r="AD82" s="2" t="n"/>
      <c r="AE82" s="2" t="n"/>
    </row>
    <row r="83" ht="12.75" customHeight="1" s="52">
      <c r="A83" s="2" t="n"/>
      <c r="B83" s="2">
        <f>'QBO Transactions'!$U85</f>
        <v/>
      </c>
      <c r="C83" s="3">
        <f>'QBO Transactions'!$S85</f>
        <v/>
      </c>
      <c r="D83" s="2">
        <f>'QBO Transactions'!$R85</f>
        <v/>
      </c>
      <c r="E83" s="2" t="n"/>
      <c r="F83" s="3">
        <f>'QBO Transactions'!$X85</f>
        <v/>
      </c>
      <c r="G83" s="2" t="n"/>
      <c r="H83" s="2" t="n"/>
      <c r="I83" s="2" t="n"/>
      <c r="J83" s="2" t="n"/>
      <c r="K83" s="2" t="n"/>
      <c r="L83" s="2" t="n"/>
      <c r="M83" s="2" t="n"/>
      <c r="N83" s="2">
        <f>'QBO Transactions'!$Y85</f>
        <v/>
      </c>
      <c r="O83" s="2" t="n"/>
      <c r="P83" s="2" t="n"/>
      <c r="Q83" s="2">
        <f>'QBO Transactions'!$T85</f>
        <v/>
      </c>
      <c r="R83" s="2" t="n"/>
      <c r="S83" s="2" t="n"/>
      <c r="T83" s="2" t="n"/>
      <c r="U83" s="2" t="n"/>
      <c r="V83" s="2" t="n"/>
      <c r="W83" s="2" t="n"/>
      <c r="X83" s="2">
        <f>Q83</f>
        <v/>
      </c>
      <c r="Y83" s="4">
        <f>'QBO Transactions'!$Q85</f>
        <v/>
      </c>
      <c r="Z83" s="2" t="n"/>
      <c r="AA83" s="2" t="n"/>
      <c r="AB83" s="2" t="n"/>
      <c r="AC83" s="2" t="n"/>
      <c r="AD83" s="2" t="n"/>
      <c r="AE83" s="2" t="n"/>
    </row>
    <row r="84" ht="12.75" customHeight="1" s="52">
      <c r="A84" s="2" t="n"/>
      <c r="B84" s="2">
        <f>'QBO Transactions'!$U86</f>
        <v/>
      </c>
      <c r="C84" s="3">
        <f>'QBO Transactions'!$S86</f>
        <v/>
      </c>
      <c r="D84" s="2">
        <f>'QBO Transactions'!$R86</f>
        <v/>
      </c>
      <c r="E84" s="2" t="n"/>
      <c r="F84" s="3">
        <f>'QBO Transactions'!$X86</f>
        <v/>
      </c>
      <c r="G84" s="2" t="n"/>
      <c r="H84" s="2" t="n"/>
      <c r="I84" s="2" t="n"/>
      <c r="J84" s="2" t="n"/>
      <c r="K84" s="2" t="n"/>
      <c r="L84" s="2" t="n"/>
      <c r="M84" s="2" t="n"/>
      <c r="N84" s="2">
        <f>'QBO Transactions'!$Y86</f>
        <v/>
      </c>
      <c r="O84" s="2" t="n"/>
      <c r="P84" s="2" t="n"/>
      <c r="Q84" s="2">
        <f>'QBO Transactions'!$T86</f>
        <v/>
      </c>
      <c r="R84" s="2" t="n"/>
      <c r="S84" s="2" t="n"/>
      <c r="T84" s="2" t="n"/>
      <c r="U84" s="2" t="n"/>
      <c r="V84" s="2" t="n"/>
      <c r="W84" s="2" t="n"/>
      <c r="X84" s="2">
        <f>Q84</f>
        <v/>
      </c>
      <c r="Y84" s="4">
        <f>'QBO Transactions'!$Q86</f>
        <v/>
      </c>
      <c r="Z84" s="2" t="n"/>
      <c r="AA84" s="2" t="n"/>
      <c r="AB84" s="2" t="n"/>
      <c r="AC84" s="2" t="n"/>
      <c r="AD84" s="2" t="n"/>
      <c r="AE84" s="2" t="n"/>
    </row>
    <row r="85" ht="12.75" customHeight="1" s="52">
      <c r="A85" s="2" t="n"/>
      <c r="B85" s="2">
        <f>'QBO Transactions'!$U87</f>
        <v/>
      </c>
      <c r="C85" s="3">
        <f>'QBO Transactions'!$S87</f>
        <v/>
      </c>
      <c r="D85" s="2">
        <f>'QBO Transactions'!$R87</f>
        <v/>
      </c>
      <c r="E85" s="2" t="n"/>
      <c r="F85" s="3">
        <f>'QBO Transactions'!$X87</f>
        <v/>
      </c>
      <c r="G85" s="2" t="n"/>
      <c r="H85" s="2" t="n"/>
      <c r="I85" s="2" t="n"/>
      <c r="J85" s="2" t="n"/>
      <c r="K85" s="2" t="n"/>
      <c r="L85" s="2" t="n"/>
      <c r="M85" s="2" t="n"/>
      <c r="N85" s="2">
        <f>'QBO Transactions'!$Y87</f>
        <v/>
      </c>
      <c r="O85" s="2" t="n"/>
      <c r="P85" s="2" t="n"/>
      <c r="Q85" s="2">
        <f>'QBO Transactions'!$T87</f>
        <v/>
      </c>
      <c r="R85" s="2" t="n"/>
      <c r="S85" s="2" t="n"/>
      <c r="T85" s="2" t="n"/>
      <c r="U85" s="2" t="n"/>
      <c r="V85" s="2" t="n"/>
      <c r="W85" s="2" t="n"/>
      <c r="X85" s="2">
        <f>Q85</f>
        <v/>
      </c>
      <c r="Y85" s="4">
        <f>'QBO Transactions'!$Q87</f>
        <v/>
      </c>
      <c r="Z85" s="2" t="n"/>
      <c r="AA85" s="2" t="n"/>
      <c r="AB85" s="2" t="n"/>
      <c r="AC85" s="2" t="n"/>
      <c r="AD85" s="2" t="n"/>
      <c r="AE85" s="2" t="n"/>
    </row>
    <row r="86" ht="12.75" customHeight="1" s="52">
      <c r="A86" s="2" t="n"/>
      <c r="B86" s="2">
        <f>'QBO Transactions'!$U88</f>
        <v/>
      </c>
      <c r="C86" s="3">
        <f>'QBO Transactions'!$S88</f>
        <v/>
      </c>
      <c r="D86" s="2">
        <f>'QBO Transactions'!$R88</f>
        <v/>
      </c>
      <c r="E86" s="2" t="n"/>
      <c r="F86" s="3">
        <f>'QBO Transactions'!$X88</f>
        <v/>
      </c>
      <c r="G86" s="2" t="n"/>
      <c r="H86" s="2" t="n"/>
      <c r="I86" s="2" t="n"/>
      <c r="J86" s="2" t="n"/>
      <c r="K86" s="2" t="n"/>
      <c r="L86" s="2" t="n"/>
      <c r="M86" s="2" t="n"/>
      <c r="N86" s="2">
        <f>'QBO Transactions'!$Y88</f>
        <v/>
      </c>
      <c r="O86" s="2" t="n"/>
      <c r="P86" s="2" t="n"/>
      <c r="Q86" s="2">
        <f>'QBO Transactions'!$T88</f>
        <v/>
      </c>
      <c r="R86" s="2" t="n"/>
      <c r="S86" s="2" t="n"/>
      <c r="T86" s="2" t="n"/>
      <c r="U86" s="2" t="n"/>
      <c r="V86" s="2" t="n"/>
      <c r="W86" s="2" t="n"/>
      <c r="X86" s="2">
        <f>Q86</f>
        <v/>
      </c>
      <c r="Y86" s="4">
        <f>'QBO Transactions'!$Q88</f>
        <v/>
      </c>
      <c r="Z86" s="2" t="n"/>
      <c r="AA86" s="2" t="n"/>
      <c r="AB86" s="2" t="n"/>
      <c r="AC86" s="2" t="n"/>
      <c r="AD86" s="2" t="n"/>
      <c r="AE86" s="2" t="n"/>
    </row>
    <row r="87" ht="12.75" customHeight="1" s="52">
      <c r="A87" s="2" t="n"/>
      <c r="B87" s="2">
        <f>'QBO Transactions'!$U89</f>
        <v/>
      </c>
      <c r="C87" s="3">
        <f>'QBO Transactions'!$S89</f>
        <v/>
      </c>
      <c r="D87" s="2">
        <f>'QBO Transactions'!$R89</f>
        <v/>
      </c>
      <c r="E87" s="2" t="n"/>
      <c r="F87" s="3">
        <f>'QBO Transactions'!$X89</f>
        <v/>
      </c>
      <c r="G87" s="2" t="n"/>
      <c r="H87" s="2" t="n"/>
      <c r="I87" s="2" t="n"/>
      <c r="J87" s="2" t="n"/>
      <c r="K87" s="2" t="n"/>
      <c r="L87" s="2" t="n"/>
      <c r="M87" s="2" t="n"/>
      <c r="N87" s="2">
        <f>'QBO Transactions'!$Y89</f>
        <v/>
      </c>
      <c r="O87" s="2" t="n"/>
      <c r="P87" s="2" t="n"/>
      <c r="Q87" s="2">
        <f>'QBO Transactions'!$T89</f>
        <v/>
      </c>
      <c r="R87" s="2" t="n"/>
      <c r="S87" s="2" t="n"/>
      <c r="T87" s="2" t="n"/>
      <c r="U87" s="2" t="n"/>
      <c r="V87" s="2" t="n"/>
      <c r="W87" s="2" t="n"/>
      <c r="X87" s="2">
        <f>Q87</f>
        <v/>
      </c>
      <c r="Y87" s="4">
        <f>'QBO Transactions'!$Q89</f>
        <v/>
      </c>
      <c r="Z87" s="2" t="n"/>
      <c r="AA87" s="2" t="n"/>
      <c r="AB87" s="2" t="n"/>
      <c r="AC87" s="2" t="n"/>
      <c r="AD87" s="2" t="n"/>
      <c r="AE87" s="2" t="n"/>
    </row>
    <row r="88" ht="12.75" customHeight="1" s="52">
      <c r="A88" s="2" t="n"/>
      <c r="B88" s="2">
        <f>'QBO Transactions'!$U90</f>
        <v/>
      </c>
      <c r="C88" s="3">
        <f>'QBO Transactions'!$S90</f>
        <v/>
      </c>
      <c r="D88" s="2">
        <f>'QBO Transactions'!$R90</f>
        <v/>
      </c>
      <c r="E88" s="2" t="n"/>
      <c r="F88" s="3">
        <f>'QBO Transactions'!$X90</f>
        <v/>
      </c>
      <c r="G88" s="2" t="n"/>
      <c r="H88" s="2" t="n"/>
      <c r="I88" s="2" t="n"/>
      <c r="J88" s="2" t="n"/>
      <c r="K88" s="2" t="n"/>
      <c r="L88" s="2" t="n"/>
      <c r="M88" s="2" t="n"/>
      <c r="N88" s="2">
        <f>'QBO Transactions'!$Y90</f>
        <v/>
      </c>
      <c r="O88" s="2" t="n"/>
      <c r="P88" s="2" t="n"/>
      <c r="Q88" s="2">
        <f>'QBO Transactions'!$T90</f>
        <v/>
      </c>
      <c r="R88" s="2" t="n"/>
      <c r="S88" s="2" t="n"/>
      <c r="T88" s="2" t="n"/>
      <c r="U88" s="2" t="n"/>
      <c r="V88" s="2" t="n"/>
      <c r="W88" s="2" t="n"/>
      <c r="X88" s="2">
        <f>Q88</f>
        <v/>
      </c>
      <c r="Y88" s="4">
        <f>'QBO Transactions'!$Q90</f>
        <v/>
      </c>
      <c r="Z88" s="2" t="n"/>
      <c r="AA88" s="2" t="n"/>
      <c r="AB88" s="2" t="n"/>
      <c r="AC88" s="2" t="n"/>
      <c r="AD88" s="2" t="n"/>
      <c r="AE88" s="2" t="n"/>
    </row>
    <row r="89" ht="12.75" customHeight="1" s="52">
      <c r="A89" s="2" t="n"/>
      <c r="B89" s="2">
        <f>'QBO Transactions'!$U91</f>
        <v/>
      </c>
      <c r="C89" s="3">
        <f>'QBO Transactions'!$S91</f>
        <v/>
      </c>
      <c r="D89" s="2">
        <f>'QBO Transactions'!$R91</f>
        <v/>
      </c>
      <c r="E89" s="2" t="n"/>
      <c r="F89" s="3">
        <f>'QBO Transactions'!$X91</f>
        <v/>
      </c>
      <c r="G89" s="2" t="n"/>
      <c r="H89" s="2" t="n"/>
      <c r="I89" s="2" t="n"/>
      <c r="J89" s="2" t="n"/>
      <c r="K89" s="2" t="n"/>
      <c r="L89" s="2" t="n"/>
      <c r="M89" s="2" t="n"/>
      <c r="N89" s="2">
        <f>'QBO Transactions'!$Y91</f>
        <v/>
      </c>
      <c r="O89" s="2" t="n"/>
      <c r="P89" s="2" t="n"/>
      <c r="Q89" s="2">
        <f>'QBO Transactions'!$T91</f>
        <v/>
      </c>
      <c r="R89" s="2" t="n"/>
      <c r="S89" s="2" t="n"/>
      <c r="T89" s="2" t="n"/>
      <c r="U89" s="2" t="n"/>
      <c r="V89" s="2" t="n"/>
      <c r="W89" s="2" t="n"/>
      <c r="X89" s="2">
        <f>Q89</f>
        <v/>
      </c>
      <c r="Y89" s="4">
        <f>'QBO Transactions'!$Q91</f>
        <v/>
      </c>
      <c r="Z89" s="2" t="n"/>
      <c r="AA89" s="2" t="n"/>
      <c r="AB89" s="2" t="n"/>
      <c r="AC89" s="2" t="n"/>
      <c r="AD89" s="2" t="n"/>
      <c r="AE89" s="2" t="n"/>
    </row>
    <row r="90" ht="12.75" customHeight="1" s="52">
      <c r="A90" s="2" t="n"/>
      <c r="B90" s="2">
        <f>'QBO Transactions'!$U92</f>
        <v/>
      </c>
      <c r="C90" s="3">
        <f>'QBO Transactions'!$S92</f>
        <v/>
      </c>
      <c r="D90" s="2">
        <f>'QBO Transactions'!$R92</f>
        <v/>
      </c>
      <c r="E90" s="2" t="n"/>
      <c r="F90" s="3">
        <f>'QBO Transactions'!$X92</f>
        <v/>
      </c>
      <c r="G90" s="2" t="n"/>
      <c r="H90" s="2" t="n"/>
      <c r="I90" s="2" t="n"/>
      <c r="J90" s="2" t="n"/>
      <c r="K90" s="2" t="n"/>
      <c r="L90" s="2" t="n"/>
      <c r="M90" s="2" t="n"/>
      <c r="N90" s="2">
        <f>'QBO Transactions'!$Y92</f>
        <v/>
      </c>
      <c r="O90" s="2" t="n"/>
      <c r="P90" s="2" t="n"/>
      <c r="Q90" s="2">
        <f>'QBO Transactions'!$T92</f>
        <v/>
      </c>
      <c r="R90" s="2" t="n"/>
      <c r="S90" s="2" t="n"/>
      <c r="T90" s="2" t="n"/>
      <c r="U90" s="2" t="n"/>
      <c r="V90" s="2" t="n"/>
      <c r="W90" s="2" t="n"/>
      <c r="X90" s="2">
        <f>Q90</f>
        <v/>
      </c>
      <c r="Y90" s="4">
        <f>'QBO Transactions'!$Q92</f>
        <v/>
      </c>
      <c r="Z90" s="2" t="n"/>
      <c r="AA90" s="2" t="n"/>
      <c r="AB90" s="2" t="n"/>
      <c r="AC90" s="2" t="n"/>
      <c r="AD90" s="2" t="n"/>
      <c r="AE90" s="2" t="n"/>
    </row>
    <row r="91" ht="12.75" customHeight="1" s="52">
      <c r="A91" s="2" t="n"/>
      <c r="B91" s="2">
        <f>'QBO Transactions'!$U93</f>
        <v/>
      </c>
      <c r="C91" s="3">
        <f>'QBO Transactions'!$S93</f>
        <v/>
      </c>
      <c r="D91" s="2">
        <f>'QBO Transactions'!$R93</f>
        <v/>
      </c>
      <c r="E91" s="2" t="n"/>
      <c r="F91" s="3">
        <f>'QBO Transactions'!$X93</f>
        <v/>
      </c>
      <c r="G91" s="2" t="n"/>
      <c r="H91" s="2" t="n"/>
      <c r="I91" s="2" t="n"/>
      <c r="J91" s="2" t="n"/>
      <c r="K91" s="2" t="n"/>
      <c r="L91" s="2" t="n"/>
      <c r="M91" s="2" t="n"/>
      <c r="N91" s="2">
        <f>'QBO Transactions'!$Y93</f>
        <v/>
      </c>
      <c r="O91" s="2" t="n"/>
      <c r="P91" s="2" t="n"/>
      <c r="Q91" s="2">
        <f>'QBO Transactions'!$T93</f>
        <v/>
      </c>
      <c r="R91" s="2" t="n"/>
      <c r="S91" s="2" t="n"/>
      <c r="T91" s="2" t="n"/>
      <c r="U91" s="2" t="n"/>
      <c r="V91" s="2" t="n"/>
      <c r="W91" s="2" t="n"/>
      <c r="X91" s="2">
        <f>Q91</f>
        <v/>
      </c>
      <c r="Y91" s="4">
        <f>'QBO Transactions'!$Q93</f>
        <v/>
      </c>
      <c r="Z91" s="2" t="n"/>
      <c r="AA91" s="2" t="n"/>
      <c r="AB91" s="2" t="n"/>
      <c r="AC91" s="2" t="n"/>
      <c r="AD91" s="2" t="n"/>
      <c r="AE91" s="2" t="n"/>
    </row>
    <row r="92" ht="12.75" customHeight="1" s="52">
      <c r="A92" s="2" t="n"/>
      <c r="B92" s="2">
        <f>'QBO Transactions'!$U94</f>
        <v/>
      </c>
      <c r="C92" s="3">
        <f>'QBO Transactions'!$S94</f>
        <v/>
      </c>
      <c r="D92" s="2">
        <f>'QBO Transactions'!$R94</f>
        <v/>
      </c>
      <c r="E92" s="2" t="n"/>
      <c r="F92" s="3">
        <f>'QBO Transactions'!$X94</f>
        <v/>
      </c>
      <c r="G92" s="2" t="n"/>
      <c r="H92" s="2" t="n"/>
      <c r="I92" s="2" t="n"/>
      <c r="J92" s="2" t="n"/>
      <c r="K92" s="2" t="n"/>
      <c r="L92" s="2" t="n"/>
      <c r="M92" s="2" t="n"/>
      <c r="N92" s="2">
        <f>'QBO Transactions'!$Y94</f>
        <v/>
      </c>
      <c r="O92" s="2" t="n"/>
      <c r="P92" s="2" t="n"/>
      <c r="Q92" s="2">
        <f>'QBO Transactions'!$T94</f>
        <v/>
      </c>
      <c r="R92" s="2" t="n"/>
      <c r="S92" s="2" t="n"/>
      <c r="T92" s="2" t="n"/>
      <c r="U92" s="2" t="n"/>
      <c r="V92" s="2" t="n"/>
      <c r="W92" s="2" t="n"/>
      <c r="X92" s="2">
        <f>Q92</f>
        <v/>
      </c>
      <c r="Y92" s="4">
        <f>'QBO Transactions'!$Q94</f>
        <v/>
      </c>
      <c r="Z92" s="2" t="n"/>
      <c r="AA92" s="2" t="n"/>
      <c r="AB92" s="2" t="n"/>
      <c r="AC92" s="2" t="n"/>
      <c r="AD92" s="2" t="n"/>
      <c r="AE92" s="2" t="n"/>
    </row>
    <row r="93" ht="12.75" customHeight="1" s="52">
      <c r="A93" s="2" t="n"/>
      <c r="B93" s="2">
        <f>'QBO Transactions'!$U95</f>
        <v/>
      </c>
      <c r="C93" s="3">
        <f>'QBO Transactions'!$S95</f>
        <v/>
      </c>
      <c r="D93" s="2">
        <f>'QBO Transactions'!$R95</f>
        <v/>
      </c>
      <c r="E93" s="2" t="n"/>
      <c r="F93" s="3">
        <f>'QBO Transactions'!$X95</f>
        <v/>
      </c>
      <c r="G93" s="2" t="n"/>
      <c r="H93" s="2" t="n"/>
      <c r="I93" s="2" t="n"/>
      <c r="J93" s="2" t="n"/>
      <c r="K93" s="2" t="n"/>
      <c r="L93" s="2" t="n"/>
      <c r="M93" s="2" t="n"/>
      <c r="N93" s="2">
        <f>'QBO Transactions'!$Y95</f>
        <v/>
      </c>
      <c r="O93" s="2" t="n"/>
      <c r="P93" s="2" t="n"/>
      <c r="Q93" s="2">
        <f>'QBO Transactions'!$T95</f>
        <v/>
      </c>
      <c r="R93" s="2" t="n"/>
      <c r="S93" s="2" t="n"/>
      <c r="T93" s="2" t="n"/>
      <c r="U93" s="2" t="n"/>
      <c r="V93" s="2" t="n"/>
      <c r="W93" s="2" t="n"/>
      <c r="X93" s="2">
        <f>Q93</f>
        <v/>
      </c>
      <c r="Y93" s="4">
        <f>'QBO Transactions'!$Q95</f>
        <v/>
      </c>
      <c r="Z93" s="2" t="n"/>
      <c r="AA93" s="2" t="n"/>
      <c r="AB93" s="2" t="n"/>
      <c r="AC93" s="2" t="n"/>
      <c r="AD93" s="2" t="n"/>
      <c r="AE93" s="2" t="n"/>
    </row>
    <row r="94" ht="12.75" customHeight="1" s="52">
      <c r="A94" s="2" t="n"/>
      <c r="B94" s="2">
        <f>'QBO Transactions'!$U96</f>
        <v/>
      </c>
      <c r="C94" s="3">
        <f>'QBO Transactions'!$S96</f>
        <v/>
      </c>
      <c r="D94" s="2">
        <f>'QBO Transactions'!$R96</f>
        <v/>
      </c>
      <c r="E94" s="2" t="n"/>
      <c r="F94" s="3">
        <f>'QBO Transactions'!$X96</f>
        <v/>
      </c>
      <c r="G94" s="2" t="n"/>
      <c r="H94" s="2" t="n"/>
      <c r="I94" s="2" t="n"/>
      <c r="J94" s="2" t="n"/>
      <c r="K94" s="2" t="n"/>
      <c r="L94" s="2" t="n"/>
      <c r="M94" s="2" t="n"/>
      <c r="N94" s="2">
        <f>'QBO Transactions'!$Y96</f>
        <v/>
      </c>
      <c r="O94" s="2" t="n"/>
      <c r="P94" s="2" t="n"/>
      <c r="Q94" s="2">
        <f>'QBO Transactions'!$T96</f>
        <v/>
      </c>
      <c r="R94" s="2" t="n"/>
      <c r="S94" s="2" t="n"/>
      <c r="T94" s="2" t="n"/>
      <c r="U94" s="2" t="n"/>
      <c r="V94" s="2" t="n"/>
      <c r="W94" s="2" t="n"/>
      <c r="X94" s="2">
        <f>Q94</f>
        <v/>
      </c>
      <c r="Y94" s="4">
        <f>'QBO Transactions'!$Q96</f>
        <v/>
      </c>
      <c r="Z94" s="2" t="n"/>
      <c r="AA94" s="2" t="n"/>
      <c r="AB94" s="2" t="n"/>
      <c r="AC94" s="2" t="n"/>
      <c r="AD94" s="2" t="n"/>
      <c r="AE94" s="2" t="n"/>
    </row>
    <row r="95" ht="12.75" customHeight="1" s="52">
      <c r="A95" s="2" t="n"/>
      <c r="B95" s="2">
        <f>'QBO Transactions'!$U97</f>
        <v/>
      </c>
      <c r="C95" s="3">
        <f>'QBO Transactions'!$S97</f>
        <v/>
      </c>
      <c r="D95" s="2">
        <f>'QBO Transactions'!$R97</f>
        <v/>
      </c>
      <c r="E95" s="2" t="n"/>
      <c r="F95" s="3">
        <f>'QBO Transactions'!$X97</f>
        <v/>
      </c>
      <c r="G95" s="2" t="n"/>
      <c r="H95" s="2" t="n"/>
      <c r="I95" s="2" t="n"/>
      <c r="J95" s="2" t="n"/>
      <c r="K95" s="2" t="n"/>
      <c r="L95" s="2" t="n"/>
      <c r="M95" s="2" t="n"/>
      <c r="N95" s="2">
        <f>'QBO Transactions'!$Y97</f>
        <v/>
      </c>
      <c r="O95" s="2" t="n"/>
      <c r="P95" s="2" t="n"/>
      <c r="Q95" s="2">
        <f>'QBO Transactions'!$T97</f>
        <v/>
      </c>
      <c r="R95" s="2" t="n"/>
      <c r="S95" s="2" t="n"/>
      <c r="T95" s="2" t="n"/>
      <c r="U95" s="2" t="n"/>
      <c r="V95" s="2" t="n"/>
      <c r="W95" s="2" t="n"/>
      <c r="X95" s="2">
        <f>Q95</f>
        <v/>
      </c>
      <c r="Y95" s="4">
        <f>'QBO Transactions'!$Q97</f>
        <v/>
      </c>
      <c r="Z95" s="2" t="n"/>
      <c r="AA95" s="2" t="n"/>
      <c r="AB95" s="2" t="n"/>
      <c r="AC95" s="2" t="n"/>
      <c r="AD95" s="2" t="n"/>
      <c r="AE95" s="2" t="n"/>
    </row>
    <row r="96" ht="12.75" customHeight="1" s="52">
      <c r="A96" s="2" t="n"/>
      <c r="B96" s="2">
        <f>'QBO Transactions'!$U98</f>
        <v/>
      </c>
      <c r="C96" s="3">
        <f>'QBO Transactions'!$S98</f>
        <v/>
      </c>
      <c r="D96" s="2">
        <f>'QBO Transactions'!$R98</f>
        <v/>
      </c>
      <c r="E96" s="2" t="n"/>
      <c r="F96" s="3">
        <f>'QBO Transactions'!$X98</f>
        <v/>
      </c>
      <c r="G96" s="2" t="n"/>
      <c r="H96" s="2" t="n"/>
      <c r="I96" s="2" t="n"/>
      <c r="J96" s="2" t="n"/>
      <c r="K96" s="2" t="n"/>
      <c r="L96" s="2" t="n"/>
      <c r="M96" s="2" t="n"/>
      <c r="N96" s="2">
        <f>'QBO Transactions'!$Y98</f>
        <v/>
      </c>
      <c r="O96" s="2" t="n"/>
      <c r="P96" s="2" t="n"/>
      <c r="Q96" s="2">
        <f>'QBO Transactions'!$T98</f>
        <v/>
      </c>
      <c r="R96" s="2" t="n"/>
      <c r="S96" s="2" t="n"/>
      <c r="T96" s="2" t="n"/>
      <c r="U96" s="2" t="n"/>
      <c r="V96" s="2" t="n"/>
      <c r="W96" s="2" t="n"/>
      <c r="X96" s="2">
        <f>Q96</f>
        <v/>
      </c>
      <c r="Y96" s="4">
        <f>'QBO Transactions'!$Q98</f>
        <v/>
      </c>
      <c r="Z96" s="2" t="n"/>
      <c r="AA96" s="2" t="n"/>
      <c r="AB96" s="2" t="n"/>
      <c r="AC96" s="2" t="n"/>
      <c r="AD96" s="2" t="n"/>
      <c r="AE96" s="2" t="n"/>
    </row>
    <row r="97" ht="12.75" customHeight="1" s="52">
      <c r="A97" s="2" t="n"/>
      <c r="B97" s="2">
        <f>'QBO Transactions'!$U99</f>
        <v/>
      </c>
      <c r="C97" s="3">
        <f>'QBO Transactions'!$S99</f>
        <v/>
      </c>
      <c r="D97" s="2">
        <f>'QBO Transactions'!$R99</f>
        <v/>
      </c>
      <c r="E97" s="2" t="n"/>
      <c r="F97" s="3">
        <f>'QBO Transactions'!$X99</f>
        <v/>
      </c>
      <c r="G97" s="2" t="n"/>
      <c r="H97" s="2" t="n"/>
      <c r="I97" s="2" t="n"/>
      <c r="J97" s="2" t="n"/>
      <c r="K97" s="2" t="n"/>
      <c r="L97" s="2" t="n"/>
      <c r="M97" s="2" t="n"/>
      <c r="N97" s="2">
        <f>'QBO Transactions'!$Y99</f>
        <v/>
      </c>
      <c r="O97" s="2" t="n"/>
      <c r="P97" s="2" t="n"/>
      <c r="Q97" s="2">
        <f>'QBO Transactions'!$T99</f>
        <v/>
      </c>
      <c r="R97" s="2" t="n"/>
      <c r="S97" s="2" t="n"/>
      <c r="T97" s="2" t="n"/>
      <c r="U97" s="2" t="n"/>
      <c r="V97" s="2" t="n"/>
      <c r="W97" s="2" t="n"/>
      <c r="X97" s="2">
        <f>Q97</f>
        <v/>
      </c>
      <c r="Y97" s="4">
        <f>'QBO Transactions'!$Q99</f>
        <v/>
      </c>
      <c r="Z97" s="2" t="n"/>
      <c r="AA97" s="2" t="n"/>
      <c r="AB97" s="2" t="n"/>
      <c r="AC97" s="2" t="n"/>
      <c r="AD97" s="2" t="n"/>
      <c r="AE97" s="2" t="n"/>
    </row>
    <row r="98" ht="12.75" customHeight="1" s="52">
      <c r="A98" s="2" t="n"/>
      <c r="B98" s="2">
        <f>'QBO Transactions'!$U100</f>
        <v/>
      </c>
      <c r="C98" s="3">
        <f>'QBO Transactions'!$S100</f>
        <v/>
      </c>
      <c r="D98" s="2">
        <f>'QBO Transactions'!$R100</f>
        <v/>
      </c>
      <c r="E98" s="2" t="n"/>
      <c r="F98" s="3">
        <f>'QBO Transactions'!$X100</f>
        <v/>
      </c>
      <c r="G98" s="2" t="n"/>
      <c r="H98" s="2" t="n"/>
      <c r="I98" s="2" t="n"/>
      <c r="J98" s="2" t="n"/>
      <c r="K98" s="2" t="n"/>
      <c r="L98" s="2" t="n"/>
      <c r="M98" s="2" t="n"/>
      <c r="N98" s="2">
        <f>'QBO Transactions'!$Y100</f>
        <v/>
      </c>
      <c r="O98" s="2" t="n"/>
      <c r="P98" s="2" t="n"/>
      <c r="Q98" s="2">
        <f>'QBO Transactions'!$T100</f>
        <v/>
      </c>
      <c r="R98" s="2" t="n"/>
      <c r="S98" s="2" t="n"/>
      <c r="T98" s="2" t="n"/>
      <c r="U98" s="2" t="n"/>
      <c r="V98" s="2" t="n"/>
      <c r="W98" s="2" t="n"/>
      <c r="X98" s="2">
        <f>Q98</f>
        <v/>
      </c>
      <c r="Y98" s="4">
        <f>'QBO Transactions'!$Q100</f>
        <v/>
      </c>
      <c r="Z98" s="2" t="n"/>
      <c r="AA98" s="2" t="n"/>
      <c r="AB98" s="2" t="n"/>
      <c r="AC98" s="2" t="n"/>
      <c r="AD98" s="2" t="n"/>
      <c r="AE98" s="2" t="n"/>
    </row>
    <row r="99" ht="12.75" customHeight="1" s="52">
      <c r="A99" s="2" t="n"/>
      <c r="B99" s="2">
        <f>'QBO Transactions'!$U101</f>
        <v/>
      </c>
      <c r="C99" s="3">
        <f>'QBO Transactions'!$S101</f>
        <v/>
      </c>
      <c r="D99" s="2">
        <f>'QBO Transactions'!$R101</f>
        <v/>
      </c>
      <c r="E99" s="2" t="n"/>
      <c r="F99" s="3">
        <f>'QBO Transactions'!$X101</f>
        <v/>
      </c>
      <c r="G99" s="2" t="n"/>
      <c r="H99" s="2" t="n"/>
      <c r="I99" s="2" t="n"/>
      <c r="J99" s="2" t="n"/>
      <c r="K99" s="2" t="n"/>
      <c r="L99" s="2" t="n"/>
      <c r="M99" s="2" t="n"/>
      <c r="N99" s="2">
        <f>'QBO Transactions'!$Y101</f>
        <v/>
      </c>
      <c r="O99" s="2" t="n"/>
      <c r="P99" s="2" t="n"/>
      <c r="Q99" s="2">
        <f>'QBO Transactions'!$T101</f>
        <v/>
      </c>
      <c r="R99" s="2" t="n"/>
      <c r="S99" s="2" t="n"/>
      <c r="T99" s="2" t="n"/>
      <c r="U99" s="2" t="n"/>
      <c r="V99" s="2" t="n"/>
      <c r="W99" s="2" t="n"/>
      <c r="X99" s="2">
        <f>Q99</f>
        <v/>
      </c>
      <c r="Y99" s="4">
        <f>'QBO Transactions'!$Q101</f>
        <v/>
      </c>
      <c r="Z99" s="2" t="n"/>
      <c r="AA99" s="2" t="n"/>
      <c r="AB99" s="2" t="n"/>
      <c r="AC99" s="2" t="n"/>
      <c r="AD99" s="2" t="n"/>
      <c r="AE99" s="2" t="n"/>
    </row>
    <row r="100" ht="12.75" customHeight="1" s="52">
      <c r="A100" s="2" t="n"/>
      <c r="B100" s="2">
        <f>'QBO Transactions'!$U102</f>
        <v/>
      </c>
      <c r="C100" s="3">
        <f>'QBO Transactions'!$S102</f>
        <v/>
      </c>
      <c r="D100" s="2">
        <f>'QBO Transactions'!$R102</f>
        <v/>
      </c>
      <c r="E100" s="2" t="n"/>
      <c r="F100" s="3">
        <f>'QBO Transactions'!$X102</f>
        <v/>
      </c>
      <c r="G100" s="2" t="n"/>
      <c r="H100" s="2" t="n"/>
      <c r="I100" s="2" t="n"/>
      <c r="J100" s="2" t="n"/>
      <c r="K100" s="2" t="n"/>
      <c r="L100" s="2" t="n"/>
      <c r="M100" s="2" t="n"/>
      <c r="N100" s="2">
        <f>'QBO Transactions'!$Y102</f>
        <v/>
      </c>
      <c r="O100" s="2" t="n"/>
      <c r="P100" s="2" t="n"/>
      <c r="Q100" s="2">
        <f>'QBO Transactions'!$T102</f>
        <v/>
      </c>
      <c r="R100" s="2" t="n"/>
      <c r="S100" s="2" t="n"/>
      <c r="T100" s="2" t="n"/>
      <c r="U100" s="2" t="n"/>
      <c r="V100" s="2" t="n"/>
      <c r="W100" s="2" t="n"/>
      <c r="X100" s="2">
        <f>Q100</f>
        <v/>
      </c>
      <c r="Y100" s="4">
        <f>'QBO Transactions'!$Q102</f>
        <v/>
      </c>
      <c r="Z100" s="2" t="n"/>
      <c r="AA100" s="2" t="n"/>
      <c r="AB100" s="2" t="n"/>
      <c r="AC100" s="2" t="n"/>
      <c r="AD100" s="2" t="n"/>
      <c r="AE100" s="2" t="n"/>
    </row>
    <row r="101" ht="12.75" customHeight="1" s="52">
      <c r="A101" s="2" t="n"/>
      <c r="B101" s="2">
        <f>'QBO Transactions'!$U103</f>
        <v/>
      </c>
      <c r="C101" s="3">
        <f>'QBO Transactions'!$S103</f>
        <v/>
      </c>
      <c r="D101" s="2">
        <f>'QBO Transactions'!$R103</f>
        <v/>
      </c>
      <c r="E101" s="2" t="n"/>
      <c r="F101" s="3">
        <f>'QBO Transactions'!$X103</f>
        <v/>
      </c>
      <c r="G101" s="2" t="n"/>
      <c r="H101" s="2" t="n"/>
      <c r="I101" s="2" t="n"/>
      <c r="J101" s="2" t="n"/>
      <c r="K101" s="2" t="n"/>
      <c r="L101" s="2" t="n"/>
      <c r="M101" s="2" t="n"/>
      <c r="N101" s="2">
        <f>'QBO Transactions'!$Y103</f>
        <v/>
      </c>
      <c r="O101" s="2" t="n"/>
      <c r="P101" s="2" t="n"/>
      <c r="Q101" s="2">
        <f>'QBO Transactions'!$T103</f>
        <v/>
      </c>
      <c r="R101" s="2" t="n"/>
      <c r="S101" s="2" t="n"/>
      <c r="T101" s="2" t="n"/>
      <c r="U101" s="2" t="n"/>
      <c r="V101" s="2" t="n"/>
      <c r="W101" s="2" t="n"/>
      <c r="X101" s="2">
        <f>Q101</f>
        <v/>
      </c>
      <c r="Y101" s="4">
        <f>'QBO Transactions'!$Q103</f>
        <v/>
      </c>
      <c r="Z101" s="2" t="n"/>
      <c r="AA101" s="2" t="n"/>
      <c r="AB101" s="2" t="n"/>
      <c r="AC101" s="2" t="n"/>
      <c r="AD101" s="2" t="n"/>
      <c r="AE101" s="2" t="n"/>
    </row>
    <row r="102" ht="12.75" customHeight="1" s="52">
      <c r="A102" s="2" t="n"/>
      <c r="B102" s="2">
        <f>'QBO Transactions'!$U104</f>
        <v/>
      </c>
      <c r="C102" s="3">
        <f>'QBO Transactions'!$S104</f>
        <v/>
      </c>
      <c r="D102" s="2">
        <f>'QBO Transactions'!$R104</f>
        <v/>
      </c>
      <c r="E102" s="2" t="n"/>
      <c r="F102" s="3">
        <f>'QBO Transactions'!$X104</f>
        <v/>
      </c>
      <c r="G102" s="2" t="n"/>
      <c r="H102" s="2" t="n"/>
      <c r="I102" s="2" t="n"/>
      <c r="J102" s="2" t="n"/>
      <c r="K102" s="2" t="n"/>
      <c r="L102" s="2" t="n"/>
      <c r="M102" s="2" t="n"/>
      <c r="N102" s="2">
        <f>'QBO Transactions'!$Y104</f>
        <v/>
      </c>
      <c r="O102" s="2" t="n"/>
      <c r="P102" s="2" t="n"/>
      <c r="Q102" s="2">
        <f>'QBO Transactions'!$T104</f>
        <v/>
      </c>
      <c r="R102" s="2" t="n"/>
      <c r="S102" s="2" t="n"/>
      <c r="T102" s="2" t="n"/>
      <c r="U102" s="2" t="n"/>
      <c r="V102" s="2" t="n"/>
      <c r="W102" s="2" t="n"/>
      <c r="X102" s="2">
        <f>Q102</f>
        <v/>
      </c>
      <c r="Y102" s="4">
        <f>'QBO Transactions'!$Q104</f>
        <v/>
      </c>
      <c r="Z102" s="2" t="n"/>
      <c r="AA102" s="2" t="n"/>
      <c r="AB102" s="2" t="n"/>
      <c r="AC102" s="2" t="n"/>
      <c r="AD102" s="2" t="n"/>
      <c r="AE102" s="2" t="n"/>
    </row>
    <row r="103" ht="12.75" customHeight="1" s="52">
      <c r="A103" s="2" t="n"/>
      <c r="B103" s="2">
        <f>'QBO Transactions'!$U105</f>
        <v/>
      </c>
      <c r="C103" s="3">
        <f>'QBO Transactions'!$S105</f>
        <v/>
      </c>
      <c r="D103" s="2">
        <f>'QBO Transactions'!$R105</f>
        <v/>
      </c>
      <c r="E103" s="2" t="n"/>
      <c r="F103" s="3">
        <f>'QBO Transactions'!$X105</f>
        <v/>
      </c>
      <c r="G103" s="2" t="n"/>
      <c r="H103" s="2" t="n"/>
      <c r="I103" s="2" t="n"/>
      <c r="J103" s="2" t="n"/>
      <c r="K103" s="2" t="n"/>
      <c r="L103" s="2" t="n"/>
      <c r="M103" s="2" t="n"/>
      <c r="N103" s="2">
        <f>'QBO Transactions'!$Y105</f>
        <v/>
      </c>
      <c r="O103" s="2" t="n"/>
      <c r="P103" s="2" t="n"/>
      <c r="Q103" s="2">
        <f>'QBO Transactions'!$T105</f>
        <v/>
      </c>
      <c r="R103" s="2" t="n"/>
      <c r="S103" s="2" t="n"/>
      <c r="T103" s="2" t="n"/>
      <c r="U103" s="2" t="n"/>
      <c r="V103" s="2" t="n"/>
      <c r="W103" s="2" t="n"/>
      <c r="X103" s="2">
        <f>Q103</f>
        <v/>
      </c>
      <c r="Y103" s="4">
        <f>'QBO Transactions'!$Q105</f>
        <v/>
      </c>
      <c r="Z103" s="2" t="n"/>
      <c r="AA103" s="2" t="n"/>
      <c r="AB103" s="2" t="n"/>
      <c r="AC103" s="2" t="n"/>
      <c r="AD103" s="2" t="n"/>
      <c r="AE103" s="2" t="n"/>
    </row>
    <row r="104" ht="12.75" customHeight="1" s="52">
      <c r="A104" s="2" t="n"/>
      <c r="B104" s="2">
        <f>'QBO Transactions'!$U106</f>
        <v/>
      </c>
      <c r="C104" s="3">
        <f>'QBO Transactions'!$S106</f>
        <v/>
      </c>
      <c r="D104" s="2">
        <f>'QBO Transactions'!$R106</f>
        <v/>
      </c>
      <c r="E104" s="2" t="n"/>
      <c r="F104" s="3">
        <f>'QBO Transactions'!$X106</f>
        <v/>
      </c>
      <c r="G104" s="2" t="n"/>
      <c r="H104" s="2" t="n"/>
      <c r="I104" s="2" t="n"/>
      <c r="J104" s="2" t="n"/>
      <c r="K104" s="2" t="n"/>
      <c r="L104" s="2" t="n"/>
      <c r="M104" s="2" t="n"/>
      <c r="N104" s="2">
        <f>'QBO Transactions'!$Y106</f>
        <v/>
      </c>
      <c r="O104" s="2" t="n"/>
      <c r="P104" s="2" t="n"/>
      <c r="Q104" s="2">
        <f>'QBO Transactions'!$T106</f>
        <v/>
      </c>
      <c r="R104" s="2" t="n"/>
      <c r="S104" s="2" t="n"/>
      <c r="T104" s="2" t="n"/>
      <c r="U104" s="2" t="n"/>
      <c r="V104" s="2" t="n"/>
      <c r="W104" s="2" t="n"/>
      <c r="X104" s="2">
        <f>Q104</f>
        <v/>
      </c>
      <c r="Y104" s="4">
        <f>'QBO Transactions'!$Q106</f>
        <v/>
      </c>
      <c r="Z104" s="2" t="n"/>
      <c r="AA104" s="2" t="n"/>
      <c r="AB104" s="2" t="n"/>
      <c r="AC104" s="2" t="n"/>
      <c r="AD104" s="2" t="n"/>
      <c r="AE104" s="2" t="n"/>
    </row>
    <row r="105" ht="12.75" customHeight="1" s="52">
      <c r="A105" s="2" t="n"/>
      <c r="B105" s="2">
        <f>'QBO Transactions'!$U107</f>
        <v/>
      </c>
      <c r="C105" s="3">
        <f>'QBO Transactions'!$S107</f>
        <v/>
      </c>
      <c r="D105" s="2">
        <f>'QBO Transactions'!$R107</f>
        <v/>
      </c>
      <c r="E105" s="2" t="n"/>
      <c r="F105" s="3">
        <f>'QBO Transactions'!$X107</f>
        <v/>
      </c>
      <c r="G105" s="2" t="n"/>
      <c r="H105" s="2" t="n"/>
      <c r="I105" s="2" t="n"/>
      <c r="J105" s="2" t="n"/>
      <c r="K105" s="2" t="n"/>
      <c r="L105" s="2" t="n"/>
      <c r="M105" s="2" t="n"/>
      <c r="N105" s="2">
        <f>'QBO Transactions'!$Y107</f>
        <v/>
      </c>
      <c r="O105" s="2" t="n"/>
      <c r="P105" s="2" t="n"/>
      <c r="Q105" s="2">
        <f>'QBO Transactions'!$T107</f>
        <v/>
      </c>
      <c r="R105" s="2" t="n"/>
      <c r="S105" s="2" t="n"/>
      <c r="T105" s="2" t="n"/>
      <c r="U105" s="2" t="n"/>
      <c r="V105" s="2" t="n"/>
      <c r="W105" s="2" t="n"/>
      <c r="X105" s="2">
        <f>Q105</f>
        <v/>
      </c>
      <c r="Y105" s="4">
        <f>'QBO Transactions'!$Q107</f>
        <v/>
      </c>
      <c r="Z105" s="2" t="n"/>
      <c r="AA105" s="2" t="n"/>
      <c r="AB105" s="2" t="n"/>
      <c r="AC105" s="2" t="n"/>
      <c r="AD105" s="2" t="n"/>
      <c r="AE105" s="2" t="n"/>
    </row>
    <row r="106" ht="12.75" customHeight="1" s="52">
      <c r="A106" s="2" t="n"/>
      <c r="B106" s="2">
        <f>'QBO Transactions'!$U108</f>
        <v/>
      </c>
      <c r="C106" s="3">
        <f>'QBO Transactions'!$S108</f>
        <v/>
      </c>
      <c r="D106" s="2">
        <f>'QBO Transactions'!$R108</f>
        <v/>
      </c>
      <c r="E106" s="2" t="n"/>
      <c r="F106" s="3">
        <f>'QBO Transactions'!$X108</f>
        <v/>
      </c>
      <c r="G106" s="2" t="n"/>
      <c r="H106" s="2" t="n"/>
      <c r="I106" s="2" t="n"/>
      <c r="J106" s="2" t="n"/>
      <c r="K106" s="2" t="n"/>
      <c r="L106" s="2" t="n"/>
      <c r="M106" s="2" t="n"/>
      <c r="N106" s="2">
        <f>'QBO Transactions'!$Y108</f>
        <v/>
      </c>
      <c r="O106" s="2" t="n"/>
      <c r="P106" s="2" t="n"/>
      <c r="Q106" s="2">
        <f>'QBO Transactions'!$T108</f>
        <v/>
      </c>
      <c r="R106" s="2" t="n"/>
      <c r="S106" s="2" t="n"/>
      <c r="T106" s="2" t="n"/>
      <c r="U106" s="2" t="n"/>
      <c r="V106" s="2" t="n"/>
      <c r="W106" s="2" t="n"/>
      <c r="X106" s="2">
        <f>Q106</f>
        <v/>
      </c>
      <c r="Y106" s="4">
        <f>'QBO Transactions'!$Q108</f>
        <v/>
      </c>
      <c r="Z106" s="2" t="n"/>
      <c r="AA106" s="2" t="n"/>
      <c r="AB106" s="2" t="n"/>
      <c r="AC106" s="2" t="n"/>
      <c r="AD106" s="2" t="n"/>
      <c r="AE106" s="2" t="n"/>
    </row>
    <row r="107" ht="12.75" customHeight="1" s="52">
      <c r="A107" s="2" t="n"/>
      <c r="B107" s="2">
        <f>'QBO Transactions'!$U109</f>
        <v/>
      </c>
      <c r="C107" s="3">
        <f>'QBO Transactions'!$S109</f>
        <v/>
      </c>
      <c r="D107" s="2">
        <f>'QBO Transactions'!$R109</f>
        <v/>
      </c>
      <c r="E107" s="2" t="n"/>
      <c r="F107" s="3">
        <f>'QBO Transactions'!$X109</f>
        <v/>
      </c>
      <c r="G107" s="2" t="n"/>
      <c r="H107" s="2" t="n"/>
      <c r="I107" s="2" t="n"/>
      <c r="J107" s="2" t="n"/>
      <c r="K107" s="2" t="n"/>
      <c r="L107" s="2" t="n"/>
      <c r="M107" s="2" t="n"/>
      <c r="N107" s="2">
        <f>'QBO Transactions'!$Y109</f>
        <v/>
      </c>
      <c r="O107" s="2" t="n"/>
      <c r="P107" s="2" t="n"/>
      <c r="Q107" s="2">
        <f>'QBO Transactions'!$T109</f>
        <v/>
      </c>
      <c r="R107" s="2" t="n"/>
      <c r="S107" s="2" t="n"/>
      <c r="T107" s="2" t="n"/>
      <c r="U107" s="2" t="n"/>
      <c r="V107" s="2" t="n"/>
      <c r="W107" s="2" t="n"/>
      <c r="X107" s="2">
        <f>Q107</f>
        <v/>
      </c>
      <c r="Y107" s="4">
        <f>'QBO Transactions'!$Q109</f>
        <v/>
      </c>
      <c r="Z107" s="2" t="n"/>
      <c r="AA107" s="2" t="n"/>
      <c r="AB107" s="2" t="n"/>
      <c r="AC107" s="2" t="n"/>
      <c r="AD107" s="2" t="n"/>
      <c r="AE107" s="2" t="n"/>
    </row>
    <row r="108" ht="12.75" customHeight="1" s="52">
      <c r="A108" s="2" t="n"/>
      <c r="B108" s="2">
        <f>'QBO Transactions'!$U110</f>
        <v/>
      </c>
      <c r="C108" s="3">
        <f>'QBO Transactions'!$S110</f>
        <v/>
      </c>
      <c r="D108" s="2">
        <f>'QBO Transactions'!$R110</f>
        <v/>
      </c>
      <c r="E108" s="2" t="n"/>
      <c r="F108" s="3">
        <f>'QBO Transactions'!$X110</f>
        <v/>
      </c>
      <c r="G108" s="2" t="n"/>
      <c r="H108" s="2" t="n"/>
      <c r="I108" s="2" t="n"/>
      <c r="J108" s="2" t="n"/>
      <c r="K108" s="2" t="n"/>
      <c r="L108" s="2" t="n"/>
      <c r="M108" s="2" t="n"/>
      <c r="N108" s="2">
        <f>'QBO Transactions'!$Y110</f>
        <v/>
      </c>
      <c r="O108" s="2" t="n"/>
      <c r="P108" s="2" t="n"/>
      <c r="Q108" s="2">
        <f>'QBO Transactions'!$T110</f>
        <v/>
      </c>
      <c r="R108" s="2" t="n"/>
      <c r="S108" s="2" t="n"/>
      <c r="T108" s="2" t="n"/>
      <c r="U108" s="2" t="n"/>
      <c r="V108" s="2" t="n"/>
      <c r="W108" s="2" t="n"/>
      <c r="X108" s="2">
        <f>Q108</f>
        <v/>
      </c>
      <c r="Y108" s="4">
        <f>'QBO Transactions'!$Q110</f>
        <v/>
      </c>
      <c r="Z108" s="2" t="n"/>
      <c r="AA108" s="2" t="n"/>
      <c r="AB108" s="2" t="n"/>
      <c r="AC108" s="2" t="n"/>
      <c r="AD108" s="2" t="n"/>
      <c r="AE108" s="2" t="n"/>
    </row>
    <row r="109" ht="12.75" customHeight="1" s="52">
      <c r="A109" s="2" t="n"/>
      <c r="B109" s="2">
        <f>'QBO Transactions'!$U111</f>
        <v/>
      </c>
      <c r="C109" s="3">
        <f>'QBO Transactions'!$S111</f>
        <v/>
      </c>
      <c r="D109" s="2">
        <f>'QBO Transactions'!$R111</f>
        <v/>
      </c>
      <c r="E109" s="2" t="n"/>
      <c r="F109" s="3">
        <f>'QBO Transactions'!$X111</f>
        <v/>
      </c>
      <c r="G109" s="2" t="n"/>
      <c r="H109" s="2" t="n"/>
      <c r="I109" s="2" t="n"/>
      <c r="J109" s="2" t="n"/>
      <c r="K109" s="2" t="n"/>
      <c r="L109" s="2" t="n"/>
      <c r="M109" s="2" t="n"/>
      <c r="N109" s="2">
        <f>'QBO Transactions'!$Y111</f>
        <v/>
      </c>
      <c r="O109" s="2" t="n"/>
      <c r="P109" s="2" t="n"/>
      <c r="Q109" s="2">
        <f>'QBO Transactions'!$T111</f>
        <v/>
      </c>
      <c r="R109" s="2" t="n"/>
      <c r="S109" s="2" t="n"/>
      <c r="T109" s="2" t="n"/>
      <c r="U109" s="2" t="n"/>
      <c r="V109" s="2" t="n"/>
      <c r="W109" s="2" t="n"/>
      <c r="X109" s="2">
        <f>Q109</f>
        <v/>
      </c>
      <c r="Y109" s="4">
        <f>'QBO Transactions'!$Q111</f>
        <v/>
      </c>
      <c r="Z109" s="2" t="n"/>
      <c r="AA109" s="2" t="n"/>
      <c r="AB109" s="2" t="n"/>
      <c r="AC109" s="2" t="n"/>
      <c r="AD109" s="2" t="n"/>
      <c r="AE109" s="2" t="n"/>
    </row>
    <row r="110" ht="12.75" customHeight="1" s="52">
      <c r="A110" s="2" t="n"/>
      <c r="B110" s="2">
        <f>'QBO Transactions'!$U112</f>
        <v/>
      </c>
      <c r="C110" s="3">
        <f>'QBO Transactions'!$S112</f>
        <v/>
      </c>
      <c r="D110" s="2">
        <f>'QBO Transactions'!$R112</f>
        <v/>
      </c>
      <c r="E110" s="2" t="n"/>
      <c r="F110" s="3">
        <f>'QBO Transactions'!$X112</f>
        <v/>
      </c>
      <c r="G110" s="2" t="n"/>
      <c r="H110" s="2" t="n"/>
      <c r="I110" s="2" t="n"/>
      <c r="J110" s="2" t="n"/>
      <c r="K110" s="2" t="n"/>
      <c r="L110" s="2" t="n"/>
      <c r="M110" s="2" t="n"/>
      <c r="N110" s="2">
        <f>'QBO Transactions'!$Y112</f>
        <v/>
      </c>
      <c r="O110" s="2" t="n"/>
      <c r="P110" s="2" t="n"/>
      <c r="Q110" s="2">
        <f>'QBO Transactions'!$T112</f>
        <v/>
      </c>
      <c r="R110" s="2" t="n"/>
      <c r="S110" s="2" t="n"/>
      <c r="T110" s="2" t="n"/>
      <c r="U110" s="2" t="n"/>
      <c r="V110" s="2" t="n"/>
      <c r="W110" s="2" t="n"/>
      <c r="X110" s="2">
        <f>Q110</f>
        <v/>
      </c>
      <c r="Y110" s="4">
        <f>'QBO Transactions'!$Q112</f>
        <v/>
      </c>
      <c r="Z110" s="2" t="n"/>
      <c r="AA110" s="2" t="n"/>
      <c r="AB110" s="2" t="n"/>
      <c r="AC110" s="2" t="n"/>
      <c r="AD110" s="2" t="n"/>
      <c r="AE110" s="2" t="n"/>
    </row>
    <row r="111" ht="12.75" customHeight="1" s="52">
      <c r="A111" s="2" t="n"/>
      <c r="B111" s="2">
        <f>'QBO Transactions'!$U113</f>
        <v/>
      </c>
      <c r="C111" s="3">
        <f>'QBO Transactions'!$S113</f>
        <v/>
      </c>
      <c r="D111" s="2">
        <f>'QBO Transactions'!$R113</f>
        <v/>
      </c>
      <c r="E111" s="2" t="n"/>
      <c r="F111" s="3">
        <f>'QBO Transactions'!$X113</f>
        <v/>
      </c>
      <c r="G111" s="2" t="n"/>
      <c r="H111" s="2" t="n"/>
      <c r="I111" s="2" t="n"/>
      <c r="J111" s="2" t="n"/>
      <c r="K111" s="2" t="n"/>
      <c r="L111" s="2" t="n"/>
      <c r="M111" s="2" t="n"/>
      <c r="N111" s="2">
        <f>'QBO Transactions'!$Y113</f>
        <v/>
      </c>
      <c r="O111" s="2" t="n"/>
      <c r="P111" s="2" t="n"/>
      <c r="Q111" s="2">
        <f>'QBO Transactions'!$T113</f>
        <v/>
      </c>
      <c r="R111" s="2" t="n"/>
      <c r="S111" s="2" t="n"/>
      <c r="T111" s="2" t="n"/>
      <c r="U111" s="2" t="n"/>
      <c r="V111" s="2" t="n"/>
      <c r="W111" s="2" t="n"/>
      <c r="X111" s="2">
        <f>Q111</f>
        <v/>
      </c>
      <c r="Y111" s="4">
        <f>'QBO Transactions'!$Q113</f>
        <v/>
      </c>
      <c r="Z111" s="2" t="n"/>
      <c r="AA111" s="2" t="n"/>
      <c r="AB111" s="2" t="n"/>
      <c r="AC111" s="2" t="n"/>
      <c r="AD111" s="2" t="n"/>
      <c r="AE111" s="2" t="n"/>
    </row>
    <row r="112" ht="12.75" customHeight="1" s="52">
      <c r="A112" s="2" t="n"/>
      <c r="B112" s="2">
        <f>'QBO Transactions'!$U114</f>
        <v/>
      </c>
      <c r="C112" s="3">
        <f>'QBO Transactions'!$S114</f>
        <v/>
      </c>
      <c r="D112" s="2">
        <f>'QBO Transactions'!$R114</f>
        <v/>
      </c>
      <c r="E112" s="2" t="n"/>
      <c r="F112" s="3">
        <f>'QBO Transactions'!$X114</f>
        <v/>
      </c>
      <c r="G112" s="2" t="n"/>
      <c r="H112" s="2" t="n"/>
      <c r="I112" s="2" t="n"/>
      <c r="J112" s="2" t="n"/>
      <c r="K112" s="2" t="n"/>
      <c r="L112" s="2" t="n"/>
      <c r="M112" s="2" t="n"/>
      <c r="N112" s="2">
        <f>'QBO Transactions'!$Y114</f>
        <v/>
      </c>
      <c r="O112" s="2" t="n"/>
      <c r="P112" s="2" t="n"/>
      <c r="Q112" s="2">
        <f>'QBO Transactions'!$T114</f>
        <v/>
      </c>
      <c r="R112" s="2" t="n"/>
      <c r="S112" s="2" t="n"/>
      <c r="T112" s="2" t="n"/>
      <c r="U112" s="2" t="n"/>
      <c r="V112" s="2" t="n"/>
      <c r="W112" s="2" t="n"/>
      <c r="X112" s="2">
        <f>Q112</f>
        <v/>
      </c>
      <c r="Y112" s="4">
        <f>'QBO Transactions'!$Q114</f>
        <v/>
      </c>
      <c r="Z112" s="2" t="n"/>
      <c r="AA112" s="2" t="n"/>
      <c r="AB112" s="2" t="n"/>
      <c r="AC112" s="2" t="n"/>
      <c r="AD112" s="2" t="n"/>
      <c r="AE112" s="2" t="n"/>
    </row>
    <row r="113" ht="12.75" customHeight="1" s="52">
      <c r="A113" s="2" t="n"/>
      <c r="B113" s="2">
        <f>'QBO Transactions'!$U115</f>
        <v/>
      </c>
      <c r="C113" s="3">
        <f>'QBO Transactions'!$S115</f>
        <v/>
      </c>
      <c r="D113" s="2">
        <f>'QBO Transactions'!$R115</f>
        <v/>
      </c>
      <c r="E113" s="2" t="n"/>
      <c r="F113" s="3">
        <f>'QBO Transactions'!$X115</f>
        <v/>
      </c>
      <c r="G113" s="2" t="n"/>
      <c r="H113" s="2" t="n"/>
      <c r="I113" s="2" t="n"/>
      <c r="J113" s="2" t="n"/>
      <c r="K113" s="2" t="n"/>
      <c r="L113" s="2" t="n"/>
      <c r="M113" s="2" t="n"/>
      <c r="N113" s="2">
        <f>'QBO Transactions'!$Y115</f>
        <v/>
      </c>
      <c r="O113" s="2" t="n"/>
      <c r="P113" s="2" t="n"/>
      <c r="Q113" s="2">
        <f>'QBO Transactions'!$T115</f>
        <v/>
      </c>
      <c r="R113" s="2" t="n"/>
      <c r="S113" s="2" t="n"/>
      <c r="T113" s="2" t="n"/>
      <c r="U113" s="2" t="n"/>
      <c r="V113" s="2" t="n"/>
      <c r="W113" s="2" t="n"/>
      <c r="X113" s="2">
        <f>Q113</f>
        <v/>
      </c>
      <c r="Y113" s="4">
        <f>'QBO Transactions'!$Q115</f>
        <v/>
      </c>
      <c r="Z113" s="2" t="n"/>
      <c r="AA113" s="2" t="n"/>
      <c r="AB113" s="2" t="n"/>
      <c r="AC113" s="2" t="n"/>
      <c r="AD113" s="2" t="n"/>
      <c r="AE113" s="2" t="n"/>
    </row>
    <row r="114" ht="12.75" customHeight="1" s="52">
      <c r="A114" s="2" t="n"/>
      <c r="B114" s="2">
        <f>'QBO Transactions'!$U116</f>
        <v/>
      </c>
      <c r="C114" s="3">
        <f>'QBO Transactions'!$S116</f>
        <v/>
      </c>
      <c r="D114" s="2">
        <f>'QBO Transactions'!$R116</f>
        <v/>
      </c>
      <c r="E114" s="2" t="n"/>
      <c r="F114" s="3">
        <f>'QBO Transactions'!$X116</f>
        <v/>
      </c>
      <c r="G114" s="2" t="n"/>
      <c r="H114" s="2" t="n"/>
      <c r="I114" s="2" t="n"/>
      <c r="J114" s="2" t="n"/>
      <c r="K114" s="2" t="n"/>
      <c r="L114" s="2" t="n"/>
      <c r="M114" s="2" t="n"/>
      <c r="N114" s="2">
        <f>'QBO Transactions'!$Y116</f>
        <v/>
      </c>
      <c r="O114" s="2" t="n"/>
      <c r="P114" s="2" t="n"/>
      <c r="Q114" s="2">
        <f>'QBO Transactions'!$T116</f>
        <v/>
      </c>
      <c r="R114" s="2" t="n"/>
      <c r="S114" s="2" t="n"/>
      <c r="T114" s="2" t="n"/>
      <c r="U114" s="2" t="n"/>
      <c r="V114" s="2" t="n"/>
      <c r="W114" s="2" t="n"/>
      <c r="X114" s="2">
        <f>Q114</f>
        <v/>
      </c>
      <c r="Y114" s="4">
        <f>'QBO Transactions'!$Q116</f>
        <v/>
      </c>
      <c r="Z114" s="2" t="n"/>
      <c r="AA114" s="2" t="n"/>
      <c r="AB114" s="2" t="n"/>
      <c r="AC114" s="2" t="n"/>
      <c r="AD114" s="2" t="n"/>
      <c r="AE114" s="2" t="n"/>
    </row>
    <row r="115" ht="12.75" customHeight="1" s="52">
      <c r="A115" s="2" t="n"/>
      <c r="B115" s="2">
        <f>'QBO Transactions'!$U117</f>
        <v/>
      </c>
      <c r="C115" s="3">
        <f>'QBO Transactions'!$S117</f>
        <v/>
      </c>
      <c r="D115" s="2">
        <f>'QBO Transactions'!$R117</f>
        <v/>
      </c>
      <c r="E115" s="2" t="n"/>
      <c r="F115" s="3">
        <f>'QBO Transactions'!$X117</f>
        <v/>
      </c>
      <c r="G115" s="2" t="n"/>
      <c r="H115" s="2" t="n"/>
      <c r="I115" s="2" t="n"/>
      <c r="J115" s="2" t="n"/>
      <c r="K115" s="2" t="n"/>
      <c r="L115" s="2" t="n"/>
      <c r="M115" s="2" t="n"/>
      <c r="N115" s="2">
        <f>'QBO Transactions'!$Y117</f>
        <v/>
      </c>
      <c r="O115" s="2" t="n"/>
      <c r="P115" s="2" t="n"/>
      <c r="Q115" s="2">
        <f>'QBO Transactions'!$T117</f>
        <v/>
      </c>
      <c r="R115" s="2" t="n"/>
      <c r="S115" s="2" t="n"/>
      <c r="T115" s="2" t="n"/>
      <c r="U115" s="2" t="n"/>
      <c r="V115" s="2" t="n"/>
      <c r="W115" s="2" t="n"/>
      <c r="X115" s="2">
        <f>Q115</f>
        <v/>
      </c>
      <c r="Y115" s="4">
        <f>'QBO Transactions'!$Q117</f>
        <v/>
      </c>
      <c r="Z115" s="2" t="n"/>
      <c r="AA115" s="2" t="n"/>
      <c r="AB115" s="2" t="n"/>
      <c r="AC115" s="2" t="n"/>
      <c r="AD115" s="2" t="n"/>
      <c r="AE115" s="2" t="n"/>
    </row>
    <row r="116" ht="12.75" customHeight="1" s="52">
      <c r="A116" s="2" t="n"/>
      <c r="B116" s="2">
        <f>'QBO Transactions'!$U118</f>
        <v/>
      </c>
      <c r="C116" s="3">
        <f>'QBO Transactions'!$S118</f>
        <v/>
      </c>
      <c r="D116" s="2">
        <f>'QBO Transactions'!$R118</f>
        <v/>
      </c>
      <c r="E116" s="2" t="n"/>
      <c r="F116" s="3">
        <f>'QBO Transactions'!$X118</f>
        <v/>
      </c>
      <c r="G116" s="2" t="n"/>
      <c r="H116" s="2" t="n"/>
      <c r="I116" s="2" t="n"/>
      <c r="J116" s="2" t="n"/>
      <c r="K116" s="2" t="n"/>
      <c r="L116" s="2" t="n"/>
      <c r="M116" s="2" t="n"/>
      <c r="N116" s="2">
        <f>'QBO Transactions'!$Y118</f>
        <v/>
      </c>
      <c r="O116" s="2" t="n"/>
      <c r="P116" s="2" t="n"/>
      <c r="Q116" s="2">
        <f>'QBO Transactions'!$T118</f>
        <v/>
      </c>
      <c r="R116" s="2" t="n"/>
      <c r="S116" s="2" t="n"/>
      <c r="T116" s="2" t="n"/>
      <c r="U116" s="2" t="n"/>
      <c r="V116" s="2" t="n"/>
      <c r="W116" s="2" t="n"/>
      <c r="X116" s="2">
        <f>Q116</f>
        <v/>
      </c>
      <c r="Y116" s="4">
        <f>'QBO Transactions'!$Q118</f>
        <v/>
      </c>
      <c r="Z116" s="2" t="n"/>
      <c r="AA116" s="2" t="n"/>
      <c r="AB116" s="2" t="n"/>
      <c r="AC116" s="2" t="n"/>
      <c r="AD116" s="2" t="n"/>
      <c r="AE116" s="2" t="n"/>
    </row>
    <row r="117" ht="12.75" customHeight="1" s="52">
      <c r="A117" s="2" t="n"/>
      <c r="B117" s="2">
        <f>'QBO Transactions'!$U119</f>
        <v/>
      </c>
      <c r="C117" s="3">
        <f>'QBO Transactions'!$S119</f>
        <v/>
      </c>
      <c r="D117" s="2">
        <f>'QBO Transactions'!$R119</f>
        <v/>
      </c>
      <c r="E117" s="2" t="n"/>
      <c r="F117" s="3">
        <f>'QBO Transactions'!$X119</f>
        <v/>
      </c>
      <c r="G117" s="2" t="n"/>
      <c r="H117" s="2" t="n"/>
      <c r="I117" s="2" t="n"/>
      <c r="J117" s="2" t="n"/>
      <c r="K117" s="2" t="n"/>
      <c r="L117" s="2" t="n"/>
      <c r="M117" s="2" t="n"/>
      <c r="N117" s="2">
        <f>'QBO Transactions'!$Y119</f>
        <v/>
      </c>
      <c r="O117" s="2" t="n"/>
      <c r="P117" s="2" t="n"/>
      <c r="Q117" s="2">
        <f>'QBO Transactions'!$T119</f>
        <v/>
      </c>
      <c r="R117" s="2" t="n"/>
      <c r="S117" s="2" t="n"/>
      <c r="T117" s="2" t="n"/>
      <c r="U117" s="2" t="n"/>
      <c r="V117" s="2" t="n"/>
      <c r="W117" s="2" t="n"/>
      <c r="X117" s="2">
        <f>Q117</f>
        <v/>
      </c>
      <c r="Y117" s="4">
        <f>'QBO Transactions'!$Q119</f>
        <v/>
      </c>
      <c r="Z117" s="2" t="n"/>
      <c r="AA117" s="2" t="n"/>
      <c r="AB117" s="2" t="n"/>
      <c r="AC117" s="2" t="n"/>
      <c r="AD117" s="2" t="n"/>
      <c r="AE117" s="2" t="n"/>
    </row>
    <row r="118" ht="12.75" customHeight="1" s="52">
      <c r="A118" s="2" t="n"/>
      <c r="B118" s="2">
        <f>'QBO Transactions'!$U120</f>
        <v/>
      </c>
      <c r="C118" s="3">
        <f>'QBO Transactions'!$S120</f>
        <v/>
      </c>
      <c r="D118" s="2">
        <f>'QBO Transactions'!$R120</f>
        <v/>
      </c>
      <c r="E118" s="2" t="n"/>
      <c r="F118" s="3">
        <f>'QBO Transactions'!$X120</f>
        <v/>
      </c>
      <c r="G118" s="2" t="n"/>
      <c r="H118" s="2" t="n"/>
      <c r="I118" s="2" t="n"/>
      <c r="J118" s="2" t="n"/>
      <c r="K118" s="2" t="n"/>
      <c r="L118" s="2" t="n"/>
      <c r="M118" s="2" t="n"/>
      <c r="N118" s="2">
        <f>'QBO Transactions'!$Y120</f>
        <v/>
      </c>
      <c r="O118" s="2" t="n"/>
      <c r="P118" s="2" t="n"/>
      <c r="Q118" s="2">
        <f>'QBO Transactions'!$T120</f>
        <v/>
      </c>
      <c r="R118" s="2" t="n"/>
      <c r="S118" s="2" t="n"/>
      <c r="T118" s="2" t="n"/>
      <c r="U118" s="2" t="n"/>
      <c r="V118" s="2" t="n"/>
      <c r="W118" s="2" t="n"/>
      <c r="X118" s="2">
        <f>Q118</f>
        <v/>
      </c>
      <c r="Y118" s="4">
        <f>'QBO Transactions'!$Q120</f>
        <v/>
      </c>
      <c r="Z118" s="2" t="n"/>
      <c r="AA118" s="2" t="n"/>
      <c r="AB118" s="2" t="n"/>
      <c r="AC118" s="2" t="n"/>
      <c r="AD118" s="2" t="n"/>
      <c r="AE118" s="2" t="n"/>
    </row>
    <row r="119" ht="12.75" customHeight="1" s="52">
      <c r="A119" s="2" t="n"/>
      <c r="B119" s="2">
        <f>'QBO Transactions'!$U121</f>
        <v/>
      </c>
      <c r="C119" s="3">
        <f>'QBO Transactions'!$S121</f>
        <v/>
      </c>
      <c r="D119" s="2">
        <f>'QBO Transactions'!$R121</f>
        <v/>
      </c>
      <c r="E119" s="2" t="n"/>
      <c r="F119" s="3">
        <f>'QBO Transactions'!$X121</f>
        <v/>
      </c>
      <c r="G119" s="2" t="n"/>
      <c r="H119" s="2" t="n"/>
      <c r="I119" s="2" t="n"/>
      <c r="J119" s="2" t="n"/>
      <c r="K119" s="2" t="n"/>
      <c r="L119" s="2" t="n"/>
      <c r="M119" s="2" t="n"/>
      <c r="N119" s="2">
        <f>'QBO Transactions'!$Y121</f>
        <v/>
      </c>
      <c r="O119" s="2" t="n"/>
      <c r="P119" s="2" t="n"/>
      <c r="Q119" s="2">
        <f>'QBO Transactions'!$T121</f>
        <v/>
      </c>
      <c r="R119" s="2" t="n"/>
      <c r="S119" s="2" t="n"/>
      <c r="T119" s="2" t="n"/>
      <c r="U119" s="2" t="n"/>
      <c r="V119" s="2" t="n"/>
      <c r="W119" s="2" t="n"/>
      <c r="X119" s="2">
        <f>Q119</f>
        <v/>
      </c>
      <c r="Y119" s="4">
        <f>'QBO Transactions'!$Q121</f>
        <v/>
      </c>
      <c r="Z119" s="2" t="n"/>
      <c r="AA119" s="2" t="n"/>
      <c r="AB119" s="2" t="n"/>
      <c r="AC119" s="2" t="n"/>
      <c r="AD119" s="2" t="n"/>
      <c r="AE119" s="2" t="n"/>
    </row>
    <row r="120" ht="12.75" customHeight="1" s="52">
      <c r="A120" s="2" t="n"/>
      <c r="B120" s="2">
        <f>'QBO Transactions'!$U122</f>
        <v/>
      </c>
      <c r="C120" s="3">
        <f>'QBO Transactions'!$S122</f>
        <v/>
      </c>
      <c r="D120" s="2">
        <f>'QBO Transactions'!$R122</f>
        <v/>
      </c>
      <c r="E120" s="2" t="n"/>
      <c r="F120" s="3">
        <f>'QBO Transactions'!$X122</f>
        <v/>
      </c>
      <c r="G120" s="2" t="n"/>
      <c r="H120" s="2" t="n"/>
      <c r="I120" s="2" t="n"/>
      <c r="J120" s="2" t="n"/>
      <c r="K120" s="2" t="n"/>
      <c r="L120" s="2" t="n"/>
      <c r="M120" s="2" t="n"/>
      <c r="N120" s="2">
        <f>'QBO Transactions'!$Y122</f>
        <v/>
      </c>
      <c r="O120" s="2" t="n"/>
      <c r="P120" s="2" t="n"/>
      <c r="Q120" s="2">
        <f>'QBO Transactions'!$T122</f>
        <v/>
      </c>
      <c r="R120" s="2" t="n"/>
      <c r="S120" s="2" t="n"/>
      <c r="T120" s="2" t="n"/>
      <c r="U120" s="2" t="n"/>
      <c r="V120" s="2" t="n"/>
      <c r="W120" s="2" t="n"/>
      <c r="X120" s="2">
        <f>Q120</f>
        <v/>
      </c>
      <c r="Y120" s="4">
        <f>'QBO Transactions'!$Q122</f>
        <v/>
      </c>
      <c r="Z120" s="2" t="n"/>
      <c r="AA120" s="2" t="n"/>
      <c r="AB120" s="2" t="n"/>
      <c r="AC120" s="2" t="n"/>
      <c r="AD120" s="2" t="n"/>
      <c r="AE120" s="2" t="n"/>
    </row>
    <row r="121" ht="12.75" customHeight="1" s="52">
      <c r="A121" s="2" t="n"/>
      <c r="B121" s="2">
        <f>'QBO Transactions'!$U123</f>
        <v/>
      </c>
      <c r="C121" s="3">
        <f>'QBO Transactions'!$S123</f>
        <v/>
      </c>
      <c r="D121" s="2">
        <f>'QBO Transactions'!$R123</f>
        <v/>
      </c>
      <c r="E121" s="2" t="n"/>
      <c r="F121" s="3">
        <f>'QBO Transactions'!$X123</f>
        <v/>
      </c>
      <c r="G121" s="2" t="n"/>
      <c r="H121" s="2" t="n"/>
      <c r="I121" s="2" t="n"/>
      <c r="J121" s="2" t="n"/>
      <c r="K121" s="2" t="n"/>
      <c r="L121" s="2" t="n"/>
      <c r="M121" s="2" t="n"/>
      <c r="N121" s="2">
        <f>'QBO Transactions'!$Y123</f>
        <v/>
      </c>
      <c r="O121" s="2" t="n"/>
      <c r="P121" s="2" t="n"/>
      <c r="Q121" s="2">
        <f>'QBO Transactions'!$T123</f>
        <v/>
      </c>
      <c r="R121" s="2" t="n"/>
      <c r="S121" s="2" t="n"/>
      <c r="T121" s="2" t="n"/>
      <c r="U121" s="2" t="n"/>
      <c r="V121" s="2" t="n"/>
      <c r="W121" s="2" t="n"/>
      <c r="X121" s="2">
        <f>Q121</f>
        <v/>
      </c>
      <c r="Y121" s="4">
        <f>'QBO Transactions'!$Q123</f>
        <v/>
      </c>
      <c r="Z121" s="2" t="n"/>
      <c r="AA121" s="2" t="n"/>
      <c r="AB121" s="2" t="n"/>
      <c r="AC121" s="2" t="n"/>
      <c r="AD121" s="2" t="n"/>
      <c r="AE121" s="2" t="n"/>
    </row>
    <row r="122" ht="12.75" customHeight="1" s="52">
      <c r="A122" s="2" t="n"/>
      <c r="B122" s="2">
        <f>'QBO Transactions'!$U124</f>
        <v/>
      </c>
      <c r="C122" s="3">
        <f>'QBO Transactions'!$S124</f>
        <v/>
      </c>
      <c r="D122" s="2">
        <f>'QBO Transactions'!$R124</f>
        <v/>
      </c>
      <c r="E122" s="2" t="n"/>
      <c r="F122" s="3">
        <f>'QBO Transactions'!$X124</f>
        <v/>
      </c>
      <c r="G122" s="2" t="n"/>
      <c r="H122" s="2" t="n"/>
      <c r="I122" s="2" t="n"/>
      <c r="J122" s="2" t="n"/>
      <c r="K122" s="2" t="n"/>
      <c r="L122" s="2" t="n"/>
      <c r="M122" s="2" t="n"/>
      <c r="N122" s="2">
        <f>'QBO Transactions'!$Y124</f>
        <v/>
      </c>
      <c r="O122" s="2" t="n"/>
      <c r="P122" s="2" t="n"/>
      <c r="Q122" s="2">
        <f>'QBO Transactions'!$T124</f>
        <v/>
      </c>
      <c r="R122" s="2" t="n"/>
      <c r="S122" s="2" t="n"/>
      <c r="T122" s="2" t="n"/>
      <c r="U122" s="2" t="n"/>
      <c r="V122" s="2" t="n"/>
      <c r="W122" s="2" t="n"/>
      <c r="X122" s="2">
        <f>Q122</f>
        <v/>
      </c>
      <c r="Y122" s="4">
        <f>'QBO Transactions'!$Q124</f>
        <v/>
      </c>
      <c r="Z122" s="2" t="n"/>
      <c r="AA122" s="2" t="n"/>
      <c r="AB122" s="2" t="n"/>
      <c r="AC122" s="2" t="n"/>
      <c r="AD122" s="2" t="n"/>
      <c r="AE122" s="2" t="n"/>
    </row>
    <row r="123" ht="12.75" customHeight="1" s="52">
      <c r="A123" s="2" t="n"/>
      <c r="B123" s="2">
        <f>'QBO Transactions'!$U125</f>
        <v/>
      </c>
      <c r="C123" s="3">
        <f>'QBO Transactions'!$S125</f>
        <v/>
      </c>
      <c r="D123" s="2">
        <f>'QBO Transactions'!$R125</f>
        <v/>
      </c>
      <c r="E123" s="2" t="n"/>
      <c r="F123" s="3">
        <f>'QBO Transactions'!$X125</f>
        <v/>
      </c>
      <c r="G123" s="2" t="n"/>
      <c r="H123" s="2" t="n"/>
      <c r="I123" s="2" t="n"/>
      <c r="J123" s="2" t="n"/>
      <c r="K123" s="2" t="n"/>
      <c r="L123" s="2" t="n"/>
      <c r="M123" s="2" t="n"/>
      <c r="N123" s="2">
        <f>'QBO Transactions'!$Y125</f>
        <v/>
      </c>
      <c r="O123" s="2" t="n"/>
      <c r="P123" s="2" t="n"/>
      <c r="Q123" s="2">
        <f>'QBO Transactions'!$T125</f>
        <v/>
      </c>
      <c r="R123" s="2" t="n"/>
      <c r="S123" s="2" t="n"/>
      <c r="T123" s="2" t="n"/>
      <c r="U123" s="2" t="n"/>
      <c r="V123" s="2" t="n"/>
      <c r="W123" s="2" t="n"/>
      <c r="X123" s="2">
        <f>Q123</f>
        <v/>
      </c>
      <c r="Y123" s="4">
        <f>'QBO Transactions'!$Q125</f>
        <v/>
      </c>
      <c r="Z123" s="2" t="n"/>
      <c r="AA123" s="2" t="n"/>
      <c r="AB123" s="2" t="n"/>
      <c r="AC123" s="2" t="n"/>
      <c r="AD123" s="2" t="n"/>
      <c r="AE123" s="2" t="n"/>
    </row>
    <row r="124" ht="12.75" customHeight="1" s="52">
      <c r="A124" s="2" t="n"/>
      <c r="B124" s="2">
        <f>'QBO Transactions'!$U126</f>
        <v/>
      </c>
      <c r="C124" s="3">
        <f>'QBO Transactions'!$S126</f>
        <v/>
      </c>
      <c r="D124" s="2">
        <f>'QBO Transactions'!$R126</f>
        <v/>
      </c>
      <c r="E124" s="2" t="n"/>
      <c r="F124" s="3">
        <f>'QBO Transactions'!$X126</f>
        <v/>
      </c>
      <c r="G124" s="2" t="n"/>
      <c r="H124" s="2" t="n"/>
      <c r="I124" s="2" t="n"/>
      <c r="J124" s="2" t="n"/>
      <c r="K124" s="2" t="n"/>
      <c r="L124" s="2" t="n"/>
      <c r="M124" s="2" t="n"/>
      <c r="N124" s="2">
        <f>'QBO Transactions'!$Y126</f>
        <v/>
      </c>
      <c r="O124" s="2" t="n"/>
      <c r="P124" s="2" t="n"/>
      <c r="Q124" s="2">
        <f>'QBO Transactions'!$T126</f>
        <v/>
      </c>
      <c r="R124" s="2" t="n"/>
      <c r="S124" s="2" t="n"/>
      <c r="T124" s="2" t="n"/>
      <c r="U124" s="2" t="n"/>
      <c r="V124" s="2" t="n"/>
      <c r="W124" s="2" t="n"/>
      <c r="X124" s="2">
        <f>Q124</f>
        <v/>
      </c>
      <c r="Y124" s="4">
        <f>'QBO Transactions'!$Q126</f>
        <v/>
      </c>
      <c r="Z124" s="2" t="n"/>
      <c r="AA124" s="2" t="n"/>
      <c r="AB124" s="2" t="n"/>
      <c r="AC124" s="2" t="n"/>
      <c r="AD124" s="2" t="n"/>
      <c r="AE124" s="2" t="n"/>
    </row>
    <row r="125" ht="12.75" customHeight="1" s="52">
      <c r="A125" s="2" t="n"/>
      <c r="B125" s="2">
        <f>'QBO Transactions'!$U127</f>
        <v/>
      </c>
      <c r="C125" s="3">
        <f>'QBO Transactions'!$S127</f>
        <v/>
      </c>
      <c r="D125" s="2">
        <f>'QBO Transactions'!$R127</f>
        <v/>
      </c>
      <c r="E125" s="2" t="n"/>
      <c r="F125" s="3">
        <f>'QBO Transactions'!$X127</f>
        <v/>
      </c>
      <c r="G125" s="2" t="n"/>
      <c r="H125" s="2" t="n"/>
      <c r="I125" s="2" t="n"/>
      <c r="J125" s="2" t="n"/>
      <c r="K125" s="2" t="n"/>
      <c r="L125" s="2" t="n"/>
      <c r="M125" s="2" t="n"/>
      <c r="N125" s="2">
        <f>'QBO Transactions'!$Y127</f>
        <v/>
      </c>
      <c r="O125" s="2" t="n"/>
      <c r="P125" s="2" t="n"/>
      <c r="Q125" s="2">
        <f>'QBO Transactions'!$T127</f>
        <v/>
      </c>
      <c r="R125" s="2" t="n"/>
      <c r="S125" s="2" t="n"/>
      <c r="T125" s="2" t="n"/>
      <c r="U125" s="2" t="n"/>
      <c r="V125" s="2" t="n"/>
      <c r="W125" s="2" t="n"/>
      <c r="X125" s="2">
        <f>Q125</f>
        <v/>
      </c>
      <c r="Y125" s="4">
        <f>'QBO Transactions'!$Q127</f>
        <v/>
      </c>
      <c r="Z125" s="2" t="n"/>
      <c r="AA125" s="2" t="n"/>
      <c r="AB125" s="2" t="n"/>
      <c r="AC125" s="2" t="n"/>
      <c r="AD125" s="2" t="n"/>
      <c r="AE125" s="2" t="n"/>
    </row>
    <row r="126" ht="12.75" customHeight="1" s="52">
      <c r="A126" s="2" t="n"/>
      <c r="B126" s="2">
        <f>'QBO Transactions'!$U128</f>
        <v/>
      </c>
      <c r="C126" s="3">
        <f>'QBO Transactions'!$S128</f>
        <v/>
      </c>
      <c r="D126" s="2">
        <f>'QBO Transactions'!$R128</f>
        <v/>
      </c>
      <c r="E126" s="2" t="n"/>
      <c r="F126" s="3">
        <f>'QBO Transactions'!$X128</f>
        <v/>
      </c>
      <c r="G126" s="2" t="n"/>
      <c r="H126" s="2" t="n"/>
      <c r="I126" s="2" t="n"/>
      <c r="J126" s="2" t="n"/>
      <c r="K126" s="2" t="n"/>
      <c r="L126" s="2" t="n"/>
      <c r="M126" s="2" t="n"/>
      <c r="N126" s="2">
        <f>'QBO Transactions'!$Y128</f>
        <v/>
      </c>
      <c r="O126" s="2" t="n"/>
      <c r="P126" s="2" t="n"/>
      <c r="Q126" s="2">
        <f>'QBO Transactions'!$T128</f>
        <v/>
      </c>
      <c r="R126" s="2" t="n"/>
      <c r="S126" s="2" t="n"/>
      <c r="T126" s="2" t="n"/>
      <c r="U126" s="2" t="n"/>
      <c r="V126" s="2" t="n"/>
      <c r="W126" s="2" t="n"/>
      <c r="X126" s="2">
        <f>Q126</f>
        <v/>
      </c>
      <c r="Y126" s="4">
        <f>'QBO Transactions'!$Q128</f>
        <v/>
      </c>
      <c r="Z126" s="2" t="n"/>
      <c r="AA126" s="2" t="n"/>
      <c r="AB126" s="2" t="n"/>
      <c r="AC126" s="2" t="n"/>
      <c r="AD126" s="2" t="n"/>
      <c r="AE126" s="2" t="n"/>
    </row>
    <row r="127" ht="12.75" customHeight="1" s="52">
      <c r="A127" s="2" t="n"/>
      <c r="B127" s="2">
        <f>'QBO Transactions'!$U129</f>
        <v/>
      </c>
      <c r="C127" s="3">
        <f>'QBO Transactions'!$S129</f>
        <v/>
      </c>
      <c r="D127" s="2">
        <f>'QBO Transactions'!$R129</f>
        <v/>
      </c>
      <c r="E127" s="2" t="n"/>
      <c r="F127" s="3">
        <f>'QBO Transactions'!$X129</f>
        <v/>
      </c>
      <c r="G127" s="2" t="n"/>
      <c r="H127" s="2" t="n"/>
      <c r="I127" s="2" t="n"/>
      <c r="J127" s="2" t="n"/>
      <c r="K127" s="2" t="n"/>
      <c r="L127" s="2" t="n"/>
      <c r="M127" s="2" t="n"/>
      <c r="N127" s="2">
        <f>'QBO Transactions'!$Y129</f>
        <v/>
      </c>
      <c r="O127" s="2" t="n"/>
      <c r="P127" s="2" t="n"/>
      <c r="Q127" s="2">
        <f>'QBO Transactions'!$T129</f>
        <v/>
      </c>
      <c r="R127" s="2" t="n"/>
      <c r="S127" s="2" t="n"/>
      <c r="T127" s="2" t="n"/>
      <c r="U127" s="2" t="n"/>
      <c r="V127" s="2" t="n"/>
      <c r="W127" s="2" t="n"/>
      <c r="X127" s="2">
        <f>Q127</f>
        <v/>
      </c>
      <c r="Y127" s="4">
        <f>'QBO Transactions'!$Q129</f>
        <v/>
      </c>
      <c r="Z127" s="2" t="n"/>
      <c r="AA127" s="2" t="n"/>
      <c r="AB127" s="2" t="n"/>
      <c r="AC127" s="2" t="n"/>
      <c r="AD127" s="2" t="n"/>
      <c r="AE127" s="2" t="n"/>
    </row>
    <row r="128" ht="12.75" customHeight="1" s="52">
      <c r="A128" s="2" t="n"/>
      <c r="B128" s="2">
        <f>'QBO Transactions'!$U130</f>
        <v/>
      </c>
      <c r="C128" s="3">
        <f>'QBO Transactions'!$S130</f>
        <v/>
      </c>
      <c r="D128" s="2">
        <f>'QBO Transactions'!$R130</f>
        <v/>
      </c>
      <c r="E128" s="2" t="n"/>
      <c r="F128" s="3">
        <f>'QBO Transactions'!$X130</f>
        <v/>
      </c>
      <c r="G128" s="2" t="n"/>
      <c r="H128" s="2" t="n"/>
      <c r="I128" s="2" t="n"/>
      <c r="J128" s="2" t="n"/>
      <c r="K128" s="2" t="n"/>
      <c r="L128" s="2" t="n"/>
      <c r="M128" s="2" t="n"/>
      <c r="N128" s="2">
        <f>'QBO Transactions'!$Y130</f>
        <v/>
      </c>
      <c r="O128" s="2" t="n"/>
      <c r="P128" s="2" t="n"/>
      <c r="Q128" s="2">
        <f>'QBO Transactions'!$T130</f>
        <v/>
      </c>
      <c r="R128" s="2" t="n"/>
      <c r="S128" s="2" t="n"/>
      <c r="T128" s="2" t="n"/>
      <c r="U128" s="2" t="n"/>
      <c r="V128" s="2" t="n"/>
      <c r="W128" s="2" t="n"/>
      <c r="X128" s="2">
        <f>Q128</f>
        <v/>
      </c>
      <c r="Y128" s="4">
        <f>'QBO Transactions'!$Q130</f>
        <v/>
      </c>
      <c r="Z128" s="2" t="n"/>
      <c r="AA128" s="2" t="n"/>
      <c r="AB128" s="2" t="n"/>
      <c r="AC128" s="2" t="n"/>
      <c r="AD128" s="2" t="n"/>
      <c r="AE128" s="2" t="n"/>
    </row>
    <row r="129" ht="12.75" customHeight="1" s="52">
      <c r="A129" s="2" t="n"/>
      <c r="B129" s="2">
        <f>'QBO Transactions'!$U131</f>
        <v/>
      </c>
      <c r="C129" s="3">
        <f>'QBO Transactions'!$S131</f>
        <v/>
      </c>
      <c r="D129" s="2">
        <f>'QBO Transactions'!$R131</f>
        <v/>
      </c>
      <c r="E129" s="2" t="n"/>
      <c r="F129" s="3">
        <f>'QBO Transactions'!$X131</f>
        <v/>
      </c>
      <c r="G129" s="2" t="n"/>
      <c r="H129" s="2" t="n"/>
      <c r="I129" s="2" t="n"/>
      <c r="J129" s="2" t="n"/>
      <c r="K129" s="2" t="n"/>
      <c r="L129" s="2" t="n"/>
      <c r="M129" s="2" t="n"/>
      <c r="N129" s="2">
        <f>'QBO Transactions'!$Y131</f>
        <v/>
      </c>
      <c r="O129" s="2" t="n"/>
      <c r="P129" s="2" t="n"/>
      <c r="Q129" s="2">
        <f>'QBO Transactions'!$T131</f>
        <v/>
      </c>
      <c r="R129" s="2" t="n"/>
      <c r="S129" s="2" t="n"/>
      <c r="T129" s="2" t="n"/>
      <c r="U129" s="2" t="n"/>
      <c r="V129" s="2" t="n"/>
      <c r="W129" s="2" t="n"/>
      <c r="X129" s="2">
        <f>Q129</f>
        <v/>
      </c>
      <c r="Y129" s="4">
        <f>'QBO Transactions'!$Q131</f>
        <v/>
      </c>
      <c r="Z129" s="2" t="n"/>
      <c r="AA129" s="2" t="n"/>
      <c r="AB129" s="2" t="n"/>
      <c r="AC129" s="2" t="n"/>
      <c r="AD129" s="2" t="n"/>
      <c r="AE129" s="2" t="n"/>
    </row>
    <row r="130" ht="12.75" customHeight="1" s="52">
      <c r="A130" s="2" t="n"/>
      <c r="B130" s="2">
        <f>'QBO Transactions'!$U132</f>
        <v/>
      </c>
      <c r="C130" s="3">
        <f>'QBO Transactions'!$S132</f>
        <v/>
      </c>
      <c r="D130" s="2">
        <f>'QBO Transactions'!$R132</f>
        <v/>
      </c>
      <c r="E130" s="2" t="n"/>
      <c r="F130" s="3">
        <f>'QBO Transactions'!$X132</f>
        <v/>
      </c>
      <c r="G130" s="2" t="n"/>
      <c r="H130" s="2" t="n"/>
      <c r="I130" s="2" t="n"/>
      <c r="J130" s="2" t="n"/>
      <c r="K130" s="2" t="n"/>
      <c r="L130" s="2" t="n"/>
      <c r="M130" s="2" t="n"/>
      <c r="N130" s="2">
        <f>'QBO Transactions'!$Y132</f>
        <v/>
      </c>
      <c r="O130" s="2" t="n"/>
      <c r="P130" s="2" t="n"/>
      <c r="Q130" s="2">
        <f>'QBO Transactions'!$T132</f>
        <v/>
      </c>
      <c r="R130" s="2" t="n"/>
      <c r="S130" s="2" t="n"/>
      <c r="T130" s="2" t="n"/>
      <c r="U130" s="2" t="n"/>
      <c r="V130" s="2" t="n"/>
      <c r="W130" s="2" t="n"/>
      <c r="X130" s="2">
        <f>Q130</f>
        <v/>
      </c>
      <c r="Y130" s="4">
        <f>'QBO Transactions'!$Q132</f>
        <v/>
      </c>
      <c r="Z130" s="2" t="n"/>
      <c r="AA130" s="2" t="n"/>
      <c r="AB130" s="2" t="n"/>
      <c r="AC130" s="2" t="n"/>
      <c r="AD130" s="2" t="n"/>
      <c r="AE130" s="2" t="n"/>
    </row>
    <row r="131" ht="12.75" customHeight="1" s="52">
      <c r="A131" s="2" t="n"/>
      <c r="B131" s="2">
        <f>'QBO Transactions'!$U133</f>
        <v/>
      </c>
      <c r="C131" s="3">
        <f>'QBO Transactions'!$S133</f>
        <v/>
      </c>
      <c r="D131" s="2">
        <f>'QBO Transactions'!$R133</f>
        <v/>
      </c>
      <c r="E131" s="2" t="n"/>
      <c r="F131" s="3">
        <f>'QBO Transactions'!$X133</f>
        <v/>
      </c>
      <c r="G131" s="2" t="n"/>
      <c r="H131" s="2" t="n"/>
      <c r="I131" s="2" t="n"/>
      <c r="J131" s="2" t="n"/>
      <c r="K131" s="2" t="n"/>
      <c r="L131" s="2" t="n"/>
      <c r="M131" s="2" t="n"/>
      <c r="N131" s="2">
        <f>'QBO Transactions'!$Y133</f>
        <v/>
      </c>
      <c r="O131" s="2" t="n"/>
      <c r="P131" s="2" t="n"/>
      <c r="Q131" s="2">
        <f>'QBO Transactions'!$T133</f>
        <v/>
      </c>
      <c r="R131" s="2" t="n"/>
      <c r="S131" s="2" t="n"/>
      <c r="T131" s="2" t="n"/>
      <c r="U131" s="2" t="n"/>
      <c r="V131" s="2" t="n"/>
      <c r="W131" s="2" t="n"/>
      <c r="X131" s="2">
        <f>Q131</f>
        <v/>
      </c>
      <c r="Y131" s="4">
        <f>'QBO Transactions'!$Q133</f>
        <v/>
      </c>
      <c r="Z131" s="2" t="n"/>
      <c r="AA131" s="2" t="n"/>
      <c r="AB131" s="2" t="n"/>
      <c r="AC131" s="2" t="n"/>
      <c r="AD131" s="2" t="n"/>
      <c r="AE131" s="2" t="n"/>
    </row>
    <row r="132" ht="12.75" customHeight="1" s="52">
      <c r="A132" s="2" t="n"/>
      <c r="B132" s="2">
        <f>'QBO Transactions'!$U134</f>
        <v/>
      </c>
      <c r="C132" s="3">
        <f>'QBO Transactions'!$S134</f>
        <v/>
      </c>
      <c r="D132" s="2">
        <f>'QBO Transactions'!$R134</f>
        <v/>
      </c>
      <c r="E132" s="2" t="n"/>
      <c r="F132" s="3">
        <f>'QBO Transactions'!$X134</f>
        <v/>
      </c>
      <c r="G132" s="2" t="n"/>
      <c r="H132" s="2" t="n"/>
      <c r="I132" s="2" t="n"/>
      <c r="J132" s="2" t="n"/>
      <c r="K132" s="2" t="n"/>
      <c r="L132" s="2" t="n"/>
      <c r="M132" s="2" t="n"/>
      <c r="N132" s="2">
        <f>'QBO Transactions'!$Y134</f>
        <v/>
      </c>
      <c r="O132" s="2" t="n"/>
      <c r="P132" s="2" t="n"/>
      <c r="Q132" s="2">
        <f>'QBO Transactions'!$T134</f>
        <v/>
      </c>
      <c r="R132" s="2" t="n"/>
      <c r="S132" s="2" t="n"/>
      <c r="T132" s="2" t="n"/>
      <c r="U132" s="2" t="n"/>
      <c r="V132" s="2" t="n"/>
      <c r="W132" s="2" t="n"/>
      <c r="X132" s="2">
        <f>Q132</f>
        <v/>
      </c>
      <c r="Y132" s="4">
        <f>'QBO Transactions'!$Q134</f>
        <v/>
      </c>
      <c r="Z132" s="2" t="n"/>
      <c r="AA132" s="2" t="n"/>
      <c r="AB132" s="2" t="n"/>
      <c r="AC132" s="2" t="n"/>
      <c r="AD132" s="2" t="n"/>
      <c r="AE132" s="2" t="n"/>
    </row>
    <row r="133" ht="12.75" customHeight="1" s="52">
      <c r="A133" s="2" t="n"/>
      <c r="B133" s="2">
        <f>'QBO Transactions'!$U135</f>
        <v/>
      </c>
      <c r="C133" s="3">
        <f>'QBO Transactions'!$S135</f>
        <v/>
      </c>
      <c r="D133" s="2">
        <f>'QBO Transactions'!$R135</f>
        <v/>
      </c>
      <c r="E133" s="2" t="n"/>
      <c r="F133" s="3">
        <f>'QBO Transactions'!$X135</f>
        <v/>
      </c>
      <c r="G133" s="2" t="n"/>
      <c r="H133" s="2" t="n"/>
      <c r="I133" s="2" t="n"/>
      <c r="J133" s="2" t="n"/>
      <c r="K133" s="2" t="n"/>
      <c r="L133" s="2" t="n"/>
      <c r="M133" s="2" t="n"/>
      <c r="N133" s="2">
        <f>'QBO Transactions'!$Y135</f>
        <v/>
      </c>
      <c r="O133" s="2" t="n"/>
      <c r="P133" s="2" t="n"/>
      <c r="Q133" s="2">
        <f>'QBO Transactions'!$T135</f>
        <v/>
      </c>
      <c r="R133" s="2" t="n"/>
      <c r="S133" s="2" t="n"/>
      <c r="T133" s="2" t="n"/>
      <c r="U133" s="2" t="n"/>
      <c r="V133" s="2" t="n"/>
      <c r="W133" s="2" t="n"/>
      <c r="X133" s="2">
        <f>Q133</f>
        <v/>
      </c>
      <c r="Y133" s="4">
        <f>'QBO Transactions'!$Q135</f>
        <v/>
      </c>
      <c r="Z133" s="2" t="n"/>
      <c r="AA133" s="2" t="n"/>
      <c r="AB133" s="2" t="n"/>
      <c r="AC133" s="2" t="n"/>
      <c r="AD133" s="2" t="n"/>
      <c r="AE133" s="2" t="n"/>
    </row>
    <row r="134" ht="12.75" customHeight="1" s="52">
      <c r="A134" s="2" t="n"/>
      <c r="B134" s="2">
        <f>'QBO Transactions'!$U136</f>
        <v/>
      </c>
      <c r="C134" s="3">
        <f>'QBO Transactions'!$S136</f>
        <v/>
      </c>
      <c r="D134" s="2">
        <f>'QBO Transactions'!$R136</f>
        <v/>
      </c>
      <c r="E134" s="2" t="n"/>
      <c r="F134" s="3">
        <f>'QBO Transactions'!$X136</f>
        <v/>
      </c>
      <c r="G134" s="2" t="n"/>
      <c r="H134" s="2" t="n"/>
      <c r="I134" s="2" t="n"/>
      <c r="J134" s="2" t="n"/>
      <c r="K134" s="2" t="n"/>
      <c r="L134" s="2" t="n"/>
      <c r="M134" s="2" t="n"/>
      <c r="N134" s="2">
        <f>'QBO Transactions'!$Y136</f>
        <v/>
      </c>
      <c r="O134" s="2" t="n"/>
      <c r="P134" s="2" t="n"/>
      <c r="Q134" s="2">
        <f>'QBO Transactions'!$T136</f>
        <v/>
      </c>
      <c r="R134" s="2" t="n"/>
      <c r="S134" s="2" t="n"/>
      <c r="T134" s="2" t="n"/>
      <c r="U134" s="2" t="n"/>
      <c r="V134" s="2" t="n"/>
      <c r="W134" s="2" t="n"/>
      <c r="X134" s="2">
        <f>Q134</f>
        <v/>
      </c>
      <c r="Y134" s="4">
        <f>'QBO Transactions'!$Q136</f>
        <v/>
      </c>
      <c r="Z134" s="2" t="n"/>
      <c r="AA134" s="2" t="n"/>
      <c r="AB134" s="2" t="n"/>
      <c r="AC134" s="2" t="n"/>
      <c r="AD134" s="2" t="n"/>
      <c r="AE134" s="2" t="n"/>
    </row>
    <row r="135" ht="12.75" customHeight="1" s="52">
      <c r="A135" s="2" t="n"/>
      <c r="B135" s="2">
        <f>'QBO Transactions'!$U137</f>
        <v/>
      </c>
      <c r="C135" s="3">
        <f>'QBO Transactions'!$S137</f>
        <v/>
      </c>
      <c r="D135" s="2">
        <f>'QBO Transactions'!$R137</f>
        <v/>
      </c>
      <c r="E135" s="2" t="n"/>
      <c r="F135" s="3">
        <f>'QBO Transactions'!$X137</f>
        <v/>
      </c>
      <c r="G135" s="2" t="n"/>
      <c r="H135" s="2" t="n"/>
      <c r="I135" s="2" t="n"/>
      <c r="J135" s="2" t="n"/>
      <c r="K135" s="2" t="n"/>
      <c r="L135" s="2" t="n"/>
      <c r="M135" s="2" t="n"/>
      <c r="N135" s="2">
        <f>'QBO Transactions'!$Y137</f>
        <v/>
      </c>
      <c r="O135" s="2" t="n"/>
      <c r="P135" s="2" t="n"/>
      <c r="Q135" s="2">
        <f>'QBO Transactions'!$T137</f>
        <v/>
      </c>
      <c r="R135" s="2" t="n"/>
      <c r="S135" s="2" t="n"/>
      <c r="T135" s="2" t="n"/>
      <c r="U135" s="2" t="n"/>
      <c r="V135" s="2" t="n"/>
      <c r="W135" s="2" t="n"/>
      <c r="X135" s="2">
        <f>Q135</f>
        <v/>
      </c>
      <c r="Y135" s="4">
        <f>'QBO Transactions'!$Q137</f>
        <v/>
      </c>
      <c r="Z135" s="2" t="n"/>
      <c r="AA135" s="2" t="n"/>
      <c r="AB135" s="2" t="n"/>
      <c r="AC135" s="2" t="n"/>
      <c r="AD135" s="2" t="n"/>
      <c r="AE135" s="2" t="n"/>
    </row>
    <row r="136" ht="12.75" customHeight="1" s="52">
      <c r="A136" s="2" t="n"/>
      <c r="B136" s="2">
        <f>'QBO Transactions'!$U138</f>
        <v/>
      </c>
      <c r="C136" s="3">
        <f>'QBO Transactions'!$S138</f>
        <v/>
      </c>
      <c r="D136" s="2">
        <f>'QBO Transactions'!$R138</f>
        <v/>
      </c>
      <c r="E136" s="2" t="n"/>
      <c r="F136" s="3">
        <f>'QBO Transactions'!$X138</f>
        <v/>
      </c>
      <c r="G136" s="2" t="n"/>
      <c r="H136" s="2" t="n"/>
      <c r="I136" s="2" t="n"/>
      <c r="J136" s="2" t="n"/>
      <c r="K136" s="2" t="n"/>
      <c r="L136" s="2" t="n"/>
      <c r="M136" s="2" t="n"/>
      <c r="N136" s="2">
        <f>'QBO Transactions'!$Y138</f>
        <v/>
      </c>
      <c r="O136" s="2" t="n"/>
      <c r="P136" s="2" t="n"/>
      <c r="Q136" s="2">
        <f>'QBO Transactions'!$T138</f>
        <v/>
      </c>
      <c r="R136" s="2" t="n"/>
      <c r="S136" s="2" t="n"/>
      <c r="T136" s="2" t="n"/>
      <c r="U136" s="2" t="n"/>
      <c r="V136" s="2" t="n"/>
      <c r="W136" s="2" t="n"/>
      <c r="X136" s="2">
        <f>Q136</f>
        <v/>
      </c>
      <c r="Y136" s="4">
        <f>'QBO Transactions'!$Q138</f>
        <v/>
      </c>
      <c r="Z136" s="2" t="n"/>
      <c r="AA136" s="2" t="n"/>
      <c r="AB136" s="2" t="n"/>
      <c r="AC136" s="2" t="n"/>
      <c r="AD136" s="2" t="n"/>
      <c r="AE136" s="2" t="n"/>
    </row>
    <row r="137" ht="12.75" customHeight="1" s="52">
      <c r="A137" s="2" t="n"/>
      <c r="B137" s="2">
        <f>'QBO Transactions'!$U139</f>
        <v/>
      </c>
      <c r="C137" s="3">
        <f>'QBO Transactions'!$S139</f>
        <v/>
      </c>
      <c r="D137" s="2">
        <f>'QBO Transactions'!$R139</f>
        <v/>
      </c>
      <c r="E137" s="2" t="n"/>
      <c r="F137" s="3">
        <f>'QBO Transactions'!$X139</f>
        <v/>
      </c>
      <c r="G137" s="2" t="n"/>
      <c r="H137" s="2" t="n"/>
      <c r="I137" s="2" t="n"/>
      <c r="J137" s="2" t="n"/>
      <c r="K137" s="2" t="n"/>
      <c r="L137" s="2" t="n"/>
      <c r="M137" s="2" t="n"/>
      <c r="N137" s="2">
        <f>'QBO Transactions'!$Y139</f>
        <v/>
      </c>
      <c r="O137" s="2" t="n"/>
      <c r="P137" s="2" t="n"/>
      <c r="Q137" s="2">
        <f>'QBO Transactions'!$T139</f>
        <v/>
      </c>
      <c r="R137" s="2" t="n"/>
      <c r="S137" s="2" t="n"/>
      <c r="T137" s="2" t="n"/>
      <c r="U137" s="2" t="n"/>
      <c r="V137" s="2" t="n"/>
      <c r="W137" s="2" t="n"/>
      <c r="X137" s="2">
        <f>Q137</f>
        <v/>
      </c>
      <c r="Y137" s="4">
        <f>'QBO Transactions'!$Q139</f>
        <v/>
      </c>
      <c r="Z137" s="2" t="n"/>
      <c r="AA137" s="2" t="n"/>
      <c r="AB137" s="2" t="n"/>
      <c r="AC137" s="2" t="n"/>
      <c r="AD137" s="2" t="n"/>
      <c r="AE137" s="2" t="n"/>
    </row>
    <row r="138" ht="12.75" customHeight="1" s="52">
      <c r="A138" s="2" t="n"/>
      <c r="B138" s="2">
        <f>'QBO Transactions'!$U140</f>
        <v/>
      </c>
      <c r="C138" s="3">
        <f>'QBO Transactions'!$S140</f>
        <v/>
      </c>
      <c r="D138" s="2">
        <f>'QBO Transactions'!$R140</f>
        <v/>
      </c>
      <c r="E138" s="2" t="n"/>
      <c r="F138" s="3">
        <f>'QBO Transactions'!$X140</f>
        <v/>
      </c>
      <c r="G138" s="2" t="n"/>
      <c r="H138" s="2" t="n"/>
      <c r="I138" s="2" t="n"/>
      <c r="J138" s="2" t="n"/>
      <c r="K138" s="2" t="n"/>
      <c r="L138" s="2" t="n"/>
      <c r="M138" s="2" t="n"/>
      <c r="N138" s="2">
        <f>'QBO Transactions'!$Y140</f>
        <v/>
      </c>
      <c r="O138" s="2" t="n"/>
      <c r="P138" s="2" t="n"/>
      <c r="Q138" s="2">
        <f>'QBO Transactions'!$T140</f>
        <v/>
      </c>
      <c r="R138" s="2" t="n"/>
      <c r="S138" s="2" t="n"/>
      <c r="T138" s="2" t="n"/>
      <c r="U138" s="2" t="n"/>
      <c r="V138" s="2" t="n"/>
      <c r="W138" s="2" t="n"/>
      <c r="X138" s="2">
        <f>Q138</f>
        <v/>
      </c>
      <c r="Y138" s="4">
        <f>'QBO Transactions'!$Q140</f>
        <v/>
      </c>
      <c r="Z138" s="2" t="n"/>
      <c r="AA138" s="2" t="n"/>
      <c r="AB138" s="2" t="n"/>
      <c r="AC138" s="2" t="n"/>
      <c r="AD138" s="2" t="n"/>
      <c r="AE138" s="2" t="n"/>
    </row>
    <row r="139" ht="12.75" customHeight="1" s="52">
      <c r="A139" s="2" t="n"/>
      <c r="B139" s="2">
        <f>'QBO Transactions'!$U141</f>
        <v/>
      </c>
      <c r="C139" s="3">
        <f>'QBO Transactions'!$S141</f>
        <v/>
      </c>
      <c r="D139" s="2">
        <f>'QBO Transactions'!$R141</f>
        <v/>
      </c>
      <c r="E139" s="2" t="n"/>
      <c r="F139" s="3">
        <f>'QBO Transactions'!$X141</f>
        <v/>
      </c>
      <c r="G139" s="2" t="n"/>
      <c r="H139" s="2" t="n"/>
      <c r="I139" s="2" t="n"/>
      <c r="J139" s="2" t="n"/>
      <c r="K139" s="2" t="n"/>
      <c r="L139" s="2" t="n"/>
      <c r="M139" s="2" t="n"/>
      <c r="N139" s="2">
        <f>'QBO Transactions'!$Y141</f>
        <v/>
      </c>
      <c r="O139" s="2" t="n"/>
      <c r="P139" s="2" t="n"/>
      <c r="Q139" s="2">
        <f>'QBO Transactions'!$T141</f>
        <v/>
      </c>
      <c r="R139" s="2" t="n"/>
      <c r="S139" s="2" t="n"/>
      <c r="T139" s="2" t="n"/>
      <c r="U139" s="2" t="n"/>
      <c r="V139" s="2" t="n"/>
      <c r="W139" s="2" t="n"/>
      <c r="X139" s="2">
        <f>Q139</f>
        <v/>
      </c>
      <c r="Y139" s="4">
        <f>'QBO Transactions'!$Q141</f>
        <v/>
      </c>
      <c r="Z139" s="2" t="n"/>
      <c r="AA139" s="2" t="n"/>
      <c r="AB139" s="2" t="n"/>
      <c r="AC139" s="2" t="n"/>
      <c r="AD139" s="2" t="n"/>
      <c r="AE139" s="2" t="n"/>
    </row>
    <row r="140" ht="12.75" customHeight="1" s="52">
      <c r="A140" s="2" t="n"/>
      <c r="B140" s="2">
        <f>'QBO Transactions'!$U142</f>
        <v/>
      </c>
      <c r="C140" s="3">
        <f>'QBO Transactions'!$S142</f>
        <v/>
      </c>
      <c r="D140" s="2">
        <f>'QBO Transactions'!$R142</f>
        <v/>
      </c>
      <c r="E140" s="2" t="n"/>
      <c r="F140" s="3">
        <f>'QBO Transactions'!$X142</f>
        <v/>
      </c>
      <c r="G140" s="2" t="n"/>
      <c r="H140" s="2" t="n"/>
      <c r="I140" s="2" t="n"/>
      <c r="J140" s="2" t="n"/>
      <c r="K140" s="2" t="n"/>
      <c r="L140" s="2" t="n"/>
      <c r="M140" s="2" t="n"/>
      <c r="N140" s="2">
        <f>'QBO Transactions'!$Y142</f>
        <v/>
      </c>
      <c r="O140" s="2" t="n"/>
      <c r="P140" s="2" t="n"/>
      <c r="Q140" s="2">
        <f>'QBO Transactions'!$T142</f>
        <v/>
      </c>
      <c r="R140" s="2" t="n"/>
      <c r="S140" s="2" t="n"/>
      <c r="T140" s="2" t="n"/>
      <c r="U140" s="2" t="n"/>
      <c r="V140" s="2" t="n"/>
      <c r="W140" s="2" t="n"/>
      <c r="X140" s="2">
        <f>Q140</f>
        <v/>
      </c>
      <c r="Y140" s="4">
        <f>'QBO Transactions'!$Q142</f>
        <v/>
      </c>
      <c r="Z140" s="2" t="n"/>
      <c r="AA140" s="2" t="n"/>
      <c r="AB140" s="2" t="n"/>
      <c r="AC140" s="2" t="n"/>
      <c r="AD140" s="2" t="n"/>
      <c r="AE140" s="2" t="n"/>
    </row>
    <row r="141" ht="12.75" customHeight="1" s="52">
      <c r="A141" s="2" t="n"/>
      <c r="B141" s="2">
        <f>'QBO Transactions'!$U143</f>
        <v/>
      </c>
      <c r="C141" s="3">
        <f>'QBO Transactions'!$S143</f>
        <v/>
      </c>
      <c r="D141" s="2">
        <f>'QBO Transactions'!$R143</f>
        <v/>
      </c>
      <c r="E141" s="2" t="n"/>
      <c r="F141" s="3">
        <f>'QBO Transactions'!$X143</f>
        <v/>
      </c>
      <c r="G141" s="2" t="n"/>
      <c r="H141" s="2" t="n"/>
      <c r="I141" s="2" t="n"/>
      <c r="J141" s="2" t="n"/>
      <c r="K141" s="2" t="n"/>
      <c r="L141" s="2" t="n"/>
      <c r="M141" s="2" t="n"/>
      <c r="N141" s="2">
        <f>'QBO Transactions'!$Y143</f>
        <v/>
      </c>
      <c r="O141" s="2" t="n"/>
      <c r="P141" s="2" t="n"/>
      <c r="Q141" s="2">
        <f>'QBO Transactions'!$T143</f>
        <v/>
      </c>
      <c r="R141" s="2" t="n"/>
      <c r="S141" s="2" t="n"/>
      <c r="T141" s="2" t="n"/>
      <c r="U141" s="2" t="n"/>
      <c r="V141" s="2" t="n"/>
      <c r="W141" s="2" t="n"/>
      <c r="X141" s="2">
        <f>Q141</f>
        <v/>
      </c>
      <c r="Y141" s="4">
        <f>'QBO Transactions'!$Q143</f>
        <v/>
      </c>
      <c r="Z141" s="2" t="n"/>
      <c r="AA141" s="2" t="n"/>
      <c r="AB141" s="2" t="n"/>
      <c r="AC141" s="2" t="n"/>
      <c r="AD141" s="2" t="n"/>
      <c r="AE141" s="2" t="n"/>
    </row>
    <row r="142" ht="12.75" customHeight="1" s="52">
      <c r="A142" s="2" t="n"/>
      <c r="B142" s="2">
        <f>'QBO Transactions'!$U144</f>
        <v/>
      </c>
      <c r="C142" s="3">
        <f>'QBO Transactions'!$S144</f>
        <v/>
      </c>
      <c r="D142" s="2">
        <f>'QBO Transactions'!$R144</f>
        <v/>
      </c>
      <c r="E142" s="2" t="n"/>
      <c r="F142" s="3">
        <f>'QBO Transactions'!$X144</f>
        <v/>
      </c>
      <c r="G142" s="2" t="n"/>
      <c r="H142" s="2" t="n"/>
      <c r="I142" s="2" t="n"/>
      <c r="J142" s="2" t="n"/>
      <c r="K142" s="2" t="n"/>
      <c r="L142" s="2" t="n"/>
      <c r="M142" s="2" t="n"/>
      <c r="N142" s="2">
        <f>'QBO Transactions'!$Y144</f>
        <v/>
      </c>
      <c r="O142" s="2" t="n"/>
      <c r="P142" s="2" t="n"/>
      <c r="Q142" s="2">
        <f>'QBO Transactions'!$T144</f>
        <v/>
      </c>
      <c r="R142" s="2" t="n"/>
      <c r="S142" s="2" t="n"/>
      <c r="T142" s="2" t="n"/>
      <c r="U142" s="2" t="n"/>
      <c r="V142" s="2" t="n"/>
      <c r="W142" s="2" t="n"/>
      <c r="X142" s="2">
        <f>Q142</f>
        <v/>
      </c>
      <c r="Y142" s="4">
        <f>'QBO Transactions'!$Q144</f>
        <v/>
      </c>
      <c r="Z142" s="2" t="n"/>
      <c r="AA142" s="2" t="n"/>
      <c r="AB142" s="2" t="n"/>
      <c r="AC142" s="2" t="n"/>
      <c r="AD142" s="2" t="n"/>
      <c r="AE142" s="2" t="n"/>
    </row>
    <row r="143" ht="12.75" customHeight="1" s="52">
      <c r="A143" s="2" t="n"/>
      <c r="B143" s="2">
        <f>'QBO Transactions'!$U145</f>
        <v/>
      </c>
      <c r="C143" s="3">
        <f>'QBO Transactions'!$S145</f>
        <v/>
      </c>
      <c r="D143" s="2">
        <f>'QBO Transactions'!$R145</f>
        <v/>
      </c>
      <c r="E143" s="2" t="n"/>
      <c r="F143" s="3">
        <f>'QBO Transactions'!$X145</f>
        <v/>
      </c>
      <c r="G143" s="2" t="n"/>
      <c r="H143" s="2" t="n"/>
      <c r="I143" s="2" t="n"/>
      <c r="J143" s="2" t="n"/>
      <c r="K143" s="2" t="n"/>
      <c r="L143" s="2" t="n"/>
      <c r="M143" s="2" t="n"/>
      <c r="N143" s="2">
        <f>'QBO Transactions'!$Y145</f>
        <v/>
      </c>
      <c r="O143" s="2" t="n"/>
      <c r="P143" s="2" t="n"/>
      <c r="Q143" s="2">
        <f>'QBO Transactions'!$T145</f>
        <v/>
      </c>
      <c r="R143" s="2" t="n"/>
      <c r="S143" s="2" t="n"/>
      <c r="T143" s="2" t="n"/>
      <c r="U143" s="2" t="n"/>
      <c r="V143" s="2" t="n"/>
      <c r="W143" s="2" t="n"/>
      <c r="X143" s="2">
        <f>Q143</f>
        <v/>
      </c>
      <c r="Y143" s="4">
        <f>'QBO Transactions'!$Q145</f>
        <v/>
      </c>
      <c r="Z143" s="2" t="n"/>
      <c r="AA143" s="2" t="n"/>
      <c r="AB143" s="2" t="n"/>
      <c r="AC143" s="2" t="n"/>
      <c r="AD143" s="2" t="n"/>
      <c r="AE143" s="2" t="n"/>
    </row>
    <row r="144" ht="12.75" customHeight="1" s="52">
      <c r="A144" s="2" t="n"/>
      <c r="B144" s="2">
        <f>'QBO Transactions'!$U146</f>
        <v/>
      </c>
      <c r="C144" s="3">
        <f>'QBO Transactions'!$S146</f>
        <v/>
      </c>
      <c r="D144" s="2">
        <f>'QBO Transactions'!$R146</f>
        <v/>
      </c>
      <c r="E144" s="2" t="n"/>
      <c r="F144" s="3">
        <f>'QBO Transactions'!$X146</f>
        <v/>
      </c>
      <c r="G144" s="2" t="n"/>
      <c r="H144" s="2" t="n"/>
      <c r="I144" s="2" t="n"/>
      <c r="J144" s="2" t="n"/>
      <c r="K144" s="2" t="n"/>
      <c r="L144" s="2" t="n"/>
      <c r="M144" s="2" t="n"/>
      <c r="N144" s="2">
        <f>'QBO Transactions'!$Y146</f>
        <v/>
      </c>
      <c r="O144" s="2" t="n"/>
      <c r="P144" s="2" t="n"/>
      <c r="Q144" s="2">
        <f>'QBO Transactions'!$T146</f>
        <v/>
      </c>
      <c r="R144" s="2" t="n"/>
      <c r="S144" s="2" t="n"/>
      <c r="T144" s="2" t="n"/>
      <c r="U144" s="2" t="n"/>
      <c r="V144" s="2" t="n"/>
      <c r="W144" s="2" t="n"/>
      <c r="X144" s="2">
        <f>Q144</f>
        <v/>
      </c>
      <c r="Y144" s="4">
        <f>'QBO Transactions'!$Q146</f>
        <v/>
      </c>
      <c r="Z144" s="2" t="n"/>
      <c r="AA144" s="2" t="n"/>
      <c r="AB144" s="2" t="n"/>
      <c r="AC144" s="2" t="n"/>
      <c r="AD144" s="2" t="n"/>
      <c r="AE144" s="2" t="n"/>
    </row>
    <row r="145" ht="12.75" customHeight="1" s="52">
      <c r="A145" s="2" t="n"/>
      <c r="B145" s="2">
        <f>'QBO Transactions'!$U147</f>
        <v/>
      </c>
      <c r="C145" s="3">
        <f>'QBO Transactions'!$S147</f>
        <v/>
      </c>
      <c r="D145" s="2">
        <f>'QBO Transactions'!$R147</f>
        <v/>
      </c>
      <c r="E145" s="2" t="n"/>
      <c r="F145" s="3">
        <f>'QBO Transactions'!$X147</f>
        <v/>
      </c>
      <c r="G145" s="2" t="n"/>
      <c r="H145" s="2" t="n"/>
      <c r="I145" s="2" t="n"/>
      <c r="J145" s="2" t="n"/>
      <c r="K145" s="2" t="n"/>
      <c r="L145" s="2" t="n"/>
      <c r="M145" s="2" t="n"/>
      <c r="N145" s="2">
        <f>'QBO Transactions'!$Y147</f>
        <v/>
      </c>
      <c r="O145" s="2" t="n"/>
      <c r="P145" s="2" t="n"/>
      <c r="Q145" s="2">
        <f>'QBO Transactions'!$T147</f>
        <v/>
      </c>
      <c r="R145" s="2" t="n"/>
      <c r="S145" s="2" t="n"/>
      <c r="T145" s="2" t="n"/>
      <c r="U145" s="2" t="n"/>
      <c r="V145" s="2" t="n"/>
      <c r="W145" s="2" t="n"/>
      <c r="X145" s="2">
        <f>Q145</f>
        <v/>
      </c>
      <c r="Y145" s="4">
        <f>'QBO Transactions'!$Q147</f>
        <v/>
      </c>
      <c r="Z145" s="2" t="n"/>
      <c r="AA145" s="2" t="n"/>
      <c r="AB145" s="2" t="n"/>
      <c r="AC145" s="2" t="n"/>
      <c r="AD145" s="2" t="n"/>
      <c r="AE145" s="2" t="n"/>
    </row>
    <row r="146" ht="12.75" customHeight="1" s="52">
      <c r="A146" s="2" t="n"/>
      <c r="B146" s="2">
        <f>'QBO Transactions'!$U148</f>
        <v/>
      </c>
      <c r="C146" s="3">
        <f>'QBO Transactions'!$S148</f>
        <v/>
      </c>
      <c r="D146" s="2">
        <f>'QBO Transactions'!$R148</f>
        <v/>
      </c>
      <c r="E146" s="2" t="n"/>
      <c r="F146" s="3">
        <f>'QBO Transactions'!$X148</f>
        <v/>
      </c>
      <c r="G146" s="2" t="n"/>
      <c r="H146" s="2" t="n"/>
      <c r="I146" s="2" t="n"/>
      <c r="J146" s="2" t="n"/>
      <c r="K146" s="2" t="n"/>
      <c r="L146" s="2" t="n"/>
      <c r="M146" s="2" t="n"/>
      <c r="N146" s="2">
        <f>'QBO Transactions'!$Y148</f>
        <v/>
      </c>
      <c r="O146" s="2" t="n"/>
      <c r="P146" s="2" t="n"/>
      <c r="Q146" s="2">
        <f>'QBO Transactions'!$T148</f>
        <v/>
      </c>
      <c r="R146" s="2" t="n"/>
      <c r="S146" s="2" t="n"/>
      <c r="T146" s="2" t="n"/>
      <c r="U146" s="2" t="n"/>
      <c r="V146" s="2" t="n"/>
      <c r="W146" s="2" t="n"/>
      <c r="X146" s="2">
        <f>Q146</f>
        <v/>
      </c>
      <c r="Y146" s="4">
        <f>'QBO Transactions'!$Q148</f>
        <v/>
      </c>
      <c r="Z146" s="2" t="n"/>
      <c r="AA146" s="2" t="n"/>
      <c r="AB146" s="2" t="n"/>
      <c r="AC146" s="2" t="n"/>
      <c r="AD146" s="2" t="n"/>
      <c r="AE146" s="2" t="n"/>
    </row>
    <row r="147" ht="12.75" customHeight="1" s="52">
      <c r="A147" s="2" t="n"/>
      <c r="B147" s="2">
        <f>'QBO Transactions'!$U149</f>
        <v/>
      </c>
      <c r="C147" s="3">
        <f>'QBO Transactions'!$S149</f>
        <v/>
      </c>
      <c r="D147" s="2">
        <f>'QBO Transactions'!$R149</f>
        <v/>
      </c>
      <c r="E147" s="2" t="n"/>
      <c r="F147" s="3">
        <f>'QBO Transactions'!$X149</f>
        <v/>
      </c>
      <c r="G147" s="2" t="n"/>
      <c r="H147" s="2" t="n"/>
      <c r="I147" s="2" t="n"/>
      <c r="J147" s="2" t="n"/>
      <c r="K147" s="2" t="n"/>
      <c r="L147" s="2" t="n"/>
      <c r="M147" s="2" t="n"/>
      <c r="N147" s="2">
        <f>'QBO Transactions'!$Y149</f>
        <v/>
      </c>
      <c r="O147" s="2" t="n"/>
      <c r="P147" s="2" t="n"/>
      <c r="Q147" s="2">
        <f>'QBO Transactions'!$T149</f>
        <v/>
      </c>
      <c r="R147" s="2" t="n"/>
      <c r="S147" s="2" t="n"/>
      <c r="T147" s="2" t="n"/>
      <c r="U147" s="2" t="n"/>
      <c r="V147" s="2" t="n"/>
      <c r="W147" s="2" t="n"/>
      <c r="X147" s="2">
        <f>Q147</f>
        <v/>
      </c>
      <c r="Y147" s="4">
        <f>'QBO Transactions'!$Q149</f>
        <v/>
      </c>
      <c r="Z147" s="2" t="n"/>
      <c r="AA147" s="2" t="n"/>
      <c r="AB147" s="2" t="n"/>
      <c r="AC147" s="2" t="n"/>
      <c r="AD147" s="2" t="n"/>
      <c r="AE147" s="2" t="n"/>
    </row>
    <row r="148" ht="12.75" customHeight="1" s="52">
      <c r="A148" s="2" t="n"/>
      <c r="B148" s="2">
        <f>'QBO Transactions'!$U150</f>
        <v/>
      </c>
      <c r="C148" s="3">
        <f>'QBO Transactions'!$S150</f>
        <v/>
      </c>
      <c r="D148" s="2">
        <f>'QBO Transactions'!$R150</f>
        <v/>
      </c>
      <c r="E148" s="2" t="n"/>
      <c r="F148" s="3">
        <f>'QBO Transactions'!$X150</f>
        <v/>
      </c>
      <c r="G148" s="2" t="n"/>
      <c r="H148" s="2" t="n"/>
      <c r="I148" s="2" t="n"/>
      <c r="J148" s="2" t="n"/>
      <c r="K148" s="2" t="n"/>
      <c r="L148" s="2" t="n"/>
      <c r="M148" s="2" t="n"/>
      <c r="N148" s="2">
        <f>'QBO Transactions'!$Y150</f>
        <v/>
      </c>
      <c r="O148" s="2" t="n"/>
      <c r="P148" s="2" t="n"/>
      <c r="Q148" s="2">
        <f>'QBO Transactions'!$T150</f>
        <v/>
      </c>
      <c r="R148" s="2" t="n"/>
      <c r="S148" s="2" t="n"/>
      <c r="T148" s="2" t="n"/>
      <c r="U148" s="2" t="n"/>
      <c r="V148" s="2" t="n"/>
      <c r="W148" s="2" t="n"/>
      <c r="X148" s="2">
        <f>Q148</f>
        <v/>
      </c>
      <c r="Y148" s="4">
        <f>'QBO Transactions'!$Q150</f>
        <v/>
      </c>
      <c r="Z148" s="2" t="n"/>
      <c r="AA148" s="2" t="n"/>
      <c r="AB148" s="2" t="n"/>
      <c r="AC148" s="2" t="n"/>
      <c r="AD148" s="2" t="n"/>
      <c r="AE148" s="2" t="n"/>
    </row>
    <row r="149" ht="12.75" customHeight="1" s="52">
      <c r="A149" s="2" t="n"/>
      <c r="B149" s="2">
        <f>'QBO Transactions'!$U151</f>
        <v/>
      </c>
      <c r="C149" s="3">
        <f>'QBO Transactions'!$S151</f>
        <v/>
      </c>
      <c r="D149" s="2">
        <f>'QBO Transactions'!$R151</f>
        <v/>
      </c>
      <c r="E149" s="2" t="n"/>
      <c r="F149" s="3">
        <f>'QBO Transactions'!$X151</f>
        <v/>
      </c>
      <c r="G149" s="2" t="n"/>
      <c r="H149" s="2" t="n"/>
      <c r="I149" s="2" t="n"/>
      <c r="J149" s="2" t="n"/>
      <c r="K149" s="2" t="n"/>
      <c r="L149" s="2" t="n"/>
      <c r="M149" s="2" t="n"/>
      <c r="N149" s="2">
        <f>'QBO Transactions'!$Y151</f>
        <v/>
      </c>
      <c r="O149" s="2" t="n"/>
      <c r="P149" s="2" t="n"/>
      <c r="Q149" s="2">
        <f>'QBO Transactions'!$T151</f>
        <v/>
      </c>
      <c r="R149" s="2" t="n"/>
      <c r="S149" s="2" t="n"/>
      <c r="T149" s="2" t="n"/>
      <c r="U149" s="2" t="n"/>
      <c r="V149" s="2" t="n"/>
      <c r="W149" s="2" t="n"/>
      <c r="X149" s="2">
        <f>Q149</f>
        <v/>
      </c>
      <c r="Y149" s="4">
        <f>'QBO Transactions'!$Q151</f>
        <v/>
      </c>
      <c r="Z149" s="2" t="n"/>
      <c r="AA149" s="2" t="n"/>
      <c r="AB149" s="2" t="n"/>
      <c r="AC149" s="2" t="n"/>
      <c r="AD149" s="2" t="n"/>
      <c r="AE149" s="2" t="n"/>
    </row>
    <row r="150" ht="12.75" customHeight="1" s="52">
      <c r="A150" s="2" t="n"/>
      <c r="B150" s="2">
        <f>'QBO Transactions'!$U152</f>
        <v/>
      </c>
      <c r="C150" s="3">
        <f>'QBO Transactions'!$S152</f>
        <v/>
      </c>
      <c r="D150" s="2">
        <f>'QBO Transactions'!$R152</f>
        <v/>
      </c>
      <c r="E150" s="2" t="n"/>
      <c r="F150" s="3">
        <f>'QBO Transactions'!$X152</f>
        <v/>
      </c>
      <c r="G150" s="2" t="n"/>
      <c r="H150" s="2" t="n"/>
      <c r="I150" s="2" t="n"/>
      <c r="J150" s="2" t="n"/>
      <c r="K150" s="2" t="n"/>
      <c r="L150" s="2" t="n"/>
      <c r="M150" s="2" t="n"/>
      <c r="N150" s="2">
        <f>'QBO Transactions'!$Y152</f>
        <v/>
      </c>
      <c r="O150" s="2" t="n"/>
      <c r="P150" s="2" t="n"/>
      <c r="Q150" s="2">
        <f>'QBO Transactions'!$T152</f>
        <v/>
      </c>
      <c r="R150" s="2" t="n"/>
      <c r="S150" s="2" t="n"/>
      <c r="T150" s="2" t="n"/>
      <c r="U150" s="2" t="n"/>
      <c r="V150" s="2" t="n"/>
      <c r="W150" s="2" t="n"/>
      <c r="X150" s="2">
        <f>Q150</f>
        <v/>
      </c>
      <c r="Y150" s="4">
        <f>'QBO Transactions'!$Q152</f>
        <v/>
      </c>
      <c r="Z150" s="2" t="n"/>
      <c r="AA150" s="2" t="n"/>
      <c r="AB150" s="2" t="n"/>
      <c r="AC150" s="2" t="n"/>
      <c r="AD150" s="2" t="n"/>
      <c r="AE150" s="2" t="n"/>
    </row>
    <row r="151" ht="12.75" customHeight="1" s="52">
      <c r="A151" s="2" t="n"/>
      <c r="B151" s="2">
        <f>'QBO Transactions'!$U153</f>
        <v/>
      </c>
      <c r="C151" s="3">
        <f>'QBO Transactions'!$S153</f>
        <v/>
      </c>
      <c r="D151" s="2">
        <f>'QBO Transactions'!$R153</f>
        <v/>
      </c>
      <c r="E151" s="2" t="n"/>
      <c r="F151" s="3">
        <f>'QBO Transactions'!$X153</f>
        <v/>
      </c>
      <c r="G151" s="2" t="n"/>
      <c r="H151" s="2" t="n"/>
      <c r="I151" s="2" t="n"/>
      <c r="J151" s="2" t="n"/>
      <c r="K151" s="2" t="n"/>
      <c r="L151" s="2" t="n"/>
      <c r="M151" s="2" t="n"/>
      <c r="N151" s="2">
        <f>'QBO Transactions'!$Y153</f>
        <v/>
      </c>
      <c r="O151" s="2" t="n"/>
      <c r="P151" s="2" t="n"/>
      <c r="Q151" s="2">
        <f>'QBO Transactions'!$T153</f>
        <v/>
      </c>
      <c r="R151" s="2" t="n"/>
      <c r="S151" s="2" t="n"/>
      <c r="T151" s="2" t="n"/>
      <c r="U151" s="2" t="n"/>
      <c r="V151" s="2" t="n"/>
      <c r="W151" s="2" t="n"/>
      <c r="X151" s="2">
        <f>Q151</f>
        <v/>
      </c>
      <c r="Y151" s="4">
        <f>'QBO Transactions'!$Q153</f>
        <v/>
      </c>
      <c r="Z151" s="2" t="n"/>
      <c r="AA151" s="2" t="n"/>
      <c r="AB151" s="2" t="n"/>
      <c r="AC151" s="2" t="n"/>
      <c r="AD151" s="2" t="n"/>
      <c r="AE151" s="2" t="n"/>
    </row>
    <row r="152" ht="12.75" customHeight="1" s="52">
      <c r="A152" s="2" t="n"/>
      <c r="B152" s="2">
        <f>'QBO Transactions'!$U154</f>
        <v/>
      </c>
      <c r="C152" s="3">
        <f>'QBO Transactions'!$S154</f>
        <v/>
      </c>
      <c r="D152" s="2">
        <f>'QBO Transactions'!$R154</f>
        <v/>
      </c>
      <c r="E152" s="2" t="n"/>
      <c r="F152" s="3">
        <f>'QBO Transactions'!$X154</f>
        <v/>
      </c>
      <c r="G152" s="2" t="n"/>
      <c r="H152" s="2" t="n"/>
      <c r="I152" s="2" t="n"/>
      <c r="J152" s="2" t="n"/>
      <c r="K152" s="2" t="n"/>
      <c r="L152" s="2" t="n"/>
      <c r="M152" s="2" t="n"/>
      <c r="N152" s="2">
        <f>'QBO Transactions'!$Y154</f>
        <v/>
      </c>
      <c r="O152" s="2" t="n"/>
      <c r="P152" s="2" t="n"/>
      <c r="Q152" s="2">
        <f>'QBO Transactions'!$T154</f>
        <v/>
      </c>
      <c r="R152" s="2" t="n"/>
      <c r="S152" s="2" t="n"/>
      <c r="T152" s="2" t="n"/>
      <c r="U152" s="2" t="n"/>
      <c r="V152" s="2" t="n"/>
      <c r="W152" s="2" t="n"/>
      <c r="X152" s="2">
        <f>Q152</f>
        <v/>
      </c>
      <c r="Y152" s="4">
        <f>'QBO Transactions'!$Q154</f>
        <v/>
      </c>
      <c r="Z152" s="2" t="n"/>
      <c r="AA152" s="2" t="n"/>
      <c r="AB152" s="2" t="n"/>
      <c r="AC152" s="2" t="n"/>
      <c r="AD152" s="2" t="n"/>
      <c r="AE152" s="2" t="n"/>
    </row>
    <row r="153" ht="12.75" customHeight="1" s="52">
      <c r="A153" s="2" t="n"/>
      <c r="B153" s="2">
        <f>'QBO Transactions'!$U155</f>
        <v/>
      </c>
      <c r="C153" s="3">
        <f>'QBO Transactions'!$S155</f>
        <v/>
      </c>
      <c r="D153" s="2">
        <f>'QBO Transactions'!$R155</f>
        <v/>
      </c>
      <c r="E153" s="2" t="n"/>
      <c r="F153" s="3">
        <f>'QBO Transactions'!$X155</f>
        <v/>
      </c>
      <c r="G153" s="2" t="n"/>
      <c r="H153" s="2" t="n"/>
      <c r="I153" s="2" t="n"/>
      <c r="J153" s="2" t="n"/>
      <c r="K153" s="2" t="n"/>
      <c r="L153" s="2" t="n"/>
      <c r="M153" s="2" t="n"/>
      <c r="N153" s="2">
        <f>'QBO Transactions'!$Y155</f>
        <v/>
      </c>
      <c r="O153" s="2" t="n"/>
      <c r="P153" s="2" t="n"/>
      <c r="Q153" s="2">
        <f>'QBO Transactions'!$T155</f>
        <v/>
      </c>
      <c r="R153" s="2" t="n"/>
      <c r="S153" s="2" t="n"/>
      <c r="T153" s="2" t="n"/>
      <c r="U153" s="2" t="n"/>
      <c r="V153" s="2" t="n"/>
      <c r="W153" s="2" t="n"/>
      <c r="X153" s="2">
        <f>Q153</f>
        <v/>
      </c>
      <c r="Y153" s="4">
        <f>'QBO Transactions'!$Q155</f>
        <v/>
      </c>
      <c r="Z153" s="2" t="n"/>
      <c r="AA153" s="2" t="n"/>
      <c r="AB153" s="2" t="n"/>
      <c r="AC153" s="2" t="n"/>
      <c r="AD153" s="2" t="n"/>
      <c r="AE153" s="2" t="n"/>
    </row>
    <row r="154" ht="12.75" customHeight="1" s="52">
      <c r="A154" s="2" t="n"/>
      <c r="B154" s="2">
        <f>'QBO Transactions'!$U156</f>
        <v/>
      </c>
      <c r="C154" s="3">
        <f>'QBO Transactions'!$S156</f>
        <v/>
      </c>
      <c r="D154" s="2">
        <f>'QBO Transactions'!$R156</f>
        <v/>
      </c>
      <c r="E154" s="2" t="n"/>
      <c r="F154" s="3">
        <f>'QBO Transactions'!$X156</f>
        <v/>
      </c>
      <c r="G154" s="2" t="n"/>
      <c r="H154" s="2" t="n"/>
      <c r="I154" s="2" t="n"/>
      <c r="J154" s="2" t="n"/>
      <c r="K154" s="2" t="n"/>
      <c r="L154" s="2" t="n"/>
      <c r="M154" s="2" t="n"/>
      <c r="N154" s="2">
        <f>'QBO Transactions'!$Y156</f>
        <v/>
      </c>
      <c r="O154" s="2" t="n"/>
      <c r="P154" s="2" t="n"/>
      <c r="Q154" s="2">
        <f>'QBO Transactions'!$T156</f>
        <v/>
      </c>
      <c r="R154" s="2" t="n"/>
      <c r="S154" s="2" t="n"/>
      <c r="T154" s="2" t="n"/>
      <c r="U154" s="2" t="n"/>
      <c r="V154" s="2" t="n"/>
      <c r="W154" s="2" t="n"/>
      <c r="X154" s="2">
        <f>Q154</f>
        <v/>
      </c>
      <c r="Y154" s="4">
        <f>'QBO Transactions'!$Q156</f>
        <v/>
      </c>
      <c r="Z154" s="2" t="n"/>
      <c r="AA154" s="2" t="n"/>
      <c r="AB154" s="2" t="n"/>
      <c r="AC154" s="2" t="n"/>
      <c r="AD154" s="2" t="n"/>
      <c r="AE154" s="2" t="n"/>
    </row>
    <row r="155" ht="12.75" customHeight="1" s="52">
      <c r="A155" s="2" t="n"/>
      <c r="B155" s="2">
        <f>'QBO Transactions'!$U157</f>
        <v/>
      </c>
      <c r="C155" s="3">
        <f>'QBO Transactions'!$S157</f>
        <v/>
      </c>
      <c r="D155" s="2">
        <f>'QBO Transactions'!$R157</f>
        <v/>
      </c>
      <c r="E155" s="2" t="n"/>
      <c r="F155" s="3">
        <f>'QBO Transactions'!$X157</f>
        <v/>
      </c>
      <c r="G155" s="2" t="n"/>
      <c r="H155" s="2" t="n"/>
      <c r="I155" s="2" t="n"/>
      <c r="J155" s="2" t="n"/>
      <c r="K155" s="2" t="n"/>
      <c r="L155" s="2" t="n"/>
      <c r="M155" s="2" t="n"/>
      <c r="N155" s="2">
        <f>'QBO Transactions'!$Y157</f>
        <v/>
      </c>
      <c r="O155" s="2" t="n"/>
      <c r="P155" s="2" t="n"/>
      <c r="Q155" s="2">
        <f>'QBO Transactions'!$T157</f>
        <v/>
      </c>
      <c r="R155" s="2" t="n"/>
      <c r="S155" s="2" t="n"/>
      <c r="T155" s="2" t="n"/>
      <c r="U155" s="2" t="n"/>
      <c r="V155" s="2" t="n"/>
      <c r="W155" s="2" t="n"/>
      <c r="X155" s="2">
        <f>Q155</f>
        <v/>
      </c>
      <c r="Y155" s="4">
        <f>'QBO Transactions'!$Q157</f>
        <v/>
      </c>
      <c r="Z155" s="2" t="n"/>
      <c r="AA155" s="2" t="n"/>
      <c r="AB155" s="2" t="n"/>
      <c r="AC155" s="2" t="n"/>
      <c r="AD155" s="2" t="n"/>
      <c r="AE155" s="2" t="n"/>
    </row>
    <row r="156" ht="12.75" customHeight="1" s="52">
      <c r="A156" s="2" t="n"/>
      <c r="B156" s="2">
        <f>'QBO Transactions'!$U158</f>
        <v/>
      </c>
      <c r="C156" s="3">
        <f>'QBO Transactions'!$S158</f>
        <v/>
      </c>
      <c r="D156" s="2">
        <f>'QBO Transactions'!$R158</f>
        <v/>
      </c>
      <c r="E156" s="2" t="n"/>
      <c r="F156" s="3">
        <f>'QBO Transactions'!$X158</f>
        <v/>
      </c>
      <c r="G156" s="2" t="n"/>
      <c r="H156" s="2" t="n"/>
      <c r="I156" s="2" t="n"/>
      <c r="J156" s="2" t="n"/>
      <c r="K156" s="2" t="n"/>
      <c r="L156" s="2" t="n"/>
      <c r="M156" s="2" t="n"/>
      <c r="N156" s="2">
        <f>'QBO Transactions'!$Y158</f>
        <v/>
      </c>
      <c r="O156" s="2" t="n"/>
      <c r="P156" s="2" t="n"/>
      <c r="Q156" s="2">
        <f>'QBO Transactions'!$T158</f>
        <v/>
      </c>
      <c r="R156" s="2" t="n"/>
      <c r="S156" s="2" t="n"/>
      <c r="T156" s="2" t="n"/>
      <c r="U156" s="2" t="n"/>
      <c r="V156" s="2" t="n"/>
      <c r="W156" s="2" t="n"/>
      <c r="X156" s="2">
        <f>Q156</f>
        <v/>
      </c>
      <c r="Y156" s="4">
        <f>'QBO Transactions'!$Q158</f>
        <v/>
      </c>
      <c r="Z156" s="2" t="n"/>
      <c r="AA156" s="2" t="n"/>
      <c r="AB156" s="2" t="n"/>
      <c r="AC156" s="2" t="n"/>
      <c r="AD156" s="2" t="n"/>
      <c r="AE156" s="2" t="n"/>
    </row>
    <row r="157" ht="12.75" customHeight="1" s="52">
      <c r="A157" s="2" t="n"/>
      <c r="B157" s="2">
        <f>'QBO Transactions'!$U159</f>
        <v/>
      </c>
      <c r="C157" s="3">
        <f>'QBO Transactions'!$S159</f>
        <v/>
      </c>
      <c r="D157" s="2">
        <f>'QBO Transactions'!$R159</f>
        <v/>
      </c>
      <c r="E157" s="2" t="n"/>
      <c r="F157" s="3">
        <f>'QBO Transactions'!$X159</f>
        <v/>
      </c>
      <c r="G157" s="2" t="n"/>
      <c r="H157" s="2" t="n"/>
      <c r="I157" s="2" t="n"/>
      <c r="J157" s="2" t="n"/>
      <c r="K157" s="2" t="n"/>
      <c r="L157" s="2" t="n"/>
      <c r="M157" s="2" t="n"/>
      <c r="N157" s="2">
        <f>'QBO Transactions'!$Y159</f>
        <v/>
      </c>
      <c r="O157" s="2" t="n"/>
      <c r="P157" s="2" t="n"/>
      <c r="Q157" s="2">
        <f>'QBO Transactions'!$T159</f>
        <v/>
      </c>
      <c r="R157" s="2" t="n"/>
      <c r="S157" s="2" t="n"/>
      <c r="T157" s="2" t="n"/>
      <c r="U157" s="2" t="n"/>
      <c r="V157" s="2" t="n"/>
      <c r="W157" s="2" t="n"/>
      <c r="X157" s="2">
        <f>Q157</f>
        <v/>
      </c>
      <c r="Y157" s="4">
        <f>'QBO Transactions'!$Q159</f>
        <v/>
      </c>
      <c r="Z157" s="2" t="n"/>
      <c r="AA157" s="2" t="n"/>
      <c r="AB157" s="2" t="n"/>
      <c r="AC157" s="2" t="n"/>
      <c r="AD157" s="2" t="n"/>
      <c r="AE157" s="2" t="n"/>
    </row>
    <row r="158" ht="12.75" customHeight="1" s="52">
      <c r="A158" s="2" t="n"/>
      <c r="B158" s="2">
        <f>'QBO Transactions'!$U160</f>
        <v/>
      </c>
      <c r="C158" s="3">
        <f>'QBO Transactions'!$S160</f>
        <v/>
      </c>
      <c r="D158" s="2">
        <f>'QBO Transactions'!$R160</f>
        <v/>
      </c>
      <c r="E158" s="2" t="n"/>
      <c r="F158" s="3">
        <f>'QBO Transactions'!$X160</f>
        <v/>
      </c>
      <c r="G158" s="2" t="n"/>
      <c r="H158" s="2" t="n"/>
      <c r="I158" s="2" t="n"/>
      <c r="J158" s="2" t="n"/>
      <c r="K158" s="2" t="n"/>
      <c r="L158" s="2" t="n"/>
      <c r="M158" s="2" t="n"/>
      <c r="N158" s="2">
        <f>'QBO Transactions'!$Y160</f>
        <v/>
      </c>
      <c r="O158" s="2" t="n"/>
      <c r="P158" s="2" t="n"/>
      <c r="Q158" s="2">
        <f>'QBO Transactions'!$T160</f>
        <v/>
      </c>
      <c r="R158" s="2" t="n"/>
      <c r="S158" s="2" t="n"/>
      <c r="T158" s="2" t="n"/>
      <c r="U158" s="2" t="n"/>
      <c r="V158" s="2" t="n"/>
      <c r="W158" s="2" t="n"/>
      <c r="X158" s="2">
        <f>Q158</f>
        <v/>
      </c>
      <c r="Y158" s="4">
        <f>'QBO Transactions'!$Q160</f>
        <v/>
      </c>
      <c r="Z158" s="2" t="n"/>
      <c r="AA158" s="2" t="n"/>
      <c r="AB158" s="2" t="n"/>
      <c r="AC158" s="2" t="n"/>
      <c r="AD158" s="2" t="n"/>
      <c r="AE158" s="2" t="n"/>
    </row>
    <row r="159" ht="12.75" customHeight="1" s="52">
      <c r="A159" s="2" t="n"/>
      <c r="B159" s="2">
        <f>'QBO Transactions'!$U161</f>
        <v/>
      </c>
      <c r="C159" s="3">
        <f>'QBO Transactions'!$S161</f>
        <v/>
      </c>
      <c r="D159" s="2">
        <f>'QBO Transactions'!$R161</f>
        <v/>
      </c>
      <c r="E159" s="2" t="n"/>
      <c r="F159" s="3">
        <f>'QBO Transactions'!$X161</f>
        <v/>
      </c>
      <c r="G159" s="2" t="n"/>
      <c r="H159" s="2" t="n"/>
      <c r="I159" s="2" t="n"/>
      <c r="J159" s="2" t="n"/>
      <c r="K159" s="2" t="n"/>
      <c r="L159" s="2" t="n"/>
      <c r="M159" s="2" t="n"/>
      <c r="N159" s="2">
        <f>'QBO Transactions'!$Y161</f>
        <v/>
      </c>
      <c r="O159" s="2" t="n"/>
      <c r="P159" s="2" t="n"/>
      <c r="Q159" s="2">
        <f>'QBO Transactions'!$T161</f>
        <v/>
      </c>
      <c r="R159" s="2" t="n"/>
      <c r="S159" s="2" t="n"/>
      <c r="T159" s="2" t="n"/>
      <c r="U159" s="2" t="n"/>
      <c r="V159" s="2" t="n"/>
      <c r="W159" s="2" t="n"/>
      <c r="X159" s="2">
        <f>Q159</f>
        <v/>
      </c>
      <c r="Y159" s="4">
        <f>'QBO Transactions'!$Q161</f>
        <v/>
      </c>
      <c r="Z159" s="2" t="n"/>
      <c r="AA159" s="2" t="n"/>
      <c r="AB159" s="2" t="n"/>
      <c r="AC159" s="2" t="n"/>
      <c r="AD159" s="2" t="n"/>
      <c r="AE159" s="2" t="n"/>
    </row>
    <row r="160" ht="12.75" customHeight="1" s="52">
      <c r="A160" s="2" t="n"/>
      <c r="B160" s="2">
        <f>'QBO Transactions'!$U162</f>
        <v/>
      </c>
      <c r="C160" s="3">
        <f>'QBO Transactions'!$S162</f>
        <v/>
      </c>
      <c r="D160" s="2">
        <f>'QBO Transactions'!$R162</f>
        <v/>
      </c>
      <c r="E160" s="2" t="n"/>
      <c r="F160" s="3">
        <f>'QBO Transactions'!$X162</f>
        <v/>
      </c>
      <c r="G160" s="2" t="n"/>
      <c r="H160" s="2" t="n"/>
      <c r="I160" s="2" t="n"/>
      <c r="J160" s="2" t="n"/>
      <c r="K160" s="2" t="n"/>
      <c r="L160" s="2" t="n"/>
      <c r="M160" s="2" t="n"/>
      <c r="N160" s="2">
        <f>'QBO Transactions'!$Y162</f>
        <v/>
      </c>
      <c r="O160" s="2" t="n"/>
      <c r="P160" s="2" t="n"/>
      <c r="Q160" s="2">
        <f>'QBO Transactions'!$T162</f>
        <v/>
      </c>
      <c r="R160" s="2" t="n"/>
      <c r="S160" s="2" t="n"/>
      <c r="T160" s="2" t="n"/>
      <c r="U160" s="2" t="n"/>
      <c r="V160" s="2" t="n"/>
      <c r="W160" s="2" t="n"/>
      <c r="X160" s="2">
        <f>Q160</f>
        <v/>
      </c>
      <c r="Y160" s="4">
        <f>'QBO Transactions'!$Q162</f>
        <v/>
      </c>
      <c r="Z160" s="2" t="n"/>
      <c r="AA160" s="2" t="n"/>
      <c r="AB160" s="2" t="n"/>
      <c r="AC160" s="2" t="n"/>
      <c r="AD160" s="2" t="n"/>
      <c r="AE160" s="2" t="n"/>
    </row>
    <row r="161" ht="12.75" customHeight="1" s="52">
      <c r="A161" s="2" t="n"/>
      <c r="B161" s="2">
        <f>'QBO Transactions'!$U163</f>
        <v/>
      </c>
      <c r="C161" s="3">
        <f>'QBO Transactions'!$S163</f>
        <v/>
      </c>
      <c r="D161" s="2">
        <f>'QBO Transactions'!$R163</f>
        <v/>
      </c>
      <c r="E161" s="2" t="n"/>
      <c r="F161" s="3">
        <f>'QBO Transactions'!$X163</f>
        <v/>
      </c>
      <c r="G161" s="2" t="n"/>
      <c r="H161" s="2" t="n"/>
      <c r="I161" s="2" t="n"/>
      <c r="J161" s="2" t="n"/>
      <c r="K161" s="2" t="n"/>
      <c r="L161" s="2" t="n"/>
      <c r="M161" s="2" t="n"/>
      <c r="N161" s="2">
        <f>'QBO Transactions'!$Y163</f>
        <v/>
      </c>
      <c r="O161" s="2" t="n"/>
      <c r="P161" s="2" t="n"/>
      <c r="Q161" s="2">
        <f>'QBO Transactions'!$T163</f>
        <v/>
      </c>
      <c r="R161" s="2" t="n"/>
      <c r="S161" s="2" t="n"/>
      <c r="T161" s="2" t="n"/>
      <c r="U161" s="2" t="n"/>
      <c r="V161" s="2" t="n"/>
      <c r="W161" s="2" t="n"/>
      <c r="X161" s="2">
        <f>Q161</f>
        <v/>
      </c>
      <c r="Y161" s="4">
        <f>'QBO Transactions'!$Q163</f>
        <v/>
      </c>
      <c r="Z161" s="2" t="n"/>
      <c r="AA161" s="2" t="n"/>
      <c r="AB161" s="2" t="n"/>
      <c r="AC161" s="2" t="n"/>
      <c r="AD161" s="2" t="n"/>
      <c r="AE161" s="2" t="n"/>
    </row>
    <row r="162" ht="12.75" customHeight="1" s="52">
      <c r="A162" s="2" t="n"/>
      <c r="B162" s="2">
        <f>'QBO Transactions'!$U164</f>
        <v/>
      </c>
      <c r="C162" s="3">
        <f>'QBO Transactions'!$S164</f>
        <v/>
      </c>
      <c r="D162" s="2">
        <f>'QBO Transactions'!$R164</f>
        <v/>
      </c>
      <c r="E162" s="2" t="n"/>
      <c r="F162" s="3">
        <f>'QBO Transactions'!$X164</f>
        <v/>
      </c>
      <c r="G162" s="2" t="n"/>
      <c r="H162" s="2" t="n"/>
      <c r="I162" s="2" t="n"/>
      <c r="J162" s="2" t="n"/>
      <c r="K162" s="2" t="n"/>
      <c r="L162" s="2" t="n"/>
      <c r="M162" s="2" t="n"/>
      <c r="N162" s="2">
        <f>'QBO Transactions'!$Y164</f>
        <v/>
      </c>
      <c r="O162" s="2" t="n"/>
      <c r="P162" s="2" t="n"/>
      <c r="Q162" s="2">
        <f>'QBO Transactions'!$T164</f>
        <v/>
      </c>
      <c r="R162" s="2" t="n"/>
      <c r="S162" s="2" t="n"/>
      <c r="T162" s="2" t="n"/>
      <c r="U162" s="2" t="n"/>
      <c r="V162" s="2" t="n"/>
      <c r="W162" s="2" t="n"/>
      <c r="X162" s="2">
        <f>Q162</f>
        <v/>
      </c>
      <c r="Y162" s="4">
        <f>'QBO Transactions'!$Q164</f>
        <v/>
      </c>
      <c r="Z162" s="2" t="n"/>
      <c r="AA162" s="2" t="n"/>
      <c r="AB162" s="2" t="n"/>
      <c r="AC162" s="2" t="n"/>
      <c r="AD162" s="2" t="n"/>
      <c r="AE162" s="2" t="n"/>
    </row>
    <row r="163" ht="12.75" customHeight="1" s="52">
      <c r="A163" s="2" t="n"/>
      <c r="B163" s="2">
        <f>'QBO Transactions'!$U165</f>
        <v/>
      </c>
      <c r="C163" s="3">
        <f>'QBO Transactions'!$S165</f>
        <v/>
      </c>
      <c r="D163" s="2">
        <f>'QBO Transactions'!$R165</f>
        <v/>
      </c>
      <c r="E163" s="2" t="n"/>
      <c r="F163" s="3">
        <f>'QBO Transactions'!$X165</f>
        <v/>
      </c>
      <c r="G163" s="2" t="n"/>
      <c r="H163" s="2" t="n"/>
      <c r="I163" s="2" t="n"/>
      <c r="J163" s="2" t="n"/>
      <c r="K163" s="2" t="n"/>
      <c r="L163" s="2" t="n"/>
      <c r="M163" s="2" t="n"/>
      <c r="N163" s="2">
        <f>'QBO Transactions'!$Y165</f>
        <v/>
      </c>
      <c r="O163" s="2" t="n"/>
      <c r="P163" s="2" t="n"/>
      <c r="Q163" s="2">
        <f>'QBO Transactions'!$T165</f>
        <v/>
      </c>
      <c r="R163" s="2" t="n"/>
      <c r="S163" s="2" t="n"/>
      <c r="T163" s="2" t="n"/>
      <c r="U163" s="2" t="n"/>
      <c r="V163" s="2" t="n"/>
      <c r="W163" s="2" t="n"/>
      <c r="X163" s="2">
        <f>Q163</f>
        <v/>
      </c>
      <c r="Y163" s="4">
        <f>'QBO Transactions'!$Q165</f>
        <v/>
      </c>
      <c r="Z163" s="2" t="n"/>
      <c r="AA163" s="2" t="n"/>
      <c r="AB163" s="2" t="n"/>
      <c r="AC163" s="2" t="n"/>
      <c r="AD163" s="2" t="n"/>
      <c r="AE163" s="2" t="n"/>
    </row>
    <row r="164" ht="12.75" customHeight="1" s="52">
      <c r="A164" s="2" t="n"/>
      <c r="B164" s="2">
        <f>'QBO Transactions'!$U166</f>
        <v/>
      </c>
      <c r="C164" s="3">
        <f>'QBO Transactions'!$S166</f>
        <v/>
      </c>
      <c r="D164" s="2">
        <f>'QBO Transactions'!$R166</f>
        <v/>
      </c>
      <c r="E164" s="2" t="n"/>
      <c r="F164" s="3">
        <f>'QBO Transactions'!$X166</f>
        <v/>
      </c>
      <c r="G164" s="2" t="n"/>
      <c r="H164" s="2" t="n"/>
      <c r="I164" s="2" t="n"/>
      <c r="J164" s="2" t="n"/>
      <c r="K164" s="2" t="n"/>
      <c r="L164" s="2" t="n"/>
      <c r="M164" s="2" t="n"/>
      <c r="N164" s="2">
        <f>'QBO Transactions'!$Y166</f>
        <v/>
      </c>
      <c r="O164" s="2" t="n"/>
      <c r="P164" s="2" t="n"/>
      <c r="Q164" s="2">
        <f>'QBO Transactions'!$T166</f>
        <v/>
      </c>
      <c r="R164" s="2" t="n"/>
      <c r="S164" s="2" t="n"/>
      <c r="T164" s="2" t="n"/>
      <c r="U164" s="2" t="n"/>
      <c r="V164" s="2" t="n"/>
      <c r="W164" s="2" t="n"/>
      <c r="X164" s="2">
        <f>Q164</f>
        <v/>
      </c>
      <c r="Y164" s="4">
        <f>'QBO Transactions'!$Q166</f>
        <v/>
      </c>
      <c r="Z164" s="2" t="n"/>
      <c r="AA164" s="2" t="n"/>
      <c r="AB164" s="2" t="n"/>
      <c r="AC164" s="2" t="n"/>
      <c r="AD164" s="2" t="n"/>
      <c r="AE164" s="2" t="n"/>
    </row>
    <row r="165" ht="12.75" customHeight="1" s="52">
      <c r="A165" s="2" t="n"/>
      <c r="B165" s="2">
        <f>'QBO Transactions'!$U167</f>
        <v/>
      </c>
      <c r="C165" s="3">
        <f>'QBO Transactions'!$S167</f>
        <v/>
      </c>
      <c r="D165" s="2">
        <f>'QBO Transactions'!$R167</f>
        <v/>
      </c>
      <c r="E165" s="2" t="n"/>
      <c r="F165" s="3">
        <f>'QBO Transactions'!$X167</f>
        <v/>
      </c>
      <c r="G165" s="2" t="n"/>
      <c r="H165" s="2" t="n"/>
      <c r="I165" s="2" t="n"/>
      <c r="J165" s="2" t="n"/>
      <c r="K165" s="2" t="n"/>
      <c r="L165" s="2" t="n"/>
      <c r="M165" s="2" t="n"/>
      <c r="N165" s="2">
        <f>'QBO Transactions'!$Y167</f>
        <v/>
      </c>
      <c r="O165" s="2" t="n"/>
      <c r="P165" s="2" t="n"/>
      <c r="Q165" s="2">
        <f>'QBO Transactions'!$T167</f>
        <v/>
      </c>
      <c r="R165" s="2" t="n"/>
      <c r="S165" s="2" t="n"/>
      <c r="T165" s="2" t="n"/>
      <c r="U165" s="2" t="n"/>
      <c r="V165" s="2" t="n"/>
      <c r="W165" s="2" t="n"/>
      <c r="X165" s="2">
        <f>Q165</f>
        <v/>
      </c>
      <c r="Y165" s="4">
        <f>'QBO Transactions'!$Q167</f>
        <v/>
      </c>
      <c r="Z165" s="2" t="n"/>
      <c r="AA165" s="2" t="n"/>
      <c r="AB165" s="2" t="n"/>
      <c r="AC165" s="2" t="n"/>
      <c r="AD165" s="2" t="n"/>
      <c r="AE165" s="2" t="n"/>
    </row>
    <row r="166" ht="12.75" customHeight="1" s="52">
      <c r="A166" s="2" t="n"/>
      <c r="B166" s="2">
        <f>'QBO Transactions'!$U168</f>
        <v/>
      </c>
      <c r="C166" s="3">
        <f>'QBO Transactions'!$S168</f>
        <v/>
      </c>
      <c r="D166" s="2">
        <f>'QBO Transactions'!$R168</f>
        <v/>
      </c>
      <c r="E166" s="2" t="n"/>
      <c r="F166" s="3">
        <f>'QBO Transactions'!$X168</f>
        <v/>
      </c>
      <c r="G166" s="2" t="n"/>
      <c r="H166" s="2" t="n"/>
      <c r="I166" s="2" t="n"/>
      <c r="J166" s="2" t="n"/>
      <c r="K166" s="2" t="n"/>
      <c r="L166" s="2" t="n"/>
      <c r="M166" s="2" t="n"/>
      <c r="N166" s="2">
        <f>'QBO Transactions'!$Y168</f>
        <v/>
      </c>
      <c r="O166" s="2" t="n"/>
      <c r="P166" s="2" t="n"/>
      <c r="Q166" s="2">
        <f>'QBO Transactions'!$T168</f>
        <v/>
      </c>
      <c r="R166" s="2" t="n"/>
      <c r="S166" s="2" t="n"/>
      <c r="T166" s="2" t="n"/>
      <c r="U166" s="2" t="n"/>
      <c r="V166" s="2" t="n"/>
      <c r="W166" s="2" t="n"/>
      <c r="X166" s="2">
        <f>Q166</f>
        <v/>
      </c>
      <c r="Y166" s="4">
        <f>'QBO Transactions'!$Q168</f>
        <v/>
      </c>
      <c r="Z166" s="2" t="n"/>
      <c r="AA166" s="2" t="n"/>
      <c r="AB166" s="2" t="n"/>
      <c r="AC166" s="2" t="n"/>
      <c r="AD166" s="2" t="n"/>
      <c r="AE166" s="2" t="n"/>
    </row>
    <row r="167" ht="12.75" customHeight="1" s="52">
      <c r="A167" s="2" t="n"/>
      <c r="B167" s="2">
        <f>'QBO Transactions'!$U169</f>
        <v/>
      </c>
      <c r="C167" s="3">
        <f>'QBO Transactions'!$S169</f>
        <v/>
      </c>
      <c r="D167" s="2">
        <f>'QBO Transactions'!$R169</f>
        <v/>
      </c>
      <c r="E167" s="2" t="n"/>
      <c r="F167" s="3">
        <f>'QBO Transactions'!$X169</f>
        <v/>
      </c>
      <c r="G167" s="2" t="n"/>
      <c r="H167" s="2" t="n"/>
      <c r="I167" s="2" t="n"/>
      <c r="J167" s="2" t="n"/>
      <c r="K167" s="2" t="n"/>
      <c r="L167" s="2" t="n"/>
      <c r="M167" s="2" t="n"/>
      <c r="N167" s="2">
        <f>'QBO Transactions'!$Y169</f>
        <v/>
      </c>
      <c r="O167" s="2" t="n"/>
      <c r="P167" s="2" t="n"/>
      <c r="Q167" s="2">
        <f>'QBO Transactions'!$T169</f>
        <v/>
      </c>
      <c r="R167" s="2" t="n"/>
      <c r="S167" s="2" t="n"/>
      <c r="T167" s="2" t="n"/>
      <c r="U167" s="2" t="n"/>
      <c r="V167" s="2" t="n"/>
      <c r="W167" s="2" t="n"/>
      <c r="X167" s="2">
        <f>Q167</f>
        <v/>
      </c>
      <c r="Y167" s="4">
        <f>'QBO Transactions'!$Q169</f>
        <v/>
      </c>
      <c r="Z167" s="2" t="n"/>
      <c r="AA167" s="2" t="n"/>
      <c r="AB167" s="2" t="n"/>
      <c r="AC167" s="2" t="n"/>
      <c r="AD167" s="2" t="n"/>
      <c r="AE167" s="2" t="n"/>
    </row>
    <row r="168" ht="12.75" customHeight="1" s="52">
      <c r="A168" s="2" t="n"/>
      <c r="B168" s="2">
        <f>'QBO Transactions'!$U170</f>
        <v/>
      </c>
      <c r="C168" s="3">
        <f>'QBO Transactions'!$S170</f>
        <v/>
      </c>
      <c r="D168" s="2">
        <f>'QBO Transactions'!$R170</f>
        <v/>
      </c>
      <c r="E168" s="2" t="n"/>
      <c r="F168" s="3">
        <f>'QBO Transactions'!$X170</f>
        <v/>
      </c>
      <c r="G168" s="2" t="n"/>
      <c r="H168" s="2" t="n"/>
      <c r="I168" s="2" t="n"/>
      <c r="J168" s="2" t="n"/>
      <c r="K168" s="2" t="n"/>
      <c r="L168" s="2" t="n"/>
      <c r="M168" s="2" t="n"/>
      <c r="N168" s="2">
        <f>'QBO Transactions'!$Y170</f>
        <v/>
      </c>
      <c r="O168" s="2" t="n"/>
      <c r="P168" s="2" t="n"/>
      <c r="Q168" s="2">
        <f>'QBO Transactions'!$T170</f>
        <v/>
      </c>
      <c r="R168" s="2" t="n"/>
      <c r="S168" s="2" t="n"/>
      <c r="T168" s="2" t="n"/>
      <c r="U168" s="2" t="n"/>
      <c r="V168" s="2" t="n"/>
      <c r="W168" s="2" t="n"/>
      <c r="X168" s="2">
        <f>Q168</f>
        <v/>
      </c>
      <c r="Y168" s="4">
        <f>'QBO Transactions'!$Q170</f>
        <v/>
      </c>
      <c r="Z168" s="2" t="n"/>
      <c r="AA168" s="2" t="n"/>
      <c r="AB168" s="2" t="n"/>
      <c r="AC168" s="2" t="n"/>
      <c r="AD168" s="2" t="n"/>
      <c r="AE168" s="2" t="n"/>
    </row>
    <row r="169" ht="12.75" customHeight="1" s="52">
      <c r="A169" s="2" t="n"/>
      <c r="B169" s="2">
        <f>'QBO Transactions'!$U171</f>
        <v/>
      </c>
      <c r="C169" s="3">
        <f>'QBO Transactions'!$S171</f>
        <v/>
      </c>
      <c r="D169" s="2">
        <f>'QBO Transactions'!$R171</f>
        <v/>
      </c>
      <c r="E169" s="2" t="n"/>
      <c r="F169" s="3">
        <f>'QBO Transactions'!$X171</f>
        <v/>
      </c>
      <c r="G169" s="2" t="n"/>
      <c r="H169" s="2" t="n"/>
      <c r="I169" s="2" t="n"/>
      <c r="J169" s="2" t="n"/>
      <c r="K169" s="2" t="n"/>
      <c r="L169" s="2" t="n"/>
      <c r="M169" s="2" t="n"/>
      <c r="N169" s="2">
        <f>'QBO Transactions'!$Y171</f>
        <v/>
      </c>
      <c r="O169" s="2" t="n"/>
      <c r="P169" s="2" t="n"/>
      <c r="Q169" s="2">
        <f>'QBO Transactions'!$T171</f>
        <v/>
      </c>
      <c r="R169" s="2" t="n"/>
      <c r="S169" s="2" t="n"/>
      <c r="T169" s="2" t="n"/>
      <c r="U169" s="2" t="n"/>
      <c r="V169" s="2" t="n"/>
      <c r="W169" s="2" t="n"/>
      <c r="X169" s="2">
        <f>Q169</f>
        <v/>
      </c>
      <c r="Y169" s="4">
        <f>'QBO Transactions'!$Q171</f>
        <v/>
      </c>
      <c r="Z169" s="2" t="n"/>
      <c r="AA169" s="2" t="n"/>
      <c r="AB169" s="2" t="n"/>
      <c r="AC169" s="2" t="n"/>
      <c r="AD169" s="2" t="n"/>
      <c r="AE169" s="2" t="n"/>
    </row>
    <row r="170" ht="12.75" customHeight="1" s="52">
      <c r="A170" s="2" t="n"/>
      <c r="B170" s="2">
        <f>'QBO Transactions'!$U172</f>
        <v/>
      </c>
      <c r="C170" s="3">
        <f>'QBO Transactions'!$S172</f>
        <v/>
      </c>
      <c r="D170" s="2">
        <f>'QBO Transactions'!$R172</f>
        <v/>
      </c>
      <c r="E170" s="2" t="n"/>
      <c r="F170" s="3">
        <f>'QBO Transactions'!$X172</f>
        <v/>
      </c>
      <c r="G170" s="2" t="n"/>
      <c r="H170" s="2" t="n"/>
      <c r="I170" s="2" t="n"/>
      <c r="J170" s="2" t="n"/>
      <c r="K170" s="2" t="n"/>
      <c r="L170" s="2" t="n"/>
      <c r="M170" s="2" t="n"/>
      <c r="N170" s="2">
        <f>'QBO Transactions'!$Y172</f>
        <v/>
      </c>
      <c r="O170" s="2" t="n"/>
      <c r="P170" s="2" t="n"/>
      <c r="Q170" s="2">
        <f>'QBO Transactions'!$T172</f>
        <v/>
      </c>
      <c r="R170" s="2" t="n"/>
      <c r="S170" s="2" t="n"/>
      <c r="T170" s="2" t="n"/>
      <c r="U170" s="2" t="n"/>
      <c r="V170" s="2" t="n"/>
      <c r="W170" s="2" t="n"/>
      <c r="X170" s="2">
        <f>Q170</f>
        <v/>
      </c>
      <c r="Y170" s="4">
        <f>'QBO Transactions'!$Q172</f>
        <v/>
      </c>
      <c r="Z170" s="2" t="n"/>
      <c r="AA170" s="2" t="n"/>
      <c r="AB170" s="2" t="n"/>
      <c r="AC170" s="2" t="n"/>
      <c r="AD170" s="2" t="n"/>
      <c r="AE170" s="2" t="n"/>
    </row>
    <row r="171" ht="12.75" customHeight="1" s="52">
      <c r="A171" s="2" t="n"/>
      <c r="B171" s="2">
        <f>'QBO Transactions'!$U173</f>
        <v/>
      </c>
      <c r="C171" s="3">
        <f>'QBO Transactions'!$S173</f>
        <v/>
      </c>
      <c r="D171" s="2">
        <f>'QBO Transactions'!$R173</f>
        <v/>
      </c>
      <c r="E171" s="2" t="n"/>
      <c r="F171" s="3">
        <f>'QBO Transactions'!$X173</f>
        <v/>
      </c>
      <c r="G171" s="2" t="n"/>
      <c r="H171" s="2" t="n"/>
      <c r="I171" s="2" t="n"/>
      <c r="J171" s="2" t="n"/>
      <c r="K171" s="2" t="n"/>
      <c r="L171" s="2" t="n"/>
      <c r="M171" s="2" t="n"/>
      <c r="N171" s="2">
        <f>'QBO Transactions'!$Y173</f>
        <v/>
      </c>
      <c r="O171" s="2" t="n"/>
      <c r="P171" s="2" t="n"/>
      <c r="Q171" s="2">
        <f>'QBO Transactions'!$T173</f>
        <v/>
      </c>
      <c r="R171" s="2" t="n"/>
      <c r="S171" s="2" t="n"/>
      <c r="T171" s="2" t="n"/>
      <c r="U171" s="2" t="n"/>
      <c r="V171" s="2" t="n"/>
      <c r="W171" s="2" t="n"/>
      <c r="X171" s="2">
        <f>Q171</f>
        <v/>
      </c>
      <c r="Y171" s="4">
        <f>'QBO Transactions'!$Q173</f>
        <v/>
      </c>
      <c r="Z171" s="2" t="n"/>
      <c r="AA171" s="2" t="n"/>
      <c r="AB171" s="2" t="n"/>
      <c r="AC171" s="2" t="n"/>
      <c r="AD171" s="2" t="n"/>
      <c r="AE171" s="2" t="n"/>
    </row>
    <row r="172" ht="12.75" customHeight="1" s="52">
      <c r="A172" s="2" t="n"/>
      <c r="B172" s="2">
        <f>'QBO Transactions'!$U174</f>
        <v/>
      </c>
      <c r="C172" s="3">
        <f>'QBO Transactions'!$S174</f>
        <v/>
      </c>
      <c r="D172" s="2">
        <f>'QBO Transactions'!$R174</f>
        <v/>
      </c>
      <c r="E172" s="2" t="n"/>
      <c r="F172" s="3">
        <f>'QBO Transactions'!$X174</f>
        <v/>
      </c>
      <c r="G172" s="2" t="n"/>
      <c r="H172" s="2" t="n"/>
      <c r="I172" s="2" t="n"/>
      <c r="J172" s="2" t="n"/>
      <c r="K172" s="2" t="n"/>
      <c r="L172" s="2" t="n"/>
      <c r="M172" s="2" t="n"/>
      <c r="N172" s="2">
        <f>'QBO Transactions'!$Y174</f>
        <v/>
      </c>
      <c r="O172" s="2" t="n"/>
      <c r="P172" s="2" t="n"/>
      <c r="Q172" s="2">
        <f>'QBO Transactions'!$T174</f>
        <v/>
      </c>
      <c r="R172" s="2" t="n"/>
      <c r="S172" s="2" t="n"/>
      <c r="T172" s="2" t="n"/>
      <c r="U172" s="2" t="n"/>
      <c r="V172" s="2" t="n"/>
      <c r="W172" s="2" t="n"/>
      <c r="X172" s="2">
        <f>Q172</f>
        <v/>
      </c>
      <c r="Y172" s="4">
        <f>'QBO Transactions'!$Q174</f>
        <v/>
      </c>
      <c r="Z172" s="2" t="n"/>
      <c r="AA172" s="2" t="n"/>
      <c r="AB172" s="2" t="n"/>
      <c r="AC172" s="2" t="n"/>
      <c r="AD172" s="2" t="n"/>
      <c r="AE172" s="2" t="n"/>
    </row>
    <row r="173" ht="12.75" customHeight="1" s="52">
      <c r="A173" s="2" t="n"/>
      <c r="B173" s="2">
        <f>'QBO Transactions'!$U175</f>
        <v/>
      </c>
      <c r="C173" s="3">
        <f>'QBO Transactions'!$S175</f>
        <v/>
      </c>
      <c r="D173" s="2">
        <f>'QBO Transactions'!$R175</f>
        <v/>
      </c>
      <c r="E173" s="2" t="n"/>
      <c r="F173" s="3">
        <f>'QBO Transactions'!$X175</f>
        <v/>
      </c>
      <c r="G173" s="2" t="n"/>
      <c r="H173" s="2" t="n"/>
      <c r="I173" s="2" t="n"/>
      <c r="J173" s="2" t="n"/>
      <c r="K173" s="2" t="n"/>
      <c r="L173" s="2" t="n"/>
      <c r="M173" s="2" t="n"/>
      <c r="N173" s="2">
        <f>'QBO Transactions'!$Y175</f>
        <v/>
      </c>
      <c r="O173" s="2" t="n"/>
      <c r="P173" s="2" t="n"/>
      <c r="Q173" s="2">
        <f>'QBO Transactions'!$T175</f>
        <v/>
      </c>
      <c r="R173" s="2" t="n"/>
      <c r="S173" s="2" t="n"/>
      <c r="T173" s="2" t="n"/>
      <c r="U173" s="2" t="n"/>
      <c r="V173" s="2" t="n"/>
      <c r="W173" s="2" t="n"/>
      <c r="X173" s="2">
        <f>Q173</f>
        <v/>
      </c>
      <c r="Y173" s="4">
        <f>'QBO Transactions'!$Q175</f>
        <v/>
      </c>
      <c r="Z173" s="2" t="n"/>
      <c r="AA173" s="2" t="n"/>
      <c r="AB173" s="2" t="n"/>
      <c r="AC173" s="2" t="n"/>
      <c r="AD173" s="2" t="n"/>
      <c r="AE173" s="2" t="n"/>
    </row>
    <row r="174" ht="12.75" customHeight="1" s="52">
      <c r="A174" s="2" t="n"/>
      <c r="B174" s="2">
        <f>'QBO Transactions'!$U176</f>
        <v/>
      </c>
      <c r="C174" s="3">
        <f>'QBO Transactions'!$S176</f>
        <v/>
      </c>
      <c r="D174" s="2">
        <f>'QBO Transactions'!$R176</f>
        <v/>
      </c>
      <c r="E174" s="2" t="n"/>
      <c r="F174" s="3">
        <f>'QBO Transactions'!$X176</f>
        <v/>
      </c>
      <c r="G174" s="2" t="n"/>
      <c r="H174" s="2" t="n"/>
      <c r="I174" s="2" t="n"/>
      <c r="J174" s="2" t="n"/>
      <c r="K174" s="2" t="n"/>
      <c r="L174" s="2" t="n"/>
      <c r="M174" s="2" t="n"/>
      <c r="N174" s="2">
        <f>'QBO Transactions'!$Y176</f>
        <v/>
      </c>
      <c r="O174" s="2" t="n"/>
      <c r="P174" s="2" t="n"/>
      <c r="Q174" s="2">
        <f>'QBO Transactions'!$T176</f>
        <v/>
      </c>
      <c r="R174" s="2" t="n"/>
      <c r="S174" s="2" t="n"/>
      <c r="T174" s="2" t="n"/>
      <c r="U174" s="2" t="n"/>
      <c r="V174" s="2" t="n"/>
      <c r="W174" s="2" t="n"/>
      <c r="X174" s="2">
        <f>Q174</f>
        <v/>
      </c>
      <c r="Y174" s="4">
        <f>'QBO Transactions'!$Q176</f>
        <v/>
      </c>
      <c r="Z174" s="2" t="n"/>
      <c r="AA174" s="2" t="n"/>
      <c r="AB174" s="2" t="n"/>
      <c r="AC174" s="2" t="n"/>
      <c r="AD174" s="2" t="n"/>
      <c r="AE174" s="2" t="n"/>
    </row>
    <row r="175" ht="12.75" customHeight="1" s="52">
      <c r="A175" s="2" t="n"/>
      <c r="B175" s="2">
        <f>'QBO Transactions'!$U177</f>
        <v/>
      </c>
      <c r="C175" s="3">
        <f>'QBO Transactions'!$S177</f>
        <v/>
      </c>
      <c r="D175" s="2">
        <f>'QBO Transactions'!$R177</f>
        <v/>
      </c>
      <c r="E175" s="2" t="n"/>
      <c r="F175" s="3">
        <f>'QBO Transactions'!$X177</f>
        <v/>
      </c>
      <c r="G175" s="2" t="n"/>
      <c r="H175" s="2" t="n"/>
      <c r="I175" s="2" t="n"/>
      <c r="J175" s="2" t="n"/>
      <c r="K175" s="2" t="n"/>
      <c r="L175" s="2" t="n"/>
      <c r="M175" s="2" t="n"/>
      <c r="N175" s="2">
        <f>'QBO Transactions'!$Y177</f>
        <v/>
      </c>
      <c r="O175" s="2" t="n"/>
      <c r="P175" s="2" t="n"/>
      <c r="Q175" s="2">
        <f>'QBO Transactions'!$T177</f>
        <v/>
      </c>
      <c r="R175" s="2" t="n"/>
      <c r="S175" s="2" t="n"/>
      <c r="T175" s="2" t="n"/>
      <c r="U175" s="2" t="n"/>
      <c r="V175" s="2" t="n"/>
      <c r="W175" s="2" t="n"/>
      <c r="X175" s="2">
        <f>Q175</f>
        <v/>
      </c>
      <c r="Y175" s="4">
        <f>'QBO Transactions'!$Q177</f>
        <v/>
      </c>
      <c r="Z175" s="2" t="n"/>
      <c r="AA175" s="2" t="n"/>
      <c r="AB175" s="2" t="n"/>
      <c r="AC175" s="2" t="n"/>
      <c r="AD175" s="2" t="n"/>
      <c r="AE175" s="2" t="n"/>
    </row>
    <row r="176" ht="12.75" customHeight="1" s="52">
      <c r="A176" s="2" t="n"/>
      <c r="B176" s="2">
        <f>'QBO Transactions'!$U178</f>
        <v/>
      </c>
      <c r="C176" s="3">
        <f>'QBO Transactions'!$S178</f>
        <v/>
      </c>
      <c r="D176" s="2">
        <f>'QBO Transactions'!$R178</f>
        <v/>
      </c>
      <c r="E176" s="2" t="n"/>
      <c r="F176" s="3">
        <f>'QBO Transactions'!$X178</f>
        <v/>
      </c>
      <c r="G176" s="2" t="n"/>
      <c r="H176" s="2" t="n"/>
      <c r="I176" s="2" t="n"/>
      <c r="J176" s="2" t="n"/>
      <c r="K176" s="2" t="n"/>
      <c r="L176" s="2" t="n"/>
      <c r="M176" s="2" t="n"/>
      <c r="N176" s="2">
        <f>'QBO Transactions'!$Y178</f>
        <v/>
      </c>
      <c r="O176" s="2" t="n"/>
      <c r="P176" s="2" t="n"/>
      <c r="Q176" s="2">
        <f>'QBO Transactions'!$T178</f>
        <v/>
      </c>
      <c r="R176" s="2" t="n"/>
      <c r="S176" s="2" t="n"/>
      <c r="T176" s="2" t="n"/>
      <c r="U176" s="2" t="n"/>
      <c r="V176" s="2" t="n"/>
      <c r="W176" s="2" t="n"/>
      <c r="X176" s="2">
        <f>Q176</f>
        <v/>
      </c>
      <c r="Y176" s="4">
        <f>'QBO Transactions'!$Q178</f>
        <v/>
      </c>
      <c r="Z176" s="2" t="n"/>
      <c r="AA176" s="2" t="n"/>
      <c r="AB176" s="2" t="n"/>
      <c r="AC176" s="2" t="n"/>
      <c r="AD176" s="2" t="n"/>
      <c r="AE176" s="2" t="n"/>
    </row>
    <row r="177" ht="12.75" customHeight="1" s="52">
      <c r="A177" s="2" t="n"/>
      <c r="B177" s="2">
        <f>'QBO Transactions'!$U179</f>
        <v/>
      </c>
      <c r="C177" s="3">
        <f>'QBO Transactions'!$S179</f>
        <v/>
      </c>
      <c r="D177" s="2">
        <f>'QBO Transactions'!$R179</f>
        <v/>
      </c>
      <c r="E177" s="2" t="n"/>
      <c r="F177" s="3">
        <f>'QBO Transactions'!$X179</f>
        <v/>
      </c>
      <c r="G177" s="2" t="n"/>
      <c r="H177" s="2" t="n"/>
      <c r="I177" s="2" t="n"/>
      <c r="J177" s="2" t="n"/>
      <c r="K177" s="2" t="n"/>
      <c r="L177" s="2" t="n"/>
      <c r="M177" s="2" t="n"/>
      <c r="N177" s="2">
        <f>'QBO Transactions'!$Y179</f>
        <v/>
      </c>
      <c r="O177" s="2" t="n"/>
      <c r="P177" s="2" t="n"/>
      <c r="Q177" s="2">
        <f>'QBO Transactions'!$T179</f>
        <v/>
      </c>
      <c r="R177" s="2" t="n"/>
      <c r="S177" s="2" t="n"/>
      <c r="T177" s="2" t="n"/>
      <c r="U177" s="2" t="n"/>
      <c r="V177" s="2" t="n"/>
      <c r="W177" s="2" t="n"/>
      <c r="X177" s="2">
        <f>Q177</f>
        <v/>
      </c>
      <c r="Y177" s="4">
        <f>'QBO Transactions'!$Q179</f>
        <v/>
      </c>
      <c r="Z177" s="2" t="n"/>
      <c r="AA177" s="2" t="n"/>
      <c r="AB177" s="2" t="n"/>
      <c r="AC177" s="2" t="n"/>
      <c r="AD177" s="2" t="n"/>
      <c r="AE177" s="2" t="n"/>
    </row>
    <row r="178" ht="12.75" customHeight="1" s="52">
      <c r="A178" s="2" t="n"/>
      <c r="B178" s="2">
        <f>'QBO Transactions'!$U180</f>
        <v/>
      </c>
      <c r="C178" s="3">
        <f>'QBO Transactions'!$S180</f>
        <v/>
      </c>
      <c r="D178" s="2">
        <f>'QBO Transactions'!$R180</f>
        <v/>
      </c>
      <c r="E178" s="2" t="n"/>
      <c r="F178" s="3">
        <f>'QBO Transactions'!$X180</f>
        <v/>
      </c>
      <c r="G178" s="2" t="n"/>
      <c r="H178" s="2" t="n"/>
      <c r="I178" s="2" t="n"/>
      <c r="J178" s="2" t="n"/>
      <c r="K178" s="2" t="n"/>
      <c r="L178" s="2" t="n"/>
      <c r="M178" s="2" t="n"/>
      <c r="N178" s="2">
        <f>'QBO Transactions'!$Y180</f>
        <v/>
      </c>
      <c r="O178" s="2" t="n"/>
      <c r="P178" s="2" t="n"/>
      <c r="Q178" s="2">
        <f>'QBO Transactions'!$T180</f>
        <v/>
      </c>
      <c r="R178" s="2" t="n"/>
      <c r="S178" s="2" t="n"/>
      <c r="T178" s="2" t="n"/>
      <c r="U178" s="2" t="n"/>
      <c r="V178" s="2" t="n"/>
      <c r="W178" s="2" t="n"/>
      <c r="X178" s="2">
        <f>Q178</f>
        <v/>
      </c>
      <c r="Y178" s="4">
        <f>'QBO Transactions'!$Q180</f>
        <v/>
      </c>
      <c r="Z178" s="2" t="n"/>
      <c r="AA178" s="2" t="n"/>
      <c r="AB178" s="2" t="n"/>
      <c r="AC178" s="2" t="n"/>
      <c r="AD178" s="2" t="n"/>
      <c r="AE178" s="2" t="n"/>
    </row>
    <row r="179" ht="12.75" customHeight="1" s="52">
      <c r="A179" s="2" t="n"/>
      <c r="B179" s="2">
        <f>'QBO Transactions'!$U181</f>
        <v/>
      </c>
      <c r="C179" s="3">
        <f>'QBO Transactions'!$S181</f>
        <v/>
      </c>
      <c r="D179" s="2">
        <f>'QBO Transactions'!$R181</f>
        <v/>
      </c>
      <c r="E179" s="2" t="n"/>
      <c r="F179" s="3">
        <f>'QBO Transactions'!$X181</f>
        <v/>
      </c>
      <c r="G179" s="2" t="n"/>
      <c r="H179" s="2" t="n"/>
      <c r="I179" s="2" t="n"/>
      <c r="J179" s="2" t="n"/>
      <c r="K179" s="2" t="n"/>
      <c r="L179" s="2" t="n"/>
      <c r="M179" s="2" t="n"/>
      <c r="N179" s="2">
        <f>'QBO Transactions'!$Y181</f>
        <v/>
      </c>
      <c r="O179" s="2" t="n"/>
      <c r="P179" s="2" t="n"/>
      <c r="Q179" s="2">
        <f>'QBO Transactions'!$T181</f>
        <v/>
      </c>
      <c r="R179" s="2" t="n"/>
      <c r="S179" s="2" t="n"/>
      <c r="T179" s="2" t="n"/>
      <c r="U179" s="2" t="n"/>
      <c r="V179" s="2" t="n"/>
      <c r="W179" s="2" t="n"/>
      <c r="X179" s="2">
        <f>Q179</f>
        <v/>
      </c>
      <c r="Y179" s="4">
        <f>'QBO Transactions'!$Q181</f>
        <v/>
      </c>
      <c r="Z179" s="2" t="n"/>
      <c r="AA179" s="2" t="n"/>
      <c r="AB179" s="2" t="n"/>
      <c r="AC179" s="2" t="n"/>
      <c r="AD179" s="2" t="n"/>
      <c r="AE179" s="2" t="n"/>
    </row>
    <row r="180" ht="12.75" customHeight="1" s="52">
      <c r="A180" s="2" t="n"/>
      <c r="B180" s="2">
        <f>'QBO Transactions'!$U182</f>
        <v/>
      </c>
      <c r="C180" s="3">
        <f>'QBO Transactions'!$S182</f>
        <v/>
      </c>
      <c r="D180" s="2">
        <f>'QBO Transactions'!$R182</f>
        <v/>
      </c>
      <c r="E180" s="2" t="n"/>
      <c r="F180" s="3">
        <f>'QBO Transactions'!$X182</f>
        <v/>
      </c>
      <c r="G180" s="2" t="n"/>
      <c r="H180" s="2" t="n"/>
      <c r="I180" s="2" t="n"/>
      <c r="J180" s="2" t="n"/>
      <c r="K180" s="2" t="n"/>
      <c r="L180" s="2" t="n"/>
      <c r="M180" s="2" t="n"/>
      <c r="N180" s="2">
        <f>'QBO Transactions'!$Y182</f>
        <v/>
      </c>
      <c r="O180" s="2" t="n"/>
      <c r="P180" s="2" t="n"/>
      <c r="Q180" s="2">
        <f>'QBO Transactions'!$T182</f>
        <v/>
      </c>
      <c r="R180" s="2" t="n"/>
      <c r="S180" s="2" t="n"/>
      <c r="T180" s="2" t="n"/>
      <c r="U180" s="2" t="n"/>
      <c r="V180" s="2" t="n"/>
      <c r="W180" s="2" t="n"/>
      <c r="X180" s="2">
        <f>Q180</f>
        <v/>
      </c>
      <c r="Y180" s="4">
        <f>'QBO Transactions'!$Q182</f>
        <v/>
      </c>
      <c r="Z180" s="2" t="n"/>
      <c r="AA180" s="2" t="n"/>
      <c r="AB180" s="2" t="n"/>
      <c r="AC180" s="2" t="n"/>
      <c r="AD180" s="2" t="n"/>
      <c r="AE180" s="2" t="n"/>
    </row>
    <row r="181" ht="12.75" customHeight="1" s="52">
      <c r="A181" s="2" t="n"/>
      <c r="B181" s="2">
        <f>'QBO Transactions'!$U183</f>
        <v/>
      </c>
      <c r="C181" s="3">
        <f>'QBO Transactions'!$S183</f>
        <v/>
      </c>
      <c r="D181" s="2">
        <f>'QBO Transactions'!$R183</f>
        <v/>
      </c>
      <c r="E181" s="2" t="n"/>
      <c r="F181" s="3">
        <f>'QBO Transactions'!$X183</f>
        <v/>
      </c>
      <c r="G181" s="2" t="n"/>
      <c r="H181" s="2" t="n"/>
      <c r="I181" s="2" t="n"/>
      <c r="J181" s="2" t="n"/>
      <c r="K181" s="2" t="n"/>
      <c r="L181" s="2" t="n"/>
      <c r="M181" s="2" t="n"/>
      <c r="N181" s="2">
        <f>'QBO Transactions'!$Y183</f>
        <v/>
      </c>
      <c r="O181" s="2" t="n"/>
      <c r="P181" s="2" t="n"/>
      <c r="Q181" s="2">
        <f>'QBO Transactions'!$T183</f>
        <v/>
      </c>
      <c r="R181" s="2" t="n"/>
      <c r="S181" s="2" t="n"/>
      <c r="T181" s="2" t="n"/>
      <c r="U181" s="2" t="n"/>
      <c r="V181" s="2" t="n"/>
      <c r="W181" s="2" t="n"/>
      <c r="X181" s="2">
        <f>Q181</f>
        <v/>
      </c>
      <c r="Y181" s="4">
        <f>'QBO Transactions'!$Q183</f>
        <v/>
      </c>
      <c r="Z181" s="2" t="n"/>
      <c r="AA181" s="2" t="n"/>
      <c r="AB181" s="2" t="n"/>
      <c r="AC181" s="2" t="n"/>
      <c r="AD181" s="2" t="n"/>
      <c r="AE181" s="2" t="n"/>
    </row>
    <row r="182" ht="12.75" customHeight="1" s="52">
      <c r="A182" s="2" t="n"/>
      <c r="B182" s="2">
        <f>'QBO Transactions'!$U184</f>
        <v/>
      </c>
      <c r="C182" s="3">
        <f>'QBO Transactions'!$S184</f>
        <v/>
      </c>
      <c r="D182" s="2">
        <f>'QBO Transactions'!$R184</f>
        <v/>
      </c>
      <c r="E182" s="2" t="n"/>
      <c r="F182" s="3">
        <f>'QBO Transactions'!$X184</f>
        <v/>
      </c>
      <c r="G182" s="2" t="n"/>
      <c r="H182" s="2" t="n"/>
      <c r="I182" s="2" t="n"/>
      <c r="J182" s="2" t="n"/>
      <c r="K182" s="2" t="n"/>
      <c r="L182" s="2" t="n"/>
      <c r="M182" s="2" t="n"/>
      <c r="N182" s="2">
        <f>'QBO Transactions'!$Y184</f>
        <v/>
      </c>
      <c r="O182" s="2" t="n"/>
      <c r="P182" s="2" t="n"/>
      <c r="Q182" s="2">
        <f>'QBO Transactions'!$T184</f>
        <v/>
      </c>
      <c r="R182" s="2" t="n"/>
      <c r="S182" s="2" t="n"/>
      <c r="T182" s="2" t="n"/>
      <c r="U182" s="2" t="n"/>
      <c r="V182" s="2" t="n"/>
      <c r="W182" s="2" t="n"/>
      <c r="X182" s="2">
        <f>Q182</f>
        <v/>
      </c>
      <c r="Y182" s="4">
        <f>'QBO Transactions'!$Q184</f>
        <v/>
      </c>
      <c r="Z182" s="2" t="n"/>
      <c r="AA182" s="2" t="n"/>
      <c r="AB182" s="2" t="n"/>
      <c r="AC182" s="2" t="n"/>
      <c r="AD182" s="2" t="n"/>
      <c r="AE182" s="2" t="n"/>
    </row>
    <row r="183" ht="12.75" customHeight="1" s="52">
      <c r="A183" s="2" t="n"/>
      <c r="B183" s="2">
        <f>'QBO Transactions'!$U185</f>
        <v/>
      </c>
      <c r="C183" s="3">
        <f>'QBO Transactions'!$S185</f>
        <v/>
      </c>
      <c r="D183" s="2">
        <f>'QBO Transactions'!$R185</f>
        <v/>
      </c>
      <c r="E183" s="2" t="n"/>
      <c r="F183" s="3">
        <f>'QBO Transactions'!$X185</f>
        <v/>
      </c>
      <c r="G183" s="2" t="n"/>
      <c r="H183" s="2" t="n"/>
      <c r="I183" s="2" t="n"/>
      <c r="J183" s="2" t="n"/>
      <c r="K183" s="2" t="n"/>
      <c r="L183" s="2" t="n"/>
      <c r="M183" s="2" t="n"/>
      <c r="N183" s="2">
        <f>'QBO Transactions'!$Y185</f>
        <v/>
      </c>
      <c r="O183" s="2" t="n"/>
      <c r="P183" s="2" t="n"/>
      <c r="Q183" s="2">
        <f>'QBO Transactions'!$T185</f>
        <v/>
      </c>
      <c r="R183" s="2" t="n"/>
      <c r="S183" s="2" t="n"/>
      <c r="T183" s="2" t="n"/>
      <c r="U183" s="2" t="n"/>
      <c r="V183" s="2" t="n"/>
      <c r="W183" s="2" t="n"/>
      <c r="X183" s="2">
        <f>Q183</f>
        <v/>
      </c>
      <c r="Y183" s="4">
        <f>'QBO Transactions'!$Q185</f>
        <v/>
      </c>
      <c r="Z183" s="2" t="n"/>
      <c r="AA183" s="2" t="n"/>
      <c r="AB183" s="2" t="n"/>
      <c r="AC183" s="2" t="n"/>
      <c r="AD183" s="2" t="n"/>
      <c r="AE183" s="2" t="n"/>
    </row>
    <row r="184" ht="12.75" customHeight="1" s="52">
      <c r="A184" s="2" t="n"/>
      <c r="B184" s="2">
        <f>'QBO Transactions'!$U186</f>
        <v/>
      </c>
      <c r="C184" s="3">
        <f>'QBO Transactions'!$S186</f>
        <v/>
      </c>
      <c r="D184" s="2">
        <f>'QBO Transactions'!$R186</f>
        <v/>
      </c>
      <c r="E184" s="2" t="n"/>
      <c r="F184" s="3">
        <f>'QBO Transactions'!$X186</f>
        <v/>
      </c>
      <c r="G184" s="2" t="n"/>
      <c r="H184" s="2" t="n"/>
      <c r="I184" s="2" t="n"/>
      <c r="J184" s="2" t="n"/>
      <c r="K184" s="2" t="n"/>
      <c r="L184" s="2" t="n"/>
      <c r="M184" s="2" t="n"/>
      <c r="N184" s="2">
        <f>'QBO Transactions'!$Y186</f>
        <v/>
      </c>
      <c r="O184" s="2" t="n"/>
      <c r="P184" s="2" t="n"/>
      <c r="Q184" s="2">
        <f>'QBO Transactions'!$T186</f>
        <v/>
      </c>
      <c r="R184" s="2" t="n"/>
      <c r="S184" s="2" t="n"/>
      <c r="T184" s="2" t="n"/>
      <c r="U184" s="2" t="n"/>
      <c r="V184" s="2" t="n"/>
      <c r="W184" s="2" t="n"/>
      <c r="X184" s="2">
        <f>Q184</f>
        <v/>
      </c>
      <c r="Y184" s="4">
        <f>'QBO Transactions'!$Q186</f>
        <v/>
      </c>
      <c r="Z184" s="2" t="n"/>
      <c r="AA184" s="2" t="n"/>
      <c r="AB184" s="2" t="n"/>
      <c r="AC184" s="2" t="n"/>
      <c r="AD184" s="2" t="n"/>
      <c r="AE184" s="2" t="n"/>
    </row>
    <row r="185" ht="12.75" customHeight="1" s="52">
      <c r="A185" s="2" t="n"/>
      <c r="B185" s="2">
        <f>'QBO Transactions'!$U187</f>
        <v/>
      </c>
      <c r="C185" s="3">
        <f>'QBO Transactions'!$S187</f>
        <v/>
      </c>
      <c r="D185" s="2">
        <f>'QBO Transactions'!$R187</f>
        <v/>
      </c>
      <c r="E185" s="2" t="n"/>
      <c r="F185" s="3">
        <f>'QBO Transactions'!$X187</f>
        <v/>
      </c>
      <c r="G185" s="2" t="n"/>
      <c r="H185" s="2" t="n"/>
      <c r="I185" s="2" t="n"/>
      <c r="J185" s="2" t="n"/>
      <c r="K185" s="2" t="n"/>
      <c r="L185" s="2" t="n"/>
      <c r="M185" s="2" t="n"/>
      <c r="N185" s="2">
        <f>'QBO Transactions'!$Y187</f>
        <v/>
      </c>
      <c r="O185" s="2" t="n"/>
      <c r="P185" s="2" t="n"/>
      <c r="Q185" s="2">
        <f>'QBO Transactions'!$T187</f>
        <v/>
      </c>
      <c r="R185" s="2" t="n"/>
      <c r="S185" s="2" t="n"/>
      <c r="T185" s="2" t="n"/>
      <c r="U185" s="2" t="n"/>
      <c r="V185" s="2" t="n"/>
      <c r="W185" s="2" t="n"/>
      <c r="X185" s="2">
        <f>Q185</f>
        <v/>
      </c>
      <c r="Y185" s="4">
        <f>'QBO Transactions'!$Q187</f>
        <v/>
      </c>
      <c r="Z185" s="2" t="n"/>
      <c r="AA185" s="2" t="n"/>
      <c r="AB185" s="2" t="n"/>
      <c r="AC185" s="2" t="n"/>
      <c r="AD185" s="2" t="n"/>
      <c r="AE185" s="2" t="n"/>
    </row>
    <row r="186" ht="12.75" customHeight="1" s="52">
      <c r="A186" s="2" t="n"/>
      <c r="B186" s="2">
        <f>'QBO Transactions'!$U188</f>
        <v/>
      </c>
      <c r="C186" s="3">
        <f>'QBO Transactions'!$S188</f>
        <v/>
      </c>
      <c r="D186" s="2">
        <f>'QBO Transactions'!$R188</f>
        <v/>
      </c>
      <c r="E186" s="2" t="n"/>
      <c r="F186" s="3">
        <f>'QBO Transactions'!$X188</f>
        <v/>
      </c>
      <c r="G186" s="2" t="n"/>
      <c r="H186" s="2" t="n"/>
      <c r="I186" s="2" t="n"/>
      <c r="J186" s="2" t="n"/>
      <c r="K186" s="2" t="n"/>
      <c r="L186" s="2" t="n"/>
      <c r="M186" s="2" t="n"/>
      <c r="N186" s="2">
        <f>'QBO Transactions'!$Y188</f>
        <v/>
      </c>
      <c r="O186" s="2" t="n"/>
      <c r="P186" s="2" t="n"/>
      <c r="Q186" s="2">
        <f>'QBO Transactions'!$T188</f>
        <v/>
      </c>
      <c r="R186" s="2" t="n"/>
      <c r="S186" s="2" t="n"/>
      <c r="T186" s="2" t="n"/>
      <c r="U186" s="2" t="n"/>
      <c r="V186" s="2" t="n"/>
      <c r="W186" s="2" t="n"/>
      <c r="X186" s="2">
        <f>Q186</f>
        <v/>
      </c>
      <c r="Y186" s="4">
        <f>'QBO Transactions'!$Q188</f>
        <v/>
      </c>
      <c r="Z186" s="2" t="n"/>
      <c r="AA186" s="2" t="n"/>
      <c r="AB186" s="2" t="n"/>
      <c r="AC186" s="2" t="n"/>
      <c r="AD186" s="2" t="n"/>
      <c r="AE186" s="2" t="n"/>
    </row>
    <row r="187" ht="12.75" customHeight="1" s="52">
      <c r="A187" s="2" t="n"/>
      <c r="B187" s="2">
        <f>'QBO Transactions'!$U189</f>
        <v/>
      </c>
      <c r="C187" s="3">
        <f>'QBO Transactions'!$S189</f>
        <v/>
      </c>
      <c r="D187" s="2">
        <f>'QBO Transactions'!$R189</f>
        <v/>
      </c>
      <c r="E187" s="2" t="n"/>
      <c r="F187" s="3">
        <f>'QBO Transactions'!$X189</f>
        <v/>
      </c>
      <c r="G187" s="2" t="n"/>
      <c r="H187" s="2" t="n"/>
      <c r="I187" s="2" t="n"/>
      <c r="J187" s="2" t="n"/>
      <c r="K187" s="2" t="n"/>
      <c r="L187" s="2" t="n"/>
      <c r="M187" s="2" t="n"/>
      <c r="N187" s="2">
        <f>'QBO Transactions'!$Y189</f>
        <v/>
      </c>
      <c r="O187" s="2" t="n"/>
      <c r="P187" s="2" t="n"/>
      <c r="Q187" s="2">
        <f>'QBO Transactions'!$T189</f>
        <v/>
      </c>
      <c r="R187" s="2" t="n"/>
      <c r="S187" s="2" t="n"/>
      <c r="T187" s="2" t="n"/>
      <c r="U187" s="2" t="n"/>
      <c r="V187" s="2" t="n"/>
      <c r="W187" s="2" t="n"/>
      <c r="X187" s="2">
        <f>Q187</f>
        <v/>
      </c>
      <c r="Y187" s="4">
        <f>'QBO Transactions'!$Q189</f>
        <v/>
      </c>
      <c r="Z187" s="2" t="n"/>
      <c r="AA187" s="2" t="n"/>
      <c r="AB187" s="2" t="n"/>
      <c r="AC187" s="2" t="n"/>
      <c r="AD187" s="2" t="n"/>
      <c r="AE187" s="2" t="n"/>
    </row>
    <row r="188" ht="12.75" customHeight="1" s="52">
      <c r="A188" s="2" t="n"/>
      <c r="B188" s="2">
        <f>'QBO Transactions'!$U190</f>
        <v/>
      </c>
      <c r="C188" s="3">
        <f>'QBO Transactions'!$S190</f>
        <v/>
      </c>
      <c r="D188" s="2">
        <f>'QBO Transactions'!$R190</f>
        <v/>
      </c>
      <c r="E188" s="2" t="n"/>
      <c r="F188" s="3">
        <f>'QBO Transactions'!$X190</f>
        <v/>
      </c>
      <c r="G188" s="2" t="n"/>
      <c r="H188" s="2" t="n"/>
      <c r="I188" s="2" t="n"/>
      <c r="J188" s="2" t="n"/>
      <c r="K188" s="2" t="n"/>
      <c r="L188" s="2" t="n"/>
      <c r="M188" s="2" t="n"/>
      <c r="N188" s="2">
        <f>'QBO Transactions'!$Y190</f>
        <v/>
      </c>
      <c r="O188" s="2" t="n"/>
      <c r="P188" s="2" t="n"/>
      <c r="Q188" s="2">
        <f>'QBO Transactions'!$T190</f>
        <v/>
      </c>
      <c r="R188" s="2" t="n"/>
      <c r="S188" s="2" t="n"/>
      <c r="T188" s="2" t="n"/>
      <c r="U188" s="2" t="n"/>
      <c r="V188" s="2" t="n"/>
      <c r="W188" s="2" t="n"/>
      <c r="X188" s="2">
        <f>Q188</f>
        <v/>
      </c>
      <c r="Y188" s="4">
        <f>'QBO Transactions'!$Q190</f>
        <v/>
      </c>
      <c r="Z188" s="2" t="n"/>
      <c r="AA188" s="2" t="n"/>
      <c r="AB188" s="2" t="n"/>
      <c r="AC188" s="2" t="n"/>
      <c r="AD188" s="2" t="n"/>
      <c r="AE188" s="2" t="n"/>
    </row>
    <row r="189" ht="12.75" customHeight="1" s="52">
      <c r="A189" s="2" t="n"/>
      <c r="B189" s="2">
        <f>'QBO Transactions'!$U191</f>
        <v/>
      </c>
      <c r="C189" s="3">
        <f>'QBO Transactions'!$S191</f>
        <v/>
      </c>
      <c r="D189" s="2">
        <f>'QBO Transactions'!$R191</f>
        <v/>
      </c>
      <c r="E189" s="2" t="n"/>
      <c r="F189" s="3">
        <f>'QBO Transactions'!$X191</f>
        <v/>
      </c>
      <c r="G189" s="2" t="n"/>
      <c r="H189" s="2" t="n"/>
      <c r="I189" s="2" t="n"/>
      <c r="J189" s="2" t="n"/>
      <c r="K189" s="2" t="n"/>
      <c r="L189" s="2" t="n"/>
      <c r="M189" s="2" t="n"/>
      <c r="N189" s="2">
        <f>'QBO Transactions'!$Y191</f>
        <v/>
      </c>
      <c r="O189" s="2" t="n"/>
      <c r="P189" s="2" t="n"/>
      <c r="Q189" s="2">
        <f>'QBO Transactions'!$T191</f>
        <v/>
      </c>
      <c r="R189" s="2" t="n"/>
      <c r="S189" s="2" t="n"/>
      <c r="T189" s="2" t="n"/>
      <c r="U189" s="2" t="n"/>
      <c r="V189" s="2" t="n"/>
      <c r="W189" s="2" t="n"/>
      <c r="X189" s="2">
        <f>Q189</f>
        <v/>
      </c>
      <c r="Y189" s="4">
        <f>'QBO Transactions'!$Q191</f>
        <v/>
      </c>
      <c r="Z189" s="2" t="n"/>
      <c r="AA189" s="2" t="n"/>
      <c r="AB189" s="2" t="n"/>
      <c r="AC189" s="2" t="n"/>
      <c r="AD189" s="2" t="n"/>
      <c r="AE189" s="2" t="n"/>
    </row>
    <row r="190" ht="12.75" customHeight="1" s="52">
      <c r="A190" s="2" t="n"/>
      <c r="B190" s="2">
        <f>'QBO Transactions'!$U192</f>
        <v/>
      </c>
      <c r="C190" s="3">
        <f>'QBO Transactions'!$S192</f>
        <v/>
      </c>
      <c r="D190" s="2">
        <f>'QBO Transactions'!$R192</f>
        <v/>
      </c>
      <c r="E190" s="2" t="n"/>
      <c r="F190" s="3">
        <f>'QBO Transactions'!$X192</f>
        <v/>
      </c>
      <c r="G190" s="2" t="n"/>
      <c r="H190" s="2" t="n"/>
      <c r="I190" s="2" t="n"/>
      <c r="J190" s="2" t="n"/>
      <c r="K190" s="2" t="n"/>
      <c r="L190" s="2" t="n"/>
      <c r="M190" s="2" t="n"/>
      <c r="N190" s="2">
        <f>'QBO Transactions'!$Y192</f>
        <v/>
      </c>
      <c r="O190" s="2" t="n"/>
      <c r="P190" s="2" t="n"/>
      <c r="Q190" s="2">
        <f>'QBO Transactions'!$T192</f>
        <v/>
      </c>
      <c r="R190" s="2" t="n"/>
      <c r="S190" s="2" t="n"/>
      <c r="T190" s="2" t="n"/>
      <c r="U190" s="2" t="n"/>
      <c r="V190" s="2" t="n"/>
      <c r="W190" s="2" t="n"/>
      <c r="X190" s="2">
        <f>Q190</f>
        <v/>
      </c>
      <c r="Y190" s="4">
        <f>'QBO Transactions'!$Q192</f>
        <v/>
      </c>
      <c r="Z190" s="2" t="n"/>
      <c r="AA190" s="2" t="n"/>
      <c r="AB190" s="2" t="n"/>
      <c r="AC190" s="2" t="n"/>
      <c r="AD190" s="2" t="n"/>
      <c r="AE190" s="2" t="n"/>
    </row>
    <row r="191" ht="12.75" customHeight="1" s="52">
      <c r="A191" s="2" t="n"/>
      <c r="B191" s="2">
        <f>'QBO Transactions'!$U193</f>
        <v/>
      </c>
      <c r="C191" s="3">
        <f>'QBO Transactions'!$S193</f>
        <v/>
      </c>
      <c r="D191" s="2">
        <f>'QBO Transactions'!$R193</f>
        <v/>
      </c>
      <c r="E191" s="2" t="n"/>
      <c r="F191" s="3">
        <f>'QBO Transactions'!$X193</f>
        <v/>
      </c>
      <c r="G191" s="2" t="n"/>
      <c r="H191" s="2" t="n"/>
      <c r="I191" s="2" t="n"/>
      <c r="J191" s="2" t="n"/>
      <c r="K191" s="2" t="n"/>
      <c r="L191" s="2" t="n"/>
      <c r="M191" s="2" t="n"/>
      <c r="N191" s="2">
        <f>'QBO Transactions'!$Y193</f>
        <v/>
      </c>
      <c r="O191" s="2" t="n"/>
      <c r="P191" s="2" t="n"/>
      <c r="Q191" s="2">
        <f>'QBO Transactions'!$T193</f>
        <v/>
      </c>
      <c r="R191" s="2" t="n"/>
      <c r="S191" s="2" t="n"/>
      <c r="T191" s="2" t="n"/>
      <c r="U191" s="2" t="n"/>
      <c r="V191" s="2" t="n"/>
      <c r="W191" s="2" t="n"/>
      <c r="X191" s="2">
        <f>Q191</f>
        <v/>
      </c>
      <c r="Y191" s="4">
        <f>'QBO Transactions'!$Q193</f>
        <v/>
      </c>
      <c r="Z191" s="2" t="n"/>
      <c r="AA191" s="2" t="n"/>
      <c r="AB191" s="2" t="n"/>
      <c r="AC191" s="2" t="n"/>
      <c r="AD191" s="2" t="n"/>
      <c r="AE191" s="2" t="n"/>
    </row>
    <row r="192" ht="12.75" customHeight="1" s="52">
      <c r="A192" s="2" t="n"/>
      <c r="B192" s="2">
        <f>'QBO Transactions'!$U194</f>
        <v/>
      </c>
      <c r="C192" s="3">
        <f>'QBO Transactions'!$S194</f>
        <v/>
      </c>
      <c r="D192" s="2">
        <f>'QBO Transactions'!$R194</f>
        <v/>
      </c>
      <c r="E192" s="2" t="n"/>
      <c r="F192" s="3">
        <f>'QBO Transactions'!$X194</f>
        <v/>
      </c>
      <c r="G192" s="2" t="n"/>
      <c r="H192" s="2" t="n"/>
      <c r="I192" s="2" t="n"/>
      <c r="J192" s="2" t="n"/>
      <c r="K192" s="2" t="n"/>
      <c r="L192" s="2" t="n"/>
      <c r="M192" s="2" t="n"/>
      <c r="N192" s="2">
        <f>'QBO Transactions'!$Y194</f>
        <v/>
      </c>
      <c r="O192" s="2" t="n"/>
      <c r="P192" s="2" t="n"/>
      <c r="Q192" s="2">
        <f>'QBO Transactions'!$T194</f>
        <v/>
      </c>
      <c r="R192" s="2" t="n"/>
      <c r="S192" s="2" t="n"/>
      <c r="T192" s="2" t="n"/>
      <c r="U192" s="2" t="n"/>
      <c r="V192" s="2" t="n"/>
      <c r="W192" s="2" t="n"/>
      <c r="X192" s="2">
        <f>Q192</f>
        <v/>
      </c>
      <c r="Y192" s="4">
        <f>'QBO Transactions'!$Q194</f>
        <v/>
      </c>
      <c r="Z192" s="2" t="n"/>
      <c r="AA192" s="2" t="n"/>
      <c r="AB192" s="2" t="n"/>
      <c r="AC192" s="2" t="n"/>
      <c r="AD192" s="2" t="n"/>
      <c r="AE192" s="2" t="n"/>
    </row>
    <row r="193" ht="12.75" customHeight="1" s="52">
      <c r="A193" s="2" t="n"/>
      <c r="B193" s="2">
        <f>'QBO Transactions'!$U195</f>
        <v/>
      </c>
      <c r="C193" s="3">
        <f>'QBO Transactions'!$S195</f>
        <v/>
      </c>
      <c r="D193" s="2">
        <f>'QBO Transactions'!$R195</f>
        <v/>
      </c>
      <c r="E193" s="2" t="n"/>
      <c r="F193" s="3">
        <f>'QBO Transactions'!$X195</f>
        <v/>
      </c>
      <c r="G193" s="2" t="n"/>
      <c r="H193" s="2" t="n"/>
      <c r="I193" s="2" t="n"/>
      <c r="J193" s="2" t="n"/>
      <c r="K193" s="2" t="n"/>
      <c r="L193" s="2" t="n"/>
      <c r="M193" s="2" t="n"/>
      <c r="N193" s="2">
        <f>'QBO Transactions'!$Y195</f>
        <v/>
      </c>
      <c r="O193" s="2" t="n"/>
      <c r="P193" s="2" t="n"/>
      <c r="Q193" s="2">
        <f>'QBO Transactions'!$T195</f>
        <v/>
      </c>
      <c r="R193" s="2" t="n"/>
      <c r="S193" s="2" t="n"/>
      <c r="T193" s="2" t="n"/>
      <c r="U193" s="2" t="n"/>
      <c r="V193" s="2" t="n"/>
      <c r="W193" s="2" t="n"/>
      <c r="X193" s="2">
        <f>Q193</f>
        <v/>
      </c>
      <c r="Y193" s="4">
        <f>'QBO Transactions'!$Q195</f>
        <v/>
      </c>
      <c r="Z193" s="2" t="n"/>
      <c r="AA193" s="2" t="n"/>
      <c r="AB193" s="2" t="n"/>
      <c r="AC193" s="2" t="n"/>
      <c r="AD193" s="2" t="n"/>
      <c r="AE193" s="2" t="n"/>
    </row>
    <row r="194" ht="12.75" customHeight="1" s="52">
      <c r="A194" s="2" t="n"/>
      <c r="B194" s="2">
        <f>'QBO Transactions'!$U196</f>
        <v/>
      </c>
      <c r="C194" s="3">
        <f>'QBO Transactions'!$S196</f>
        <v/>
      </c>
      <c r="D194" s="2">
        <f>'QBO Transactions'!$R196</f>
        <v/>
      </c>
      <c r="E194" s="2" t="n"/>
      <c r="F194" s="3">
        <f>'QBO Transactions'!$X196</f>
        <v/>
      </c>
      <c r="G194" s="2" t="n"/>
      <c r="H194" s="2" t="n"/>
      <c r="I194" s="2" t="n"/>
      <c r="J194" s="2" t="n"/>
      <c r="K194" s="2" t="n"/>
      <c r="L194" s="2" t="n"/>
      <c r="M194" s="2" t="n"/>
      <c r="N194" s="2">
        <f>'QBO Transactions'!$Y196</f>
        <v/>
      </c>
      <c r="O194" s="2" t="n"/>
      <c r="P194" s="2" t="n"/>
      <c r="Q194" s="2">
        <f>'QBO Transactions'!$T196</f>
        <v/>
      </c>
      <c r="R194" s="2" t="n"/>
      <c r="S194" s="2" t="n"/>
      <c r="T194" s="2" t="n"/>
      <c r="U194" s="2" t="n"/>
      <c r="V194" s="2" t="n"/>
      <c r="W194" s="2" t="n"/>
      <c r="X194" s="2">
        <f>Q194</f>
        <v/>
      </c>
      <c r="Y194" s="4">
        <f>'QBO Transactions'!$Q196</f>
        <v/>
      </c>
      <c r="Z194" s="2" t="n"/>
      <c r="AA194" s="2" t="n"/>
      <c r="AB194" s="2" t="n"/>
      <c r="AC194" s="2" t="n"/>
      <c r="AD194" s="2" t="n"/>
      <c r="AE194" s="2" t="n"/>
    </row>
    <row r="195" ht="12.75" customHeight="1" s="52">
      <c r="A195" s="2" t="n"/>
      <c r="B195" s="2">
        <f>'QBO Transactions'!$U197</f>
        <v/>
      </c>
      <c r="C195" s="3">
        <f>'QBO Transactions'!$S197</f>
        <v/>
      </c>
      <c r="D195" s="2">
        <f>'QBO Transactions'!$R197</f>
        <v/>
      </c>
      <c r="E195" s="2" t="n"/>
      <c r="F195" s="3">
        <f>'QBO Transactions'!$X197</f>
        <v/>
      </c>
      <c r="G195" s="2" t="n"/>
      <c r="H195" s="2" t="n"/>
      <c r="I195" s="2" t="n"/>
      <c r="J195" s="2" t="n"/>
      <c r="K195" s="2" t="n"/>
      <c r="L195" s="2" t="n"/>
      <c r="M195" s="2" t="n"/>
      <c r="N195" s="2">
        <f>'QBO Transactions'!$Y197</f>
        <v/>
      </c>
      <c r="O195" s="2" t="n"/>
      <c r="P195" s="2" t="n"/>
      <c r="Q195" s="2">
        <f>'QBO Transactions'!$T197</f>
        <v/>
      </c>
      <c r="R195" s="2" t="n"/>
      <c r="S195" s="2" t="n"/>
      <c r="T195" s="2" t="n"/>
      <c r="U195" s="2" t="n"/>
      <c r="V195" s="2" t="n"/>
      <c r="W195" s="2" t="n"/>
      <c r="X195" s="2">
        <f>Q195</f>
        <v/>
      </c>
      <c r="Y195" s="4">
        <f>'QBO Transactions'!$Q197</f>
        <v/>
      </c>
      <c r="Z195" s="2" t="n"/>
      <c r="AA195" s="2" t="n"/>
      <c r="AB195" s="2" t="n"/>
      <c r="AC195" s="2" t="n"/>
      <c r="AD195" s="2" t="n"/>
      <c r="AE195" s="2" t="n"/>
    </row>
    <row r="196" ht="12.75" customHeight="1" s="52">
      <c r="A196" s="2" t="n"/>
      <c r="B196" s="2">
        <f>'QBO Transactions'!$U198</f>
        <v/>
      </c>
      <c r="C196" s="3">
        <f>'QBO Transactions'!$S198</f>
        <v/>
      </c>
      <c r="D196" s="2">
        <f>'QBO Transactions'!$R198</f>
        <v/>
      </c>
      <c r="E196" s="2" t="n"/>
      <c r="F196" s="3">
        <f>'QBO Transactions'!$X198</f>
        <v/>
      </c>
      <c r="G196" s="2" t="n"/>
      <c r="H196" s="2" t="n"/>
      <c r="I196" s="2" t="n"/>
      <c r="J196" s="2" t="n"/>
      <c r="K196" s="2" t="n"/>
      <c r="L196" s="2" t="n"/>
      <c r="M196" s="2" t="n"/>
      <c r="N196" s="2">
        <f>'QBO Transactions'!$Y198</f>
        <v/>
      </c>
      <c r="O196" s="2" t="n"/>
      <c r="P196" s="2" t="n"/>
      <c r="Q196" s="2">
        <f>'QBO Transactions'!$T198</f>
        <v/>
      </c>
      <c r="R196" s="2" t="n"/>
      <c r="S196" s="2" t="n"/>
      <c r="T196" s="2" t="n"/>
      <c r="U196" s="2" t="n"/>
      <c r="V196" s="2" t="n"/>
      <c r="W196" s="2" t="n"/>
      <c r="X196" s="2">
        <f>Q196</f>
        <v/>
      </c>
      <c r="Y196" s="4">
        <f>'QBO Transactions'!$Q198</f>
        <v/>
      </c>
      <c r="Z196" s="2" t="n"/>
      <c r="AA196" s="2" t="n"/>
      <c r="AB196" s="2" t="n"/>
      <c r="AC196" s="2" t="n"/>
      <c r="AD196" s="2" t="n"/>
      <c r="AE196" s="2" t="n"/>
    </row>
    <row r="197" ht="12.75" customHeight="1" s="52">
      <c r="A197" s="2" t="n"/>
      <c r="B197" s="2">
        <f>'QBO Transactions'!$U199</f>
        <v/>
      </c>
      <c r="C197" s="3">
        <f>'QBO Transactions'!$S199</f>
        <v/>
      </c>
      <c r="D197" s="2">
        <f>'QBO Transactions'!$R199</f>
        <v/>
      </c>
      <c r="E197" s="2" t="n"/>
      <c r="F197" s="3">
        <f>'QBO Transactions'!$X199</f>
        <v/>
      </c>
      <c r="G197" s="2" t="n"/>
      <c r="H197" s="2" t="n"/>
      <c r="I197" s="2" t="n"/>
      <c r="J197" s="2" t="n"/>
      <c r="K197" s="2" t="n"/>
      <c r="L197" s="2" t="n"/>
      <c r="M197" s="2" t="n"/>
      <c r="N197" s="2">
        <f>'QBO Transactions'!$Y199</f>
        <v/>
      </c>
      <c r="O197" s="2" t="n"/>
      <c r="P197" s="2" t="n"/>
      <c r="Q197" s="2">
        <f>'QBO Transactions'!$T199</f>
        <v/>
      </c>
      <c r="R197" s="2" t="n"/>
      <c r="S197" s="2" t="n"/>
      <c r="T197" s="2" t="n"/>
      <c r="U197" s="2" t="n"/>
      <c r="V197" s="2" t="n"/>
      <c r="W197" s="2" t="n"/>
      <c r="X197" s="2">
        <f>Q197</f>
        <v/>
      </c>
      <c r="Y197" s="4">
        <f>'QBO Transactions'!$Q199</f>
        <v/>
      </c>
      <c r="Z197" s="2" t="n"/>
      <c r="AA197" s="2" t="n"/>
      <c r="AB197" s="2" t="n"/>
      <c r="AC197" s="2" t="n"/>
      <c r="AD197" s="2" t="n"/>
      <c r="AE197" s="2" t="n"/>
    </row>
    <row r="198" ht="12.75" customHeight="1" s="52">
      <c r="A198" s="2" t="n"/>
      <c r="B198" s="2">
        <f>'QBO Transactions'!$U200</f>
        <v/>
      </c>
      <c r="C198" s="3">
        <f>'QBO Transactions'!$S200</f>
        <v/>
      </c>
      <c r="D198" s="2">
        <f>'QBO Transactions'!$R200</f>
        <v/>
      </c>
      <c r="E198" s="2" t="n"/>
      <c r="F198" s="3">
        <f>'QBO Transactions'!$X200</f>
        <v/>
      </c>
      <c r="G198" s="2" t="n"/>
      <c r="H198" s="2" t="n"/>
      <c r="I198" s="2" t="n"/>
      <c r="J198" s="2" t="n"/>
      <c r="K198" s="2" t="n"/>
      <c r="L198" s="2" t="n"/>
      <c r="M198" s="2" t="n"/>
      <c r="N198" s="2">
        <f>'QBO Transactions'!$Y200</f>
        <v/>
      </c>
      <c r="O198" s="2" t="n"/>
      <c r="P198" s="2" t="n"/>
      <c r="Q198" s="2">
        <f>'QBO Transactions'!$T200</f>
        <v/>
      </c>
      <c r="R198" s="2" t="n"/>
      <c r="S198" s="2" t="n"/>
      <c r="T198" s="2" t="n"/>
      <c r="U198" s="2" t="n"/>
      <c r="V198" s="2" t="n"/>
      <c r="W198" s="2" t="n"/>
      <c r="X198" s="2">
        <f>Q198</f>
        <v/>
      </c>
      <c r="Y198" s="4">
        <f>'QBO Transactions'!$Q200</f>
        <v/>
      </c>
      <c r="Z198" s="2" t="n"/>
      <c r="AA198" s="2" t="n"/>
      <c r="AB198" s="2" t="n"/>
      <c r="AC198" s="2" t="n"/>
      <c r="AD198" s="2" t="n"/>
      <c r="AE198" s="2" t="n"/>
    </row>
    <row r="199" ht="12.75" customHeight="1" s="52">
      <c r="A199" s="2" t="n"/>
      <c r="B199" s="2">
        <f>'QBO Transactions'!$U201</f>
        <v/>
      </c>
      <c r="C199" s="3">
        <f>'QBO Transactions'!$S201</f>
        <v/>
      </c>
      <c r="D199" s="2">
        <f>'QBO Transactions'!$R201</f>
        <v/>
      </c>
      <c r="E199" s="2" t="n"/>
      <c r="F199" s="3">
        <f>'QBO Transactions'!$X201</f>
        <v/>
      </c>
      <c r="G199" s="2" t="n"/>
      <c r="H199" s="2" t="n"/>
      <c r="I199" s="2" t="n"/>
      <c r="J199" s="2" t="n"/>
      <c r="K199" s="2" t="n"/>
      <c r="L199" s="2" t="n"/>
      <c r="M199" s="2" t="n"/>
      <c r="N199" s="2">
        <f>'QBO Transactions'!$Y201</f>
        <v/>
      </c>
      <c r="O199" s="2" t="n"/>
      <c r="P199" s="2" t="n"/>
      <c r="Q199" s="2">
        <f>'QBO Transactions'!$T201</f>
        <v/>
      </c>
      <c r="R199" s="2" t="n"/>
      <c r="S199" s="2" t="n"/>
      <c r="T199" s="2" t="n"/>
      <c r="U199" s="2" t="n"/>
      <c r="V199" s="2" t="n"/>
      <c r="W199" s="2" t="n"/>
      <c r="X199" s="2">
        <f>Q199</f>
        <v/>
      </c>
      <c r="Y199" s="4">
        <f>'QBO Transactions'!$Q201</f>
        <v/>
      </c>
      <c r="Z199" s="2" t="n"/>
      <c r="AA199" s="2" t="n"/>
      <c r="AB199" s="2" t="n"/>
      <c r="AC199" s="2" t="n"/>
      <c r="AD199" s="2" t="n"/>
      <c r="AE199" s="2" t="n"/>
    </row>
    <row r="200" ht="12.75" customHeight="1" s="52">
      <c r="A200" s="2" t="n"/>
      <c r="B200" s="2">
        <f>'QBO Transactions'!$U202</f>
        <v/>
      </c>
      <c r="C200" s="3">
        <f>'QBO Transactions'!$S202</f>
        <v/>
      </c>
      <c r="D200" s="2">
        <f>'QBO Transactions'!$R202</f>
        <v/>
      </c>
      <c r="E200" s="2" t="n"/>
      <c r="F200" s="3">
        <f>'QBO Transactions'!$X202</f>
        <v/>
      </c>
      <c r="G200" s="2" t="n"/>
      <c r="H200" s="2" t="n"/>
      <c r="I200" s="2" t="n"/>
      <c r="J200" s="2" t="n"/>
      <c r="K200" s="2" t="n"/>
      <c r="L200" s="2" t="n"/>
      <c r="M200" s="2" t="n"/>
      <c r="N200" s="2">
        <f>'QBO Transactions'!$Y202</f>
        <v/>
      </c>
      <c r="O200" s="2" t="n"/>
      <c r="P200" s="2" t="n"/>
      <c r="Q200" s="2">
        <f>'QBO Transactions'!$T202</f>
        <v/>
      </c>
      <c r="R200" s="2" t="n"/>
      <c r="S200" s="2" t="n"/>
      <c r="T200" s="2" t="n"/>
      <c r="U200" s="2" t="n"/>
      <c r="V200" s="2" t="n"/>
      <c r="W200" s="2" t="n"/>
      <c r="X200" s="2">
        <f>Q200</f>
        <v/>
      </c>
      <c r="Y200" s="4">
        <f>'QBO Transactions'!$Q202</f>
        <v/>
      </c>
      <c r="Z200" s="2" t="n"/>
      <c r="AA200" s="2" t="n"/>
      <c r="AB200" s="2" t="n"/>
      <c r="AC200" s="2" t="n"/>
      <c r="AD200" s="2" t="n"/>
      <c r="AE200" s="2" t="n"/>
    </row>
    <row r="201" ht="12.75" customHeight="1" s="52">
      <c r="A201" s="2" t="n"/>
      <c r="B201" s="2">
        <f>'QBO Transactions'!$U203</f>
        <v/>
      </c>
      <c r="C201" s="3">
        <f>'QBO Transactions'!$S203</f>
        <v/>
      </c>
      <c r="D201" s="2">
        <f>'QBO Transactions'!$R203</f>
        <v/>
      </c>
      <c r="E201" s="2" t="n"/>
      <c r="F201" s="3">
        <f>'QBO Transactions'!$X203</f>
        <v/>
      </c>
      <c r="G201" s="2" t="n"/>
      <c r="H201" s="2" t="n"/>
      <c r="I201" s="2" t="n"/>
      <c r="J201" s="2" t="n"/>
      <c r="K201" s="2" t="n"/>
      <c r="L201" s="2" t="n"/>
      <c r="M201" s="2" t="n"/>
      <c r="N201" s="2">
        <f>'QBO Transactions'!$Y203</f>
        <v/>
      </c>
      <c r="O201" s="2" t="n"/>
      <c r="P201" s="2" t="n"/>
      <c r="Q201" s="2">
        <f>'QBO Transactions'!$T203</f>
        <v/>
      </c>
      <c r="R201" s="2" t="n"/>
      <c r="S201" s="2" t="n"/>
      <c r="T201" s="2" t="n"/>
      <c r="U201" s="2" t="n"/>
      <c r="V201" s="2" t="n"/>
      <c r="W201" s="2" t="n"/>
      <c r="X201" s="2">
        <f>Q201</f>
        <v/>
      </c>
      <c r="Y201" s="4">
        <f>'QBO Transactions'!$Q203</f>
        <v/>
      </c>
      <c r="Z201" s="2" t="n"/>
      <c r="AA201" s="2" t="n"/>
      <c r="AB201" s="2" t="n"/>
      <c r="AC201" s="2" t="n"/>
      <c r="AD201" s="2" t="n"/>
      <c r="AE201" s="2" t="n"/>
    </row>
    <row r="202" ht="12.75" customHeight="1" s="52">
      <c r="A202" s="2" t="n"/>
      <c r="B202" s="2">
        <f>'QBO Transactions'!$U204</f>
        <v/>
      </c>
      <c r="C202" s="3">
        <f>'QBO Transactions'!$S204</f>
        <v/>
      </c>
      <c r="D202" s="2">
        <f>'QBO Transactions'!$R204</f>
        <v/>
      </c>
      <c r="E202" s="2" t="n"/>
      <c r="F202" s="3">
        <f>'QBO Transactions'!$X204</f>
        <v/>
      </c>
      <c r="G202" s="2" t="n"/>
      <c r="H202" s="2" t="n"/>
      <c r="I202" s="2" t="n"/>
      <c r="J202" s="2" t="n"/>
      <c r="K202" s="2" t="n"/>
      <c r="L202" s="2" t="n"/>
      <c r="M202" s="2" t="n"/>
      <c r="N202" s="2">
        <f>'QBO Transactions'!$Y204</f>
        <v/>
      </c>
      <c r="O202" s="2" t="n"/>
      <c r="P202" s="2" t="n"/>
      <c r="Q202" s="2">
        <f>'QBO Transactions'!$T204</f>
        <v/>
      </c>
      <c r="R202" s="2" t="n"/>
      <c r="S202" s="2" t="n"/>
      <c r="T202" s="2" t="n"/>
      <c r="U202" s="2" t="n"/>
      <c r="V202" s="2" t="n"/>
      <c r="W202" s="2" t="n"/>
      <c r="X202" s="2">
        <f>Q202</f>
        <v/>
      </c>
      <c r="Y202" s="4">
        <f>'QBO Transactions'!$Q204</f>
        <v/>
      </c>
      <c r="Z202" s="2" t="n"/>
      <c r="AA202" s="2" t="n"/>
      <c r="AB202" s="2" t="n"/>
      <c r="AC202" s="2" t="n"/>
      <c r="AD202" s="2" t="n"/>
      <c r="AE202" s="2" t="n"/>
    </row>
    <row r="203" ht="12.75" customHeight="1" s="52">
      <c r="A203" s="2" t="n"/>
      <c r="B203" s="2">
        <f>'QBO Transactions'!$U205</f>
        <v/>
      </c>
      <c r="C203" s="3">
        <f>'QBO Transactions'!$S205</f>
        <v/>
      </c>
      <c r="D203" s="2">
        <f>'QBO Transactions'!$R205</f>
        <v/>
      </c>
      <c r="E203" s="2" t="n"/>
      <c r="F203" s="3">
        <f>'QBO Transactions'!$X205</f>
        <v/>
      </c>
      <c r="G203" s="2" t="n"/>
      <c r="H203" s="2" t="n"/>
      <c r="I203" s="2" t="n"/>
      <c r="J203" s="2" t="n"/>
      <c r="K203" s="2" t="n"/>
      <c r="L203" s="2" t="n"/>
      <c r="M203" s="2" t="n"/>
      <c r="N203" s="2">
        <f>'QBO Transactions'!$Y205</f>
        <v/>
      </c>
      <c r="O203" s="2" t="n"/>
      <c r="P203" s="2" t="n"/>
      <c r="Q203" s="2">
        <f>'QBO Transactions'!$T205</f>
        <v/>
      </c>
      <c r="R203" s="2" t="n"/>
      <c r="S203" s="2" t="n"/>
      <c r="T203" s="2" t="n"/>
      <c r="U203" s="2" t="n"/>
      <c r="V203" s="2" t="n"/>
      <c r="W203" s="2" t="n"/>
      <c r="X203" s="2">
        <f>Q203</f>
        <v/>
      </c>
      <c r="Y203" s="4">
        <f>'QBO Transactions'!$Q205</f>
        <v/>
      </c>
      <c r="Z203" s="2" t="n"/>
      <c r="AA203" s="2" t="n"/>
      <c r="AB203" s="2" t="n"/>
      <c r="AC203" s="2" t="n"/>
      <c r="AD203" s="2" t="n"/>
      <c r="AE203" s="2" t="n"/>
    </row>
    <row r="204" ht="12.75" customHeight="1" s="52">
      <c r="A204" s="2" t="n"/>
      <c r="B204" s="2">
        <f>'QBO Transactions'!$U206</f>
        <v/>
      </c>
      <c r="C204" s="3">
        <f>'QBO Transactions'!$S206</f>
        <v/>
      </c>
      <c r="D204" s="2">
        <f>'QBO Transactions'!$R206</f>
        <v/>
      </c>
      <c r="E204" s="2" t="n"/>
      <c r="F204" s="3">
        <f>'QBO Transactions'!$X206</f>
        <v/>
      </c>
      <c r="G204" s="2" t="n"/>
      <c r="H204" s="2" t="n"/>
      <c r="I204" s="2" t="n"/>
      <c r="J204" s="2" t="n"/>
      <c r="K204" s="2" t="n"/>
      <c r="L204" s="2" t="n"/>
      <c r="M204" s="2" t="n"/>
      <c r="N204" s="2">
        <f>'QBO Transactions'!$Y206</f>
        <v/>
      </c>
      <c r="O204" s="2" t="n"/>
      <c r="P204" s="2" t="n"/>
      <c r="Q204" s="2">
        <f>'QBO Transactions'!$T206</f>
        <v/>
      </c>
      <c r="R204" s="2" t="n"/>
      <c r="S204" s="2" t="n"/>
      <c r="T204" s="2" t="n"/>
      <c r="U204" s="2" t="n"/>
      <c r="V204" s="2" t="n"/>
      <c r="W204" s="2" t="n"/>
      <c r="X204" s="2">
        <f>Q204</f>
        <v/>
      </c>
      <c r="Y204" s="4">
        <f>'QBO Transactions'!$Q206</f>
        <v/>
      </c>
      <c r="Z204" s="2" t="n"/>
      <c r="AA204" s="2" t="n"/>
      <c r="AB204" s="2" t="n"/>
      <c r="AC204" s="2" t="n"/>
      <c r="AD204" s="2" t="n"/>
      <c r="AE204" s="2" t="n"/>
    </row>
    <row r="205" ht="12.75" customHeight="1" s="52">
      <c r="A205" s="2" t="n"/>
      <c r="B205" s="2">
        <f>'QBO Transactions'!$U207</f>
        <v/>
      </c>
      <c r="C205" s="3">
        <f>'QBO Transactions'!$S207</f>
        <v/>
      </c>
      <c r="D205" s="2">
        <f>'QBO Transactions'!$R207</f>
        <v/>
      </c>
      <c r="E205" s="2" t="n"/>
      <c r="F205" s="3">
        <f>'QBO Transactions'!$X207</f>
        <v/>
      </c>
      <c r="G205" s="2" t="n"/>
      <c r="H205" s="2" t="n"/>
      <c r="I205" s="2" t="n"/>
      <c r="J205" s="2" t="n"/>
      <c r="K205" s="2" t="n"/>
      <c r="L205" s="2" t="n"/>
      <c r="M205" s="2" t="n"/>
      <c r="N205" s="2">
        <f>'QBO Transactions'!$Y207</f>
        <v/>
      </c>
      <c r="O205" s="2" t="n"/>
      <c r="P205" s="2" t="n"/>
      <c r="Q205" s="2">
        <f>'QBO Transactions'!$T207</f>
        <v/>
      </c>
      <c r="R205" s="2" t="n"/>
      <c r="S205" s="2" t="n"/>
      <c r="T205" s="2" t="n"/>
      <c r="U205" s="2" t="n"/>
      <c r="V205" s="2" t="n"/>
      <c r="W205" s="2" t="n"/>
      <c r="X205" s="2">
        <f>Q205</f>
        <v/>
      </c>
      <c r="Y205" s="4">
        <f>'QBO Transactions'!$Q207</f>
        <v/>
      </c>
      <c r="Z205" s="2" t="n"/>
      <c r="AA205" s="2" t="n"/>
      <c r="AB205" s="2" t="n"/>
      <c r="AC205" s="2" t="n"/>
      <c r="AD205" s="2" t="n"/>
      <c r="AE205" s="2" t="n"/>
    </row>
    <row r="206" ht="12.75" customHeight="1" s="52">
      <c r="A206" s="2" t="n"/>
      <c r="B206" s="2">
        <f>'QBO Transactions'!$U208</f>
        <v/>
      </c>
      <c r="C206" s="3">
        <f>'QBO Transactions'!$S208</f>
        <v/>
      </c>
      <c r="D206" s="2">
        <f>'QBO Transactions'!$R208</f>
        <v/>
      </c>
      <c r="E206" s="2" t="n"/>
      <c r="F206" s="3">
        <f>'QBO Transactions'!$X208</f>
        <v/>
      </c>
      <c r="G206" s="2" t="n"/>
      <c r="H206" s="2" t="n"/>
      <c r="I206" s="2" t="n"/>
      <c r="J206" s="2" t="n"/>
      <c r="K206" s="2" t="n"/>
      <c r="L206" s="2" t="n"/>
      <c r="M206" s="2" t="n"/>
      <c r="N206" s="2">
        <f>'QBO Transactions'!$Y208</f>
        <v/>
      </c>
      <c r="O206" s="2" t="n"/>
      <c r="P206" s="2" t="n"/>
      <c r="Q206" s="2">
        <f>'QBO Transactions'!$T208</f>
        <v/>
      </c>
      <c r="R206" s="2" t="n"/>
      <c r="S206" s="2" t="n"/>
      <c r="T206" s="2" t="n"/>
      <c r="U206" s="2" t="n"/>
      <c r="V206" s="2" t="n"/>
      <c r="W206" s="2" t="n"/>
      <c r="X206" s="2">
        <f>Q206</f>
        <v/>
      </c>
      <c r="Y206" s="4">
        <f>'QBO Transactions'!$Q208</f>
        <v/>
      </c>
      <c r="Z206" s="2" t="n"/>
      <c r="AA206" s="2" t="n"/>
      <c r="AB206" s="2" t="n"/>
      <c r="AC206" s="2" t="n"/>
      <c r="AD206" s="2" t="n"/>
      <c r="AE206" s="2" t="n"/>
    </row>
    <row r="207" ht="12.75" customHeight="1" s="52">
      <c r="A207" s="2" t="n"/>
      <c r="B207" s="2">
        <f>'QBO Transactions'!$U209</f>
        <v/>
      </c>
      <c r="C207" s="3">
        <f>'QBO Transactions'!$S209</f>
        <v/>
      </c>
      <c r="D207" s="2">
        <f>'QBO Transactions'!$R209</f>
        <v/>
      </c>
      <c r="E207" s="2" t="n"/>
      <c r="F207" s="3">
        <f>'QBO Transactions'!$X209</f>
        <v/>
      </c>
      <c r="G207" s="2" t="n"/>
      <c r="H207" s="2" t="n"/>
      <c r="I207" s="2" t="n"/>
      <c r="J207" s="2" t="n"/>
      <c r="K207" s="2" t="n"/>
      <c r="L207" s="2" t="n"/>
      <c r="M207" s="2" t="n"/>
      <c r="N207" s="2">
        <f>'QBO Transactions'!$Y209</f>
        <v/>
      </c>
      <c r="O207" s="2" t="n"/>
      <c r="P207" s="2" t="n"/>
      <c r="Q207" s="2">
        <f>'QBO Transactions'!$T209</f>
        <v/>
      </c>
      <c r="R207" s="2" t="n"/>
      <c r="S207" s="2" t="n"/>
      <c r="T207" s="2" t="n"/>
      <c r="U207" s="2" t="n"/>
      <c r="V207" s="2" t="n"/>
      <c r="W207" s="2" t="n"/>
      <c r="X207" s="2">
        <f>Q207</f>
        <v/>
      </c>
      <c r="Y207" s="4">
        <f>'QBO Transactions'!$Q209</f>
        <v/>
      </c>
      <c r="Z207" s="2" t="n"/>
      <c r="AA207" s="2" t="n"/>
      <c r="AB207" s="2" t="n"/>
      <c r="AC207" s="2" t="n"/>
      <c r="AD207" s="2" t="n"/>
      <c r="AE207" s="2" t="n"/>
    </row>
    <row r="208" ht="12.75" customHeight="1" s="52">
      <c r="A208" s="2" t="n"/>
      <c r="B208" s="2">
        <f>'QBO Transactions'!$U210</f>
        <v/>
      </c>
      <c r="C208" s="3">
        <f>'QBO Transactions'!$S210</f>
        <v/>
      </c>
      <c r="D208" s="2">
        <f>'QBO Transactions'!$R210</f>
        <v/>
      </c>
      <c r="E208" s="2" t="n"/>
      <c r="F208" s="3">
        <f>'QBO Transactions'!$X210</f>
        <v/>
      </c>
      <c r="G208" s="2" t="n"/>
      <c r="H208" s="2" t="n"/>
      <c r="I208" s="2" t="n"/>
      <c r="J208" s="2" t="n"/>
      <c r="K208" s="2" t="n"/>
      <c r="L208" s="2" t="n"/>
      <c r="M208" s="2" t="n"/>
      <c r="N208" s="2">
        <f>'QBO Transactions'!$Y210</f>
        <v/>
      </c>
      <c r="O208" s="2" t="n"/>
      <c r="P208" s="2" t="n"/>
      <c r="Q208" s="2">
        <f>'QBO Transactions'!$T210</f>
        <v/>
      </c>
      <c r="R208" s="2" t="n"/>
      <c r="S208" s="2" t="n"/>
      <c r="T208" s="2" t="n"/>
      <c r="U208" s="2" t="n"/>
      <c r="V208" s="2" t="n"/>
      <c r="W208" s="2" t="n"/>
      <c r="X208" s="2">
        <f>Q208</f>
        <v/>
      </c>
      <c r="Y208" s="4">
        <f>'QBO Transactions'!$Q210</f>
        <v/>
      </c>
      <c r="Z208" s="2" t="n"/>
      <c r="AA208" s="2" t="n"/>
      <c r="AB208" s="2" t="n"/>
      <c r="AC208" s="2" t="n"/>
      <c r="AD208" s="2" t="n"/>
      <c r="AE208" s="2" t="n"/>
    </row>
    <row r="209" ht="12.75" customHeight="1" s="52">
      <c r="A209" s="2" t="n"/>
      <c r="B209" s="2">
        <f>'QBO Transactions'!$U211</f>
        <v/>
      </c>
      <c r="C209" s="3">
        <f>'QBO Transactions'!$S211</f>
        <v/>
      </c>
      <c r="D209" s="2">
        <f>'QBO Transactions'!$R211</f>
        <v/>
      </c>
      <c r="E209" s="2" t="n"/>
      <c r="F209" s="3">
        <f>'QBO Transactions'!$X211</f>
        <v/>
      </c>
      <c r="G209" s="2" t="n"/>
      <c r="H209" s="2" t="n"/>
      <c r="I209" s="2" t="n"/>
      <c r="J209" s="2" t="n"/>
      <c r="K209" s="2" t="n"/>
      <c r="L209" s="2" t="n"/>
      <c r="M209" s="2" t="n"/>
      <c r="N209" s="2">
        <f>'QBO Transactions'!$Y211</f>
        <v/>
      </c>
      <c r="O209" s="2" t="n"/>
      <c r="P209" s="2" t="n"/>
      <c r="Q209" s="2">
        <f>'QBO Transactions'!$T211</f>
        <v/>
      </c>
      <c r="R209" s="2" t="n"/>
      <c r="S209" s="2" t="n"/>
      <c r="T209" s="2" t="n"/>
      <c r="U209" s="2" t="n"/>
      <c r="V209" s="2" t="n"/>
      <c r="W209" s="2" t="n"/>
      <c r="X209" s="2">
        <f>Q209</f>
        <v/>
      </c>
      <c r="Y209" s="4">
        <f>'QBO Transactions'!$Q211</f>
        <v/>
      </c>
      <c r="Z209" s="2" t="n"/>
      <c r="AA209" s="2" t="n"/>
      <c r="AB209" s="2" t="n"/>
      <c r="AC209" s="2" t="n"/>
      <c r="AD209" s="2" t="n"/>
      <c r="AE209" s="2" t="n"/>
    </row>
    <row r="210" ht="12.75" customHeight="1" s="52">
      <c r="A210" s="2" t="n"/>
      <c r="B210" s="2">
        <f>'QBO Transactions'!$U212</f>
        <v/>
      </c>
      <c r="C210" s="3">
        <f>'QBO Transactions'!$S212</f>
        <v/>
      </c>
      <c r="D210" s="2">
        <f>'QBO Transactions'!$R212</f>
        <v/>
      </c>
      <c r="E210" s="2" t="n"/>
      <c r="F210" s="3">
        <f>'QBO Transactions'!$X212</f>
        <v/>
      </c>
      <c r="G210" s="2" t="n"/>
      <c r="H210" s="2" t="n"/>
      <c r="I210" s="2" t="n"/>
      <c r="J210" s="2" t="n"/>
      <c r="K210" s="2" t="n"/>
      <c r="L210" s="2" t="n"/>
      <c r="M210" s="2" t="n"/>
      <c r="N210" s="2">
        <f>'QBO Transactions'!$Y212</f>
        <v/>
      </c>
      <c r="O210" s="2" t="n"/>
      <c r="P210" s="2" t="n"/>
      <c r="Q210" s="2">
        <f>'QBO Transactions'!$T212</f>
        <v/>
      </c>
      <c r="R210" s="2" t="n"/>
      <c r="S210" s="2" t="n"/>
      <c r="T210" s="2" t="n"/>
      <c r="U210" s="2" t="n"/>
      <c r="V210" s="2" t="n"/>
      <c r="W210" s="2" t="n"/>
      <c r="X210" s="2">
        <f>Q210</f>
        <v/>
      </c>
      <c r="Y210" s="4">
        <f>'QBO Transactions'!$Q212</f>
        <v/>
      </c>
      <c r="Z210" s="2" t="n"/>
      <c r="AA210" s="2" t="n"/>
      <c r="AB210" s="2" t="n"/>
      <c r="AC210" s="2" t="n"/>
      <c r="AD210" s="2" t="n"/>
      <c r="AE210" s="2" t="n"/>
    </row>
    <row r="211" ht="12.75" customHeight="1" s="52">
      <c r="A211" s="2" t="n"/>
      <c r="B211" s="2">
        <f>'QBO Transactions'!$U213</f>
        <v/>
      </c>
      <c r="C211" s="3">
        <f>'QBO Transactions'!$S213</f>
        <v/>
      </c>
      <c r="D211" s="2">
        <f>'QBO Transactions'!$R213</f>
        <v/>
      </c>
      <c r="E211" s="2" t="n"/>
      <c r="F211" s="3">
        <f>'QBO Transactions'!$X213</f>
        <v/>
      </c>
      <c r="G211" s="2" t="n"/>
      <c r="H211" s="2" t="n"/>
      <c r="I211" s="2" t="n"/>
      <c r="J211" s="2" t="n"/>
      <c r="K211" s="2" t="n"/>
      <c r="L211" s="2" t="n"/>
      <c r="M211" s="2" t="n"/>
      <c r="N211" s="2">
        <f>'QBO Transactions'!$Y213</f>
        <v/>
      </c>
      <c r="O211" s="2" t="n"/>
      <c r="P211" s="2" t="n"/>
      <c r="Q211" s="2">
        <f>'QBO Transactions'!$T213</f>
        <v/>
      </c>
      <c r="R211" s="2" t="n"/>
      <c r="S211" s="2" t="n"/>
      <c r="T211" s="2" t="n"/>
      <c r="U211" s="2" t="n"/>
      <c r="V211" s="2" t="n"/>
      <c r="W211" s="2" t="n"/>
      <c r="X211" s="2">
        <f>Q211</f>
        <v/>
      </c>
      <c r="Y211" s="4">
        <f>'QBO Transactions'!$Q213</f>
        <v/>
      </c>
      <c r="Z211" s="2" t="n"/>
      <c r="AA211" s="2" t="n"/>
      <c r="AB211" s="2" t="n"/>
      <c r="AC211" s="2" t="n"/>
      <c r="AD211" s="2" t="n"/>
      <c r="AE211" s="2" t="n"/>
    </row>
    <row r="212" ht="12.75" customHeight="1" s="52">
      <c r="A212" s="2" t="n"/>
      <c r="B212" s="2">
        <f>'QBO Transactions'!$U214</f>
        <v/>
      </c>
      <c r="C212" s="3">
        <f>'QBO Transactions'!$S214</f>
        <v/>
      </c>
      <c r="D212" s="2">
        <f>'QBO Transactions'!$R214</f>
        <v/>
      </c>
      <c r="E212" s="2" t="n"/>
      <c r="F212" s="3">
        <f>'QBO Transactions'!$X214</f>
        <v/>
      </c>
      <c r="G212" s="2" t="n"/>
      <c r="H212" s="2" t="n"/>
      <c r="I212" s="2" t="n"/>
      <c r="J212" s="2" t="n"/>
      <c r="K212" s="2" t="n"/>
      <c r="L212" s="2" t="n"/>
      <c r="M212" s="2" t="n"/>
      <c r="N212" s="2">
        <f>'QBO Transactions'!$Y214</f>
        <v/>
      </c>
      <c r="O212" s="2" t="n"/>
      <c r="P212" s="2" t="n"/>
      <c r="Q212" s="2">
        <f>'QBO Transactions'!$T214</f>
        <v/>
      </c>
      <c r="R212" s="2" t="n"/>
      <c r="S212" s="2" t="n"/>
      <c r="T212" s="2" t="n"/>
      <c r="U212" s="2" t="n"/>
      <c r="V212" s="2" t="n"/>
      <c r="W212" s="2" t="n"/>
      <c r="X212" s="2">
        <f>Q212</f>
        <v/>
      </c>
      <c r="Y212" s="4">
        <f>'QBO Transactions'!$Q214</f>
        <v/>
      </c>
      <c r="Z212" s="2" t="n"/>
      <c r="AA212" s="2" t="n"/>
      <c r="AB212" s="2" t="n"/>
      <c r="AC212" s="2" t="n"/>
      <c r="AD212" s="2" t="n"/>
      <c r="AE212" s="2" t="n"/>
    </row>
    <row r="213" ht="12.75" customHeight="1" s="52">
      <c r="A213" s="2" t="n"/>
      <c r="B213" s="2">
        <f>'QBO Transactions'!$U215</f>
        <v/>
      </c>
      <c r="C213" s="3">
        <f>'QBO Transactions'!$S215</f>
        <v/>
      </c>
      <c r="D213" s="2">
        <f>'QBO Transactions'!$R215</f>
        <v/>
      </c>
      <c r="E213" s="2" t="n"/>
      <c r="F213" s="3">
        <f>'QBO Transactions'!$X215</f>
        <v/>
      </c>
      <c r="G213" s="2" t="n"/>
      <c r="H213" s="2" t="n"/>
      <c r="I213" s="2" t="n"/>
      <c r="J213" s="2" t="n"/>
      <c r="K213" s="2" t="n"/>
      <c r="L213" s="2" t="n"/>
      <c r="M213" s="2" t="n"/>
      <c r="N213" s="2">
        <f>'QBO Transactions'!$Y215</f>
        <v/>
      </c>
      <c r="O213" s="2" t="n"/>
      <c r="P213" s="2" t="n"/>
      <c r="Q213" s="2">
        <f>'QBO Transactions'!$T215</f>
        <v/>
      </c>
      <c r="R213" s="2" t="n"/>
      <c r="S213" s="2" t="n"/>
      <c r="T213" s="2" t="n"/>
      <c r="U213" s="2" t="n"/>
      <c r="V213" s="2" t="n"/>
      <c r="W213" s="2" t="n"/>
      <c r="X213" s="2">
        <f>Q213</f>
        <v/>
      </c>
      <c r="Y213" s="4">
        <f>'QBO Transactions'!$Q215</f>
        <v/>
      </c>
      <c r="Z213" s="2" t="n"/>
      <c r="AA213" s="2" t="n"/>
      <c r="AB213" s="2" t="n"/>
      <c r="AC213" s="2" t="n"/>
      <c r="AD213" s="2" t="n"/>
      <c r="AE213" s="2" t="n"/>
    </row>
    <row r="214" ht="12.75" customHeight="1" s="52">
      <c r="A214" s="2" t="n"/>
      <c r="B214" s="2">
        <f>'QBO Transactions'!$U216</f>
        <v/>
      </c>
      <c r="C214" s="3">
        <f>'QBO Transactions'!$S216</f>
        <v/>
      </c>
      <c r="D214" s="2">
        <f>'QBO Transactions'!$R216</f>
        <v/>
      </c>
      <c r="E214" s="2" t="n"/>
      <c r="F214" s="3">
        <f>'QBO Transactions'!$X216</f>
        <v/>
      </c>
      <c r="G214" s="2" t="n"/>
      <c r="H214" s="2" t="n"/>
      <c r="I214" s="2" t="n"/>
      <c r="J214" s="2" t="n"/>
      <c r="K214" s="2" t="n"/>
      <c r="L214" s="2" t="n"/>
      <c r="M214" s="2" t="n"/>
      <c r="N214" s="2">
        <f>'QBO Transactions'!$Y216</f>
        <v/>
      </c>
      <c r="O214" s="2" t="n"/>
      <c r="P214" s="2" t="n"/>
      <c r="Q214" s="2">
        <f>'QBO Transactions'!$T216</f>
        <v/>
      </c>
      <c r="R214" s="2" t="n"/>
      <c r="S214" s="2" t="n"/>
      <c r="T214" s="2" t="n"/>
      <c r="U214" s="2" t="n"/>
      <c r="V214" s="2" t="n"/>
      <c r="W214" s="2" t="n"/>
      <c r="X214" s="2">
        <f>Q214</f>
        <v/>
      </c>
      <c r="Y214" s="4">
        <f>'QBO Transactions'!$Q216</f>
        <v/>
      </c>
      <c r="Z214" s="2" t="n"/>
      <c r="AA214" s="2" t="n"/>
      <c r="AB214" s="2" t="n"/>
      <c r="AC214" s="2" t="n"/>
      <c r="AD214" s="2" t="n"/>
      <c r="AE214" s="2" t="n"/>
    </row>
    <row r="215" ht="12.75" customHeight="1" s="52">
      <c r="A215" s="2" t="n"/>
      <c r="B215" s="2">
        <f>'QBO Transactions'!$U217</f>
        <v/>
      </c>
      <c r="C215" s="3">
        <f>'QBO Transactions'!$S217</f>
        <v/>
      </c>
      <c r="D215" s="2">
        <f>'QBO Transactions'!$R217</f>
        <v/>
      </c>
      <c r="E215" s="2" t="n"/>
      <c r="F215" s="3">
        <f>'QBO Transactions'!$X217</f>
        <v/>
      </c>
      <c r="G215" s="2" t="n"/>
      <c r="H215" s="2" t="n"/>
      <c r="I215" s="2" t="n"/>
      <c r="J215" s="2" t="n"/>
      <c r="K215" s="2" t="n"/>
      <c r="L215" s="2" t="n"/>
      <c r="M215" s="2" t="n"/>
      <c r="N215" s="2">
        <f>'QBO Transactions'!$Y217</f>
        <v/>
      </c>
      <c r="O215" s="2" t="n"/>
      <c r="P215" s="2" t="n"/>
      <c r="Q215" s="2">
        <f>'QBO Transactions'!$T217</f>
        <v/>
      </c>
      <c r="R215" s="2" t="n"/>
      <c r="S215" s="2" t="n"/>
      <c r="T215" s="2" t="n"/>
      <c r="U215" s="2" t="n"/>
      <c r="V215" s="2" t="n"/>
      <c r="W215" s="2" t="n"/>
      <c r="X215" s="2">
        <f>Q215</f>
        <v/>
      </c>
      <c r="Y215" s="4">
        <f>'QBO Transactions'!$Q217</f>
        <v/>
      </c>
      <c r="Z215" s="2" t="n"/>
      <c r="AA215" s="2" t="n"/>
      <c r="AB215" s="2" t="n"/>
      <c r="AC215" s="2" t="n"/>
      <c r="AD215" s="2" t="n"/>
      <c r="AE215" s="2" t="n"/>
    </row>
    <row r="216" ht="12.75" customHeight="1" s="52">
      <c r="A216" s="2" t="n"/>
      <c r="B216" s="2">
        <f>'QBO Transactions'!$U218</f>
        <v/>
      </c>
      <c r="C216" s="3">
        <f>'QBO Transactions'!$S218</f>
        <v/>
      </c>
      <c r="D216" s="2">
        <f>'QBO Transactions'!$R218</f>
        <v/>
      </c>
      <c r="E216" s="2" t="n"/>
      <c r="F216" s="3">
        <f>'QBO Transactions'!$X218</f>
        <v/>
      </c>
      <c r="G216" s="2" t="n"/>
      <c r="H216" s="2" t="n"/>
      <c r="I216" s="2" t="n"/>
      <c r="J216" s="2" t="n"/>
      <c r="K216" s="2" t="n"/>
      <c r="L216" s="2" t="n"/>
      <c r="M216" s="2" t="n"/>
      <c r="N216" s="2">
        <f>'QBO Transactions'!$Y218</f>
        <v/>
      </c>
      <c r="O216" s="2" t="n"/>
      <c r="P216" s="2" t="n"/>
      <c r="Q216" s="2">
        <f>'QBO Transactions'!$T218</f>
        <v/>
      </c>
      <c r="R216" s="2" t="n"/>
      <c r="S216" s="2" t="n"/>
      <c r="T216" s="2" t="n"/>
      <c r="U216" s="2" t="n"/>
      <c r="V216" s="2" t="n"/>
      <c r="W216" s="2" t="n"/>
      <c r="X216" s="2">
        <f>Q216</f>
        <v/>
      </c>
      <c r="Y216" s="4">
        <f>'QBO Transactions'!$Q218</f>
        <v/>
      </c>
      <c r="Z216" s="2" t="n"/>
      <c r="AA216" s="2" t="n"/>
      <c r="AB216" s="2" t="n"/>
      <c r="AC216" s="2" t="n"/>
      <c r="AD216" s="2" t="n"/>
      <c r="AE216" s="2" t="n"/>
    </row>
    <row r="217" ht="12.75" customHeight="1" s="52">
      <c r="A217" s="2" t="n"/>
      <c r="B217" s="2">
        <f>'QBO Transactions'!$U219</f>
        <v/>
      </c>
      <c r="C217" s="3">
        <f>'QBO Transactions'!$S219</f>
        <v/>
      </c>
      <c r="D217" s="2">
        <f>'QBO Transactions'!$R219</f>
        <v/>
      </c>
      <c r="E217" s="2" t="n"/>
      <c r="F217" s="3">
        <f>'QBO Transactions'!$X219</f>
        <v/>
      </c>
      <c r="G217" s="2" t="n"/>
      <c r="H217" s="2" t="n"/>
      <c r="I217" s="2" t="n"/>
      <c r="J217" s="2" t="n"/>
      <c r="K217" s="2" t="n"/>
      <c r="L217" s="2" t="n"/>
      <c r="M217" s="2" t="n"/>
      <c r="N217" s="2">
        <f>'QBO Transactions'!$Y219</f>
        <v/>
      </c>
      <c r="O217" s="2" t="n"/>
      <c r="P217" s="2" t="n"/>
      <c r="Q217" s="2">
        <f>'QBO Transactions'!$T219</f>
        <v/>
      </c>
      <c r="R217" s="2" t="n"/>
      <c r="S217" s="2" t="n"/>
      <c r="T217" s="2" t="n"/>
      <c r="U217" s="2" t="n"/>
      <c r="V217" s="2" t="n"/>
      <c r="W217" s="2" t="n"/>
      <c r="X217" s="2">
        <f>Q217</f>
        <v/>
      </c>
      <c r="Y217" s="4">
        <f>'QBO Transactions'!$Q219</f>
        <v/>
      </c>
      <c r="Z217" s="2" t="n"/>
      <c r="AA217" s="2" t="n"/>
      <c r="AB217" s="2" t="n"/>
      <c r="AC217" s="2" t="n"/>
      <c r="AD217" s="2" t="n"/>
      <c r="AE217" s="2" t="n"/>
    </row>
    <row r="218" ht="12.75" customHeight="1" s="52">
      <c r="A218" s="2" t="n"/>
      <c r="B218" s="2">
        <f>'QBO Transactions'!$U220</f>
        <v/>
      </c>
      <c r="C218" s="3">
        <f>'QBO Transactions'!$S220</f>
        <v/>
      </c>
      <c r="D218" s="2">
        <f>'QBO Transactions'!$R220</f>
        <v/>
      </c>
      <c r="E218" s="2" t="n"/>
      <c r="F218" s="3">
        <f>'QBO Transactions'!$X220</f>
        <v/>
      </c>
      <c r="G218" s="2" t="n"/>
      <c r="H218" s="2" t="n"/>
      <c r="I218" s="2" t="n"/>
      <c r="J218" s="2" t="n"/>
      <c r="K218" s="2" t="n"/>
      <c r="L218" s="2" t="n"/>
      <c r="M218" s="2" t="n"/>
      <c r="N218" s="2">
        <f>'QBO Transactions'!$Y220</f>
        <v/>
      </c>
      <c r="O218" s="2" t="n"/>
      <c r="P218" s="2" t="n"/>
      <c r="Q218" s="2">
        <f>'QBO Transactions'!$T220</f>
        <v/>
      </c>
      <c r="R218" s="2" t="n"/>
      <c r="S218" s="2" t="n"/>
      <c r="T218" s="2" t="n"/>
      <c r="U218" s="2" t="n"/>
      <c r="V218" s="2" t="n"/>
      <c r="W218" s="2" t="n"/>
      <c r="X218" s="2">
        <f>Q218</f>
        <v/>
      </c>
      <c r="Y218" s="4">
        <f>'QBO Transactions'!$Q220</f>
        <v/>
      </c>
      <c r="Z218" s="2" t="n"/>
      <c r="AA218" s="2" t="n"/>
      <c r="AB218" s="2" t="n"/>
      <c r="AC218" s="2" t="n"/>
      <c r="AD218" s="2" t="n"/>
      <c r="AE218" s="2" t="n"/>
    </row>
    <row r="219" ht="12.75" customHeight="1" s="52">
      <c r="A219" s="2" t="n"/>
      <c r="B219" s="2">
        <f>'QBO Transactions'!$U221</f>
        <v/>
      </c>
      <c r="C219" s="3">
        <f>'QBO Transactions'!$S221</f>
        <v/>
      </c>
      <c r="D219" s="2">
        <f>'QBO Transactions'!$R221</f>
        <v/>
      </c>
      <c r="E219" s="2" t="n"/>
      <c r="F219" s="3">
        <f>'QBO Transactions'!$X221</f>
        <v/>
      </c>
      <c r="G219" s="2" t="n"/>
      <c r="H219" s="2" t="n"/>
      <c r="I219" s="2" t="n"/>
      <c r="J219" s="2" t="n"/>
      <c r="K219" s="2" t="n"/>
      <c r="L219" s="2" t="n"/>
      <c r="M219" s="2" t="n"/>
      <c r="N219" s="2">
        <f>'QBO Transactions'!$Y221</f>
        <v/>
      </c>
      <c r="O219" s="2" t="n"/>
      <c r="P219" s="2" t="n"/>
      <c r="Q219" s="2">
        <f>'QBO Transactions'!$T221</f>
        <v/>
      </c>
      <c r="R219" s="2" t="n"/>
      <c r="S219" s="2" t="n"/>
      <c r="T219" s="2" t="n"/>
      <c r="U219" s="2" t="n"/>
      <c r="V219" s="2" t="n"/>
      <c r="W219" s="2" t="n"/>
      <c r="X219" s="2">
        <f>Q219</f>
        <v/>
      </c>
      <c r="Y219" s="4">
        <f>'QBO Transactions'!$Q221</f>
        <v/>
      </c>
      <c r="Z219" s="2" t="n"/>
      <c r="AA219" s="2" t="n"/>
      <c r="AB219" s="2" t="n"/>
      <c r="AC219" s="2" t="n"/>
      <c r="AD219" s="2" t="n"/>
      <c r="AE219" s="2" t="n"/>
    </row>
    <row r="220" ht="12.75" customHeight="1" s="52">
      <c r="A220" s="2" t="n"/>
      <c r="B220" s="2">
        <f>'QBO Transactions'!$U222</f>
        <v/>
      </c>
      <c r="C220" s="3">
        <f>'QBO Transactions'!$S222</f>
        <v/>
      </c>
      <c r="D220" s="2">
        <f>'QBO Transactions'!$R222</f>
        <v/>
      </c>
      <c r="E220" s="2" t="n"/>
      <c r="F220" s="3">
        <f>'QBO Transactions'!$X222</f>
        <v/>
      </c>
      <c r="G220" s="2" t="n"/>
      <c r="H220" s="2" t="n"/>
      <c r="I220" s="2" t="n"/>
      <c r="J220" s="2" t="n"/>
      <c r="K220" s="2" t="n"/>
      <c r="L220" s="2" t="n"/>
      <c r="M220" s="2" t="n"/>
      <c r="N220" s="2">
        <f>'QBO Transactions'!$Y222</f>
        <v/>
      </c>
      <c r="O220" s="2" t="n"/>
      <c r="P220" s="2" t="n"/>
      <c r="Q220" s="2">
        <f>'QBO Transactions'!$T222</f>
        <v/>
      </c>
      <c r="R220" s="2" t="n"/>
      <c r="S220" s="2" t="n"/>
      <c r="T220" s="2" t="n"/>
      <c r="U220" s="2" t="n"/>
      <c r="V220" s="2" t="n"/>
      <c r="W220" s="2" t="n"/>
      <c r="X220" s="2">
        <f>Q220</f>
        <v/>
      </c>
      <c r="Y220" s="4">
        <f>'QBO Transactions'!$Q222</f>
        <v/>
      </c>
      <c r="Z220" s="2" t="n"/>
      <c r="AA220" s="2" t="n"/>
      <c r="AB220" s="2" t="n"/>
      <c r="AC220" s="2" t="n"/>
      <c r="AD220" s="2" t="n"/>
      <c r="AE220" s="2" t="n"/>
    </row>
    <row r="221" ht="12.75" customHeight="1" s="52">
      <c r="A221" s="2" t="n"/>
      <c r="B221" s="2">
        <f>'QBO Transactions'!$U223</f>
        <v/>
      </c>
      <c r="C221" s="3">
        <f>'QBO Transactions'!$S223</f>
        <v/>
      </c>
      <c r="D221" s="2">
        <f>'QBO Transactions'!$R223</f>
        <v/>
      </c>
      <c r="E221" s="2" t="n"/>
      <c r="F221" s="3">
        <f>'QBO Transactions'!$X223</f>
        <v/>
      </c>
      <c r="G221" s="2" t="n"/>
      <c r="H221" s="2" t="n"/>
      <c r="I221" s="2" t="n"/>
      <c r="J221" s="2" t="n"/>
      <c r="K221" s="2" t="n"/>
      <c r="L221" s="2" t="n"/>
      <c r="M221" s="2" t="n"/>
      <c r="N221" s="2">
        <f>'QBO Transactions'!$Y223</f>
        <v/>
      </c>
      <c r="O221" s="2" t="n"/>
      <c r="P221" s="2" t="n"/>
      <c r="Q221" s="2">
        <f>'QBO Transactions'!$T223</f>
        <v/>
      </c>
      <c r="R221" s="2" t="n"/>
      <c r="S221" s="2" t="n"/>
      <c r="T221" s="2" t="n"/>
      <c r="U221" s="2" t="n"/>
      <c r="V221" s="2" t="n"/>
      <c r="W221" s="2" t="n"/>
      <c r="X221" s="2">
        <f>Q221</f>
        <v/>
      </c>
      <c r="Y221" s="4">
        <f>'QBO Transactions'!$Q223</f>
        <v/>
      </c>
      <c r="Z221" s="2" t="n"/>
      <c r="AA221" s="2" t="n"/>
      <c r="AB221" s="2" t="n"/>
      <c r="AC221" s="2" t="n"/>
      <c r="AD221" s="2" t="n"/>
      <c r="AE221" s="2" t="n"/>
    </row>
    <row r="222" ht="12.75" customHeight="1" s="52">
      <c r="A222" s="2" t="n"/>
      <c r="B222" s="2">
        <f>'QBO Transactions'!$U224</f>
        <v/>
      </c>
      <c r="C222" s="3">
        <f>'QBO Transactions'!$S224</f>
        <v/>
      </c>
      <c r="D222" s="2">
        <f>'QBO Transactions'!$R224</f>
        <v/>
      </c>
      <c r="E222" s="2" t="n"/>
      <c r="F222" s="3">
        <f>'QBO Transactions'!$X224</f>
        <v/>
      </c>
      <c r="G222" s="2" t="n"/>
      <c r="H222" s="2" t="n"/>
      <c r="I222" s="2" t="n"/>
      <c r="J222" s="2" t="n"/>
      <c r="K222" s="2" t="n"/>
      <c r="L222" s="2" t="n"/>
      <c r="M222" s="2" t="n"/>
      <c r="N222" s="2">
        <f>'QBO Transactions'!$Y224</f>
        <v/>
      </c>
      <c r="O222" s="2" t="n"/>
      <c r="P222" s="2" t="n"/>
      <c r="Q222" s="2">
        <f>'QBO Transactions'!$T224</f>
        <v/>
      </c>
      <c r="R222" s="2" t="n"/>
      <c r="S222" s="2" t="n"/>
      <c r="T222" s="2" t="n"/>
      <c r="U222" s="2" t="n"/>
      <c r="V222" s="2" t="n"/>
      <c r="W222" s="2" t="n"/>
      <c r="X222" s="2">
        <f>Q222</f>
        <v/>
      </c>
      <c r="Y222" s="4">
        <f>'QBO Transactions'!$Q224</f>
        <v/>
      </c>
      <c r="Z222" s="2" t="n"/>
      <c r="AA222" s="2" t="n"/>
      <c r="AB222" s="2" t="n"/>
      <c r="AC222" s="2" t="n"/>
      <c r="AD222" s="2" t="n"/>
      <c r="AE222" s="2" t="n"/>
    </row>
    <row r="223" ht="12.75" customHeight="1" s="52">
      <c r="A223" s="2" t="n"/>
      <c r="B223" s="2">
        <f>'QBO Transactions'!$U225</f>
        <v/>
      </c>
      <c r="C223" s="3">
        <f>'QBO Transactions'!$S225</f>
        <v/>
      </c>
      <c r="D223" s="2">
        <f>'QBO Transactions'!$R225</f>
        <v/>
      </c>
      <c r="E223" s="2" t="n"/>
      <c r="F223" s="3">
        <f>'QBO Transactions'!$X225</f>
        <v/>
      </c>
      <c r="G223" s="2" t="n"/>
      <c r="H223" s="2" t="n"/>
      <c r="I223" s="2" t="n"/>
      <c r="J223" s="2" t="n"/>
      <c r="K223" s="2" t="n"/>
      <c r="L223" s="2" t="n"/>
      <c r="M223" s="2" t="n"/>
      <c r="N223" s="2">
        <f>'QBO Transactions'!$Y225</f>
        <v/>
      </c>
      <c r="O223" s="2" t="n"/>
      <c r="P223" s="2" t="n"/>
      <c r="Q223" s="2">
        <f>'QBO Transactions'!$T225</f>
        <v/>
      </c>
      <c r="R223" s="2" t="n"/>
      <c r="S223" s="2" t="n"/>
      <c r="T223" s="2" t="n"/>
      <c r="U223" s="2" t="n"/>
      <c r="V223" s="2" t="n"/>
      <c r="W223" s="2" t="n"/>
      <c r="X223" s="2">
        <f>Q223</f>
        <v/>
      </c>
      <c r="Y223" s="4">
        <f>'QBO Transactions'!$Q225</f>
        <v/>
      </c>
      <c r="Z223" s="2" t="n"/>
      <c r="AA223" s="2" t="n"/>
      <c r="AB223" s="2" t="n"/>
      <c r="AC223" s="2" t="n"/>
      <c r="AD223" s="2" t="n"/>
      <c r="AE223" s="2" t="n"/>
    </row>
    <row r="224" ht="12.75" customHeight="1" s="52">
      <c r="A224" s="2" t="n"/>
      <c r="B224" s="2">
        <f>'QBO Transactions'!$U226</f>
        <v/>
      </c>
      <c r="C224" s="3">
        <f>'QBO Transactions'!$S226</f>
        <v/>
      </c>
      <c r="D224" s="2">
        <f>'QBO Transactions'!$R226</f>
        <v/>
      </c>
      <c r="E224" s="2" t="n"/>
      <c r="F224" s="3">
        <f>'QBO Transactions'!$X226</f>
        <v/>
      </c>
      <c r="G224" s="2" t="n"/>
      <c r="H224" s="2" t="n"/>
      <c r="I224" s="2" t="n"/>
      <c r="J224" s="2" t="n"/>
      <c r="K224" s="2" t="n"/>
      <c r="L224" s="2" t="n"/>
      <c r="M224" s="2" t="n"/>
      <c r="N224" s="2">
        <f>'QBO Transactions'!$Y226</f>
        <v/>
      </c>
      <c r="O224" s="2" t="n"/>
      <c r="P224" s="2" t="n"/>
      <c r="Q224" s="2">
        <f>'QBO Transactions'!$T226</f>
        <v/>
      </c>
      <c r="R224" s="2" t="n"/>
      <c r="S224" s="2" t="n"/>
      <c r="T224" s="2" t="n"/>
      <c r="U224" s="2" t="n"/>
      <c r="V224" s="2" t="n"/>
      <c r="W224" s="2" t="n"/>
      <c r="X224" s="2">
        <f>Q224</f>
        <v/>
      </c>
      <c r="Y224" s="4">
        <f>'QBO Transactions'!$Q226</f>
        <v/>
      </c>
      <c r="Z224" s="2" t="n"/>
      <c r="AA224" s="2" t="n"/>
      <c r="AB224" s="2" t="n"/>
      <c r="AC224" s="2" t="n"/>
      <c r="AD224" s="2" t="n"/>
      <c r="AE224" s="2" t="n"/>
    </row>
    <row r="225" ht="12.75" customHeight="1" s="52">
      <c r="A225" s="2" t="n"/>
      <c r="B225" s="2">
        <f>'QBO Transactions'!$U227</f>
        <v/>
      </c>
      <c r="C225" s="3">
        <f>'QBO Transactions'!$S227</f>
        <v/>
      </c>
      <c r="D225" s="2">
        <f>'QBO Transactions'!$R227</f>
        <v/>
      </c>
      <c r="E225" s="2" t="n"/>
      <c r="F225" s="3">
        <f>'QBO Transactions'!$X227</f>
        <v/>
      </c>
      <c r="G225" s="2" t="n"/>
      <c r="H225" s="2" t="n"/>
      <c r="I225" s="2" t="n"/>
      <c r="J225" s="2" t="n"/>
      <c r="K225" s="2" t="n"/>
      <c r="L225" s="2" t="n"/>
      <c r="M225" s="2" t="n"/>
      <c r="N225" s="2">
        <f>'QBO Transactions'!$Y227</f>
        <v/>
      </c>
      <c r="O225" s="2" t="n"/>
      <c r="P225" s="2" t="n"/>
      <c r="Q225" s="2">
        <f>'QBO Transactions'!$T227</f>
        <v/>
      </c>
      <c r="R225" s="2" t="n"/>
      <c r="S225" s="2" t="n"/>
      <c r="T225" s="2" t="n"/>
      <c r="U225" s="2" t="n"/>
      <c r="V225" s="2" t="n"/>
      <c r="W225" s="2" t="n"/>
      <c r="X225" s="2">
        <f>Q225</f>
        <v/>
      </c>
      <c r="Y225" s="4">
        <f>'QBO Transactions'!$Q227</f>
        <v/>
      </c>
      <c r="Z225" s="2" t="n"/>
      <c r="AA225" s="2" t="n"/>
      <c r="AB225" s="2" t="n"/>
      <c r="AC225" s="2" t="n"/>
      <c r="AD225" s="2" t="n"/>
      <c r="AE225" s="2" t="n"/>
    </row>
    <row r="226" ht="12.75" customHeight="1" s="52">
      <c r="A226" s="2" t="n"/>
      <c r="B226" s="2">
        <f>'QBO Transactions'!$U228</f>
        <v/>
      </c>
      <c r="C226" s="3">
        <f>'QBO Transactions'!$S228</f>
        <v/>
      </c>
      <c r="D226" s="2">
        <f>'QBO Transactions'!$R228</f>
        <v/>
      </c>
      <c r="E226" s="2" t="n"/>
      <c r="F226" s="3">
        <f>'QBO Transactions'!$X228</f>
        <v/>
      </c>
      <c r="G226" s="2" t="n"/>
      <c r="H226" s="2" t="n"/>
      <c r="I226" s="2" t="n"/>
      <c r="J226" s="2" t="n"/>
      <c r="K226" s="2" t="n"/>
      <c r="L226" s="2" t="n"/>
      <c r="M226" s="2" t="n"/>
      <c r="N226" s="2">
        <f>'QBO Transactions'!$Y228</f>
        <v/>
      </c>
      <c r="O226" s="2" t="n"/>
      <c r="P226" s="2" t="n"/>
      <c r="Q226" s="2">
        <f>'QBO Transactions'!$T228</f>
        <v/>
      </c>
      <c r="R226" s="2" t="n"/>
      <c r="S226" s="2" t="n"/>
      <c r="T226" s="2" t="n"/>
      <c r="U226" s="2" t="n"/>
      <c r="V226" s="2" t="n"/>
      <c r="W226" s="2" t="n"/>
      <c r="X226" s="2">
        <f>Q226</f>
        <v/>
      </c>
      <c r="Y226" s="4">
        <f>'QBO Transactions'!$Q228</f>
        <v/>
      </c>
      <c r="Z226" s="2" t="n"/>
      <c r="AA226" s="2" t="n"/>
      <c r="AB226" s="2" t="n"/>
      <c r="AC226" s="2" t="n"/>
      <c r="AD226" s="2" t="n"/>
      <c r="AE226" s="2" t="n"/>
    </row>
    <row r="227" ht="12.75" customHeight="1" s="52">
      <c r="A227" s="2" t="n"/>
      <c r="B227" s="2">
        <f>'QBO Transactions'!$U229</f>
        <v/>
      </c>
      <c r="C227" s="3">
        <f>'QBO Transactions'!$S229</f>
        <v/>
      </c>
      <c r="D227" s="2">
        <f>'QBO Transactions'!$R229</f>
        <v/>
      </c>
      <c r="E227" s="2" t="n"/>
      <c r="F227" s="3">
        <f>'QBO Transactions'!$X229</f>
        <v/>
      </c>
      <c r="G227" s="2" t="n"/>
      <c r="H227" s="2" t="n"/>
      <c r="I227" s="2" t="n"/>
      <c r="J227" s="2" t="n"/>
      <c r="K227" s="2" t="n"/>
      <c r="L227" s="2" t="n"/>
      <c r="M227" s="2" t="n"/>
      <c r="N227" s="2">
        <f>'QBO Transactions'!$Y229</f>
        <v/>
      </c>
      <c r="O227" s="2" t="n"/>
      <c r="P227" s="2" t="n"/>
      <c r="Q227" s="2">
        <f>'QBO Transactions'!$T229</f>
        <v/>
      </c>
      <c r="R227" s="2" t="n"/>
      <c r="S227" s="2" t="n"/>
      <c r="T227" s="2" t="n"/>
      <c r="U227" s="2" t="n"/>
      <c r="V227" s="2" t="n"/>
      <c r="W227" s="2" t="n"/>
      <c r="X227" s="2">
        <f>Q227</f>
        <v/>
      </c>
      <c r="Y227" s="4">
        <f>'QBO Transactions'!$Q229</f>
        <v/>
      </c>
      <c r="Z227" s="2" t="n"/>
      <c r="AA227" s="2" t="n"/>
      <c r="AB227" s="2" t="n"/>
      <c r="AC227" s="2" t="n"/>
      <c r="AD227" s="2" t="n"/>
      <c r="AE227" s="2" t="n"/>
    </row>
    <row r="228" ht="12.75" customHeight="1" s="52">
      <c r="A228" s="2" t="n"/>
      <c r="B228" s="2">
        <f>'QBO Transactions'!$U230</f>
        <v/>
      </c>
      <c r="C228" s="3">
        <f>'QBO Transactions'!$S230</f>
        <v/>
      </c>
      <c r="D228" s="2">
        <f>'QBO Transactions'!$R230</f>
        <v/>
      </c>
      <c r="E228" s="2" t="n"/>
      <c r="F228" s="3">
        <f>'QBO Transactions'!$X230</f>
        <v/>
      </c>
      <c r="G228" s="2" t="n"/>
      <c r="H228" s="2" t="n"/>
      <c r="I228" s="2" t="n"/>
      <c r="J228" s="2" t="n"/>
      <c r="K228" s="2" t="n"/>
      <c r="L228" s="2" t="n"/>
      <c r="M228" s="2" t="n"/>
      <c r="N228" s="2">
        <f>'QBO Transactions'!$Y230</f>
        <v/>
      </c>
      <c r="O228" s="2" t="n"/>
      <c r="P228" s="2" t="n"/>
      <c r="Q228" s="2">
        <f>'QBO Transactions'!$T230</f>
        <v/>
      </c>
      <c r="R228" s="2" t="n"/>
      <c r="S228" s="2" t="n"/>
      <c r="T228" s="2" t="n"/>
      <c r="U228" s="2" t="n"/>
      <c r="V228" s="2" t="n"/>
      <c r="W228" s="2" t="n"/>
      <c r="X228" s="2">
        <f>Q228</f>
        <v/>
      </c>
      <c r="Y228" s="4">
        <f>'QBO Transactions'!$Q230</f>
        <v/>
      </c>
      <c r="Z228" s="2" t="n"/>
      <c r="AA228" s="2" t="n"/>
      <c r="AB228" s="2" t="n"/>
      <c r="AC228" s="2" t="n"/>
      <c r="AD228" s="2" t="n"/>
      <c r="AE228" s="2" t="n"/>
    </row>
    <row r="229" ht="12.75" customHeight="1" s="52">
      <c r="A229" s="2" t="n"/>
      <c r="B229" s="2">
        <f>'QBO Transactions'!$U231</f>
        <v/>
      </c>
      <c r="C229" s="3">
        <f>'QBO Transactions'!$S231</f>
        <v/>
      </c>
      <c r="D229" s="2">
        <f>'QBO Transactions'!$R231</f>
        <v/>
      </c>
      <c r="E229" s="2" t="n"/>
      <c r="F229" s="3">
        <f>'QBO Transactions'!$X231</f>
        <v/>
      </c>
      <c r="G229" s="2" t="n"/>
      <c r="H229" s="2" t="n"/>
      <c r="I229" s="2" t="n"/>
      <c r="J229" s="2" t="n"/>
      <c r="K229" s="2" t="n"/>
      <c r="L229" s="2" t="n"/>
      <c r="M229" s="2" t="n"/>
      <c r="N229" s="2">
        <f>'QBO Transactions'!$Y231</f>
        <v/>
      </c>
      <c r="O229" s="2" t="n"/>
      <c r="P229" s="2" t="n"/>
      <c r="Q229" s="2">
        <f>'QBO Transactions'!$T231</f>
        <v/>
      </c>
      <c r="R229" s="2" t="n"/>
      <c r="S229" s="2" t="n"/>
      <c r="T229" s="2" t="n"/>
      <c r="U229" s="2" t="n"/>
      <c r="V229" s="2" t="n"/>
      <c r="W229" s="2" t="n"/>
      <c r="X229" s="2">
        <f>Q229</f>
        <v/>
      </c>
      <c r="Y229" s="4">
        <f>'QBO Transactions'!$Q231</f>
        <v/>
      </c>
      <c r="Z229" s="2" t="n"/>
      <c r="AA229" s="2" t="n"/>
      <c r="AB229" s="2" t="n"/>
      <c r="AC229" s="2" t="n"/>
      <c r="AD229" s="2" t="n"/>
      <c r="AE229" s="2" t="n"/>
    </row>
    <row r="230" ht="12.75" customHeight="1" s="52">
      <c r="A230" s="2" t="n"/>
      <c r="B230" s="2">
        <f>'QBO Transactions'!$U232</f>
        <v/>
      </c>
      <c r="C230" s="3">
        <f>'QBO Transactions'!$S232</f>
        <v/>
      </c>
      <c r="D230" s="2">
        <f>'QBO Transactions'!$R232</f>
        <v/>
      </c>
      <c r="E230" s="2" t="n"/>
      <c r="F230" s="3">
        <f>'QBO Transactions'!$X232</f>
        <v/>
      </c>
      <c r="G230" s="2" t="n"/>
      <c r="H230" s="2" t="n"/>
      <c r="I230" s="2" t="n"/>
      <c r="J230" s="2" t="n"/>
      <c r="K230" s="2" t="n"/>
      <c r="L230" s="2" t="n"/>
      <c r="M230" s="2" t="n"/>
      <c r="N230" s="2">
        <f>'QBO Transactions'!$Y232</f>
        <v/>
      </c>
      <c r="O230" s="2" t="n"/>
      <c r="P230" s="2" t="n"/>
      <c r="Q230" s="2">
        <f>'QBO Transactions'!$T232</f>
        <v/>
      </c>
      <c r="R230" s="2" t="n"/>
      <c r="S230" s="2" t="n"/>
      <c r="T230" s="2" t="n"/>
      <c r="U230" s="2" t="n"/>
      <c r="V230" s="2" t="n"/>
      <c r="W230" s="2" t="n"/>
      <c r="X230" s="2">
        <f>Q230</f>
        <v/>
      </c>
      <c r="Y230" s="4">
        <f>'QBO Transactions'!$Q232</f>
        <v/>
      </c>
      <c r="Z230" s="2" t="n"/>
      <c r="AA230" s="2" t="n"/>
      <c r="AB230" s="2" t="n"/>
      <c r="AC230" s="2" t="n"/>
      <c r="AD230" s="2" t="n"/>
      <c r="AE230" s="2" t="n"/>
    </row>
    <row r="231" ht="12.75" customHeight="1" s="52">
      <c r="A231" s="2" t="n"/>
      <c r="B231" s="2">
        <f>'QBO Transactions'!$U233</f>
        <v/>
      </c>
      <c r="C231" s="3">
        <f>'QBO Transactions'!$S233</f>
        <v/>
      </c>
      <c r="D231" s="2">
        <f>'QBO Transactions'!$R233</f>
        <v/>
      </c>
      <c r="E231" s="2" t="n"/>
      <c r="F231" s="3">
        <f>'QBO Transactions'!$X233</f>
        <v/>
      </c>
      <c r="G231" s="2" t="n"/>
      <c r="H231" s="2" t="n"/>
      <c r="I231" s="2" t="n"/>
      <c r="J231" s="2" t="n"/>
      <c r="K231" s="2" t="n"/>
      <c r="L231" s="2" t="n"/>
      <c r="M231" s="2" t="n"/>
      <c r="N231" s="2">
        <f>'QBO Transactions'!$Y233</f>
        <v/>
      </c>
      <c r="O231" s="2" t="n"/>
      <c r="P231" s="2" t="n"/>
      <c r="Q231" s="2">
        <f>'QBO Transactions'!$T233</f>
        <v/>
      </c>
      <c r="R231" s="2" t="n"/>
      <c r="S231" s="2" t="n"/>
      <c r="T231" s="2" t="n"/>
      <c r="U231" s="2" t="n"/>
      <c r="V231" s="2" t="n"/>
      <c r="W231" s="2" t="n"/>
      <c r="X231" s="2">
        <f>Q231</f>
        <v/>
      </c>
      <c r="Y231" s="4">
        <f>'QBO Transactions'!$Q233</f>
        <v/>
      </c>
      <c r="Z231" s="2" t="n"/>
      <c r="AA231" s="2" t="n"/>
      <c r="AB231" s="2" t="n"/>
      <c r="AC231" s="2" t="n"/>
      <c r="AD231" s="2" t="n"/>
      <c r="AE231" s="2" t="n"/>
    </row>
    <row r="232" ht="12.75" customHeight="1" s="52">
      <c r="A232" s="2" t="n"/>
      <c r="B232" s="2">
        <f>'QBO Transactions'!$U234</f>
        <v/>
      </c>
      <c r="C232" s="3">
        <f>'QBO Transactions'!$S234</f>
        <v/>
      </c>
      <c r="D232" s="2">
        <f>'QBO Transactions'!$R234</f>
        <v/>
      </c>
      <c r="E232" s="2" t="n"/>
      <c r="F232" s="3">
        <f>'QBO Transactions'!$X234</f>
        <v/>
      </c>
      <c r="G232" s="2" t="n"/>
      <c r="H232" s="2" t="n"/>
      <c r="I232" s="2" t="n"/>
      <c r="J232" s="2" t="n"/>
      <c r="K232" s="2" t="n"/>
      <c r="L232" s="2" t="n"/>
      <c r="M232" s="2" t="n"/>
      <c r="N232" s="2">
        <f>'QBO Transactions'!$Y234</f>
        <v/>
      </c>
      <c r="O232" s="2" t="n"/>
      <c r="P232" s="2" t="n"/>
      <c r="Q232" s="2">
        <f>'QBO Transactions'!$T234</f>
        <v/>
      </c>
      <c r="R232" s="2" t="n"/>
      <c r="S232" s="2" t="n"/>
      <c r="T232" s="2" t="n"/>
      <c r="U232" s="2" t="n"/>
      <c r="V232" s="2" t="n"/>
      <c r="W232" s="2" t="n"/>
      <c r="X232" s="2">
        <f>Q232</f>
        <v/>
      </c>
      <c r="Y232" s="4">
        <f>'QBO Transactions'!$Q234</f>
        <v/>
      </c>
      <c r="Z232" s="2" t="n"/>
      <c r="AA232" s="2" t="n"/>
      <c r="AB232" s="2" t="n"/>
      <c r="AC232" s="2" t="n"/>
      <c r="AD232" s="2" t="n"/>
      <c r="AE232" s="2" t="n"/>
    </row>
    <row r="233" ht="12.75" customHeight="1" s="52">
      <c r="A233" s="2" t="n"/>
      <c r="B233" s="2">
        <f>'QBO Transactions'!$U235</f>
        <v/>
      </c>
      <c r="C233" s="3">
        <f>'QBO Transactions'!$S235</f>
        <v/>
      </c>
      <c r="D233" s="2">
        <f>'QBO Transactions'!$R235</f>
        <v/>
      </c>
      <c r="E233" s="2" t="n"/>
      <c r="F233" s="3">
        <f>'QBO Transactions'!$X235</f>
        <v/>
      </c>
      <c r="G233" s="2" t="n"/>
      <c r="H233" s="2" t="n"/>
      <c r="I233" s="2" t="n"/>
      <c r="J233" s="2" t="n"/>
      <c r="K233" s="2" t="n"/>
      <c r="L233" s="2" t="n"/>
      <c r="M233" s="2" t="n"/>
      <c r="N233" s="2">
        <f>'QBO Transactions'!$Y235</f>
        <v/>
      </c>
      <c r="O233" s="2" t="n"/>
      <c r="P233" s="2" t="n"/>
      <c r="Q233" s="2">
        <f>'QBO Transactions'!$T235</f>
        <v/>
      </c>
      <c r="R233" s="2" t="n"/>
      <c r="S233" s="2" t="n"/>
      <c r="T233" s="2" t="n"/>
      <c r="U233" s="2" t="n"/>
      <c r="V233" s="2" t="n"/>
      <c r="W233" s="2" t="n"/>
      <c r="X233" s="2">
        <f>Q233</f>
        <v/>
      </c>
      <c r="Y233" s="4">
        <f>'QBO Transactions'!$Q235</f>
        <v/>
      </c>
      <c r="Z233" s="2" t="n"/>
      <c r="AA233" s="2" t="n"/>
      <c r="AB233" s="2" t="n"/>
      <c r="AC233" s="2" t="n"/>
      <c r="AD233" s="2" t="n"/>
      <c r="AE233" s="2" t="n"/>
    </row>
    <row r="234" ht="12.75" customHeight="1" s="52">
      <c r="A234" s="2" t="n"/>
      <c r="B234" s="2">
        <f>'QBO Transactions'!$U236</f>
        <v/>
      </c>
      <c r="C234" s="3">
        <f>'QBO Transactions'!$S236</f>
        <v/>
      </c>
      <c r="D234" s="2">
        <f>'QBO Transactions'!$R236</f>
        <v/>
      </c>
      <c r="E234" s="2" t="n"/>
      <c r="F234" s="3">
        <f>'QBO Transactions'!$X236</f>
        <v/>
      </c>
      <c r="G234" s="2" t="n"/>
      <c r="H234" s="2" t="n"/>
      <c r="I234" s="2" t="n"/>
      <c r="J234" s="2" t="n"/>
      <c r="K234" s="2" t="n"/>
      <c r="L234" s="2" t="n"/>
      <c r="M234" s="2" t="n"/>
      <c r="N234" s="2">
        <f>'QBO Transactions'!$Y236</f>
        <v/>
      </c>
      <c r="O234" s="2" t="n"/>
      <c r="P234" s="2" t="n"/>
      <c r="Q234" s="2">
        <f>'QBO Transactions'!$T236</f>
        <v/>
      </c>
      <c r="R234" s="2" t="n"/>
      <c r="S234" s="2" t="n"/>
      <c r="T234" s="2" t="n"/>
      <c r="U234" s="2" t="n"/>
      <c r="V234" s="2" t="n"/>
      <c r="W234" s="2" t="n"/>
      <c r="X234" s="2">
        <f>Q234</f>
        <v/>
      </c>
      <c r="Y234" s="4">
        <f>'QBO Transactions'!$Q236</f>
        <v/>
      </c>
      <c r="Z234" s="2" t="n"/>
      <c r="AA234" s="2" t="n"/>
      <c r="AB234" s="2" t="n"/>
      <c r="AC234" s="2" t="n"/>
      <c r="AD234" s="2" t="n"/>
      <c r="AE234" s="2" t="n"/>
    </row>
    <row r="235" ht="12.75" customHeight="1" s="52">
      <c r="A235" s="2" t="n"/>
      <c r="B235" s="2">
        <f>'QBO Transactions'!$U237</f>
        <v/>
      </c>
      <c r="C235" s="3">
        <f>'QBO Transactions'!$S237</f>
        <v/>
      </c>
      <c r="D235" s="2">
        <f>'QBO Transactions'!$R237</f>
        <v/>
      </c>
      <c r="E235" s="2" t="n"/>
      <c r="F235" s="3">
        <f>'QBO Transactions'!$X237</f>
        <v/>
      </c>
      <c r="G235" s="2" t="n"/>
      <c r="H235" s="2" t="n"/>
      <c r="I235" s="2" t="n"/>
      <c r="J235" s="2" t="n"/>
      <c r="K235" s="2" t="n"/>
      <c r="L235" s="2" t="n"/>
      <c r="M235" s="2" t="n"/>
      <c r="N235" s="2">
        <f>'QBO Transactions'!$Y237</f>
        <v/>
      </c>
      <c r="O235" s="2" t="n"/>
      <c r="P235" s="2" t="n"/>
      <c r="Q235" s="2">
        <f>'QBO Transactions'!$T237</f>
        <v/>
      </c>
      <c r="R235" s="2" t="n"/>
      <c r="S235" s="2" t="n"/>
      <c r="T235" s="2" t="n"/>
      <c r="U235" s="2" t="n"/>
      <c r="V235" s="2" t="n"/>
      <c r="W235" s="2" t="n"/>
      <c r="X235" s="2">
        <f>Q235</f>
        <v/>
      </c>
      <c r="Y235" s="4">
        <f>'QBO Transactions'!$Q237</f>
        <v/>
      </c>
      <c r="Z235" s="2" t="n"/>
      <c r="AA235" s="2" t="n"/>
      <c r="AB235" s="2" t="n"/>
      <c r="AC235" s="2" t="n"/>
      <c r="AD235" s="2" t="n"/>
      <c r="AE235" s="2" t="n"/>
    </row>
    <row r="236" ht="12.75" customHeight="1" s="52">
      <c r="A236" s="2" t="n"/>
      <c r="B236" s="2">
        <f>'QBO Transactions'!$U238</f>
        <v/>
      </c>
      <c r="C236" s="3">
        <f>'QBO Transactions'!$S238</f>
        <v/>
      </c>
      <c r="D236" s="2">
        <f>'QBO Transactions'!$R238</f>
        <v/>
      </c>
      <c r="E236" s="2" t="n"/>
      <c r="F236" s="3">
        <f>'QBO Transactions'!$X238</f>
        <v/>
      </c>
      <c r="G236" s="2" t="n"/>
      <c r="H236" s="2" t="n"/>
      <c r="I236" s="2" t="n"/>
      <c r="J236" s="2" t="n"/>
      <c r="K236" s="2" t="n"/>
      <c r="L236" s="2" t="n"/>
      <c r="M236" s="2" t="n"/>
      <c r="N236" s="2">
        <f>'QBO Transactions'!$Y238</f>
        <v/>
      </c>
      <c r="O236" s="2" t="n"/>
      <c r="P236" s="2" t="n"/>
      <c r="Q236" s="2">
        <f>'QBO Transactions'!$T238</f>
        <v/>
      </c>
      <c r="R236" s="2" t="n"/>
      <c r="S236" s="2" t="n"/>
      <c r="T236" s="2" t="n"/>
      <c r="U236" s="2" t="n"/>
      <c r="V236" s="2" t="n"/>
      <c r="W236" s="2" t="n"/>
      <c r="X236" s="2">
        <f>Q236</f>
        <v/>
      </c>
      <c r="Y236" s="4">
        <f>'QBO Transactions'!$Q238</f>
        <v/>
      </c>
      <c r="Z236" s="2" t="n"/>
      <c r="AA236" s="2" t="n"/>
      <c r="AB236" s="2" t="n"/>
      <c r="AC236" s="2" t="n"/>
      <c r="AD236" s="2" t="n"/>
      <c r="AE236" s="2" t="n"/>
    </row>
    <row r="237" ht="12.75" customHeight="1" s="52">
      <c r="A237" s="2" t="n"/>
      <c r="B237" s="2">
        <f>'QBO Transactions'!$U239</f>
        <v/>
      </c>
      <c r="C237" s="3">
        <f>'QBO Transactions'!$S239</f>
        <v/>
      </c>
      <c r="D237" s="2">
        <f>'QBO Transactions'!$R239</f>
        <v/>
      </c>
      <c r="E237" s="2" t="n"/>
      <c r="F237" s="3">
        <f>'QBO Transactions'!$X239</f>
        <v/>
      </c>
      <c r="G237" s="2" t="n"/>
      <c r="H237" s="2" t="n"/>
      <c r="I237" s="2" t="n"/>
      <c r="J237" s="2" t="n"/>
      <c r="K237" s="2" t="n"/>
      <c r="L237" s="2" t="n"/>
      <c r="M237" s="2" t="n"/>
      <c r="N237" s="2">
        <f>'QBO Transactions'!$Y239</f>
        <v/>
      </c>
      <c r="O237" s="2" t="n"/>
      <c r="P237" s="2" t="n"/>
      <c r="Q237" s="2">
        <f>'QBO Transactions'!$T239</f>
        <v/>
      </c>
      <c r="R237" s="2" t="n"/>
      <c r="S237" s="2" t="n"/>
      <c r="T237" s="2" t="n"/>
      <c r="U237" s="2" t="n"/>
      <c r="V237" s="2" t="n"/>
      <c r="W237" s="2" t="n"/>
      <c r="X237" s="2">
        <f>Q237</f>
        <v/>
      </c>
      <c r="Y237" s="4">
        <f>'QBO Transactions'!$Q239</f>
        <v/>
      </c>
      <c r="Z237" s="2" t="n"/>
      <c r="AA237" s="2" t="n"/>
      <c r="AB237" s="2" t="n"/>
      <c r="AC237" s="2" t="n"/>
      <c r="AD237" s="2" t="n"/>
      <c r="AE237" s="2" t="n"/>
    </row>
    <row r="238" ht="12.75" customHeight="1" s="52">
      <c r="A238" s="2" t="n"/>
      <c r="B238" s="2">
        <f>'QBO Transactions'!$U240</f>
        <v/>
      </c>
      <c r="C238" s="3">
        <f>'QBO Transactions'!$S240</f>
        <v/>
      </c>
      <c r="D238" s="2">
        <f>'QBO Transactions'!$R240</f>
        <v/>
      </c>
      <c r="E238" s="2" t="n"/>
      <c r="F238" s="3">
        <f>'QBO Transactions'!$X240</f>
        <v/>
      </c>
      <c r="G238" s="2" t="n"/>
      <c r="H238" s="2" t="n"/>
      <c r="I238" s="2" t="n"/>
      <c r="J238" s="2" t="n"/>
      <c r="K238" s="2" t="n"/>
      <c r="L238" s="2" t="n"/>
      <c r="M238" s="2" t="n"/>
      <c r="N238" s="2">
        <f>'QBO Transactions'!$Y240</f>
        <v/>
      </c>
      <c r="O238" s="2" t="n"/>
      <c r="P238" s="2" t="n"/>
      <c r="Q238" s="2">
        <f>'QBO Transactions'!$T240</f>
        <v/>
      </c>
      <c r="R238" s="2" t="n"/>
      <c r="S238" s="2" t="n"/>
      <c r="T238" s="2" t="n"/>
      <c r="U238" s="2" t="n"/>
      <c r="V238" s="2" t="n"/>
      <c r="W238" s="2" t="n"/>
      <c r="X238" s="2">
        <f>Q238</f>
        <v/>
      </c>
      <c r="Y238" s="4">
        <f>'QBO Transactions'!$Q240</f>
        <v/>
      </c>
      <c r="Z238" s="2" t="n"/>
      <c r="AA238" s="2" t="n"/>
      <c r="AB238" s="2" t="n"/>
      <c r="AC238" s="2" t="n"/>
      <c r="AD238" s="2" t="n"/>
      <c r="AE238" s="2" t="n"/>
    </row>
    <row r="239" ht="12.75" customHeight="1" s="52">
      <c r="A239" s="2" t="n"/>
      <c r="B239" s="2">
        <f>'QBO Transactions'!$U241</f>
        <v/>
      </c>
      <c r="C239" s="3">
        <f>'QBO Transactions'!$S241</f>
        <v/>
      </c>
      <c r="D239" s="2">
        <f>'QBO Transactions'!$R241</f>
        <v/>
      </c>
      <c r="E239" s="2" t="n"/>
      <c r="F239" s="3">
        <f>'QBO Transactions'!$X241</f>
        <v/>
      </c>
      <c r="G239" s="2" t="n"/>
      <c r="H239" s="2" t="n"/>
      <c r="I239" s="2" t="n"/>
      <c r="J239" s="2" t="n"/>
      <c r="K239" s="2" t="n"/>
      <c r="L239" s="2" t="n"/>
      <c r="M239" s="2" t="n"/>
      <c r="N239" s="2">
        <f>'QBO Transactions'!$Y241</f>
        <v/>
      </c>
      <c r="O239" s="2" t="n"/>
      <c r="P239" s="2" t="n"/>
      <c r="Q239" s="2">
        <f>'QBO Transactions'!$T241</f>
        <v/>
      </c>
      <c r="R239" s="2" t="n"/>
      <c r="S239" s="2" t="n"/>
      <c r="T239" s="2" t="n"/>
      <c r="U239" s="2" t="n"/>
      <c r="V239" s="2" t="n"/>
      <c r="W239" s="2" t="n"/>
      <c r="X239" s="2">
        <f>Q239</f>
        <v/>
      </c>
      <c r="Y239" s="4">
        <f>'QBO Transactions'!$Q241</f>
        <v/>
      </c>
      <c r="Z239" s="2" t="n"/>
      <c r="AA239" s="2" t="n"/>
      <c r="AB239" s="2" t="n"/>
      <c r="AC239" s="2" t="n"/>
      <c r="AD239" s="2" t="n"/>
      <c r="AE239" s="2" t="n"/>
    </row>
    <row r="240" ht="12.75" customHeight="1" s="52">
      <c r="A240" s="2" t="n"/>
      <c r="B240" s="2">
        <f>'QBO Transactions'!$U242</f>
        <v/>
      </c>
      <c r="C240" s="3">
        <f>'QBO Transactions'!$S242</f>
        <v/>
      </c>
      <c r="D240" s="2">
        <f>'QBO Transactions'!$R242</f>
        <v/>
      </c>
      <c r="E240" s="2" t="n"/>
      <c r="F240" s="3">
        <f>'QBO Transactions'!$X242</f>
        <v/>
      </c>
      <c r="G240" s="2" t="n"/>
      <c r="H240" s="2" t="n"/>
      <c r="I240" s="2" t="n"/>
      <c r="J240" s="2" t="n"/>
      <c r="K240" s="2" t="n"/>
      <c r="L240" s="2" t="n"/>
      <c r="M240" s="2" t="n"/>
      <c r="N240" s="2">
        <f>'QBO Transactions'!$Y242</f>
        <v/>
      </c>
      <c r="O240" s="2" t="n"/>
      <c r="P240" s="2" t="n"/>
      <c r="Q240" s="2">
        <f>'QBO Transactions'!$T242</f>
        <v/>
      </c>
      <c r="R240" s="2" t="n"/>
      <c r="S240" s="2" t="n"/>
      <c r="T240" s="2" t="n"/>
      <c r="U240" s="2" t="n"/>
      <c r="V240" s="2" t="n"/>
      <c r="W240" s="2" t="n"/>
      <c r="X240" s="2">
        <f>Q240</f>
        <v/>
      </c>
      <c r="Y240" s="4">
        <f>'QBO Transactions'!$Q242</f>
        <v/>
      </c>
      <c r="Z240" s="2" t="n"/>
      <c r="AA240" s="2" t="n"/>
      <c r="AB240" s="2" t="n"/>
      <c r="AC240" s="2" t="n"/>
      <c r="AD240" s="2" t="n"/>
      <c r="AE240" s="2" t="n"/>
    </row>
    <row r="241" ht="12.75" customHeight="1" s="52">
      <c r="A241" s="2" t="n"/>
      <c r="B241" s="2">
        <f>'QBO Transactions'!$U243</f>
        <v/>
      </c>
      <c r="C241" s="3">
        <f>'QBO Transactions'!$S243</f>
        <v/>
      </c>
      <c r="D241" s="2">
        <f>'QBO Transactions'!$R243</f>
        <v/>
      </c>
      <c r="E241" s="2" t="n"/>
      <c r="F241" s="3">
        <f>'QBO Transactions'!$X243</f>
        <v/>
      </c>
      <c r="G241" s="2" t="n"/>
      <c r="H241" s="2" t="n"/>
      <c r="I241" s="2" t="n"/>
      <c r="J241" s="2" t="n"/>
      <c r="K241" s="2" t="n"/>
      <c r="L241" s="2" t="n"/>
      <c r="M241" s="2" t="n"/>
      <c r="N241" s="2">
        <f>'QBO Transactions'!$Y243</f>
        <v/>
      </c>
      <c r="O241" s="2" t="n"/>
      <c r="P241" s="2" t="n"/>
      <c r="Q241" s="2">
        <f>'QBO Transactions'!$T243</f>
        <v/>
      </c>
      <c r="R241" s="2" t="n"/>
      <c r="S241" s="2" t="n"/>
      <c r="T241" s="2" t="n"/>
      <c r="U241" s="2" t="n"/>
      <c r="V241" s="2" t="n"/>
      <c r="W241" s="2" t="n"/>
      <c r="X241" s="2">
        <f>Q241</f>
        <v/>
      </c>
      <c r="Y241" s="4">
        <f>'QBO Transactions'!$Q243</f>
        <v/>
      </c>
      <c r="Z241" s="2" t="n"/>
      <c r="AA241" s="2" t="n"/>
      <c r="AB241" s="2" t="n"/>
      <c r="AC241" s="2" t="n"/>
      <c r="AD241" s="2" t="n"/>
      <c r="AE241" s="2" t="n"/>
    </row>
    <row r="242" ht="12.75" customHeight="1" s="52">
      <c r="A242" s="2" t="n"/>
      <c r="B242" s="2">
        <f>'QBO Transactions'!$U244</f>
        <v/>
      </c>
      <c r="C242" s="3">
        <f>'QBO Transactions'!$S244</f>
        <v/>
      </c>
      <c r="D242" s="2">
        <f>'QBO Transactions'!$R244</f>
        <v/>
      </c>
      <c r="E242" s="2" t="n"/>
      <c r="F242" s="3">
        <f>'QBO Transactions'!$X244</f>
        <v/>
      </c>
      <c r="G242" s="2" t="n"/>
      <c r="H242" s="2" t="n"/>
      <c r="I242" s="2" t="n"/>
      <c r="J242" s="2" t="n"/>
      <c r="K242" s="2" t="n"/>
      <c r="L242" s="2" t="n"/>
      <c r="M242" s="2" t="n"/>
      <c r="N242" s="2">
        <f>'QBO Transactions'!$Y244</f>
        <v/>
      </c>
      <c r="O242" s="2" t="n"/>
      <c r="P242" s="2" t="n"/>
      <c r="Q242" s="2">
        <f>'QBO Transactions'!$T244</f>
        <v/>
      </c>
      <c r="R242" s="2" t="n"/>
      <c r="S242" s="2" t="n"/>
      <c r="T242" s="2" t="n"/>
      <c r="U242" s="2" t="n"/>
      <c r="V242" s="2" t="n"/>
      <c r="W242" s="2" t="n"/>
      <c r="X242" s="2">
        <f>Q242</f>
        <v/>
      </c>
      <c r="Y242" s="4">
        <f>'QBO Transactions'!$Q244</f>
        <v/>
      </c>
      <c r="Z242" s="2" t="n"/>
      <c r="AA242" s="2" t="n"/>
      <c r="AB242" s="2" t="n"/>
      <c r="AC242" s="2" t="n"/>
      <c r="AD242" s="2" t="n"/>
      <c r="AE242" s="2" t="n"/>
    </row>
    <row r="243" ht="12.75" customHeight="1" s="52">
      <c r="A243" s="2" t="n"/>
      <c r="B243" s="2">
        <f>'QBO Transactions'!$U245</f>
        <v/>
      </c>
      <c r="C243" s="3">
        <f>'QBO Transactions'!$S245</f>
        <v/>
      </c>
      <c r="D243" s="2">
        <f>'QBO Transactions'!$R245</f>
        <v/>
      </c>
      <c r="E243" s="2" t="n"/>
      <c r="F243" s="3">
        <f>'QBO Transactions'!$X245</f>
        <v/>
      </c>
      <c r="G243" s="2" t="n"/>
      <c r="H243" s="2" t="n"/>
      <c r="I243" s="2" t="n"/>
      <c r="J243" s="2" t="n"/>
      <c r="K243" s="2" t="n"/>
      <c r="L243" s="2" t="n"/>
      <c r="M243" s="2" t="n"/>
      <c r="N243" s="2">
        <f>'QBO Transactions'!$Y245</f>
        <v/>
      </c>
      <c r="O243" s="2" t="n"/>
      <c r="P243" s="2" t="n"/>
      <c r="Q243" s="2">
        <f>'QBO Transactions'!$T245</f>
        <v/>
      </c>
      <c r="R243" s="2" t="n"/>
      <c r="S243" s="2" t="n"/>
      <c r="T243" s="2" t="n"/>
      <c r="U243" s="2" t="n"/>
      <c r="V243" s="2" t="n"/>
      <c r="W243" s="2" t="n"/>
      <c r="X243" s="2">
        <f>Q243</f>
        <v/>
      </c>
      <c r="Y243" s="4">
        <f>'QBO Transactions'!$Q245</f>
        <v/>
      </c>
      <c r="Z243" s="2" t="n"/>
      <c r="AA243" s="2" t="n"/>
      <c r="AB243" s="2" t="n"/>
      <c r="AC243" s="2" t="n"/>
      <c r="AD243" s="2" t="n"/>
      <c r="AE243" s="2" t="n"/>
    </row>
    <row r="244" ht="12.75" customHeight="1" s="52">
      <c r="A244" s="2" t="n"/>
      <c r="B244" s="2">
        <f>'QBO Transactions'!$U246</f>
        <v/>
      </c>
      <c r="C244" s="3">
        <f>'QBO Transactions'!$S246</f>
        <v/>
      </c>
      <c r="D244" s="2">
        <f>'QBO Transactions'!$R246</f>
        <v/>
      </c>
      <c r="E244" s="2" t="n"/>
      <c r="F244" s="3">
        <f>'QBO Transactions'!$X246</f>
        <v/>
      </c>
      <c r="G244" s="2" t="n"/>
      <c r="H244" s="2" t="n"/>
      <c r="I244" s="2" t="n"/>
      <c r="J244" s="2" t="n"/>
      <c r="K244" s="2" t="n"/>
      <c r="L244" s="2" t="n"/>
      <c r="M244" s="2" t="n"/>
      <c r="N244" s="2">
        <f>'QBO Transactions'!$Y246</f>
        <v/>
      </c>
      <c r="O244" s="2" t="n"/>
      <c r="P244" s="2" t="n"/>
      <c r="Q244" s="2">
        <f>'QBO Transactions'!$T246</f>
        <v/>
      </c>
      <c r="R244" s="2" t="n"/>
      <c r="S244" s="2" t="n"/>
      <c r="T244" s="2" t="n"/>
      <c r="U244" s="2" t="n"/>
      <c r="V244" s="2" t="n"/>
      <c r="W244" s="2" t="n"/>
      <c r="X244" s="2">
        <f>Q244</f>
        <v/>
      </c>
      <c r="Y244" s="4">
        <f>'QBO Transactions'!$Q246</f>
        <v/>
      </c>
      <c r="Z244" s="2" t="n"/>
      <c r="AA244" s="2" t="n"/>
      <c r="AB244" s="2" t="n"/>
      <c r="AC244" s="2" t="n"/>
      <c r="AD244" s="2" t="n"/>
      <c r="AE244" s="2" t="n"/>
    </row>
    <row r="245" ht="12.75" customHeight="1" s="52">
      <c r="A245" s="2" t="n"/>
      <c r="B245" s="2">
        <f>'QBO Transactions'!$U247</f>
        <v/>
      </c>
      <c r="C245" s="3">
        <f>'QBO Transactions'!$S247</f>
        <v/>
      </c>
      <c r="D245" s="2">
        <f>'QBO Transactions'!$R247</f>
        <v/>
      </c>
      <c r="E245" s="2" t="n"/>
      <c r="F245" s="3">
        <f>'QBO Transactions'!$X247</f>
        <v/>
      </c>
      <c r="G245" s="2" t="n"/>
      <c r="H245" s="2" t="n"/>
      <c r="I245" s="2" t="n"/>
      <c r="J245" s="2" t="n"/>
      <c r="K245" s="2" t="n"/>
      <c r="L245" s="2" t="n"/>
      <c r="M245" s="2" t="n"/>
      <c r="N245" s="2">
        <f>'QBO Transactions'!$Y247</f>
        <v/>
      </c>
      <c r="O245" s="2" t="n"/>
      <c r="P245" s="2" t="n"/>
      <c r="Q245" s="2">
        <f>'QBO Transactions'!$T247</f>
        <v/>
      </c>
      <c r="R245" s="2" t="n"/>
      <c r="S245" s="2" t="n"/>
      <c r="T245" s="2" t="n"/>
      <c r="U245" s="2" t="n"/>
      <c r="V245" s="2" t="n"/>
      <c r="W245" s="2" t="n"/>
      <c r="X245" s="2">
        <f>Q245</f>
        <v/>
      </c>
      <c r="Y245" s="4">
        <f>'QBO Transactions'!$Q247</f>
        <v/>
      </c>
      <c r="Z245" s="2" t="n"/>
      <c r="AA245" s="2" t="n"/>
      <c r="AB245" s="2" t="n"/>
      <c r="AC245" s="2" t="n"/>
      <c r="AD245" s="2" t="n"/>
      <c r="AE245" s="2" t="n"/>
    </row>
    <row r="246" ht="12.75" customHeight="1" s="52">
      <c r="A246" s="2" t="n"/>
      <c r="B246" s="2">
        <f>'QBO Transactions'!$U248</f>
        <v/>
      </c>
      <c r="C246" s="3">
        <f>'QBO Transactions'!$S248</f>
        <v/>
      </c>
      <c r="D246" s="2">
        <f>'QBO Transactions'!$R248</f>
        <v/>
      </c>
      <c r="E246" s="2" t="n"/>
      <c r="F246" s="3">
        <f>'QBO Transactions'!$X248</f>
        <v/>
      </c>
      <c r="G246" s="2" t="n"/>
      <c r="H246" s="2" t="n"/>
      <c r="I246" s="2" t="n"/>
      <c r="J246" s="2" t="n"/>
      <c r="K246" s="2" t="n"/>
      <c r="L246" s="2" t="n"/>
      <c r="M246" s="2" t="n"/>
      <c r="N246" s="2">
        <f>'QBO Transactions'!$Y248</f>
        <v/>
      </c>
      <c r="O246" s="2" t="n"/>
      <c r="P246" s="2" t="n"/>
      <c r="Q246" s="2">
        <f>'QBO Transactions'!$T248</f>
        <v/>
      </c>
      <c r="R246" s="2" t="n"/>
      <c r="S246" s="2" t="n"/>
      <c r="T246" s="2" t="n"/>
      <c r="U246" s="2" t="n"/>
      <c r="V246" s="2" t="n"/>
      <c r="W246" s="2" t="n"/>
      <c r="X246" s="2">
        <f>Q246</f>
        <v/>
      </c>
      <c r="Y246" s="4">
        <f>'QBO Transactions'!$Q248</f>
        <v/>
      </c>
      <c r="Z246" s="2" t="n"/>
      <c r="AA246" s="2" t="n"/>
      <c r="AB246" s="2" t="n"/>
      <c r="AC246" s="2" t="n"/>
      <c r="AD246" s="2" t="n"/>
      <c r="AE246" s="2" t="n"/>
    </row>
    <row r="247" ht="12.75" customHeight="1" s="52">
      <c r="A247" s="2" t="n"/>
      <c r="B247" s="2">
        <f>'QBO Transactions'!$U249</f>
        <v/>
      </c>
      <c r="C247" s="3">
        <f>'QBO Transactions'!$S249</f>
        <v/>
      </c>
      <c r="D247" s="2">
        <f>'QBO Transactions'!$R249</f>
        <v/>
      </c>
      <c r="E247" s="2" t="n"/>
      <c r="F247" s="3">
        <f>'QBO Transactions'!$X249</f>
        <v/>
      </c>
      <c r="G247" s="2" t="n"/>
      <c r="H247" s="2" t="n"/>
      <c r="I247" s="2" t="n"/>
      <c r="J247" s="2" t="n"/>
      <c r="K247" s="2" t="n"/>
      <c r="L247" s="2" t="n"/>
      <c r="M247" s="2" t="n"/>
      <c r="N247" s="2">
        <f>'QBO Transactions'!$Y249</f>
        <v/>
      </c>
      <c r="O247" s="2" t="n"/>
      <c r="P247" s="2" t="n"/>
      <c r="Q247" s="2">
        <f>'QBO Transactions'!$T249</f>
        <v/>
      </c>
      <c r="R247" s="2" t="n"/>
      <c r="S247" s="2" t="n"/>
      <c r="T247" s="2" t="n"/>
      <c r="U247" s="2" t="n"/>
      <c r="V247" s="2" t="n"/>
      <c r="W247" s="2" t="n"/>
      <c r="X247" s="2">
        <f>Q247</f>
        <v/>
      </c>
      <c r="Y247" s="4">
        <f>'QBO Transactions'!$Q249</f>
        <v/>
      </c>
      <c r="Z247" s="2" t="n"/>
      <c r="AA247" s="2" t="n"/>
      <c r="AB247" s="2" t="n"/>
      <c r="AC247" s="2" t="n"/>
      <c r="AD247" s="2" t="n"/>
      <c r="AE247" s="2" t="n"/>
    </row>
    <row r="248" ht="12.75" customHeight="1" s="52">
      <c r="A248" s="2" t="n"/>
      <c r="B248" s="2">
        <f>'QBO Transactions'!$U250</f>
        <v/>
      </c>
      <c r="C248" s="3">
        <f>'QBO Transactions'!$S250</f>
        <v/>
      </c>
      <c r="D248" s="2">
        <f>'QBO Transactions'!$R250</f>
        <v/>
      </c>
      <c r="E248" s="2" t="n"/>
      <c r="F248" s="3">
        <f>'QBO Transactions'!$X250</f>
        <v/>
      </c>
      <c r="G248" s="2" t="n"/>
      <c r="H248" s="2" t="n"/>
      <c r="I248" s="2" t="n"/>
      <c r="J248" s="2" t="n"/>
      <c r="K248" s="2" t="n"/>
      <c r="L248" s="2" t="n"/>
      <c r="M248" s="2" t="n"/>
      <c r="N248" s="2">
        <f>'QBO Transactions'!$Y250</f>
        <v/>
      </c>
      <c r="O248" s="2" t="n"/>
      <c r="P248" s="2" t="n"/>
      <c r="Q248" s="2">
        <f>'QBO Transactions'!$T250</f>
        <v/>
      </c>
      <c r="R248" s="2" t="n"/>
      <c r="S248" s="2" t="n"/>
      <c r="T248" s="2" t="n"/>
      <c r="U248" s="2" t="n"/>
      <c r="V248" s="2" t="n"/>
      <c r="W248" s="2" t="n"/>
      <c r="X248" s="2">
        <f>Q248</f>
        <v/>
      </c>
      <c r="Y248" s="4">
        <f>'QBO Transactions'!$Q250</f>
        <v/>
      </c>
      <c r="Z248" s="2" t="n"/>
      <c r="AA248" s="2" t="n"/>
      <c r="AB248" s="2" t="n"/>
      <c r="AC248" s="2" t="n"/>
      <c r="AD248" s="2" t="n"/>
      <c r="AE248" s="2" t="n"/>
    </row>
    <row r="249" ht="12.75" customHeight="1" s="52">
      <c r="A249" s="2" t="n"/>
      <c r="B249" s="2">
        <f>'QBO Transactions'!$U251</f>
        <v/>
      </c>
      <c r="C249" s="3">
        <f>'QBO Transactions'!$S251</f>
        <v/>
      </c>
      <c r="D249" s="2">
        <f>'QBO Transactions'!$R251</f>
        <v/>
      </c>
      <c r="E249" s="2" t="n"/>
      <c r="F249" s="3">
        <f>'QBO Transactions'!$X251</f>
        <v/>
      </c>
      <c r="G249" s="2" t="n"/>
      <c r="H249" s="2" t="n"/>
      <c r="I249" s="2" t="n"/>
      <c r="J249" s="2" t="n"/>
      <c r="K249" s="2" t="n"/>
      <c r="L249" s="2" t="n"/>
      <c r="M249" s="2" t="n"/>
      <c r="N249" s="2">
        <f>'QBO Transactions'!$Y251</f>
        <v/>
      </c>
      <c r="O249" s="2" t="n"/>
      <c r="P249" s="2" t="n"/>
      <c r="Q249" s="2">
        <f>'QBO Transactions'!$T251</f>
        <v/>
      </c>
      <c r="R249" s="2" t="n"/>
      <c r="S249" s="2" t="n"/>
      <c r="T249" s="2" t="n"/>
      <c r="U249" s="2" t="n"/>
      <c r="V249" s="2" t="n"/>
      <c r="W249" s="2" t="n"/>
      <c r="X249" s="2">
        <f>Q249</f>
        <v/>
      </c>
      <c r="Y249" s="4">
        <f>'QBO Transactions'!$Q251</f>
        <v/>
      </c>
      <c r="Z249" s="2" t="n"/>
      <c r="AA249" s="2" t="n"/>
      <c r="AB249" s="2" t="n"/>
      <c r="AC249" s="2" t="n"/>
      <c r="AD249" s="2" t="n"/>
      <c r="AE249" s="2" t="n"/>
    </row>
    <row r="250" ht="12.75" customHeight="1" s="52">
      <c r="A250" s="2" t="n"/>
      <c r="B250" s="2">
        <f>'QBO Transactions'!$U252</f>
        <v/>
      </c>
      <c r="C250" s="3">
        <f>'QBO Transactions'!$S252</f>
        <v/>
      </c>
      <c r="D250" s="2">
        <f>'QBO Transactions'!$R252</f>
        <v/>
      </c>
      <c r="E250" s="2" t="n"/>
      <c r="F250" s="3">
        <f>'QBO Transactions'!$X252</f>
        <v/>
      </c>
      <c r="G250" s="2" t="n"/>
      <c r="H250" s="2" t="n"/>
      <c r="I250" s="2" t="n"/>
      <c r="J250" s="2" t="n"/>
      <c r="K250" s="2" t="n"/>
      <c r="L250" s="2" t="n"/>
      <c r="M250" s="2" t="n"/>
      <c r="N250" s="2">
        <f>'QBO Transactions'!$Y252</f>
        <v/>
      </c>
      <c r="O250" s="2" t="n"/>
      <c r="P250" s="2" t="n"/>
      <c r="Q250" s="2">
        <f>'QBO Transactions'!$T252</f>
        <v/>
      </c>
      <c r="R250" s="2" t="n"/>
      <c r="S250" s="2" t="n"/>
      <c r="T250" s="2" t="n"/>
      <c r="U250" s="2" t="n"/>
      <c r="V250" s="2" t="n"/>
      <c r="W250" s="2" t="n"/>
      <c r="X250" s="2">
        <f>Q250</f>
        <v/>
      </c>
      <c r="Y250" s="4">
        <f>'QBO Transactions'!$Q252</f>
        <v/>
      </c>
      <c r="Z250" s="2" t="n"/>
      <c r="AA250" s="2" t="n"/>
      <c r="AB250" s="2" t="n"/>
      <c r="AC250" s="2" t="n"/>
      <c r="AD250" s="2" t="n"/>
      <c r="AE250" s="2" t="n"/>
    </row>
    <row r="251" ht="12.75" customHeight="1" s="52">
      <c r="A251" s="2" t="n"/>
      <c r="B251" s="2">
        <f>'QBO Transactions'!$U253</f>
        <v/>
      </c>
      <c r="C251" s="3">
        <f>'QBO Transactions'!$S253</f>
        <v/>
      </c>
      <c r="D251" s="2">
        <f>'QBO Transactions'!$R253</f>
        <v/>
      </c>
      <c r="E251" s="2" t="n"/>
      <c r="F251" s="3">
        <f>'QBO Transactions'!$X253</f>
        <v/>
      </c>
      <c r="G251" s="2" t="n"/>
      <c r="H251" s="2" t="n"/>
      <c r="I251" s="2" t="n"/>
      <c r="J251" s="2" t="n"/>
      <c r="K251" s="2" t="n"/>
      <c r="L251" s="2" t="n"/>
      <c r="M251" s="2" t="n"/>
      <c r="N251" s="2">
        <f>'QBO Transactions'!$Y253</f>
        <v/>
      </c>
      <c r="O251" s="2" t="n"/>
      <c r="P251" s="2" t="n"/>
      <c r="Q251" s="2">
        <f>'QBO Transactions'!$T253</f>
        <v/>
      </c>
      <c r="R251" s="2" t="n"/>
      <c r="S251" s="2" t="n"/>
      <c r="T251" s="2" t="n"/>
      <c r="U251" s="2" t="n"/>
      <c r="V251" s="2" t="n"/>
      <c r="W251" s="2" t="n"/>
      <c r="X251" s="2">
        <f>Q251</f>
        <v/>
      </c>
      <c r="Y251" s="4">
        <f>'QBO Transactions'!$Q253</f>
        <v/>
      </c>
      <c r="Z251" s="2" t="n"/>
      <c r="AA251" s="2" t="n"/>
      <c r="AB251" s="2" t="n"/>
      <c r="AC251" s="2" t="n"/>
      <c r="AD251" s="2" t="n"/>
      <c r="AE251" s="2" t="n"/>
    </row>
    <row r="252" ht="12.75" customHeight="1" s="52">
      <c r="A252" s="2" t="n"/>
      <c r="B252" s="2">
        <f>'QBO Transactions'!$U254</f>
        <v/>
      </c>
      <c r="C252" s="3">
        <f>'QBO Transactions'!$S254</f>
        <v/>
      </c>
      <c r="D252" s="2">
        <f>'QBO Transactions'!$R254</f>
        <v/>
      </c>
      <c r="E252" s="2" t="n"/>
      <c r="F252" s="3">
        <f>'QBO Transactions'!$X254</f>
        <v/>
      </c>
      <c r="G252" s="2" t="n"/>
      <c r="H252" s="2" t="n"/>
      <c r="I252" s="2" t="n"/>
      <c r="J252" s="2" t="n"/>
      <c r="K252" s="2" t="n"/>
      <c r="L252" s="2" t="n"/>
      <c r="M252" s="2" t="n"/>
      <c r="N252" s="2">
        <f>'QBO Transactions'!$Y254</f>
        <v/>
      </c>
      <c r="O252" s="2" t="n"/>
      <c r="P252" s="2" t="n"/>
      <c r="Q252" s="2">
        <f>'QBO Transactions'!$T254</f>
        <v/>
      </c>
      <c r="R252" s="2" t="n"/>
      <c r="S252" s="2" t="n"/>
      <c r="T252" s="2" t="n"/>
      <c r="U252" s="2" t="n"/>
      <c r="V252" s="2" t="n"/>
      <c r="W252" s="2" t="n"/>
      <c r="X252" s="2">
        <f>Q252</f>
        <v/>
      </c>
      <c r="Y252" s="4">
        <f>'QBO Transactions'!$Q254</f>
        <v/>
      </c>
      <c r="Z252" s="2" t="n"/>
      <c r="AA252" s="2" t="n"/>
      <c r="AB252" s="2" t="n"/>
      <c r="AC252" s="2" t="n"/>
      <c r="AD252" s="2" t="n"/>
      <c r="AE252" s="2" t="n"/>
    </row>
    <row r="253" ht="12.75" customHeight="1" s="52">
      <c r="A253" s="2" t="n"/>
      <c r="B253" s="2">
        <f>'QBO Transactions'!$U255</f>
        <v/>
      </c>
      <c r="C253" s="3">
        <f>'QBO Transactions'!$S255</f>
        <v/>
      </c>
      <c r="D253" s="2">
        <f>'QBO Transactions'!$R255</f>
        <v/>
      </c>
      <c r="E253" s="2" t="n"/>
      <c r="F253" s="3">
        <f>'QBO Transactions'!$X255</f>
        <v/>
      </c>
      <c r="G253" s="2" t="n"/>
      <c r="H253" s="2" t="n"/>
      <c r="I253" s="2" t="n"/>
      <c r="J253" s="2" t="n"/>
      <c r="K253" s="2" t="n"/>
      <c r="L253" s="2" t="n"/>
      <c r="M253" s="2" t="n"/>
      <c r="N253" s="2">
        <f>'QBO Transactions'!$Y255</f>
        <v/>
      </c>
      <c r="O253" s="2" t="n"/>
      <c r="P253" s="2" t="n"/>
      <c r="Q253" s="2">
        <f>'QBO Transactions'!$T255</f>
        <v/>
      </c>
      <c r="R253" s="2" t="n"/>
      <c r="S253" s="2" t="n"/>
      <c r="T253" s="2" t="n"/>
      <c r="U253" s="2" t="n"/>
      <c r="V253" s="2" t="n"/>
      <c r="W253" s="2" t="n"/>
      <c r="X253" s="2">
        <f>Q253</f>
        <v/>
      </c>
      <c r="Y253" s="4">
        <f>'QBO Transactions'!$Q255</f>
        <v/>
      </c>
      <c r="Z253" s="2" t="n"/>
      <c r="AA253" s="2" t="n"/>
      <c r="AB253" s="2" t="n"/>
      <c r="AC253" s="2" t="n"/>
      <c r="AD253" s="2" t="n"/>
      <c r="AE253" s="2" t="n"/>
    </row>
    <row r="254" ht="12.75" customHeight="1" s="52">
      <c r="A254" s="2" t="n"/>
      <c r="B254" s="2">
        <f>'QBO Transactions'!$U256</f>
        <v/>
      </c>
      <c r="C254" s="3">
        <f>'QBO Transactions'!$S256</f>
        <v/>
      </c>
      <c r="D254" s="2">
        <f>'QBO Transactions'!$R256</f>
        <v/>
      </c>
      <c r="E254" s="2" t="n"/>
      <c r="F254" s="3">
        <f>'QBO Transactions'!$X256</f>
        <v/>
      </c>
      <c r="G254" s="2" t="n"/>
      <c r="H254" s="2" t="n"/>
      <c r="I254" s="2" t="n"/>
      <c r="J254" s="2" t="n"/>
      <c r="K254" s="2" t="n"/>
      <c r="L254" s="2" t="n"/>
      <c r="M254" s="2" t="n"/>
      <c r="N254" s="2">
        <f>'QBO Transactions'!$Y256</f>
        <v/>
      </c>
      <c r="O254" s="2" t="n"/>
      <c r="P254" s="2" t="n"/>
      <c r="Q254" s="2">
        <f>'QBO Transactions'!$T256</f>
        <v/>
      </c>
      <c r="R254" s="2" t="n"/>
      <c r="S254" s="2" t="n"/>
      <c r="T254" s="2" t="n"/>
      <c r="U254" s="2" t="n"/>
      <c r="V254" s="2" t="n"/>
      <c r="W254" s="2" t="n"/>
      <c r="X254" s="2">
        <f>Q254</f>
        <v/>
      </c>
      <c r="Y254" s="4">
        <f>'QBO Transactions'!$Q256</f>
        <v/>
      </c>
      <c r="Z254" s="2" t="n"/>
      <c r="AA254" s="2" t="n"/>
      <c r="AB254" s="2" t="n"/>
      <c r="AC254" s="2" t="n"/>
      <c r="AD254" s="2" t="n"/>
      <c r="AE254" s="2" t="n"/>
    </row>
    <row r="255" ht="12.75" customHeight="1" s="52">
      <c r="A255" s="2" t="n"/>
      <c r="B255" s="2">
        <f>'QBO Transactions'!$U257</f>
        <v/>
      </c>
      <c r="C255" s="3">
        <f>'QBO Transactions'!$S257</f>
        <v/>
      </c>
      <c r="D255" s="2">
        <f>'QBO Transactions'!$R257</f>
        <v/>
      </c>
      <c r="E255" s="2" t="n"/>
      <c r="F255" s="3">
        <f>'QBO Transactions'!$X257</f>
        <v/>
      </c>
      <c r="G255" s="2" t="n"/>
      <c r="H255" s="2" t="n"/>
      <c r="I255" s="2" t="n"/>
      <c r="J255" s="2" t="n"/>
      <c r="K255" s="2" t="n"/>
      <c r="L255" s="2" t="n"/>
      <c r="M255" s="2" t="n"/>
      <c r="N255" s="2">
        <f>'QBO Transactions'!$Y257</f>
        <v/>
      </c>
      <c r="O255" s="2" t="n"/>
      <c r="P255" s="2" t="n"/>
      <c r="Q255" s="2">
        <f>'QBO Transactions'!$T257</f>
        <v/>
      </c>
      <c r="R255" s="2" t="n"/>
      <c r="S255" s="2" t="n"/>
      <c r="T255" s="2" t="n"/>
      <c r="U255" s="2" t="n"/>
      <c r="V255" s="2" t="n"/>
      <c r="W255" s="2" t="n"/>
      <c r="X255" s="2">
        <f>Q255</f>
        <v/>
      </c>
      <c r="Y255" s="4">
        <f>'QBO Transactions'!$Q257</f>
        <v/>
      </c>
      <c r="Z255" s="2" t="n"/>
      <c r="AA255" s="2" t="n"/>
      <c r="AB255" s="2" t="n"/>
      <c r="AC255" s="2" t="n"/>
      <c r="AD255" s="2" t="n"/>
      <c r="AE255" s="2" t="n"/>
    </row>
    <row r="256" ht="12.75" customHeight="1" s="52">
      <c r="A256" s="2" t="n"/>
      <c r="B256" s="2">
        <f>'QBO Transactions'!$U258</f>
        <v/>
      </c>
      <c r="C256" s="3">
        <f>'QBO Transactions'!$S258</f>
        <v/>
      </c>
      <c r="D256" s="2">
        <f>'QBO Transactions'!$R258</f>
        <v/>
      </c>
      <c r="E256" s="2" t="n"/>
      <c r="F256" s="3">
        <f>'QBO Transactions'!$X258</f>
        <v/>
      </c>
      <c r="G256" s="2" t="n"/>
      <c r="H256" s="2" t="n"/>
      <c r="I256" s="2" t="n"/>
      <c r="J256" s="2" t="n"/>
      <c r="K256" s="2" t="n"/>
      <c r="L256" s="2" t="n"/>
      <c r="M256" s="2" t="n"/>
      <c r="N256" s="2">
        <f>'QBO Transactions'!$Y258</f>
        <v/>
      </c>
      <c r="O256" s="2" t="n"/>
      <c r="P256" s="2" t="n"/>
      <c r="Q256" s="2">
        <f>'QBO Transactions'!$T258</f>
        <v/>
      </c>
      <c r="R256" s="2" t="n"/>
      <c r="S256" s="2" t="n"/>
      <c r="T256" s="2" t="n"/>
      <c r="U256" s="2" t="n"/>
      <c r="V256" s="2" t="n"/>
      <c r="W256" s="2" t="n"/>
      <c r="X256" s="2">
        <f>Q256</f>
        <v/>
      </c>
      <c r="Y256" s="4">
        <f>'QBO Transactions'!$Q258</f>
        <v/>
      </c>
      <c r="Z256" s="2" t="n"/>
      <c r="AA256" s="2" t="n"/>
      <c r="AB256" s="2" t="n"/>
      <c r="AC256" s="2" t="n"/>
      <c r="AD256" s="2" t="n"/>
      <c r="AE256" s="2" t="n"/>
    </row>
    <row r="257" ht="12.75" customHeight="1" s="52">
      <c r="A257" s="2" t="n"/>
      <c r="B257" s="2">
        <f>'QBO Transactions'!$U259</f>
        <v/>
      </c>
      <c r="C257" s="3">
        <f>'QBO Transactions'!$S259</f>
        <v/>
      </c>
      <c r="D257" s="2">
        <f>'QBO Transactions'!$R259</f>
        <v/>
      </c>
      <c r="E257" s="2" t="n"/>
      <c r="F257" s="3">
        <f>'QBO Transactions'!$X259</f>
        <v/>
      </c>
      <c r="G257" s="2" t="n"/>
      <c r="H257" s="2" t="n"/>
      <c r="I257" s="2" t="n"/>
      <c r="J257" s="2" t="n"/>
      <c r="K257" s="2" t="n"/>
      <c r="L257" s="2" t="n"/>
      <c r="M257" s="2" t="n"/>
      <c r="N257" s="2">
        <f>'QBO Transactions'!$Y259</f>
        <v/>
      </c>
      <c r="O257" s="2" t="n"/>
      <c r="P257" s="2" t="n"/>
      <c r="Q257" s="2">
        <f>'QBO Transactions'!$T259</f>
        <v/>
      </c>
      <c r="R257" s="2" t="n"/>
      <c r="S257" s="2" t="n"/>
      <c r="T257" s="2" t="n"/>
      <c r="U257" s="2" t="n"/>
      <c r="V257" s="2" t="n"/>
      <c r="W257" s="2" t="n"/>
      <c r="X257" s="2">
        <f>Q257</f>
        <v/>
      </c>
      <c r="Y257" s="4">
        <f>'QBO Transactions'!$Q259</f>
        <v/>
      </c>
      <c r="Z257" s="2" t="n"/>
      <c r="AA257" s="2" t="n"/>
      <c r="AB257" s="2" t="n"/>
      <c r="AC257" s="2" t="n"/>
      <c r="AD257" s="2" t="n"/>
      <c r="AE257" s="2" t="n"/>
    </row>
    <row r="258" ht="12.75" customHeight="1" s="52">
      <c r="A258" s="2" t="n"/>
      <c r="B258" s="2">
        <f>'QBO Transactions'!$U260</f>
        <v/>
      </c>
      <c r="C258" s="3">
        <f>'QBO Transactions'!$S260</f>
        <v/>
      </c>
      <c r="D258" s="2">
        <f>'QBO Transactions'!$R260</f>
        <v/>
      </c>
      <c r="E258" s="2" t="n"/>
      <c r="F258" s="3">
        <f>'QBO Transactions'!$X260</f>
        <v/>
      </c>
      <c r="G258" s="2" t="n"/>
      <c r="H258" s="2" t="n"/>
      <c r="I258" s="2" t="n"/>
      <c r="J258" s="2" t="n"/>
      <c r="K258" s="2" t="n"/>
      <c r="L258" s="2" t="n"/>
      <c r="M258" s="2" t="n"/>
      <c r="N258" s="2">
        <f>'QBO Transactions'!$Y260</f>
        <v/>
      </c>
      <c r="O258" s="2" t="n"/>
      <c r="P258" s="2" t="n"/>
      <c r="Q258" s="2">
        <f>'QBO Transactions'!$T260</f>
        <v/>
      </c>
      <c r="R258" s="2" t="n"/>
      <c r="S258" s="2" t="n"/>
      <c r="T258" s="2" t="n"/>
      <c r="U258" s="2" t="n"/>
      <c r="V258" s="2" t="n"/>
      <c r="W258" s="2" t="n"/>
      <c r="X258" s="2">
        <f>Q258</f>
        <v/>
      </c>
      <c r="Y258" s="4">
        <f>'QBO Transactions'!$Q260</f>
        <v/>
      </c>
      <c r="Z258" s="2" t="n"/>
      <c r="AA258" s="2" t="n"/>
      <c r="AB258" s="2" t="n"/>
      <c r="AC258" s="2" t="n"/>
      <c r="AD258" s="2" t="n"/>
      <c r="AE258" s="2" t="n"/>
    </row>
    <row r="259" ht="12.75" customHeight="1" s="52">
      <c r="A259" s="2" t="n"/>
      <c r="B259" s="2">
        <f>'QBO Transactions'!$U261</f>
        <v/>
      </c>
      <c r="C259" s="3">
        <f>'QBO Transactions'!$S261</f>
        <v/>
      </c>
      <c r="D259" s="2">
        <f>'QBO Transactions'!$R261</f>
        <v/>
      </c>
      <c r="E259" s="2" t="n"/>
      <c r="F259" s="3">
        <f>'QBO Transactions'!$X261</f>
        <v/>
      </c>
      <c r="G259" s="2" t="n"/>
      <c r="H259" s="2" t="n"/>
      <c r="I259" s="2" t="n"/>
      <c r="J259" s="2" t="n"/>
      <c r="K259" s="2" t="n"/>
      <c r="L259" s="2" t="n"/>
      <c r="M259" s="2" t="n"/>
      <c r="N259" s="2">
        <f>'QBO Transactions'!$Y261</f>
        <v/>
      </c>
      <c r="O259" s="2" t="n"/>
      <c r="P259" s="2" t="n"/>
      <c r="Q259" s="2">
        <f>'QBO Transactions'!$T261</f>
        <v/>
      </c>
      <c r="R259" s="2" t="n"/>
      <c r="S259" s="2" t="n"/>
      <c r="T259" s="2" t="n"/>
      <c r="U259" s="2" t="n"/>
      <c r="V259" s="2" t="n"/>
      <c r="W259" s="2" t="n"/>
      <c r="X259" s="2">
        <f>Q259</f>
        <v/>
      </c>
      <c r="Y259" s="4">
        <f>'QBO Transactions'!$Q261</f>
        <v/>
      </c>
      <c r="Z259" s="2" t="n"/>
      <c r="AA259" s="2" t="n"/>
      <c r="AB259" s="2" t="n"/>
      <c r="AC259" s="2" t="n"/>
      <c r="AD259" s="2" t="n"/>
      <c r="AE259" s="2" t="n"/>
    </row>
    <row r="260" ht="12.75" customHeight="1" s="52">
      <c r="A260" s="2" t="n"/>
      <c r="B260" s="2">
        <f>'QBO Transactions'!$U262</f>
        <v/>
      </c>
      <c r="C260" s="3">
        <f>'QBO Transactions'!$S262</f>
        <v/>
      </c>
      <c r="D260" s="2">
        <f>'QBO Transactions'!$R262</f>
        <v/>
      </c>
      <c r="E260" s="2" t="n"/>
      <c r="F260" s="3">
        <f>'QBO Transactions'!$X262</f>
        <v/>
      </c>
      <c r="G260" s="2" t="n"/>
      <c r="H260" s="2" t="n"/>
      <c r="I260" s="2" t="n"/>
      <c r="J260" s="2" t="n"/>
      <c r="K260" s="2" t="n"/>
      <c r="L260" s="2" t="n"/>
      <c r="M260" s="2" t="n"/>
      <c r="N260" s="2">
        <f>'QBO Transactions'!$Y262</f>
        <v/>
      </c>
      <c r="O260" s="2" t="n"/>
      <c r="P260" s="2" t="n"/>
      <c r="Q260" s="2">
        <f>'QBO Transactions'!$T262</f>
        <v/>
      </c>
      <c r="R260" s="2" t="n"/>
      <c r="S260" s="2" t="n"/>
      <c r="T260" s="2" t="n"/>
      <c r="U260" s="2" t="n"/>
      <c r="V260" s="2" t="n"/>
      <c r="W260" s="2" t="n"/>
      <c r="X260" s="2">
        <f>Q260</f>
        <v/>
      </c>
      <c r="Y260" s="4">
        <f>'QBO Transactions'!$Q262</f>
        <v/>
      </c>
      <c r="Z260" s="2" t="n"/>
      <c r="AA260" s="2" t="n"/>
      <c r="AB260" s="2" t="n"/>
      <c r="AC260" s="2" t="n"/>
      <c r="AD260" s="2" t="n"/>
      <c r="AE260" s="2" t="n"/>
    </row>
    <row r="261" ht="12.75" customHeight="1" s="52">
      <c r="A261" s="2" t="n"/>
      <c r="B261" s="2">
        <f>'QBO Transactions'!$U263</f>
        <v/>
      </c>
      <c r="C261" s="3">
        <f>'QBO Transactions'!$S263</f>
        <v/>
      </c>
      <c r="D261" s="2">
        <f>'QBO Transactions'!$R263</f>
        <v/>
      </c>
      <c r="E261" s="2" t="n"/>
      <c r="F261" s="3">
        <f>'QBO Transactions'!$X263</f>
        <v/>
      </c>
      <c r="G261" s="2" t="n"/>
      <c r="H261" s="2" t="n"/>
      <c r="I261" s="2" t="n"/>
      <c r="J261" s="2" t="n"/>
      <c r="K261" s="2" t="n"/>
      <c r="L261" s="2" t="n"/>
      <c r="M261" s="2" t="n"/>
      <c r="N261" s="2">
        <f>'QBO Transactions'!$Y263</f>
        <v/>
      </c>
      <c r="O261" s="2" t="n"/>
      <c r="P261" s="2" t="n"/>
      <c r="Q261" s="2">
        <f>'QBO Transactions'!$T263</f>
        <v/>
      </c>
      <c r="R261" s="2" t="n"/>
      <c r="S261" s="2" t="n"/>
      <c r="T261" s="2" t="n"/>
      <c r="U261" s="2" t="n"/>
      <c r="V261" s="2" t="n"/>
      <c r="W261" s="2" t="n"/>
      <c r="X261" s="2">
        <f>Q261</f>
        <v/>
      </c>
      <c r="Y261" s="4">
        <f>'QBO Transactions'!$Q263</f>
        <v/>
      </c>
      <c r="Z261" s="2" t="n"/>
      <c r="AA261" s="2" t="n"/>
      <c r="AB261" s="2" t="n"/>
      <c r="AC261" s="2" t="n"/>
      <c r="AD261" s="2" t="n"/>
      <c r="AE261" s="2" t="n"/>
    </row>
    <row r="262" ht="12.75" customHeight="1" s="52">
      <c r="A262" s="2" t="n"/>
      <c r="B262" s="2">
        <f>'QBO Transactions'!$U264</f>
        <v/>
      </c>
      <c r="C262" s="3">
        <f>'QBO Transactions'!$S264</f>
        <v/>
      </c>
      <c r="D262" s="2">
        <f>'QBO Transactions'!$R264</f>
        <v/>
      </c>
      <c r="E262" s="2" t="n"/>
      <c r="F262" s="3">
        <f>'QBO Transactions'!$X264</f>
        <v/>
      </c>
      <c r="G262" s="2" t="n"/>
      <c r="H262" s="2" t="n"/>
      <c r="I262" s="2" t="n"/>
      <c r="J262" s="2" t="n"/>
      <c r="K262" s="2" t="n"/>
      <c r="L262" s="2" t="n"/>
      <c r="M262" s="2" t="n"/>
      <c r="N262" s="2">
        <f>'QBO Transactions'!$Y264</f>
        <v/>
      </c>
      <c r="O262" s="2" t="n"/>
      <c r="P262" s="2" t="n"/>
      <c r="Q262" s="2">
        <f>'QBO Transactions'!$T264</f>
        <v/>
      </c>
      <c r="R262" s="2" t="n"/>
      <c r="S262" s="2" t="n"/>
      <c r="T262" s="2" t="n"/>
      <c r="U262" s="2" t="n"/>
      <c r="V262" s="2" t="n"/>
      <c r="W262" s="2" t="n"/>
      <c r="X262" s="2">
        <f>Q262</f>
        <v/>
      </c>
      <c r="Y262" s="4">
        <f>'QBO Transactions'!$Q264</f>
        <v/>
      </c>
      <c r="Z262" s="2" t="n"/>
      <c r="AA262" s="2" t="n"/>
      <c r="AB262" s="2" t="n"/>
      <c r="AC262" s="2" t="n"/>
      <c r="AD262" s="2" t="n"/>
      <c r="AE262" s="2" t="n"/>
    </row>
    <row r="263" ht="12.75" customHeight="1" s="52">
      <c r="A263" s="2" t="n"/>
      <c r="B263" s="2">
        <f>'QBO Transactions'!$U265</f>
        <v/>
      </c>
      <c r="C263" s="3">
        <f>'QBO Transactions'!$S265</f>
        <v/>
      </c>
      <c r="D263" s="2">
        <f>'QBO Transactions'!$R265</f>
        <v/>
      </c>
      <c r="E263" s="2" t="n"/>
      <c r="F263" s="3">
        <f>'QBO Transactions'!$X265</f>
        <v/>
      </c>
      <c r="G263" s="2" t="n"/>
      <c r="H263" s="2" t="n"/>
      <c r="I263" s="2" t="n"/>
      <c r="J263" s="2" t="n"/>
      <c r="K263" s="2" t="n"/>
      <c r="L263" s="2" t="n"/>
      <c r="M263" s="2" t="n"/>
      <c r="N263" s="2">
        <f>'QBO Transactions'!$Y265</f>
        <v/>
      </c>
      <c r="O263" s="2" t="n"/>
      <c r="P263" s="2" t="n"/>
      <c r="Q263" s="2">
        <f>'QBO Transactions'!$T265</f>
        <v/>
      </c>
      <c r="R263" s="2" t="n"/>
      <c r="S263" s="2" t="n"/>
      <c r="T263" s="2" t="n"/>
      <c r="U263" s="2" t="n"/>
      <c r="V263" s="2" t="n"/>
      <c r="W263" s="2" t="n"/>
      <c r="X263" s="2">
        <f>Q263</f>
        <v/>
      </c>
      <c r="Y263" s="4">
        <f>'QBO Transactions'!$Q265</f>
        <v/>
      </c>
      <c r="Z263" s="2" t="n"/>
      <c r="AA263" s="2" t="n"/>
      <c r="AB263" s="2" t="n"/>
      <c r="AC263" s="2" t="n"/>
      <c r="AD263" s="2" t="n"/>
      <c r="AE263" s="2" t="n"/>
    </row>
    <row r="264" ht="12.75" customHeight="1" s="52">
      <c r="A264" s="2" t="n"/>
      <c r="B264" s="2">
        <f>'QBO Transactions'!$U266</f>
        <v/>
      </c>
      <c r="C264" s="3">
        <f>'QBO Transactions'!$S266</f>
        <v/>
      </c>
      <c r="D264" s="2">
        <f>'QBO Transactions'!$R266</f>
        <v/>
      </c>
      <c r="E264" s="2" t="n"/>
      <c r="F264" s="3">
        <f>'QBO Transactions'!$X266</f>
        <v/>
      </c>
      <c r="G264" s="2" t="n"/>
      <c r="H264" s="2" t="n"/>
      <c r="I264" s="2" t="n"/>
      <c r="J264" s="2" t="n"/>
      <c r="K264" s="2" t="n"/>
      <c r="L264" s="2" t="n"/>
      <c r="M264" s="2" t="n"/>
      <c r="N264" s="2">
        <f>'QBO Transactions'!$Y266</f>
        <v/>
      </c>
      <c r="O264" s="2" t="n"/>
      <c r="P264" s="2" t="n"/>
      <c r="Q264" s="2">
        <f>'QBO Transactions'!$T266</f>
        <v/>
      </c>
      <c r="R264" s="2" t="n"/>
      <c r="S264" s="2" t="n"/>
      <c r="T264" s="2" t="n"/>
      <c r="U264" s="2" t="n"/>
      <c r="V264" s="2" t="n"/>
      <c r="W264" s="2" t="n"/>
      <c r="X264" s="2">
        <f>Q264</f>
        <v/>
      </c>
      <c r="Y264" s="4">
        <f>'QBO Transactions'!$Q266</f>
        <v/>
      </c>
      <c r="Z264" s="2" t="n"/>
      <c r="AA264" s="2" t="n"/>
      <c r="AB264" s="2" t="n"/>
      <c r="AC264" s="2" t="n"/>
      <c r="AD264" s="2" t="n"/>
      <c r="AE264" s="2" t="n"/>
    </row>
    <row r="265" ht="12.75" customHeight="1" s="52">
      <c r="A265" s="2" t="n"/>
      <c r="B265" s="2">
        <f>'QBO Transactions'!$U267</f>
        <v/>
      </c>
      <c r="C265" s="3">
        <f>'QBO Transactions'!$S267</f>
        <v/>
      </c>
      <c r="D265" s="2">
        <f>'QBO Transactions'!$R267</f>
        <v/>
      </c>
      <c r="E265" s="2" t="n"/>
      <c r="F265" s="3">
        <f>'QBO Transactions'!$X267</f>
        <v/>
      </c>
      <c r="G265" s="2" t="n"/>
      <c r="H265" s="2" t="n"/>
      <c r="I265" s="2" t="n"/>
      <c r="J265" s="2" t="n"/>
      <c r="K265" s="2" t="n"/>
      <c r="L265" s="2" t="n"/>
      <c r="M265" s="2" t="n"/>
      <c r="N265" s="2">
        <f>'QBO Transactions'!$Y267</f>
        <v/>
      </c>
      <c r="O265" s="2" t="n"/>
      <c r="P265" s="2" t="n"/>
      <c r="Q265" s="2">
        <f>'QBO Transactions'!$T267</f>
        <v/>
      </c>
      <c r="R265" s="2" t="n"/>
      <c r="S265" s="2" t="n"/>
      <c r="T265" s="2" t="n"/>
      <c r="U265" s="2" t="n"/>
      <c r="V265" s="2" t="n"/>
      <c r="W265" s="2" t="n"/>
      <c r="X265" s="2">
        <f>Q265</f>
        <v/>
      </c>
      <c r="Y265" s="4">
        <f>'QBO Transactions'!$Q267</f>
        <v/>
      </c>
      <c r="Z265" s="2" t="n"/>
      <c r="AA265" s="2" t="n"/>
      <c r="AB265" s="2" t="n"/>
      <c r="AC265" s="2" t="n"/>
      <c r="AD265" s="2" t="n"/>
      <c r="AE265" s="2" t="n"/>
    </row>
    <row r="266" ht="12.75" customHeight="1" s="52">
      <c r="A266" s="2" t="n"/>
      <c r="B266" s="2">
        <f>'QBO Transactions'!$U268</f>
        <v/>
      </c>
      <c r="C266" s="3">
        <f>'QBO Transactions'!$S268</f>
        <v/>
      </c>
      <c r="D266" s="2">
        <f>'QBO Transactions'!$R268</f>
        <v/>
      </c>
      <c r="E266" s="2" t="n"/>
      <c r="F266" s="3">
        <f>'QBO Transactions'!$X268</f>
        <v/>
      </c>
      <c r="G266" s="2" t="n"/>
      <c r="H266" s="2" t="n"/>
      <c r="I266" s="2" t="n"/>
      <c r="J266" s="2" t="n"/>
      <c r="K266" s="2" t="n"/>
      <c r="L266" s="2" t="n"/>
      <c r="M266" s="2" t="n"/>
      <c r="N266" s="2">
        <f>'QBO Transactions'!$Y268</f>
        <v/>
      </c>
      <c r="O266" s="2" t="n"/>
      <c r="P266" s="2" t="n"/>
      <c r="Q266" s="2">
        <f>'QBO Transactions'!$T268</f>
        <v/>
      </c>
      <c r="R266" s="2" t="n"/>
      <c r="S266" s="2" t="n"/>
      <c r="T266" s="2" t="n"/>
      <c r="U266" s="2" t="n"/>
      <c r="V266" s="2" t="n"/>
      <c r="W266" s="2" t="n"/>
      <c r="X266" s="2">
        <f>Q266</f>
        <v/>
      </c>
      <c r="Y266" s="4">
        <f>'QBO Transactions'!$Q268</f>
        <v/>
      </c>
      <c r="Z266" s="2" t="n"/>
      <c r="AA266" s="2" t="n"/>
      <c r="AB266" s="2" t="n"/>
      <c r="AC266" s="2" t="n"/>
      <c r="AD266" s="2" t="n"/>
      <c r="AE266" s="2" t="n"/>
    </row>
    <row r="267" ht="12.75" customHeight="1" s="52">
      <c r="A267" s="2" t="n"/>
      <c r="B267" s="2">
        <f>'QBO Transactions'!$U269</f>
        <v/>
      </c>
      <c r="C267" s="3">
        <f>'QBO Transactions'!$S269</f>
        <v/>
      </c>
      <c r="D267" s="2">
        <f>'QBO Transactions'!$R269</f>
        <v/>
      </c>
      <c r="E267" s="2" t="n"/>
      <c r="F267" s="3">
        <f>'QBO Transactions'!$X269</f>
        <v/>
      </c>
      <c r="G267" s="2" t="n"/>
      <c r="H267" s="2" t="n"/>
      <c r="I267" s="2" t="n"/>
      <c r="J267" s="2" t="n"/>
      <c r="K267" s="2" t="n"/>
      <c r="L267" s="2" t="n"/>
      <c r="M267" s="2" t="n"/>
      <c r="N267" s="2">
        <f>'QBO Transactions'!$Y269</f>
        <v/>
      </c>
      <c r="O267" s="2" t="n"/>
      <c r="P267" s="2" t="n"/>
      <c r="Q267" s="2">
        <f>'QBO Transactions'!$T269</f>
        <v/>
      </c>
      <c r="R267" s="2" t="n"/>
      <c r="S267" s="2" t="n"/>
      <c r="T267" s="2" t="n"/>
      <c r="U267" s="2" t="n"/>
      <c r="V267" s="2" t="n"/>
      <c r="W267" s="2" t="n"/>
      <c r="X267" s="2">
        <f>Q267</f>
        <v/>
      </c>
      <c r="Y267" s="4">
        <f>'QBO Transactions'!$Q269</f>
        <v/>
      </c>
      <c r="Z267" s="2" t="n"/>
      <c r="AA267" s="2" t="n"/>
      <c r="AB267" s="2" t="n"/>
      <c r="AC267" s="2" t="n"/>
      <c r="AD267" s="2" t="n"/>
      <c r="AE267" s="2" t="n"/>
    </row>
    <row r="268" ht="12.75" customHeight="1" s="52">
      <c r="A268" s="2" t="n"/>
      <c r="B268" s="2">
        <f>'QBO Transactions'!$U270</f>
        <v/>
      </c>
      <c r="C268" s="3">
        <f>'QBO Transactions'!$S270</f>
        <v/>
      </c>
      <c r="D268" s="2">
        <f>'QBO Transactions'!$R270</f>
        <v/>
      </c>
      <c r="E268" s="2" t="n"/>
      <c r="F268" s="3">
        <f>'QBO Transactions'!$X270</f>
        <v/>
      </c>
      <c r="G268" s="2" t="n"/>
      <c r="H268" s="2" t="n"/>
      <c r="I268" s="2" t="n"/>
      <c r="J268" s="2" t="n"/>
      <c r="K268" s="2" t="n"/>
      <c r="L268" s="2" t="n"/>
      <c r="M268" s="2" t="n"/>
      <c r="N268" s="2">
        <f>'QBO Transactions'!$Y270</f>
        <v/>
      </c>
      <c r="O268" s="2" t="n"/>
      <c r="P268" s="2" t="n"/>
      <c r="Q268" s="2">
        <f>'QBO Transactions'!$T270</f>
        <v/>
      </c>
      <c r="R268" s="2" t="n"/>
      <c r="S268" s="2" t="n"/>
      <c r="T268" s="2" t="n"/>
      <c r="U268" s="2" t="n"/>
      <c r="V268" s="2" t="n"/>
      <c r="W268" s="2" t="n"/>
      <c r="X268" s="2">
        <f>Q268</f>
        <v/>
      </c>
      <c r="Y268" s="4">
        <f>'QBO Transactions'!$Q270</f>
        <v/>
      </c>
      <c r="Z268" s="2" t="n"/>
      <c r="AA268" s="2" t="n"/>
      <c r="AB268" s="2" t="n"/>
      <c r="AC268" s="2" t="n"/>
      <c r="AD268" s="2" t="n"/>
      <c r="AE268" s="2" t="n"/>
    </row>
    <row r="269" ht="12.75" customHeight="1" s="52">
      <c r="A269" s="2" t="n"/>
      <c r="B269" s="2">
        <f>'QBO Transactions'!$U271</f>
        <v/>
      </c>
      <c r="C269" s="3">
        <f>'QBO Transactions'!$S271</f>
        <v/>
      </c>
      <c r="D269" s="2">
        <f>'QBO Transactions'!$R271</f>
        <v/>
      </c>
      <c r="E269" s="2" t="n"/>
      <c r="F269" s="3">
        <f>'QBO Transactions'!$X271</f>
        <v/>
      </c>
      <c r="G269" s="2" t="n"/>
      <c r="H269" s="2" t="n"/>
      <c r="I269" s="2" t="n"/>
      <c r="J269" s="2" t="n"/>
      <c r="K269" s="2" t="n"/>
      <c r="L269" s="2" t="n"/>
      <c r="M269" s="2" t="n"/>
      <c r="N269" s="2">
        <f>'QBO Transactions'!$Y271</f>
        <v/>
      </c>
      <c r="O269" s="2" t="n"/>
      <c r="P269" s="2" t="n"/>
      <c r="Q269" s="2">
        <f>'QBO Transactions'!$T271</f>
        <v/>
      </c>
      <c r="R269" s="2" t="n"/>
      <c r="S269" s="2" t="n"/>
      <c r="T269" s="2" t="n"/>
      <c r="U269" s="2" t="n"/>
      <c r="V269" s="2" t="n"/>
      <c r="W269" s="2" t="n"/>
      <c r="X269" s="2">
        <f>Q269</f>
        <v/>
      </c>
      <c r="Y269" s="4">
        <f>'QBO Transactions'!$Q271</f>
        <v/>
      </c>
      <c r="Z269" s="2" t="n"/>
      <c r="AA269" s="2" t="n"/>
      <c r="AB269" s="2" t="n"/>
      <c r="AC269" s="2" t="n"/>
      <c r="AD269" s="2" t="n"/>
      <c r="AE269" s="2" t="n"/>
    </row>
    <row r="270" ht="12.75" customHeight="1" s="52">
      <c r="A270" s="2" t="n"/>
      <c r="B270" s="2">
        <f>'QBO Transactions'!$U272</f>
        <v/>
      </c>
      <c r="C270" s="3">
        <f>'QBO Transactions'!$S272</f>
        <v/>
      </c>
      <c r="D270" s="2">
        <f>'QBO Transactions'!$R272</f>
        <v/>
      </c>
      <c r="E270" s="2" t="n"/>
      <c r="F270" s="3">
        <f>'QBO Transactions'!$X272</f>
        <v/>
      </c>
      <c r="G270" s="2" t="n"/>
      <c r="H270" s="2" t="n"/>
      <c r="I270" s="2" t="n"/>
      <c r="J270" s="2" t="n"/>
      <c r="K270" s="2" t="n"/>
      <c r="L270" s="2" t="n"/>
      <c r="M270" s="2" t="n"/>
      <c r="N270" s="2">
        <f>'QBO Transactions'!$Y272</f>
        <v/>
      </c>
      <c r="O270" s="2" t="n"/>
      <c r="P270" s="2" t="n"/>
      <c r="Q270" s="2">
        <f>'QBO Transactions'!$T272</f>
        <v/>
      </c>
      <c r="R270" s="2" t="n"/>
      <c r="S270" s="2" t="n"/>
      <c r="T270" s="2" t="n"/>
      <c r="U270" s="2" t="n"/>
      <c r="V270" s="2" t="n"/>
      <c r="W270" s="2" t="n"/>
      <c r="X270" s="2">
        <f>Q270</f>
        <v/>
      </c>
      <c r="Y270" s="4">
        <f>'QBO Transactions'!$Q272</f>
        <v/>
      </c>
      <c r="Z270" s="2" t="n"/>
      <c r="AA270" s="2" t="n"/>
      <c r="AB270" s="2" t="n"/>
      <c r="AC270" s="2" t="n"/>
      <c r="AD270" s="2" t="n"/>
      <c r="AE270" s="2" t="n"/>
    </row>
    <row r="271" ht="12.75" customHeight="1" s="52">
      <c r="A271" s="2" t="n"/>
      <c r="B271" s="2">
        <f>'QBO Transactions'!$U273</f>
        <v/>
      </c>
      <c r="C271" s="3">
        <f>'QBO Transactions'!$S273</f>
        <v/>
      </c>
      <c r="D271" s="2">
        <f>'QBO Transactions'!$R273</f>
        <v/>
      </c>
      <c r="E271" s="2" t="n"/>
      <c r="F271" s="3">
        <f>'QBO Transactions'!$X273</f>
        <v/>
      </c>
      <c r="G271" s="2" t="n"/>
      <c r="H271" s="2" t="n"/>
      <c r="I271" s="2" t="n"/>
      <c r="J271" s="2" t="n"/>
      <c r="K271" s="2" t="n"/>
      <c r="L271" s="2" t="n"/>
      <c r="M271" s="2" t="n"/>
      <c r="N271" s="2">
        <f>'QBO Transactions'!$Y273</f>
        <v/>
      </c>
      <c r="O271" s="2" t="n"/>
      <c r="P271" s="2" t="n"/>
      <c r="Q271" s="2">
        <f>'QBO Transactions'!$T273</f>
        <v/>
      </c>
      <c r="R271" s="2" t="n"/>
      <c r="S271" s="2" t="n"/>
      <c r="T271" s="2" t="n"/>
      <c r="U271" s="2" t="n"/>
      <c r="V271" s="2" t="n"/>
      <c r="W271" s="2" t="n"/>
      <c r="X271" s="2">
        <f>Q271</f>
        <v/>
      </c>
      <c r="Y271" s="4">
        <f>'QBO Transactions'!$Q273</f>
        <v/>
      </c>
      <c r="Z271" s="2" t="n"/>
      <c r="AA271" s="2" t="n"/>
      <c r="AB271" s="2" t="n"/>
      <c r="AC271" s="2" t="n"/>
      <c r="AD271" s="2" t="n"/>
      <c r="AE271" s="2" t="n"/>
    </row>
    <row r="272" ht="12.75" customHeight="1" s="52">
      <c r="A272" s="2" t="n"/>
      <c r="B272" s="2">
        <f>'QBO Transactions'!$U274</f>
        <v/>
      </c>
      <c r="C272" s="3">
        <f>'QBO Transactions'!$S274</f>
        <v/>
      </c>
      <c r="D272" s="2">
        <f>'QBO Transactions'!$R274</f>
        <v/>
      </c>
      <c r="E272" s="2" t="n"/>
      <c r="F272" s="3">
        <f>'QBO Transactions'!$X274</f>
        <v/>
      </c>
      <c r="G272" s="2" t="n"/>
      <c r="H272" s="2" t="n"/>
      <c r="I272" s="2" t="n"/>
      <c r="J272" s="2" t="n"/>
      <c r="K272" s="2" t="n"/>
      <c r="L272" s="2" t="n"/>
      <c r="M272" s="2" t="n"/>
      <c r="N272" s="2">
        <f>'QBO Transactions'!$Y274</f>
        <v/>
      </c>
      <c r="O272" s="2" t="n"/>
      <c r="P272" s="2" t="n"/>
      <c r="Q272" s="2">
        <f>'QBO Transactions'!$T274</f>
        <v/>
      </c>
      <c r="R272" s="2" t="n"/>
      <c r="S272" s="2" t="n"/>
      <c r="T272" s="2" t="n"/>
      <c r="U272" s="2" t="n"/>
      <c r="V272" s="2" t="n"/>
      <c r="W272" s="2" t="n"/>
      <c r="X272" s="2">
        <f>Q272</f>
        <v/>
      </c>
      <c r="Y272" s="4">
        <f>'QBO Transactions'!$Q274</f>
        <v/>
      </c>
      <c r="Z272" s="2" t="n"/>
      <c r="AA272" s="2" t="n"/>
      <c r="AB272" s="2" t="n"/>
      <c r="AC272" s="2" t="n"/>
      <c r="AD272" s="2" t="n"/>
      <c r="AE272" s="2" t="n"/>
    </row>
    <row r="273" ht="12.75" customHeight="1" s="52">
      <c r="A273" s="2" t="n"/>
      <c r="B273" s="2">
        <f>'QBO Transactions'!$U275</f>
        <v/>
      </c>
      <c r="C273" s="3">
        <f>'QBO Transactions'!$S275</f>
        <v/>
      </c>
      <c r="D273" s="2">
        <f>'QBO Transactions'!$R275</f>
        <v/>
      </c>
      <c r="E273" s="2" t="n"/>
      <c r="F273" s="3">
        <f>'QBO Transactions'!$X275</f>
        <v/>
      </c>
      <c r="G273" s="2" t="n"/>
      <c r="H273" s="2" t="n"/>
      <c r="I273" s="2" t="n"/>
      <c r="J273" s="2" t="n"/>
      <c r="K273" s="2" t="n"/>
      <c r="L273" s="2" t="n"/>
      <c r="M273" s="2" t="n"/>
      <c r="N273" s="2">
        <f>'QBO Transactions'!$Y275</f>
        <v/>
      </c>
      <c r="O273" s="2" t="n"/>
      <c r="P273" s="2" t="n"/>
      <c r="Q273" s="2">
        <f>'QBO Transactions'!$T275</f>
        <v/>
      </c>
      <c r="R273" s="2" t="n"/>
      <c r="S273" s="2" t="n"/>
      <c r="T273" s="2" t="n"/>
      <c r="U273" s="2" t="n"/>
      <c r="V273" s="2" t="n"/>
      <c r="W273" s="2" t="n"/>
      <c r="X273" s="2">
        <f>Q273</f>
        <v/>
      </c>
      <c r="Y273" s="4">
        <f>'QBO Transactions'!$Q275</f>
        <v/>
      </c>
      <c r="Z273" s="2" t="n"/>
      <c r="AA273" s="2" t="n"/>
      <c r="AB273" s="2" t="n"/>
      <c r="AC273" s="2" t="n"/>
      <c r="AD273" s="2" t="n"/>
      <c r="AE273" s="2" t="n"/>
    </row>
    <row r="274" ht="12.75" customHeight="1" s="52">
      <c r="A274" s="2" t="n"/>
      <c r="B274" s="2">
        <f>'QBO Transactions'!$U276</f>
        <v/>
      </c>
      <c r="C274" s="3">
        <f>'QBO Transactions'!$S276</f>
        <v/>
      </c>
      <c r="D274" s="2">
        <f>'QBO Transactions'!$R276</f>
        <v/>
      </c>
      <c r="E274" s="2" t="n"/>
      <c r="F274" s="3">
        <f>'QBO Transactions'!$X276</f>
        <v/>
      </c>
      <c r="G274" s="2" t="n"/>
      <c r="H274" s="2" t="n"/>
      <c r="I274" s="2" t="n"/>
      <c r="J274" s="2" t="n"/>
      <c r="K274" s="2" t="n"/>
      <c r="L274" s="2" t="n"/>
      <c r="M274" s="2" t="n"/>
      <c r="N274" s="2">
        <f>'QBO Transactions'!$Y276</f>
        <v/>
      </c>
      <c r="O274" s="2" t="n"/>
      <c r="P274" s="2" t="n"/>
      <c r="Q274" s="2">
        <f>'QBO Transactions'!$T276</f>
        <v/>
      </c>
      <c r="R274" s="2" t="n"/>
      <c r="S274" s="2" t="n"/>
      <c r="T274" s="2" t="n"/>
      <c r="U274" s="2" t="n"/>
      <c r="V274" s="2" t="n"/>
      <c r="W274" s="2" t="n"/>
      <c r="X274" s="2">
        <f>Q274</f>
        <v/>
      </c>
      <c r="Y274" s="4">
        <f>'QBO Transactions'!$Q276</f>
        <v/>
      </c>
      <c r="Z274" s="2" t="n"/>
      <c r="AA274" s="2" t="n"/>
      <c r="AB274" s="2" t="n"/>
      <c r="AC274" s="2" t="n"/>
      <c r="AD274" s="2" t="n"/>
      <c r="AE274" s="2" t="n"/>
    </row>
    <row r="275" ht="12.75" customHeight="1" s="52">
      <c r="A275" s="2" t="n"/>
      <c r="B275" s="2">
        <f>'QBO Transactions'!$U277</f>
        <v/>
      </c>
      <c r="C275" s="3">
        <f>'QBO Transactions'!$S277</f>
        <v/>
      </c>
      <c r="D275" s="2">
        <f>'QBO Transactions'!$R277</f>
        <v/>
      </c>
      <c r="E275" s="2" t="n"/>
      <c r="F275" s="3">
        <f>'QBO Transactions'!$X277</f>
        <v/>
      </c>
      <c r="G275" s="2" t="n"/>
      <c r="H275" s="2" t="n"/>
      <c r="I275" s="2" t="n"/>
      <c r="J275" s="2" t="n"/>
      <c r="K275" s="2" t="n"/>
      <c r="L275" s="2" t="n"/>
      <c r="M275" s="2" t="n"/>
      <c r="N275" s="2">
        <f>'QBO Transactions'!$Y277</f>
        <v/>
      </c>
      <c r="O275" s="2" t="n"/>
      <c r="P275" s="2" t="n"/>
      <c r="Q275" s="2">
        <f>'QBO Transactions'!$T277</f>
        <v/>
      </c>
      <c r="R275" s="2" t="n"/>
      <c r="S275" s="2" t="n"/>
      <c r="T275" s="2" t="n"/>
      <c r="U275" s="2" t="n"/>
      <c r="V275" s="2" t="n"/>
      <c r="W275" s="2" t="n"/>
      <c r="X275" s="2">
        <f>Q275</f>
        <v/>
      </c>
      <c r="Y275" s="4">
        <f>'QBO Transactions'!$Q277</f>
        <v/>
      </c>
      <c r="Z275" s="2" t="n"/>
      <c r="AA275" s="2" t="n"/>
      <c r="AB275" s="2" t="n"/>
      <c r="AC275" s="2" t="n"/>
      <c r="AD275" s="2" t="n"/>
      <c r="AE275" s="2" t="n"/>
    </row>
    <row r="276" ht="12.75" customHeight="1" s="52">
      <c r="A276" s="2" t="n"/>
      <c r="B276" s="2">
        <f>'QBO Transactions'!$U278</f>
        <v/>
      </c>
      <c r="C276" s="3">
        <f>'QBO Transactions'!$S278</f>
        <v/>
      </c>
      <c r="D276" s="2">
        <f>'QBO Transactions'!$R278</f>
        <v/>
      </c>
      <c r="E276" s="2" t="n"/>
      <c r="F276" s="3">
        <f>'QBO Transactions'!$X278</f>
        <v/>
      </c>
      <c r="G276" s="2" t="n"/>
      <c r="H276" s="2" t="n"/>
      <c r="I276" s="2" t="n"/>
      <c r="J276" s="2" t="n"/>
      <c r="K276" s="2" t="n"/>
      <c r="L276" s="2" t="n"/>
      <c r="M276" s="2" t="n"/>
      <c r="N276" s="2">
        <f>'QBO Transactions'!$Y278</f>
        <v/>
      </c>
      <c r="O276" s="2" t="n"/>
      <c r="P276" s="2" t="n"/>
      <c r="Q276" s="2">
        <f>'QBO Transactions'!$T278</f>
        <v/>
      </c>
      <c r="R276" s="2" t="n"/>
      <c r="S276" s="2" t="n"/>
      <c r="T276" s="2" t="n"/>
      <c r="U276" s="2" t="n"/>
      <c r="V276" s="2" t="n"/>
      <c r="W276" s="2" t="n"/>
      <c r="X276" s="2">
        <f>Q276</f>
        <v/>
      </c>
      <c r="Y276" s="4">
        <f>'QBO Transactions'!$Q278</f>
        <v/>
      </c>
      <c r="Z276" s="2" t="n"/>
      <c r="AA276" s="2" t="n"/>
      <c r="AB276" s="2" t="n"/>
      <c r="AC276" s="2" t="n"/>
      <c r="AD276" s="2" t="n"/>
      <c r="AE276" s="2" t="n"/>
    </row>
    <row r="277" ht="12.75" customHeight="1" s="52">
      <c r="A277" s="2" t="n"/>
      <c r="B277" s="2">
        <f>'QBO Transactions'!$U279</f>
        <v/>
      </c>
      <c r="C277" s="3">
        <f>'QBO Transactions'!$S279</f>
        <v/>
      </c>
      <c r="D277" s="2">
        <f>'QBO Transactions'!$R279</f>
        <v/>
      </c>
      <c r="E277" s="2" t="n"/>
      <c r="F277" s="3">
        <f>'QBO Transactions'!$X279</f>
        <v/>
      </c>
      <c r="G277" s="2" t="n"/>
      <c r="H277" s="2" t="n"/>
      <c r="I277" s="2" t="n"/>
      <c r="J277" s="2" t="n"/>
      <c r="K277" s="2" t="n"/>
      <c r="L277" s="2" t="n"/>
      <c r="M277" s="2" t="n"/>
      <c r="N277" s="2">
        <f>'QBO Transactions'!$Y279</f>
        <v/>
      </c>
      <c r="O277" s="2" t="n"/>
      <c r="P277" s="2" t="n"/>
      <c r="Q277" s="2">
        <f>'QBO Transactions'!$T279</f>
        <v/>
      </c>
      <c r="R277" s="2" t="n"/>
      <c r="S277" s="2" t="n"/>
      <c r="T277" s="2" t="n"/>
      <c r="U277" s="2" t="n"/>
      <c r="V277" s="2" t="n"/>
      <c r="W277" s="2" t="n"/>
      <c r="X277" s="2">
        <f>Q277</f>
        <v/>
      </c>
      <c r="Y277" s="4">
        <f>'QBO Transactions'!$Q279</f>
        <v/>
      </c>
      <c r="Z277" s="2" t="n"/>
      <c r="AA277" s="2" t="n"/>
      <c r="AB277" s="2" t="n"/>
      <c r="AC277" s="2" t="n"/>
      <c r="AD277" s="2" t="n"/>
      <c r="AE277" s="2" t="n"/>
    </row>
    <row r="278" ht="12.75" customHeight="1" s="52">
      <c r="A278" s="2" t="n"/>
      <c r="B278" s="2">
        <f>'QBO Transactions'!$U280</f>
        <v/>
      </c>
      <c r="C278" s="3">
        <f>'QBO Transactions'!$S280</f>
        <v/>
      </c>
      <c r="D278" s="2">
        <f>'QBO Transactions'!$R280</f>
        <v/>
      </c>
      <c r="E278" s="2" t="n"/>
      <c r="F278" s="3">
        <f>'QBO Transactions'!$X280</f>
        <v/>
      </c>
      <c r="G278" s="2" t="n"/>
      <c r="H278" s="2" t="n"/>
      <c r="I278" s="2" t="n"/>
      <c r="J278" s="2" t="n"/>
      <c r="K278" s="2" t="n"/>
      <c r="L278" s="2" t="n"/>
      <c r="M278" s="2" t="n"/>
      <c r="N278" s="2">
        <f>'QBO Transactions'!$Y280</f>
        <v/>
      </c>
      <c r="O278" s="2" t="n"/>
      <c r="P278" s="2" t="n"/>
      <c r="Q278" s="2">
        <f>'QBO Transactions'!$T280</f>
        <v/>
      </c>
      <c r="R278" s="2" t="n"/>
      <c r="S278" s="2" t="n"/>
      <c r="T278" s="2" t="n"/>
      <c r="U278" s="2" t="n"/>
      <c r="V278" s="2" t="n"/>
      <c r="W278" s="2" t="n"/>
      <c r="X278" s="2">
        <f>Q278</f>
        <v/>
      </c>
      <c r="Y278" s="4">
        <f>'QBO Transactions'!$Q280</f>
        <v/>
      </c>
      <c r="Z278" s="2" t="n"/>
      <c r="AA278" s="2" t="n"/>
      <c r="AB278" s="2" t="n"/>
      <c r="AC278" s="2" t="n"/>
      <c r="AD278" s="2" t="n"/>
      <c r="AE278" s="2" t="n"/>
    </row>
    <row r="279" ht="12.75" customHeight="1" s="52">
      <c r="A279" s="2" t="n"/>
      <c r="B279" s="2">
        <f>'QBO Transactions'!$U281</f>
        <v/>
      </c>
      <c r="C279" s="3">
        <f>'QBO Transactions'!$S281</f>
        <v/>
      </c>
      <c r="D279" s="2">
        <f>'QBO Transactions'!$R281</f>
        <v/>
      </c>
      <c r="E279" s="2" t="n"/>
      <c r="F279" s="3">
        <f>'QBO Transactions'!$X281</f>
        <v/>
      </c>
      <c r="G279" s="2" t="n"/>
      <c r="H279" s="2" t="n"/>
      <c r="I279" s="2" t="n"/>
      <c r="J279" s="2" t="n"/>
      <c r="K279" s="2" t="n"/>
      <c r="L279" s="2" t="n"/>
      <c r="M279" s="2" t="n"/>
      <c r="N279" s="2">
        <f>'QBO Transactions'!$Y281</f>
        <v/>
      </c>
      <c r="O279" s="2" t="n"/>
      <c r="P279" s="2" t="n"/>
      <c r="Q279" s="2">
        <f>'QBO Transactions'!$T281</f>
        <v/>
      </c>
      <c r="R279" s="2" t="n"/>
      <c r="S279" s="2" t="n"/>
      <c r="T279" s="2" t="n"/>
      <c r="U279" s="2" t="n"/>
      <c r="V279" s="2" t="n"/>
      <c r="W279" s="2" t="n"/>
      <c r="X279" s="2">
        <f>Q279</f>
        <v/>
      </c>
      <c r="Y279" s="4">
        <f>'QBO Transactions'!$Q281</f>
        <v/>
      </c>
      <c r="Z279" s="2" t="n"/>
      <c r="AA279" s="2" t="n"/>
      <c r="AB279" s="2" t="n"/>
      <c r="AC279" s="2" t="n"/>
      <c r="AD279" s="2" t="n"/>
      <c r="AE279" s="2" t="n"/>
    </row>
    <row r="280" ht="12.75" customHeight="1" s="52">
      <c r="A280" s="2" t="n"/>
      <c r="B280" s="2">
        <f>'QBO Transactions'!$U282</f>
        <v/>
      </c>
      <c r="C280" s="3">
        <f>'QBO Transactions'!$S282</f>
        <v/>
      </c>
      <c r="D280" s="2">
        <f>'QBO Transactions'!$R282</f>
        <v/>
      </c>
      <c r="E280" s="2" t="n"/>
      <c r="F280" s="3">
        <f>'QBO Transactions'!$X282</f>
        <v/>
      </c>
      <c r="G280" s="2" t="n"/>
      <c r="H280" s="2" t="n"/>
      <c r="I280" s="2" t="n"/>
      <c r="J280" s="2" t="n"/>
      <c r="K280" s="2" t="n"/>
      <c r="L280" s="2" t="n"/>
      <c r="M280" s="2" t="n"/>
      <c r="N280" s="2">
        <f>'QBO Transactions'!$Y282</f>
        <v/>
      </c>
      <c r="O280" s="2" t="n"/>
      <c r="P280" s="2" t="n"/>
      <c r="Q280" s="2">
        <f>'QBO Transactions'!$T282</f>
        <v/>
      </c>
      <c r="R280" s="2" t="n"/>
      <c r="S280" s="2" t="n"/>
      <c r="T280" s="2" t="n"/>
      <c r="U280" s="2" t="n"/>
      <c r="V280" s="2" t="n"/>
      <c r="W280" s="2" t="n"/>
      <c r="X280" s="2">
        <f>Q280</f>
        <v/>
      </c>
      <c r="Y280" s="4">
        <f>'QBO Transactions'!$Q282</f>
        <v/>
      </c>
      <c r="Z280" s="2" t="n"/>
      <c r="AA280" s="2" t="n"/>
      <c r="AB280" s="2" t="n"/>
      <c r="AC280" s="2" t="n"/>
      <c r="AD280" s="2" t="n"/>
      <c r="AE280" s="2" t="n"/>
    </row>
    <row r="281" ht="12.75" customHeight="1" s="52">
      <c r="A281" s="2" t="n"/>
      <c r="B281" s="2">
        <f>'QBO Transactions'!$U283</f>
        <v/>
      </c>
      <c r="C281" s="3">
        <f>'QBO Transactions'!$S283</f>
        <v/>
      </c>
      <c r="D281" s="2">
        <f>'QBO Transactions'!$R283</f>
        <v/>
      </c>
      <c r="E281" s="2" t="n"/>
      <c r="F281" s="3">
        <f>'QBO Transactions'!$X283</f>
        <v/>
      </c>
      <c r="G281" s="2" t="n"/>
      <c r="H281" s="2" t="n"/>
      <c r="I281" s="2" t="n"/>
      <c r="J281" s="2" t="n"/>
      <c r="K281" s="2" t="n"/>
      <c r="L281" s="2" t="n"/>
      <c r="M281" s="2" t="n"/>
      <c r="N281" s="2">
        <f>'QBO Transactions'!$Y283</f>
        <v/>
      </c>
      <c r="O281" s="2" t="n"/>
      <c r="P281" s="2" t="n"/>
      <c r="Q281" s="2">
        <f>'QBO Transactions'!$T283</f>
        <v/>
      </c>
      <c r="R281" s="2" t="n"/>
      <c r="S281" s="2" t="n"/>
      <c r="T281" s="2" t="n"/>
      <c r="U281" s="2" t="n"/>
      <c r="V281" s="2" t="n"/>
      <c r="W281" s="2" t="n"/>
      <c r="X281" s="2">
        <f>Q281</f>
        <v/>
      </c>
      <c r="Y281" s="4">
        <f>'QBO Transactions'!$Q283</f>
        <v/>
      </c>
      <c r="Z281" s="2" t="n"/>
      <c r="AA281" s="2" t="n"/>
      <c r="AB281" s="2" t="n"/>
      <c r="AC281" s="2" t="n"/>
      <c r="AD281" s="2" t="n"/>
      <c r="AE281" s="2" t="n"/>
    </row>
    <row r="282" ht="12.75" customHeight="1" s="52">
      <c r="A282" s="2" t="n"/>
      <c r="B282" s="2">
        <f>'QBO Transactions'!$U284</f>
        <v/>
      </c>
      <c r="C282" s="3">
        <f>'QBO Transactions'!$S284</f>
        <v/>
      </c>
      <c r="D282" s="2">
        <f>'QBO Transactions'!$R284</f>
        <v/>
      </c>
      <c r="E282" s="2" t="n"/>
      <c r="F282" s="3">
        <f>'QBO Transactions'!$X284</f>
        <v/>
      </c>
      <c r="G282" s="2" t="n"/>
      <c r="H282" s="2" t="n"/>
      <c r="I282" s="2" t="n"/>
      <c r="J282" s="2" t="n"/>
      <c r="K282" s="2" t="n"/>
      <c r="L282" s="2" t="n"/>
      <c r="M282" s="2" t="n"/>
      <c r="N282" s="2">
        <f>'QBO Transactions'!$Y284</f>
        <v/>
      </c>
      <c r="O282" s="2" t="n"/>
      <c r="P282" s="2" t="n"/>
      <c r="Q282" s="2">
        <f>'QBO Transactions'!$T284</f>
        <v/>
      </c>
      <c r="R282" s="2" t="n"/>
      <c r="S282" s="2" t="n"/>
      <c r="T282" s="2" t="n"/>
      <c r="U282" s="2" t="n"/>
      <c r="V282" s="2" t="n"/>
      <c r="W282" s="2" t="n"/>
      <c r="X282" s="2">
        <f>Q282</f>
        <v/>
      </c>
      <c r="Y282" s="4">
        <f>'QBO Transactions'!$Q284</f>
        <v/>
      </c>
      <c r="Z282" s="2" t="n"/>
      <c r="AA282" s="2" t="n"/>
      <c r="AB282" s="2" t="n"/>
      <c r="AC282" s="2" t="n"/>
      <c r="AD282" s="2" t="n"/>
      <c r="AE282" s="2" t="n"/>
    </row>
    <row r="283" ht="12.75" customHeight="1" s="52">
      <c r="A283" s="2" t="n"/>
      <c r="B283" s="2">
        <f>'QBO Transactions'!$U285</f>
        <v/>
      </c>
      <c r="C283" s="3">
        <f>'QBO Transactions'!$S285</f>
        <v/>
      </c>
      <c r="D283" s="2">
        <f>'QBO Transactions'!$R285</f>
        <v/>
      </c>
      <c r="E283" s="2" t="n"/>
      <c r="F283" s="3">
        <f>'QBO Transactions'!$X285</f>
        <v/>
      </c>
      <c r="G283" s="2" t="n"/>
      <c r="H283" s="2" t="n"/>
      <c r="I283" s="2" t="n"/>
      <c r="J283" s="2" t="n"/>
      <c r="K283" s="2" t="n"/>
      <c r="L283" s="2" t="n"/>
      <c r="M283" s="2" t="n"/>
      <c r="N283" s="2">
        <f>'QBO Transactions'!$Y285</f>
        <v/>
      </c>
      <c r="O283" s="2" t="n"/>
      <c r="P283" s="2" t="n"/>
      <c r="Q283" s="2">
        <f>'QBO Transactions'!$T285</f>
        <v/>
      </c>
      <c r="R283" s="2" t="n"/>
      <c r="S283" s="2" t="n"/>
      <c r="T283" s="2" t="n"/>
      <c r="U283" s="2" t="n"/>
      <c r="V283" s="2" t="n"/>
      <c r="W283" s="2" t="n"/>
      <c r="X283" s="2">
        <f>Q283</f>
        <v/>
      </c>
      <c r="Y283" s="4">
        <f>'QBO Transactions'!$Q285</f>
        <v/>
      </c>
      <c r="Z283" s="2" t="n"/>
      <c r="AA283" s="2" t="n"/>
      <c r="AB283" s="2" t="n"/>
      <c r="AC283" s="2" t="n"/>
      <c r="AD283" s="2" t="n"/>
      <c r="AE283" s="2" t="n"/>
    </row>
    <row r="284" ht="12.75" customHeight="1" s="52">
      <c r="A284" s="2" t="n"/>
      <c r="B284" s="2">
        <f>'QBO Transactions'!$U286</f>
        <v/>
      </c>
      <c r="C284" s="3">
        <f>'QBO Transactions'!$S286</f>
        <v/>
      </c>
      <c r="D284" s="2">
        <f>'QBO Transactions'!$R286</f>
        <v/>
      </c>
      <c r="E284" s="2" t="n"/>
      <c r="F284" s="3">
        <f>'QBO Transactions'!$X286</f>
        <v/>
      </c>
      <c r="G284" s="2" t="n"/>
      <c r="H284" s="2" t="n"/>
      <c r="I284" s="2" t="n"/>
      <c r="J284" s="2" t="n"/>
      <c r="K284" s="2" t="n"/>
      <c r="L284" s="2" t="n"/>
      <c r="M284" s="2" t="n"/>
      <c r="N284" s="2">
        <f>'QBO Transactions'!$Y286</f>
        <v/>
      </c>
      <c r="O284" s="2" t="n"/>
      <c r="P284" s="2" t="n"/>
      <c r="Q284" s="2">
        <f>'QBO Transactions'!$T286</f>
        <v/>
      </c>
      <c r="R284" s="2" t="n"/>
      <c r="S284" s="2" t="n"/>
      <c r="T284" s="2" t="n"/>
      <c r="U284" s="2" t="n"/>
      <c r="V284" s="2" t="n"/>
      <c r="W284" s="2" t="n"/>
      <c r="X284" s="2">
        <f>Q284</f>
        <v/>
      </c>
      <c r="Y284" s="4">
        <f>'QBO Transactions'!$Q286</f>
        <v/>
      </c>
      <c r="Z284" s="2" t="n"/>
      <c r="AA284" s="2" t="n"/>
      <c r="AB284" s="2" t="n"/>
      <c r="AC284" s="2" t="n"/>
      <c r="AD284" s="2" t="n"/>
      <c r="AE284" s="2" t="n"/>
    </row>
    <row r="285" ht="12.75" customHeight="1" s="52">
      <c r="A285" s="2" t="n"/>
      <c r="B285" s="2">
        <f>'QBO Transactions'!$U287</f>
        <v/>
      </c>
      <c r="C285" s="3">
        <f>'QBO Transactions'!$S287</f>
        <v/>
      </c>
      <c r="D285" s="2">
        <f>'QBO Transactions'!$R287</f>
        <v/>
      </c>
      <c r="E285" s="2" t="n"/>
      <c r="F285" s="3">
        <f>'QBO Transactions'!$X287</f>
        <v/>
      </c>
      <c r="G285" s="2" t="n"/>
      <c r="H285" s="2" t="n"/>
      <c r="I285" s="2" t="n"/>
      <c r="J285" s="2" t="n"/>
      <c r="K285" s="2" t="n"/>
      <c r="L285" s="2" t="n"/>
      <c r="M285" s="2" t="n"/>
      <c r="N285" s="2">
        <f>'QBO Transactions'!$Y287</f>
        <v/>
      </c>
      <c r="O285" s="2" t="n"/>
      <c r="P285" s="2" t="n"/>
      <c r="Q285" s="2">
        <f>'QBO Transactions'!$T287</f>
        <v/>
      </c>
      <c r="R285" s="2" t="n"/>
      <c r="S285" s="2" t="n"/>
      <c r="T285" s="2" t="n"/>
      <c r="U285" s="2" t="n"/>
      <c r="V285" s="2" t="n"/>
      <c r="W285" s="2" t="n"/>
      <c r="X285" s="2">
        <f>Q285</f>
        <v/>
      </c>
      <c r="Y285" s="4">
        <f>'QBO Transactions'!$Q287</f>
        <v/>
      </c>
      <c r="Z285" s="2" t="n"/>
      <c r="AA285" s="2" t="n"/>
      <c r="AB285" s="2" t="n"/>
      <c r="AC285" s="2" t="n"/>
      <c r="AD285" s="2" t="n"/>
      <c r="AE285" s="2" t="n"/>
    </row>
    <row r="286" ht="12.75" customHeight="1" s="52">
      <c r="A286" s="2" t="n"/>
      <c r="B286" s="2">
        <f>'QBO Transactions'!$U288</f>
        <v/>
      </c>
      <c r="C286" s="3">
        <f>'QBO Transactions'!$S288</f>
        <v/>
      </c>
      <c r="D286" s="2">
        <f>'QBO Transactions'!$R288</f>
        <v/>
      </c>
      <c r="E286" s="2" t="n"/>
      <c r="F286" s="3">
        <f>'QBO Transactions'!$X288</f>
        <v/>
      </c>
      <c r="G286" s="2" t="n"/>
      <c r="H286" s="2" t="n"/>
      <c r="I286" s="2" t="n"/>
      <c r="J286" s="2" t="n"/>
      <c r="K286" s="2" t="n"/>
      <c r="L286" s="2" t="n"/>
      <c r="M286" s="2" t="n"/>
      <c r="N286" s="2">
        <f>'QBO Transactions'!$Y288</f>
        <v/>
      </c>
      <c r="O286" s="2" t="n"/>
      <c r="P286" s="2" t="n"/>
      <c r="Q286" s="2">
        <f>'QBO Transactions'!$T288</f>
        <v/>
      </c>
      <c r="R286" s="2" t="n"/>
      <c r="S286" s="2" t="n"/>
      <c r="T286" s="2" t="n"/>
      <c r="U286" s="2" t="n"/>
      <c r="V286" s="2" t="n"/>
      <c r="W286" s="2" t="n"/>
      <c r="X286" s="2">
        <f>Q286</f>
        <v/>
      </c>
      <c r="Y286" s="4">
        <f>'QBO Transactions'!$Q288</f>
        <v/>
      </c>
      <c r="Z286" s="2" t="n"/>
      <c r="AA286" s="2" t="n"/>
      <c r="AB286" s="2" t="n"/>
      <c r="AC286" s="2" t="n"/>
      <c r="AD286" s="2" t="n"/>
      <c r="AE286" s="2" t="n"/>
    </row>
    <row r="287" ht="12.75" customHeight="1" s="52">
      <c r="A287" s="2" t="n"/>
      <c r="B287" s="2">
        <f>'QBO Transactions'!$U289</f>
        <v/>
      </c>
      <c r="C287" s="3">
        <f>'QBO Transactions'!$S289</f>
        <v/>
      </c>
      <c r="D287" s="2">
        <f>'QBO Transactions'!$R289</f>
        <v/>
      </c>
      <c r="E287" s="2" t="n"/>
      <c r="F287" s="3">
        <f>'QBO Transactions'!$X289</f>
        <v/>
      </c>
      <c r="G287" s="2" t="n"/>
      <c r="H287" s="2" t="n"/>
      <c r="I287" s="2" t="n"/>
      <c r="J287" s="2" t="n"/>
      <c r="K287" s="2" t="n"/>
      <c r="L287" s="2" t="n"/>
      <c r="M287" s="2" t="n"/>
      <c r="N287" s="2">
        <f>'QBO Transactions'!$Y289</f>
        <v/>
      </c>
      <c r="O287" s="2" t="n"/>
      <c r="P287" s="2" t="n"/>
      <c r="Q287" s="2">
        <f>'QBO Transactions'!$T289</f>
        <v/>
      </c>
      <c r="R287" s="2" t="n"/>
      <c r="S287" s="2" t="n"/>
      <c r="T287" s="2" t="n"/>
      <c r="U287" s="2" t="n"/>
      <c r="V287" s="2" t="n"/>
      <c r="W287" s="2" t="n"/>
      <c r="X287" s="2">
        <f>Q287</f>
        <v/>
      </c>
      <c r="Y287" s="4">
        <f>'QBO Transactions'!$Q289</f>
        <v/>
      </c>
      <c r="Z287" s="2" t="n"/>
      <c r="AA287" s="2" t="n"/>
      <c r="AB287" s="2" t="n"/>
      <c r="AC287" s="2" t="n"/>
      <c r="AD287" s="2" t="n"/>
      <c r="AE287" s="2" t="n"/>
    </row>
    <row r="288" ht="12.75" customHeight="1" s="52">
      <c r="A288" s="2" t="n"/>
      <c r="B288" s="2">
        <f>'QBO Transactions'!$U290</f>
        <v/>
      </c>
      <c r="C288" s="3">
        <f>'QBO Transactions'!$S290</f>
        <v/>
      </c>
      <c r="D288" s="2">
        <f>'QBO Transactions'!$R290</f>
        <v/>
      </c>
      <c r="E288" s="2" t="n"/>
      <c r="F288" s="3">
        <f>'QBO Transactions'!$X290</f>
        <v/>
      </c>
      <c r="G288" s="2" t="n"/>
      <c r="H288" s="2" t="n"/>
      <c r="I288" s="2" t="n"/>
      <c r="J288" s="2" t="n"/>
      <c r="K288" s="2" t="n"/>
      <c r="L288" s="2" t="n"/>
      <c r="M288" s="2" t="n"/>
      <c r="N288" s="2">
        <f>'QBO Transactions'!$Y290</f>
        <v/>
      </c>
      <c r="O288" s="2" t="n"/>
      <c r="P288" s="2" t="n"/>
      <c r="Q288" s="2">
        <f>'QBO Transactions'!$T290</f>
        <v/>
      </c>
      <c r="R288" s="2" t="n"/>
      <c r="S288" s="2" t="n"/>
      <c r="T288" s="2" t="n"/>
      <c r="U288" s="2" t="n"/>
      <c r="V288" s="2" t="n"/>
      <c r="W288" s="2" t="n"/>
      <c r="X288" s="2">
        <f>Q288</f>
        <v/>
      </c>
      <c r="Y288" s="4">
        <f>'QBO Transactions'!$Q290</f>
        <v/>
      </c>
      <c r="Z288" s="2" t="n"/>
      <c r="AA288" s="2" t="n"/>
      <c r="AB288" s="2" t="n"/>
      <c r="AC288" s="2" t="n"/>
      <c r="AD288" s="2" t="n"/>
      <c r="AE288" s="2" t="n"/>
    </row>
    <row r="289" ht="12.75" customHeight="1" s="52">
      <c r="A289" s="2" t="n"/>
      <c r="B289" s="2">
        <f>'QBO Transactions'!$U291</f>
        <v/>
      </c>
      <c r="C289" s="3">
        <f>'QBO Transactions'!$S291</f>
        <v/>
      </c>
      <c r="D289" s="2">
        <f>'QBO Transactions'!$R291</f>
        <v/>
      </c>
      <c r="E289" s="2" t="n"/>
      <c r="F289" s="3">
        <f>'QBO Transactions'!$X291</f>
        <v/>
      </c>
      <c r="G289" s="2" t="n"/>
      <c r="H289" s="2" t="n"/>
      <c r="I289" s="2" t="n"/>
      <c r="J289" s="2" t="n"/>
      <c r="K289" s="2" t="n"/>
      <c r="L289" s="2" t="n"/>
      <c r="M289" s="2" t="n"/>
      <c r="N289" s="2">
        <f>'QBO Transactions'!$Y291</f>
        <v/>
      </c>
      <c r="O289" s="2" t="n"/>
      <c r="P289" s="2" t="n"/>
      <c r="Q289" s="2">
        <f>'QBO Transactions'!$T291</f>
        <v/>
      </c>
      <c r="R289" s="2" t="n"/>
      <c r="S289" s="2" t="n"/>
      <c r="T289" s="2" t="n"/>
      <c r="U289" s="2" t="n"/>
      <c r="V289" s="2" t="n"/>
      <c r="W289" s="2" t="n"/>
      <c r="X289" s="2">
        <f>Q289</f>
        <v/>
      </c>
      <c r="Y289" s="4">
        <f>'QBO Transactions'!$Q291</f>
        <v/>
      </c>
      <c r="Z289" s="2" t="n"/>
      <c r="AA289" s="2" t="n"/>
      <c r="AB289" s="2" t="n"/>
      <c r="AC289" s="2" t="n"/>
      <c r="AD289" s="2" t="n"/>
      <c r="AE289" s="2" t="n"/>
    </row>
    <row r="290" ht="12.75" customHeight="1" s="52">
      <c r="A290" s="2" t="n"/>
      <c r="B290" s="2">
        <f>'QBO Transactions'!$U292</f>
        <v/>
      </c>
      <c r="C290" s="3">
        <f>'QBO Transactions'!$S292</f>
        <v/>
      </c>
      <c r="D290" s="2">
        <f>'QBO Transactions'!$R292</f>
        <v/>
      </c>
      <c r="E290" s="2" t="n"/>
      <c r="F290" s="3">
        <f>'QBO Transactions'!$X292</f>
        <v/>
      </c>
      <c r="G290" s="2" t="n"/>
      <c r="H290" s="2" t="n"/>
      <c r="I290" s="2" t="n"/>
      <c r="J290" s="2" t="n"/>
      <c r="K290" s="2" t="n"/>
      <c r="L290" s="2" t="n"/>
      <c r="M290" s="2" t="n"/>
      <c r="N290" s="2">
        <f>'QBO Transactions'!$Y292</f>
        <v/>
      </c>
      <c r="O290" s="2" t="n"/>
      <c r="P290" s="2" t="n"/>
      <c r="Q290" s="2">
        <f>'QBO Transactions'!$T292</f>
        <v/>
      </c>
      <c r="R290" s="2" t="n"/>
      <c r="S290" s="2" t="n"/>
      <c r="T290" s="2" t="n"/>
      <c r="U290" s="2" t="n"/>
      <c r="V290" s="2" t="n"/>
      <c r="W290" s="2" t="n"/>
      <c r="X290" s="2">
        <f>Q290</f>
        <v/>
      </c>
      <c r="Y290" s="4">
        <f>'QBO Transactions'!$Q292</f>
        <v/>
      </c>
      <c r="Z290" s="2" t="n"/>
      <c r="AA290" s="2" t="n"/>
      <c r="AB290" s="2" t="n"/>
      <c r="AC290" s="2" t="n"/>
      <c r="AD290" s="2" t="n"/>
      <c r="AE290" s="2" t="n"/>
    </row>
    <row r="291" ht="12.75" customHeight="1" s="52">
      <c r="A291" s="2" t="n"/>
      <c r="B291" s="2">
        <f>'QBO Transactions'!$U293</f>
        <v/>
      </c>
      <c r="C291" s="3">
        <f>'QBO Transactions'!$S293</f>
        <v/>
      </c>
      <c r="D291" s="2">
        <f>'QBO Transactions'!$R293</f>
        <v/>
      </c>
      <c r="E291" s="2" t="n"/>
      <c r="F291" s="3">
        <f>'QBO Transactions'!$X293</f>
        <v/>
      </c>
      <c r="G291" s="2" t="n"/>
      <c r="H291" s="2" t="n"/>
      <c r="I291" s="2" t="n"/>
      <c r="J291" s="2" t="n"/>
      <c r="K291" s="2" t="n"/>
      <c r="L291" s="2" t="n"/>
      <c r="M291" s="2" t="n"/>
      <c r="N291" s="2">
        <f>'QBO Transactions'!$Y293</f>
        <v/>
      </c>
      <c r="O291" s="2" t="n"/>
      <c r="P291" s="2" t="n"/>
      <c r="Q291" s="2">
        <f>'QBO Transactions'!$T293</f>
        <v/>
      </c>
      <c r="R291" s="2" t="n"/>
      <c r="S291" s="2" t="n"/>
      <c r="T291" s="2" t="n"/>
      <c r="U291" s="2" t="n"/>
      <c r="V291" s="2" t="n"/>
      <c r="W291" s="2" t="n"/>
      <c r="X291" s="2">
        <f>Q291</f>
        <v/>
      </c>
      <c r="Y291" s="4">
        <f>'QBO Transactions'!$Q293</f>
        <v/>
      </c>
      <c r="Z291" s="2" t="n"/>
      <c r="AA291" s="2" t="n"/>
      <c r="AB291" s="2" t="n"/>
      <c r="AC291" s="2" t="n"/>
      <c r="AD291" s="2" t="n"/>
      <c r="AE291" s="2" t="n"/>
    </row>
    <row r="292" ht="12.75" customHeight="1" s="52">
      <c r="A292" s="2" t="n"/>
      <c r="B292" s="2">
        <f>'QBO Transactions'!$U294</f>
        <v/>
      </c>
      <c r="C292" s="3">
        <f>'QBO Transactions'!$S294</f>
        <v/>
      </c>
      <c r="D292" s="2">
        <f>'QBO Transactions'!$R294</f>
        <v/>
      </c>
      <c r="E292" s="2" t="n"/>
      <c r="F292" s="3">
        <f>'QBO Transactions'!$X294</f>
        <v/>
      </c>
      <c r="G292" s="2" t="n"/>
      <c r="H292" s="2" t="n"/>
      <c r="I292" s="2" t="n"/>
      <c r="J292" s="2" t="n"/>
      <c r="K292" s="2" t="n"/>
      <c r="L292" s="2" t="n"/>
      <c r="M292" s="2" t="n"/>
      <c r="N292" s="2">
        <f>'QBO Transactions'!$Y294</f>
        <v/>
      </c>
      <c r="O292" s="2" t="n"/>
      <c r="P292" s="2" t="n"/>
      <c r="Q292" s="2">
        <f>'QBO Transactions'!$T294</f>
        <v/>
      </c>
      <c r="R292" s="2" t="n"/>
      <c r="S292" s="2" t="n"/>
      <c r="T292" s="2" t="n"/>
      <c r="U292" s="2" t="n"/>
      <c r="V292" s="2" t="n"/>
      <c r="W292" s="2" t="n"/>
      <c r="X292" s="2">
        <f>Q292</f>
        <v/>
      </c>
      <c r="Y292" s="4">
        <f>'QBO Transactions'!$Q294</f>
        <v/>
      </c>
      <c r="Z292" s="2" t="n"/>
      <c r="AA292" s="2" t="n"/>
      <c r="AB292" s="2" t="n"/>
      <c r="AC292" s="2" t="n"/>
      <c r="AD292" s="2" t="n"/>
      <c r="AE292" s="2" t="n"/>
    </row>
    <row r="293" ht="12.75" customHeight="1" s="52">
      <c r="A293" s="2" t="n"/>
      <c r="B293" s="2">
        <f>'QBO Transactions'!$U295</f>
        <v/>
      </c>
      <c r="C293" s="3">
        <f>'QBO Transactions'!$S295</f>
        <v/>
      </c>
      <c r="D293" s="2">
        <f>'QBO Transactions'!$R295</f>
        <v/>
      </c>
      <c r="E293" s="2" t="n"/>
      <c r="F293" s="3">
        <f>'QBO Transactions'!$X295</f>
        <v/>
      </c>
      <c r="G293" s="2" t="n"/>
      <c r="H293" s="2" t="n"/>
      <c r="I293" s="2" t="n"/>
      <c r="J293" s="2" t="n"/>
      <c r="K293" s="2" t="n"/>
      <c r="L293" s="2" t="n"/>
      <c r="M293" s="2" t="n"/>
      <c r="N293" s="2">
        <f>'QBO Transactions'!$Y295</f>
        <v/>
      </c>
      <c r="O293" s="2" t="n"/>
      <c r="P293" s="2" t="n"/>
      <c r="Q293" s="2">
        <f>'QBO Transactions'!$T295</f>
        <v/>
      </c>
      <c r="R293" s="2" t="n"/>
      <c r="S293" s="2" t="n"/>
      <c r="T293" s="2" t="n"/>
      <c r="U293" s="2" t="n"/>
      <c r="V293" s="2" t="n"/>
      <c r="W293" s="2" t="n"/>
      <c r="X293" s="2">
        <f>Q293</f>
        <v/>
      </c>
      <c r="Y293" s="4">
        <f>'QBO Transactions'!$Q295</f>
        <v/>
      </c>
      <c r="Z293" s="2" t="n"/>
      <c r="AA293" s="2" t="n"/>
      <c r="AB293" s="2" t="n"/>
      <c r="AC293" s="2" t="n"/>
      <c r="AD293" s="2" t="n"/>
      <c r="AE293" s="2" t="n"/>
    </row>
    <row r="294" ht="12.75" customHeight="1" s="52">
      <c r="A294" s="2" t="n"/>
      <c r="B294" s="2">
        <f>'QBO Transactions'!$U296</f>
        <v/>
      </c>
      <c r="C294" s="3">
        <f>'QBO Transactions'!$S296</f>
        <v/>
      </c>
      <c r="D294" s="2">
        <f>'QBO Transactions'!$R296</f>
        <v/>
      </c>
      <c r="E294" s="2" t="n"/>
      <c r="F294" s="3">
        <f>'QBO Transactions'!$X296</f>
        <v/>
      </c>
      <c r="G294" s="2" t="n"/>
      <c r="H294" s="2" t="n"/>
      <c r="I294" s="2" t="n"/>
      <c r="J294" s="2" t="n"/>
      <c r="K294" s="2" t="n"/>
      <c r="L294" s="2" t="n"/>
      <c r="M294" s="2" t="n"/>
      <c r="N294" s="2">
        <f>'QBO Transactions'!$Y296</f>
        <v/>
      </c>
      <c r="O294" s="2" t="n"/>
      <c r="P294" s="2" t="n"/>
      <c r="Q294" s="2">
        <f>'QBO Transactions'!$T296</f>
        <v/>
      </c>
      <c r="R294" s="2" t="n"/>
      <c r="S294" s="2" t="n"/>
      <c r="T294" s="2" t="n"/>
      <c r="U294" s="2" t="n"/>
      <c r="V294" s="2" t="n"/>
      <c r="W294" s="2" t="n"/>
      <c r="X294" s="2">
        <f>Q294</f>
        <v/>
      </c>
      <c r="Y294" s="4">
        <f>'QBO Transactions'!$Q296</f>
        <v/>
      </c>
      <c r="Z294" s="2" t="n"/>
      <c r="AA294" s="2" t="n"/>
      <c r="AB294" s="2" t="n"/>
      <c r="AC294" s="2" t="n"/>
      <c r="AD294" s="2" t="n"/>
      <c r="AE294" s="2" t="n"/>
    </row>
    <row r="295" ht="12.75" customHeight="1" s="52">
      <c r="A295" s="2" t="n"/>
      <c r="B295" s="2">
        <f>'QBO Transactions'!$U297</f>
        <v/>
      </c>
      <c r="C295" s="3">
        <f>'QBO Transactions'!$S297</f>
        <v/>
      </c>
      <c r="D295" s="2">
        <f>'QBO Transactions'!$R297</f>
        <v/>
      </c>
      <c r="E295" s="2" t="n"/>
      <c r="F295" s="3">
        <f>'QBO Transactions'!$X297</f>
        <v/>
      </c>
      <c r="G295" s="2" t="n"/>
      <c r="H295" s="2" t="n"/>
      <c r="I295" s="2" t="n"/>
      <c r="J295" s="2" t="n"/>
      <c r="K295" s="2" t="n"/>
      <c r="L295" s="2" t="n"/>
      <c r="M295" s="2" t="n"/>
      <c r="N295" s="2">
        <f>'QBO Transactions'!$Y297</f>
        <v/>
      </c>
      <c r="O295" s="2" t="n"/>
      <c r="P295" s="2" t="n"/>
      <c r="Q295" s="2">
        <f>'QBO Transactions'!$T297</f>
        <v/>
      </c>
      <c r="R295" s="2" t="n"/>
      <c r="S295" s="2" t="n"/>
      <c r="T295" s="2" t="n"/>
      <c r="U295" s="2" t="n"/>
      <c r="V295" s="2" t="n"/>
      <c r="W295" s="2" t="n"/>
      <c r="X295" s="2">
        <f>Q295</f>
        <v/>
      </c>
      <c r="Y295" s="4">
        <f>'QBO Transactions'!$Q297</f>
        <v/>
      </c>
      <c r="Z295" s="2" t="n"/>
      <c r="AA295" s="2" t="n"/>
      <c r="AB295" s="2" t="n"/>
      <c r="AC295" s="2" t="n"/>
      <c r="AD295" s="2" t="n"/>
      <c r="AE295" s="2" t="n"/>
    </row>
    <row r="296" ht="12.75" customHeight="1" s="52">
      <c r="A296" s="2" t="n"/>
      <c r="B296" s="2">
        <f>'QBO Transactions'!$U298</f>
        <v/>
      </c>
      <c r="C296" s="3">
        <f>'QBO Transactions'!$S298</f>
        <v/>
      </c>
      <c r="D296" s="2">
        <f>'QBO Transactions'!$R298</f>
        <v/>
      </c>
      <c r="E296" s="2" t="n"/>
      <c r="F296" s="3">
        <f>'QBO Transactions'!$X298</f>
        <v/>
      </c>
      <c r="G296" s="2" t="n"/>
      <c r="H296" s="2" t="n"/>
      <c r="I296" s="2" t="n"/>
      <c r="J296" s="2" t="n"/>
      <c r="K296" s="2" t="n"/>
      <c r="L296" s="2" t="n"/>
      <c r="M296" s="2" t="n"/>
      <c r="N296" s="2">
        <f>'QBO Transactions'!$Y298</f>
        <v/>
      </c>
      <c r="O296" s="2" t="n"/>
      <c r="P296" s="2" t="n"/>
      <c r="Q296" s="2">
        <f>'QBO Transactions'!$T298</f>
        <v/>
      </c>
      <c r="R296" s="2" t="n"/>
      <c r="S296" s="2" t="n"/>
      <c r="T296" s="2" t="n"/>
      <c r="U296" s="2" t="n"/>
      <c r="V296" s="2" t="n"/>
      <c r="W296" s="2" t="n"/>
      <c r="X296" s="2">
        <f>Q296</f>
        <v/>
      </c>
      <c r="Y296" s="4">
        <f>'QBO Transactions'!$Q298</f>
        <v/>
      </c>
      <c r="Z296" s="2" t="n"/>
      <c r="AA296" s="2" t="n"/>
      <c r="AB296" s="2" t="n"/>
      <c r="AC296" s="2" t="n"/>
      <c r="AD296" s="2" t="n"/>
      <c r="AE296" s="2" t="n"/>
    </row>
    <row r="297" ht="12.75" customHeight="1" s="52">
      <c r="A297" s="2" t="n"/>
      <c r="B297" s="2">
        <f>'QBO Transactions'!$U299</f>
        <v/>
      </c>
      <c r="C297" s="3">
        <f>'QBO Transactions'!$S299</f>
        <v/>
      </c>
      <c r="D297" s="2">
        <f>'QBO Transactions'!$R299</f>
        <v/>
      </c>
      <c r="E297" s="2" t="n"/>
      <c r="F297" s="3">
        <f>'QBO Transactions'!$X299</f>
        <v/>
      </c>
      <c r="G297" s="2" t="n"/>
      <c r="H297" s="2" t="n"/>
      <c r="I297" s="2" t="n"/>
      <c r="J297" s="2" t="n"/>
      <c r="K297" s="2" t="n"/>
      <c r="L297" s="2" t="n"/>
      <c r="M297" s="2" t="n"/>
      <c r="N297" s="2">
        <f>'QBO Transactions'!$Y299</f>
        <v/>
      </c>
      <c r="O297" s="2" t="n"/>
      <c r="P297" s="2" t="n"/>
      <c r="Q297" s="2">
        <f>'QBO Transactions'!$T299</f>
        <v/>
      </c>
      <c r="R297" s="2" t="n"/>
      <c r="S297" s="2" t="n"/>
      <c r="T297" s="2" t="n"/>
      <c r="U297" s="2" t="n"/>
      <c r="V297" s="2" t="n"/>
      <c r="W297" s="2" t="n"/>
      <c r="X297" s="2">
        <f>Q297</f>
        <v/>
      </c>
      <c r="Y297" s="4">
        <f>'QBO Transactions'!$Q299</f>
        <v/>
      </c>
      <c r="Z297" s="2" t="n"/>
      <c r="AA297" s="2" t="n"/>
      <c r="AB297" s="2" t="n"/>
      <c r="AC297" s="2" t="n"/>
      <c r="AD297" s="2" t="n"/>
      <c r="AE297" s="2" t="n"/>
    </row>
    <row r="298" ht="12.75" customHeight="1" s="52">
      <c r="A298" s="2" t="n"/>
      <c r="B298" s="2">
        <f>'QBO Transactions'!$U300</f>
        <v/>
      </c>
      <c r="C298" s="3">
        <f>'QBO Transactions'!$S300</f>
        <v/>
      </c>
      <c r="D298" s="2">
        <f>'QBO Transactions'!$R300</f>
        <v/>
      </c>
      <c r="E298" s="2" t="n"/>
      <c r="F298" s="3">
        <f>'QBO Transactions'!$X300</f>
        <v/>
      </c>
      <c r="G298" s="2" t="n"/>
      <c r="H298" s="2" t="n"/>
      <c r="I298" s="2" t="n"/>
      <c r="J298" s="2" t="n"/>
      <c r="K298" s="2" t="n"/>
      <c r="L298" s="2" t="n"/>
      <c r="M298" s="2" t="n"/>
      <c r="N298" s="2">
        <f>'QBO Transactions'!$Y300</f>
        <v/>
      </c>
      <c r="O298" s="2" t="n"/>
      <c r="P298" s="2" t="n"/>
      <c r="Q298" s="2">
        <f>'QBO Transactions'!$T300</f>
        <v/>
      </c>
      <c r="R298" s="2" t="n"/>
      <c r="S298" s="2" t="n"/>
      <c r="T298" s="2" t="n"/>
      <c r="U298" s="2" t="n"/>
      <c r="V298" s="2" t="n"/>
      <c r="W298" s="2" t="n"/>
      <c r="X298" s="2">
        <f>Q298</f>
        <v/>
      </c>
      <c r="Y298" s="4">
        <f>'QBO Transactions'!$Q300</f>
        <v/>
      </c>
      <c r="Z298" s="2" t="n"/>
      <c r="AA298" s="2" t="n"/>
      <c r="AB298" s="2" t="n"/>
      <c r="AC298" s="2" t="n"/>
      <c r="AD298" s="2" t="n"/>
      <c r="AE298" s="2" t="n"/>
    </row>
    <row r="299" ht="12.75" customHeight="1" s="52">
      <c r="A299" s="2" t="n"/>
      <c r="B299" s="2">
        <f>'QBO Transactions'!$U301</f>
        <v/>
      </c>
      <c r="C299" s="3">
        <f>'QBO Transactions'!$S301</f>
        <v/>
      </c>
      <c r="D299" s="2">
        <f>'QBO Transactions'!$R301</f>
        <v/>
      </c>
      <c r="E299" s="2" t="n"/>
      <c r="F299" s="3">
        <f>'QBO Transactions'!$X301</f>
        <v/>
      </c>
      <c r="G299" s="2" t="n"/>
      <c r="H299" s="2" t="n"/>
      <c r="I299" s="2" t="n"/>
      <c r="J299" s="2" t="n"/>
      <c r="K299" s="2" t="n"/>
      <c r="L299" s="2" t="n"/>
      <c r="M299" s="2" t="n"/>
      <c r="N299" s="2">
        <f>'QBO Transactions'!$Y301</f>
        <v/>
      </c>
      <c r="O299" s="2" t="n"/>
      <c r="P299" s="2" t="n"/>
      <c r="Q299" s="2">
        <f>'QBO Transactions'!$T301</f>
        <v/>
      </c>
      <c r="R299" s="2" t="n"/>
      <c r="S299" s="2" t="n"/>
      <c r="T299" s="2" t="n"/>
      <c r="U299" s="2" t="n"/>
      <c r="V299" s="2" t="n"/>
      <c r="W299" s="2" t="n"/>
      <c r="X299" s="2">
        <f>Q299</f>
        <v/>
      </c>
      <c r="Y299" s="4">
        <f>'QBO Transactions'!$Q301</f>
        <v/>
      </c>
      <c r="Z299" s="2" t="n"/>
      <c r="AA299" s="2" t="n"/>
      <c r="AB299" s="2" t="n"/>
      <c r="AC299" s="2" t="n"/>
      <c r="AD299" s="2" t="n"/>
      <c r="AE299" s="2" t="n"/>
    </row>
    <row r="300" ht="12.75" customHeight="1" s="52">
      <c r="A300" s="2" t="n"/>
      <c r="B300" s="2">
        <f>'QBO Transactions'!$U302</f>
        <v/>
      </c>
      <c r="C300" s="3">
        <f>'QBO Transactions'!$S302</f>
        <v/>
      </c>
      <c r="D300" s="2">
        <f>'QBO Transactions'!$R302</f>
        <v/>
      </c>
      <c r="E300" s="2" t="n"/>
      <c r="F300" s="3">
        <f>'QBO Transactions'!$X302</f>
        <v/>
      </c>
      <c r="G300" s="2" t="n"/>
      <c r="H300" s="2" t="n"/>
      <c r="I300" s="2" t="n"/>
      <c r="J300" s="2" t="n"/>
      <c r="K300" s="2" t="n"/>
      <c r="L300" s="2" t="n"/>
      <c r="M300" s="2" t="n"/>
      <c r="N300" s="2">
        <f>'QBO Transactions'!$Y302</f>
        <v/>
      </c>
      <c r="O300" s="2" t="n"/>
      <c r="P300" s="2" t="n"/>
      <c r="Q300" s="2">
        <f>'QBO Transactions'!$T302</f>
        <v/>
      </c>
      <c r="R300" s="2" t="n"/>
      <c r="S300" s="2" t="n"/>
      <c r="T300" s="2" t="n"/>
      <c r="U300" s="2" t="n"/>
      <c r="V300" s="2" t="n"/>
      <c r="W300" s="2" t="n"/>
      <c r="X300" s="2">
        <f>Q300</f>
        <v/>
      </c>
      <c r="Y300" s="4">
        <f>'QBO Transactions'!$Q302</f>
        <v/>
      </c>
      <c r="Z300" s="2" t="n"/>
      <c r="AA300" s="2" t="n"/>
      <c r="AB300" s="2" t="n"/>
      <c r="AC300" s="2" t="n"/>
      <c r="AD300" s="2" t="n"/>
      <c r="AE300" s="2" t="n"/>
    </row>
    <row r="301" ht="12.75" customHeight="1" s="52">
      <c r="A301" s="2" t="n"/>
      <c r="B301" s="2">
        <f>'QBO Transactions'!$U303</f>
        <v/>
      </c>
      <c r="C301" s="3">
        <f>'QBO Transactions'!$S303</f>
        <v/>
      </c>
      <c r="D301" s="2">
        <f>'QBO Transactions'!$R303</f>
        <v/>
      </c>
      <c r="E301" s="2" t="n"/>
      <c r="F301" s="3">
        <f>'QBO Transactions'!$X303</f>
        <v/>
      </c>
      <c r="G301" s="2" t="n"/>
      <c r="H301" s="2" t="n"/>
      <c r="I301" s="2" t="n"/>
      <c r="J301" s="2" t="n"/>
      <c r="K301" s="2" t="n"/>
      <c r="L301" s="2" t="n"/>
      <c r="M301" s="2" t="n"/>
      <c r="N301" s="2">
        <f>'QBO Transactions'!$Y303</f>
        <v/>
      </c>
      <c r="O301" s="2" t="n"/>
      <c r="P301" s="2" t="n"/>
      <c r="Q301" s="2">
        <f>'QBO Transactions'!$T303</f>
        <v/>
      </c>
      <c r="R301" s="2" t="n"/>
      <c r="S301" s="2" t="n"/>
      <c r="T301" s="2" t="n"/>
      <c r="U301" s="2" t="n"/>
      <c r="V301" s="2" t="n"/>
      <c r="W301" s="2" t="n"/>
      <c r="X301" s="2">
        <f>Q301</f>
        <v/>
      </c>
      <c r="Y301" s="4">
        <f>'QBO Transactions'!$Q303</f>
        <v/>
      </c>
      <c r="Z301" s="2" t="n"/>
      <c r="AA301" s="2" t="n"/>
      <c r="AB301" s="2" t="n"/>
      <c r="AC301" s="2" t="n"/>
      <c r="AD301" s="2" t="n"/>
      <c r="AE301" s="2" t="n"/>
    </row>
    <row r="302" ht="12.75" customHeight="1" s="52">
      <c r="A302" s="2" t="n"/>
      <c r="B302" s="2">
        <f>'QBO Transactions'!$U304</f>
        <v/>
      </c>
      <c r="C302" s="3">
        <f>'QBO Transactions'!$S304</f>
        <v/>
      </c>
      <c r="D302" s="2">
        <f>'QBO Transactions'!$R304</f>
        <v/>
      </c>
      <c r="E302" s="2" t="n"/>
      <c r="F302" s="3">
        <f>'QBO Transactions'!$X304</f>
        <v/>
      </c>
      <c r="G302" s="2" t="n"/>
      <c r="H302" s="2" t="n"/>
      <c r="I302" s="2" t="n"/>
      <c r="J302" s="2" t="n"/>
      <c r="K302" s="2" t="n"/>
      <c r="L302" s="2" t="n"/>
      <c r="M302" s="2" t="n"/>
      <c r="N302" s="2">
        <f>'QBO Transactions'!$Y304</f>
        <v/>
      </c>
      <c r="O302" s="2" t="n"/>
      <c r="P302" s="2" t="n"/>
      <c r="Q302" s="2">
        <f>'QBO Transactions'!$T304</f>
        <v/>
      </c>
      <c r="R302" s="2" t="n"/>
      <c r="S302" s="2" t="n"/>
      <c r="T302" s="2" t="n"/>
      <c r="U302" s="2" t="n"/>
      <c r="V302" s="2" t="n"/>
      <c r="W302" s="2" t="n"/>
      <c r="X302" s="2">
        <f>Q302</f>
        <v/>
      </c>
      <c r="Y302" s="4">
        <f>'QBO Transactions'!$Q304</f>
        <v/>
      </c>
      <c r="Z302" s="2" t="n"/>
      <c r="AA302" s="2" t="n"/>
      <c r="AB302" s="2" t="n"/>
      <c r="AC302" s="2" t="n"/>
      <c r="AD302" s="2" t="n"/>
      <c r="AE302" s="2" t="n"/>
    </row>
    <row r="303" ht="12.75" customHeight="1" s="52">
      <c r="A303" s="2" t="n"/>
      <c r="B303" s="2">
        <f>'QBO Transactions'!$U305</f>
        <v/>
      </c>
      <c r="C303" s="3">
        <f>'QBO Transactions'!$S305</f>
        <v/>
      </c>
      <c r="D303" s="2">
        <f>'QBO Transactions'!$R305</f>
        <v/>
      </c>
      <c r="E303" s="2" t="n"/>
      <c r="F303" s="3">
        <f>'QBO Transactions'!$X305</f>
        <v/>
      </c>
      <c r="G303" s="2" t="n"/>
      <c r="H303" s="2" t="n"/>
      <c r="I303" s="2" t="n"/>
      <c r="J303" s="2" t="n"/>
      <c r="K303" s="2" t="n"/>
      <c r="L303" s="2" t="n"/>
      <c r="M303" s="2" t="n"/>
      <c r="N303" s="2">
        <f>'QBO Transactions'!$Y305</f>
        <v/>
      </c>
      <c r="O303" s="2" t="n"/>
      <c r="P303" s="2" t="n"/>
      <c r="Q303" s="2">
        <f>'QBO Transactions'!$T305</f>
        <v/>
      </c>
      <c r="R303" s="2" t="n"/>
      <c r="S303" s="2" t="n"/>
      <c r="T303" s="2" t="n"/>
      <c r="U303" s="2" t="n"/>
      <c r="V303" s="2" t="n"/>
      <c r="W303" s="2" t="n"/>
      <c r="X303" s="2">
        <f>Q303</f>
        <v/>
      </c>
      <c r="Y303" s="4">
        <f>'QBO Transactions'!$Q305</f>
        <v/>
      </c>
      <c r="Z303" s="2" t="n"/>
      <c r="AA303" s="2" t="n"/>
      <c r="AB303" s="2" t="n"/>
      <c r="AC303" s="2" t="n"/>
      <c r="AD303" s="2" t="n"/>
      <c r="AE303" s="2" t="n"/>
    </row>
    <row r="304" ht="12.75" customHeight="1" s="52">
      <c r="A304" s="2" t="n"/>
      <c r="B304" s="2">
        <f>'QBO Transactions'!$U306</f>
        <v/>
      </c>
      <c r="C304" s="3">
        <f>'QBO Transactions'!$S306</f>
        <v/>
      </c>
      <c r="D304" s="2">
        <f>'QBO Transactions'!$R306</f>
        <v/>
      </c>
      <c r="E304" s="2" t="n"/>
      <c r="F304" s="3">
        <f>'QBO Transactions'!$X306</f>
        <v/>
      </c>
      <c r="G304" s="2" t="n"/>
      <c r="H304" s="2" t="n"/>
      <c r="I304" s="2" t="n"/>
      <c r="J304" s="2" t="n"/>
      <c r="K304" s="2" t="n"/>
      <c r="L304" s="2" t="n"/>
      <c r="M304" s="2" t="n"/>
      <c r="N304" s="2">
        <f>'QBO Transactions'!$Y306</f>
        <v/>
      </c>
      <c r="O304" s="2" t="n"/>
      <c r="P304" s="2" t="n"/>
      <c r="Q304" s="2">
        <f>'QBO Transactions'!$T306</f>
        <v/>
      </c>
      <c r="R304" s="2" t="n"/>
      <c r="S304" s="2" t="n"/>
      <c r="T304" s="2" t="n"/>
      <c r="U304" s="2" t="n"/>
      <c r="V304" s="2" t="n"/>
      <c r="W304" s="2" t="n"/>
      <c r="X304" s="2">
        <f>Q304</f>
        <v/>
      </c>
      <c r="Y304" s="4">
        <f>'QBO Transactions'!$Q306</f>
        <v/>
      </c>
      <c r="Z304" s="2" t="n"/>
      <c r="AA304" s="2" t="n"/>
      <c r="AB304" s="2" t="n"/>
      <c r="AC304" s="2" t="n"/>
      <c r="AD304" s="2" t="n"/>
      <c r="AE304" s="2" t="n"/>
    </row>
    <row r="305" ht="12.75" customHeight="1" s="52">
      <c r="A305" s="2" t="n"/>
      <c r="B305" s="2">
        <f>'QBO Transactions'!$U307</f>
        <v/>
      </c>
      <c r="C305" s="3">
        <f>'QBO Transactions'!$S307</f>
        <v/>
      </c>
      <c r="D305" s="2">
        <f>'QBO Transactions'!$R307</f>
        <v/>
      </c>
      <c r="E305" s="2" t="n"/>
      <c r="F305" s="3">
        <f>'QBO Transactions'!$X307</f>
        <v/>
      </c>
      <c r="G305" s="2" t="n"/>
      <c r="H305" s="2" t="n"/>
      <c r="I305" s="2" t="n"/>
      <c r="J305" s="2" t="n"/>
      <c r="K305" s="2" t="n"/>
      <c r="L305" s="2" t="n"/>
      <c r="M305" s="2" t="n"/>
      <c r="N305" s="2">
        <f>'QBO Transactions'!$Y307</f>
        <v/>
      </c>
      <c r="O305" s="2" t="n"/>
      <c r="P305" s="2" t="n"/>
      <c r="Q305" s="2">
        <f>'QBO Transactions'!$T307</f>
        <v/>
      </c>
      <c r="R305" s="2" t="n"/>
      <c r="S305" s="2" t="n"/>
      <c r="T305" s="2" t="n"/>
      <c r="U305" s="2" t="n"/>
      <c r="V305" s="2" t="n"/>
      <c r="W305" s="2" t="n"/>
      <c r="X305" s="2">
        <f>Q305</f>
        <v/>
      </c>
      <c r="Y305" s="4">
        <f>'QBO Transactions'!$Q307</f>
        <v/>
      </c>
      <c r="Z305" s="2" t="n"/>
      <c r="AA305" s="2" t="n"/>
      <c r="AB305" s="2" t="n"/>
      <c r="AC305" s="2" t="n"/>
      <c r="AD305" s="2" t="n"/>
      <c r="AE305" s="2" t="n"/>
    </row>
    <row r="306" ht="12.75" customHeight="1" s="52">
      <c r="A306" s="2" t="n"/>
      <c r="B306" s="2">
        <f>'QBO Transactions'!$U308</f>
        <v/>
      </c>
      <c r="C306" s="3">
        <f>'QBO Transactions'!$S308</f>
        <v/>
      </c>
      <c r="D306" s="2">
        <f>'QBO Transactions'!$R308</f>
        <v/>
      </c>
      <c r="E306" s="2" t="n"/>
      <c r="F306" s="3">
        <f>'QBO Transactions'!$X308</f>
        <v/>
      </c>
      <c r="G306" s="2" t="n"/>
      <c r="H306" s="2" t="n"/>
      <c r="I306" s="2" t="n"/>
      <c r="J306" s="2" t="n"/>
      <c r="K306" s="2" t="n"/>
      <c r="L306" s="2" t="n"/>
      <c r="M306" s="2" t="n"/>
      <c r="N306" s="2">
        <f>'QBO Transactions'!$Y308</f>
        <v/>
      </c>
      <c r="O306" s="2" t="n"/>
      <c r="P306" s="2" t="n"/>
      <c r="Q306" s="2">
        <f>'QBO Transactions'!$T308</f>
        <v/>
      </c>
      <c r="R306" s="2" t="n"/>
      <c r="S306" s="2" t="n"/>
      <c r="T306" s="2" t="n"/>
      <c r="U306" s="2" t="n"/>
      <c r="V306" s="2" t="n"/>
      <c r="W306" s="2" t="n"/>
      <c r="X306" s="2">
        <f>Q306</f>
        <v/>
      </c>
      <c r="Y306" s="4">
        <f>'QBO Transactions'!$Q308</f>
        <v/>
      </c>
      <c r="Z306" s="2" t="n"/>
      <c r="AA306" s="2" t="n"/>
      <c r="AB306" s="2" t="n"/>
      <c r="AC306" s="2" t="n"/>
      <c r="AD306" s="2" t="n"/>
      <c r="AE306" s="2" t="n"/>
    </row>
    <row r="307" ht="12.75" customHeight="1" s="52">
      <c r="A307" s="2" t="n"/>
      <c r="B307" s="2">
        <f>'QBO Transactions'!$U309</f>
        <v/>
      </c>
      <c r="C307" s="3">
        <f>'QBO Transactions'!$S309</f>
        <v/>
      </c>
      <c r="D307" s="2">
        <f>'QBO Transactions'!$R309</f>
        <v/>
      </c>
      <c r="E307" s="2" t="n"/>
      <c r="F307" s="3">
        <f>'QBO Transactions'!$X309</f>
        <v/>
      </c>
      <c r="G307" s="2" t="n"/>
      <c r="H307" s="2" t="n"/>
      <c r="I307" s="2" t="n"/>
      <c r="J307" s="2" t="n"/>
      <c r="K307" s="2" t="n"/>
      <c r="L307" s="2" t="n"/>
      <c r="M307" s="2" t="n"/>
      <c r="N307" s="2">
        <f>'QBO Transactions'!$Y309</f>
        <v/>
      </c>
      <c r="O307" s="2" t="n"/>
      <c r="P307" s="2" t="n"/>
      <c r="Q307" s="2">
        <f>'QBO Transactions'!$T309</f>
        <v/>
      </c>
      <c r="R307" s="2" t="n"/>
      <c r="S307" s="2" t="n"/>
      <c r="T307" s="2" t="n"/>
      <c r="U307" s="2" t="n"/>
      <c r="V307" s="2" t="n"/>
      <c r="W307" s="2" t="n"/>
      <c r="X307" s="2">
        <f>Q307</f>
        <v/>
      </c>
      <c r="Y307" s="4">
        <f>'QBO Transactions'!$Q309</f>
        <v/>
      </c>
      <c r="Z307" s="2" t="n"/>
      <c r="AA307" s="2" t="n"/>
      <c r="AB307" s="2" t="n"/>
      <c r="AC307" s="2" t="n"/>
      <c r="AD307" s="2" t="n"/>
      <c r="AE307" s="2" t="n"/>
    </row>
    <row r="308" ht="12.75" customHeight="1" s="52">
      <c r="A308" s="2" t="n"/>
      <c r="B308" s="2">
        <f>'QBO Transactions'!$U310</f>
        <v/>
      </c>
      <c r="C308" s="3">
        <f>'QBO Transactions'!$S310</f>
        <v/>
      </c>
      <c r="D308" s="2">
        <f>'QBO Transactions'!$R310</f>
        <v/>
      </c>
      <c r="E308" s="2" t="n"/>
      <c r="F308" s="3">
        <f>'QBO Transactions'!$X310</f>
        <v/>
      </c>
      <c r="G308" s="2" t="n"/>
      <c r="H308" s="2" t="n"/>
      <c r="I308" s="2" t="n"/>
      <c r="J308" s="2" t="n"/>
      <c r="K308" s="2" t="n"/>
      <c r="L308" s="2" t="n"/>
      <c r="M308" s="2" t="n"/>
      <c r="N308" s="2">
        <f>'QBO Transactions'!$Y310</f>
        <v/>
      </c>
      <c r="O308" s="2" t="n"/>
      <c r="P308" s="2" t="n"/>
      <c r="Q308" s="2">
        <f>'QBO Transactions'!$T310</f>
        <v/>
      </c>
      <c r="R308" s="2" t="n"/>
      <c r="S308" s="2" t="n"/>
      <c r="T308" s="2" t="n"/>
      <c r="U308" s="2" t="n"/>
      <c r="V308" s="2" t="n"/>
      <c r="W308" s="2" t="n"/>
      <c r="X308" s="2">
        <f>Q308</f>
        <v/>
      </c>
      <c r="Y308" s="4">
        <f>'QBO Transactions'!$Q310</f>
        <v/>
      </c>
      <c r="Z308" s="2" t="n"/>
      <c r="AA308" s="2" t="n"/>
      <c r="AB308" s="2" t="n"/>
      <c r="AC308" s="2" t="n"/>
      <c r="AD308" s="2" t="n"/>
      <c r="AE308" s="2" t="n"/>
    </row>
    <row r="309" ht="12.75" customHeight="1" s="52">
      <c r="A309" s="2" t="n"/>
      <c r="B309" s="2">
        <f>'QBO Transactions'!$U311</f>
        <v/>
      </c>
      <c r="C309" s="3">
        <f>'QBO Transactions'!$S311</f>
        <v/>
      </c>
      <c r="D309" s="2">
        <f>'QBO Transactions'!$R311</f>
        <v/>
      </c>
      <c r="E309" s="2" t="n"/>
      <c r="F309" s="3">
        <f>'QBO Transactions'!$X311</f>
        <v/>
      </c>
      <c r="G309" s="2" t="n"/>
      <c r="H309" s="2" t="n"/>
      <c r="I309" s="2" t="n"/>
      <c r="J309" s="2" t="n"/>
      <c r="K309" s="2" t="n"/>
      <c r="L309" s="2" t="n"/>
      <c r="M309" s="2" t="n"/>
      <c r="N309" s="2">
        <f>'QBO Transactions'!$Y311</f>
        <v/>
      </c>
      <c r="O309" s="2" t="n"/>
      <c r="P309" s="2" t="n"/>
      <c r="Q309" s="2">
        <f>'QBO Transactions'!$T311</f>
        <v/>
      </c>
      <c r="R309" s="2" t="n"/>
      <c r="S309" s="2" t="n"/>
      <c r="T309" s="2" t="n"/>
      <c r="U309" s="2" t="n"/>
      <c r="V309" s="2" t="n"/>
      <c r="W309" s="2" t="n"/>
      <c r="X309" s="2">
        <f>Q309</f>
        <v/>
      </c>
      <c r="Y309" s="4">
        <f>'QBO Transactions'!$Q311</f>
        <v/>
      </c>
      <c r="Z309" s="2" t="n"/>
      <c r="AA309" s="2" t="n"/>
      <c r="AB309" s="2" t="n"/>
      <c r="AC309" s="2" t="n"/>
      <c r="AD309" s="2" t="n"/>
      <c r="AE309" s="2" t="n"/>
    </row>
    <row r="310" ht="12.75" customHeight="1" s="52">
      <c r="A310" s="2" t="n"/>
      <c r="B310" s="2">
        <f>'QBO Transactions'!$U312</f>
        <v/>
      </c>
      <c r="C310" s="3">
        <f>'QBO Transactions'!$S312</f>
        <v/>
      </c>
      <c r="D310" s="2">
        <f>'QBO Transactions'!$R312</f>
        <v/>
      </c>
      <c r="E310" s="2" t="n"/>
      <c r="F310" s="3">
        <f>'QBO Transactions'!$X312</f>
        <v/>
      </c>
      <c r="G310" s="2" t="n"/>
      <c r="H310" s="2" t="n"/>
      <c r="I310" s="2" t="n"/>
      <c r="J310" s="2" t="n"/>
      <c r="K310" s="2" t="n"/>
      <c r="L310" s="2" t="n"/>
      <c r="M310" s="2" t="n"/>
      <c r="N310" s="2">
        <f>'QBO Transactions'!$Y312</f>
        <v/>
      </c>
      <c r="O310" s="2" t="n"/>
      <c r="P310" s="2" t="n"/>
      <c r="Q310" s="2">
        <f>'QBO Transactions'!$T312</f>
        <v/>
      </c>
      <c r="R310" s="2" t="n"/>
      <c r="S310" s="2" t="n"/>
      <c r="T310" s="2" t="n"/>
      <c r="U310" s="2" t="n"/>
      <c r="V310" s="2" t="n"/>
      <c r="W310" s="2" t="n"/>
      <c r="X310" s="2">
        <f>Q310</f>
        <v/>
      </c>
      <c r="Y310" s="4">
        <f>'QBO Transactions'!$Q312</f>
        <v/>
      </c>
      <c r="Z310" s="2" t="n"/>
      <c r="AA310" s="2" t="n"/>
      <c r="AB310" s="2" t="n"/>
      <c r="AC310" s="2" t="n"/>
      <c r="AD310" s="2" t="n"/>
      <c r="AE310" s="2" t="n"/>
    </row>
    <row r="311" ht="12.75" customHeight="1" s="52">
      <c r="A311" s="2" t="n"/>
      <c r="B311" s="2">
        <f>'QBO Transactions'!$U313</f>
        <v/>
      </c>
      <c r="C311" s="3">
        <f>'QBO Transactions'!$S313</f>
        <v/>
      </c>
      <c r="D311" s="2">
        <f>'QBO Transactions'!$R313</f>
        <v/>
      </c>
      <c r="E311" s="2" t="n"/>
      <c r="F311" s="3">
        <f>'QBO Transactions'!$X313</f>
        <v/>
      </c>
      <c r="G311" s="2" t="n"/>
      <c r="H311" s="2" t="n"/>
      <c r="I311" s="2" t="n"/>
      <c r="J311" s="2" t="n"/>
      <c r="K311" s="2" t="n"/>
      <c r="L311" s="2" t="n"/>
      <c r="M311" s="2" t="n"/>
      <c r="N311" s="2">
        <f>'QBO Transactions'!$Y313</f>
        <v/>
      </c>
      <c r="O311" s="2" t="n"/>
      <c r="P311" s="2" t="n"/>
      <c r="Q311" s="2">
        <f>'QBO Transactions'!$T313</f>
        <v/>
      </c>
      <c r="R311" s="2" t="n"/>
      <c r="S311" s="2" t="n"/>
      <c r="T311" s="2" t="n"/>
      <c r="U311" s="2" t="n"/>
      <c r="V311" s="2" t="n"/>
      <c r="W311" s="2" t="n"/>
      <c r="X311" s="2">
        <f>Q311</f>
        <v/>
      </c>
      <c r="Y311" s="4">
        <f>'QBO Transactions'!$Q313</f>
        <v/>
      </c>
      <c r="Z311" s="2" t="n"/>
      <c r="AA311" s="2" t="n"/>
      <c r="AB311" s="2" t="n"/>
      <c r="AC311" s="2" t="n"/>
      <c r="AD311" s="2" t="n"/>
      <c r="AE311" s="2" t="n"/>
    </row>
    <row r="312" ht="12.75" customHeight="1" s="52">
      <c r="A312" s="2" t="n"/>
      <c r="B312" s="2">
        <f>'QBO Transactions'!$U314</f>
        <v/>
      </c>
      <c r="C312" s="3">
        <f>'QBO Transactions'!$S314</f>
        <v/>
      </c>
      <c r="D312" s="2">
        <f>'QBO Transactions'!$R314</f>
        <v/>
      </c>
      <c r="E312" s="2" t="n"/>
      <c r="F312" s="3">
        <f>'QBO Transactions'!$X314</f>
        <v/>
      </c>
      <c r="G312" s="2" t="n"/>
      <c r="H312" s="2" t="n"/>
      <c r="I312" s="2" t="n"/>
      <c r="J312" s="2" t="n"/>
      <c r="K312" s="2" t="n"/>
      <c r="L312" s="2" t="n"/>
      <c r="M312" s="2" t="n"/>
      <c r="N312" s="2">
        <f>'QBO Transactions'!$Y314</f>
        <v/>
      </c>
      <c r="O312" s="2" t="n"/>
      <c r="P312" s="2" t="n"/>
      <c r="Q312" s="2">
        <f>'QBO Transactions'!$T314</f>
        <v/>
      </c>
      <c r="R312" s="2" t="n"/>
      <c r="S312" s="2" t="n"/>
      <c r="T312" s="2" t="n"/>
      <c r="U312" s="2" t="n"/>
      <c r="V312" s="2" t="n"/>
      <c r="W312" s="2" t="n"/>
      <c r="X312" s="2">
        <f>Q312</f>
        <v/>
      </c>
      <c r="Y312" s="4">
        <f>'QBO Transactions'!$Q314</f>
        <v/>
      </c>
      <c r="Z312" s="2" t="n"/>
      <c r="AA312" s="2" t="n"/>
      <c r="AB312" s="2" t="n"/>
      <c r="AC312" s="2" t="n"/>
      <c r="AD312" s="2" t="n"/>
      <c r="AE312" s="2" t="n"/>
    </row>
    <row r="313" ht="12.75" customHeight="1" s="52">
      <c r="A313" s="2" t="n"/>
      <c r="B313" s="2">
        <f>'QBO Transactions'!$U315</f>
        <v/>
      </c>
      <c r="C313" s="3">
        <f>'QBO Transactions'!$S315</f>
        <v/>
      </c>
      <c r="D313" s="2">
        <f>'QBO Transactions'!$R315</f>
        <v/>
      </c>
      <c r="E313" s="2" t="n"/>
      <c r="F313" s="3">
        <f>'QBO Transactions'!$X315</f>
        <v/>
      </c>
      <c r="G313" s="2" t="n"/>
      <c r="H313" s="2" t="n"/>
      <c r="I313" s="2" t="n"/>
      <c r="J313" s="2" t="n"/>
      <c r="K313" s="2" t="n"/>
      <c r="L313" s="2" t="n"/>
      <c r="M313" s="2" t="n"/>
      <c r="N313" s="2">
        <f>'QBO Transactions'!$Y315</f>
        <v/>
      </c>
      <c r="O313" s="2" t="n"/>
      <c r="P313" s="2" t="n"/>
      <c r="Q313" s="2">
        <f>'QBO Transactions'!$T315</f>
        <v/>
      </c>
      <c r="R313" s="2" t="n"/>
      <c r="S313" s="2" t="n"/>
      <c r="T313" s="2" t="n"/>
      <c r="U313" s="2" t="n"/>
      <c r="V313" s="2" t="n"/>
      <c r="W313" s="2" t="n"/>
      <c r="X313" s="2">
        <f>Q313</f>
        <v/>
      </c>
      <c r="Y313" s="4">
        <f>'QBO Transactions'!$Q315</f>
        <v/>
      </c>
      <c r="Z313" s="2" t="n"/>
      <c r="AA313" s="2" t="n"/>
      <c r="AB313" s="2" t="n"/>
      <c r="AC313" s="2" t="n"/>
      <c r="AD313" s="2" t="n"/>
      <c r="AE313" s="2" t="n"/>
    </row>
    <row r="314" ht="12.75" customHeight="1" s="52">
      <c r="A314" s="2" t="n"/>
      <c r="B314" s="2">
        <f>'QBO Transactions'!$U316</f>
        <v/>
      </c>
      <c r="C314" s="3">
        <f>'QBO Transactions'!$S316</f>
        <v/>
      </c>
      <c r="D314" s="2">
        <f>'QBO Transactions'!$R316</f>
        <v/>
      </c>
      <c r="E314" s="2" t="n"/>
      <c r="F314" s="3">
        <f>'QBO Transactions'!$X316</f>
        <v/>
      </c>
      <c r="G314" s="2" t="n"/>
      <c r="H314" s="2" t="n"/>
      <c r="I314" s="2" t="n"/>
      <c r="J314" s="2" t="n"/>
      <c r="K314" s="2" t="n"/>
      <c r="L314" s="2" t="n"/>
      <c r="M314" s="2" t="n"/>
      <c r="N314" s="2">
        <f>'QBO Transactions'!$Y316</f>
        <v/>
      </c>
      <c r="O314" s="2" t="n"/>
      <c r="P314" s="2" t="n"/>
      <c r="Q314" s="2">
        <f>'QBO Transactions'!$T316</f>
        <v/>
      </c>
      <c r="R314" s="2" t="n"/>
      <c r="S314" s="2" t="n"/>
      <c r="T314" s="2" t="n"/>
      <c r="U314" s="2" t="n"/>
      <c r="V314" s="2" t="n"/>
      <c r="W314" s="2" t="n"/>
      <c r="X314" s="2">
        <f>Q314</f>
        <v/>
      </c>
      <c r="Y314" s="4">
        <f>'QBO Transactions'!$Q316</f>
        <v/>
      </c>
      <c r="Z314" s="2" t="n"/>
      <c r="AA314" s="2" t="n"/>
      <c r="AB314" s="2" t="n"/>
      <c r="AC314" s="2" t="n"/>
      <c r="AD314" s="2" t="n"/>
      <c r="AE314" s="2" t="n"/>
    </row>
    <row r="315" ht="12.75" customHeight="1" s="52">
      <c r="A315" s="2" t="n"/>
      <c r="B315" s="2">
        <f>'QBO Transactions'!$U317</f>
        <v/>
      </c>
      <c r="C315" s="3">
        <f>'QBO Transactions'!$S317</f>
        <v/>
      </c>
      <c r="D315" s="2">
        <f>'QBO Transactions'!$R317</f>
        <v/>
      </c>
      <c r="E315" s="2" t="n"/>
      <c r="F315" s="3">
        <f>'QBO Transactions'!$X317</f>
        <v/>
      </c>
      <c r="G315" s="2" t="n"/>
      <c r="H315" s="2" t="n"/>
      <c r="I315" s="2" t="n"/>
      <c r="J315" s="2" t="n"/>
      <c r="K315" s="2" t="n"/>
      <c r="L315" s="2" t="n"/>
      <c r="M315" s="2" t="n"/>
      <c r="N315" s="2">
        <f>'QBO Transactions'!$Y317</f>
        <v/>
      </c>
      <c r="O315" s="2" t="n"/>
      <c r="P315" s="2" t="n"/>
      <c r="Q315" s="2">
        <f>'QBO Transactions'!$T317</f>
        <v/>
      </c>
      <c r="R315" s="2" t="n"/>
      <c r="S315" s="2" t="n"/>
      <c r="T315" s="2" t="n"/>
      <c r="U315" s="2" t="n"/>
      <c r="V315" s="2" t="n"/>
      <c r="W315" s="2" t="n"/>
      <c r="X315" s="2">
        <f>Q315</f>
        <v/>
      </c>
      <c r="Y315" s="4">
        <f>'QBO Transactions'!$Q317</f>
        <v/>
      </c>
      <c r="Z315" s="2" t="n"/>
      <c r="AA315" s="2" t="n"/>
      <c r="AB315" s="2" t="n"/>
      <c r="AC315" s="2" t="n"/>
      <c r="AD315" s="2" t="n"/>
      <c r="AE315" s="2" t="n"/>
    </row>
    <row r="316" ht="12.75" customHeight="1" s="52">
      <c r="A316" s="2" t="n"/>
      <c r="B316" s="2">
        <f>'QBO Transactions'!$U318</f>
        <v/>
      </c>
      <c r="C316" s="3">
        <f>'QBO Transactions'!$S318</f>
        <v/>
      </c>
      <c r="D316" s="2">
        <f>'QBO Transactions'!$R318</f>
        <v/>
      </c>
      <c r="E316" s="2" t="n"/>
      <c r="F316" s="3">
        <f>'QBO Transactions'!$X318</f>
        <v/>
      </c>
      <c r="G316" s="2" t="n"/>
      <c r="H316" s="2" t="n"/>
      <c r="I316" s="2" t="n"/>
      <c r="J316" s="2" t="n"/>
      <c r="K316" s="2" t="n"/>
      <c r="L316" s="2" t="n"/>
      <c r="M316" s="2" t="n"/>
      <c r="N316" s="2">
        <f>'QBO Transactions'!$Y318</f>
        <v/>
      </c>
      <c r="O316" s="2" t="n"/>
      <c r="P316" s="2" t="n"/>
      <c r="Q316" s="2">
        <f>'QBO Transactions'!$T318</f>
        <v/>
      </c>
      <c r="R316" s="2" t="n"/>
      <c r="S316" s="2" t="n"/>
      <c r="T316" s="2" t="n"/>
      <c r="U316" s="2" t="n"/>
      <c r="V316" s="2" t="n"/>
      <c r="W316" s="2" t="n"/>
      <c r="X316" s="2">
        <f>Q316</f>
        <v/>
      </c>
      <c r="Y316" s="4">
        <f>'QBO Transactions'!$Q318</f>
        <v/>
      </c>
      <c r="Z316" s="2" t="n"/>
      <c r="AA316" s="2" t="n"/>
      <c r="AB316" s="2" t="n"/>
      <c r="AC316" s="2" t="n"/>
      <c r="AD316" s="2" t="n"/>
      <c r="AE316" s="2" t="n"/>
    </row>
    <row r="317" ht="12.75" customHeight="1" s="52">
      <c r="A317" s="2" t="n"/>
      <c r="B317" s="2">
        <f>'QBO Transactions'!$U319</f>
        <v/>
      </c>
      <c r="C317" s="3">
        <f>'QBO Transactions'!$S319</f>
        <v/>
      </c>
      <c r="D317" s="2">
        <f>'QBO Transactions'!$R319</f>
        <v/>
      </c>
      <c r="E317" s="2" t="n"/>
      <c r="F317" s="3">
        <f>'QBO Transactions'!$X319</f>
        <v/>
      </c>
      <c r="G317" s="2" t="n"/>
      <c r="H317" s="2" t="n"/>
      <c r="I317" s="2" t="n"/>
      <c r="J317" s="2" t="n"/>
      <c r="K317" s="2" t="n"/>
      <c r="L317" s="2" t="n"/>
      <c r="M317" s="2" t="n"/>
      <c r="N317" s="2">
        <f>'QBO Transactions'!$Y319</f>
        <v/>
      </c>
      <c r="O317" s="2" t="n"/>
      <c r="P317" s="2" t="n"/>
      <c r="Q317" s="2">
        <f>'QBO Transactions'!$T319</f>
        <v/>
      </c>
      <c r="R317" s="2" t="n"/>
      <c r="S317" s="2" t="n"/>
      <c r="T317" s="2" t="n"/>
      <c r="U317" s="2" t="n"/>
      <c r="V317" s="2" t="n"/>
      <c r="W317" s="2" t="n"/>
      <c r="X317" s="2">
        <f>Q317</f>
        <v/>
      </c>
      <c r="Y317" s="4">
        <f>'QBO Transactions'!$Q319</f>
        <v/>
      </c>
      <c r="Z317" s="2" t="n"/>
      <c r="AA317" s="2" t="n"/>
      <c r="AB317" s="2" t="n"/>
      <c r="AC317" s="2" t="n"/>
      <c r="AD317" s="2" t="n"/>
      <c r="AE317" s="2" t="n"/>
    </row>
    <row r="318" ht="12.75" customHeight="1" s="52">
      <c r="A318" s="2" t="n"/>
      <c r="B318" s="2">
        <f>'QBO Transactions'!$U320</f>
        <v/>
      </c>
      <c r="C318" s="3">
        <f>'QBO Transactions'!$S320</f>
        <v/>
      </c>
      <c r="D318" s="2">
        <f>'QBO Transactions'!$R320</f>
        <v/>
      </c>
      <c r="E318" s="2" t="n"/>
      <c r="F318" s="3">
        <f>'QBO Transactions'!$X320</f>
        <v/>
      </c>
      <c r="G318" s="2" t="n"/>
      <c r="H318" s="2" t="n"/>
      <c r="I318" s="2" t="n"/>
      <c r="J318" s="2" t="n"/>
      <c r="K318" s="2" t="n"/>
      <c r="L318" s="2" t="n"/>
      <c r="M318" s="2" t="n"/>
      <c r="N318" s="2">
        <f>'QBO Transactions'!$Y320</f>
        <v/>
      </c>
      <c r="O318" s="2" t="n"/>
      <c r="P318" s="2" t="n"/>
      <c r="Q318" s="2">
        <f>'QBO Transactions'!$T320</f>
        <v/>
      </c>
      <c r="R318" s="2" t="n"/>
      <c r="S318" s="2" t="n"/>
      <c r="T318" s="2" t="n"/>
      <c r="U318" s="2" t="n"/>
      <c r="V318" s="2" t="n"/>
      <c r="W318" s="2" t="n"/>
      <c r="X318" s="2">
        <f>Q318</f>
        <v/>
      </c>
      <c r="Y318" s="4">
        <f>'QBO Transactions'!$Q320</f>
        <v/>
      </c>
      <c r="Z318" s="2" t="n"/>
      <c r="AA318" s="2" t="n"/>
      <c r="AB318" s="2" t="n"/>
      <c r="AC318" s="2" t="n"/>
      <c r="AD318" s="2" t="n"/>
      <c r="AE318" s="2" t="n"/>
    </row>
    <row r="319" ht="12.75" customHeight="1" s="52">
      <c r="A319" s="2" t="n"/>
      <c r="B319" s="2">
        <f>'QBO Transactions'!$U321</f>
        <v/>
      </c>
      <c r="C319" s="3">
        <f>'QBO Transactions'!$S321</f>
        <v/>
      </c>
      <c r="D319" s="2">
        <f>'QBO Transactions'!$R321</f>
        <v/>
      </c>
      <c r="E319" s="2" t="n"/>
      <c r="F319" s="3">
        <f>'QBO Transactions'!$X321</f>
        <v/>
      </c>
      <c r="G319" s="2" t="n"/>
      <c r="H319" s="2" t="n"/>
      <c r="I319" s="2" t="n"/>
      <c r="J319" s="2" t="n"/>
      <c r="K319" s="2" t="n"/>
      <c r="L319" s="2" t="n"/>
      <c r="M319" s="2" t="n"/>
      <c r="N319" s="2">
        <f>'QBO Transactions'!$Y321</f>
        <v/>
      </c>
      <c r="O319" s="2" t="n"/>
      <c r="P319" s="2" t="n"/>
      <c r="Q319" s="2">
        <f>'QBO Transactions'!$T321</f>
        <v/>
      </c>
      <c r="R319" s="2" t="n"/>
      <c r="S319" s="2" t="n"/>
      <c r="T319" s="2" t="n"/>
      <c r="U319" s="2" t="n"/>
      <c r="V319" s="2" t="n"/>
      <c r="W319" s="2" t="n"/>
      <c r="X319" s="2">
        <f>Q319</f>
        <v/>
      </c>
      <c r="Y319" s="4">
        <f>'QBO Transactions'!$Q321</f>
        <v/>
      </c>
      <c r="Z319" s="2" t="n"/>
      <c r="AA319" s="2" t="n"/>
      <c r="AB319" s="2" t="n"/>
      <c r="AC319" s="2" t="n"/>
      <c r="AD319" s="2" t="n"/>
      <c r="AE319" s="2" t="n"/>
    </row>
    <row r="320" ht="12.75" customHeight="1" s="52">
      <c r="A320" s="2" t="n"/>
      <c r="B320" s="2">
        <f>'QBO Transactions'!$U322</f>
        <v/>
      </c>
      <c r="C320" s="3">
        <f>'QBO Transactions'!$S322</f>
        <v/>
      </c>
      <c r="D320" s="2">
        <f>'QBO Transactions'!$R322</f>
        <v/>
      </c>
      <c r="E320" s="2" t="n"/>
      <c r="F320" s="3">
        <f>'QBO Transactions'!$X322</f>
        <v/>
      </c>
      <c r="G320" s="2" t="n"/>
      <c r="H320" s="2" t="n"/>
      <c r="I320" s="2" t="n"/>
      <c r="J320" s="2" t="n"/>
      <c r="K320" s="2" t="n"/>
      <c r="L320" s="2" t="n"/>
      <c r="M320" s="2" t="n"/>
      <c r="N320" s="2">
        <f>'QBO Transactions'!$Y322</f>
        <v/>
      </c>
      <c r="O320" s="2" t="n"/>
      <c r="P320" s="2" t="n"/>
      <c r="Q320" s="2">
        <f>'QBO Transactions'!$T322</f>
        <v/>
      </c>
      <c r="R320" s="2" t="n"/>
      <c r="S320" s="2" t="n"/>
      <c r="T320" s="2" t="n"/>
      <c r="U320" s="2" t="n"/>
      <c r="V320" s="2" t="n"/>
      <c r="W320" s="2" t="n"/>
      <c r="X320" s="2">
        <f>Q320</f>
        <v/>
      </c>
      <c r="Y320" s="4">
        <f>'QBO Transactions'!$Q322</f>
        <v/>
      </c>
      <c r="Z320" s="2" t="n"/>
      <c r="AA320" s="2" t="n"/>
      <c r="AB320" s="2" t="n"/>
      <c r="AC320" s="2" t="n"/>
      <c r="AD320" s="2" t="n"/>
      <c r="AE320" s="2" t="n"/>
    </row>
    <row r="321" ht="12.75" customHeight="1" s="52">
      <c r="A321" s="2" t="n"/>
      <c r="B321" s="2">
        <f>'QBO Transactions'!$U323</f>
        <v/>
      </c>
      <c r="C321" s="3">
        <f>'QBO Transactions'!$S323</f>
        <v/>
      </c>
      <c r="D321" s="2">
        <f>'QBO Transactions'!$R323</f>
        <v/>
      </c>
      <c r="E321" s="2" t="n"/>
      <c r="F321" s="3">
        <f>'QBO Transactions'!$X323</f>
        <v/>
      </c>
      <c r="G321" s="2" t="n"/>
      <c r="H321" s="2" t="n"/>
      <c r="I321" s="2" t="n"/>
      <c r="J321" s="2" t="n"/>
      <c r="K321" s="2" t="n"/>
      <c r="L321" s="2" t="n"/>
      <c r="M321" s="2" t="n"/>
      <c r="N321" s="2">
        <f>'QBO Transactions'!$Y323</f>
        <v/>
      </c>
      <c r="O321" s="2" t="n"/>
      <c r="P321" s="2" t="n"/>
      <c r="Q321" s="2">
        <f>'QBO Transactions'!$T323</f>
        <v/>
      </c>
      <c r="R321" s="2" t="n"/>
      <c r="S321" s="2" t="n"/>
      <c r="T321" s="2" t="n"/>
      <c r="U321" s="2" t="n"/>
      <c r="V321" s="2" t="n"/>
      <c r="W321" s="2" t="n"/>
      <c r="X321" s="2">
        <f>Q321</f>
        <v/>
      </c>
      <c r="Y321" s="4">
        <f>'QBO Transactions'!$Q323</f>
        <v/>
      </c>
      <c r="Z321" s="2" t="n"/>
      <c r="AA321" s="2" t="n"/>
      <c r="AB321" s="2" t="n"/>
      <c r="AC321" s="2" t="n"/>
      <c r="AD321" s="2" t="n"/>
      <c r="AE321" s="2" t="n"/>
    </row>
    <row r="322" ht="12.75" customHeight="1" s="52">
      <c r="A322" s="2" t="n"/>
      <c r="B322" s="2">
        <f>'QBO Transactions'!$U324</f>
        <v/>
      </c>
      <c r="C322" s="3">
        <f>'QBO Transactions'!$S324</f>
        <v/>
      </c>
      <c r="D322" s="2">
        <f>'QBO Transactions'!$R324</f>
        <v/>
      </c>
      <c r="E322" s="2" t="n"/>
      <c r="F322" s="3">
        <f>'QBO Transactions'!$X324</f>
        <v/>
      </c>
      <c r="G322" s="2" t="n"/>
      <c r="H322" s="2" t="n"/>
      <c r="I322" s="2" t="n"/>
      <c r="J322" s="2" t="n"/>
      <c r="K322" s="2" t="n"/>
      <c r="L322" s="2" t="n"/>
      <c r="M322" s="2" t="n"/>
      <c r="N322" s="2">
        <f>'QBO Transactions'!$Y324</f>
        <v/>
      </c>
      <c r="O322" s="2" t="n"/>
      <c r="P322" s="2" t="n"/>
      <c r="Q322" s="2">
        <f>'QBO Transactions'!$T324</f>
        <v/>
      </c>
      <c r="R322" s="2" t="n"/>
      <c r="S322" s="2" t="n"/>
      <c r="T322" s="2" t="n"/>
      <c r="U322" s="2" t="n"/>
      <c r="V322" s="2" t="n"/>
      <c r="W322" s="2" t="n"/>
      <c r="X322" s="2">
        <f>Q322</f>
        <v/>
      </c>
      <c r="Y322" s="4">
        <f>'QBO Transactions'!$Q324</f>
        <v/>
      </c>
      <c r="Z322" s="2" t="n"/>
      <c r="AA322" s="2" t="n"/>
      <c r="AB322" s="2" t="n"/>
      <c r="AC322" s="2" t="n"/>
      <c r="AD322" s="2" t="n"/>
      <c r="AE322" s="2" t="n"/>
    </row>
    <row r="323" ht="12.75" customHeight="1" s="52">
      <c r="A323" s="2" t="n"/>
      <c r="B323" s="2">
        <f>'QBO Transactions'!$U325</f>
        <v/>
      </c>
      <c r="C323" s="3">
        <f>'QBO Transactions'!$S325</f>
        <v/>
      </c>
      <c r="D323" s="2">
        <f>'QBO Transactions'!$R325</f>
        <v/>
      </c>
      <c r="E323" s="2" t="n"/>
      <c r="F323" s="3">
        <f>'QBO Transactions'!$X325</f>
        <v/>
      </c>
      <c r="G323" s="2" t="n"/>
      <c r="H323" s="2" t="n"/>
      <c r="I323" s="2" t="n"/>
      <c r="J323" s="2" t="n"/>
      <c r="K323" s="2" t="n"/>
      <c r="L323" s="2" t="n"/>
      <c r="M323" s="2" t="n"/>
      <c r="N323" s="2">
        <f>'QBO Transactions'!$Y325</f>
        <v/>
      </c>
      <c r="O323" s="2" t="n"/>
      <c r="P323" s="2" t="n"/>
      <c r="Q323" s="2">
        <f>'QBO Transactions'!$T325</f>
        <v/>
      </c>
      <c r="R323" s="2" t="n"/>
      <c r="S323" s="2" t="n"/>
      <c r="T323" s="2" t="n"/>
      <c r="U323" s="2" t="n"/>
      <c r="V323" s="2" t="n"/>
      <c r="W323" s="2" t="n"/>
      <c r="X323" s="2">
        <f>Q323</f>
        <v/>
      </c>
      <c r="Y323" s="4">
        <f>'QBO Transactions'!$Q325</f>
        <v/>
      </c>
      <c r="Z323" s="2" t="n"/>
      <c r="AA323" s="2" t="n"/>
      <c r="AB323" s="2" t="n"/>
      <c r="AC323" s="2" t="n"/>
      <c r="AD323" s="2" t="n"/>
      <c r="AE323" s="2" t="n"/>
    </row>
    <row r="324" ht="12.75" customHeight="1" s="52">
      <c r="A324" s="2" t="n"/>
      <c r="B324" s="2">
        <f>'QBO Transactions'!$U326</f>
        <v/>
      </c>
      <c r="C324" s="3">
        <f>'QBO Transactions'!$S326</f>
        <v/>
      </c>
      <c r="D324" s="2">
        <f>'QBO Transactions'!$R326</f>
        <v/>
      </c>
      <c r="E324" s="2" t="n"/>
      <c r="F324" s="3">
        <f>'QBO Transactions'!$X326</f>
        <v/>
      </c>
      <c r="G324" s="2" t="n"/>
      <c r="H324" s="2" t="n"/>
      <c r="I324" s="2" t="n"/>
      <c r="J324" s="2" t="n"/>
      <c r="K324" s="2" t="n"/>
      <c r="L324" s="2" t="n"/>
      <c r="M324" s="2" t="n"/>
      <c r="N324" s="2">
        <f>'QBO Transactions'!$Y326</f>
        <v/>
      </c>
      <c r="O324" s="2" t="n"/>
      <c r="P324" s="2" t="n"/>
      <c r="Q324" s="2">
        <f>'QBO Transactions'!$T326</f>
        <v/>
      </c>
      <c r="R324" s="2" t="n"/>
      <c r="S324" s="2" t="n"/>
      <c r="T324" s="2" t="n"/>
      <c r="U324" s="2" t="n"/>
      <c r="V324" s="2" t="n"/>
      <c r="W324" s="2" t="n"/>
      <c r="X324" s="2">
        <f>Q324</f>
        <v/>
      </c>
      <c r="Y324" s="4">
        <f>'QBO Transactions'!$Q326</f>
        <v/>
      </c>
      <c r="Z324" s="2" t="n"/>
      <c r="AA324" s="2" t="n"/>
      <c r="AB324" s="2" t="n"/>
      <c r="AC324" s="2" t="n"/>
      <c r="AD324" s="2" t="n"/>
      <c r="AE324" s="2" t="n"/>
    </row>
    <row r="325" ht="12.75" customHeight="1" s="52">
      <c r="A325" s="2" t="n"/>
      <c r="B325" s="2">
        <f>'QBO Transactions'!$U327</f>
        <v/>
      </c>
      <c r="C325" s="3">
        <f>'QBO Transactions'!$S327</f>
        <v/>
      </c>
      <c r="D325" s="2">
        <f>'QBO Transactions'!$R327</f>
        <v/>
      </c>
      <c r="E325" s="2" t="n"/>
      <c r="F325" s="3">
        <f>'QBO Transactions'!$X327</f>
        <v/>
      </c>
      <c r="G325" s="2" t="n"/>
      <c r="H325" s="2" t="n"/>
      <c r="I325" s="2" t="n"/>
      <c r="J325" s="2" t="n"/>
      <c r="K325" s="2" t="n"/>
      <c r="L325" s="2" t="n"/>
      <c r="M325" s="2" t="n"/>
      <c r="N325" s="2">
        <f>'QBO Transactions'!$Y327</f>
        <v/>
      </c>
      <c r="O325" s="2" t="n"/>
      <c r="P325" s="2" t="n"/>
      <c r="Q325" s="2">
        <f>'QBO Transactions'!$T327</f>
        <v/>
      </c>
      <c r="R325" s="2" t="n"/>
      <c r="S325" s="2" t="n"/>
      <c r="T325" s="2" t="n"/>
      <c r="U325" s="2" t="n"/>
      <c r="V325" s="2" t="n"/>
      <c r="W325" s="2" t="n"/>
      <c r="X325" s="2">
        <f>Q325</f>
        <v/>
      </c>
      <c r="Y325" s="4">
        <f>'QBO Transactions'!$Q327</f>
        <v/>
      </c>
      <c r="Z325" s="2" t="n"/>
      <c r="AA325" s="2" t="n"/>
      <c r="AB325" s="2" t="n"/>
      <c r="AC325" s="2" t="n"/>
      <c r="AD325" s="2" t="n"/>
      <c r="AE325" s="2" t="n"/>
    </row>
    <row r="326" ht="12.75" customHeight="1" s="52">
      <c r="A326" s="2" t="n"/>
      <c r="B326" s="2">
        <f>'QBO Transactions'!$U328</f>
        <v/>
      </c>
      <c r="C326" s="3">
        <f>'QBO Transactions'!$S328</f>
        <v/>
      </c>
      <c r="D326" s="2">
        <f>'QBO Transactions'!$R328</f>
        <v/>
      </c>
      <c r="E326" s="2" t="n"/>
      <c r="F326" s="3">
        <f>'QBO Transactions'!$X328</f>
        <v/>
      </c>
      <c r="G326" s="2" t="n"/>
      <c r="H326" s="2" t="n"/>
      <c r="I326" s="2" t="n"/>
      <c r="J326" s="2" t="n"/>
      <c r="K326" s="2" t="n"/>
      <c r="L326" s="2" t="n"/>
      <c r="M326" s="2" t="n"/>
      <c r="N326" s="2">
        <f>'QBO Transactions'!$Y328</f>
        <v/>
      </c>
      <c r="O326" s="2" t="n"/>
      <c r="P326" s="2" t="n"/>
      <c r="Q326" s="2">
        <f>'QBO Transactions'!$T328</f>
        <v/>
      </c>
      <c r="R326" s="2" t="n"/>
      <c r="S326" s="2" t="n"/>
      <c r="T326" s="2" t="n"/>
      <c r="U326" s="2" t="n"/>
      <c r="V326" s="2" t="n"/>
      <c r="W326" s="2" t="n"/>
      <c r="X326" s="2">
        <f>Q326</f>
        <v/>
      </c>
      <c r="Y326" s="4">
        <f>'QBO Transactions'!$Q328</f>
        <v/>
      </c>
      <c r="Z326" s="2" t="n"/>
      <c r="AA326" s="2" t="n"/>
      <c r="AB326" s="2" t="n"/>
      <c r="AC326" s="2" t="n"/>
      <c r="AD326" s="2" t="n"/>
      <c r="AE326" s="2" t="n"/>
    </row>
    <row r="327" ht="12.75" customHeight="1" s="52">
      <c r="A327" s="2" t="n"/>
      <c r="B327" s="2">
        <f>'QBO Transactions'!$U329</f>
        <v/>
      </c>
      <c r="C327" s="3">
        <f>'QBO Transactions'!$S329</f>
        <v/>
      </c>
      <c r="D327" s="2">
        <f>'QBO Transactions'!$R329</f>
        <v/>
      </c>
      <c r="E327" s="2" t="n"/>
      <c r="F327" s="3">
        <f>'QBO Transactions'!$X329</f>
        <v/>
      </c>
      <c r="G327" s="2" t="n"/>
      <c r="H327" s="2" t="n"/>
      <c r="I327" s="2" t="n"/>
      <c r="J327" s="2" t="n"/>
      <c r="K327" s="2" t="n"/>
      <c r="L327" s="2" t="n"/>
      <c r="M327" s="2" t="n"/>
      <c r="N327" s="2">
        <f>'QBO Transactions'!$Y329</f>
        <v/>
      </c>
      <c r="O327" s="2" t="n"/>
      <c r="P327" s="2" t="n"/>
      <c r="Q327" s="2">
        <f>'QBO Transactions'!$T329</f>
        <v/>
      </c>
      <c r="R327" s="2" t="n"/>
      <c r="S327" s="2" t="n"/>
      <c r="T327" s="2" t="n"/>
      <c r="U327" s="2" t="n"/>
      <c r="V327" s="2" t="n"/>
      <c r="W327" s="2" t="n"/>
      <c r="X327" s="2">
        <f>Q327</f>
        <v/>
      </c>
      <c r="Y327" s="4">
        <f>'QBO Transactions'!$Q329</f>
        <v/>
      </c>
      <c r="Z327" s="2" t="n"/>
      <c r="AA327" s="2" t="n"/>
      <c r="AB327" s="2" t="n"/>
      <c r="AC327" s="2" t="n"/>
      <c r="AD327" s="2" t="n"/>
      <c r="AE327" s="2" t="n"/>
    </row>
    <row r="328" ht="12.75" customHeight="1" s="52">
      <c r="A328" s="2" t="n"/>
      <c r="B328" s="2">
        <f>'QBO Transactions'!$U330</f>
        <v/>
      </c>
      <c r="C328" s="3">
        <f>'QBO Transactions'!$S330</f>
        <v/>
      </c>
      <c r="D328" s="2">
        <f>'QBO Transactions'!$R330</f>
        <v/>
      </c>
      <c r="E328" s="2" t="n"/>
      <c r="F328" s="3">
        <f>'QBO Transactions'!$X330</f>
        <v/>
      </c>
      <c r="G328" s="2" t="n"/>
      <c r="H328" s="2" t="n"/>
      <c r="I328" s="2" t="n"/>
      <c r="J328" s="2" t="n"/>
      <c r="K328" s="2" t="n"/>
      <c r="L328" s="2" t="n"/>
      <c r="M328" s="2" t="n"/>
      <c r="N328" s="2">
        <f>'QBO Transactions'!$Y330</f>
        <v/>
      </c>
      <c r="O328" s="2" t="n"/>
      <c r="P328" s="2" t="n"/>
      <c r="Q328" s="2">
        <f>'QBO Transactions'!$T330</f>
        <v/>
      </c>
      <c r="R328" s="2" t="n"/>
      <c r="S328" s="2" t="n"/>
      <c r="T328" s="2" t="n"/>
      <c r="U328" s="2" t="n"/>
      <c r="V328" s="2" t="n"/>
      <c r="W328" s="2" t="n"/>
      <c r="X328" s="2">
        <f>Q328</f>
        <v/>
      </c>
      <c r="Y328" s="4">
        <f>'QBO Transactions'!$Q330</f>
        <v/>
      </c>
      <c r="Z328" s="2" t="n"/>
      <c r="AA328" s="2" t="n"/>
      <c r="AB328" s="2" t="n"/>
      <c r="AC328" s="2" t="n"/>
      <c r="AD328" s="2" t="n"/>
      <c r="AE328" s="2" t="n"/>
    </row>
    <row r="329" ht="12.75" customHeight="1" s="52">
      <c r="A329" s="2" t="n"/>
      <c r="B329" s="2">
        <f>'QBO Transactions'!$U331</f>
        <v/>
      </c>
      <c r="C329" s="3">
        <f>'QBO Transactions'!$S331</f>
        <v/>
      </c>
      <c r="D329" s="2">
        <f>'QBO Transactions'!$R331</f>
        <v/>
      </c>
      <c r="E329" s="2" t="n"/>
      <c r="F329" s="3">
        <f>'QBO Transactions'!$X331</f>
        <v/>
      </c>
      <c r="G329" s="2" t="n"/>
      <c r="H329" s="2" t="n"/>
      <c r="I329" s="2" t="n"/>
      <c r="J329" s="2" t="n"/>
      <c r="K329" s="2" t="n"/>
      <c r="L329" s="2" t="n"/>
      <c r="M329" s="2" t="n"/>
      <c r="N329" s="2">
        <f>'QBO Transactions'!$Y331</f>
        <v/>
      </c>
      <c r="O329" s="2" t="n"/>
      <c r="P329" s="2" t="n"/>
      <c r="Q329" s="2">
        <f>'QBO Transactions'!$T331</f>
        <v/>
      </c>
      <c r="R329" s="2" t="n"/>
      <c r="S329" s="2" t="n"/>
      <c r="T329" s="2" t="n"/>
      <c r="U329" s="2" t="n"/>
      <c r="V329" s="2" t="n"/>
      <c r="W329" s="2" t="n"/>
      <c r="X329" s="2">
        <f>Q329</f>
        <v/>
      </c>
      <c r="Y329" s="4">
        <f>'QBO Transactions'!$Q331</f>
        <v/>
      </c>
      <c r="Z329" s="2" t="n"/>
      <c r="AA329" s="2" t="n"/>
      <c r="AB329" s="2" t="n"/>
      <c r="AC329" s="2" t="n"/>
      <c r="AD329" s="2" t="n"/>
      <c r="AE329" s="2" t="n"/>
    </row>
    <row r="330" ht="12.75" customHeight="1" s="52">
      <c r="A330" s="2" t="n"/>
      <c r="B330" s="2">
        <f>'QBO Transactions'!$U332</f>
        <v/>
      </c>
      <c r="C330" s="3">
        <f>'QBO Transactions'!$S332</f>
        <v/>
      </c>
      <c r="D330" s="2">
        <f>'QBO Transactions'!$R332</f>
        <v/>
      </c>
      <c r="E330" s="2" t="n"/>
      <c r="F330" s="3">
        <f>'QBO Transactions'!$X332</f>
        <v/>
      </c>
      <c r="G330" s="2" t="n"/>
      <c r="H330" s="2" t="n"/>
      <c r="I330" s="2" t="n"/>
      <c r="J330" s="2" t="n"/>
      <c r="K330" s="2" t="n"/>
      <c r="L330" s="2" t="n"/>
      <c r="M330" s="2" t="n"/>
      <c r="N330" s="2">
        <f>'QBO Transactions'!$Y332</f>
        <v/>
      </c>
      <c r="O330" s="2" t="n"/>
      <c r="P330" s="2" t="n"/>
      <c r="Q330" s="2">
        <f>'QBO Transactions'!$T332</f>
        <v/>
      </c>
      <c r="R330" s="2" t="n"/>
      <c r="S330" s="2" t="n"/>
      <c r="T330" s="2" t="n"/>
      <c r="U330" s="2" t="n"/>
      <c r="V330" s="2" t="n"/>
      <c r="W330" s="2" t="n"/>
      <c r="X330" s="2">
        <f>Q330</f>
        <v/>
      </c>
      <c r="Y330" s="4">
        <f>'QBO Transactions'!$Q332</f>
        <v/>
      </c>
      <c r="Z330" s="2" t="n"/>
      <c r="AA330" s="2" t="n"/>
      <c r="AB330" s="2" t="n"/>
      <c r="AC330" s="2" t="n"/>
      <c r="AD330" s="2" t="n"/>
      <c r="AE330" s="2" t="n"/>
    </row>
    <row r="331" ht="12.75" customHeight="1" s="52">
      <c r="A331" s="2" t="n"/>
      <c r="B331" s="2">
        <f>'QBO Transactions'!$U333</f>
        <v/>
      </c>
      <c r="C331" s="3">
        <f>'QBO Transactions'!$S333</f>
        <v/>
      </c>
      <c r="D331" s="2">
        <f>'QBO Transactions'!$R333</f>
        <v/>
      </c>
      <c r="E331" s="2" t="n"/>
      <c r="F331" s="3">
        <f>'QBO Transactions'!$X333</f>
        <v/>
      </c>
      <c r="G331" s="2" t="n"/>
      <c r="H331" s="2" t="n"/>
      <c r="I331" s="2" t="n"/>
      <c r="J331" s="2" t="n"/>
      <c r="K331" s="2" t="n"/>
      <c r="L331" s="2" t="n"/>
      <c r="M331" s="2" t="n"/>
      <c r="N331" s="2">
        <f>'QBO Transactions'!$Y333</f>
        <v/>
      </c>
      <c r="O331" s="2" t="n"/>
      <c r="P331" s="2" t="n"/>
      <c r="Q331" s="2">
        <f>'QBO Transactions'!$T333</f>
        <v/>
      </c>
      <c r="R331" s="2" t="n"/>
      <c r="S331" s="2" t="n"/>
      <c r="T331" s="2" t="n"/>
      <c r="U331" s="2" t="n"/>
      <c r="V331" s="2" t="n"/>
      <c r="W331" s="2" t="n"/>
      <c r="X331" s="2">
        <f>Q331</f>
        <v/>
      </c>
      <c r="Y331" s="4">
        <f>'QBO Transactions'!$Q333</f>
        <v/>
      </c>
      <c r="Z331" s="2" t="n"/>
      <c r="AA331" s="2" t="n"/>
      <c r="AB331" s="2" t="n"/>
      <c r="AC331" s="2" t="n"/>
      <c r="AD331" s="2" t="n"/>
      <c r="AE331" s="2" t="n"/>
    </row>
    <row r="332" ht="12.75" customHeight="1" s="52">
      <c r="A332" s="2" t="n"/>
      <c r="B332" s="2">
        <f>'QBO Transactions'!$U334</f>
        <v/>
      </c>
      <c r="C332" s="3">
        <f>'QBO Transactions'!$S334</f>
        <v/>
      </c>
      <c r="D332" s="2">
        <f>'QBO Transactions'!$R334</f>
        <v/>
      </c>
      <c r="E332" s="2" t="n"/>
      <c r="F332" s="3">
        <f>'QBO Transactions'!$X334</f>
        <v/>
      </c>
      <c r="G332" s="2" t="n"/>
      <c r="H332" s="2" t="n"/>
      <c r="I332" s="2" t="n"/>
      <c r="J332" s="2" t="n"/>
      <c r="K332" s="2" t="n"/>
      <c r="L332" s="2" t="n"/>
      <c r="M332" s="2" t="n"/>
      <c r="N332" s="2">
        <f>'QBO Transactions'!$Y334</f>
        <v/>
      </c>
      <c r="O332" s="2" t="n"/>
      <c r="P332" s="2" t="n"/>
      <c r="Q332" s="2">
        <f>'QBO Transactions'!$T334</f>
        <v/>
      </c>
      <c r="R332" s="2" t="n"/>
      <c r="S332" s="2" t="n"/>
      <c r="T332" s="2" t="n"/>
      <c r="U332" s="2" t="n"/>
      <c r="V332" s="2" t="n"/>
      <c r="W332" s="2" t="n"/>
      <c r="X332" s="2">
        <f>Q332</f>
        <v/>
      </c>
      <c r="Y332" s="4">
        <f>'QBO Transactions'!$Q334</f>
        <v/>
      </c>
      <c r="Z332" s="2" t="n"/>
      <c r="AA332" s="2" t="n"/>
      <c r="AB332" s="2" t="n"/>
      <c r="AC332" s="2" t="n"/>
      <c r="AD332" s="2" t="n"/>
      <c r="AE332" s="2" t="n"/>
    </row>
    <row r="333" ht="12.75" customHeight="1" s="52">
      <c r="A333" s="2" t="n"/>
      <c r="B333" s="2">
        <f>'QBO Transactions'!$U335</f>
        <v/>
      </c>
      <c r="C333" s="3">
        <f>'QBO Transactions'!$S335</f>
        <v/>
      </c>
      <c r="D333" s="2">
        <f>'QBO Transactions'!$R335</f>
        <v/>
      </c>
      <c r="E333" s="2" t="n"/>
      <c r="F333" s="3">
        <f>'QBO Transactions'!$X335</f>
        <v/>
      </c>
      <c r="G333" s="2" t="n"/>
      <c r="H333" s="2" t="n"/>
      <c r="I333" s="2" t="n"/>
      <c r="J333" s="2" t="n"/>
      <c r="K333" s="2" t="n"/>
      <c r="L333" s="2" t="n"/>
      <c r="M333" s="2" t="n"/>
      <c r="N333" s="2">
        <f>'QBO Transactions'!$Y335</f>
        <v/>
      </c>
      <c r="O333" s="2" t="n"/>
      <c r="P333" s="2" t="n"/>
      <c r="Q333" s="2">
        <f>'QBO Transactions'!$T335</f>
        <v/>
      </c>
      <c r="R333" s="2" t="n"/>
      <c r="S333" s="2" t="n"/>
      <c r="T333" s="2" t="n"/>
      <c r="U333" s="2" t="n"/>
      <c r="V333" s="2" t="n"/>
      <c r="W333" s="2" t="n"/>
      <c r="X333" s="2">
        <f>Q333</f>
        <v/>
      </c>
      <c r="Y333" s="4">
        <f>'QBO Transactions'!$Q335</f>
        <v/>
      </c>
      <c r="Z333" s="2" t="n"/>
      <c r="AA333" s="2" t="n"/>
      <c r="AB333" s="2" t="n"/>
      <c r="AC333" s="2" t="n"/>
      <c r="AD333" s="2" t="n"/>
      <c r="AE333" s="2" t="n"/>
    </row>
    <row r="334" ht="12.75" customHeight="1" s="52">
      <c r="A334" s="2" t="n"/>
      <c r="B334" s="2">
        <f>'QBO Transactions'!$U336</f>
        <v/>
      </c>
      <c r="C334" s="3">
        <f>'QBO Transactions'!$S336</f>
        <v/>
      </c>
      <c r="D334" s="2">
        <f>'QBO Transactions'!$R336</f>
        <v/>
      </c>
      <c r="E334" s="2" t="n"/>
      <c r="F334" s="3">
        <f>'QBO Transactions'!$X336</f>
        <v/>
      </c>
      <c r="G334" s="2" t="n"/>
      <c r="H334" s="2" t="n"/>
      <c r="I334" s="2" t="n"/>
      <c r="J334" s="2" t="n"/>
      <c r="K334" s="2" t="n"/>
      <c r="L334" s="2" t="n"/>
      <c r="M334" s="2" t="n"/>
      <c r="N334" s="2">
        <f>'QBO Transactions'!$Y336</f>
        <v/>
      </c>
      <c r="O334" s="2" t="n"/>
      <c r="P334" s="2" t="n"/>
      <c r="Q334" s="2">
        <f>'QBO Transactions'!$T336</f>
        <v/>
      </c>
      <c r="R334" s="2" t="n"/>
      <c r="S334" s="2" t="n"/>
      <c r="T334" s="2" t="n"/>
      <c r="U334" s="2" t="n"/>
      <c r="V334" s="2" t="n"/>
      <c r="W334" s="2" t="n"/>
      <c r="X334" s="2">
        <f>Q334</f>
        <v/>
      </c>
      <c r="Y334" s="4">
        <f>'QBO Transactions'!$Q336</f>
        <v/>
      </c>
      <c r="Z334" s="2" t="n"/>
      <c r="AA334" s="2" t="n"/>
      <c r="AB334" s="2" t="n"/>
      <c r="AC334" s="2" t="n"/>
      <c r="AD334" s="2" t="n"/>
      <c r="AE334" s="2" t="n"/>
    </row>
    <row r="335" ht="12.75" customHeight="1" s="52">
      <c r="A335" s="2" t="n"/>
      <c r="B335" s="2">
        <f>'QBO Transactions'!$U337</f>
        <v/>
      </c>
      <c r="C335" s="3">
        <f>'QBO Transactions'!$S337</f>
        <v/>
      </c>
      <c r="D335" s="2">
        <f>'QBO Transactions'!$R337</f>
        <v/>
      </c>
      <c r="E335" s="2" t="n"/>
      <c r="F335" s="3">
        <f>'QBO Transactions'!$X337</f>
        <v/>
      </c>
      <c r="G335" s="2" t="n"/>
      <c r="H335" s="2" t="n"/>
      <c r="I335" s="2" t="n"/>
      <c r="J335" s="2" t="n"/>
      <c r="K335" s="2" t="n"/>
      <c r="L335" s="2" t="n"/>
      <c r="M335" s="2" t="n"/>
      <c r="N335" s="2">
        <f>'QBO Transactions'!$Y337</f>
        <v/>
      </c>
      <c r="O335" s="2" t="n"/>
      <c r="P335" s="2" t="n"/>
      <c r="Q335" s="2">
        <f>'QBO Transactions'!$T337</f>
        <v/>
      </c>
      <c r="R335" s="2" t="n"/>
      <c r="S335" s="2" t="n"/>
      <c r="T335" s="2" t="n"/>
      <c r="U335" s="2" t="n"/>
      <c r="V335" s="2" t="n"/>
      <c r="W335" s="2" t="n"/>
      <c r="X335" s="2">
        <f>Q335</f>
        <v/>
      </c>
      <c r="Y335" s="4">
        <f>'QBO Transactions'!$Q337</f>
        <v/>
      </c>
      <c r="Z335" s="2" t="n"/>
      <c r="AA335" s="2" t="n"/>
      <c r="AB335" s="2" t="n"/>
      <c r="AC335" s="2" t="n"/>
      <c r="AD335" s="2" t="n"/>
      <c r="AE335" s="2" t="n"/>
    </row>
    <row r="336" ht="12.75" customHeight="1" s="52">
      <c r="A336" s="2" t="n"/>
      <c r="B336" s="2">
        <f>'QBO Transactions'!$U338</f>
        <v/>
      </c>
      <c r="C336" s="3">
        <f>'QBO Transactions'!$S338</f>
        <v/>
      </c>
      <c r="D336" s="2">
        <f>'QBO Transactions'!$R338</f>
        <v/>
      </c>
      <c r="E336" s="2" t="n"/>
      <c r="F336" s="3">
        <f>'QBO Transactions'!$X338</f>
        <v/>
      </c>
      <c r="G336" s="2" t="n"/>
      <c r="H336" s="2" t="n"/>
      <c r="I336" s="2" t="n"/>
      <c r="J336" s="2" t="n"/>
      <c r="K336" s="2" t="n"/>
      <c r="L336" s="2" t="n"/>
      <c r="M336" s="2" t="n"/>
      <c r="N336" s="2">
        <f>'QBO Transactions'!$Y338</f>
        <v/>
      </c>
      <c r="O336" s="2" t="n"/>
      <c r="P336" s="2" t="n"/>
      <c r="Q336" s="2">
        <f>'QBO Transactions'!$T338</f>
        <v/>
      </c>
      <c r="R336" s="2" t="n"/>
      <c r="S336" s="2" t="n"/>
      <c r="T336" s="2" t="n"/>
      <c r="U336" s="2" t="n"/>
      <c r="V336" s="2" t="n"/>
      <c r="W336" s="2" t="n"/>
      <c r="X336" s="2">
        <f>Q336</f>
        <v/>
      </c>
      <c r="Y336" s="4">
        <f>'QBO Transactions'!$Q338</f>
        <v/>
      </c>
      <c r="Z336" s="2" t="n"/>
      <c r="AA336" s="2" t="n"/>
      <c r="AB336" s="2" t="n"/>
      <c r="AC336" s="2" t="n"/>
      <c r="AD336" s="2" t="n"/>
      <c r="AE336" s="2" t="n"/>
    </row>
    <row r="337" ht="12.75" customHeight="1" s="52">
      <c r="A337" s="2" t="n"/>
      <c r="B337" s="2">
        <f>'QBO Transactions'!$U339</f>
        <v/>
      </c>
      <c r="C337" s="3">
        <f>'QBO Transactions'!$S339</f>
        <v/>
      </c>
      <c r="D337" s="2">
        <f>'QBO Transactions'!$R339</f>
        <v/>
      </c>
      <c r="E337" s="2" t="n"/>
      <c r="F337" s="3">
        <f>'QBO Transactions'!$X339</f>
        <v/>
      </c>
      <c r="G337" s="2" t="n"/>
      <c r="H337" s="2" t="n"/>
      <c r="I337" s="2" t="n"/>
      <c r="J337" s="2" t="n"/>
      <c r="K337" s="2" t="n"/>
      <c r="L337" s="2" t="n"/>
      <c r="M337" s="2" t="n"/>
      <c r="N337" s="2">
        <f>'QBO Transactions'!$Y339</f>
        <v/>
      </c>
      <c r="O337" s="2" t="n"/>
      <c r="P337" s="2" t="n"/>
      <c r="Q337" s="2">
        <f>'QBO Transactions'!$T339</f>
        <v/>
      </c>
      <c r="R337" s="2" t="n"/>
      <c r="S337" s="2" t="n"/>
      <c r="T337" s="2" t="n"/>
      <c r="U337" s="2" t="n"/>
      <c r="V337" s="2" t="n"/>
      <c r="W337" s="2" t="n"/>
      <c r="X337" s="2">
        <f>Q337</f>
        <v/>
      </c>
      <c r="Y337" s="4">
        <f>'QBO Transactions'!$Q339</f>
        <v/>
      </c>
      <c r="Z337" s="2" t="n"/>
      <c r="AA337" s="2" t="n"/>
      <c r="AB337" s="2" t="n"/>
      <c r="AC337" s="2" t="n"/>
      <c r="AD337" s="2" t="n"/>
      <c r="AE337" s="2" t="n"/>
    </row>
    <row r="338" ht="12.75" customHeight="1" s="52">
      <c r="A338" s="2" t="n"/>
      <c r="B338" s="2">
        <f>'QBO Transactions'!$U340</f>
        <v/>
      </c>
      <c r="C338" s="3">
        <f>'QBO Transactions'!$S340</f>
        <v/>
      </c>
      <c r="D338" s="2">
        <f>'QBO Transactions'!$R340</f>
        <v/>
      </c>
      <c r="E338" s="2" t="n"/>
      <c r="F338" s="3">
        <f>'QBO Transactions'!$X340</f>
        <v/>
      </c>
      <c r="G338" s="2" t="n"/>
      <c r="H338" s="2" t="n"/>
      <c r="I338" s="2" t="n"/>
      <c r="J338" s="2" t="n"/>
      <c r="K338" s="2" t="n"/>
      <c r="L338" s="2" t="n"/>
      <c r="M338" s="2" t="n"/>
      <c r="N338" s="2">
        <f>'QBO Transactions'!$Y340</f>
        <v/>
      </c>
      <c r="O338" s="2" t="n"/>
      <c r="P338" s="2" t="n"/>
      <c r="Q338" s="2">
        <f>'QBO Transactions'!$T340</f>
        <v/>
      </c>
      <c r="R338" s="2" t="n"/>
      <c r="S338" s="2" t="n"/>
      <c r="T338" s="2" t="n"/>
      <c r="U338" s="2" t="n"/>
      <c r="V338" s="2" t="n"/>
      <c r="W338" s="2" t="n"/>
      <c r="X338" s="2">
        <f>Q338</f>
        <v/>
      </c>
      <c r="Y338" s="4">
        <f>'QBO Transactions'!$Q340</f>
        <v/>
      </c>
      <c r="Z338" s="2" t="n"/>
      <c r="AA338" s="2" t="n"/>
      <c r="AB338" s="2" t="n"/>
      <c r="AC338" s="2" t="n"/>
      <c r="AD338" s="2" t="n"/>
      <c r="AE338" s="2" t="n"/>
    </row>
    <row r="339" ht="12.75" customHeight="1" s="52">
      <c r="A339" s="2" t="n"/>
      <c r="B339" s="2">
        <f>'QBO Transactions'!$U341</f>
        <v/>
      </c>
      <c r="C339" s="3">
        <f>'QBO Transactions'!$S341</f>
        <v/>
      </c>
      <c r="D339" s="2">
        <f>'QBO Transactions'!$R341</f>
        <v/>
      </c>
      <c r="E339" s="2" t="n"/>
      <c r="F339" s="3">
        <f>'QBO Transactions'!$X341</f>
        <v/>
      </c>
      <c r="G339" s="2" t="n"/>
      <c r="H339" s="2" t="n"/>
      <c r="I339" s="2" t="n"/>
      <c r="J339" s="2" t="n"/>
      <c r="K339" s="2" t="n"/>
      <c r="L339" s="2" t="n"/>
      <c r="M339" s="2" t="n"/>
      <c r="N339" s="2">
        <f>'QBO Transactions'!$Y341</f>
        <v/>
      </c>
      <c r="O339" s="2" t="n"/>
      <c r="P339" s="2" t="n"/>
      <c r="Q339" s="2">
        <f>'QBO Transactions'!$T341</f>
        <v/>
      </c>
      <c r="R339" s="2" t="n"/>
      <c r="S339" s="2" t="n"/>
      <c r="T339" s="2" t="n"/>
      <c r="U339" s="2" t="n"/>
      <c r="V339" s="2" t="n"/>
      <c r="W339" s="2" t="n"/>
      <c r="X339" s="2">
        <f>Q339</f>
        <v/>
      </c>
      <c r="Y339" s="4">
        <f>'QBO Transactions'!$Q341</f>
        <v/>
      </c>
      <c r="Z339" s="2" t="n"/>
      <c r="AA339" s="2" t="n"/>
      <c r="AB339" s="2" t="n"/>
      <c r="AC339" s="2" t="n"/>
      <c r="AD339" s="2" t="n"/>
      <c r="AE339" s="2" t="n"/>
    </row>
    <row r="340" ht="12.75" customHeight="1" s="52">
      <c r="A340" s="2" t="n"/>
      <c r="B340" s="2">
        <f>'QBO Transactions'!$U342</f>
        <v/>
      </c>
      <c r="C340" s="3">
        <f>'QBO Transactions'!$S342</f>
        <v/>
      </c>
      <c r="D340" s="2">
        <f>'QBO Transactions'!$R342</f>
        <v/>
      </c>
      <c r="E340" s="2" t="n"/>
      <c r="F340" s="3">
        <f>'QBO Transactions'!$X342</f>
        <v/>
      </c>
      <c r="G340" s="2" t="n"/>
      <c r="H340" s="2" t="n"/>
      <c r="I340" s="2" t="n"/>
      <c r="J340" s="2" t="n"/>
      <c r="K340" s="2" t="n"/>
      <c r="L340" s="2" t="n"/>
      <c r="M340" s="2" t="n"/>
      <c r="N340" s="2">
        <f>'QBO Transactions'!$Y342</f>
        <v/>
      </c>
      <c r="O340" s="2" t="n"/>
      <c r="P340" s="2" t="n"/>
      <c r="Q340" s="2">
        <f>'QBO Transactions'!$T342</f>
        <v/>
      </c>
      <c r="R340" s="2" t="n"/>
      <c r="S340" s="2" t="n"/>
      <c r="T340" s="2" t="n"/>
      <c r="U340" s="2" t="n"/>
      <c r="V340" s="2" t="n"/>
      <c r="W340" s="2" t="n"/>
      <c r="X340" s="2">
        <f>Q340</f>
        <v/>
      </c>
      <c r="Y340" s="4">
        <f>'QBO Transactions'!$Q342</f>
        <v/>
      </c>
      <c r="Z340" s="2" t="n"/>
      <c r="AA340" s="2" t="n"/>
      <c r="AB340" s="2" t="n"/>
      <c r="AC340" s="2" t="n"/>
      <c r="AD340" s="2" t="n"/>
      <c r="AE340" s="2" t="n"/>
    </row>
    <row r="341" ht="12.75" customHeight="1" s="52">
      <c r="A341" s="2" t="n"/>
      <c r="B341" s="2">
        <f>'QBO Transactions'!$U343</f>
        <v/>
      </c>
      <c r="C341" s="3">
        <f>'QBO Transactions'!$S343</f>
        <v/>
      </c>
      <c r="D341" s="2">
        <f>'QBO Transactions'!$R343</f>
        <v/>
      </c>
      <c r="E341" s="2" t="n"/>
      <c r="F341" s="3">
        <f>'QBO Transactions'!$X343</f>
        <v/>
      </c>
      <c r="G341" s="2" t="n"/>
      <c r="H341" s="2" t="n"/>
      <c r="I341" s="2" t="n"/>
      <c r="J341" s="2" t="n"/>
      <c r="K341" s="2" t="n"/>
      <c r="L341" s="2" t="n"/>
      <c r="M341" s="2" t="n"/>
      <c r="N341" s="2">
        <f>'QBO Transactions'!$Y343</f>
        <v/>
      </c>
      <c r="O341" s="2" t="n"/>
      <c r="P341" s="2" t="n"/>
      <c r="Q341" s="2">
        <f>'QBO Transactions'!$T343</f>
        <v/>
      </c>
      <c r="R341" s="2" t="n"/>
      <c r="S341" s="2" t="n"/>
      <c r="T341" s="2" t="n"/>
      <c r="U341" s="2" t="n"/>
      <c r="V341" s="2" t="n"/>
      <c r="W341" s="2" t="n"/>
      <c r="X341" s="2">
        <f>Q341</f>
        <v/>
      </c>
      <c r="Y341" s="4">
        <f>'QBO Transactions'!$Q343</f>
        <v/>
      </c>
      <c r="Z341" s="2" t="n"/>
      <c r="AA341" s="2" t="n"/>
      <c r="AB341" s="2" t="n"/>
      <c r="AC341" s="2" t="n"/>
      <c r="AD341" s="2" t="n"/>
      <c r="AE341" s="2" t="n"/>
    </row>
    <row r="342" ht="12.75" customHeight="1" s="52">
      <c r="A342" s="2" t="n"/>
      <c r="B342" s="2">
        <f>'QBO Transactions'!$U344</f>
        <v/>
      </c>
      <c r="C342" s="3">
        <f>'QBO Transactions'!$S344</f>
        <v/>
      </c>
      <c r="D342" s="2">
        <f>'QBO Transactions'!$R344</f>
        <v/>
      </c>
      <c r="E342" s="2" t="n"/>
      <c r="F342" s="3">
        <f>'QBO Transactions'!$X344</f>
        <v/>
      </c>
      <c r="G342" s="2" t="n"/>
      <c r="H342" s="2" t="n"/>
      <c r="I342" s="2" t="n"/>
      <c r="J342" s="2" t="n"/>
      <c r="K342" s="2" t="n"/>
      <c r="L342" s="2" t="n"/>
      <c r="M342" s="2" t="n"/>
      <c r="N342" s="2">
        <f>'QBO Transactions'!$Y344</f>
        <v/>
      </c>
      <c r="O342" s="2" t="n"/>
      <c r="P342" s="2" t="n"/>
      <c r="Q342" s="2">
        <f>'QBO Transactions'!$T344</f>
        <v/>
      </c>
      <c r="R342" s="2" t="n"/>
      <c r="S342" s="2" t="n"/>
      <c r="T342" s="2" t="n"/>
      <c r="U342" s="2" t="n"/>
      <c r="V342" s="2" t="n"/>
      <c r="W342" s="2" t="n"/>
      <c r="X342" s="2">
        <f>Q342</f>
        <v/>
      </c>
      <c r="Y342" s="4">
        <f>'QBO Transactions'!$Q344</f>
        <v/>
      </c>
      <c r="Z342" s="2" t="n"/>
      <c r="AA342" s="2" t="n"/>
      <c r="AB342" s="2" t="n"/>
      <c r="AC342" s="2" t="n"/>
      <c r="AD342" s="2" t="n"/>
      <c r="AE342" s="2" t="n"/>
    </row>
    <row r="343" ht="12.75" customHeight="1" s="52">
      <c r="A343" s="2" t="n"/>
      <c r="B343" s="2">
        <f>'QBO Transactions'!$U345</f>
        <v/>
      </c>
      <c r="C343" s="3">
        <f>'QBO Transactions'!$S345</f>
        <v/>
      </c>
      <c r="D343" s="2">
        <f>'QBO Transactions'!$R345</f>
        <v/>
      </c>
      <c r="E343" s="2" t="n"/>
      <c r="F343" s="3">
        <f>'QBO Transactions'!$X345</f>
        <v/>
      </c>
      <c r="G343" s="2" t="n"/>
      <c r="H343" s="2" t="n"/>
      <c r="I343" s="2" t="n"/>
      <c r="J343" s="2" t="n"/>
      <c r="K343" s="2" t="n"/>
      <c r="L343" s="2" t="n"/>
      <c r="M343" s="2" t="n"/>
      <c r="N343" s="2">
        <f>'QBO Transactions'!$Y345</f>
        <v/>
      </c>
      <c r="O343" s="2" t="n"/>
      <c r="P343" s="2" t="n"/>
      <c r="Q343" s="2">
        <f>'QBO Transactions'!$T345</f>
        <v/>
      </c>
      <c r="R343" s="2" t="n"/>
      <c r="S343" s="2" t="n"/>
      <c r="T343" s="2" t="n"/>
      <c r="U343" s="2" t="n"/>
      <c r="V343" s="2" t="n"/>
      <c r="W343" s="2" t="n"/>
      <c r="X343" s="2">
        <f>Q343</f>
        <v/>
      </c>
      <c r="Y343" s="4">
        <f>'QBO Transactions'!$Q345</f>
        <v/>
      </c>
      <c r="Z343" s="2" t="n"/>
      <c r="AA343" s="2" t="n"/>
      <c r="AB343" s="2" t="n"/>
      <c r="AC343" s="2" t="n"/>
      <c r="AD343" s="2" t="n"/>
      <c r="AE343" s="2" t="n"/>
    </row>
    <row r="344" ht="12.75" customHeight="1" s="52">
      <c r="A344" s="2" t="n"/>
      <c r="B344" s="2">
        <f>'QBO Transactions'!$U346</f>
        <v/>
      </c>
      <c r="C344" s="3">
        <f>'QBO Transactions'!$S346</f>
        <v/>
      </c>
      <c r="D344" s="2">
        <f>'QBO Transactions'!$R346</f>
        <v/>
      </c>
      <c r="E344" s="2" t="n"/>
      <c r="F344" s="3">
        <f>'QBO Transactions'!$X346</f>
        <v/>
      </c>
      <c r="G344" s="2" t="n"/>
      <c r="H344" s="2" t="n"/>
      <c r="I344" s="2" t="n"/>
      <c r="J344" s="2" t="n"/>
      <c r="K344" s="2" t="n"/>
      <c r="L344" s="2" t="n"/>
      <c r="M344" s="2" t="n"/>
      <c r="N344" s="2">
        <f>'QBO Transactions'!$Y346</f>
        <v/>
      </c>
      <c r="O344" s="2" t="n"/>
      <c r="P344" s="2" t="n"/>
      <c r="Q344" s="2">
        <f>'QBO Transactions'!$T346</f>
        <v/>
      </c>
      <c r="R344" s="2" t="n"/>
      <c r="S344" s="2" t="n"/>
      <c r="T344" s="2" t="n"/>
      <c r="U344" s="2" t="n"/>
      <c r="V344" s="2" t="n"/>
      <c r="W344" s="2" t="n"/>
      <c r="X344" s="2">
        <f>Q344</f>
        <v/>
      </c>
      <c r="Y344" s="4">
        <f>'QBO Transactions'!$Q346</f>
        <v/>
      </c>
      <c r="Z344" s="2" t="n"/>
      <c r="AA344" s="2" t="n"/>
      <c r="AB344" s="2" t="n"/>
      <c r="AC344" s="2" t="n"/>
      <c r="AD344" s="2" t="n"/>
      <c r="AE344" s="2" t="n"/>
    </row>
    <row r="345" ht="12.75" customHeight="1" s="52">
      <c r="A345" s="2" t="n"/>
      <c r="B345" s="2">
        <f>'QBO Transactions'!$U347</f>
        <v/>
      </c>
      <c r="C345" s="3">
        <f>'QBO Transactions'!$S347</f>
        <v/>
      </c>
      <c r="D345" s="2">
        <f>'QBO Transactions'!$R347</f>
        <v/>
      </c>
      <c r="E345" s="2" t="n"/>
      <c r="F345" s="3">
        <f>'QBO Transactions'!$X347</f>
        <v/>
      </c>
      <c r="G345" s="2" t="n"/>
      <c r="H345" s="2" t="n"/>
      <c r="I345" s="2" t="n"/>
      <c r="J345" s="2" t="n"/>
      <c r="K345" s="2" t="n"/>
      <c r="L345" s="2" t="n"/>
      <c r="M345" s="2" t="n"/>
      <c r="N345" s="2">
        <f>'QBO Transactions'!$Y347</f>
        <v/>
      </c>
      <c r="O345" s="2" t="n"/>
      <c r="P345" s="2" t="n"/>
      <c r="Q345" s="2">
        <f>'QBO Transactions'!$T347</f>
        <v/>
      </c>
      <c r="R345" s="2" t="n"/>
      <c r="S345" s="2" t="n"/>
      <c r="T345" s="2" t="n"/>
      <c r="U345" s="2" t="n"/>
      <c r="V345" s="2" t="n"/>
      <c r="W345" s="2" t="n"/>
      <c r="X345" s="2">
        <f>Q345</f>
        <v/>
      </c>
      <c r="Y345" s="4">
        <f>'QBO Transactions'!$Q347</f>
        <v/>
      </c>
      <c r="Z345" s="2" t="n"/>
      <c r="AA345" s="2" t="n"/>
      <c r="AB345" s="2" t="n"/>
      <c r="AC345" s="2" t="n"/>
      <c r="AD345" s="2" t="n"/>
      <c r="AE345" s="2" t="n"/>
    </row>
    <row r="346" ht="12.75" customHeight="1" s="52">
      <c r="A346" s="2" t="n"/>
      <c r="B346" s="2">
        <f>'QBO Transactions'!$U348</f>
        <v/>
      </c>
      <c r="C346" s="3">
        <f>'QBO Transactions'!$S348</f>
        <v/>
      </c>
      <c r="D346" s="2">
        <f>'QBO Transactions'!$R348</f>
        <v/>
      </c>
      <c r="E346" s="2" t="n"/>
      <c r="F346" s="3">
        <f>'QBO Transactions'!$X348</f>
        <v/>
      </c>
      <c r="G346" s="2" t="n"/>
      <c r="H346" s="2" t="n"/>
      <c r="I346" s="2" t="n"/>
      <c r="J346" s="2" t="n"/>
      <c r="K346" s="2" t="n"/>
      <c r="L346" s="2" t="n"/>
      <c r="M346" s="2" t="n"/>
      <c r="N346" s="2">
        <f>'QBO Transactions'!$Y348</f>
        <v/>
      </c>
      <c r="O346" s="2" t="n"/>
      <c r="P346" s="2" t="n"/>
      <c r="Q346" s="2">
        <f>'QBO Transactions'!$T348</f>
        <v/>
      </c>
      <c r="R346" s="2" t="n"/>
      <c r="S346" s="2" t="n"/>
      <c r="T346" s="2" t="n"/>
      <c r="U346" s="2" t="n"/>
      <c r="V346" s="2" t="n"/>
      <c r="W346" s="2" t="n"/>
      <c r="X346" s="2">
        <f>Q346</f>
        <v/>
      </c>
      <c r="Y346" s="4">
        <f>'QBO Transactions'!$Q348</f>
        <v/>
      </c>
      <c r="Z346" s="2" t="n"/>
      <c r="AA346" s="2" t="n"/>
      <c r="AB346" s="2" t="n"/>
      <c r="AC346" s="2" t="n"/>
      <c r="AD346" s="2" t="n"/>
      <c r="AE346" s="2" t="n"/>
    </row>
    <row r="347" ht="12.75" customHeight="1" s="52">
      <c r="A347" s="2" t="n"/>
      <c r="B347" s="2">
        <f>'QBO Transactions'!$U349</f>
        <v/>
      </c>
      <c r="C347" s="3">
        <f>'QBO Transactions'!$S349</f>
        <v/>
      </c>
      <c r="D347" s="2">
        <f>'QBO Transactions'!$R349</f>
        <v/>
      </c>
      <c r="E347" s="2" t="n"/>
      <c r="F347" s="3">
        <f>'QBO Transactions'!$X349</f>
        <v/>
      </c>
      <c r="G347" s="2" t="n"/>
      <c r="H347" s="2" t="n"/>
      <c r="I347" s="2" t="n"/>
      <c r="J347" s="2" t="n"/>
      <c r="K347" s="2" t="n"/>
      <c r="L347" s="2" t="n"/>
      <c r="M347" s="2" t="n"/>
      <c r="N347" s="2">
        <f>'QBO Transactions'!$Y349</f>
        <v/>
      </c>
      <c r="O347" s="2" t="n"/>
      <c r="P347" s="2" t="n"/>
      <c r="Q347" s="2">
        <f>'QBO Transactions'!$T349</f>
        <v/>
      </c>
      <c r="R347" s="2" t="n"/>
      <c r="S347" s="2" t="n"/>
      <c r="T347" s="2" t="n"/>
      <c r="U347" s="2" t="n"/>
      <c r="V347" s="2" t="n"/>
      <c r="W347" s="2" t="n"/>
      <c r="X347" s="2">
        <f>Q347</f>
        <v/>
      </c>
      <c r="Y347" s="4">
        <f>'QBO Transactions'!$Q349</f>
        <v/>
      </c>
      <c r="Z347" s="2" t="n"/>
      <c r="AA347" s="2" t="n"/>
      <c r="AB347" s="2" t="n"/>
      <c r="AC347" s="2" t="n"/>
      <c r="AD347" s="2" t="n"/>
      <c r="AE347" s="2" t="n"/>
    </row>
    <row r="348" ht="12.75" customHeight="1" s="52">
      <c r="A348" s="2" t="n"/>
      <c r="B348" s="2">
        <f>'QBO Transactions'!$U350</f>
        <v/>
      </c>
      <c r="C348" s="3">
        <f>'QBO Transactions'!$S350</f>
        <v/>
      </c>
      <c r="D348" s="2">
        <f>'QBO Transactions'!$R350</f>
        <v/>
      </c>
      <c r="E348" s="2" t="n"/>
      <c r="F348" s="3">
        <f>'QBO Transactions'!$X350</f>
        <v/>
      </c>
      <c r="G348" s="2" t="n"/>
      <c r="H348" s="2" t="n"/>
      <c r="I348" s="2" t="n"/>
      <c r="J348" s="2" t="n"/>
      <c r="K348" s="2" t="n"/>
      <c r="L348" s="2" t="n"/>
      <c r="M348" s="2" t="n"/>
      <c r="N348" s="2">
        <f>'QBO Transactions'!$Y350</f>
        <v/>
      </c>
      <c r="O348" s="2" t="n"/>
      <c r="P348" s="2" t="n"/>
      <c r="Q348" s="2">
        <f>'QBO Transactions'!$T350</f>
        <v/>
      </c>
      <c r="R348" s="2" t="n"/>
      <c r="S348" s="2" t="n"/>
      <c r="T348" s="2" t="n"/>
      <c r="U348" s="2" t="n"/>
      <c r="V348" s="2" t="n"/>
      <c r="W348" s="2" t="n"/>
      <c r="X348" s="2">
        <f>Q348</f>
        <v/>
      </c>
      <c r="Y348" s="4">
        <f>'QBO Transactions'!$Q350</f>
        <v/>
      </c>
      <c r="Z348" s="2" t="n"/>
      <c r="AA348" s="2" t="n"/>
      <c r="AB348" s="2" t="n"/>
      <c r="AC348" s="2" t="n"/>
      <c r="AD348" s="2" t="n"/>
      <c r="AE348" s="2" t="n"/>
    </row>
    <row r="349" ht="12.75" customHeight="1" s="52">
      <c r="A349" s="2" t="n"/>
      <c r="B349" s="2">
        <f>'QBO Transactions'!$U351</f>
        <v/>
      </c>
      <c r="C349" s="3">
        <f>'QBO Transactions'!$S351</f>
        <v/>
      </c>
      <c r="D349" s="2">
        <f>'QBO Transactions'!$R351</f>
        <v/>
      </c>
      <c r="E349" s="2" t="n"/>
      <c r="F349" s="3">
        <f>'QBO Transactions'!$X351</f>
        <v/>
      </c>
      <c r="G349" s="2" t="n"/>
      <c r="H349" s="2" t="n"/>
      <c r="I349" s="2" t="n"/>
      <c r="J349" s="2" t="n"/>
      <c r="K349" s="2" t="n"/>
      <c r="L349" s="2" t="n"/>
      <c r="M349" s="2" t="n"/>
      <c r="N349" s="2">
        <f>'QBO Transactions'!$Y351</f>
        <v/>
      </c>
      <c r="O349" s="2" t="n"/>
      <c r="P349" s="2" t="n"/>
      <c r="Q349" s="2">
        <f>'QBO Transactions'!$T351</f>
        <v/>
      </c>
      <c r="R349" s="2" t="n"/>
      <c r="S349" s="2" t="n"/>
      <c r="T349" s="2" t="n"/>
      <c r="U349" s="2" t="n"/>
      <c r="V349" s="2" t="n"/>
      <c r="W349" s="2" t="n"/>
      <c r="X349" s="2">
        <f>Q349</f>
        <v/>
      </c>
      <c r="Y349" s="4">
        <f>'QBO Transactions'!$Q351</f>
        <v/>
      </c>
      <c r="Z349" s="2" t="n"/>
      <c r="AA349" s="2" t="n"/>
      <c r="AB349" s="2" t="n"/>
      <c r="AC349" s="2" t="n"/>
      <c r="AD349" s="2" t="n"/>
      <c r="AE349" s="2" t="n"/>
    </row>
    <row r="350" ht="12.75" customHeight="1" s="52">
      <c r="A350" s="2" t="n"/>
      <c r="B350" s="2">
        <f>'QBO Transactions'!$U352</f>
        <v/>
      </c>
      <c r="C350" s="3">
        <f>'QBO Transactions'!$S352</f>
        <v/>
      </c>
      <c r="D350" s="2">
        <f>'QBO Transactions'!$R352</f>
        <v/>
      </c>
      <c r="E350" s="2" t="n"/>
      <c r="F350" s="3">
        <f>'QBO Transactions'!$X352</f>
        <v/>
      </c>
      <c r="G350" s="2" t="n"/>
      <c r="H350" s="2" t="n"/>
      <c r="I350" s="2" t="n"/>
      <c r="J350" s="2" t="n"/>
      <c r="K350" s="2" t="n"/>
      <c r="L350" s="2" t="n"/>
      <c r="M350" s="2" t="n"/>
      <c r="N350" s="2">
        <f>'QBO Transactions'!$Y352</f>
        <v/>
      </c>
      <c r="O350" s="2" t="n"/>
      <c r="P350" s="2" t="n"/>
      <c r="Q350" s="2">
        <f>'QBO Transactions'!$T352</f>
        <v/>
      </c>
      <c r="R350" s="2" t="n"/>
      <c r="S350" s="2" t="n"/>
      <c r="T350" s="2" t="n"/>
      <c r="U350" s="2" t="n"/>
      <c r="V350" s="2" t="n"/>
      <c r="W350" s="2" t="n"/>
      <c r="X350" s="2">
        <f>Q350</f>
        <v/>
      </c>
      <c r="Y350" s="4">
        <f>'QBO Transactions'!$Q352</f>
        <v/>
      </c>
      <c r="Z350" s="2" t="n"/>
      <c r="AA350" s="2" t="n"/>
      <c r="AB350" s="2" t="n"/>
      <c r="AC350" s="2" t="n"/>
      <c r="AD350" s="2" t="n"/>
      <c r="AE350" s="2" t="n"/>
    </row>
    <row r="351" ht="12.75" customHeight="1" s="52">
      <c r="A351" s="2" t="n"/>
      <c r="B351" s="2">
        <f>'QBO Transactions'!$U353</f>
        <v/>
      </c>
      <c r="C351" s="3">
        <f>'QBO Transactions'!$S353</f>
        <v/>
      </c>
      <c r="D351" s="2">
        <f>'QBO Transactions'!$R353</f>
        <v/>
      </c>
      <c r="E351" s="2" t="n"/>
      <c r="F351" s="3">
        <f>'QBO Transactions'!$X353</f>
        <v/>
      </c>
      <c r="G351" s="2" t="n"/>
      <c r="H351" s="2" t="n"/>
      <c r="I351" s="2" t="n"/>
      <c r="J351" s="2" t="n"/>
      <c r="K351" s="2" t="n"/>
      <c r="L351" s="2" t="n"/>
      <c r="M351" s="2" t="n"/>
      <c r="N351" s="2">
        <f>'QBO Transactions'!$Y353</f>
        <v/>
      </c>
      <c r="O351" s="2" t="n"/>
      <c r="P351" s="2" t="n"/>
      <c r="Q351" s="2">
        <f>'QBO Transactions'!$T353</f>
        <v/>
      </c>
      <c r="R351" s="2" t="n"/>
      <c r="S351" s="2" t="n"/>
      <c r="T351" s="2" t="n"/>
      <c r="U351" s="2" t="n"/>
      <c r="V351" s="2" t="n"/>
      <c r="W351" s="2" t="n"/>
      <c r="X351" s="2">
        <f>Q351</f>
        <v/>
      </c>
      <c r="Y351" s="4">
        <f>'QBO Transactions'!$Q353</f>
        <v/>
      </c>
      <c r="Z351" s="2" t="n"/>
      <c r="AA351" s="2" t="n"/>
      <c r="AB351" s="2" t="n"/>
      <c r="AC351" s="2" t="n"/>
      <c r="AD351" s="2" t="n"/>
      <c r="AE351" s="2" t="n"/>
    </row>
    <row r="352" ht="12.75" customHeight="1" s="52">
      <c r="A352" s="2" t="n"/>
      <c r="B352" s="2">
        <f>'QBO Transactions'!$U354</f>
        <v/>
      </c>
      <c r="C352" s="3">
        <f>'QBO Transactions'!$S354</f>
        <v/>
      </c>
      <c r="D352" s="2">
        <f>'QBO Transactions'!$R354</f>
        <v/>
      </c>
      <c r="E352" s="2" t="n"/>
      <c r="F352" s="3">
        <f>'QBO Transactions'!$X354</f>
        <v/>
      </c>
      <c r="G352" s="2" t="n"/>
      <c r="H352" s="2" t="n"/>
      <c r="I352" s="2" t="n"/>
      <c r="J352" s="2" t="n"/>
      <c r="K352" s="2" t="n"/>
      <c r="L352" s="2" t="n"/>
      <c r="M352" s="2" t="n"/>
      <c r="N352" s="2">
        <f>'QBO Transactions'!$Y354</f>
        <v/>
      </c>
      <c r="O352" s="2" t="n"/>
      <c r="P352" s="2" t="n"/>
      <c r="Q352" s="2">
        <f>'QBO Transactions'!$T354</f>
        <v/>
      </c>
      <c r="R352" s="2" t="n"/>
      <c r="S352" s="2" t="n"/>
      <c r="T352" s="2" t="n"/>
      <c r="U352" s="2" t="n"/>
      <c r="V352" s="2" t="n"/>
      <c r="W352" s="2" t="n"/>
      <c r="X352" s="2">
        <f>Q352</f>
        <v/>
      </c>
      <c r="Y352" s="4">
        <f>'QBO Transactions'!$Q354</f>
        <v/>
      </c>
      <c r="Z352" s="2" t="n"/>
      <c r="AA352" s="2" t="n"/>
      <c r="AB352" s="2" t="n"/>
      <c r="AC352" s="2" t="n"/>
      <c r="AD352" s="2" t="n"/>
      <c r="AE352" s="2" t="n"/>
    </row>
    <row r="353" ht="12.75" customHeight="1" s="52">
      <c r="A353" s="2" t="n"/>
      <c r="B353" s="2">
        <f>'QBO Transactions'!$U355</f>
        <v/>
      </c>
      <c r="C353" s="3">
        <f>'QBO Transactions'!$S355</f>
        <v/>
      </c>
      <c r="D353" s="2">
        <f>'QBO Transactions'!$R355</f>
        <v/>
      </c>
      <c r="E353" s="2" t="n"/>
      <c r="F353" s="3">
        <f>'QBO Transactions'!$X355</f>
        <v/>
      </c>
      <c r="G353" s="2" t="n"/>
      <c r="H353" s="2" t="n"/>
      <c r="I353" s="2" t="n"/>
      <c r="J353" s="2" t="n"/>
      <c r="K353" s="2" t="n"/>
      <c r="L353" s="2" t="n"/>
      <c r="M353" s="2" t="n"/>
      <c r="N353" s="2">
        <f>'QBO Transactions'!$Y355</f>
        <v/>
      </c>
      <c r="O353" s="2" t="n"/>
      <c r="P353" s="2" t="n"/>
      <c r="Q353" s="2">
        <f>'QBO Transactions'!$T355</f>
        <v/>
      </c>
      <c r="R353" s="2" t="n"/>
      <c r="S353" s="2" t="n"/>
      <c r="T353" s="2" t="n"/>
      <c r="U353" s="2" t="n"/>
      <c r="V353" s="2" t="n"/>
      <c r="W353" s="2" t="n"/>
      <c r="X353" s="2">
        <f>Q353</f>
        <v/>
      </c>
      <c r="Y353" s="4">
        <f>'QBO Transactions'!$Q355</f>
        <v/>
      </c>
      <c r="Z353" s="2" t="n"/>
      <c r="AA353" s="2" t="n"/>
      <c r="AB353" s="2" t="n"/>
      <c r="AC353" s="2" t="n"/>
      <c r="AD353" s="2" t="n"/>
      <c r="AE353" s="2" t="n"/>
    </row>
    <row r="354" ht="12.75" customHeight="1" s="52">
      <c r="A354" s="2" t="n"/>
      <c r="B354" s="2">
        <f>'QBO Transactions'!$U356</f>
        <v/>
      </c>
      <c r="C354" s="3">
        <f>'QBO Transactions'!$S356</f>
        <v/>
      </c>
      <c r="D354" s="2">
        <f>'QBO Transactions'!$R356</f>
        <v/>
      </c>
      <c r="E354" s="2" t="n"/>
      <c r="F354" s="3">
        <f>'QBO Transactions'!$X356</f>
        <v/>
      </c>
      <c r="G354" s="2" t="n"/>
      <c r="H354" s="2" t="n"/>
      <c r="I354" s="2" t="n"/>
      <c r="J354" s="2" t="n"/>
      <c r="K354" s="2" t="n"/>
      <c r="L354" s="2" t="n"/>
      <c r="M354" s="2" t="n"/>
      <c r="N354" s="2">
        <f>'QBO Transactions'!$Y356</f>
        <v/>
      </c>
      <c r="O354" s="2" t="n"/>
      <c r="P354" s="2" t="n"/>
      <c r="Q354" s="2">
        <f>'QBO Transactions'!$T356</f>
        <v/>
      </c>
      <c r="R354" s="2" t="n"/>
      <c r="S354" s="2" t="n"/>
      <c r="T354" s="2" t="n"/>
      <c r="U354" s="2" t="n"/>
      <c r="V354" s="2" t="n"/>
      <c r="W354" s="2" t="n"/>
      <c r="X354" s="2">
        <f>Q354</f>
        <v/>
      </c>
      <c r="Y354" s="4">
        <f>'QBO Transactions'!$Q356</f>
        <v/>
      </c>
      <c r="Z354" s="2" t="n"/>
      <c r="AA354" s="2" t="n"/>
      <c r="AB354" s="2" t="n"/>
      <c r="AC354" s="2" t="n"/>
      <c r="AD354" s="2" t="n"/>
      <c r="AE354" s="2" t="n"/>
    </row>
    <row r="355" ht="12.75" customHeight="1" s="52">
      <c r="A355" s="2" t="n"/>
      <c r="B355" s="2">
        <f>'QBO Transactions'!$U357</f>
        <v/>
      </c>
      <c r="C355" s="3">
        <f>'QBO Transactions'!$S357</f>
        <v/>
      </c>
      <c r="D355" s="2">
        <f>'QBO Transactions'!$R357</f>
        <v/>
      </c>
      <c r="E355" s="2" t="n"/>
      <c r="F355" s="3">
        <f>'QBO Transactions'!$X357</f>
        <v/>
      </c>
      <c r="G355" s="2" t="n"/>
      <c r="H355" s="2" t="n"/>
      <c r="I355" s="2" t="n"/>
      <c r="J355" s="2" t="n"/>
      <c r="K355" s="2" t="n"/>
      <c r="L355" s="2" t="n"/>
      <c r="M355" s="2" t="n"/>
      <c r="N355" s="2">
        <f>'QBO Transactions'!$Y357</f>
        <v/>
      </c>
      <c r="O355" s="2" t="n"/>
      <c r="P355" s="2" t="n"/>
      <c r="Q355" s="2">
        <f>'QBO Transactions'!$T357</f>
        <v/>
      </c>
      <c r="R355" s="2" t="n"/>
      <c r="S355" s="2" t="n"/>
      <c r="T355" s="2" t="n"/>
      <c r="U355" s="2" t="n"/>
      <c r="V355" s="2" t="n"/>
      <c r="W355" s="2" t="n"/>
      <c r="X355" s="2">
        <f>Q355</f>
        <v/>
      </c>
      <c r="Y355" s="4">
        <f>'QBO Transactions'!$Q357</f>
        <v/>
      </c>
      <c r="Z355" s="2" t="n"/>
      <c r="AA355" s="2" t="n"/>
      <c r="AB355" s="2" t="n"/>
      <c r="AC355" s="2" t="n"/>
      <c r="AD355" s="2" t="n"/>
      <c r="AE355" s="2" t="n"/>
    </row>
    <row r="356" ht="12.75" customHeight="1" s="52">
      <c r="A356" s="2" t="n"/>
      <c r="B356" s="2">
        <f>'QBO Transactions'!$U358</f>
        <v/>
      </c>
      <c r="C356" s="3">
        <f>'QBO Transactions'!$S358</f>
        <v/>
      </c>
      <c r="D356" s="2">
        <f>'QBO Transactions'!$R358</f>
        <v/>
      </c>
      <c r="E356" s="2" t="n"/>
      <c r="F356" s="3">
        <f>'QBO Transactions'!$X358</f>
        <v/>
      </c>
      <c r="G356" s="2" t="n"/>
      <c r="H356" s="2" t="n"/>
      <c r="I356" s="2" t="n"/>
      <c r="J356" s="2" t="n"/>
      <c r="K356" s="2" t="n"/>
      <c r="L356" s="2" t="n"/>
      <c r="M356" s="2" t="n"/>
      <c r="N356" s="2">
        <f>'QBO Transactions'!$Y358</f>
        <v/>
      </c>
      <c r="O356" s="2" t="n"/>
      <c r="P356" s="2" t="n"/>
      <c r="Q356" s="2">
        <f>'QBO Transactions'!$T358</f>
        <v/>
      </c>
      <c r="R356" s="2" t="n"/>
      <c r="S356" s="2" t="n"/>
      <c r="T356" s="2" t="n"/>
      <c r="U356" s="2" t="n"/>
      <c r="V356" s="2" t="n"/>
      <c r="W356" s="2" t="n"/>
      <c r="X356" s="2">
        <f>Q356</f>
        <v/>
      </c>
      <c r="Y356" s="4">
        <f>'QBO Transactions'!$Q358</f>
        <v/>
      </c>
      <c r="Z356" s="2" t="n"/>
      <c r="AA356" s="2" t="n"/>
      <c r="AB356" s="2" t="n"/>
      <c r="AC356" s="2" t="n"/>
      <c r="AD356" s="2" t="n"/>
      <c r="AE356" s="2" t="n"/>
    </row>
    <row r="357" ht="12.75" customHeight="1" s="52">
      <c r="A357" s="2" t="n"/>
      <c r="B357" s="2">
        <f>'QBO Transactions'!$U359</f>
        <v/>
      </c>
      <c r="C357" s="3">
        <f>'QBO Transactions'!$S359</f>
        <v/>
      </c>
      <c r="D357" s="2">
        <f>'QBO Transactions'!$R359</f>
        <v/>
      </c>
      <c r="E357" s="2" t="n"/>
      <c r="F357" s="3">
        <f>'QBO Transactions'!$X359</f>
        <v/>
      </c>
      <c r="G357" s="2" t="n"/>
      <c r="H357" s="2" t="n"/>
      <c r="I357" s="2" t="n"/>
      <c r="J357" s="2" t="n"/>
      <c r="K357" s="2" t="n"/>
      <c r="L357" s="2" t="n"/>
      <c r="M357" s="2" t="n"/>
      <c r="N357" s="2">
        <f>'QBO Transactions'!$Y359</f>
        <v/>
      </c>
      <c r="O357" s="2" t="n"/>
      <c r="P357" s="2" t="n"/>
      <c r="Q357" s="2">
        <f>'QBO Transactions'!$T359</f>
        <v/>
      </c>
      <c r="R357" s="2" t="n"/>
      <c r="S357" s="2" t="n"/>
      <c r="T357" s="2" t="n"/>
      <c r="U357" s="2" t="n"/>
      <c r="V357" s="2" t="n"/>
      <c r="W357" s="2" t="n"/>
      <c r="X357" s="2">
        <f>Q357</f>
        <v/>
      </c>
      <c r="Y357" s="4">
        <f>'QBO Transactions'!$Q359</f>
        <v/>
      </c>
      <c r="Z357" s="2" t="n"/>
      <c r="AA357" s="2" t="n"/>
      <c r="AB357" s="2" t="n"/>
      <c r="AC357" s="2" t="n"/>
      <c r="AD357" s="2" t="n"/>
      <c r="AE357" s="2" t="n"/>
    </row>
    <row r="358" ht="12.75" customHeight="1" s="52">
      <c r="A358" s="2" t="n"/>
      <c r="B358" s="2">
        <f>'QBO Transactions'!$U360</f>
        <v/>
      </c>
      <c r="C358" s="3">
        <f>'QBO Transactions'!$S360</f>
        <v/>
      </c>
      <c r="D358" s="2">
        <f>'QBO Transactions'!$R360</f>
        <v/>
      </c>
      <c r="E358" s="2" t="n"/>
      <c r="F358" s="3">
        <f>'QBO Transactions'!$X360</f>
        <v/>
      </c>
      <c r="G358" s="2" t="n"/>
      <c r="H358" s="2" t="n"/>
      <c r="I358" s="2" t="n"/>
      <c r="J358" s="2" t="n"/>
      <c r="K358" s="2" t="n"/>
      <c r="L358" s="2" t="n"/>
      <c r="M358" s="2" t="n"/>
      <c r="N358" s="2">
        <f>'QBO Transactions'!$Y360</f>
        <v/>
      </c>
      <c r="O358" s="2" t="n"/>
      <c r="P358" s="2" t="n"/>
      <c r="Q358" s="2">
        <f>'QBO Transactions'!$T360</f>
        <v/>
      </c>
      <c r="R358" s="2" t="n"/>
      <c r="S358" s="2" t="n"/>
      <c r="T358" s="2" t="n"/>
      <c r="U358" s="2" t="n"/>
      <c r="V358" s="2" t="n"/>
      <c r="W358" s="2" t="n"/>
      <c r="X358" s="2">
        <f>Q358</f>
        <v/>
      </c>
      <c r="Y358" s="4">
        <f>'QBO Transactions'!$Q360</f>
        <v/>
      </c>
      <c r="Z358" s="2" t="n"/>
      <c r="AA358" s="2" t="n"/>
      <c r="AB358" s="2" t="n"/>
      <c r="AC358" s="2" t="n"/>
      <c r="AD358" s="2" t="n"/>
      <c r="AE358" s="2" t="n"/>
    </row>
    <row r="359" ht="12.75" customHeight="1" s="52">
      <c r="A359" s="2" t="n"/>
      <c r="B359" s="2">
        <f>'QBO Transactions'!$U361</f>
        <v/>
      </c>
      <c r="C359" s="3">
        <f>'QBO Transactions'!$S361</f>
        <v/>
      </c>
      <c r="D359" s="2">
        <f>'QBO Transactions'!$R361</f>
        <v/>
      </c>
      <c r="E359" s="2" t="n"/>
      <c r="F359" s="3">
        <f>'QBO Transactions'!$X361</f>
        <v/>
      </c>
      <c r="G359" s="2" t="n"/>
      <c r="H359" s="2" t="n"/>
      <c r="I359" s="2" t="n"/>
      <c r="J359" s="2" t="n"/>
      <c r="K359" s="2" t="n"/>
      <c r="L359" s="2" t="n"/>
      <c r="M359" s="2" t="n"/>
      <c r="N359" s="2">
        <f>'QBO Transactions'!$Y361</f>
        <v/>
      </c>
      <c r="O359" s="2" t="n"/>
      <c r="P359" s="2" t="n"/>
      <c r="Q359" s="2">
        <f>'QBO Transactions'!$T361</f>
        <v/>
      </c>
      <c r="R359" s="2" t="n"/>
      <c r="S359" s="2" t="n"/>
      <c r="T359" s="2" t="n"/>
      <c r="U359" s="2" t="n"/>
      <c r="V359" s="2" t="n"/>
      <c r="W359" s="2" t="n"/>
      <c r="X359" s="2">
        <f>Q359</f>
        <v/>
      </c>
      <c r="Y359" s="4">
        <f>'QBO Transactions'!$Q361</f>
        <v/>
      </c>
      <c r="Z359" s="2" t="n"/>
      <c r="AA359" s="2" t="n"/>
      <c r="AB359" s="2" t="n"/>
      <c r="AC359" s="2" t="n"/>
      <c r="AD359" s="2" t="n"/>
      <c r="AE359" s="2" t="n"/>
    </row>
    <row r="360" ht="12.75" customHeight="1" s="52">
      <c r="A360" s="2" t="n"/>
      <c r="B360" s="2">
        <f>'QBO Transactions'!$U362</f>
        <v/>
      </c>
      <c r="C360" s="3">
        <f>'QBO Transactions'!$S362</f>
        <v/>
      </c>
      <c r="D360" s="2">
        <f>'QBO Transactions'!$R362</f>
        <v/>
      </c>
      <c r="E360" s="2" t="n"/>
      <c r="F360" s="3">
        <f>'QBO Transactions'!$X362</f>
        <v/>
      </c>
      <c r="G360" s="2" t="n"/>
      <c r="H360" s="2" t="n"/>
      <c r="I360" s="2" t="n"/>
      <c r="J360" s="2" t="n"/>
      <c r="K360" s="2" t="n"/>
      <c r="L360" s="2" t="n"/>
      <c r="M360" s="2" t="n"/>
      <c r="N360" s="2">
        <f>'QBO Transactions'!$Y362</f>
        <v/>
      </c>
      <c r="O360" s="2" t="n"/>
      <c r="P360" s="2" t="n"/>
      <c r="Q360" s="2">
        <f>'QBO Transactions'!$T362</f>
        <v/>
      </c>
      <c r="R360" s="2" t="n"/>
      <c r="S360" s="2" t="n"/>
      <c r="T360" s="2" t="n"/>
      <c r="U360" s="2" t="n"/>
      <c r="V360" s="2" t="n"/>
      <c r="W360" s="2" t="n"/>
      <c r="X360" s="2">
        <f>Q360</f>
        <v/>
      </c>
      <c r="Y360" s="4">
        <f>'QBO Transactions'!$Q362</f>
        <v/>
      </c>
      <c r="Z360" s="2" t="n"/>
      <c r="AA360" s="2" t="n"/>
      <c r="AB360" s="2" t="n"/>
      <c r="AC360" s="2" t="n"/>
      <c r="AD360" s="2" t="n"/>
      <c r="AE360" s="2" t="n"/>
    </row>
    <row r="361" ht="12.75" customHeight="1" s="52">
      <c r="A361" s="2" t="n"/>
      <c r="B361" s="2">
        <f>'QBO Transactions'!$U363</f>
        <v/>
      </c>
      <c r="C361" s="3">
        <f>'QBO Transactions'!$S363</f>
        <v/>
      </c>
      <c r="D361" s="2">
        <f>'QBO Transactions'!$R363</f>
        <v/>
      </c>
      <c r="E361" s="2" t="n"/>
      <c r="F361" s="3">
        <f>'QBO Transactions'!$X363</f>
        <v/>
      </c>
      <c r="G361" s="2" t="n"/>
      <c r="H361" s="2" t="n"/>
      <c r="I361" s="2" t="n"/>
      <c r="J361" s="2" t="n"/>
      <c r="K361" s="2" t="n"/>
      <c r="L361" s="2" t="n"/>
      <c r="M361" s="2" t="n"/>
      <c r="N361" s="2">
        <f>'QBO Transactions'!$Y363</f>
        <v/>
      </c>
      <c r="O361" s="2" t="n"/>
      <c r="P361" s="2" t="n"/>
      <c r="Q361" s="2">
        <f>'QBO Transactions'!$T363</f>
        <v/>
      </c>
      <c r="R361" s="2" t="n"/>
      <c r="S361" s="2" t="n"/>
      <c r="T361" s="2" t="n"/>
      <c r="U361" s="2" t="n"/>
      <c r="V361" s="2" t="n"/>
      <c r="W361" s="2" t="n"/>
      <c r="X361" s="2">
        <f>Q361</f>
        <v/>
      </c>
      <c r="Y361" s="4">
        <f>'QBO Transactions'!$Q363</f>
        <v/>
      </c>
      <c r="Z361" s="2" t="n"/>
      <c r="AA361" s="2" t="n"/>
      <c r="AB361" s="2" t="n"/>
      <c r="AC361" s="2" t="n"/>
      <c r="AD361" s="2" t="n"/>
      <c r="AE361" s="2" t="n"/>
    </row>
    <row r="362" ht="12.75" customHeight="1" s="52">
      <c r="A362" s="2" t="n"/>
      <c r="B362" s="2">
        <f>'QBO Transactions'!$U364</f>
        <v/>
      </c>
      <c r="C362" s="3">
        <f>'QBO Transactions'!$S364</f>
        <v/>
      </c>
      <c r="D362" s="2">
        <f>'QBO Transactions'!$R364</f>
        <v/>
      </c>
      <c r="E362" s="2" t="n"/>
      <c r="F362" s="3">
        <f>'QBO Transactions'!$X364</f>
        <v/>
      </c>
      <c r="G362" s="2" t="n"/>
      <c r="H362" s="2" t="n"/>
      <c r="I362" s="2" t="n"/>
      <c r="J362" s="2" t="n"/>
      <c r="K362" s="2" t="n"/>
      <c r="L362" s="2" t="n"/>
      <c r="M362" s="2" t="n"/>
      <c r="N362" s="2">
        <f>'QBO Transactions'!$Y364</f>
        <v/>
      </c>
      <c r="O362" s="2" t="n"/>
      <c r="P362" s="2" t="n"/>
      <c r="Q362" s="2">
        <f>'QBO Transactions'!$T364</f>
        <v/>
      </c>
      <c r="R362" s="2" t="n"/>
      <c r="S362" s="2" t="n"/>
      <c r="T362" s="2" t="n"/>
      <c r="U362" s="2" t="n"/>
      <c r="V362" s="2" t="n"/>
      <c r="W362" s="2" t="n"/>
      <c r="X362" s="2">
        <f>Q362</f>
        <v/>
      </c>
      <c r="Y362" s="4">
        <f>'QBO Transactions'!$Q364</f>
        <v/>
      </c>
      <c r="Z362" s="2" t="n"/>
      <c r="AA362" s="2" t="n"/>
      <c r="AB362" s="2" t="n"/>
      <c r="AC362" s="2" t="n"/>
      <c r="AD362" s="2" t="n"/>
      <c r="AE362" s="2" t="n"/>
    </row>
    <row r="363" ht="12.75" customHeight="1" s="52">
      <c r="A363" s="2" t="n"/>
      <c r="B363" s="2">
        <f>'QBO Transactions'!$U365</f>
        <v/>
      </c>
      <c r="C363" s="3">
        <f>'QBO Transactions'!$S365</f>
        <v/>
      </c>
      <c r="D363" s="2">
        <f>'QBO Transactions'!$R365</f>
        <v/>
      </c>
      <c r="E363" s="2" t="n"/>
      <c r="F363" s="3">
        <f>'QBO Transactions'!$X365</f>
        <v/>
      </c>
      <c r="G363" s="2" t="n"/>
      <c r="H363" s="2" t="n"/>
      <c r="I363" s="2" t="n"/>
      <c r="J363" s="2" t="n"/>
      <c r="K363" s="2" t="n"/>
      <c r="L363" s="2" t="n"/>
      <c r="M363" s="2" t="n"/>
      <c r="N363" s="2">
        <f>'QBO Transactions'!$Y365</f>
        <v/>
      </c>
      <c r="O363" s="2" t="n"/>
      <c r="P363" s="2" t="n"/>
      <c r="Q363" s="2">
        <f>'QBO Transactions'!$T365</f>
        <v/>
      </c>
      <c r="R363" s="2" t="n"/>
      <c r="S363" s="2" t="n"/>
      <c r="T363" s="2" t="n"/>
      <c r="U363" s="2" t="n"/>
      <c r="V363" s="2" t="n"/>
      <c r="W363" s="2" t="n"/>
      <c r="X363" s="2">
        <f>Q363</f>
        <v/>
      </c>
      <c r="Y363" s="4">
        <f>'QBO Transactions'!$Q365</f>
        <v/>
      </c>
      <c r="Z363" s="2" t="n"/>
      <c r="AA363" s="2" t="n"/>
      <c r="AB363" s="2" t="n"/>
      <c r="AC363" s="2" t="n"/>
      <c r="AD363" s="2" t="n"/>
      <c r="AE363" s="2" t="n"/>
    </row>
    <row r="364" ht="12.75" customHeight="1" s="52">
      <c r="A364" s="2" t="n"/>
      <c r="B364" s="2">
        <f>'QBO Transactions'!$U366</f>
        <v/>
      </c>
      <c r="C364" s="3">
        <f>'QBO Transactions'!$S366</f>
        <v/>
      </c>
      <c r="D364" s="2">
        <f>'QBO Transactions'!$R366</f>
        <v/>
      </c>
      <c r="E364" s="2" t="n"/>
      <c r="F364" s="3">
        <f>'QBO Transactions'!$X366</f>
        <v/>
      </c>
      <c r="G364" s="2" t="n"/>
      <c r="H364" s="2" t="n"/>
      <c r="I364" s="2" t="n"/>
      <c r="J364" s="2" t="n"/>
      <c r="K364" s="2" t="n"/>
      <c r="L364" s="2" t="n"/>
      <c r="M364" s="2" t="n"/>
      <c r="N364" s="2">
        <f>'QBO Transactions'!$Y366</f>
        <v/>
      </c>
      <c r="O364" s="2" t="n"/>
      <c r="P364" s="2" t="n"/>
      <c r="Q364" s="2">
        <f>'QBO Transactions'!$T366</f>
        <v/>
      </c>
      <c r="R364" s="2" t="n"/>
      <c r="S364" s="2" t="n"/>
      <c r="T364" s="2" t="n"/>
      <c r="U364" s="2" t="n"/>
      <c r="V364" s="2" t="n"/>
      <c r="W364" s="2" t="n"/>
      <c r="X364" s="2">
        <f>Q364</f>
        <v/>
      </c>
      <c r="Y364" s="4">
        <f>'QBO Transactions'!$Q366</f>
        <v/>
      </c>
      <c r="Z364" s="2" t="n"/>
      <c r="AA364" s="2" t="n"/>
      <c r="AB364" s="2" t="n"/>
      <c r="AC364" s="2" t="n"/>
      <c r="AD364" s="2" t="n"/>
      <c r="AE364" s="2" t="n"/>
    </row>
    <row r="365" ht="12.75" customHeight="1" s="52">
      <c r="A365" s="2" t="n"/>
      <c r="B365" s="2">
        <f>'QBO Transactions'!$U367</f>
        <v/>
      </c>
      <c r="C365" s="3">
        <f>'QBO Transactions'!$S367</f>
        <v/>
      </c>
      <c r="D365" s="2">
        <f>'QBO Transactions'!$R367</f>
        <v/>
      </c>
      <c r="E365" s="2" t="n"/>
      <c r="F365" s="3">
        <f>'QBO Transactions'!$X367</f>
        <v/>
      </c>
      <c r="G365" s="2" t="n"/>
      <c r="H365" s="2" t="n"/>
      <c r="I365" s="2" t="n"/>
      <c r="J365" s="2" t="n"/>
      <c r="K365" s="2" t="n"/>
      <c r="L365" s="2" t="n"/>
      <c r="M365" s="2" t="n"/>
      <c r="N365" s="2">
        <f>'QBO Transactions'!$Y367</f>
        <v/>
      </c>
      <c r="O365" s="2" t="n"/>
      <c r="P365" s="2" t="n"/>
      <c r="Q365" s="2">
        <f>'QBO Transactions'!$T367</f>
        <v/>
      </c>
      <c r="R365" s="2" t="n"/>
      <c r="S365" s="2" t="n"/>
      <c r="T365" s="2" t="n"/>
      <c r="U365" s="2" t="n"/>
      <c r="V365" s="2" t="n"/>
      <c r="W365" s="2" t="n"/>
      <c r="X365" s="2">
        <f>Q365</f>
        <v/>
      </c>
      <c r="Y365" s="4">
        <f>'QBO Transactions'!$Q367</f>
        <v/>
      </c>
      <c r="Z365" s="2" t="n"/>
      <c r="AA365" s="2" t="n"/>
      <c r="AB365" s="2" t="n"/>
      <c r="AC365" s="2" t="n"/>
      <c r="AD365" s="2" t="n"/>
      <c r="AE365" s="2" t="n"/>
    </row>
    <row r="366" ht="12.75" customHeight="1" s="52">
      <c r="A366" s="2" t="n"/>
      <c r="B366" s="2">
        <f>'QBO Transactions'!$U368</f>
        <v/>
      </c>
      <c r="C366" s="3">
        <f>'QBO Transactions'!$S368</f>
        <v/>
      </c>
      <c r="D366" s="2">
        <f>'QBO Transactions'!$R368</f>
        <v/>
      </c>
      <c r="E366" s="2" t="n"/>
      <c r="F366" s="3">
        <f>'QBO Transactions'!$X368</f>
        <v/>
      </c>
      <c r="G366" s="2" t="n"/>
      <c r="H366" s="2" t="n"/>
      <c r="I366" s="2" t="n"/>
      <c r="J366" s="2" t="n"/>
      <c r="K366" s="2" t="n"/>
      <c r="L366" s="2" t="n"/>
      <c r="M366" s="2" t="n"/>
      <c r="N366" s="2">
        <f>'QBO Transactions'!$Y368</f>
        <v/>
      </c>
      <c r="O366" s="2" t="n"/>
      <c r="P366" s="2" t="n"/>
      <c r="Q366" s="2">
        <f>'QBO Transactions'!$T368</f>
        <v/>
      </c>
      <c r="R366" s="2" t="n"/>
      <c r="S366" s="2" t="n"/>
      <c r="T366" s="2" t="n"/>
      <c r="U366" s="2" t="n"/>
      <c r="V366" s="2" t="n"/>
      <c r="W366" s="2" t="n"/>
      <c r="X366" s="2">
        <f>Q366</f>
        <v/>
      </c>
      <c r="Y366" s="4">
        <f>'QBO Transactions'!$Q368</f>
        <v/>
      </c>
      <c r="Z366" s="2" t="n"/>
      <c r="AA366" s="2" t="n"/>
      <c r="AB366" s="2" t="n"/>
      <c r="AC366" s="2" t="n"/>
      <c r="AD366" s="2" t="n"/>
      <c r="AE366" s="2" t="n"/>
    </row>
    <row r="367" ht="12.75" customHeight="1" s="52">
      <c r="A367" s="2" t="n"/>
      <c r="B367" s="2">
        <f>'QBO Transactions'!$U369</f>
        <v/>
      </c>
      <c r="C367" s="3">
        <f>'QBO Transactions'!$S369</f>
        <v/>
      </c>
      <c r="D367" s="2">
        <f>'QBO Transactions'!$R369</f>
        <v/>
      </c>
      <c r="E367" s="2" t="n"/>
      <c r="F367" s="3">
        <f>'QBO Transactions'!$X369</f>
        <v/>
      </c>
      <c r="G367" s="2" t="n"/>
      <c r="H367" s="2" t="n"/>
      <c r="I367" s="2" t="n"/>
      <c r="J367" s="2" t="n"/>
      <c r="K367" s="2" t="n"/>
      <c r="L367" s="2" t="n"/>
      <c r="M367" s="2" t="n"/>
      <c r="N367" s="2">
        <f>'QBO Transactions'!$Y369</f>
        <v/>
      </c>
      <c r="O367" s="2" t="n"/>
      <c r="P367" s="2" t="n"/>
      <c r="Q367" s="2">
        <f>'QBO Transactions'!$T369</f>
        <v/>
      </c>
      <c r="R367" s="2" t="n"/>
      <c r="S367" s="2" t="n"/>
      <c r="T367" s="2" t="n"/>
      <c r="U367" s="2" t="n"/>
      <c r="V367" s="2" t="n"/>
      <c r="W367" s="2" t="n"/>
      <c r="X367" s="2">
        <f>Q367</f>
        <v/>
      </c>
      <c r="Y367" s="4">
        <f>'QBO Transactions'!$Q369</f>
        <v/>
      </c>
      <c r="Z367" s="2" t="n"/>
      <c r="AA367" s="2" t="n"/>
      <c r="AB367" s="2" t="n"/>
      <c r="AC367" s="2" t="n"/>
      <c r="AD367" s="2" t="n"/>
      <c r="AE367" s="2" t="n"/>
    </row>
    <row r="368" ht="12.75" customHeight="1" s="52">
      <c r="A368" s="2" t="n"/>
      <c r="B368" s="2">
        <f>'QBO Transactions'!$U370</f>
        <v/>
      </c>
      <c r="C368" s="3">
        <f>'QBO Transactions'!$S370</f>
        <v/>
      </c>
      <c r="D368" s="2">
        <f>'QBO Transactions'!$R370</f>
        <v/>
      </c>
      <c r="E368" s="2" t="n"/>
      <c r="F368" s="3">
        <f>'QBO Transactions'!$X370</f>
        <v/>
      </c>
      <c r="G368" s="2" t="n"/>
      <c r="H368" s="2" t="n"/>
      <c r="I368" s="2" t="n"/>
      <c r="J368" s="2" t="n"/>
      <c r="K368" s="2" t="n"/>
      <c r="L368" s="2" t="n"/>
      <c r="M368" s="2" t="n"/>
      <c r="N368" s="2">
        <f>'QBO Transactions'!$Y370</f>
        <v/>
      </c>
      <c r="O368" s="2" t="n"/>
      <c r="P368" s="2" t="n"/>
      <c r="Q368" s="2">
        <f>'QBO Transactions'!$T370</f>
        <v/>
      </c>
      <c r="R368" s="2" t="n"/>
      <c r="S368" s="2" t="n"/>
      <c r="T368" s="2" t="n"/>
      <c r="U368" s="2" t="n"/>
      <c r="V368" s="2" t="n"/>
      <c r="W368" s="2" t="n"/>
      <c r="X368" s="2">
        <f>Q368</f>
        <v/>
      </c>
      <c r="Y368" s="4">
        <f>'QBO Transactions'!$Q370</f>
        <v/>
      </c>
      <c r="Z368" s="2" t="n"/>
      <c r="AA368" s="2" t="n"/>
      <c r="AB368" s="2" t="n"/>
      <c r="AC368" s="2" t="n"/>
      <c r="AD368" s="2" t="n"/>
      <c r="AE368" s="2" t="n"/>
    </row>
    <row r="369" ht="12.75" customHeight="1" s="52">
      <c r="A369" s="2" t="n"/>
      <c r="B369" s="2">
        <f>'QBO Transactions'!$U371</f>
        <v/>
      </c>
      <c r="C369" s="3">
        <f>'QBO Transactions'!$S371</f>
        <v/>
      </c>
      <c r="D369" s="2">
        <f>'QBO Transactions'!$R371</f>
        <v/>
      </c>
      <c r="E369" s="2" t="n"/>
      <c r="F369" s="3">
        <f>'QBO Transactions'!$X371</f>
        <v/>
      </c>
      <c r="G369" s="2" t="n"/>
      <c r="H369" s="2" t="n"/>
      <c r="I369" s="2" t="n"/>
      <c r="J369" s="2" t="n"/>
      <c r="K369" s="2" t="n"/>
      <c r="L369" s="2" t="n"/>
      <c r="M369" s="2" t="n"/>
      <c r="N369" s="2">
        <f>'QBO Transactions'!$Y371</f>
        <v/>
      </c>
      <c r="O369" s="2" t="n"/>
      <c r="P369" s="2" t="n"/>
      <c r="Q369" s="2">
        <f>'QBO Transactions'!$T371</f>
        <v/>
      </c>
      <c r="R369" s="2" t="n"/>
      <c r="S369" s="2" t="n"/>
      <c r="T369" s="2" t="n"/>
      <c r="U369" s="2" t="n"/>
      <c r="V369" s="2" t="n"/>
      <c r="W369" s="2" t="n"/>
      <c r="X369" s="2">
        <f>Q369</f>
        <v/>
      </c>
      <c r="Y369" s="4">
        <f>'QBO Transactions'!$Q371</f>
        <v/>
      </c>
      <c r="Z369" s="2" t="n"/>
      <c r="AA369" s="2" t="n"/>
      <c r="AB369" s="2" t="n"/>
      <c r="AC369" s="2" t="n"/>
      <c r="AD369" s="2" t="n"/>
      <c r="AE369" s="2" t="n"/>
    </row>
    <row r="370" ht="12.75" customHeight="1" s="52">
      <c r="A370" s="2" t="n"/>
      <c r="B370" s="2">
        <f>'QBO Transactions'!$U372</f>
        <v/>
      </c>
      <c r="C370" s="3">
        <f>'QBO Transactions'!$S372</f>
        <v/>
      </c>
      <c r="D370" s="2">
        <f>'QBO Transactions'!$R372</f>
        <v/>
      </c>
      <c r="E370" s="2" t="n"/>
      <c r="F370" s="3">
        <f>'QBO Transactions'!$X372</f>
        <v/>
      </c>
      <c r="G370" s="2" t="n"/>
      <c r="H370" s="2" t="n"/>
      <c r="I370" s="2" t="n"/>
      <c r="J370" s="2" t="n"/>
      <c r="K370" s="2" t="n"/>
      <c r="L370" s="2" t="n"/>
      <c r="M370" s="2" t="n"/>
      <c r="N370" s="2">
        <f>'QBO Transactions'!$Y372</f>
        <v/>
      </c>
      <c r="O370" s="2" t="n"/>
      <c r="P370" s="2" t="n"/>
      <c r="Q370" s="2">
        <f>'QBO Transactions'!$T372</f>
        <v/>
      </c>
      <c r="R370" s="2" t="n"/>
      <c r="S370" s="2" t="n"/>
      <c r="T370" s="2" t="n"/>
      <c r="U370" s="2" t="n"/>
      <c r="V370" s="2" t="n"/>
      <c r="W370" s="2" t="n"/>
      <c r="X370" s="2">
        <f>Q370</f>
        <v/>
      </c>
      <c r="Y370" s="4">
        <f>'QBO Transactions'!$Q372</f>
        <v/>
      </c>
      <c r="Z370" s="2" t="n"/>
      <c r="AA370" s="2" t="n"/>
      <c r="AB370" s="2" t="n"/>
      <c r="AC370" s="2" t="n"/>
      <c r="AD370" s="2" t="n"/>
      <c r="AE370" s="2" t="n"/>
    </row>
    <row r="371" ht="12.75" customHeight="1" s="52">
      <c r="A371" s="2" t="n"/>
      <c r="B371" s="2">
        <f>'QBO Transactions'!$U373</f>
        <v/>
      </c>
      <c r="C371" s="3">
        <f>'QBO Transactions'!$S373</f>
        <v/>
      </c>
      <c r="D371" s="2">
        <f>'QBO Transactions'!$R373</f>
        <v/>
      </c>
      <c r="E371" s="2" t="n"/>
      <c r="F371" s="3">
        <f>'QBO Transactions'!$X373</f>
        <v/>
      </c>
      <c r="G371" s="2" t="n"/>
      <c r="H371" s="2" t="n"/>
      <c r="I371" s="2" t="n"/>
      <c r="J371" s="2" t="n"/>
      <c r="K371" s="2" t="n"/>
      <c r="L371" s="2" t="n"/>
      <c r="M371" s="2" t="n"/>
      <c r="N371" s="2">
        <f>'QBO Transactions'!$Y373</f>
        <v/>
      </c>
      <c r="O371" s="2" t="n"/>
      <c r="P371" s="2" t="n"/>
      <c r="Q371" s="2">
        <f>'QBO Transactions'!$T373</f>
        <v/>
      </c>
      <c r="R371" s="2" t="n"/>
      <c r="S371" s="2" t="n"/>
      <c r="T371" s="2" t="n"/>
      <c r="U371" s="2" t="n"/>
      <c r="V371" s="2" t="n"/>
      <c r="W371" s="2" t="n"/>
      <c r="X371" s="2">
        <f>Q371</f>
        <v/>
      </c>
      <c r="Y371" s="4">
        <f>'QBO Transactions'!$Q373</f>
        <v/>
      </c>
      <c r="Z371" s="2" t="n"/>
      <c r="AA371" s="2" t="n"/>
      <c r="AB371" s="2" t="n"/>
      <c r="AC371" s="2" t="n"/>
      <c r="AD371" s="2" t="n"/>
      <c r="AE371" s="2" t="n"/>
    </row>
    <row r="372" ht="12.75" customHeight="1" s="52">
      <c r="A372" s="2" t="n"/>
      <c r="B372" s="2">
        <f>'QBO Transactions'!$U374</f>
        <v/>
      </c>
      <c r="C372" s="3">
        <f>'QBO Transactions'!$S374</f>
        <v/>
      </c>
      <c r="D372" s="2">
        <f>'QBO Transactions'!$R374</f>
        <v/>
      </c>
      <c r="E372" s="2" t="n"/>
      <c r="F372" s="3">
        <f>'QBO Transactions'!$X374</f>
        <v/>
      </c>
      <c r="G372" s="2" t="n"/>
      <c r="H372" s="2" t="n"/>
      <c r="I372" s="2" t="n"/>
      <c r="J372" s="2" t="n"/>
      <c r="K372" s="2" t="n"/>
      <c r="L372" s="2" t="n"/>
      <c r="M372" s="2" t="n"/>
      <c r="N372" s="2">
        <f>'QBO Transactions'!$Y374</f>
        <v/>
      </c>
      <c r="O372" s="2" t="n"/>
      <c r="P372" s="2" t="n"/>
      <c r="Q372" s="2">
        <f>'QBO Transactions'!$T374</f>
        <v/>
      </c>
      <c r="R372" s="2" t="n"/>
      <c r="S372" s="2" t="n"/>
      <c r="T372" s="2" t="n"/>
      <c r="U372" s="2" t="n"/>
      <c r="V372" s="2" t="n"/>
      <c r="W372" s="2" t="n"/>
      <c r="X372" s="2">
        <f>Q372</f>
        <v/>
      </c>
      <c r="Y372" s="4">
        <f>'QBO Transactions'!$Q374</f>
        <v/>
      </c>
      <c r="Z372" s="2" t="n"/>
      <c r="AA372" s="2" t="n"/>
      <c r="AB372" s="2" t="n"/>
      <c r="AC372" s="2" t="n"/>
      <c r="AD372" s="2" t="n"/>
      <c r="AE372" s="2" t="n"/>
    </row>
    <row r="373" ht="12.75" customHeight="1" s="52">
      <c r="A373" s="2" t="n"/>
      <c r="B373" s="2">
        <f>'QBO Transactions'!$U375</f>
        <v/>
      </c>
      <c r="C373" s="3">
        <f>'QBO Transactions'!$S375</f>
        <v/>
      </c>
      <c r="D373" s="2">
        <f>'QBO Transactions'!$R375</f>
        <v/>
      </c>
      <c r="E373" s="2" t="n"/>
      <c r="F373" s="3">
        <f>'QBO Transactions'!$X375</f>
        <v/>
      </c>
      <c r="G373" s="2" t="n"/>
      <c r="H373" s="2" t="n"/>
      <c r="I373" s="2" t="n"/>
      <c r="J373" s="2" t="n"/>
      <c r="K373" s="2" t="n"/>
      <c r="L373" s="2" t="n"/>
      <c r="M373" s="2" t="n"/>
      <c r="N373" s="2">
        <f>'QBO Transactions'!$Y375</f>
        <v/>
      </c>
      <c r="O373" s="2" t="n"/>
      <c r="P373" s="2" t="n"/>
      <c r="Q373" s="2">
        <f>'QBO Transactions'!$T375</f>
        <v/>
      </c>
      <c r="R373" s="2" t="n"/>
      <c r="S373" s="2" t="n"/>
      <c r="T373" s="2" t="n"/>
      <c r="U373" s="2" t="n"/>
      <c r="V373" s="2" t="n"/>
      <c r="W373" s="2" t="n"/>
      <c r="X373" s="2">
        <f>Q373</f>
        <v/>
      </c>
      <c r="Y373" s="4">
        <f>'QBO Transactions'!$Q375</f>
        <v/>
      </c>
      <c r="Z373" s="2" t="n"/>
      <c r="AA373" s="2" t="n"/>
      <c r="AB373" s="2" t="n"/>
      <c r="AC373" s="2" t="n"/>
      <c r="AD373" s="2" t="n"/>
      <c r="AE373" s="2" t="n"/>
    </row>
    <row r="374" ht="12.75" customHeight="1" s="52">
      <c r="A374" s="2" t="n"/>
      <c r="B374" s="2">
        <f>'QBO Transactions'!$U376</f>
        <v/>
      </c>
      <c r="C374" s="3">
        <f>'QBO Transactions'!$S376</f>
        <v/>
      </c>
      <c r="D374" s="2">
        <f>'QBO Transactions'!$R376</f>
        <v/>
      </c>
      <c r="E374" s="2" t="n"/>
      <c r="F374" s="3">
        <f>'QBO Transactions'!$X376</f>
        <v/>
      </c>
      <c r="G374" s="2" t="n"/>
      <c r="H374" s="2" t="n"/>
      <c r="I374" s="2" t="n"/>
      <c r="J374" s="2" t="n"/>
      <c r="K374" s="2" t="n"/>
      <c r="L374" s="2" t="n"/>
      <c r="M374" s="2" t="n"/>
      <c r="N374" s="2">
        <f>'QBO Transactions'!$Y376</f>
        <v/>
      </c>
      <c r="O374" s="2" t="n"/>
      <c r="P374" s="2" t="n"/>
      <c r="Q374" s="2">
        <f>'QBO Transactions'!$T376</f>
        <v/>
      </c>
      <c r="R374" s="2" t="n"/>
      <c r="S374" s="2" t="n"/>
      <c r="T374" s="2" t="n"/>
      <c r="U374" s="2" t="n"/>
      <c r="V374" s="2" t="n"/>
      <c r="W374" s="2" t="n"/>
      <c r="X374" s="2">
        <f>Q374</f>
        <v/>
      </c>
      <c r="Y374" s="4">
        <f>'QBO Transactions'!$Q376</f>
        <v/>
      </c>
      <c r="Z374" s="2" t="n"/>
      <c r="AA374" s="2" t="n"/>
      <c r="AB374" s="2" t="n"/>
      <c r="AC374" s="2" t="n"/>
      <c r="AD374" s="2" t="n"/>
      <c r="AE374" s="2" t="n"/>
    </row>
    <row r="375" ht="12.75" customHeight="1" s="52">
      <c r="A375" s="2" t="n"/>
      <c r="B375" s="2">
        <f>'QBO Transactions'!$U377</f>
        <v/>
      </c>
      <c r="C375" s="3">
        <f>'QBO Transactions'!$S377</f>
        <v/>
      </c>
      <c r="D375" s="2">
        <f>'QBO Transactions'!$R377</f>
        <v/>
      </c>
      <c r="E375" s="2" t="n"/>
      <c r="F375" s="3">
        <f>'QBO Transactions'!$X377</f>
        <v/>
      </c>
      <c r="G375" s="2" t="n"/>
      <c r="H375" s="2" t="n"/>
      <c r="I375" s="2" t="n"/>
      <c r="J375" s="2" t="n"/>
      <c r="K375" s="2" t="n"/>
      <c r="L375" s="2" t="n"/>
      <c r="M375" s="2" t="n"/>
      <c r="N375" s="2">
        <f>'QBO Transactions'!$Y377</f>
        <v/>
      </c>
      <c r="O375" s="2" t="n"/>
      <c r="P375" s="2" t="n"/>
      <c r="Q375" s="2">
        <f>'QBO Transactions'!$T377</f>
        <v/>
      </c>
      <c r="R375" s="2" t="n"/>
      <c r="S375" s="2" t="n"/>
      <c r="T375" s="2" t="n"/>
      <c r="U375" s="2" t="n"/>
      <c r="V375" s="2" t="n"/>
      <c r="W375" s="2" t="n"/>
      <c r="X375" s="2">
        <f>Q375</f>
        <v/>
      </c>
      <c r="Y375" s="4">
        <f>'QBO Transactions'!$Q377</f>
        <v/>
      </c>
      <c r="Z375" s="2" t="n"/>
      <c r="AA375" s="2" t="n"/>
      <c r="AB375" s="2" t="n"/>
      <c r="AC375" s="2" t="n"/>
      <c r="AD375" s="2" t="n"/>
      <c r="AE375" s="2" t="n"/>
    </row>
    <row r="376" ht="12.75" customHeight="1" s="52">
      <c r="A376" s="2" t="n"/>
      <c r="B376" s="2">
        <f>'QBO Transactions'!$U378</f>
        <v/>
      </c>
      <c r="C376" s="3">
        <f>'QBO Transactions'!$S378</f>
        <v/>
      </c>
      <c r="D376" s="2">
        <f>'QBO Transactions'!$R378</f>
        <v/>
      </c>
      <c r="E376" s="2" t="n"/>
      <c r="F376" s="3">
        <f>'QBO Transactions'!$X378</f>
        <v/>
      </c>
      <c r="G376" s="2" t="n"/>
      <c r="H376" s="2" t="n"/>
      <c r="I376" s="2" t="n"/>
      <c r="J376" s="2" t="n"/>
      <c r="K376" s="2" t="n"/>
      <c r="L376" s="2" t="n"/>
      <c r="M376" s="2" t="n"/>
      <c r="N376" s="2">
        <f>'QBO Transactions'!$Y378</f>
        <v/>
      </c>
      <c r="O376" s="2" t="n"/>
      <c r="P376" s="2" t="n"/>
      <c r="Q376" s="2">
        <f>'QBO Transactions'!$T378</f>
        <v/>
      </c>
      <c r="R376" s="2" t="n"/>
      <c r="S376" s="2" t="n"/>
      <c r="T376" s="2" t="n"/>
      <c r="U376" s="2" t="n"/>
      <c r="V376" s="2" t="n"/>
      <c r="W376" s="2" t="n"/>
      <c r="X376" s="2">
        <f>Q376</f>
        <v/>
      </c>
      <c r="Y376" s="4">
        <f>'QBO Transactions'!$Q378</f>
        <v/>
      </c>
      <c r="Z376" s="2" t="n"/>
      <c r="AA376" s="2" t="n"/>
      <c r="AB376" s="2" t="n"/>
      <c r="AC376" s="2" t="n"/>
      <c r="AD376" s="2" t="n"/>
      <c r="AE376" s="2" t="n"/>
    </row>
    <row r="377" ht="12.75" customHeight="1" s="52">
      <c r="A377" s="2" t="n"/>
      <c r="B377" s="2">
        <f>'QBO Transactions'!$U379</f>
        <v/>
      </c>
      <c r="C377" s="3">
        <f>'QBO Transactions'!$S379</f>
        <v/>
      </c>
      <c r="D377" s="2">
        <f>'QBO Transactions'!$R379</f>
        <v/>
      </c>
      <c r="E377" s="2" t="n"/>
      <c r="F377" s="3">
        <f>'QBO Transactions'!$X379</f>
        <v/>
      </c>
      <c r="G377" s="2" t="n"/>
      <c r="H377" s="2" t="n"/>
      <c r="I377" s="2" t="n"/>
      <c r="J377" s="2" t="n"/>
      <c r="K377" s="2" t="n"/>
      <c r="L377" s="2" t="n"/>
      <c r="M377" s="2" t="n"/>
      <c r="N377" s="2">
        <f>'QBO Transactions'!$Y379</f>
        <v/>
      </c>
      <c r="O377" s="2" t="n"/>
      <c r="P377" s="2" t="n"/>
      <c r="Q377" s="2">
        <f>'QBO Transactions'!$T379</f>
        <v/>
      </c>
      <c r="R377" s="2" t="n"/>
      <c r="S377" s="2" t="n"/>
      <c r="T377" s="2" t="n"/>
      <c r="U377" s="2" t="n"/>
      <c r="V377" s="2" t="n"/>
      <c r="W377" s="2" t="n"/>
      <c r="X377" s="2">
        <f>Q377</f>
        <v/>
      </c>
      <c r="Y377" s="4">
        <f>'QBO Transactions'!$Q379</f>
        <v/>
      </c>
      <c r="Z377" s="2" t="n"/>
      <c r="AA377" s="2" t="n"/>
      <c r="AB377" s="2" t="n"/>
      <c r="AC377" s="2" t="n"/>
      <c r="AD377" s="2" t="n"/>
      <c r="AE377" s="2" t="n"/>
    </row>
    <row r="378" ht="12.75" customHeight="1" s="52">
      <c r="A378" s="2" t="n"/>
      <c r="B378" s="2">
        <f>'QBO Transactions'!$U380</f>
        <v/>
      </c>
      <c r="C378" s="3">
        <f>'QBO Transactions'!$S380</f>
        <v/>
      </c>
      <c r="D378" s="2">
        <f>'QBO Transactions'!$R380</f>
        <v/>
      </c>
      <c r="E378" s="2" t="n"/>
      <c r="F378" s="3">
        <f>'QBO Transactions'!$X380</f>
        <v/>
      </c>
      <c r="G378" s="2" t="n"/>
      <c r="H378" s="2" t="n"/>
      <c r="I378" s="2" t="n"/>
      <c r="J378" s="2" t="n"/>
      <c r="K378" s="2" t="n"/>
      <c r="L378" s="2" t="n"/>
      <c r="M378" s="2" t="n"/>
      <c r="N378" s="2">
        <f>'QBO Transactions'!$Y380</f>
        <v/>
      </c>
      <c r="O378" s="2" t="n"/>
      <c r="P378" s="2" t="n"/>
      <c r="Q378" s="2">
        <f>'QBO Transactions'!$T380</f>
        <v/>
      </c>
      <c r="R378" s="2" t="n"/>
      <c r="S378" s="2" t="n"/>
      <c r="T378" s="2" t="n"/>
      <c r="U378" s="2" t="n"/>
      <c r="V378" s="2" t="n"/>
      <c r="W378" s="2" t="n"/>
      <c r="X378" s="2">
        <f>Q378</f>
        <v/>
      </c>
      <c r="Y378" s="4">
        <f>'QBO Transactions'!$Q380</f>
        <v/>
      </c>
      <c r="Z378" s="2" t="n"/>
      <c r="AA378" s="2" t="n"/>
      <c r="AB378" s="2" t="n"/>
      <c r="AC378" s="2" t="n"/>
      <c r="AD378" s="2" t="n"/>
      <c r="AE378" s="2" t="n"/>
    </row>
    <row r="379" ht="12.75" customHeight="1" s="52">
      <c r="A379" s="2" t="n"/>
      <c r="B379" s="2">
        <f>'QBO Transactions'!$U381</f>
        <v/>
      </c>
      <c r="C379" s="3">
        <f>'QBO Transactions'!$S381</f>
        <v/>
      </c>
      <c r="D379" s="2">
        <f>'QBO Transactions'!$R381</f>
        <v/>
      </c>
      <c r="E379" s="2" t="n"/>
      <c r="F379" s="3">
        <f>'QBO Transactions'!$X381</f>
        <v/>
      </c>
      <c r="G379" s="2" t="n"/>
      <c r="H379" s="2" t="n"/>
      <c r="I379" s="2" t="n"/>
      <c r="J379" s="2" t="n"/>
      <c r="K379" s="2" t="n"/>
      <c r="L379" s="2" t="n"/>
      <c r="M379" s="2" t="n"/>
      <c r="N379" s="2">
        <f>'QBO Transactions'!$Y381</f>
        <v/>
      </c>
      <c r="O379" s="2" t="n"/>
      <c r="P379" s="2" t="n"/>
      <c r="Q379" s="2">
        <f>'QBO Transactions'!$T381</f>
        <v/>
      </c>
      <c r="R379" s="2" t="n"/>
      <c r="S379" s="2" t="n"/>
      <c r="T379" s="2" t="n"/>
      <c r="U379" s="2" t="n"/>
      <c r="V379" s="2" t="n"/>
      <c r="W379" s="2" t="n"/>
      <c r="X379" s="2">
        <f>Q379</f>
        <v/>
      </c>
      <c r="Y379" s="4">
        <f>'QBO Transactions'!$Q381</f>
        <v/>
      </c>
      <c r="Z379" s="2" t="n"/>
      <c r="AA379" s="2" t="n"/>
      <c r="AB379" s="2" t="n"/>
      <c r="AC379" s="2" t="n"/>
      <c r="AD379" s="2" t="n"/>
      <c r="AE379" s="2" t="n"/>
    </row>
    <row r="380" ht="12.75" customHeight="1" s="52">
      <c r="A380" s="2" t="n"/>
      <c r="B380" s="2">
        <f>'QBO Transactions'!$U382</f>
        <v/>
      </c>
      <c r="C380" s="3">
        <f>'QBO Transactions'!$S382</f>
        <v/>
      </c>
      <c r="D380" s="2">
        <f>'QBO Transactions'!$R382</f>
        <v/>
      </c>
      <c r="E380" s="2" t="n"/>
      <c r="F380" s="3">
        <f>'QBO Transactions'!$X382</f>
        <v/>
      </c>
      <c r="G380" s="2" t="n"/>
      <c r="H380" s="2" t="n"/>
      <c r="I380" s="2" t="n"/>
      <c r="J380" s="2" t="n"/>
      <c r="K380" s="2" t="n"/>
      <c r="L380" s="2" t="n"/>
      <c r="M380" s="2" t="n"/>
      <c r="N380" s="2">
        <f>'QBO Transactions'!$Y382</f>
        <v/>
      </c>
      <c r="O380" s="2" t="n"/>
      <c r="P380" s="2" t="n"/>
      <c r="Q380" s="2">
        <f>'QBO Transactions'!$T382</f>
        <v/>
      </c>
      <c r="R380" s="2" t="n"/>
      <c r="S380" s="2" t="n"/>
      <c r="T380" s="2" t="n"/>
      <c r="U380" s="2" t="n"/>
      <c r="V380" s="2" t="n"/>
      <c r="W380" s="2" t="n"/>
      <c r="X380" s="2">
        <f>Q380</f>
        <v/>
      </c>
      <c r="Y380" s="4">
        <f>'QBO Transactions'!$Q382</f>
        <v/>
      </c>
      <c r="Z380" s="2" t="n"/>
      <c r="AA380" s="2" t="n"/>
      <c r="AB380" s="2" t="n"/>
      <c r="AC380" s="2" t="n"/>
      <c r="AD380" s="2" t="n"/>
      <c r="AE380" s="2" t="n"/>
    </row>
    <row r="381" ht="12.75" customHeight="1" s="52">
      <c r="A381" s="2" t="n"/>
      <c r="B381" s="2">
        <f>'QBO Transactions'!$U383</f>
        <v/>
      </c>
      <c r="C381" s="3">
        <f>'QBO Transactions'!$S383</f>
        <v/>
      </c>
      <c r="D381" s="2">
        <f>'QBO Transactions'!$R383</f>
        <v/>
      </c>
      <c r="E381" s="2" t="n"/>
      <c r="F381" s="3">
        <f>'QBO Transactions'!$X383</f>
        <v/>
      </c>
      <c r="G381" s="2" t="n"/>
      <c r="H381" s="2" t="n"/>
      <c r="I381" s="2" t="n"/>
      <c r="J381" s="2" t="n"/>
      <c r="K381" s="2" t="n"/>
      <c r="L381" s="2" t="n"/>
      <c r="M381" s="2" t="n"/>
      <c r="N381" s="2">
        <f>'QBO Transactions'!$Y383</f>
        <v/>
      </c>
      <c r="O381" s="2" t="n"/>
      <c r="P381" s="2" t="n"/>
      <c r="Q381" s="2">
        <f>'QBO Transactions'!$T383</f>
        <v/>
      </c>
      <c r="R381" s="2" t="n"/>
      <c r="S381" s="2" t="n"/>
      <c r="T381" s="2" t="n"/>
      <c r="U381" s="2" t="n"/>
      <c r="V381" s="2" t="n"/>
      <c r="W381" s="2" t="n"/>
      <c r="X381" s="2">
        <f>Q381</f>
        <v/>
      </c>
      <c r="Y381" s="4">
        <f>'QBO Transactions'!$Q383</f>
        <v/>
      </c>
      <c r="Z381" s="2" t="n"/>
      <c r="AA381" s="2" t="n"/>
      <c r="AB381" s="2" t="n"/>
      <c r="AC381" s="2" t="n"/>
      <c r="AD381" s="2" t="n"/>
      <c r="AE381" s="2" t="n"/>
    </row>
    <row r="382" ht="12.75" customHeight="1" s="52">
      <c r="A382" s="2" t="n"/>
      <c r="B382" s="2">
        <f>'QBO Transactions'!$U384</f>
        <v/>
      </c>
      <c r="C382" s="3">
        <f>'QBO Transactions'!$S384</f>
        <v/>
      </c>
      <c r="D382" s="2">
        <f>'QBO Transactions'!$R384</f>
        <v/>
      </c>
      <c r="E382" s="2" t="n"/>
      <c r="F382" s="3">
        <f>'QBO Transactions'!$X384</f>
        <v/>
      </c>
      <c r="G382" s="2" t="n"/>
      <c r="H382" s="2" t="n"/>
      <c r="I382" s="2" t="n"/>
      <c r="J382" s="2" t="n"/>
      <c r="K382" s="2" t="n"/>
      <c r="L382" s="2" t="n"/>
      <c r="M382" s="2" t="n"/>
      <c r="N382" s="2">
        <f>'QBO Transactions'!$Y384</f>
        <v/>
      </c>
      <c r="O382" s="2" t="n"/>
      <c r="P382" s="2" t="n"/>
      <c r="Q382" s="2">
        <f>'QBO Transactions'!$T384</f>
        <v/>
      </c>
      <c r="R382" s="2" t="n"/>
      <c r="S382" s="2" t="n"/>
      <c r="T382" s="2" t="n"/>
      <c r="U382" s="2" t="n"/>
      <c r="V382" s="2" t="n"/>
      <c r="W382" s="2" t="n"/>
      <c r="X382" s="2">
        <f>Q382</f>
        <v/>
      </c>
      <c r="Y382" s="4">
        <f>'QBO Transactions'!$Q384</f>
        <v/>
      </c>
      <c r="Z382" s="2" t="n"/>
      <c r="AA382" s="2" t="n"/>
      <c r="AB382" s="2" t="n"/>
      <c r="AC382" s="2" t="n"/>
      <c r="AD382" s="2" t="n"/>
      <c r="AE382" s="2" t="n"/>
    </row>
    <row r="383" ht="12.75" customHeight="1" s="52">
      <c r="A383" s="2" t="n"/>
      <c r="B383" s="2">
        <f>'QBO Transactions'!$U385</f>
        <v/>
      </c>
      <c r="C383" s="3">
        <f>'QBO Transactions'!$S385</f>
        <v/>
      </c>
      <c r="D383" s="2">
        <f>'QBO Transactions'!$R385</f>
        <v/>
      </c>
      <c r="E383" s="2" t="n"/>
      <c r="F383" s="3">
        <f>'QBO Transactions'!$X385</f>
        <v/>
      </c>
      <c r="G383" s="2" t="n"/>
      <c r="H383" s="2" t="n"/>
      <c r="I383" s="2" t="n"/>
      <c r="J383" s="2" t="n"/>
      <c r="K383" s="2" t="n"/>
      <c r="L383" s="2" t="n"/>
      <c r="M383" s="2" t="n"/>
      <c r="N383" s="2">
        <f>'QBO Transactions'!$Y385</f>
        <v/>
      </c>
      <c r="O383" s="2" t="n"/>
      <c r="P383" s="2" t="n"/>
      <c r="Q383" s="2">
        <f>'QBO Transactions'!$T385</f>
        <v/>
      </c>
      <c r="R383" s="2" t="n"/>
      <c r="S383" s="2" t="n"/>
      <c r="T383" s="2" t="n"/>
      <c r="U383" s="2" t="n"/>
      <c r="V383" s="2" t="n"/>
      <c r="W383" s="2" t="n"/>
      <c r="X383" s="2">
        <f>Q383</f>
        <v/>
      </c>
      <c r="Y383" s="4">
        <f>'QBO Transactions'!$Q385</f>
        <v/>
      </c>
      <c r="Z383" s="2" t="n"/>
      <c r="AA383" s="2" t="n"/>
      <c r="AB383" s="2" t="n"/>
      <c r="AC383" s="2" t="n"/>
      <c r="AD383" s="2" t="n"/>
      <c r="AE383" s="2" t="n"/>
    </row>
    <row r="384" ht="12.75" customHeight="1" s="52">
      <c r="A384" s="2" t="n"/>
      <c r="B384" s="2">
        <f>'QBO Transactions'!$U386</f>
        <v/>
      </c>
      <c r="C384" s="3">
        <f>'QBO Transactions'!$S386</f>
        <v/>
      </c>
      <c r="D384" s="2">
        <f>'QBO Transactions'!$R386</f>
        <v/>
      </c>
      <c r="E384" s="2" t="n"/>
      <c r="F384" s="3">
        <f>'QBO Transactions'!$X386</f>
        <v/>
      </c>
      <c r="G384" s="2" t="n"/>
      <c r="H384" s="2" t="n"/>
      <c r="I384" s="2" t="n"/>
      <c r="J384" s="2" t="n"/>
      <c r="K384" s="2" t="n"/>
      <c r="L384" s="2" t="n"/>
      <c r="M384" s="2" t="n"/>
      <c r="N384" s="2">
        <f>'QBO Transactions'!$Y386</f>
        <v/>
      </c>
      <c r="O384" s="2" t="n"/>
      <c r="P384" s="2" t="n"/>
      <c r="Q384" s="2">
        <f>'QBO Transactions'!$T386</f>
        <v/>
      </c>
      <c r="R384" s="2" t="n"/>
      <c r="S384" s="2" t="n"/>
      <c r="T384" s="2" t="n"/>
      <c r="U384" s="2" t="n"/>
      <c r="V384" s="2" t="n"/>
      <c r="W384" s="2" t="n"/>
      <c r="X384" s="2">
        <f>Q384</f>
        <v/>
      </c>
      <c r="Y384" s="4">
        <f>'QBO Transactions'!$Q386</f>
        <v/>
      </c>
      <c r="Z384" s="2" t="n"/>
      <c r="AA384" s="2" t="n"/>
      <c r="AB384" s="2" t="n"/>
      <c r="AC384" s="2" t="n"/>
      <c r="AD384" s="2" t="n"/>
      <c r="AE384" s="2" t="n"/>
    </row>
    <row r="385" ht="12.75" customHeight="1" s="52">
      <c r="A385" s="2" t="n"/>
      <c r="B385" s="2">
        <f>'QBO Transactions'!$U387</f>
        <v/>
      </c>
      <c r="C385" s="3">
        <f>'QBO Transactions'!$S387</f>
        <v/>
      </c>
      <c r="D385" s="2">
        <f>'QBO Transactions'!$R387</f>
        <v/>
      </c>
      <c r="E385" s="2" t="n"/>
      <c r="F385" s="3">
        <f>'QBO Transactions'!$X387</f>
        <v/>
      </c>
      <c r="G385" s="2" t="n"/>
      <c r="H385" s="2" t="n"/>
      <c r="I385" s="2" t="n"/>
      <c r="J385" s="2" t="n"/>
      <c r="K385" s="2" t="n"/>
      <c r="L385" s="2" t="n"/>
      <c r="M385" s="2" t="n"/>
      <c r="N385" s="2">
        <f>'QBO Transactions'!$Y387</f>
        <v/>
      </c>
      <c r="O385" s="2" t="n"/>
      <c r="P385" s="2" t="n"/>
      <c r="Q385" s="2">
        <f>'QBO Transactions'!$T387</f>
        <v/>
      </c>
      <c r="R385" s="2" t="n"/>
      <c r="S385" s="2" t="n"/>
      <c r="T385" s="2" t="n"/>
      <c r="U385" s="2" t="n"/>
      <c r="V385" s="2" t="n"/>
      <c r="W385" s="2" t="n"/>
      <c r="X385" s="2">
        <f>Q385</f>
        <v/>
      </c>
      <c r="Y385" s="4">
        <f>'QBO Transactions'!$Q387</f>
        <v/>
      </c>
      <c r="Z385" s="2" t="n"/>
      <c r="AA385" s="2" t="n"/>
      <c r="AB385" s="2" t="n"/>
      <c r="AC385" s="2" t="n"/>
      <c r="AD385" s="2" t="n"/>
      <c r="AE385" s="2" t="n"/>
    </row>
    <row r="386" ht="12.75" customHeight="1" s="52">
      <c r="A386" s="2" t="n"/>
      <c r="B386" s="2">
        <f>'QBO Transactions'!$U388</f>
        <v/>
      </c>
      <c r="C386" s="3">
        <f>'QBO Transactions'!$S388</f>
        <v/>
      </c>
      <c r="D386" s="2">
        <f>'QBO Transactions'!$R388</f>
        <v/>
      </c>
      <c r="E386" s="2" t="n"/>
      <c r="F386" s="3">
        <f>'QBO Transactions'!$X388</f>
        <v/>
      </c>
      <c r="G386" s="2" t="n"/>
      <c r="H386" s="2" t="n"/>
      <c r="I386" s="2" t="n"/>
      <c r="J386" s="2" t="n"/>
      <c r="K386" s="2" t="n"/>
      <c r="L386" s="2" t="n"/>
      <c r="M386" s="2" t="n"/>
      <c r="N386" s="2">
        <f>'QBO Transactions'!$Y388</f>
        <v/>
      </c>
      <c r="O386" s="2" t="n"/>
      <c r="P386" s="2" t="n"/>
      <c r="Q386" s="2">
        <f>'QBO Transactions'!$T388</f>
        <v/>
      </c>
      <c r="R386" s="2" t="n"/>
      <c r="S386" s="2" t="n"/>
      <c r="T386" s="2" t="n"/>
      <c r="U386" s="2" t="n"/>
      <c r="V386" s="2" t="n"/>
      <c r="W386" s="2" t="n"/>
      <c r="X386" s="2">
        <f>Q386</f>
        <v/>
      </c>
      <c r="Y386" s="4">
        <f>'QBO Transactions'!$Q388</f>
        <v/>
      </c>
      <c r="Z386" s="2" t="n"/>
      <c r="AA386" s="2" t="n"/>
      <c r="AB386" s="2" t="n"/>
      <c r="AC386" s="2" t="n"/>
      <c r="AD386" s="2" t="n"/>
      <c r="AE386" s="2" t="n"/>
    </row>
    <row r="387" ht="12.75" customHeight="1" s="52">
      <c r="A387" s="2" t="n"/>
      <c r="B387" s="2">
        <f>'QBO Transactions'!$U389</f>
        <v/>
      </c>
      <c r="C387" s="3">
        <f>'QBO Transactions'!$S389</f>
        <v/>
      </c>
      <c r="D387" s="2">
        <f>'QBO Transactions'!$R389</f>
        <v/>
      </c>
      <c r="E387" s="2" t="n"/>
      <c r="F387" s="3">
        <f>'QBO Transactions'!$X389</f>
        <v/>
      </c>
      <c r="G387" s="2" t="n"/>
      <c r="H387" s="2" t="n"/>
      <c r="I387" s="2" t="n"/>
      <c r="J387" s="2" t="n"/>
      <c r="K387" s="2" t="n"/>
      <c r="L387" s="2" t="n"/>
      <c r="M387" s="2" t="n"/>
      <c r="N387" s="2">
        <f>'QBO Transactions'!$Y389</f>
        <v/>
      </c>
      <c r="O387" s="2" t="n"/>
      <c r="P387" s="2" t="n"/>
      <c r="Q387" s="2">
        <f>'QBO Transactions'!$T389</f>
        <v/>
      </c>
      <c r="R387" s="2" t="n"/>
      <c r="S387" s="2" t="n"/>
      <c r="T387" s="2" t="n"/>
      <c r="U387" s="2" t="n"/>
      <c r="V387" s="2" t="n"/>
      <c r="W387" s="2" t="n"/>
      <c r="X387" s="2">
        <f>Q387</f>
        <v/>
      </c>
      <c r="Y387" s="4">
        <f>'QBO Transactions'!$Q389</f>
        <v/>
      </c>
      <c r="Z387" s="2" t="n"/>
      <c r="AA387" s="2" t="n"/>
      <c r="AB387" s="2" t="n"/>
      <c r="AC387" s="2" t="n"/>
      <c r="AD387" s="2" t="n"/>
      <c r="AE387" s="2" t="n"/>
    </row>
    <row r="388" ht="12.75" customHeight="1" s="52">
      <c r="A388" s="2" t="n"/>
      <c r="B388" s="2">
        <f>'QBO Transactions'!$U390</f>
        <v/>
      </c>
      <c r="C388" s="3">
        <f>'QBO Transactions'!$S390</f>
        <v/>
      </c>
      <c r="D388" s="2">
        <f>'QBO Transactions'!$R390</f>
        <v/>
      </c>
      <c r="E388" s="2" t="n"/>
      <c r="F388" s="3">
        <f>'QBO Transactions'!$X390</f>
        <v/>
      </c>
      <c r="G388" s="2" t="n"/>
      <c r="H388" s="2" t="n"/>
      <c r="I388" s="2" t="n"/>
      <c r="J388" s="2" t="n"/>
      <c r="K388" s="2" t="n"/>
      <c r="L388" s="2" t="n"/>
      <c r="M388" s="2" t="n"/>
      <c r="N388" s="2">
        <f>'QBO Transactions'!$Y390</f>
        <v/>
      </c>
      <c r="O388" s="2" t="n"/>
      <c r="P388" s="2" t="n"/>
      <c r="Q388" s="2">
        <f>'QBO Transactions'!$T390</f>
        <v/>
      </c>
      <c r="R388" s="2" t="n"/>
      <c r="S388" s="2" t="n"/>
      <c r="T388" s="2" t="n"/>
      <c r="U388" s="2" t="n"/>
      <c r="V388" s="2" t="n"/>
      <c r="W388" s="2" t="n"/>
      <c r="X388" s="2">
        <f>Q388</f>
        <v/>
      </c>
      <c r="Y388" s="4">
        <f>'QBO Transactions'!$Q390</f>
        <v/>
      </c>
      <c r="Z388" s="2" t="n"/>
      <c r="AA388" s="2" t="n"/>
      <c r="AB388" s="2" t="n"/>
      <c r="AC388" s="2" t="n"/>
      <c r="AD388" s="2" t="n"/>
      <c r="AE388" s="2" t="n"/>
    </row>
    <row r="389" ht="12.75" customHeight="1" s="52">
      <c r="A389" s="2" t="n"/>
      <c r="B389" s="2">
        <f>'QBO Transactions'!$U391</f>
        <v/>
      </c>
      <c r="C389" s="3">
        <f>'QBO Transactions'!$S391</f>
        <v/>
      </c>
      <c r="D389" s="2">
        <f>'QBO Transactions'!$R391</f>
        <v/>
      </c>
      <c r="E389" s="2" t="n"/>
      <c r="F389" s="3">
        <f>'QBO Transactions'!$X391</f>
        <v/>
      </c>
      <c r="G389" s="2" t="n"/>
      <c r="H389" s="2" t="n"/>
      <c r="I389" s="2" t="n"/>
      <c r="J389" s="2" t="n"/>
      <c r="K389" s="2" t="n"/>
      <c r="L389" s="2" t="n"/>
      <c r="M389" s="2" t="n"/>
      <c r="N389" s="2">
        <f>'QBO Transactions'!$Y391</f>
        <v/>
      </c>
      <c r="O389" s="2" t="n"/>
      <c r="P389" s="2" t="n"/>
      <c r="Q389" s="2">
        <f>'QBO Transactions'!$T391</f>
        <v/>
      </c>
      <c r="R389" s="2" t="n"/>
      <c r="S389" s="2" t="n"/>
      <c r="T389" s="2" t="n"/>
      <c r="U389" s="2" t="n"/>
      <c r="V389" s="2" t="n"/>
      <c r="W389" s="2" t="n"/>
      <c r="X389" s="2">
        <f>Q389</f>
        <v/>
      </c>
      <c r="Y389" s="4">
        <f>'QBO Transactions'!$Q391</f>
        <v/>
      </c>
      <c r="Z389" s="2" t="n"/>
      <c r="AA389" s="2" t="n"/>
      <c r="AB389" s="2" t="n"/>
      <c r="AC389" s="2" t="n"/>
      <c r="AD389" s="2" t="n"/>
      <c r="AE389" s="2" t="n"/>
    </row>
    <row r="390" ht="12.75" customHeight="1" s="52">
      <c r="A390" s="2" t="n"/>
      <c r="B390" s="2">
        <f>'QBO Transactions'!$U392</f>
        <v/>
      </c>
      <c r="C390" s="3">
        <f>'QBO Transactions'!$S392</f>
        <v/>
      </c>
      <c r="D390" s="2">
        <f>'QBO Transactions'!$R392</f>
        <v/>
      </c>
      <c r="E390" s="2" t="n"/>
      <c r="F390" s="3">
        <f>'QBO Transactions'!$X392</f>
        <v/>
      </c>
      <c r="G390" s="2" t="n"/>
      <c r="H390" s="2" t="n"/>
      <c r="I390" s="2" t="n"/>
      <c r="J390" s="2" t="n"/>
      <c r="K390" s="2" t="n"/>
      <c r="L390" s="2" t="n"/>
      <c r="M390" s="2" t="n"/>
      <c r="N390" s="2">
        <f>'QBO Transactions'!$Y392</f>
        <v/>
      </c>
      <c r="O390" s="2" t="n"/>
      <c r="P390" s="2" t="n"/>
      <c r="Q390" s="2">
        <f>'QBO Transactions'!$T392</f>
        <v/>
      </c>
      <c r="R390" s="2" t="n"/>
      <c r="S390" s="2" t="n"/>
      <c r="T390" s="2" t="n"/>
      <c r="U390" s="2" t="n"/>
      <c r="V390" s="2" t="n"/>
      <c r="W390" s="2" t="n"/>
      <c r="X390" s="2">
        <f>Q390</f>
        <v/>
      </c>
      <c r="Y390" s="4">
        <f>'QBO Transactions'!$Q392</f>
        <v/>
      </c>
      <c r="Z390" s="2" t="n"/>
      <c r="AA390" s="2" t="n"/>
      <c r="AB390" s="2" t="n"/>
      <c r="AC390" s="2" t="n"/>
      <c r="AD390" s="2" t="n"/>
      <c r="AE390" s="2" t="n"/>
    </row>
    <row r="391" ht="12.75" customHeight="1" s="52">
      <c r="A391" s="2" t="n"/>
      <c r="B391" s="2">
        <f>'QBO Transactions'!$U393</f>
        <v/>
      </c>
      <c r="C391" s="3">
        <f>'QBO Transactions'!$S393</f>
        <v/>
      </c>
      <c r="D391" s="2">
        <f>'QBO Transactions'!$R393</f>
        <v/>
      </c>
      <c r="E391" s="2" t="n"/>
      <c r="F391" s="3">
        <f>'QBO Transactions'!$X393</f>
        <v/>
      </c>
      <c r="G391" s="2" t="n"/>
      <c r="H391" s="2" t="n"/>
      <c r="I391" s="2" t="n"/>
      <c r="J391" s="2" t="n"/>
      <c r="K391" s="2" t="n"/>
      <c r="L391" s="2" t="n"/>
      <c r="M391" s="2" t="n"/>
      <c r="N391" s="2">
        <f>'QBO Transactions'!$Y393</f>
        <v/>
      </c>
      <c r="O391" s="2" t="n"/>
      <c r="P391" s="2" t="n"/>
      <c r="Q391" s="2">
        <f>'QBO Transactions'!$T393</f>
        <v/>
      </c>
      <c r="R391" s="2" t="n"/>
      <c r="S391" s="2" t="n"/>
      <c r="T391" s="2" t="n"/>
      <c r="U391" s="2" t="n"/>
      <c r="V391" s="2" t="n"/>
      <c r="W391" s="2" t="n"/>
      <c r="X391" s="2">
        <f>Q391</f>
        <v/>
      </c>
      <c r="Y391" s="4">
        <f>'QBO Transactions'!$Q393</f>
        <v/>
      </c>
      <c r="Z391" s="2" t="n"/>
      <c r="AA391" s="2" t="n"/>
      <c r="AB391" s="2" t="n"/>
      <c r="AC391" s="2" t="n"/>
      <c r="AD391" s="2" t="n"/>
      <c r="AE391" s="2" t="n"/>
    </row>
    <row r="392" ht="12.75" customHeight="1" s="52">
      <c r="A392" s="2" t="n"/>
      <c r="B392" s="2">
        <f>'QBO Transactions'!$U394</f>
        <v/>
      </c>
      <c r="C392" s="3">
        <f>'QBO Transactions'!$S394</f>
        <v/>
      </c>
      <c r="D392" s="2">
        <f>'QBO Transactions'!$R394</f>
        <v/>
      </c>
      <c r="E392" s="2" t="n"/>
      <c r="F392" s="3">
        <f>'QBO Transactions'!$X394</f>
        <v/>
      </c>
      <c r="G392" s="2" t="n"/>
      <c r="H392" s="2" t="n"/>
      <c r="I392" s="2" t="n"/>
      <c r="J392" s="2" t="n"/>
      <c r="K392" s="2" t="n"/>
      <c r="L392" s="2" t="n"/>
      <c r="M392" s="2" t="n"/>
      <c r="N392" s="2">
        <f>'QBO Transactions'!$Y394</f>
        <v/>
      </c>
      <c r="O392" s="2" t="n"/>
      <c r="P392" s="2" t="n"/>
      <c r="Q392" s="2">
        <f>'QBO Transactions'!$T394</f>
        <v/>
      </c>
      <c r="R392" s="2" t="n"/>
      <c r="S392" s="2" t="n"/>
      <c r="T392" s="2" t="n"/>
      <c r="U392" s="2" t="n"/>
      <c r="V392" s="2" t="n"/>
      <c r="W392" s="2" t="n"/>
      <c r="X392" s="2">
        <f>Q392</f>
        <v/>
      </c>
      <c r="Y392" s="4">
        <f>'QBO Transactions'!$Q394</f>
        <v/>
      </c>
      <c r="Z392" s="2" t="n"/>
      <c r="AA392" s="2" t="n"/>
      <c r="AB392" s="2" t="n"/>
      <c r="AC392" s="2" t="n"/>
      <c r="AD392" s="2" t="n"/>
      <c r="AE392" s="2" t="n"/>
    </row>
    <row r="393" ht="12.75" customHeight="1" s="52">
      <c r="A393" s="2" t="n"/>
      <c r="B393" s="2">
        <f>'QBO Transactions'!$U395</f>
        <v/>
      </c>
      <c r="C393" s="3">
        <f>'QBO Transactions'!$S395</f>
        <v/>
      </c>
      <c r="D393" s="2">
        <f>'QBO Transactions'!$R395</f>
        <v/>
      </c>
      <c r="E393" s="2" t="n"/>
      <c r="F393" s="3">
        <f>'QBO Transactions'!$X395</f>
        <v/>
      </c>
      <c r="G393" s="2" t="n"/>
      <c r="H393" s="2" t="n"/>
      <c r="I393" s="2" t="n"/>
      <c r="J393" s="2" t="n"/>
      <c r="K393" s="2" t="n"/>
      <c r="L393" s="2" t="n"/>
      <c r="M393" s="2" t="n"/>
      <c r="N393" s="2">
        <f>'QBO Transactions'!$Y395</f>
        <v/>
      </c>
      <c r="O393" s="2" t="n"/>
      <c r="P393" s="2" t="n"/>
      <c r="Q393" s="2">
        <f>'QBO Transactions'!$T395</f>
        <v/>
      </c>
      <c r="R393" s="2" t="n"/>
      <c r="S393" s="2" t="n"/>
      <c r="T393" s="2" t="n"/>
      <c r="U393" s="2" t="n"/>
      <c r="V393" s="2" t="n"/>
      <c r="W393" s="2" t="n"/>
      <c r="X393" s="2">
        <f>Q393</f>
        <v/>
      </c>
      <c r="Y393" s="4">
        <f>'QBO Transactions'!$Q395</f>
        <v/>
      </c>
      <c r="Z393" s="2" t="n"/>
      <c r="AA393" s="2" t="n"/>
      <c r="AB393" s="2" t="n"/>
      <c r="AC393" s="2" t="n"/>
      <c r="AD393" s="2" t="n"/>
      <c r="AE393" s="2" t="n"/>
    </row>
    <row r="394" ht="12.75" customHeight="1" s="52">
      <c r="A394" s="2" t="n"/>
      <c r="B394" s="2">
        <f>'QBO Transactions'!$U396</f>
        <v/>
      </c>
      <c r="C394" s="3">
        <f>'QBO Transactions'!$S396</f>
        <v/>
      </c>
      <c r="D394" s="2">
        <f>'QBO Transactions'!$R396</f>
        <v/>
      </c>
      <c r="E394" s="2" t="n"/>
      <c r="F394" s="3">
        <f>'QBO Transactions'!$X396</f>
        <v/>
      </c>
      <c r="G394" s="2" t="n"/>
      <c r="H394" s="2" t="n"/>
      <c r="I394" s="2" t="n"/>
      <c r="J394" s="2" t="n"/>
      <c r="K394" s="2" t="n"/>
      <c r="L394" s="2" t="n"/>
      <c r="M394" s="2" t="n"/>
      <c r="N394" s="2">
        <f>'QBO Transactions'!$Y396</f>
        <v/>
      </c>
      <c r="O394" s="2" t="n"/>
      <c r="P394" s="2" t="n"/>
      <c r="Q394" s="2">
        <f>'QBO Transactions'!$T396</f>
        <v/>
      </c>
      <c r="R394" s="2" t="n"/>
      <c r="S394" s="2" t="n"/>
      <c r="T394" s="2" t="n"/>
      <c r="U394" s="2" t="n"/>
      <c r="V394" s="2" t="n"/>
      <c r="W394" s="2" t="n"/>
      <c r="X394" s="2">
        <f>Q394</f>
        <v/>
      </c>
      <c r="Y394" s="4">
        <f>'QBO Transactions'!$Q396</f>
        <v/>
      </c>
      <c r="Z394" s="2" t="n"/>
      <c r="AA394" s="2" t="n"/>
      <c r="AB394" s="2" t="n"/>
      <c r="AC394" s="2" t="n"/>
      <c r="AD394" s="2" t="n"/>
      <c r="AE394" s="2" t="n"/>
    </row>
    <row r="395" ht="12.75" customHeight="1" s="52">
      <c r="A395" s="2" t="n"/>
      <c r="B395" s="2">
        <f>'QBO Transactions'!$U397</f>
        <v/>
      </c>
      <c r="C395" s="3">
        <f>'QBO Transactions'!$S397</f>
        <v/>
      </c>
      <c r="D395" s="2">
        <f>'QBO Transactions'!$R397</f>
        <v/>
      </c>
      <c r="E395" s="2" t="n"/>
      <c r="F395" s="3">
        <f>'QBO Transactions'!$X397</f>
        <v/>
      </c>
      <c r="G395" s="2" t="n"/>
      <c r="H395" s="2" t="n"/>
      <c r="I395" s="2" t="n"/>
      <c r="J395" s="2" t="n"/>
      <c r="K395" s="2" t="n"/>
      <c r="L395" s="2" t="n"/>
      <c r="M395" s="2" t="n"/>
      <c r="N395" s="2">
        <f>'QBO Transactions'!$Y397</f>
        <v/>
      </c>
      <c r="O395" s="2" t="n"/>
      <c r="P395" s="2" t="n"/>
      <c r="Q395" s="2">
        <f>'QBO Transactions'!$T397</f>
        <v/>
      </c>
      <c r="R395" s="2" t="n"/>
      <c r="S395" s="2" t="n"/>
      <c r="T395" s="2" t="n"/>
      <c r="U395" s="2" t="n"/>
      <c r="V395" s="2" t="n"/>
      <c r="W395" s="2" t="n"/>
      <c r="X395" s="2">
        <f>Q395</f>
        <v/>
      </c>
      <c r="Y395" s="4">
        <f>'QBO Transactions'!$Q397</f>
        <v/>
      </c>
      <c r="Z395" s="2" t="n"/>
      <c r="AA395" s="2" t="n"/>
      <c r="AB395" s="2" t="n"/>
      <c r="AC395" s="2" t="n"/>
      <c r="AD395" s="2" t="n"/>
      <c r="AE395" s="2" t="n"/>
    </row>
    <row r="396" ht="12.75" customHeight="1" s="52">
      <c r="A396" s="2" t="n"/>
      <c r="B396" s="2">
        <f>'QBO Transactions'!$U398</f>
        <v/>
      </c>
      <c r="C396" s="3">
        <f>'QBO Transactions'!$S398</f>
        <v/>
      </c>
      <c r="D396" s="2">
        <f>'QBO Transactions'!$R398</f>
        <v/>
      </c>
      <c r="E396" s="2" t="n"/>
      <c r="F396" s="3">
        <f>'QBO Transactions'!$X398</f>
        <v/>
      </c>
      <c r="G396" s="2" t="n"/>
      <c r="H396" s="2" t="n"/>
      <c r="I396" s="2" t="n"/>
      <c r="J396" s="2" t="n"/>
      <c r="K396" s="2" t="n"/>
      <c r="L396" s="2" t="n"/>
      <c r="M396" s="2" t="n"/>
      <c r="N396" s="2">
        <f>'QBO Transactions'!$Y398</f>
        <v/>
      </c>
      <c r="O396" s="2" t="n"/>
      <c r="P396" s="2" t="n"/>
      <c r="Q396" s="2">
        <f>'QBO Transactions'!$T398</f>
        <v/>
      </c>
      <c r="R396" s="2" t="n"/>
      <c r="S396" s="2" t="n"/>
      <c r="T396" s="2" t="n"/>
      <c r="U396" s="2" t="n"/>
      <c r="V396" s="2" t="n"/>
      <c r="W396" s="2" t="n"/>
      <c r="X396" s="2">
        <f>Q396</f>
        <v/>
      </c>
      <c r="Y396" s="4">
        <f>'QBO Transactions'!$Q398</f>
        <v/>
      </c>
      <c r="Z396" s="2" t="n"/>
      <c r="AA396" s="2" t="n"/>
      <c r="AB396" s="2" t="n"/>
      <c r="AC396" s="2" t="n"/>
      <c r="AD396" s="2" t="n"/>
      <c r="AE396" s="2" t="n"/>
    </row>
    <row r="397" ht="12.75" customHeight="1" s="52">
      <c r="A397" s="2" t="n"/>
      <c r="B397" s="2">
        <f>'QBO Transactions'!$U399</f>
        <v/>
      </c>
      <c r="C397" s="3">
        <f>'QBO Transactions'!$S399</f>
        <v/>
      </c>
      <c r="D397" s="2">
        <f>'QBO Transactions'!$R399</f>
        <v/>
      </c>
      <c r="E397" s="2" t="n"/>
      <c r="F397" s="3">
        <f>'QBO Transactions'!$X399</f>
        <v/>
      </c>
      <c r="G397" s="2" t="n"/>
      <c r="H397" s="2" t="n"/>
      <c r="I397" s="2" t="n"/>
      <c r="J397" s="2" t="n"/>
      <c r="K397" s="2" t="n"/>
      <c r="L397" s="2" t="n"/>
      <c r="M397" s="2" t="n"/>
      <c r="N397" s="2">
        <f>'QBO Transactions'!$Y399</f>
        <v/>
      </c>
      <c r="O397" s="2" t="n"/>
      <c r="P397" s="2" t="n"/>
      <c r="Q397" s="2">
        <f>'QBO Transactions'!$T399</f>
        <v/>
      </c>
      <c r="R397" s="2" t="n"/>
      <c r="S397" s="2" t="n"/>
      <c r="T397" s="2" t="n"/>
      <c r="U397" s="2" t="n"/>
      <c r="V397" s="2" t="n"/>
      <c r="W397" s="2" t="n"/>
      <c r="X397" s="2">
        <f>Q397</f>
        <v/>
      </c>
      <c r="Y397" s="4">
        <f>'QBO Transactions'!$Q399</f>
        <v/>
      </c>
      <c r="Z397" s="2" t="n"/>
      <c r="AA397" s="2" t="n"/>
      <c r="AB397" s="2" t="n"/>
      <c r="AC397" s="2" t="n"/>
      <c r="AD397" s="2" t="n"/>
      <c r="AE397" s="2" t="n"/>
    </row>
    <row r="398" ht="12.75" customHeight="1" s="52">
      <c r="A398" s="2" t="n"/>
      <c r="B398" s="2">
        <f>'QBO Transactions'!$U400</f>
        <v/>
      </c>
      <c r="C398" s="3">
        <f>'QBO Transactions'!$S400</f>
        <v/>
      </c>
      <c r="D398" s="2">
        <f>'QBO Transactions'!$R400</f>
        <v/>
      </c>
      <c r="E398" s="2" t="n"/>
      <c r="F398" s="3">
        <f>'QBO Transactions'!$X400</f>
        <v/>
      </c>
      <c r="G398" s="2" t="n"/>
      <c r="H398" s="2" t="n"/>
      <c r="I398" s="2" t="n"/>
      <c r="J398" s="2" t="n"/>
      <c r="K398" s="2" t="n"/>
      <c r="L398" s="2" t="n"/>
      <c r="M398" s="2" t="n"/>
      <c r="N398" s="2">
        <f>'QBO Transactions'!$Y400</f>
        <v/>
      </c>
      <c r="O398" s="2" t="n"/>
      <c r="P398" s="2" t="n"/>
      <c r="Q398" s="2">
        <f>'QBO Transactions'!$T400</f>
        <v/>
      </c>
      <c r="R398" s="2" t="n"/>
      <c r="S398" s="2" t="n"/>
      <c r="T398" s="2" t="n"/>
      <c r="U398" s="2" t="n"/>
      <c r="V398" s="2" t="n"/>
      <c r="W398" s="2" t="n"/>
      <c r="X398" s="2">
        <f>Q398</f>
        <v/>
      </c>
      <c r="Y398" s="4">
        <f>'QBO Transactions'!$Q400</f>
        <v/>
      </c>
      <c r="Z398" s="2" t="n"/>
      <c r="AA398" s="2" t="n"/>
      <c r="AB398" s="2" t="n"/>
      <c r="AC398" s="2" t="n"/>
      <c r="AD398" s="2" t="n"/>
      <c r="AE398" s="2" t="n"/>
    </row>
    <row r="399" ht="12.75" customHeight="1" s="52">
      <c r="A399" s="2" t="n"/>
      <c r="B399" s="2">
        <f>'QBO Transactions'!$U401</f>
        <v/>
      </c>
      <c r="C399" s="3">
        <f>'QBO Transactions'!$S401</f>
        <v/>
      </c>
      <c r="D399" s="2">
        <f>'QBO Transactions'!$R401</f>
        <v/>
      </c>
      <c r="E399" s="2" t="n"/>
      <c r="F399" s="3">
        <f>'QBO Transactions'!$X401</f>
        <v/>
      </c>
      <c r="G399" s="2" t="n"/>
      <c r="H399" s="2" t="n"/>
      <c r="I399" s="2" t="n"/>
      <c r="J399" s="2" t="n"/>
      <c r="K399" s="2" t="n"/>
      <c r="L399" s="2" t="n"/>
      <c r="M399" s="2" t="n"/>
      <c r="N399" s="2">
        <f>'QBO Transactions'!$Y401</f>
        <v/>
      </c>
      <c r="O399" s="2" t="n"/>
      <c r="P399" s="2" t="n"/>
      <c r="Q399" s="2">
        <f>'QBO Transactions'!$T401</f>
        <v/>
      </c>
      <c r="R399" s="2" t="n"/>
      <c r="S399" s="2" t="n"/>
      <c r="T399" s="2" t="n"/>
      <c r="U399" s="2" t="n"/>
      <c r="V399" s="2" t="n"/>
      <c r="W399" s="2" t="n"/>
      <c r="X399" s="2">
        <f>Q399</f>
        <v/>
      </c>
      <c r="Y399" s="4">
        <f>'QBO Transactions'!$Q401</f>
        <v/>
      </c>
      <c r="Z399" s="2" t="n"/>
      <c r="AA399" s="2" t="n"/>
      <c r="AB399" s="2" t="n"/>
      <c r="AC399" s="2" t="n"/>
      <c r="AD399" s="2" t="n"/>
      <c r="AE399" s="2" t="n"/>
    </row>
    <row r="400" ht="12.75" customHeight="1" s="52">
      <c r="A400" s="2" t="n"/>
      <c r="B400" s="2">
        <f>'QBO Transactions'!$U402</f>
        <v/>
      </c>
      <c r="C400" s="3">
        <f>'QBO Transactions'!$S402</f>
        <v/>
      </c>
      <c r="D400" s="2">
        <f>'QBO Transactions'!$R402</f>
        <v/>
      </c>
      <c r="E400" s="2" t="n"/>
      <c r="F400" s="3">
        <f>'QBO Transactions'!$X402</f>
        <v/>
      </c>
      <c r="G400" s="2" t="n"/>
      <c r="H400" s="2" t="n"/>
      <c r="I400" s="2" t="n"/>
      <c r="J400" s="2" t="n"/>
      <c r="K400" s="2" t="n"/>
      <c r="L400" s="2" t="n"/>
      <c r="M400" s="2" t="n"/>
      <c r="N400" s="2">
        <f>'QBO Transactions'!$Y402</f>
        <v/>
      </c>
      <c r="O400" s="2" t="n"/>
      <c r="P400" s="2" t="n"/>
      <c r="Q400" s="2">
        <f>'QBO Transactions'!$T402</f>
        <v/>
      </c>
      <c r="R400" s="2" t="n"/>
      <c r="S400" s="2" t="n"/>
      <c r="T400" s="2" t="n"/>
      <c r="U400" s="2" t="n"/>
      <c r="V400" s="2" t="n"/>
      <c r="W400" s="2" t="n"/>
      <c r="X400" s="2">
        <f>Q400</f>
        <v/>
      </c>
      <c r="Y400" s="4">
        <f>'QBO Transactions'!$Q402</f>
        <v/>
      </c>
      <c r="Z400" s="2" t="n"/>
      <c r="AA400" s="2" t="n"/>
      <c r="AB400" s="2" t="n"/>
      <c r="AC400" s="2" t="n"/>
      <c r="AD400" s="2" t="n"/>
      <c r="AE400" s="2" t="n"/>
    </row>
    <row r="401" ht="12.75" customHeight="1" s="52">
      <c r="A401" s="2" t="n"/>
      <c r="B401" s="2">
        <f>'QBO Transactions'!$U403</f>
        <v/>
      </c>
      <c r="C401" s="3">
        <f>'QBO Transactions'!$S403</f>
        <v/>
      </c>
      <c r="D401" s="2">
        <f>'QBO Transactions'!$R403</f>
        <v/>
      </c>
      <c r="E401" s="2" t="n"/>
      <c r="F401" s="3">
        <f>'QBO Transactions'!$X403</f>
        <v/>
      </c>
      <c r="G401" s="2" t="n"/>
      <c r="H401" s="2" t="n"/>
      <c r="I401" s="2" t="n"/>
      <c r="J401" s="2" t="n"/>
      <c r="K401" s="2" t="n"/>
      <c r="L401" s="2" t="n"/>
      <c r="M401" s="2" t="n"/>
      <c r="N401" s="2">
        <f>'QBO Transactions'!$Y403</f>
        <v/>
      </c>
      <c r="O401" s="2" t="n"/>
      <c r="P401" s="2" t="n"/>
      <c r="Q401" s="2">
        <f>'QBO Transactions'!$T403</f>
        <v/>
      </c>
      <c r="R401" s="2" t="n"/>
      <c r="S401" s="2" t="n"/>
      <c r="T401" s="2" t="n"/>
      <c r="U401" s="2" t="n"/>
      <c r="V401" s="2" t="n"/>
      <c r="W401" s="2" t="n"/>
      <c r="X401" s="2">
        <f>Q401</f>
        <v/>
      </c>
      <c r="Y401" s="4">
        <f>'QBO Transactions'!$Q403</f>
        <v/>
      </c>
      <c r="Z401" s="2" t="n"/>
      <c r="AA401" s="2" t="n"/>
      <c r="AB401" s="2" t="n"/>
      <c r="AC401" s="2" t="n"/>
      <c r="AD401" s="2" t="n"/>
      <c r="AE401" s="2" t="n"/>
    </row>
    <row r="402" ht="12.75" customHeight="1" s="52">
      <c r="A402" s="2" t="n"/>
      <c r="B402" s="2">
        <f>'QBO Transactions'!$U404</f>
        <v/>
      </c>
      <c r="C402" s="3">
        <f>'QBO Transactions'!$S404</f>
        <v/>
      </c>
      <c r="D402" s="2">
        <f>'QBO Transactions'!$R404</f>
        <v/>
      </c>
      <c r="E402" s="2" t="n"/>
      <c r="F402" s="3">
        <f>'QBO Transactions'!$X404</f>
        <v/>
      </c>
      <c r="G402" s="2" t="n"/>
      <c r="H402" s="2" t="n"/>
      <c r="I402" s="2" t="n"/>
      <c r="J402" s="2" t="n"/>
      <c r="K402" s="2" t="n"/>
      <c r="L402" s="2" t="n"/>
      <c r="M402" s="2" t="n"/>
      <c r="N402" s="2">
        <f>'QBO Transactions'!$Y404</f>
        <v/>
      </c>
      <c r="O402" s="2" t="n"/>
      <c r="P402" s="2" t="n"/>
      <c r="Q402" s="2">
        <f>'QBO Transactions'!$T404</f>
        <v/>
      </c>
      <c r="R402" s="2" t="n"/>
      <c r="S402" s="2" t="n"/>
      <c r="T402" s="2" t="n"/>
      <c r="U402" s="2" t="n"/>
      <c r="V402" s="2" t="n"/>
      <c r="W402" s="2" t="n"/>
      <c r="X402" s="2">
        <f>Q402</f>
        <v/>
      </c>
      <c r="Y402" s="4">
        <f>'QBO Transactions'!$Q404</f>
        <v/>
      </c>
      <c r="Z402" s="2" t="n"/>
      <c r="AA402" s="2" t="n"/>
      <c r="AB402" s="2" t="n"/>
      <c r="AC402" s="2" t="n"/>
      <c r="AD402" s="2" t="n"/>
      <c r="AE402" s="2" t="n"/>
    </row>
    <row r="403" ht="12.75" customHeight="1" s="52">
      <c r="A403" s="2" t="n"/>
      <c r="B403" s="2">
        <f>'QBO Transactions'!$U405</f>
        <v/>
      </c>
      <c r="C403" s="3">
        <f>'QBO Transactions'!$S405</f>
        <v/>
      </c>
      <c r="D403" s="2">
        <f>'QBO Transactions'!$R405</f>
        <v/>
      </c>
      <c r="E403" s="2" t="n"/>
      <c r="F403" s="3">
        <f>'QBO Transactions'!$X405</f>
        <v/>
      </c>
      <c r="G403" s="2" t="n"/>
      <c r="H403" s="2" t="n"/>
      <c r="I403" s="2" t="n"/>
      <c r="J403" s="2" t="n"/>
      <c r="K403" s="2" t="n"/>
      <c r="L403" s="2" t="n"/>
      <c r="M403" s="2" t="n"/>
      <c r="N403" s="2">
        <f>'QBO Transactions'!$Y405</f>
        <v/>
      </c>
      <c r="O403" s="2" t="n"/>
      <c r="P403" s="2" t="n"/>
      <c r="Q403" s="2">
        <f>'QBO Transactions'!$T405</f>
        <v/>
      </c>
      <c r="R403" s="2" t="n"/>
      <c r="S403" s="2" t="n"/>
      <c r="T403" s="2" t="n"/>
      <c r="U403" s="2" t="n"/>
      <c r="V403" s="2" t="n"/>
      <c r="W403" s="2" t="n"/>
      <c r="X403" s="2">
        <f>Q403</f>
        <v/>
      </c>
      <c r="Y403" s="4">
        <f>'QBO Transactions'!$Q405</f>
        <v/>
      </c>
      <c r="Z403" s="2" t="n"/>
      <c r="AA403" s="2" t="n"/>
      <c r="AB403" s="2" t="n"/>
      <c r="AC403" s="2" t="n"/>
      <c r="AD403" s="2" t="n"/>
      <c r="AE403" s="2" t="n"/>
    </row>
    <row r="404" ht="12.75" customHeight="1" s="52">
      <c r="A404" s="2" t="n"/>
      <c r="B404" s="2">
        <f>'QBO Transactions'!$U406</f>
        <v/>
      </c>
      <c r="C404" s="3">
        <f>'QBO Transactions'!$S406</f>
        <v/>
      </c>
      <c r="D404" s="2">
        <f>'QBO Transactions'!$R406</f>
        <v/>
      </c>
      <c r="E404" s="2" t="n"/>
      <c r="F404" s="3">
        <f>'QBO Transactions'!$X406</f>
        <v/>
      </c>
      <c r="G404" s="2" t="n"/>
      <c r="H404" s="2" t="n"/>
      <c r="I404" s="2" t="n"/>
      <c r="J404" s="2" t="n"/>
      <c r="K404" s="2" t="n"/>
      <c r="L404" s="2" t="n"/>
      <c r="M404" s="2" t="n"/>
      <c r="N404" s="2">
        <f>'QBO Transactions'!$Y406</f>
        <v/>
      </c>
      <c r="O404" s="2" t="n"/>
      <c r="P404" s="2" t="n"/>
      <c r="Q404" s="2">
        <f>'QBO Transactions'!$T406</f>
        <v/>
      </c>
      <c r="R404" s="2" t="n"/>
      <c r="S404" s="2" t="n"/>
      <c r="T404" s="2" t="n"/>
      <c r="U404" s="2" t="n"/>
      <c r="V404" s="2" t="n"/>
      <c r="W404" s="2" t="n"/>
      <c r="X404" s="2">
        <f>Q404</f>
        <v/>
      </c>
      <c r="Y404" s="4">
        <f>'QBO Transactions'!$Q406</f>
        <v/>
      </c>
      <c r="Z404" s="2" t="n"/>
      <c r="AA404" s="2" t="n"/>
      <c r="AB404" s="2" t="n"/>
      <c r="AC404" s="2" t="n"/>
      <c r="AD404" s="2" t="n"/>
      <c r="AE404" s="2" t="n"/>
    </row>
    <row r="405" ht="12.75" customHeight="1" s="52">
      <c r="A405" s="2" t="n"/>
      <c r="B405" s="2">
        <f>'QBO Transactions'!$U407</f>
        <v/>
      </c>
      <c r="C405" s="3">
        <f>'QBO Transactions'!$S407</f>
        <v/>
      </c>
      <c r="D405" s="2">
        <f>'QBO Transactions'!$R407</f>
        <v/>
      </c>
      <c r="E405" s="2" t="n"/>
      <c r="F405" s="3">
        <f>'QBO Transactions'!$X407</f>
        <v/>
      </c>
      <c r="G405" s="2" t="n"/>
      <c r="H405" s="2" t="n"/>
      <c r="I405" s="2" t="n"/>
      <c r="J405" s="2" t="n"/>
      <c r="K405" s="2" t="n"/>
      <c r="L405" s="2" t="n"/>
      <c r="M405" s="2" t="n"/>
      <c r="N405" s="2">
        <f>'QBO Transactions'!$Y407</f>
        <v/>
      </c>
      <c r="O405" s="2" t="n"/>
      <c r="P405" s="2" t="n"/>
      <c r="Q405" s="2">
        <f>'QBO Transactions'!$T407</f>
        <v/>
      </c>
      <c r="R405" s="2" t="n"/>
      <c r="S405" s="2" t="n"/>
      <c r="T405" s="2" t="n"/>
      <c r="U405" s="2" t="n"/>
      <c r="V405" s="2" t="n"/>
      <c r="W405" s="2" t="n"/>
      <c r="X405" s="2">
        <f>Q405</f>
        <v/>
      </c>
      <c r="Y405" s="4">
        <f>'QBO Transactions'!$Q407</f>
        <v/>
      </c>
      <c r="Z405" s="2" t="n"/>
      <c r="AA405" s="2" t="n"/>
      <c r="AB405" s="2" t="n"/>
      <c r="AC405" s="2" t="n"/>
      <c r="AD405" s="2" t="n"/>
      <c r="AE405" s="2" t="n"/>
    </row>
    <row r="406" ht="12.75" customHeight="1" s="52">
      <c r="A406" s="2" t="n"/>
      <c r="B406" s="2">
        <f>'QBO Transactions'!$U408</f>
        <v/>
      </c>
      <c r="C406" s="3">
        <f>'QBO Transactions'!$S408</f>
        <v/>
      </c>
      <c r="D406" s="2">
        <f>'QBO Transactions'!$R408</f>
        <v/>
      </c>
      <c r="E406" s="2" t="n"/>
      <c r="F406" s="3">
        <f>'QBO Transactions'!$X408</f>
        <v/>
      </c>
      <c r="G406" s="2" t="n"/>
      <c r="H406" s="2" t="n"/>
      <c r="I406" s="2" t="n"/>
      <c r="J406" s="2" t="n"/>
      <c r="K406" s="2" t="n"/>
      <c r="L406" s="2" t="n"/>
      <c r="M406" s="2" t="n"/>
      <c r="N406" s="2">
        <f>'QBO Transactions'!$Y408</f>
        <v/>
      </c>
      <c r="O406" s="2" t="n"/>
      <c r="P406" s="2" t="n"/>
      <c r="Q406" s="2">
        <f>'QBO Transactions'!$T408</f>
        <v/>
      </c>
      <c r="R406" s="2" t="n"/>
      <c r="S406" s="2" t="n"/>
      <c r="T406" s="2" t="n"/>
      <c r="U406" s="2" t="n"/>
      <c r="V406" s="2" t="n"/>
      <c r="W406" s="2" t="n"/>
      <c r="X406" s="2">
        <f>Q406</f>
        <v/>
      </c>
      <c r="Y406" s="4">
        <f>'QBO Transactions'!$Q408</f>
        <v/>
      </c>
      <c r="Z406" s="2" t="n"/>
      <c r="AA406" s="2" t="n"/>
      <c r="AB406" s="2" t="n"/>
      <c r="AC406" s="2" t="n"/>
      <c r="AD406" s="2" t="n"/>
      <c r="AE406" s="2" t="n"/>
    </row>
    <row r="407" ht="12.75" customHeight="1" s="52">
      <c r="A407" s="2" t="n"/>
      <c r="B407" s="2">
        <f>'QBO Transactions'!$U409</f>
        <v/>
      </c>
      <c r="C407" s="3">
        <f>'QBO Transactions'!$S409</f>
        <v/>
      </c>
      <c r="D407" s="2">
        <f>'QBO Transactions'!$R409</f>
        <v/>
      </c>
      <c r="E407" s="2" t="n"/>
      <c r="F407" s="3">
        <f>'QBO Transactions'!$X409</f>
        <v/>
      </c>
      <c r="G407" s="2" t="n"/>
      <c r="H407" s="2" t="n"/>
      <c r="I407" s="2" t="n"/>
      <c r="J407" s="2" t="n"/>
      <c r="K407" s="2" t="n"/>
      <c r="L407" s="2" t="n"/>
      <c r="M407" s="2" t="n"/>
      <c r="N407" s="2">
        <f>'QBO Transactions'!$Y409</f>
        <v/>
      </c>
      <c r="O407" s="2" t="n"/>
      <c r="P407" s="2" t="n"/>
      <c r="Q407" s="2">
        <f>'QBO Transactions'!$T409</f>
        <v/>
      </c>
      <c r="R407" s="2" t="n"/>
      <c r="S407" s="2" t="n"/>
      <c r="T407" s="2" t="n"/>
      <c r="U407" s="2" t="n"/>
      <c r="V407" s="2" t="n"/>
      <c r="W407" s="2" t="n"/>
      <c r="X407" s="2">
        <f>Q407</f>
        <v/>
      </c>
      <c r="Y407" s="4">
        <f>'QBO Transactions'!$Q409</f>
        <v/>
      </c>
      <c r="Z407" s="2" t="n"/>
      <c r="AA407" s="2" t="n"/>
      <c r="AB407" s="2" t="n"/>
      <c r="AC407" s="2" t="n"/>
      <c r="AD407" s="2" t="n"/>
      <c r="AE407" s="2" t="n"/>
    </row>
    <row r="408" ht="12.75" customHeight="1" s="52">
      <c r="A408" s="2" t="n"/>
      <c r="B408" s="2">
        <f>'QBO Transactions'!$U410</f>
        <v/>
      </c>
      <c r="C408" s="3">
        <f>'QBO Transactions'!$S410</f>
        <v/>
      </c>
      <c r="D408" s="2">
        <f>'QBO Transactions'!$R410</f>
        <v/>
      </c>
      <c r="E408" s="2" t="n"/>
      <c r="F408" s="3">
        <f>'QBO Transactions'!$X410</f>
        <v/>
      </c>
      <c r="G408" s="2" t="n"/>
      <c r="H408" s="2" t="n"/>
      <c r="I408" s="2" t="n"/>
      <c r="J408" s="2" t="n"/>
      <c r="K408" s="2" t="n"/>
      <c r="L408" s="2" t="n"/>
      <c r="M408" s="2" t="n"/>
      <c r="N408" s="2">
        <f>'QBO Transactions'!$Y410</f>
        <v/>
      </c>
      <c r="O408" s="2" t="n"/>
      <c r="P408" s="2" t="n"/>
      <c r="Q408" s="2">
        <f>'QBO Transactions'!$T410</f>
        <v/>
      </c>
      <c r="R408" s="2" t="n"/>
      <c r="S408" s="2" t="n"/>
      <c r="T408" s="2" t="n"/>
      <c r="U408" s="2" t="n"/>
      <c r="V408" s="2" t="n"/>
      <c r="W408" s="2" t="n"/>
      <c r="X408" s="2">
        <f>Q408</f>
        <v/>
      </c>
      <c r="Y408" s="4">
        <f>'QBO Transactions'!$Q410</f>
        <v/>
      </c>
      <c r="Z408" s="2" t="n"/>
      <c r="AA408" s="2" t="n"/>
      <c r="AB408" s="2" t="n"/>
      <c r="AC408" s="2" t="n"/>
      <c r="AD408" s="2" t="n"/>
      <c r="AE408" s="2" t="n"/>
    </row>
    <row r="409" ht="12.75" customHeight="1" s="52">
      <c r="A409" s="2" t="n"/>
      <c r="B409" s="2">
        <f>'QBO Transactions'!$U411</f>
        <v/>
      </c>
      <c r="C409" s="3">
        <f>'QBO Transactions'!$S411</f>
        <v/>
      </c>
      <c r="D409" s="2">
        <f>'QBO Transactions'!$R411</f>
        <v/>
      </c>
      <c r="E409" s="2" t="n"/>
      <c r="F409" s="3">
        <f>'QBO Transactions'!$X411</f>
        <v/>
      </c>
      <c r="G409" s="2" t="n"/>
      <c r="H409" s="2" t="n"/>
      <c r="I409" s="2" t="n"/>
      <c r="J409" s="2" t="n"/>
      <c r="K409" s="2" t="n"/>
      <c r="L409" s="2" t="n"/>
      <c r="M409" s="2" t="n"/>
      <c r="N409" s="2">
        <f>'QBO Transactions'!$Y411</f>
        <v/>
      </c>
      <c r="O409" s="2" t="n"/>
      <c r="P409" s="2" t="n"/>
      <c r="Q409" s="2">
        <f>'QBO Transactions'!$T411</f>
        <v/>
      </c>
      <c r="R409" s="2" t="n"/>
      <c r="S409" s="2" t="n"/>
      <c r="T409" s="2" t="n"/>
      <c r="U409" s="2" t="n"/>
      <c r="V409" s="2" t="n"/>
      <c r="W409" s="2" t="n"/>
      <c r="X409" s="2">
        <f>Q409</f>
        <v/>
      </c>
      <c r="Y409" s="4">
        <f>'QBO Transactions'!$Q411</f>
        <v/>
      </c>
      <c r="Z409" s="2" t="n"/>
      <c r="AA409" s="2" t="n"/>
      <c r="AB409" s="2" t="n"/>
      <c r="AC409" s="2" t="n"/>
      <c r="AD409" s="2" t="n"/>
      <c r="AE409" s="2" t="n"/>
    </row>
    <row r="410" ht="12.75" customHeight="1" s="52">
      <c r="A410" s="2" t="n"/>
      <c r="B410" s="2">
        <f>'QBO Transactions'!$U412</f>
        <v/>
      </c>
      <c r="C410" s="3">
        <f>'QBO Transactions'!$S412</f>
        <v/>
      </c>
      <c r="D410" s="2">
        <f>'QBO Transactions'!$R412</f>
        <v/>
      </c>
      <c r="E410" s="2" t="n"/>
      <c r="F410" s="3">
        <f>'QBO Transactions'!$X412</f>
        <v/>
      </c>
      <c r="G410" s="2" t="n"/>
      <c r="H410" s="2" t="n"/>
      <c r="I410" s="2" t="n"/>
      <c r="J410" s="2" t="n"/>
      <c r="K410" s="2" t="n"/>
      <c r="L410" s="2" t="n"/>
      <c r="M410" s="2" t="n"/>
      <c r="N410" s="2">
        <f>'QBO Transactions'!$Y412</f>
        <v/>
      </c>
      <c r="O410" s="2" t="n"/>
      <c r="P410" s="2" t="n"/>
      <c r="Q410" s="2">
        <f>'QBO Transactions'!$T412</f>
        <v/>
      </c>
      <c r="R410" s="2" t="n"/>
      <c r="S410" s="2" t="n"/>
      <c r="T410" s="2" t="n"/>
      <c r="U410" s="2" t="n"/>
      <c r="V410" s="2" t="n"/>
      <c r="W410" s="2" t="n"/>
      <c r="X410" s="2">
        <f>Q410</f>
        <v/>
      </c>
      <c r="Y410" s="4">
        <f>'QBO Transactions'!$Q412</f>
        <v/>
      </c>
      <c r="Z410" s="2" t="n"/>
      <c r="AA410" s="2" t="n"/>
      <c r="AB410" s="2" t="n"/>
      <c r="AC410" s="2" t="n"/>
      <c r="AD410" s="2" t="n"/>
      <c r="AE410" s="2" t="n"/>
    </row>
    <row r="411" ht="12.75" customHeight="1" s="52">
      <c r="A411" s="2" t="n"/>
      <c r="B411" s="2">
        <f>'QBO Transactions'!$U413</f>
        <v/>
      </c>
      <c r="C411" s="3">
        <f>'QBO Transactions'!$S413</f>
        <v/>
      </c>
      <c r="D411" s="2">
        <f>'QBO Transactions'!$R413</f>
        <v/>
      </c>
      <c r="E411" s="2" t="n"/>
      <c r="F411" s="3">
        <f>'QBO Transactions'!$X413</f>
        <v/>
      </c>
      <c r="G411" s="2" t="n"/>
      <c r="H411" s="2" t="n"/>
      <c r="I411" s="2" t="n"/>
      <c r="J411" s="2" t="n"/>
      <c r="K411" s="2" t="n"/>
      <c r="L411" s="2" t="n"/>
      <c r="M411" s="2" t="n"/>
      <c r="N411" s="2">
        <f>'QBO Transactions'!$Y413</f>
        <v/>
      </c>
      <c r="O411" s="2" t="n"/>
      <c r="P411" s="2" t="n"/>
      <c r="Q411" s="2">
        <f>'QBO Transactions'!$T413</f>
        <v/>
      </c>
      <c r="R411" s="2" t="n"/>
      <c r="S411" s="2" t="n"/>
      <c r="T411" s="2" t="n"/>
      <c r="U411" s="2" t="n"/>
      <c r="V411" s="2" t="n"/>
      <c r="W411" s="2" t="n"/>
      <c r="X411" s="2">
        <f>Q411</f>
        <v/>
      </c>
      <c r="Y411" s="4">
        <f>'QBO Transactions'!$Q413</f>
        <v/>
      </c>
      <c r="Z411" s="2" t="n"/>
      <c r="AA411" s="2" t="n"/>
      <c r="AB411" s="2" t="n"/>
      <c r="AC411" s="2" t="n"/>
      <c r="AD411" s="2" t="n"/>
      <c r="AE411" s="2" t="n"/>
    </row>
    <row r="412" ht="12.75" customHeight="1" s="52">
      <c r="A412" s="2" t="n"/>
      <c r="B412" s="2">
        <f>'QBO Transactions'!$U414</f>
        <v/>
      </c>
      <c r="C412" s="3">
        <f>'QBO Transactions'!$S414</f>
        <v/>
      </c>
      <c r="D412" s="2">
        <f>'QBO Transactions'!$R414</f>
        <v/>
      </c>
      <c r="E412" s="2" t="n"/>
      <c r="F412" s="3">
        <f>'QBO Transactions'!$X414</f>
        <v/>
      </c>
      <c r="G412" s="2" t="n"/>
      <c r="H412" s="2" t="n"/>
      <c r="I412" s="2" t="n"/>
      <c r="J412" s="2" t="n"/>
      <c r="K412" s="2" t="n"/>
      <c r="L412" s="2" t="n"/>
      <c r="M412" s="2" t="n"/>
      <c r="N412" s="2">
        <f>'QBO Transactions'!$Y414</f>
        <v/>
      </c>
      <c r="O412" s="2" t="n"/>
      <c r="P412" s="2" t="n"/>
      <c r="Q412" s="2">
        <f>'QBO Transactions'!$T414</f>
        <v/>
      </c>
      <c r="R412" s="2" t="n"/>
      <c r="S412" s="2" t="n"/>
      <c r="T412" s="2" t="n"/>
      <c r="U412" s="2" t="n"/>
      <c r="V412" s="2" t="n"/>
      <c r="W412" s="2" t="n"/>
      <c r="X412" s="2">
        <f>Q412</f>
        <v/>
      </c>
      <c r="Y412" s="4">
        <f>'QBO Transactions'!$Q414</f>
        <v/>
      </c>
      <c r="Z412" s="2" t="n"/>
      <c r="AA412" s="2" t="n"/>
      <c r="AB412" s="2" t="n"/>
      <c r="AC412" s="2" t="n"/>
      <c r="AD412" s="2" t="n"/>
      <c r="AE412" s="2" t="n"/>
    </row>
    <row r="413" ht="12.75" customHeight="1" s="52">
      <c r="A413" s="2" t="n"/>
      <c r="B413" s="2">
        <f>'QBO Transactions'!$U415</f>
        <v/>
      </c>
      <c r="C413" s="3">
        <f>'QBO Transactions'!$S415</f>
        <v/>
      </c>
      <c r="D413" s="2">
        <f>'QBO Transactions'!$R415</f>
        <v/>
      </c>
      <c r="E413" s="2" t="n"/>
      <c r="F413" s="3">
        <f>'QBO Transactions'!$X415</f>
        <v/>
      </c>
      <c r="G413" s="2" t="n"/>
      <c r="H413" s="2" t="n"/>
      <c r="I413" s="2" t="n"/>
      <c r="J413" s="2" t="n"/>
      <c r="K413" s="2" t="n"/>
      <c r="L413" s="2" t="n"/>
      <c r="M413" s="2" t="n"/>
      <c r="N413" s="2">
        <f>'QBO Transactions'!$Y415</f>
        <v/>
      </c>
      <c r="O413" s="2" t="n"/>
      <c r="P413" s="2" t="n"/>
      <c r="Q413" s="2">
        <f>'QBO Transactions'!$T415</f>
        <v/>
      </c>
      <c r="R413" s="2" t="n"/>
      <c r="S413" s="2" t="n"/>
      <c r="T413" s="2" t="n"/>
      <c r="U413" s="2" t="n"/>
      <c r="V413" s="2" t="n"/>
      <c r="W413" s="2" t="n"/>
      <c r="X413" s="2">
        <f>Q413</f>
        <v/>
      </c>
      <c r="Y413" s="4">
        <f>'QBO Transactions'!$Q415</f>
        <v/>
      </c>
      <c r="Z413" s="2" t="n"/>
      <c r="AA413" s="2" t="n"/>
      <c r="AB413" s="2" t="n"/>
      <c r="AC413" s="2" t="n"/>
      <c r="AD413" s="2" t="n"/>
      <c r="AE413" s="2" t="n"/>
    </row>
    <row r="414" ht="12.75" customHeight="1" s="52">
      <c r="A414" s="2" t="n"/>
      <c r="B414" s="2">
        <f>'QBO Transactions'!$U416</f>
        <v/>
      </c>
      <c r="C414" s="3">
        <f>'QBO Transactions'!$S416</f>
        <v/>
      </c>
      <c r="D414" s="2">
        <f>'QBO Transactions'!$R416</f>
        <v/>
      </c>
      <c r="E414" s="2" t="n"/>
      <c r="F414" s="3">
        <f>'QBO Transactions'!$X416</f>
        <v/>
      </c>
      <c r="G414" s="2" t="n"/>
      <c r="H414" s="2" t="n"/>
      <c r="I414" s="2" t="n"/>
      <c r="J414" s="2" t="n"/>
      <c r="K414" s="2" t="n"/>
      <c r="L414" s="2" t="n"/>
      <c r="M414" s="2" t="n"/>
      <c r="N414" s="2">
        <f>'QBO Transactions'!$Y416</f>
        <v/>
      </c>
      <c r="O414" s="2" t="n"/>
      <c r="P414" s="2" t="n"/>
      <c r="Q414" s="2">
        <f>'QBO Transactions'!$T416</f>
        <v/>
      </c>
      <c r="R414" s="2" t="n"/>
      <c r="S414" s="2" t="n"/>
      <c r="T414" s="2" t="n"/>
      <c r="U414" s="2" t="n"/>
      <c r="V414" s="2" t="n"/>
      <c r="W414" s="2" t="n"/>
      <c r="X414" s="2">
        <f>Q414</f>
        <v/>
      </c>
      <c r="Y414" s="4">
        <f>'QBO Transactions'!$Q416</f>
        <v/>
      </c>
      <c r="Z414" s="2" t="n"/>
      <c r="AA414" s="2" t="n"/>
      <c r="AB414" s="2" t="n"/>
      <c r="AC414" s="2" t="n"/>
      <c r="AD414" s="2" t="n"/>
      <c r="AE414" s="2" t="n"/>
    </row>
    <row r="415" ht="12.75" customHeight="1" s="52">
      <c r="A415" s="2" t="n"/>
      <c r="B415" s="2">
        <f>'QBO Transactions'!$U417</f>
        <v/>
      </c>
      <c r="C415" s="3">
        <f>'QBO Transactions'!$S417</f>
        <v/>
      </c>
      <c r="D415" s="2">
        <f>'QBO Transactions'!$R417</f>
        <v/>
      </c>
      <c r="E415" s="2" t="n"/>
      <c r="F415" s="3">
        <f>'QBO Transactions'!$X417</f>
        <v/>
      </c>
      <c r="G415" s="2" t="n"/>
      <c r="H415" s="2" t="n"/>
      <c r="I415" s="2" t="n"/>
      <c r="J415" s="2" t="n"/>
      <c r="K415" s="2" t="n"/>
      <c r="L415" s="2" t="n"/>
      <c r="M415" s="2" t="n"/>
      <c r="N415" s="2">
        <f>'QBO Transactions'!$Y417</f>
        <v/>
      </c>
      <c r="O415" s="2" t="n"/>
      <c r="P415" s="2" t="n"/>
      <c r="Q415" s="2">
        <f>'QBO Transactions'!$T417</f>
        <v/>
      </c>
      <c r="R415" s="2" t="n"/>
      <c r="S415" s="2" t="n"/>
      <c r="T415" s="2" t="n"/>
      <c r="U415" s="2" t="n"/>
      <c r="V415" s="2" t="n"/>
      <c r="W415" s="2" t="n"/>
      <c r="X415" s="2">
        <f>Q415</f>
        <v/>
      </c>
      <c r="Y415" s="4">
        <f>'QBO Transactions'!$Q417</f>
        <v/>
      </c>
      <c r="Z415" s="2" t="n"/>
      <c r="AA415" s="2" t="n"/>
      <c r="AB415" s="2" t="n"/>
      <c r="AC415" s="2" t="n"/>
      <c r="AD415" s="2" t="n"/>
      <c r="AE415" s="2" t="n"/>
    </row>
    <row r="416" ht="12.75" customHeight="1" s="52">
      <c r="A416" s="2" t="n"/>
      <c r="B416" s="2">
        <f>'QBO Transactions'!$U418</f>
        <v/>
      </c>
      <c r="C416" s="3">
        <f>'QBO Transactions'!$S418</f>
        <v/>
      </c>
      <c r="D416" s="2">
        <f>'QBO Transactions'!$R418</f>
        <v/>
      </c>
      <c r="E416" s="2" t="n"/>
      <c r="F416" s="3">
        <f>'QBO Transactions'!$X418</f>
        <v/>
      </c>
      <c r="G416" s="2" t="n"/>
      <c r="H416" s="2" t="n"/>
      <c r="I416" s="2" t="n"/>
      <c r="J416" s="2" t="n"/>
      <c r="K416" s="2" t="n"/>
      <c r="L416" s="2" t="n"/>
      <c r="M416" s="2" t="n"/>
      <c r="N416" s="2">
        <f>'QBO Transactions'!$Y418</f>
        <v/>
      </c>
      <c r="O416" s="2" t="n"/>
      <c r="P416" s="2" t="n"/>
      <c r="Q416" s="2">
        <f>'QBO Transactions'!$T418</f>
        <v/>
      </c>
      <c r="R416" s="2" t="n"/>
      <c r="S416" s="2" t="n"/>
      <c r="T416" s="2" t="n"/>
      <c r="U416" s="2" t="n"/>
      <c r="V416" s="2" t="n"/>
      <c r="W416" s="2" t="n"/>
      <c r="X416" s="2">
        <f>Q416</f>
        <v/>
      </c>
      <c r="Y416" s="4">
        <f>'QBO Transactions'!$Q418</f>
        <v/>
      </c>
      <c r="Z416" s="2" t="n"/>
      <c r="AA416" s="2" t="n"/>
      <c r="AB416" s="2" t="n"/>
      <c r="AC416" s="2" t="n"/>
      <c r="AD416" s="2" t="n"/>
      <c r="AE416" s="2" t="n"/>
    </row>
    <row r="417" ht="12.75" customHeight="1" s="52">
      <c r="A417" s="2" t="n"/>
      <c r="B417" s="2">
        <f>'QBO Transactions'!$U419</f>
        <v/>
      </c>
      <c r="C417" s="3">
        <f>'QBO Transactions'!$S419</f>
        <v/>
      </c>
      <c r="D417" s="2">
        <f>'QBO Transactions'!$R419</f>
        <v/>
      </c>
      <c r="E417" s="2" t="n"/>
      <c r="F417" s="3">
        <f>'QBO Transactions'!$X419</f>
        <v/>
      </c>
      <c r="G417" s="2" t="n"/>
      <c r="H417" s="2" t="n"/>
      <c r="I417" s="2" t="n"/>
      <c r="J417" s="2" t="n"/>
      <c r="K417" s="2" t="n"/>
      <c r="L417" s="2" t="n"/>
      <c r="M417" s="2" t="n"/>
      <c r="N417" s="2">
        <f>'QBO Transactions'!$Y419</f>
        <v/>
      </c>
      <c r="O417" s="2" t="n"/>
      <c r="P417" s="2" t="n"/>
      <c r="Q417" s="2">
        <f>'QBO Transactions'!$T419</f>
        <v/>
      </c>
      <c r="R417" s="2" t="n"/>
      <c r="S417" s="2" t="n"/>
      <c r="T417" s="2" t="n"/>
      <c r="U417" s="2" t="n"/>
      <c r="V417" s="2" t="n"/>
      <c r="W417" s="2" t="n"/>
      <c r="X417" s="2">
        <f>Q417</f>
        <v/>
      </c>
      <c r="Y417" s="4">
        <f>'QBO Transactions'!$Q419</f>
        <v/>
      </c>
      <c r="Z417" s="2" t="n"/>
      <c r="AA417" s="2" t="n"/>
      <c r="AB417" s="2" t="n"/>
      <c r="AC417" s="2" t="n"/>
      <c r="AD417" s="2" t="n"/>
      <c r="AE417" s="2" t="n"/>
    </row>
    <row r="418" ht="12.75" customHeight="1" s="52">
      <c r="A418" s="2" t="n"/>
      <c r="B418" s="2">
        <f>'QBO Transactions'!$U420</f>
        <v/>
      </c>
      <c r="C418" s="3">
        <f>'QBO Transactions'!$S420</f>
        <v/>
      </c>
      <c r="D418" s="2">
        <f>'QBO Transactions'!$R420</f>
        <v/>
      </c>
      <c r="E418" s="2" t="n"/>
      <c r="F418" s="3">
        <f>'QBO Transactions'!$X420</f>
        <v/>
      </c>
      <c r="G418" s="2" t="n"/>
      <c r="H418" s="2" t="n"/>
      <c r="I418" s="2" t="n"/>
      <c r="J418" s="2" t="n"/>
      <c r="K418" s="2" t="n"/>
      <c r="L418" s="2" t="n"/>
      <c r="M418" s="2" t="n"/>
      <c r="N418" s="2">
        <f>'QBO Transactions'!$Y420</f>
        <v/>
      </c>
      <c r="O418" s="2" t="n"/>
      <c r="P418" s="2" t="n"/>
      <c r="Q418" s="2">
        <f>'QBO Transactions'!$T420</f>
        <v/>
      </c>
      <c r="R418" s="2" t="n"/>
      <c r="S418" s="2" t="n"/>
      <c r="T418" s="2" t="n"/>
      <c r="U418" s="2" t="n"/>
      <c r="V418" s="2" t="n"/>
      <c r="W418" s="2" t="n"/>
      <c r="X418" s="2">
        <f>Q418</f>
        <v/>
      </c>
      <c r="Y418" s="4">
        <f>'QBO Transactions'!$Q420</f>
        <v/>
      </c>
      <c r="Z418" s="2" t="n"/>
      <c r="AA418" s="2" t="n"/>
      <c r="AB418" s="2" t="n"/>
      <c r="AC418" s="2" t="n"/>
      <c r="AD418" s="2" t="n"/>
      <c r="AE418" s="2" t="n"/>
    </row>
    <row r="419" ht="12.75" customHeight="1" s="52">
      <c r="A419" s="2" t="n"/>
      <c r="B419" s="2">
        <f>'QBO Transactions'!$U421</f>
        <v/>
      </c>
      <c r="C419" s="3">
        <f>'QBO Transactions'!$S421</f>
        <v/>
      </c>
      <c r="D419" s="2">
        <f>'QBO Transactions'!$R421</f>
        <v/>
      </c>
      <c r="E419" s="2" t="n"/>
      <c r="F419" s="3">
        <f>'QBO Transactions'!$X421</f>
        <v/>
      </c>
      <c r="G419" s="2" t="n"/>
      <c r="H419" s="2" t="n"/>
      <c r="I419" s="2" t="n"/>
      <c r="J419" s="2" t="n"/>
      <c r="K419" s="2" t="n"/>
      <c r="L419" s="2" t="n"/>
      <c r="M419" s="2" t="n"/>
      <c r="N419" s="2">
        <f>'QBO Transactions'!$Y421</f>
        <v/>
      </c>
      <c r="O419" s="2" t="n"/>
      <c r="P419" s="2" t="n"/>
      <c r="Q419" s="2">
        <f>'QBO Transactions'!$T421</f>
        <v/>
      </c>
      <c r="R419" s="2" t="n"/>
      <c r="S419" s="2" t="n"/>
      <c r="T419" s="2" t="n"/>
      <c r="U419" s="2" t="n"/>
      <c r="V419" s="2" t="n"/>
      <c r="W419" s="2" t="n"/>
      <c r="X419" s="2">
        <f>Q419</f>
        <v/>
      </c>
      <c r="Y419" s="4">
        <f>'QBO Transactions'!$Q421</f>
        <v/>
      </c>
      <c r="Z419" s="2" t="n"/>
      <c r="AA419" s="2" t="n"/>
      <c r="AB419" s="2" t="n"/>
      <c r="AC419" s="2" t="n"/>
      <c r="AD419" s="2" t="n"/>
      <c r="AE419" s="2" t="n"/>
    </row>
    <row r="420" ht="12.75" customHeight="1" s="52">
      <c r="A420" s="2" t="n"/>
      <c r="B420" s="2">
        <f>'QBO Transactions'!$U422</f>
        <v/>
      </c>
      <c r="C420" s="3">
        <f>'QBO Transactions'!$S422</f>
        <v/>
      </c>
      <c r="D420" s="2">
        <f>'QBO Transactions'!$R422</f>
        <v/>
      </c>
      <c r="E420" s="2" t="n"/>
      <c r="F420" s="3">
        <f>'QBO Transactions'!$X422</f>
        <v/>
      </c>
      <c r="G420" s="2" t="n"/>
      <c r="H420" s="2" t="n"/>
      <c r="I420" s="2" t="n"/>
      <c r="J420" s="2" t="n"/>
      <c r="K420" s="2" t="n"/>
      <c r="L420" s="2" t="n"/>
      <c r="M420" s="2" t="n"/>
      <c r="N420" s="2">
        <f>'QBO Transactions'!$Y422</f>
        <v/>
      </c>
      <c r="O420" s="2" t="n"/>
      <c r="P420" s="2" t="n"/>
      <c r="Q420" s="2">
        <f>'QBO Transactions'!$T422</f>
        <v/>
      </c>
      <c r="R420" s="2" t="n"/>
      <c r="S420" s="2" t="n"/>
      <c r="T420" s="2" t="n"/>
      <c r="U420" s="2" t="n"/>
      <c r="V420" s="2" t="n"/>
      <c r="W420" s="2" t="n"/>
      <c r="X420" s="2">
        <f>Q420</f>
        <v/>
      </c>
      <c r="Y420" s="4">
        <f>'QBO Transactions'!$Q422</f>
        <v/>
      </c>
      <c r="Z420" s="2" t="n"/>
      <c r="AA420" s="2" t="n"/>
      <c r="AB420" s="2" t="n"/>
      <c r="AC420" s="2" t="n"/>
      <c r="AD420" s="2" t="n"/>
      <c r="AE420" s="2" t="n"/>
    </row>
    <row r="421" ht="12.75" customHeight="1" s="52">
      <c r="A421" s="2" t="n"/>
      <c r="B421" s="2">
        <f>'QBO Transactions'!$U423</f>
        <v/>
      </c>
      <c r="C421" s="3">
        <f>'QBO Transactions'!$S423</f>
        <v/>
      </c>
      <c r="D421" s="2">
        <f>'QBO Transactions'!$R423</f>
        <v/>
      </c>
      <c r="E421" s="2" t="n"/>
      <c r="F421" s="3">
        <f>'QBO Transactions'!$X423</f>
        <v/>
      </c>
      <c r="G421" s="2" t="n"/>
      <c r="H421" s="2" t="n"/>
      <c r="I421" s="2" t="n"/>
      <c r="J421" s="2" t="n"/>
      <c r="K421" s="2" t="n"/>
      <c r="L421" s="2" t="n"/>
      <c r="M421" s="2" t="n"/>
      <c r="N421" s="2">
        <f>'QBO Transactions'!$Y423</f>
        <v/>
      </c>
      <c r="O421" s="2" t="n"/>
      <c r="P421" s="2" t="n"/>
      <c r="Q421" s="2">
        <f>'QBO Transactions'!$T423</f>
        <v/>
      </c>
      <c r="R421" s="2" t="n"/>
      <c r="S421" s="2" t="n"/>
      <c r="T421" s="2" t="n"/>
      <c r="U421" s="2" t="n"/>
      <c r="V421" s="2" t="n"/>
      <c r="W421" s="2" t="n"/>
      <c r="X421" s="2">
        <f>Q421</f>
        <v/>
      </c>
      <c r="Y421" s="4">
        <f>'QBO Transactions'!$Q423</f>
        <v/>
      </c>
      <c r="Z421" s="2" t="n"/>
      <c r="AA421" s="2" t="n"/>
      <c r="AB421" s="2" t="n"/>
      <c r="AC421" s="2" t="n"/>
      <c r="AD421" s="2" t="n"/>
      <c r="AE421" s="2" t="n"/>
    </row>
    <row r="422" ht="12.75" customHeight="1" s="52">
      <c r="A422" s="2" t="n"/>
      <c r="B422" s="2">
        <f>'QBO Transactions'!$U424</f>
        <v/>
      </c>
      <c r="C422" s="3">
        <f>'QBO Transactions'!$S424</f>
        <v/>
      </c>
      <c r="D422" s="2">
        <f>'QBO Transactions'!$R424</f>
        <v/>
      </c>
      <c r="E422" s="2" t="n"/>
      <c r="F422" s="3">
        <f>'QBO Transactions'!$X424</f>
        <v/>
      </c>
      <c r="G422" s="2" t="n"/>
      <c r="H422" s="2" t="n"/>
      <c r="I422" s="2" t="n"/>
      <c r="J422" s="2" t="n"/>
      <c r="K422" s="2" t="n"/>
      <c r="L422" s="2" t="n"/>
      <c r="M422" s="2" t="n"/>
      <c r="N422" s="2">
        <f>'QBO Transactions'!$Y424</f>
        <v/>
      </c>
      <c r="O422" s="2" t="n"/>
      <c r="P422" s="2" t="n"/>
      <c r="Q422" s="2">
        <f>'QBO Transactions'!$T424</f>
        <v/>
      </c>
      <c r="R422" s="2" t="n"/>
      <c r="S422" s="2" t="n"/>
      <c r="T422" s="2" t="n"/>
      <c r="U422" s="2" t="n"/>
      <c r="V422" s="2" t="n"/>
      <c r="W422" s="2" t="n"/>
      <c r="X422" s="2">
        <f>Q422</f>
        <v/>
      </c>
      <c r="Y422" s="4">
        <f>'QBO Transactions'!$Q424</f>
        <v/>
      </c>
      <c r="Z422" s="2" t="n"/>
      <c r="AA422" s="2" t="n"/>
      <c r="AB422" s="2" t="n"/>
      <c r="AC422" s="2" t="n"/>
      <c r="AD422" s="2" t="n"/>
      <c r="AE422" s="2" t="n"/>
    </row>
    <row r="423" ht="12.75" customHeight="1" s="52">
      <c r="A423" s="2" t="n"/>
      <c r="B423" s="2">
        <f>'QBO Transactions'!$U425</f>
        <v/>
      </c>
      <c r="C423" s="3">
        <f>'QBO Transactions'!$S425</f>
        <v/>
      </c>
      <c r="D423" s="2">
        <f>'QBO Transactions'!$R425</f>
        <v/>
      </c>
      <c r="E423" s="2" t="n"/>
      <c r="F423" s="3">
        <f>'QBO Transactions'!$X425</f>
        <v/>
      </c>
      <c r="G423" s="2" t="n"/>
      <c r="H423" s="2" t="n"/>
      <c r="I423" s="2" t="n"/>
      <c r="J423" s="2" t="n"/>
      <c r="K423" s="2" t="n"/>
      <c r="L423" s="2" t="n"/>
      <c r="M423" s="2" t="n"/>
      <c r="N423" s="2">
        <f>'QBO Transactions'!$Y425</f>
        <v/>
      </c>
      <c r="O423" s="2" t="n"/>
      <c r="P423" s="2" t="n"/>
      <c r="Q423" s="2">
        <f>'QBO Transactions'!$T425</f>
        <v/>
      </c>
      <c r="R423" s="2" t="n"/>
      <c r="S423" s="2" t="n"/>
      <c r="T423" s="2" t="n"/>
      <c r="U423" s="2" t="n"/>
      <c r="V423" s="2" t="n"/>
      <c r="W423" s="2" t="n"/>
      <c r="X423" s="2">
        <f>Q423</f>
        <v/>
      </c>
      <c r="Y423" s="4">
        <f>'QBO Transactions'!$Q425</f>
        <v/>
      </c>
      <c r="Z423" s="2" t="n"/>
      <c r="AA423" s="2" t="n"/>
      <c r="AB423" s="2" t="n"/>
      <c r="AC423" s="2" t="n"/>
      <c r="AD423" s="2" t="n"/>
      <c r="AE423" s="2" t="n"/>
    </row>
    <row r="424" ht="12.75" customHeight="1" s="52">
      <c r="A424" s="2" t="n"/>
      <c r="B424" s="2">
        <f>'QBO Transactions'!$U426</f>
        <v/>
      </c>
      <c r="C424" s="3">
        <f>'QBO Transactions'!$S426</f>
        <v/>
      </c>
      <c r="D424" s="2">
        <f>'QBO Transactions'!$R426</f>
        <v/>
      </c>
      <c r="E424" s="2" t="n"/>
      <c r="F424" s="3">
        <f>'QBO Transactions'!$X426</f>
        <v/>
      </c>
      <c r="G424" s="2" t="n"/>
      <c r="H424" s="2" t="n"/>
      <c r="I424" s="2" t="n"/>
      <c r="J424" s="2" t="n"/>
      <c r="K424" s="2" t="n"/>
      <c r="L424" s="2" t="n"/>
      <c r="M424" s="2" t="n"/>
      <c r="N424" s="2">
        <f>'QBO Transactions'!$Y426</f>
        <v/>
      </c>
      <c r="O424" s="2" t="n"/>
      <c r="P424" s="2" t="n"/>
      <c r="Q424" s="2">
        <f>'QBO Transactions'!$T426</f>
        <v/>
      </c>
      <c r="R424" s="2" t="n"/>
      <c r="S424" s="2" t="n"/>
      <c r="T424" s="2" t="n"/>
      <c r="U424" s="2" t="n"/>
      <c r="V424" s="2" t="n"/>
      <c r="W424" s="2" t="n"/>
      <c r="X424" s="2">
        <f>Q424</f>
        <v/>
      </c>
      <c r="Y424" s="4">
        <f>'QBO Transactions'!$Q426</f>
        <v/>
      </c>
      <c r="Z424" s="2" t="n"/>
      <c r="AA424" s="2" t="n"/>
      <c r="AB424" s="2" t="n"/>
      <c r="AC424" s="2" t="n"/>
      <c r="AD424" s="2" t="n"/>
      <c r="AE424" s="2" t="n"/>
    </row>
    <row r="425" ht="12.75" customHeight="1" s="52">
      <c r="A425" s="2" t="n"/>
      <c r="B425" s="2">
        <f>'QBO Transactions'!$U427</f>
        <v/>
      </c>
      <c r="C425" s="3">
        <f>'QBO Transactions'!$S427</f>
        <v/>
      </c>
      <c r="D425" s="2">
        <f>'QBO Transactions'!$R427</f>
        <v/>
      </c>
      <c r="E425" s="2" t="n"/>
      <c r="F425" s="3">
        <f>'QBO Transactions'!$X427</f>
        <v/>
      </c>
      <c r="G425" s="2" t="n"/>
      <c r="H425" s="2" t="n"/>
      <c r="I425" s="2" t="n"/>
      <c r="J425" s="2" t="n"/>
      <c r="K425" s="2" t="n"/>
      <c r="L425" s="2" t="n"/>
      <c r="M425" s="2" t="n"/>
      <c r="N425" s="2">
        <f>'QBO Transactions'!$Y427</f>
        <v/>
      </c>
      <c r="O425" s="2" t="n"/>
      <c r="P425" s="2" t="n"/>
      <c r="Q425" s="2">
        <f>'QBO Transactions'!$T427</f>
        <v/>
      </c>
      <c r="R425" s="2" t="n"/>
      <c r="S425" s="2" t="n"/>
      <c r="T425" s="2" t="n"/>
      <c r="U425" s="2" t="n"/>
      <c r="V425" s="2" t="n"/>
      <c r="W425" s="2" t="n"/>
      <c r="X425" s="2">
        <f>Q425</f>
        <v/>
      </c>
      <c r="Y425" s="4">
        <f>'QBO Transactions'!$Q427</f>
        <v/>
      </c>
      <c r="Z425" s="2" t="n"/>
      <c r="AA425" s="2" t="n"/>
      <c r="AB425" s="2" t="n"/>
      <c r="AC425" s="2" t="n"/>
      <c r="AD425" s="2" t="n"/>
      <c r="AE425" s="2" t="n"/>
    </row>
    <row r="426" ht="12.75" customHeight="1" s="52">
      <c r="A426" s="2" t="n"/>
      <c r="B426" s="2">
        <f>'QBO Transactions'!$U428</f>
        <v/>
      </c>
      <c r="C426" s="3">
        <f>'QBO Transactions'!$S428</f>
        <v/>
      </c>
      <c r="D426" s="2">
        <f>'QBO Transactions'!$R428</f>
        <v/>
      </c>
      <c r="E426" s="2" t="n"/>
      <c r="F426" s="3">
        <f>'QBO Transactions'!$X428</f>
        <v/>
      </c>
      <c r="G426" s="2" t="n"/>
      <c r="H426" s="2" t="n"/>
      <c r="I426" s="2" t="n"/>
      <c r="J426" s="2" t="n"/>
      <c r="K426" s="2" t="n"/>
      <c r="L426" s="2" t="n"/>
      <c r="M426" s="2" t="n"/>
      <c r="N426" s="2">
        <f>'QBO Transactions'!$Y428</f>
        <v/>
      </c>
      <c r="O426" s="2" t="n"/>
      <c r="P426" s="2" t="n"/>
      <c r="Q426" s="2">
        <f>'QBO Transactions'!$T428</f>
        <v/>
      </c>
      <c r="R426" s="2" t="n"/>
      <c r="S426" s="2" t="n"/>
      <c r="T426" s="2" t="n"/>
      <c r="U426" s="2" t="n"/>
      <c r="V426" s="2" t="n"/>
      <c r="W426" s="2" t="n"/>
      <c r="X426" s="2">
        <f>Q426</f>
        <v/>
      </c>
      <c r="Y426" s="4">
        <f>'QBO Transactions'!$Q428</f>
        <v/>
      </c>
      <c r="Z426" s="2" t="n"/>
      <c r="AA426" s="2" t="n"/>
      <c r="AB426" s="2" t="n"/>
      <c r="AC426" s="2" t="n"/>
      <c r="AD426" s="2" t="n"/>
      <c r="AE426" s="2" t="n"/>
    </row>
    <row r="427" ht="12.75" customHeight="1" s="52">
      <c r="A427" s="2" t="n"/>
      <c r="B427" s="2">
        <f>'QBO Transactions'!$U429</f>
        <v/>
      </c>
      <c r="C427" s="3">
        <f>'QBO Transactions'!$S429</f>
        <v/>
      </c>
      <c r="D427" s="2">
        <f>'QBO Transactions'!$R429</f>
        <v/>
      </c>
      <c r="E427" s="2" t="n"/>
      <c r="F427" s="3">
        <f>'QBO Transactions'!$X429</f>
        <v/>
      </c>
      <c r="G427" s="2" t="n"/>
      <c r="H427" s="2" t="n"/>
      <c r="I427" s="2" t="n"/>
      <c r="J427" s="2" t="n"/>
      <c r="K427" s="2" t="n"/>
      <c r="L427" s="2" t="n"/>
      <c r="M427" s="2" t="n"/>
      <c r="N427" s="2">
        <f>'QBO Transactions'!$Y429</f>
        <v/>
      </c>
      <c r="O427" s="2" t="n"/>
      <c r="P427" s="2" t="n"/>
      <c r="Q427" s="2">
        <f>'QBO Transactions'!$T429</f>
        <v/>
      </c>
      <c r="R427" s="2" t="n"/>
      <c r="S427" s="2" t="n"/>
      <c r="T427" s="2" t="n"/>
      <c r="U427" s="2" t="n"/>
      <c r="V427" s="2" t="n"/>
      <c r="W427" s="2" t="n"/>
      <c r="X427" s="2">
        <f>Q427</f>
        <v/>
      </c>
      <c r="Y427" s="4">
        <f>'QBO Transactions'!$Q429</f>
        <v/>
      </c>
      <c r="Z427" s="2" t="n"/>
      <c r="AA427" s="2" t="n"/>
      <c r="AB427" s="2" t="n"/>
      <c r="AC427" s="2" t="n"/>
      <c r="AD427" s="2" t="n"/>
      <c r="AE427" s="2" t="n"/>
    </row>
    <row r="428" ht="12.75" customHeight="1" s="52">
      <c r="A428" s="2" t="n"/>
      <c r="B428" s="2">
        <f>'QBO Transactions'!$U430</f>
        <v/>
      </c>
      <c r="C428" s="3">
        <f>'QBO Transactions'!$S430</f>
        <v/>
      </c>
      <c r="D428" s="2">
        <f>'QBO Transactions'!$R430</f>
        <v/>
      </c>
      <c r="E428" s="2" t="n"/>
      <c r="F428" s="3">
        <f>'QBO Transactions'!$X430</f>
        <v/>
      </c>
      <c r="G428" s="2" t="n"/>
      <c r="H428" s="2" t="n"/>
      <c r="I428" s="2" t="n"/>
      <c r="J428" s="2" t="n"/>
      <c r="K428" s="2" t="n"/>
      <c r="L428" s="2" t="n"/>
      <c r="M428" s="2" t="n"/>
      <c r="N428" s="2">
        <f>'QBO Transactions'!$Y430</f>
        <v/>
      </c>
      <c r="O428" s="2" t="n"/>
      <c r="P428" s="2" t="n"/>
      <c r="Q428" s="2">
        <f>'QBO Transactions'!$T430</f>
        <v/>
      </c>
      <c r="R428" s="2" t="n"/>
      <c r="S428" s="2" t="n"/>
      <c r="T428" s="2" t="n"/>
      <c r="U428" s="2" t="n"/>
      <c r="V428" s="2" t="n"/>
      <c r="W428" s="2" t="n"/>
      <c r="X428" s="2">
        <f>Q428</f>
        <v/>
      </c>
      <c r="Y428" s="4">
        <f>'QBO Transactions'!$Q430</f>
        <v/>
      </c>
      <c r="Z428" s="2" t="n"/>
      <c r="AA428" s="2" t="n"/>
      <c r="AB428" s="2" t="n"/>
      <c r="AC428" s="2" t="n"/>
      <c r="AD428" s="2" t="n"/>
      <c r="AE428" s="2" t="n"/>
    </row>
    <row r="429" ht="12.75" customHeight="1" s="52">
      <c r="A429" s="2" t="n"/>
      <c r="B429" s="2">
        <f>'QBO Transactions'!$U431</f>
        <v/>
      </c>
      <c r="C429" s="3">
        <f>'QBO Transactions'!$S431</f>
        <v/>
      </c>
      <c r="D429" s="2">
        <f>'QBO Transactions'!$R431</f>
        <v/>
      </c>
      <c r="E429" s="2" t="n"/>
      <c r="F429" s="3">
        <f>'QBO Transactions'!$X431</f>
        <v/>
      </c>
      <c r="G429" s="2" t="n"/>
      <c r="H429" s="2" t="n"/>
      <c r="I429" s="2" t="n"/>
      <c r="J429" s="2" t="n"/>
      <c r="K429" s="2" t="n"/>
      <c r="L429" s="2" t="n"/>
      <c r="M429" s="2" t="n"/>
      <c r="N429" s="2">
        <f>'QBO Transactions'!$Y431</f>
        <v/>
      </c>
      <c r="O429" s="2" t="n"/>
      <c r="P429" s="2" t="n"/>
      <c r="Q429" s="2">
        <f>'QBO Transactions'!$T431</f>
        <v/>
      </c>
      <c r="R429" s="2" t="n"/>
      <c r="S429" s="2" t="n"/>
      <c r="T429" s="2" t="n"/>
      <c r="U429" s="2" t="n"/>
      <c r="V429" s="2" t="n"/>
      <c r="W429" s="2" t="n"/>
      <c r="X429" s="2">
        <f>Q429</f>
        <v/>
      </c>
      <c r="Y429" s="4">
        <f>'QBO Transactions'!$Q431</f>
        <v/>
      </c>
      <c r="Z429" s="2" t="n"/>
      <c r="AA429" s="2" t="n"/>
      <c r="AB429" s="2" t="n"/>
      <c r="AC429" s="2" t="n"/>
      <c r="AD429" s="2" t="n"/>
      <c r="AE429" s="2" t="n"/>
    </row>
    <row r="430" ht="12.75" customHeight="1" s="52">
      <c r="A430" s="2" t="n"/>
      <c r="B430" s="2">
        <f>'QBO Transactions'!$U432</f>
        <v/>
      </c>
      <c r="C430" s="3">
        <f>'QBO Transactions'!$S432</f>
        <v/>
      </c>
      <c r="D430" s="2">
        <f>'QBO Transactions'!$R432</f>
        <v/>
      </c>
      <c r="E430" s="2" t="n"/>
      <c r="F430" s="3">
        <f>'QBO Transactions'!$X432</f>
        <v/>
      </c>
      <c r="G430" s="2" t="n"/>
      <c r="H430" s="2" t="n"/>
      <c r="I430" s="2" t="n"/>
      <c r="J430" s="2" t="n"/>
      <c r="K430" s="2" t="n"/>
      <c r="L430" s="2" t="n"/>
      <c r="M430" s="2" t="n"/>
      <c r="N430" s="2">
        <f>'QBO Transactions'!$Y432</f>
        <v/>
      </c>
      <c r="O430" s="2" t="n"/>
      <c r="P430" s="2" t="n"/>
      <c r="Q430" s="2">
        <f>'QBO Transactions'!$T432</f>
        <v/>
      </c>
      <c r="R430" s="2" t="n"/>
      <c r="S430" s="2" t="n"/>
      <c r="T430" s="2" t="n"/>
      <c r="U430" s="2" t="n"/>
      <c r="V430" s="2" t="n"/>
      <c r="W430" s="2" t="n"/>
      <c r="X430" s="2">
        <f>Q430</f>
        <v/>
      </c>
      <c r="Y430" s="4">
        <f>'QBO Transactions'!$Q432</f>
        <v/>
      </c>
      <c r="Z430" s="2" t="n"/>
      <c r="AA430" s="2" t="n"/>
      <c r="AB430" s="2" t="n"/>
      <c r="AC430" s="2" t="n"/>
      <c r="AD430" s="2" t="n"/>
      <c r="AE430" s="2" t="n"/>
    </row>
    <row r="431" ht="12.75" customHeight="1" s="52">
      <c r="A431" s="2" t="n"/>
      <c r="B431" s="2">
        <f>'QBO Transactions'!$U433</f>
        <v/>
      </c>
      <c r="C431" s="3">
        <f>'QBO Transactions'!$S433</f>
        <v/>
      </c>
      <c r="D431" s="2">
        <f>'QBO Transactions'!$R433</f>
        <v/>
      </c>
      <c r="E431" s="2" t="n"/>
      <c r="F431" s="3">
        <f>'QBO Transactions'!$X433</f>
        <v/>
      </c>
      <c r="G431" s="2" t="n"/>
      <c r="H431" s="2" t="n"/>
      <c r="I431" s="2" t="n"/>
      <c r="J431" s="2" t="n"/>
      <c r="K431" s="2" t="n"/>
      <c r="L431" s="2" t="n"/>
      <c r="M431" s="2" t="n"/>
      <c r="N431" s="2">
        <f>'QBO Transactions'!$Y433</f>
        <v/>
      </c>
      <c r="O431" s="2" t="n"/>
      <c r="P431" s="2" t="n"/>
      <c r="Q431" s="2">
        <f>'QBO Transactions'!$T433</f>
        <v/>
      </c>
      <c r="R431" s="2" t="n"/>
      <c r="S431" s="2" t="n"/>
      <c r="T431" s="2" t="n"/>
      <c r="U431" s="2" t="n"/>
      <c r="V431" s="2" t="n"/>
      <c r="W431" s="2" t="n"/>
      <c r="X431" s="2">
        <f>Q431</f>
        <v/>
      </c>
      <c r="Y431" s="4">
        <f>'QBO Transactions'!$Q433</f>
        <v/>
      </c>
      <c r="Z431" s="2" t="n"/>
      <c r="AA431" s="2" t="n"/>
      <c r="AB431" s="2" t="n"/>
      <c r="AC431" s="2" t="n"/>
      <c r="AD431" s="2" t="n"/>
      <c r="AE431" s="2" t="n"/>
    </row>
    <row r="432" ht="12.75" customHeight="1" s="52">
      <c r="A432" s="2" t="n"/>
      <c r="B432" s="2">
        <f>'QBO Transactions'!$U434</f>
        <v/>
      </c>
      <c r="C432" s="3">
        <f>'QBO Transactions'!$S434</f>
        <v/>
      </c>
      <c r="D432" s="2">
        <f>'QBO Transactions'!$R434</f>
        <v/>
      </c>
      <c r="E432" s="2" t="n"/>
      <c r="F432" s="3">
        <f>'QBO Transactions'!$X434</f>
        <v/>
      </c>
      <c r="G432" s="2" t="n"/>
      <c r="H432" s="2" t="n"/>
      <c r="I432" s="2" t="n"/>
      <c r="J432" s="2" t="n"/>
      <c r="K432" s="2" t="n"/>
      <c r="L432" s="2" t="n"/>
      <c r="M432" s="2" t="n"/>
      <c r="N432" s="2">
        <f>'QBO Transactions'!$Y434</f>
        <v/>
      </c>
      <c r="O432" s="2" t="n"/>
      <c r="P432" s="2" t="n"/>
      <c r="Q432" s="2">
        <f>'QBO Transactions'!$T434</f>
        <v/>
      </c>
      <c r="R432" s="2" t="n"/>
      <c r="S432" s="2" t="n"/>
      <c r="T432" s="2" t="n"/>
      <c r="U432" s="2" t="n"/>
      <c r="V432" s="2" t="n"/>
      <c r="W432" s="2" t="n"/>
      <c r="X432" s="2">
        <f>Q432</f>
        <v/>
      </c>
      <c r="Y432" s="4">
        <f>'QBO Transactions'!$Q434</f>
        <v/>
      </c>
      <c r="Z432" s="2" t="n"/>
      <c r="AA432" s="2" t="n"/>
      <c r="AB432" s="2" t="n"/>
      <c r="AC432" s="2" t="n"/>
      <c r="AD432" s="2" t="n"/>
      <c r="AE432" s="2" t="n"/>
    </row>
    <row r="433" ht="12.75" customHeight="1" s="52">
      <c r="A433" s="2" t="n"/>
      <c r="B433" s="2">
        <f>'QBO Transactions'!$U435</f>
        <v/>
      </c>
      <c r="C433" s="3">
        <f>'QBO Transactions'!$S435</f>
        <v/>
      </c>
      <c r="D433" s="2">
        <f>'QBO Transactions'!$R435</f>
        <v/>
      </c>
      <c r="E433" s="2" t="n"/>
      <c r="F433" s="3">
        <f>'QBO Transactions'!$X435</f>
        <v/>
      </c>
      <c r="G433" s="2" t="n"/>
      <c r="H433" s="2" t="n"/>
      <c r="I433" s="2" t="n"/>
      <c r="J433" s="2" t="n"/>
      <c r="K433" s="2" t="n"/>
      <c r="L433" s="2" t="n"/>
      <c r="M433" s="2" t="n"/>
      <c r="N433" s="2">
        <f>'QBO Transactions'!$Y435</f>
        <v/>
      </c>
      <c r="O433" s="2" t="n"/>
      <c r="P433" s="2" t="n"/>
      <c r="Q433" s="2">
        <f>'QBO Transactions'!$T435</f>
        <v/>
      </c>
      <c r="R433" s="2" t="n"/>
      <c r="S433" s="2" t="n"/>
      <c r="T433" s="2" t="n"/>
      <c r="U433" s="2" t="n"/>
      <c r="V433" s="2" t="n"/>
      <c r="W433" s="2" t="n"/>
      <c r="X433" s="2">
        <f>Q433</f>
        <v/>
      </c>
      <c r="Y433" s="4">
        <f>'QBO Transactions'!$Q435</f>
        <v/>
      </c>
      <c r="Z433" s="2" t="n"/>
      <c r="AA433" s="2" t="n"/>
      <c r="AB433" s="2" t="n"/>
      <c r="AC433" s="2" t="n"/>
      <c r="AD433" s="2" t="n"/>
      <c r="AE433" s="2" t="n"/>
    </row>
    <row r="434" ht="12.75" customHeight="1" s="52">
      <c r="A434" s="2" t="n"/>
      <c r="B434" s="2">
        <f>'QBO Transactions'!$U436</f>
        <v/>
      </c>
      <c r="C434" s="3">
        <f>'QBO Transactions'!$S436</f>
        <v/>
      </c>
      <c r="D434" s="2">
        <f>'QBO Transactions'!$R436</f>
        <v/>
      </c>
      <c r="E434" s="2" t="n"/>
      <c r="F434" s="3">
        <f>'QBO Transactions'!$X436</f>
        <v/>
      </c>
      <c r="G434" s="2" t="n"/>
      <c r="H434" s="2" t="n"/>
      <c r="I434" s="2" t="n"/>
      <c r="J434" s="2" t="n"/>
      <c r="K434" s="2" t="n"/>
      <c r="L434" s="2" t="n"/>
      <c r="M434" s="2" t="n"/>
      <c r="N434" s="2">
        <f>'QBO Transactions'!$Y436</f>
        <v/>
      </c>
      <c r="O434" s="2" t="n"/>
      <c r="P434" s="2" t="n"/>
      <c r="Q434" s="2">
        <f>'QBO Transactions'!$T436</f>
        <v/>
      </c>
      <c r="R434" s="2" t="n"/>
      <c r="S434" s="2" t="n"/>
      <c r="T434" s="2" t="n"/>
      <c r="U434" s="2" t="n"/>
      <c r="V434" s="2" t="n"/>
      <c r="W434" s="2" t="n"/>
      <c r="X434" s="2">
        <f>Q434</f>
        <v/>
      </c>
      <c r="Y434" s="4">
        <f>'QBO Transactions'!$Q436</f>
        <v/>
      </c>
      <c r="Z434" s="2" t="n"/>
      <c r="AA434" s="2" t="n"/>
      <c r="AB434" s="2" t="n"/>
      <c r="AC434" s="2" t="n"/>
      <c r="AD434" s="2" t="n"/>
      <c r="AE434" s="2" t="n"/>
    </row>
    <row r="435" ht="12.75" customHeight="1" s="52">
      <c r="A435" s="2" t="n"/>
      <c r="B435" s="2">
        <f>'QBO Transactions'!$U437</f>
        <v/>
      </c>
      <c r="C435" s="3">
        <f>'QBO Transactions'!$S437</f>
        <v/>
      </c>
      <c r="D435" s="2">
        <f>'QBO Transactions'!$R437</f>
        <v/>
      </c>
      <c r="E435" s="2" t="n"/>
      <c r="F435" s="3">
        <f>'QBO Transactions'!$X437</f>
        <v/>
      </c>
      <c r="G435" s="2" t="n"/>
      <c r="H435" s="2" t="n"/>
      <c r="I435" s="2" t="n"/>
      <c r="J435" s="2" t="n"/>
      <c r="K435" s="2" t="n"/>
      <c r="L435" s="2" t="n"/>
      <c r="M435" s="2" t="n"/>
      <c r="N435" s="2">
        <f>'QBO Transactions'!$Y437</f>
        <v/>
      </c>
      <c r="O435" s="2" t="n"/>
      <c r="P435" s="2" t="n"/>
      <c r="Q435" s="2">
        <f>'QBO Transactions'!$T437</f>
        <v/>
      </c>
      <c r="R435" s="2" t="n"/>
      <c r="S435" s="2" t="n"/>
      <c r="T435" s="2" t="n"/>
      <c r="U435" s="2" t="n"/>
      <c r="V435" s="2" t="n"/>
      <c r="W435" s="2" t="n"/>
      <c r="X435" s="2">
        <f>Q435</f>
        <v/>
      </c>
      <c r="Y435" s="4">
        <f>'QBO Transactions'!$Q437</f>
        <v/>
      </c>
      <c r="Z435" s="2" t="n"/>
      <c r="AA435" s="2" t="n"/>
      <c r="AB435" s="2" t="n"/>
      <c r="AC435" s="2" t="n"/>
      <c r="AD435" s="2" t="n"/>
      <c r="AE435" s="2" t="n"/>
    </row>
    <row r="436" ht="12.75" customHeight="1" s="52">
      <c r="A436" s="2" t="n"/>
      <c r="B436" s="2">
        <f>'QBO Transactions'!$U438</f>
        <v/>
      </c>
      <c r="C436" s="3">
        <f>'QBO Transactions'!$S438</f>
        <v/>
      </c>
      <c r="D436" s="2">
        <f>'QBO Transactions'!$R438</f>
        <v/>
      </c>
      <c r="E436" s="2" t="n"/>
      <c r="F436" s="3">
        <f>'QBO Transactions'!$X438</f>
        <v/>
      </c>
      <c r="G436" s="2" t="n"/>
      <c r="H436" s="2" t="n"/>
      <c r="I436" s="2" t="n"/>
      <c r="J436" s="2" t="n"/>
      <c r="K436" s="2" t="n"/>
      <c r="L436" s="2" t="n"/>
      <c r="M436" s="2" t="n"/>
      <c r="N436" s="2">
        <f>'QBO Transactions'!$Y438</f>
        <v/>
      </c>
      <c r="O436" s="2" t="n"/>
      <c r="P436" s="2" t="n"/>
      <c r="Q436" s="2">
        <f>'QBO Transactions'!$T438</f>
        <v/>
      </c>
      <c r="R436" s="2" t="n"/>
      <c r="S436" s="2" t="n"/>
      <c r="T436" s="2" t="n"/>
      <c r="U436" s="2" t="n"/>
      <c r="V436" s="2" t="n"/>
      <c r="W436" s="2" t="n"/>
      <c r="X436" s="2">
        <f>Q436</f>
        <v/>
      </c>
      <c r="Y436" s="4">
        <f>'QBO Transactions'!$Q438</f>
        <v/>
      </c>
      <c r="Z436" s="2" t="n"/>
      <c r="AA436" s="2" t="n"/>
      <c r="AB436" s="2" t="n"/>
      <c r="AC436" s="2" t="n"/>
      <c r="AD436" s="2" t="n"/>
      <c r="AE436" s="2" t="n"/>
    </row>
    <row r="437" ht="12.75" customHeight="1" s="52">
      <c r="A437" s="2" t="n"/>
      <c r="B437" s="2">
        <f>'QBO Transactions'!$U439</f>
        <v/>
      </c>
      <c r="C437" s="3">
        <f>'QBO Transactions'!$S439</f>
        <v/>
      </c>
      <c r="D437" s="2">
        <f>'QBO Transactions'!$R439</f>
        <v/>
      </c>
      <c r="E437" s="2" t="n"/>
      <c r="F437" s="3">
        <f>'QBO Transactions'!$X439</f>
        <v/>
      </c>
      <c r="G437" s="2" t="n"/>
      <c r="H437" s="2" t="n"/>
      <c r="I437" s="2" t="n"/>
      <c r="J437" s="2" t="n"/>
      <c r="K437" s="2" t="n"/>
      <c r="L437" s="2" t="n"/>
      <c r="M437" s="2" t="n"/>
      <c r="N437" s="2">
        <f>'QBO Transactions'!$Y439</f>
        <v/>
      </c>
      <c r="O437" s="2" t="n"/>
      <c r="P437" s="2" t="n"/>
      <c r="Q437" s="2">
        <f>'QBO Transactions'!$T439</f>
        <v/>
      </c>
      <c r="R437" s="2" t="n"/>
      <c r="S437" s="2" t="n"/>
      <c r="T437" s="2" t="n"/>
      <c r="U437" s="2" t="n"/>
      <c r="V437" s="2" t="n"/>
      <c r="W437" s="2" t="n"/>
      <c r="X437" s="2">
        <f>Q437</f>
        <v/>
      </c>
      <c r="Y437" s="4">
        <f>'QBO Transactions'!$Q439</f>
        <v/>
      </c>
      <c r="Z437" s="2" t="n"/>
      <c r="AA437" s="2" t="n"/>
      <c r="AB437" s="2" t="n"/>
      <c r="AC437" s="2" t="n"/>
      <c r="AD437" s="2" t="n"/>
      <c r="AE437" s="2" t="n"/>
    </row>
    <row r="438" ht="12.75" customHeight="1" s="52">
      <c r="A438" s="2" t="n"/>
      <c r="B438" s="2">
        <f>'QBO Transactions'!$U440</f>
        <v/>
      </c>
      <c r="C438" s="3">
        <f>'QBO Transactions'!$S440</f>
        <v/>
      </c>
      <c r="D438" s="2">
        <f>'QBO Transactions'!$R440</f>
        <v/>
      </c>
      <c r="E438" s="2" t="n"/>
      <c r="F438" s="3">
        <f>'QBO Transactions'!$X440</f>
        <v/>
      </c>
      <c r="G438" s="2" t="n"/>
      <c r="H438" s="2" t="n"/>
      <c r="I438" s="2" t="n"/>
      <c r="J438" s="2" t="n"/>
      <c r="K438" s="2" t="n"/>
      <c r="L438" s="2" t="n"/>
      <c r="M438" s="2" t="n"/>
      <c r="N438" s="2">
        <f>'QBO Transactions'!$Y440</f>
        <v/>
      </c>
      <c r="O438" s="2" t="n"/>
      <c r="P438" s="2" t="n"/>
      <c r="Q438" s="2">
        <f>'QBO Transactions'!$T440</f>
        <v/>
      </c>
      <c r="R438" s="2" t="n"/>
      <c r="S438" s="2" t="n"/>
      <c r="T438" s="2" t="n"/>
      <c r="U438" s="2" t="n"/>
      <c r="V438" s="2" t="n"/>
      <c r="W438" s="2" t="n"/>
      <c r="X438" s="2">
        <f>Q438</f>
        <v/>
      </c>
      <c r="Y438" s="4">
        <f>'QBO Transactions'!$Q440</f>
        <v/>
      </c>
      <c r="Z438" s="2" t="n"/>
      <c r="AA438" s="2" t="n"/>
      <c r="AB438" s="2" t="n"/>
      <c r="AC438" s="2" t="n"/>
      <c r="AD438" s="2" t="n"/>
      <c r="AE438" s="2" t="n"/>
    </row>
    <row r="439" ht="12.75" customHeight="1" s="52">
      <c r="A439" s="2" t="n"/>
      <c r="B439" s="2">
        <f>'QBO Transactions'!$U441</f>
        <v/>
      </c>
      <c r="C439" s="3">
        <f>'QBO Transactions'!$S441</f>
        <v/>
      </c>
      <c r="D439" s="2">
        <f>'QBO Transactions'!$R441</f>
        <v/>
      </c>
      <c r="E439" s="2" t="n"/>
      <c r="F439" s="3">
        <f>'QBO Transactions'!$X441</f>
        <v/>
      </c>
      <c r="G439" s="2" t="n"/>
      <c r="H439" s="2" t="n"/>
      <c r="I439" s="2" t="n"/>
      <c r="J439" s="2" t="n"/>
      <c r="K439" s="2" t="n"/>
      <c r="L439" s="2" t="n"/>
      <c r="M439" s="2" t="n"/>
      <c r="N439" s="2">
        <f>'QBO Transactions'!$Y441</f>
        <v/>
      </c>
      <c r="O439" s="2" t="n"/>
      <c r="P439" s="2" t="n"/>
      <c r="Q439" s="2">
        <f>'QBO Transactions'!$T441</f>
        <v/>
      </c>
      <c r="R439" s="2" t="n"/>
      <c r="S439" s="2" t="n"/>
      <c r="T439" s="2" t="n"/>
      <c r="U439" s="2" t="n"/>
      <c r="V439" s="2" t="n"/>
      <c r="W439" s="2" t="n"/>
      <c r="X439" s="2">
        <f>Q439</f>
        <v/>
      </c>
      <c r="Y439" s="4">
        <f>'QBO Transactions'!$Q441</f>
        <v/>
      </c>
      <c r="Z439" s="2" t="n"/>
      <c r="AA439" s="2" t="n"/>
      <c r="AB439" s="2" t="n"/>
      <c r="AC439" s="2" t="n"/>
      <c r="AD439" s="2" t="n"/>
      <c r="AE439" s="2" t="n"/>
    </row>
    <row r="440" ht="12.75" customHeight="1" s="52">
      <c r="A440" s="2" t="n"/>
      <c r="B440" s="2">
        <f>'QBO Transactions'!$U442</f>
        <v/>
      </c>
      <c r="C440" s="3">
        <f>'QBO Transactions'!$S442</f>
        <v/>
      </c>
      <c r="D440" s="2">
        <f>'QBO Transactions'!$R442</f>
        <v/>
      </c>
      <c r="E440" s="2" t="n"/>
      <c r="F440" s="3">
        <f>'QBO Transactions'!$X442</f>
        <v/>
      </c>
      <c r="G440" s="2" t="n"/>
      <c r="H440" s="2" t="n"/>
      <c r="I440" s="2" t="n"/>
      <c r="J440" s="2" t="n"/>
      <c r="K440" s="2" t="n"/>
      <c r="L440" s="2" t="n"/>
      <c r="M440" s="2" t="n"/>
      <c r="N440" s="2">
        <f>'QBO Transactions'!$Y442</f>
        <v/>
      </c>
      <c r="O440" s="2" t="n"/>
      <c r="P440" s="2" t="n"/>
      <c r="Q440" s="2">
        <f>'QBO Transactions'!$T442</f>
        <v/>
      </c>
      <c r="R440" s="2" t="n"/>
      <c r="S440" s="2" t="n"/>
      <c r="T440" s="2" t="n"/>
      <c r="U440" s="2" t="n"/>
      <c r="V440" s="2" t="n"/>
      <c r="W440" s="2" t="n"/>
      <c r="X440" s="2">
        <f>Q440</f>
        <v/>
      </c>
      <c r="Y440" s="4">
        <f>'QBO Transactions'!$Q442</f>
        <v/>
      </c>
      <c r="Z440" s="2" t="n"/>
      <c r="AA440" s="2" t="n"/>
      <c r="AB440" s="2" t="n"/>
      <c r="AC440" s="2" t="n"/>
      <c r="AD440" s="2" t="n"/>
      <c r="AE440" s="2" t="n"/>
    </row>
    <row r="441" ht="12.75" customHeight="1" s="52">
      <c r="A441" s="2" t="n"/>
      <c r="B441" s="2">
        <f>'QBO Transactions'!$U443</f>
        <v/>
      </c>
      <c r="C441" s="3">
        <f>'QBO Transactions'!$S443</f>
        <v/>
      </c>
      <c r="D441" s="2">
        <f>'QBO Transactions'!$R443</f>
        <v/>
      </c>
      <c r="E441" s="2" t="n"/>
      <c r="F441" s="3">
        <f>'QBO Transactions'!$X443</f>
        <v/>
      </c>
      <c r="G441" s="2" t="n"/>
      <c r="H441" s="2" t="n"/>
      <c r="I441" s="2" t="n"/>
      <c r="J441" s="2" t="n"/>
      <c r="K441" s="2" t="n"/>
      <c r="L441" s="2" t="n"/>
      <c r="M441" s="2" t="n"/>
      <c r="N441" s="2">
        <f>'QBO Transactions'!$Y443</f>
        <v/>
      </c>
      <c r="O441" s="2" t="n"/>
      <c r="P441" s="2" t="n"/>
      <c r="Q441" s="2">
        <f>'QBO Transactions'!$T443</f>
        <v/>
      </c>
      <c r="R441" s="2" t="n"/>
      <c r="S441" s="2" t="n"/>
      <c r="T441" s="2" t="n"/>
      <c r="U441" s="2" t="n"/>
      <c r="V441" s="2" t="n"/>
      <c r="W441" s="2" t="n"/>
      <c r="X441" s="2">
        <f>Q441</f>
        <v/>
      </c>
      <c r="Y441" s="4">
        <f>'QBO Transactions'!$Q443</f>
        <v/>
      </c>
      <c r="Z441" s="2" t="n"/>
      <c r="AA441" s="2" t="n"/>
      <c r="AB441" s="2" t="n"/>
      <c r="AC441" s="2" t="n"/>
      <c r="AD441" s="2" t="n"/>
      <c r="AE441" s="2" t="n"/>
    </row>
    <row r="442" ht="12.75" customHeight="1" s="52">
      <c r="A442" s="2" t="n"/>
      <c r="B442" s="2">
        <f>'QBO Transactions'!$U444</f>
        <v/>
      </c>
      <c r="C442" s="3">
        <f>'QBO Transactions'!$S444</f>
        <v/>
      </c>
      <c r="D442" s="2">
        <f>'QBO Transactions'!$R444</f>
        <v/>
      </c>
      <c r="E442" s="2" t="n"/>
      <c r="F442" s="3">
        <f>'QBO Transactions'!$X444</f>
        <v/>
      </c>
      <c r="G442" s="2" t="n"/>
      <c r="H442" s="2" t="n"/>
      <c r="I442" s="2" t="n"/>
      <c r="J442" s="2" t="n"/>
      <c r="K442" s="2" t="n"/>
      <c r="L442" s="2" t="n"/>
      <c r="M442" s="2" t="n"/>
      <c r="N442" s="2">
        <f>'QBO Transactions'!$Y444</f>
        <v/>
      </c>
      <c r="O442" s="2" t="n"/>
      <c r="P442" s="2" t="n"/>
      <c r="Q442" s="2">
        <f>'QBO Transactions'!$T444</f>
        <v/>
      </c>
      <c r="R442" s="2" t="n"/>
      <c r="S442" s="2" t="n"/>
      <c r="T442" s="2" t="n"/>
      <c r="U442" s="2" t="n"/>
      <c r="V442" s="2" t="n"/>
      <c r="W442" s="2" t="n"/>
      <c r="X442" s="2">
        <f>Q442</f>
        <v/>
      </c>
      <c r="Y442" s="4">
        <f>'QBO Transactions'!$Q444</f>
        <v/>
      </c>
      <c r="Z442" s="2" t="n"/>
      <c r="AA442" s="2" t="n"/>
      <c r="AB442" s="2" t="n"/>
      <c r="AC442" s="2" t="n"/>
      <c r="AD442" s="2" t="n"/>
      <c r="AE442" s="2" t="n"/>
    </row>
    <row r="443" ht="12.75" customHeight="1" s="52">
      <c r="A443" s="2" t="n"/>
      <c r="B443" s="2">
        <f>'QBO Transactions'!$U445</f>
        <v/>
      </c>
      <c r="C443" s="3">
        <f>'QBO Transactions'!$S445</f>
        <v/>
      </c>
      <c r="D443" s="2">
        <f>'QBO Transactions'!$R445</f>
        <v/>
      </c>
      <c r="E443" s="2" t="n"/>
      <c r="F443" s="3">
        <f>'QBO Transactions'!$X445</f>
        <v/>
      </c>
      <c r="G443" s="2" t="n"/>
      <c r="H443" s="2" t="n"/>
      <c r="I443" s="2" t="n"/>
      <c r="J443" s="2" t="n"/>
      <c r="K443" s="2" t="n"/>
      <c r="L443" s="2" t="n"/>
      <c r="M443" s="2" t="n"/>
      <c r="N443" s="2">
        <f>'QBO Transactions'!$Y445</f>
        <v/>
      </c>
      <c r="O443" s="2" t="n"/>
      <c r="P443" s="2" t="n"/>
      <c r="Q443" s="2">
        <f>'QBO Transactions'!$T445</f>
        <v/>
      </c>
      <c r="R443" s="2" t="n"/>
      <c r="S443" s="2" t="n"/>
      <c r="T443" s="2" t="n"/>
      <c r="U443" s="2" t="n"/>
      <c r="V443" s="2" t="n"/>
      <c r="W443" s="2" t="n"/>
      <c r="X443" s="2">
        <f>Q443</f>
        <v/>
      </c>
      <c r="Y443" s="4">
        <f>'QBO Transactions'!$Q445</f>
        <v/>
      </c>
      <c r="Z443" s="2" t="n"/>
      <c r="AA443" s="2" t="n"/>
      <c r="AB443" s="2" t="n"/>
      <c r="AC443" s="2" t="n"/>
      <c r="AD443" s="2" t="n"/>
      <c r="AE443" s="2" t="n"/>
    </row>
    <row r="444" ht="12.75" customHeight="1" s="52">
      <c r="A444" s="2" t="n"/>
      <c r="B444" s="2">
        <f>'QBO Transactions'!$U446</f>
        <v/>
      </c>
      <c r="C444" s="3">
        <f>'QBO Transactions'!$S446</f>
        <v/>
      </c>
      <c r="D444" s="2">
        <f>'QBO Transactions'!$R446</f>
        <v/>
      </c>
      <c r="E444" s="2" t="n"/>
      <c r="F444" s="3">
        <f>'QBO Transactions'!$X446</f>
        <v/>
      </c>
      <c r="G444" s="2" t="n"/>
      <c r="H444" s="2" t="n"/>
      <c r="I444" s="2" t="n"/>
      <c r="J444" s="2" t="n"/>
      <c r="K444" s="2" t="n"/>
      <c r="L444" s="2" t="n"/>
      <c r="M444" s="2" t="n"/>
      <c r="N444" s="2">
        <f>'QBO Transactions'!$Y446</f>
        <v/>
      </c>
      <c r="O444" s="2" t="n"/>
      <c r="P444" s="2" t="n"/>
      <c r="Q444" s="2">
        <f>'QBO Transactions'!$T446</f>
        <v/>
      </c>
      <c r="R444" s="2" t="n"/>
      <c r="S444" s="2" t="n"/>
      <c r="T444" s="2" t="n"/>
      <c r="U444" s="2" t="n"/>
      <c r="V444" s="2" t="n"/>
      <c r="W444" s="2" t="n"/>
      <c r="X444" s="2">
        <f>Q444</f>
        <v/>
      </c>
      <c r="Y444" s="4">
        <f>'QBO Transactions'!$Q446</f>
        <v/>
      </c>
      <c r="Z444" s="2" t="n"/>
      <c r="AA444" s="2" t="n"/>
      <c r="AB444" s="2" t="n"/>
      <c r="AC444" s="2" t="n"/>
      <c r="AD444" s="2" t="n"/>
      <c r="AE444" s="2" t="n"/>
    </row>
    <row r="445" ht="12.75" customHeight="1" s="52">
      <c r="A445" s="2" t="n"/>
      <c r="B445" s="2">
        <f>'QBO Transactions'!$U447</f>
        <v/>
      </c>
      <c r="C445" s="3">
        <f>'QBO Transactions'!$S447</f>
        <v/>
      </c>
      <c r="D445" s="2">
        <f>'QBO Transactions'!$R447</f>
        <v/>
      </c>
      <c r="E445" s="2" t="n"/>
      <c r="F445" s="3">
        <f>'QBO Transactions'!$X447</f>
        <v/>
      </c>
      <c r="G445" s="2" t="n"/>
      <c r="H445" s="2" t="n"/>
      <c r="I445" s="2" t="n"/>
      <c r="J445" s="2" t="n"/>
      <c r="K445" s="2" t="n"/>
      <c r="L445" s="2" t="n"/>
      <c r="M445" s="2" t="n"/>
      <c r="N445" s="2">
        <f>'QBO Transactions'!$Y447</f>
        <v/>
      </c>
      <c r="O445" s="2" t="n"/>
      <c r="P445" s="2" t="n"/>
      <c r="Q445" s="2">
        <f>'QBO Transactions'!$T447</f>
        <v/>
      </c>
      <c r="R445" s="2" t="n"/>
      <c r="S445" s="2" t="n"/>
      <c r="T445" s="2" t="n"/>
      <c r="U445" s="2" t="n"/>
      <c r="V445" s="2" t="n"/>
      <c r="W445" s="2" t="n"/>
      <c r="X445" s="2">
        <f>Q445</f>
        <v/>
      </c>
      <c r="Y445" s="4">
        <f>'QBO Transactions'!$Q447</f>
        <v/>
      </c>
      <c r="Z445" s="2" t="n"/>
      <c r="AA445" s="2" t="n"/>
      <c r="AB445" s="2" t="n"/>
      <c r="AC445" s="2" t="n"/>
      <c r="AD445" s="2" t="n"/>
      <c r="AE445" s="2" t="n"/>
    </row>
    <row r="446" ht="12.75" customHeight="1" s="52">
      <c r="A446" s="2" t="n"/>
      <c r="B446" s="2">
        <f>'QBO Transactions'!$U448</f>
        <v/>
      </c>
      <c r="C446" s="3">
        <f>'QBO Transactions'!$S448</f>
        <v/>
      </c>
      <c r="D446" s="2">
        <f>'QBO Transactions'!$R448</f>
        <v/>
      </c>
      <c r="E446" s="2" t="n"/>
      <c r="F446" s="3">
        <f>'QBO Transactions'!$X448</f>
        <v/>
      </c>
      <c r="G446" s="2" t="n"/>
      <c r="H446" s="2" t="n"/>
      <c r="I446" s="2" t="n"/>
      <c r="J446" s="2" t="n"/>
      <c r="K446" s="2" t="n"/>
      <c r="L446" s="2" t="n"/>
      <c r="M446" s="2" t="n"/>
      <c r="N446" s="2">
        <f>'QBO Transactions'!$Y448</f>
        <v/>
      </c>
      <c r="O446" s="2" t="n"/>
      <c r="P446" s="2" t="n"/>
      <c r="Q446" s="2">
        <f>'QBO Transactions'!$T448</f>
        <v/>
      </c>
      <c r="R446" s="2" t="n"/>
      <c r="S446" s="2" t="n"/>
      <c r="T446" s="2" t="n"/>
      <c r="U446" s="2" t="n"/>
      <c r="V446" s="2" t="n"/>
      <c r="W446" s="2" t="n"/>
      <c r="X446" s="2">
        <f>Q446</f>
        <v/>
      </c>
      <c r="Y446" s="4">
        <f>'QBO Transactions'!$Q448</f>
        <v/>
      </c>
      <c r="Z446" s="2" t="n"/>
      <c r="AA446" s="2" t="n"/>
      <c r="AB446" s="2" t="n"/>
      <c r="AC446" s="2" t="n"/>
      <c r="AD446" s="2" t="n"/>
      <c r="AE446" s="2" t="n"/>
    </row>
    <row r="447" ht="12.75" customHeight="1" s="52">
      <c r="A447" s="2" t="n"/>
      <c r="B447" s="2">
        <f>'QBO Transactions'!$U449</f>
        <v/>
      </c>
      <c r="C447" s="3">
        <f>'QBO Transactions'!$S449</f>
        <v/>
      </c>
      <c r="D447" s="2">
        <f>'QBO Transactions'!$R449</f>
        <v/>
      </c>
      <c r="E447" s="2" t="n"/>
      <c r="F447" s="3">
        <f>'QBO Transactions'!$X449</f>
        <v/>
      </c>
      <c r="G447" s="2" t="n"/>
      <c r="H447" s="2" t="n"/>
      <c r="I447" s="2" t="n"/>
      <c r="J447" s="2" t="n"/>
      <c r="K447" s="2" t="n"/>
      <c r="L447" s="2" t="n"/>
      <c r="M447" s="2" t="n"/>
      <c r="N447" s="2">
        <f>'QBO Transactions'!$Y449</f>
        <v/>
      </c>
      <c r="O447" s="2" t="n"/>
      <c r="P447" s="2" t="n"/>
      <c r="Q447" s="2">
        <f>'QBO Transactions'!$T449</f>
        <v/>
      </c>
      <c r="R447" s="2" t="n"/>
      <c r="S447" s="2" t="n"/>
      <c r="T447" s="2" t="n"/>
      <c r="U447" s="2" t="n"/>
      <c r="V447" s="2" t="n"/>
      <c r="W447" s="2" t="n"/>
      <c r="X447" s="2">
        <f>Q447</f>
        <v/>
      </c>
      <c r="Y447" s="4">
        <f>'QBO Transactions'!$Q449</f>
        <v/>
      </c>
      <c r="Z447" s="2" t="n"/>
      <c r="AA447" s="2" t="n"/>
      <c r="AB447" s="2" t="n"/>
      <c r="AC447" s="2" t="n"/>
      <c r="AD447" s="2" t="n"/>
      <c r="AE447" s="2" t="n"/>
    </row>
    <row r="448" ht="12.75" customHeight="1" s="52">
      <c r="A448" s="2" t="n"/>
      <c r="B448" s="2">
        <f>'QBO Transactions'!$U450</f>
        <v/>
      </c>
      <c r="C448" s="3">
        <f>'QBO Transactions'!$S450</f>
        <v/>
      </c>
      <c r="D448" s="2">
        <f>'QBO Transactions'!$R450</f>
        <v/>
      </c>
      <c r="E448" s="2" t="n"/>
      <c r="F448" s="3">
        <f>'QBO Transactions'!$X450</f>
        <v/>
      </c>
      <c r="G448" s="2" t="n"/>
      <c r="H448" s="2" t="n"/>
      <c r="I448" s="2" t="n"/>
      <c r="J448" s="2" t="n"/>
      <c r="K448" s="2" t="n"/>
      <c r="L448" s="2" t="n"/>
      <c r="M448" s="2" t="n"/>
      <c r="N448" s="2">
        <f>'QBO Transactions'!$Y450</f>
        <v/>
      </c>
      <c r="O448" s="2" t="n"/>
      <c r="P448" s="2" t="n"/>
      <c r="Q448" s="2">
        <f>'QBO Transactions'!$T450</f>
        <v/>
      </c>
      <c r="R448" s="2" t="n"/>
      <c r="S448" s="2" t="n"/>
      <c r="T448" s="2" t="n"/>
      <c r="U448" s="2" t="n"/>
      <c r="V448" s="2" t="n"/>
      <c r="W448" s="2" t="n"/>
      <c r="X448" s="2">
        <f>Q448</f>
        <v/>
      </c>
      <c r="Y448" s="4">
        <f>'QBO Transactions'!$Q450</f>
        <v/>
      </c>
      <c r="Z448" s="2" t="n"/>
      <c r="AA448" s="2" t="n"/>
      <c r="AB448" s="2" t="n"/>
      <c r="AC448" s="2" t="n"/>
      <c r="AD448" s="2" t="n"/>
      <c r="AE448" s="2" t="n"/>
    </row>
    <row r="449" ht="12.75" customHeight="1" s="52">
      <c r="A449" s="2" t="n"/>
      <c r="B449" s="2">
        <f>'QBO Transactions'!$U451</f>
        <v/>
      </c>
      <c r="C449" s="3">
        <f>'QBO Transactions'!$S451</f>
        <v/>
      </c>
      <c r="D449" s="2">
        <f>'QBO Transactions'!$R451</f>
        <v/>
      </c>
      <c r="E449" s="2" t="n"/>
      <c r="F449" s="3">
        <f>'QBO Transactions'!$X451</f>
        <v/>
      </c>
      <c r="G449" s="2" t="n"/>
      <c r="H449" s="2" t="n"/>
      <c r="I449" s="2" t="n"/>
      <c r="J449" s="2" t="n"/>
      <c r="K449" s="2" t="n"/>
      <c r="L449" s="2" t="n"/>
      <c r="M449" s="2" t="n"/>
      <c r="N449" s="2">
        <f>'QBO Transactions'!$Y451</f>
        <v/>
      </c>
      <c r="O449" s="2" t="n"/>
      <c r="P449" s="2" t="n"/>
      <c r="Q449" s="2">
        <f>'QBO Transactions'!$T451</f>
        <v/>
      </c>
      <c r="R449" s="2" t="n"/>
      <c r="S449" s="2" t="n"/>
      <c r="T449" s="2" t="n"/>
      <c r="U449" s="2" t="n"/>
      <c r="V449" s="2" t="n"/>
      <c r="W449" s="2" t="n"/>
      <c r="X449" s="2">
        <f>Q449</f>
        <v/>
      </c>
      <c r="Y449" s="4">
        <f>'QBO Transactions'!$Q451</f>
        <v/>
      </c>
      <c r="Z449" s="2" t="n"/>
      <c r="AA449" s="2" t="n"/>
      <c r="AB449" s="2" t="n"/>
      <c r="AC449" s="2" t="n"/>
      <c r="AD449" s="2" t="n"/>
      <c r="AE449" s="2" t="n"/>
    </row>
    <row r="450" ht="12.75" customHeight="1" s="52">
      <c r="A450" s="2" t="n"/>
      <c r="B450" s="2">
        <f>'QBO Transactions'!$U452</f>
        <v/>
      </c>
      <c r="C450" s="3">
        <f>'QBO Transactions'!$S452</f>
        <v/>
      </c>
      <c r="D450" s="2">
        <f>'QBO Transactions'!$R452</f>
        <v/>
      </c>
      <c r="E450" s="2" t="n"/>
      <c r="F450" s="3">
        <f>'QBO Transactions'!$X452</f>
        <v/>
      </c>
      <c r="G450" s="2" t="n"/>
      <c r="H450" s="2" t="n"/>
      <c r="I450" s="2" t="n"/>
      <c r="J450" s="2" t="n"/>
      <c r="K450" s="2" t="n"/>
      <c r="L450" s="2" t="n"/>
      <c r="M450" s="2" t="n"/>
      <c r="N450" s="2">
        <f>'QBO Transactions'!$Y452</f>
        <v/>
      </c>
      <c r="O450" s="2" t="n"/>
      <c r="P450" s="2" t="n"/>
      <c r="Q450" s="2">
        <f>'QBO Transactions'!$T452</f>
        <v/>
      </c>
      <c r="R450" s="2" t="n"/>
      <c r="S450" s="2" t="n"/>
      <c r="T450" s="2" t="n"/>
      <c r="U450" s="2" t="n"/>
      <c r="V450" s="2" t="n"/>
      <c r="W450" s="2" t="n"/>
      <c r="X450" s="2">
        <f>Q450</f>
        <v/>
      </c>
      <c r="Y450" s="4">
        <f>'QBO Transactions'!$Q452</f>
        <v/>
      </c>
      <c r="Z450" s="2" t="n"/>
      <c r="AA450" s="2" t="n"/>
      <c r="AB450" s="2" t="n"/>
      <c r="AC450" s="2" t="n"/>
      <c r="AD450" s="2" t="n"/>
      <c r="AE450" s="2" t="n"/>
    </row>
    <row r="451" ht="12.75" customHeight="1" s="52">
      <c r="A451" s="2" t="n"/>
      <c r="B451" s="2">
        <f>'QBO Transactions'!$U453</f>
        <v/>
      </c>
      <c r="C451" s="3">
        <f>'QBO Transactions'!$S453</f>
        <v/>
      </c>
      <c r="D451" s="2">
        <f>'QBO Transactions'!$R453</f>
        <v/>
      </c>
      <c r="E451" s="2" t="n"/>
      <c r="F451" s="3">
        <f>'QBO Transactions'!$X453</f>
        <v/>
      </c>
      <c r="G451" s="2" t="n"/>
      <c r="H451" s="2" t="n"/>
      <c r="I451" s="2" t="n"/>
      <c r="J451" s="2" t="n"/>
      <c r="K451" s="2" t="n"/>
      <c r="L451" s="2" t="n"/>
      <c r="M451" s="2" t="n"/>
      <c r="N451" s="2">
        <f>'QBO Transactions'!$Y453</f>
        <v/>
      </c>
      <c r="O451" s="2" t="n"/>
      <c r="P451" s="2" t="n"/>
      <c r="Q451" s="2">
        <f>'QBO Transactions'!$T453</f>
        <v/>
      </c>
      <c r="R451" s="2" t="n"/>
      <c r="S451" s="2" t="n"/>
      <c r="T451" s="2" t="n"/>
      <c r="U451" s="2" t="n"/>
      <c r="V451" s="2" t="n"/>
      <c r="W451" s="2" t="n"/>
      <c r="X451" s="2">
        <f>Q451</f>
        <v/>
      </c>
      <c r="Y451" s="4">
        <f>'QBO Transactions'!$Q453</f>
        <v/>
      </c>
      <c r="Z451" s="2" t="n"/>
      <c r="AA451" s="2" t="n"/>
      <c r="AB451" s="2" t="n"/>
      <c r="AC451" s="2" t="n"/>
      <c r="AD451" s="2" t="n"/>
      <c r="AE451" s="2" t="n"/>
    </row>
    <row r="452" ht="12.75" customHeight="1" s="52">
      <c r="A452" s="2" t="n"/>
      <c r="B452" s="2">
        <f>'QBO Transactions'!$U454</f>
        <v/>
      </c>
      <c r="C452" s="3">
        <f>'QBO Transactions'!$S454</f>
        <v/>
      </c>
      <c r="D452" s="2">
        <f>'QBO Transactions'!$R454</f>
        <v/>
      </c>
      <c r="E452" s="2" t="n"/>
      <c r="F452" s="3">
        <f>'QBO Transactions'!$X454</f>
        <v/>
      </c>
      <c r="G452" s="2" t="n"/>
      <c r="H452" s="2" t="n"/>
      <c r="I452" s="2" t="n"/>
      <c r="J452" s="2" t="n"/>
      <c r="K452" s="2" t="n"/>
      <c r="L452" s="2" t="n"/>
      <c r="M452" s="2" t="n"/>
      <c r="N452" s="2">
        <f>'QBO Transactions'!$Y454</f>
        <v/>
      </c>
      <c r="O452" s="2" t="n"/>
      <c r="P452" s="2" t="n"/>
      <c r="Q452" s="2">
        <f>'QBO Transactions'!$T454</f>
        <v/>
      </c>
      <c r="R452" s="2" t="n"/>
      <c r="S452" s="2" t="n"/>
      <c r="T452" s="2" t="n"/>
      <c r="U452" s="2" t="n"/>
      <c r="V452" s="2" t="n"/>
      <c r="W452" s="2" t="n"/>
      <c r="X452" s="2">
        <f>Q452</f>
        <v/>
      </c>
      <c r="Y452" s="4">
        <f>'QBO Transactions'!$Q454</f>
        <v/>
      </c>
      <c r="Z452" s="2" t="n"/>
      <c r="AA452" s="2" t="n"/>
      <c r="AB452" s="2" t="n"/>
      <c r="AC452" s="2" t="n"/>
      <c r="AD452" s="2" t="n"/>
      <c r="AE452" s="2" t="n"/>
    </row>
    <row r="453" ht="12.75" customHeight="1" s="52">
      <c r="A453" s="2" t="n"/>
      <c r="B453" s="2">
        <f>'QBO Transactions'!$U455</f>
        <v/>
      </c>
      <c r="C453" s="3">
        <f>'QBO Transactions'!$S455</f>
        <v/>
      </c>
      <c r="D453" s="2">
        <f>'QBO Transactions'!$R455</f>
        <v/>
      </c>
      <c r="E453" s="2" t="n"/>
      <c r="F453" s="3">
        <f>'QBO Transactions'!$X455</f>
        <v/>
      </c>
      <c r="G453" s="2" t="n"/>
      <c r="H453" s="2" t="n"/>
      <c r="I453" s="2" t="n"/>
      <c r="J453" s="2" t="n"/>
      <c r="K453" s="2" t="n"/>
      <c r="L453" s="2" t="n"/>
      <c r="M453" s="2" t="n"/>
      <c r="N453" s="2">
        <f>'QBO Transactions'!$Y455</f>
        <v/>
      </c>
      <c r="O453" s="2" t="n"/>
      <c r="P453" s="2" t="n"/>
      <c r="Q453" s="2">
        <f>'QBO Transactions'!$T455</f>
        <v/>
      </c>
      <c r="R453" s="2" t="n"/>
      <c r="S453" s="2" t="n"/>
      <c r="T453" s="2" t="n"/>
      <c r="U453" s="2" t="n"/>
      <c r="V453" s="2" t="n"/>
      <c r="W453" s="2" t="n"/>
      <c r="X453" s="2">
        <f>Q453</f>
        <v/>
      </c>
      <c r="Y453" s="4">
        <f>'QBO Transactions'!$Q455</f>
        <v/>
      </c>
      <c r="Z453" s="2" t="n"/>
      <c r="AA453" s="2" t="n"/>
      <c r="AB453" s="2" t="n"/>
      <c r="AC453" s="2" t="n"/>
      <c r="AD453" s="2" t="n"/>
      <c r="AE453" s="2" t="n"/>
    </row>
    <row r="454" ht="12.75" customHeight="1" s="52">
      <c r="A454" s="2" t="n"/>
      <c r="B454" s="2">
        <f>'QBO Transactions'!$U456</f>
        <v/>
      </c>
      <c r="C454" s="3">
        <f>'QBO Transactions'!$S456</f>
        <v/>
      </c>
      <c r="D454" s="2">
        <f>'QBO Transactions'!$R456</f>
        <v/>
      </c>
      <c r="E454" s="2" t="n"/>
      <c r="F454" s="3">
        <f>'QBO Transactions'!$X456</f>
        <v/>
      </c>
      <c r="G454" s="2" t="n"/>
      <c r="H454" s="2" t="n"/>
      <c r="I454" s="2" t="n"/>
      <c r="J454" s="2" t="n"/>
      <c r="K454" s="2" t="n"/>
      <c r="L454" s="2" t="n"/>
      <c r="M454" s="2" t="n"/>
      <c r="N454" s="2">
        <f>'QBO Transactions'!$Y456</f>
        <v/>
      </c>
      <c r="O454" s="2" t="n"/>
      <c r="P454" s="2" t="n"/>
      <c r="Q454" s="2">
        <f>'QBO Transactions'!$T456</f>
        <v/>
      </c>
      <c r="R454" s="2" t="n"/>
      <c r="S454" s="2" t="n"/>
      <c r="T454" s="2" t="n"/>
      <c r="U454" s="2" t="n"/>
      <c r="V454" s="2" t="n"/>
      <c r="W454" s="2" t="n"/>
      <c r="X454" s="2">
        <f>Q454</f>
        <v/>
      </c>
      <c r="Y454" s="4">
        <f>'QBO Transactions'!$Q456</f>
        <v/>
      </c>
      <c r="Z454" s="2" t="n"/>
      <c r="AA454" s="2" t="n"/>
      <c r="AB454" s="2" t="n"/>
      <c r="AC454" s="2" t="n"/>
      <c r="AD454" s="2" t="n"/>
      <c r="AE454" s="2" t="n"/>
    </row>
    <row r="455" ht="12.75" customHeight="1" s="52">
      <c r="A455" s="2" t="n"/>
      <c r="B455" s="2">
        <f>'QBO Transactions'!$U457</f>
        <v/>
      </c>
      <c r="C455" s="3">
        <f>'QBO Transactions'!$S457</f>
        <v/>
      </c>
      <c r="D455" s="2">
        <f>'QBO Transactions'!$R457</f>
        <v/>
      </c>
      <c r="E455" s="2" t="n"/>
      <c r="F455" s="3">
        <f>'QBO Transactions'!$X457</f>
        <v/>
      </c>
      <c r="G455" s="2" t="n"/>
      <c r="H455" s="2" t="n"/>
      <c r="I455" s="2" t="n"/>
      <c r="J455" s="2" t="n"/>
      <c r="K455" s="2" t="n"/>
      <c r="L455" s="2" t="n"/>
      <c r="M455" s="2" t="n"/>
      <c r="N455" s="2">
        <f>'QBO Transactions'!$Y457</f>
        <v/>
      </c>
      <c r="O455" s="2" t="n"/>
      <c r="P455" s="2" t="n"/>
      <c r="Q455" s="2">
        <f>'QBO Transactions'!$T457</f>
        <v/>
      </c>
      <c r="R455" s="2" t="n"/>
      <c r="S455" s="2" t="n"/>
      <c r="T455" s="2" t="n"/>
      <c r="U455" s="2" t="n"/>
      <c r="V455" s="2" t="n"/>
      <c r="W455" s="2" t="n"/>
      <c r="X455" s="2">
        <f>Q455</f>
        <v/>
      </c>
      <c r="Y455" s="4">
        <f>'QBO Transactions'!$Q457</f>
        <v/>
      </c>
      <c r="Z455" s="2" t="n"/>
      <c r="AA455" s="2" t="n"/>
      <c r="AB455" s="2" t="n"/>
      <c r="AC455" s="2" t="n"/>
      <c r="AD455" s="2" t="n"/>
      <c r="AE455" s="2" t="n"/>
    </row>
    <row r="456" ht="12.75" customHeight="1" s="52">
      <c r="A456" s="2" t="n"/>
      <c r="B456" s="2">
        <f>'QBO Transactions'!$U458</f>
        <v/>
      </c>
      <c r="C456" s="3">
        <f>'QBO Transactions'!$S458</f>
        <v/>
      </c>
      <c r="D456" s="2">
        <f>'QBO Transactions'!$R458</f>
        <v/>
      </c>
      <c r="E456" s="2" t="n"/>
      <c r="F456" s="3">
        <f>'QBO Transactions'!$X458</f>
        <v/>
      </c>
      <c r="G456" s="2" t="n"/>
      <c r="H456" s="2" t="n"/>
      <c r="I456" s="2" t="n"/>
      <c r="J456" s="2" t="n"/>
      <c r="K456" s="2" t="n"/>
      <c r="L456" s="2" t="n"/>
      <c r="M456" s="2" t="n"/>
      <c r="N456" s="2">
        <f>'QBO Transactions'!$Y458</f>
        <v/>
      </c>
      <c r="O456" s="2" t="n"/>
      <c r="P456" s="2" t="n"/>
      <c r="Q456" s="2">
        <f>'QBO Transactions'!$T458</f>
        <v/>
      </c>
      <c r="R456" s="2" t="n"/>
      <c r="S456" s="2" t="n"/>
      <c r="T456" s="2" t="n"/>
      <c r="U456" s="2" t="n"/>
      <c r="V456" s="2" t="n"/>
      <c r="W456" s="2" t="n"/>
      <c r="X456" s="2">
        <f>Q456</f>
        <v/>
      </c>
      <c r="Y456" s="4">
        <f>'QBO Transactions'!$Q458</f>
        <v/>
      </c>
      <c r="Z456" s="2" t="n"/>
      <c r="AA456" s="2" t="n"/>
      <c r="AB456" s="2" t="n"/>
      <c r="AC456" s="2" t="n"/>
      <c r="AD456" s="2" t="n"/>
      <c r="AE456" s="2" t="n"/>
    </row>
    <row r="457" ht="12.75" customHeight="1" s="52">
      <c r="A457" s="2" t="n"/>
      <c r="B457" s="2">
        <f>'QBO Transactions'!$U459</f>
        <v/>
      </c>
      <c r="C457" s="3">
        <f>'QBO Transactions'!$S459</f>
        <v/>
      </c>
      <c r="D457" s="2">
        <f>'QBO Transactions'!$R459</f>
        <v/>
      </c>
      <c r="E457" s="2" t="n"/>
      <c r="F457" s="3">
        <f>'QBO Transactions'!$X459</f>
        <v/>
      </c>
      <c r="G457" s="2" t="n"/>
      <c r="H457" s="2" t="n"/>
      <c r="I457" s="2" t="n"/>
      <c r="J457" s="2" t="n"/>
      <c r="K457" s="2" t="n"/>
      <c r="L457" s="2" t="n"/>
      <c r="M457" s="2" t="n"/>
      <c r="N457" s="2">
        <f>'QBO Transactions'!$Y459</f>
        <v/>
      </c>
      <c r="O457" s="2" t="n"/>
      <c r="P457" s="2" t="n"/>
      <c r="Q457" s="2">
        <f>'QBO Transactions'!$T459</f>
        <v/>
      </c>
      <c r="R457" s="2" t="n"/>
      <c r="S457" s="2" t="n"/>
      <c r="T457" s="2" t="n"/>
      <c r="U457" s="2" t="n"/>
      <c r="V457" s="2" t="n"/>
      <c r="W457" s="2" t="n"/>
      <c r="X457" s="2">
        <f>Q457</f>
        <v/>
      </c>
      <c r="Y457" s="4">
        <f>'QBO Transactions'!$Q459</f>
        <v/>
      </c>
      <c r="Z457" s="2" t="n"/>
      <c r="AA457" s="2" t="n"/>
      <c r="AB457" s="2" t="n"/>
      <c r="AC457" s="2" t="n"/>
      <c r="AD457" s="2" t="n"/>
      <c r="AE457" s="2" t="n"/>
    </row>
    <row r="458" ht="12.75" customHeight="1" s="52">
      <c r="A458" s="2" t="n"/>
      <c r="B458" s="2">
        <f>'QBO Transactions'!$U460</f>
        <v/>
      </c>
      <c r="C458" s="3">
        <f>'QBO Transactions'!$S460</f>
        <v/>
      </c>
      <c r="D458" s="2">
        <f>'QBO Transactions'!$R460</f>
        <v/>
      </c>
      <c r="E458" s="2" t="n"/>
      <c r="F458" s="3">
        <f>'QBO Transactions'!$X460</f>
        <v/>
      </c>
      <c r="G458" s="2" t="n"/>
      <c r="H458" s="2" t="n"/>
      <c r="I458" s="2" t="n"/>
      <c r="J458" s="2" t="n"/>
      <c r="K458" s="2" t="n"/>
      <c r="L458" s="2" t="n"/>
      <c r="M458" s="2" t="n"/>
      <c r="N458" s="2">
        <f>'QBO Transactions'!$Y460</f>
        <v/>
      </c>
      <c r="O458" s="2" t="n"/>
      <c r="P458" s="2" t="n"/>
      <c r="Q458" s="2">
        <f>'QBO Transactions'!$T460</f>
        <v/>
      </c>
      <c r="R458" s="2" t="n"/>
      <c r="S458" s="2" t="n"/>
      <c r="T458" s="2" t="n"/>
      <c r="U458" s="2" t="n"/>
      <c r="V458" s="2" t="n"/>
      <c r="W458" s="2" t="n"/>
      <c r="X458" s="2">
        <f>Q458</f>
        <v/>
      </c>
      <c r="Y458" s="4">
        <f>'QBO Transactions'!$Q460</f>
        <v/>
      </c>
      <c r="Z458" s="2" t="n"/>
      <c r="AA458" s="2" t="n"/>
      <c r="AB458" s="2" t="n"/>
      <c r="AC458" s="2" t="n"/>
      <c r="AD458" s="2" t="n"/>
      <c r="AE458" s="2" t="n"/>
    </row>
    <row r="459" ht="12.75" customHeight="1" s="52">
      <c r="A459" s="2" t="n"/>
      <c r="B459" s="2">
        <f>'QBO Transactions'!$U461</f>
        <v/>
      </c>
      <c r="C459" s="3">
        <f>'QBO Transactions'!$S461</f>
        <v/>
      </c>
      <c r="D459" s="2">
        <f>'QBO Transactions'!$R461</f>
        <v/>
      </c>
      <c r="E459" s="2" t="n"/>
      <c r="F459" s="3">
        <f>'QBO Transactions'!$X461</f>
        <v/>
      </c>
      <c r="G459" s="2" t="n"/>
      <c r="H459" s="2" t="n"/>
      <c r="I459" s="2" t="n"/>
      <c r="J459" s="2" t="n"/>
      <c r="K459" s="2" t="n"/>
      <c r="L459" s="2" t="n"/>
      <c r="M459" s="2" t="n"/>
      <c r="N459" s="2">
        <f>'QBO Transactions'!$Y461</f>
        <v/>
      </c>
      <c r="O459" s="2" t="n"/>
      <c r="P459" s="2" t="n"/>
      <c r="Q459" s="2">
        <f>'QBO Transactions'!$T461</f>
        <v/>
      </c>
      <c r="R459" s="2" t="n"/>
      <c r="S459" s="2" t="n"/>
      <c r="T459" s="2" t="n"/>
      <c r="U459" s="2" t="n"/>
      <c r="V459" s="2" t="n"/>
      <c r="W459" s="2" t="n"/>
      <c r="X459" s="2">
        <f>Q459</f>
        <v/>
      </c>
      <c r="Y459" s="4">
        <f>'QBO Transactions'!$Q461</f>
        <v/>
      </c>
      <c r="Z459" s="2" t="n"/>
      <c r="AA459" s="2" t="n"/>
      <c r="AB459" s="2" t="n"/>
      <c r="AC459" s="2" t="n"/>
      <c r="AD459" s="2" t="n"/>
      <c r="AE459" s="2" t="n"/>
    </row>
    <row r="460" ht="12.75" customHeight="1" s="52">
      <c r="A460" s="2" t="n"/>
      <c r="B460" s="2">
        <f>'QBO Transactions'!$U462</f>
        <v/>
      </c>
      <c r="C460" s="3">
        <f>'QBO Transactions'!$S462</f>
        <v/>
      </c>
      <c r="D460" s="2">
        <f>'QBO Transactions'!$R462</f>
        <v/>
      </c>
      <c r="E460" s="2" t="n"/>
      <c r="F460" s="3">
        <f>'QBO Transactions'!$X462</f>
        <v/>
      </c>
      <c r="G460" s="2" t="n"/>
      <c r="H460" s="2" t="n"/>
      <c r="I460" s="2" t="n"/>
      <c r="J460" s="2" t="n"/>
      <c r="K460" s="2" t="n"/>
      <c r="L460" s="2" t="n"/>
      <c r="M460" s="2" t="n"/>
      <c r="N460" s="2">
        <f>'QBO Transactions'!$Y462</f>
        <v/>
      </c>
      <c r="O460" s="2" t="n"/>
      <c r="P460" s="2" t="n"/>
      <c r="Q460" s="2">
        <f>'QBO Transactions'!$T462</f>
        <v/>
      </c>
      <c r="R460" s="2" t="n"/>
      <c r="S460" s="2" t="n"/>
      <c r="T460" s="2" t="n"/>
      <c r="U460" s="2" t="n"/>
      <c r="V460" s="2" t="n"/>
      <c r="W460" s="2" t="n"/>
      <c r="X460" s="2">
        <f>Q460</f>
        <v/>
      </c>
      <c r="Y460" s="4">
        <f>'QBO Transactions'!$Q462</f>
        <v/>
      </c>
      <c r="Z460" s="2" t="n"/>
      <c r="AA460" s="2" t="n"/>
      <c r="AB460" s="2" t="n"/>
      <c r="AC460" s="2" t="n"/>
      <c r="AD460" s="2" t="n"/>
      <c r="AE460" s="2" t="n"/>
    </row>
    <row r="461" ht="12.75" customHeight="1" s="52">
      <c r="A461" s="2" t="n"/>
      <c r="B461" s="2">
        <f>'QBO Transactions'!$U463</f>
        <v/>
      </c>
      <c r="C461" s="3">
        <f>'QBO Transactions'!$S463</f>
        <v/>
      </c>
      <c r="D461" s="2">
        <f>'QBO Transactions'!$R463</f>
        <v/>
      </c>
      <c r="E461" s="2" t="n"/>
      <c r="F461" s="3">
        <f>'QBO Transactions'!$X463</f>
        <v/>
      </c>
      <c r="G461" s="2" t="n"/>
      <c r="H461" s="2" t="n"/>
      <c r="I461" s="2" t="n"/>
      <c r="J461" s="2" t="n"/>
      <c r="K461" s="2" t="n"/>
      <c r="L461" s="2" t="n"/>
      <c r="M461" s="2" t="n"/>
      <c r="N461" s="2">
        <f>'QBO Transactions'!$Y463</f>
        <v/>
      </c>
      <c r="O461" s="2" t="n"/>
      <c r="P461" s="2" t="n"/>
      <c r="Q461" s="2">
        <f>'QBO Transactions'!$T463</f>
        <v/>
      </c>
      <c r="R461" s="2" t="n"/>
      <c r="S461" s="2" t="n"/>
      <c r="T461" s="2" t="n"/>
      <c r="U461" s="2" t="n"/>
      <c r="V461" s="2" t="n"/>
      <c r="W461" s="2" t="n"/>
      <c r="X461" s="2">
        <f>Q461</f>
        <v/>
      </c>
      <c r="Y461" s="4">
        <f>'QBO Transactions'!$Q463</f>
        <v/>
      </c>
      <c r="Z461" s="2" t="n"/>
      <c r="AA461" s="2" t="n"/>
      <c r="AB461" s="2" t="n"/>
      <c r="AC461" s="2" t="n"/>
      <c r="AD461" s="2" t="n"/>
      <c r="AE461" s="2" t="n"/>
    </row>
    <row r="462" ht="12.75" customHeight="1" s="52">
      <c r="A462" s="2" t="n"/>
      <c r="B462" s="2">
        <f>'QBO Transactions'!$U464</f>
        <v/>
      </c>
      <c r="C462" s="3">
        <f>'QBO Transactions'!$S464</f>
        <v/>
      </c>
      <c r="D462" s="2">
        <f>'QBO Transactions'!$R464</f>
        <v/>
      </c>
      <c r="E462" s="2" t="n"/>
      <c r="F462" s="3">
        <f>'QBO Transactions'!$X464</f>
        <v/>
      </c>
      <c r="G462" s="2" t="n"/>
      <c r="H462" s="2" t="n"/>
      <c r="I462" s="2" t="n"/>
      <c r="J462" s="2" t="n"/>
      <c r="K462" s="2" t="n"/>
      <c r="L462" s="2" t="n"/>
      <c r="M462" s="2" t="n"/>
      <c r="N462" s="2">
        <f>'QBO Transactions'!$Y464</f>
        <v/>
      </c>
      <c r="O462" s="2" t="n"/>
      <c r="P462" s="2" t="n"/>
      <c r="Q462" s="2">
        <f>'QBO Transactions'!$T464</f>
        <v/>
      </c>
      <c r="R462" s="2" t="n"/>
      <c r="S462" s="2" t="n"/>
      <c r="T462" s="2" t="n"/>
      <c r="U462" s="2" t="n"/>
      <c r="V462" s="2" t="n"/>
      <c r="W462" s="2" t="n"/>
      <c r="X462" s="2">
        <f>Q462</f>
        <v/>
      </c>
      <c r="Y462" s="4">
        <f>'QBO Transactions'!$Q464</f>
        <v/>
      </c>
      <c r="Z462" s="2" t="n"/>
      <c r="AA462" s="2" t="n"/>
      <c r="AB462" s="2" t="n"/>
      <c r="AC462" s="2" t="n"/>
      <c r="AD462" s="2" t="n"/>
      <c r="AE462" s="2" t="n"/>
    </row>
    <row r="463" ht="12.75" customHeight="1" s="52">
      <c r="A463" s="2" t="n"/>
      <c r="B463" s="2">
        <f>'QBO Transactions'!$U465</f>
        <v/>
      </c>
      <c r="C463" s="3">
        <f>'QBO Transactions'!$S465</f>
        <v/>
      </c>
      <c r="D463" s="2">
        <f>'QBO Transactions'!$R465</f>
        <v/>
      </c>
      <c r="E463" s="2" t="n"/>
      <c r="F463" s="3">
        <f>'QBO Transactions'!$X465</f>
        <v/>
      </c>
      <c r="G463" s="2" t="n"/>
      <c r="H463" s="2" t="n"/>
      <c r="I463" s="2" t="n"/>
      <c r="J463" s="2" t="n"/>
      <c r="K463" s="2" t="n"/>
      <c r="L463" s="2" t="n"/>
      <c r="M463" s="2" t="n"/>
      <c r="N463" s="2">
        <f>'QBO Transactions'!$Y465</f>
        <v/>
      </c>
      <c r="O463" s="2" t="n"/>
      <c r="P463" s="2" t="n"/>
      <c r="Q463" s="2">
        <f>'QBO Transactions'!$T465</f>
        <v/>
      </c>
      <c r="R463" s="2" t="n"/>
      <c r="S463" s="2" t="n"/>
      <c r="T463" s="2" t="n"/>
      <c r="U463" s="2" t="n"/>
      <c r="V463" s="2" t="n"/>
      <c r="W463" s="2" t="n"/>
      <c r="X463" s="2">
        <f>Q463</f>
        <v/>
      </c>
      <c r="Y463" s="4">
        <f>'QBO Transactions'!$Q465</f>
        <v/>
      </c>
      <c r="Z463" s="2" t="n"/>
      <c r="AA463" s="2" t="n"/>
      <c r="AB463" s="2" t="n"/>
      <c r="AC463" s="2" t="n"/>
      <c r="AD463" s="2" t="n"/>
      <c r="AE463" s="2" t="n"/>
    </row>
    <row r="464" ht="12.75" customHeight="1" s="52">
      <c r="A464" s="2" t="n"/>
      <c r="B464" s="2">
        <f>'QBO Transactions'!$U466</f>
        <v/>
      </c>
      <c r="C464" s="3">
        <f>'QBO Transactions'!$S466</f>
        <v/>
      </c>
      <c r="D464" s="2">
        <f>'QBO Transactions'!$R466</f>
        <v/>
      </c>
      <c r="E464" s="2" t="n"/>
      <c r="F464" s="3">
        <f>'QBO Transactions'!$X466</f>
        <v/>
      </c>
      <c r="G464" s="2" t="n"/>
      <c r="H464" s="2" t="n"/>
      <c r="I464" s="2" t="n"/>
      <c r="J464" s="2" t="n"/>
      <c r="K464" s="2" t="n"/>
      <c r="L464" s="2" t="n"/>
      <c r="M464" s="2" t="n"/>
      <c r="N464" s="2">
        <f>'QBO Transactions'!$Y466</f>
        <v/>
      </c>
      <c r="O464" s="2" t="n"/>
      <c r="P464" s="2" t="n"/>
      <c r="Q464" s="2">
        <f>'QBO Transactions'!$T466</f>
        <v/>
      </c>
      <c r="R464" s="2" t="n"/>
      <c r="S464" s="2" t="n"/>
      <c r="T464" s="2" t="n"/>
      <c r="U464" s="2" t="n"/>
      <c r="V464" s="2" t="n"/>
      <c r="W464" s="2" t="n"/>
      <c r="X464" s="2">
        <f>Q464</f>
        <v/>
      </c>
      <c r="Y464" s="4">
        <f>'QBO Transactions'!$Q466</f>
        <v/>
      </c>
      <c r="Z464" s="2" t="n"/>
      <c r="AA464" s="2" t="n"/>
      <c r="AB464" s="2" t="n"/>
      <c r="AC464" s="2" t="n"/>
      <c r="AD464" s="2" t="n"/>
      <c r="AE464" s="2" t="n"/>
    </row>
    <row r="465" ht="12.75" customHeight="1" s="52">
      <c r="A465" s="2" t="n"/>
      <c r="B465" s="2">
        <f>'QBO Transactions'!$U467</f>
        <v/>
      </c>
      <c r="C465" s="3">
        <f>'QBO Transactions'!$S467</f>
        <v/>
      </c>
      <c r="D465" s="2">
        <f>'QBO Transactions'!$R467</f>
        <v/>
      </c>
      <c r="E465" s="2" t="n"/>
      <c r="F465" s="3">
        <f>'QBO Transactions'!$X467</f>
        <v/>
      </c>
      <c r="G465" s="2" t="n"/>
      <c r="H465" s="2" t="n"/>
      <c r="I465" s="2" t="n"/>
      <c r="J465" s="2" t="n"/>
      <c r="K465" s="2" t="n"/>
      <c r="L465" s="2" t="n"/>
      <c r="M465" s="2" t="n"/>
      <c r="N465" s="2">
        <f>'QBO Transactions'!$Y467</f>
        <v/>
      </c>
      <c r="O465" s="2" t="n"/>
      <c r="P465" s="2" t="n"/>
      <c r="Q465" s="2">
        <f>'QBO Transactions'!$T467</f>
        <v/>
      </c>
      <c r="R465" s="2" t="n"/>
      <c r="S465" s="2" t="n"/>
      <c r="T465" s="2" t="n"/>
      <c r="U465" s="2" t="n"/>
      <c r="V465" s="2" t="n"/>
      <c r="W465" s="2" t="n"/>
      <c r="X465" s="2">
        <f>Q465</f>
        <v/>
      </c>
      <c r="Y465" s="4">
        <f>'QBO Transactions'!$Q467</f>
        <v/>
      </c>
      <c r="Z465" s="2" t="n"/>
      <c r="AA465" s="2" t="n"/>
      <c r="AB465" s="2" t="n"/>
      <c r="AC465" s="2" t="n"/>
      <c r="AD465" s="2" t="n"/>
      <c r="AE465" s="2" t="n"/>
    </row>
    <row r="466" ht="12.75" customHeight="1" s="52">
      <c r="A466" s="2" t="n"/>
      <c r="B466" s="2">
        <f>'QBO Transactions'!$U468</f>
        <v/>
      </c>
      <c r="C466" s="3">
        <f>'QBO Transactions'!$S468</f>
        <v/>
      </c>
      <c r="D466" s="2">
        <f>'QBO Transactions'!$R468</f>
        <v/>
      </c>
      <c r="E466" s="2" t="n"/>
      <c r="F466" s="3">
        <f>'QBO Transactions'!$X468</f>
        <v/>
      </c>
      <c r="G466" s="2" t="n"/>
      <c r="H466" s="2" t="n"/>
      <c r="I466" s="2" t="n"/>
      <c r="J466" s="2" t="n"/>
      <c r="K466" s="2" t="n"/>
      <c r="L466" s="2" t="n"/>
      <c r="M466" s="2" t="n"/>
      <c r="N466" s="2">
        <f>'QBO Transactions'!$Y468</f>
        <v/>
      </c>
      <c r="O466" s="2" t="n"/>
      <c r="P466" s="2" t="n"/>
      <c r="Q466" s="2">
        <f>'QBO Transactions'!$T468</f>
        <v/>
      </c>
      <c r="R466" s="2" t="n"/>
      <c r="S466" s="2" t="n"/>
      <c r="T466" s="2" t="n"/>
      <c r="U466" s="2" t="n"/>
      <c r="V466" s="2" t="n"/>
      <c r="W466" s="2" t="n"/>
      <c r="X466" s="2">
        <f>Q466</f>
        <v/>
      </c>
      <c r="Y466" s="4">
        <f>'QBO Transactions'!$Q468</f>
        <v/>
      </c>
      <c r="Z466" s="2" t="n"/>
      <c r="AA466" s="2" t="n"/>
      <c r="AB466" s="2" t="n"/>
      <c r="AC466" s="2" t="n"/>
      <c r="AD466" s="2" t="n"/>
      <c r="AE466" s="2" t="n"/>
    </row>
    <row r="467" ht="12.75" customHeight="1" s="52">
      <c r="A467" s="2" t="n"/>
      <c r="B467" s="2">
        <f>'QBO Transactions'!$U469</f>
        <v/>
      </c>
      <c r="C467" s="3">
        <f>'QBO Transactions'!$S469</f>
        <v/>
      </c>
      <c r="D467" s="2">
        <f>'QBO Transactions'!$R469</f>
        <v/>
      </c>
      <c r="E467" s="2" t="n"/>
      <c r="F467" s="3">
        <f>'QBO Transactions'!$X469</f>
        <v/>
      </c>
      <c r="G467" s="2" t="n"/>
      <c r="H467" s="2" t="n"/>
      <c r="I467" s="2" t="n"/>
      <c r="J467" s="2" t="n"/>
      <c r="K467" s="2" t="n"/>
      <c r="L467" s="2" t="n"/>
      <c r="M467" s="2" t="n"/>
      <c r="N467" s="2">
        <f>'QBO Transactions'!$Y469</f>
        <v/>
      </c>
      <c r="O467" s="2" t="n"/>
      <c r="P467" s="2" t="n"/>
      <c r="Q467" s="2">
        <f>'QBO Transactions'!$T469</f>
        <v/>
      </c>
      <c r="R467" s="2" t="n"/>
      <c r="S467" s="2" t="n"/>
      <c r="T467" s="2" t="n"/>
      <c r="U467" s="2" t="n"/>
      <c r="V467" s="2" t="n"/>
      <c r="W467" s="2" t="n"/>
      <c r="X467" s="2">
        <f>Q467</f>
        <v/>
      </c>
      <c r="Y467" s="4">
        <f>'QBO Transactions'!$Q469</f>
        <v/>
      </c>
      <c r="Z467" s="2" t="n"/>
      <c r="AA467" s="2" t="n"/>
      <c r="AB467" s="2" t="n"/>
      <c r="AC467" s="2" t="n"/>
      <c r="AD467" s="2" t="n"/>
      <c r="AE467" s="2" t="n"/>
    </row>
    <row r="468" ht="12.75" customHeight="1" s="52">
      <c r="A468" s="2" t="n"/>
      <c r="B468" s="2">
        <f>'QBO Transactions'!$U470</f>
        <v/>
      </c>
      <c r="C468" s="3">
        <f>'QBO Transactions'!$S470</f>
        <v/>
      </c>
      <c r="D468" s="2">
        <f>'QBO Transactions'!$R470</f>
        <v/>
      </c>
      <c r="E468" s="2" t="n"/>
      <c r="F468" s="3">
        <f>'QBO Transactions'!$X470</f>
        <v/>
      </c>
      <c r="G468" s="2" t="n"/>
      <c r="H468" s="2" t="n"/>
      <c r="I468" s="2" t="n"/>
      <c r="J468" s="2" t="n"/>
      <c r="K468" s="2" t="n"/>
      <c r="L468" s="2" t="n"/>
      <c r="M468" s="2" t="n"/>
      <c r="N468" s="2">
        <f>'QBO Transactions'!$Y470</f>
        <v/>
      </c>
      <c r="O468" s="2" t="n"/>
      <c r="P468" s="2" t="n"/>
      <c r="Q468" s="2">
        <f>'QBO Transactions'!$T470</f>
        <v/>
      </c>
      <c r="R468" s="2" t="n"/>
      <c r="S468" s="2" t="n"/>
      <c r="T468" s="2" t="n"/>
      <c r="U468" s="2" t="n"/>
      <c r="V468" s="2" t="n"/>
      <c r="W468" s="2" t="n"/>
      <c r="X468" s="2">
        <f>Q468</f>
        <v/>
      </c>
      <c r="Y468" s="4">
        <f>'QBO Transactions'!$Q470</f>
        <v/>
      </c>
      <c r="Z468" s="2" t="n"/>
      <c r="AA468" s="2" t="n"/>
      <c r="AB468" s="2" t="n"/>
      <c r="AC468" s="2" t="n"/>
      <c r="AD468" s="2" t="n"/>
      <c r="AE468" s="2" t="n"/>
    </row>
    <row r="469" ht="12.75" customHeight="1" s="52">
      <c r="A469" s="2" t="n"/>
      <c r="B469" s="2">
        <f>'QBO Transactions'!$U471</f>
        <v/>
      </c>
      <c r="C469" s="3">
        <f>'QBO Transactions'!$S471</f>
        <v/>
      </c>
      <c r="D469" s="2">
        <f>'QBO Transactions'!$R471</f>
        <v/>
      </c>
      <c r="E469" s="2" t="n"/>
      <c r="F469" s="3">
        <f>'QBO Transactions'!$X471</f>
        <v/>
      </c>
      <c r="G469" s="2" t="n"/>
      <c r="H469" s="2" t="n"/>
      <c r="I469" s="2" t="n"/>
      <c r="J469" s="2" t="n"/>
      <c r="K469" s="2" t="n"/>
      <c r="L469" s="2" t="n"/>
      <c r="M469" s="2" t="n"/>
      <c r="N469" s="2">
        <f>'QBO Transactions'!$Y471</f>
        <v/>
      </c>
      <c r="O469" s="2" t="n"/>
      <c r="P469" s="2" t="n"/>
      <c r="Q469" s="2">
        <f>'QBO Transactions'!$T471</f>
        <v/>
      </c>
      <c r="R469" s="2" t="n"/>
      <c r="S469" s="2" t="n"/>
      <c r="T469" s="2" t="n"/>
      <c r="U469" s="2" t="n"/>
      <c r="V469" s="2" t="n"/>
      <c r="W469" s="2" t="n"/>
      <c r="X469" s="2">
        <f>Q469</f>
        <v/>
      </c>
      <c r="Y469" s="4">
        <f>'QBO Transactions'!$Q471</f>
        <v/>
      </c>
      <c r="Z469" s="2" t="n"/>
      <c r="AA469" s="2" t="n"/>
      <c r="AB469" s="2" t="n"/>
      <c r="AC469" s="2" t="n"/>
      <c r="AD469" s="2" t="n"/>
      <c r="AE469" s="2" t="n"/>
    </row>
    <row r="470" ht="12.75" customHeight="1" s="52">
      <c r="A470" s="2" t="n"/>
      <c r="B470" s="2">
        <f>'QBO Transactions'!$U472</f>
        <v/>
      </c>
      <c r="C470" s="3">
        <f>'QBO Transactions'!$S472</f>
        <v/>
      </c>
      <c r="D470" s="2">
        <f>'QBO Transactions'!$R472</f>
        <v/>
      </c>
      <c r="E470" s="2" t="n"/>
      <c r="F470" s="3">
        <f>'QBO Transactions'!$X472</f>
        <v/>
      </c>
      <c r="G470" s="2" t="n"/>
      <c r="H470" s="2" t="n"/>
      <c r="I470" s="2" t="n"/>
      <c r="J470" s="2" t="n"/>
      <c r="K470" s="2" t="n"/>
      <c r="L470" s="2" t="n"/>
      <c r="M470" s="2" t="n"/>
      <c r="N470" s="2">
        <f>'QBO Transactions'!$Y472</f>
        <v/>
      </c>
      <c r="O470" s="2" t="n"/>
      <c r="P470" s="2" t="n"/>
      <c r="Q470" s="2">
        <f>'QBO Transactions'!$T472</f>
        <v/>
      </c>
      <c r="R470" s="2" t="n"/>
      <c r="S470" s="2" t="n"/>
      <c r="T470" s="2" t="n"/>
      <c r="U470" s="2" t="n"/>
      <c r="V470" s="2" t="n"/>
      <c r="W470" s="2" t="n"/>
      <c r="X470" s="2">
        <f>Q470</f>
        <v/>
      </c>
      <c r="Y470" s="4">
        <f>'QBO Transactions'!$Q472</f>
        <v/>
      </c>
      <c r="Z470" s="2" t="n"/>
      <c r="AA470" s="2" t="n"/>
      <c r="AB470" s="2" t="n"/>
      <c r="AC470" s="2" t="n"/>
      <c r="AD470" s="2" t="n"/>
      <c r="AE470" s="2" t="n"/>
    </row>
    <row r="471" ht="12.75" customHeight="1" s="52">
      <c r="A471" s="2" t="n"/>
      <c r="B471" s="2">
        <f>'QBO Transactions'!$U473</f>
        <v/>
      </c>
      <c r="C471" s="3">
        <f>'QBO Transactions'!$S473</f>
        <v/>
      </c>
      <c r="D471" s="2">
        <f>'QBO Transactions'!$R473</f>
        <v/>
      </c>
      <c r="E471" s="2" t="n"/>
      <c r="F471" s="3">
        <f>'QBO Transactions'!$X473</f>
        <v/>
      </c>
      <c r="G471" s="2" t="n"/>
      <c r="H471" s="2" t="n"/>
      <c r="I471" s="2" t="n"/>
      <c r="J471" s="2" t="n"/>
      <c r="K471" s="2" t="n"/>
      <c r="L471" s="2" t="n"/>
      <c r="M471" s="2" t="n"/>
      <c r="N471" s="2">
        <f>'QBO Transactions'!$Y473</f>
        <v/>
      </c>
      <c r="O471" s="2" t="n"/>
      <c r="P471" s="2" t="n"/>
      <c r="Q471" s="2">
        <f>'QBO Transactions'!$T473</f>
        <v/>
      </c>
      <c r="R471" s="2" t="n"/>
      <c r="S471" s="2" t="n"/>
      <c r="T471" s="2" t="n"/>
      <c r="U471" s="2" t="n"/>
      <c r="V471" s="2" t="n"/>
      <c r="W471" s="2" t="n"/>
      <c r="X471" s="2">
        <f>Q471</f>
        <v/>
      </c>
      <c r="Y471" s="4">
        <f>'QBO Transactions'!$Q473</f>
        <v/>
      </c>
      <c r="Z471" s="2" t="n"/>
      <c r="AA471" s="2" t="n"/>
      <c r="AB471" s="2" t="n"/>
      <c r="AC471" s="2" t="n"/>
      <c r="AD471" s="2" t="n"/>
      <c r="AE471" s="2" t="n"/>
    </row>
    <row r="472" ht="12.75" customHeight="1" s="52">
      <c r="A472" s="2" t="n"/>
      <c r="B472" s="2">
        <f>'QBO Transactions'!$U474</f>
        <v/>
      </c>
      <c r="C472" s="3">
        <f>'QBO Transactions'!$S474</f>
        <v/>
      </c>
      <c r="D472" s="2">
        <f>'QBO Transactions'!$R474</f>
        <v/>
      </c>
      <c r="E472" s="2" t="n"/>
      <c r="F472" s="3">
        <f>'QBO Transactions'!$X474</f>
        <v/>
      </c>
      <c r="G472" s="2" t="n"/>
      <c r="H472" s="2" t="n"/>
      <c r="I472" s="2" t="n"/>
      <c r="J472" s="2" t="n"/>
      <c r="K472" s="2" t="n"/>
      <c r="L472" s="2" t="n"/>
      <c r="M472" s="2" t="n"/>
      <c r="N472" s="2">
        <f>'QBO Transactions'!$Y474</f>
        <v/>
      </c>
      <c r="O472" s="2" t="n"/>
      <c r="P472" s="2" t="n"/>
      <c r="Q472" s="2">
        <f>'QBO Transactions'!$T474</f>
        <v/>
      </c>
      <c r="R472" s="2" t="n"/>
      <c r="S472" s="2" t="n"/>
      <c r="T472" s="2" t="n"/>
      <c r="U472" s="2" t="n"/>
      <c r="V472" s="2" t="n"/>
      <c r="W472" s="2" t="n"/>
      <c r="X472" s="2">
        <f>Q472</f>
        <v/>
      </c>
      <c r="Y472" s="4">
        <f>'QBO Transactions'!$Q474</f>
        <v/>
      </c>
      <c r="Z472" s="2" t="n"/>
      <c r="AA472" s="2" t="n"/>
      <c r="AB472" s="2" t="n"/>
      <c r="AC472" s="2" t="n"/>
      <c r="AD472" s="2" t="n"/>
      <c r="AE472" s="2" t="n"/>
    </row>
    <row r="473" ht="12.75" customHeight="1" s="52">
      <c r="A473" s="2" t="n"/>
      <c r="B473" s="2">
        <f>'QBO Transactions'!$U475</f>
        <v/>
      </c>
      <c r="C473" s="3">
        <f>'QBO Transactions'!$S475</f>
        <v/>
      </c>
      <c r="D473" s="2">
        <f>'QBO Transactions'!$R475</f>
        <v/>
      </c>
      <c r="E473" s="2" t="n"/>
      <c r="F473" s="3">
        <f>'QBO Transactions'!$X475</f>
        <v/>
      </c>
      <c r="G473" s="2" t="n"/>
      <c r="H473" s="2" t="n"/>
      <c r="I473" s="2" t="n"/>
      <c r="J473" s="2" t="n"/>
      <c r="K473" s="2" t="n"/>
      <c r="L473" s="2" t="n"/>
      <c r="M473" s="2" t="n"/>
      <c r="N473" s="2">
        <f>'QBO Transactions'!$Y475</f>
        <v/>
      </c>
      <c r="O473" s="2" t="n"/>
      <c r="P473" s="2" t="n"/>
      <c r="Q473" s="2">
        <f>'QBO Transactions'!$T475</f>
        <v/>
      </c>
      <c r="R473" s="2" t="n"/>
      <c r="S473" s="2" t="n"/>
      <c r="T473" s="2" t="n"/>
      <c r="U473" s="2" t="n"/>
      <c r="V473" s="2" t="n"/>
      <c r="W473" s="2" t="n"/>
      <c r="X473" s="2">
        <f>Q473</f>
        <v/>
      </c>
      <c r="Y473" s="4">
        <f>'QBO Transactions'!$Q475</f>
        <v/>
      </c>
      <c r="Z473" s="2" t="n"/>
      <c r="AA473" s="2" t="n"/>
      <c r="AB473" s="2" t="n"/>
      <c r="AC473" s="2" t="n"/>
      <c r="AD473" s="2" t="n"/>
      <c r="AE473" s="2" t="n"/>
    </row>
    <row r="474" ht="12.75" customHeight="1" s="52">
      <c r="A474" s="2" t="n"/>
      <c r="B474" s="2">
        <f>'QBO Transactions'!$U476</f>
        <v/>
      </c>
      <c r="C474" s="3">
        <f>'QBO Transactions'!$S476</f>
        <v/>
      </c>
      <c r="D474" s="2">
        <f>'QBO Transactions'!$R476</f>
        <v/>
      </c>
      <c r="E474" s="2" t="n"/>
      <c r="F474" s="3">
        <f>'QBO Transactions'!$X476</f>
        <v/>
      </c>
      <c r="G474" s="2" t="n"/>
      <c r="H474" s="2" t="n"/>
      <c r="I474" s="2" t="n"/>
      <c r="J474" s="2" t="n"/>
      <c r="K474" s="2" t="n"/>
      <c r="L474" s="2" t="n"/>
      <c r="M474" s="2" t="n"/>
      <c r="N474" s="2">
        <f>'QBO Transactions'!$Y476</f>
        <v/>
      </c>
      <c r="O474" s="2" t="n"/>
      <c r="P474" s="2" t="n"/>
      <c r="Q474" s="2">
        <f>'QBO Transactions'!$T476</f>
        <v/>
      </c>
      <c r="R474" s="2" t="n"/>
      <c r="S474" s="2" t="n"/>
      <c r="T474" s="2" t="n"/>
      <c r="U474" s="2" t="n"/>
      <c r="V474" s="2" t="n"/>
      <c r="W474" s="2" t="n"/>
      <c r="X474" s="2">
        <f>Q474</f>
        <v/>
      </c>
      <c r="Y474" s="4">
        <f>'QBO Transactions'!$Q476</f>
        <v/>
      </c>
      <c r="Z474" s="2" t="n"/>
      <c r="AA474" s="2" t="n"/>
      <c r="AB474" s="2" t="n"/>
      <c r="AC474" s="2" t="n"/>
      <c r="AD474" s="2" t="n"/>
      <c r="AE474" s="2" t="n"/>
    </row>
    <row r="475" ht="12.75" customHeight="1" s="52">
      <c r="A475" s="2" t="n"/>
      <c r="B475" s="2">
        <f>'QBO Transactions'!$U477</f>
        <v/>
      </c>
      <c r="C475" s="3">
        <f>'QBO Transactions'!$S477</f>
        <v/>
      </c>
      <c r="D475" s="2">
        <f>'QBO Transactions'!$R477</f>
        <v/>
      </c>
      <c r="E475" s="2" t="n"/>
      <c r="F475" s="3">
        <f>'QBO Transactions'!$X477</f>
        <v/>
      </c>
      <c r="G475" s="2" t="n"/>
      <c r="H475" s="2" t="n"/>
      <c r="I475" s="2" t="n"/>
      <c r="J475" s="2" t="n"/>
      <c r="K475" s="2" t="n"/>
      <c r="L475" s="2" t="n"/>
      <c r="M475" s="2" t="n"/>
      <c r="N475" s="2">
        <f>'QBO Transactions'!$Y477</f>
        <v/>
      </c>
      <c r="O475" s="2" t="n"/>
      <c r="P475" s="2" t="n"/>
      <c r="Q475" s="2">
        <f>'QBO Transactions'!$T477</f>
        <v/>
      </c>
      <c r="R475" s="2" t="n"/>
      <c r="S475" s="2" t="n"/>
      <c r="T475" s="2" t="n"/>
      <c r="U475" s="2" t="n"/>
      <c r="V475" s="2" t="n"/>
      <c r="W475" s="2" t="n"/>
      <c r="X475" s="2">
        <f>Q475</f>
        <v/>
      </c>
      <c r="Y475" s="4">
        <f>'QBO Transactions'!$Q477</f>
        <v/>
      </c>
      <c r="Z475" s="2" t="n"/>
      <c r="AA475" s="2" t="n"/>
      <c r="AB475" s="2" t="n"/>
      <c r="AC475" s="2" t="n"/>
      <c r="AD475" s="2" t="n"/>
      <c r="AE475" s="2" t="n"/>
    </row>
    <row r="476" ht="12.75" customHeight="1" s="52">
      <c r="A476" s="2" t="n"/>
      <c r="B476" s="2">
        <f>'QBO Transactions'!$U478</f>
        <v/>
      </c>
      <c r="C476" s="3">
        <f>'QBO Transactions'!$S478</f>
        <v/>
      </c>
      <c r="D476" s="2">
        <f>'QBO Transactions'!$R478</f>
        <v/>
      </c>
      <c r="E476" s="2" t="n"/>
      <c r="F476" s="3">
        <f>'QBO Transactions'!$X478</f>
        <v/>
      </c>
      <c r="G476" s="2" t="n"/>
      <c r="H476" s="2" t="n"/>
      <c r="I476" s="2" t="n"/>
      <c r="J476" s="2" t="n"/>
      <c r="K476" s="2" t="n"/>
      <c r="L476" s="2" t="n"/>
      <c r="M476" s="2" t="n"/>
      <c r="N476" s="2">
        <f>'QBO Transactions'!$Y478</f>
        <v/>
      </c>
      <c r="O476" s="2" t="n"/>
      <c r="P476" s="2" t="n"/>
      <c r="Q476" s="2">
        <f>'QBO Transactions'!$T478</f>
        <v/>
      </c>
      <c r="R476" s="2" t="n"/>
      <c r="S476" s="2" t="n"/>
      <c r="T476" s="2" t="n"/>
      <c r="U476" s="2" t="n"/>
      <c r="V476" s="2" t="n"/>
      <c r="W476" s="2" t="n"/>
      <c r="X476" s="2">
        <f>Q476</f>
        <v/>
      </c>
      <c r="Y476" s="4">
        <f>'QBO Transactions'!$Q478</f>
        <v/>
      </c>
      <c r="Z476" s="2" t="n"/>
      <c r="AA476" s="2" t="n"/>
      <c r="AB476" s="2" t="n"/>
      <c r="AC476" s="2" t="n"/>
      <c r="AD476" s="2" t="n"/>
      <c r="AE476" s="2" t="n"/>
    </row>
    <row r="477" ht="12.75" customHeight="1" s="52">
      <c r="A477" s="2" t="n"/>
      <c r="B477" s="2">
        <f>'QBO Transactions'!$U479</f>
        <v/>
      </c>
      <c r="C477" s="3">
        <f>'QBO Transactions'!$S479</f>
        <v/>
      </c>
      <c r="D477" s="2">
        <f>'QBO Transactions'!$R479</f>
        <v/>
      </c>
      <c r="E477" s="2" t="n"/>
      <c r="F477" s="3">
        <f>'QBO Transactions'!$X479</f>
        <v/>
      </c>
      <c r="G477" s="2" t="n"/>
      <c r="H477" s="2" t="n"/>
      <c r="I477" s="2" t="n"/>
      <c r="J477" s="2" t="n"/>
      <c r="K477" s="2" t="n"/>
      <c r="L477" s="2" t="n"/>
      <c r="M477" s="2" t="n"/>
      <c r="N477" s="2">
        <f>'QBO Transactions'!$Y479</f>
        <v/>
      </c>
      <c r="O477" s="2" t="n"/>
      <c r="P477" s="2" t="n"/>
      <c r="Q477" s="2">
        <f>'QBO Transactions'!$T479</f>
        <v/>
      </c>
      <c r="R477" s="2" t="n"/>
      <c r="S477" s="2" t="n"/>
      <c r="T477" s="2" t="n"/>
      <c r="U477" s="2" t="n"/>
      <c r="V477" s="2" t="n"/>
      <c r="W477" s="2" t="n"/>
      <c r="X477" s="2">
        <f>Q477</f>
        <v/>
      </c>
      <c r="Y477" s="4">
        <f>'QBO Transactions'!$Q479</f>
        <v/>
      </c>
      <c r="Z477" s="2" t="n"/>
      <c r="AA477" s="2" t="n"/>
      <c r="AB477" s="2" t="n"/>
      <c r="AC477" s="2" t="n"/>
      <c r="AD477" s="2" t="n"/>
      <c r="AE477" s="2" t="n"/>
    </row>
    <row r="478" ht="12.75" customHeight="1" s="52">
      <c r="A478" s="2" t="n"/>
      <c r="B478" s="2">
        <f>'QBO Transactions'!$U480</f>
        <v/>
      </c>
      <c r="C478" s="3">
        <f>'QBO Transactions'!$S480</f>
        <v/>
      </c>
      <c r="D478" s="2">
        <f>'QBO Transactions'!$R480</f>
        <v/>
      </c>
      <c r="E478" s="2" t="n"/>
      <c r="F478" s="3">
        <f>'QBO Transactions'!$X480</f>
        <v/>
      </c>
      <c r="G478" s="2" t="n"/>
      <c r="H478" s="2" t="n"/>
      <c r="I478" s="2" t="n"/>
      <c r="J478" s="2" t="n"/>
      <c r="K478" s="2" t="n"/>
      <c r="L478" s="2" t="n"/>
      <c r="M478" s="2" t="n"/>
      <c r="N478" s="2">
        <f>'QBO Transactions'!$Y480</f>
        <v/>
      </c>
      <c r="O478" s="2" t="n"/>
      <c r="P478" s="2" t="n"/>
      <c r="Q478" s="2">
        <f>'QBO Transactions'!$T480</f>
        <v/>
      </c>
      <c r="R478" s="2" t="n"/>
      <c r="S478" s="2" t="n"/>
      <c r="T478" s="2" t="n"/>
      <c r="U478" s="2" t="n"/>
      <c r="V478" s="2" t="n"/>
      <c r="W478" s="2" t="n"/>
      <c r="X478" s="2">
        <f>Q478</f>
        <v/>
      </c>
      <c r="Y478" s="4">
        <f>'QBO Transactions'!$Q480</f>
        <v/>
      </c>
      <c r="Z478" s="2" t="n"/>
      <c r="AA478" s="2" t="n"/>
      <c r="AB478" s="2" t="n"/>
      <c r="AC478" s="2" t="n"/>
      <c r="AD478" s="2" t="n"/>
      <c r="AE478" s="2" t="n"/>
    </row>
    <row r="479" ht="12.75" customHeight="1" s="52">
      <c r="A479" s="2" t="n"/>
      <c r="B479" s="2">
        <f>'QBO Transactions'!$U481</f>
        <v/>
      </c>
      <c r="C479" s="3">
        <f>'QBO Transactions'!$S481</f>
        <v/>
      </c>
      <c r="D479" s="2">
        <f>'QBO Transactions'!$R481</f>
        <v/>
      </c>
      <c r="E479" s="2" t="n"/>
      <c r="F479" s="3">
        <f>'QBO Transactions'!$X481</f>
        <v/>
      </c>
      <c r="G479" s="2" t="n"/>
      <c r="H479" s="2" t="n"/>
      <c r="I479" s="2" t="n"/>
      <c r="J479" s="2" t="n"/>
      <c r="K479" s="2" t="n"/>
      <c r="L479" s="2" t="n"/>
      <c r="M479" s="2" t="n"/>
      <c r="N479" s="2">
        <f>'QBO Transactions'!$Y481</f>
        <v/>
      </c>
      <c r="O479" s="2" t="n"/>
      <c r="P479" s="2" t="n"/>
      <c r="Q479" s="2">
        <f>'QBO Transactions'!$T481</f>
        <v/>
      </c>
      <c r="R479" s="2" t="n"/>
      <c r="S479" s="2" t="n"/>
      <c r="T479" s="2" t="n"/>
      <c r="U479" s="2" t="n"/>
      <c r="V479" s="2" t="n"/>
      <c r="W479" s="2" t="n"/>
      <c r="X479" s="2">
        <f>Q479</f>
        <v/>
      </c>
      <c r="Y479" s="4">
        <f>'QBO Transactions'!$Q481</f>
        <v/>
      </c>
      <c r="Z479" s="2" t="n"/>
      <c r="AA479" s="2" t="n"/>
      <c r="AB479" s="2" t="n"/>
      <c r="AC479" s="2" t="n"/>
      <c r="AD479" s="2" t="n"/>
      <c r="AE479" s="2" t="n"/>
    </row>
    <row r="480" ht="12.75" customHeight="1" s="52">
      <c r="A480" s="2" t="n"/>
      <c r="B480" s="2">
        <f>'QBO Transactions'!$U482</f>
        <v/>
      </c>
      <c r="C480" s="3">
        <f>'QBO Transactions'!$S482</f>
        <v/>
      </c>
      <c r="D480" s="2">
        <f>'QBO Transactions'!$R482</f>
        <v/>
      </c>
      <c r="E480" s="2" t="n"/>
      <c r="F480" s="3">
        <f>'QBO Transactions'!$X482</f>
        <v/>
      </c>
      <c r="G480" s="2" t="n"/>
      <c r="H480" s="2" t="n"/>
      <c r="I480" s="2" t="n"/>
      <c r="J480" s="2" t="n"/>
      <c r="K480" s="2" t="n"/>
      <c r="L480" s="2" t="n"/>
      <c r="M480" s="2" t="n"/>
      <c r="N480" s="2">
        <f>'QBO Transactions'!$Y482</f>
        <v/>
      </c>
      <c r="O480" s="2" t="n"/>
      <c r="P480" s="2" t="n"/>
      <c r="Q480" s="2">
        <f>'QBO Transactions'!$T482</f>
        <v/>
      </c>
      <c r="R480" s="2" t="n"/>
      <c r="S480" s="2" t="n"/>
      <c r="T480" s="2" t="n"/>
      <c r="U480" s="2" t="n"/>
      <c r="V480" s="2" t="n"/>
      <c r="W480" s="2" t="n"/>
      <c r="X480" s="2">
        <f>Q480</f>
        <v/>
      </c>
      <c r="Y480" s="4">
        <f>'QBO Transactions'!$Q482</f>
        <v/>
      </c>
      <c r="Z480" s="2" t="n"/>
      <c r="AA480" s="2" t="n"/>
      <c r="AB480" s="2" t="n"/>
      <c r="AC480" s="2" t="n"/>
      <c r="AD480" s="2" t="n"/>
      <c r="AE480" s="2" t="n"/>
    </row>
    <row r="481" ht="12.75" customHeight="1" s="52">
      <c r="A481" s="2" t="n"/>
      <c r="B481" s="2">
        <f>'QBO Transactions'!$U483</f>
        <v/>
      </c>
      <c r="C481" s="3">
        <f>'QBO Transactions'!$S483</f>
        <v/>
      </c>
      <c r="D481" s="2">
        <f>'QBO Transactions'!$R483</f>
        <v/>
      </c>
      <c r="E481" s="2" t="n"/>
      <c r="F481" s="3">
        <f>'QBO Transactions'!$X483</f>
        <v/>
      </c>
      <c r="G481" s="2" t="n"/>
      <c r="H481" s="2" t="n"/>
      <c r="I481" s="2" t="n"/>
      <c r="J481" s="2" t="n"/>
      <c r="K481" s="2" t="n"/>
      <c r="L481" s="2" t="n"/>
      <c r="M481" s="2" t="n"/>
      <c r="N481" s="2">
        <f>'QBO Transactions'!$Y483</f>
        <v/>
      </c>
      <c r="O481" s="2" t="n"/>
      <c r="P481" s="2" t="n"/>
      <c r="Q481" s="2">
        <f>'QBO Transactions'!$T483</f>
        <v/>
      </c>
      <c r="R481" s="2" t="n"/>
      <c r="S481" s="2" t="n"/>
      <c r="T481" s="2" t="n"/>
      <c r="U481" s="2" t="n"/>
      <c r="V481" s="2" t="n"/>
      <c r="W481" s="2" t="n"/>
      <c r="X481" s="2">
        <f>Q481</f>
        <v/>
      </c>
      <c r="Y481" s="4">
        <f>'QBO Transactions'!$Q483</f>
        <v/>
      </c>
      <c r="Z481" s="2" t="n"/>
      <c r="AA481" s="2" t="n"/>
      <c r="AB481" s="2" t="n"/>
      <c r="AC481" s="2" t="n"/>
      <c r="AD481" s="2" t="n"/>
      <c r="AE481" s="2" t="n"/>
    </row>
    <row r="482" ht="12.75" customHeight="1" s="52">
      <c r="A482" s="2" t="n"/>
      <c r="B482" s="2">
        <f>'QBO Transactions'!$U484</f>
        <v/>
      </c>
      <c r="C482" s="3">
        <f>'QBO Transactions'!$S484</f>
        <v/>
      </c>
      <c r="D482" s="2">
        <f>'QBO Transactions'!$R484</f>
        <v/>
      </c>
      <c r="E482" s="2" t="n"/>
      <c r="F482" s="3">
        <f>'QBO Transactions'!$X484</f>
        <v/>
      </c>
      <c r="G482" s="2" t="n"/>
      <c r="H482" s="2" t="n"/>
      <c r="I482" s="2" t="n"/>
      <c r="J482" s="2" t="n"/>
      <c r="K482" s="2" t="n"/>
      <c r="L482" s="2" t="n"/>
      <c r="M482" s="2" t="n"/>
      <c r="N482" s="2">
        <f>'QBO Transactions'!$Y484</f>
        <v/>
      </c>
      <c r="O482" s="2" t="n"/>
      <c r="P482" s="2" t="n"/>
      <c r="Q482" s="2">
        <f>'QBO Transactions'!$T484</f>
        <v/>
      </c>
      <c r="R482" s="2" t="n"/>
      <c r="S482" s="2" t="n"/>
      <c r="T482" s="2" t="n"/>
      <c r="U482" s="2" t="n"/>
      <c r="V482" s="2" t="n"/>
      <c r="W482" s="2" t="n"/>
      <c r="X482" s="2">
        <f>Q482</f>
        <v/>
      </c>
      <c r="Y482" s="4">
        <f>'QBO Transactions'!$Q484</f>
        <v/>
      </c>
      <c r="Z482" s="2" t="n"/>
      <c r="AA482" s="2" t="n"/>
      <c r="AB482" s="2" t="n"/>
      <c r="AC482" s="2" t="n"/>
      <c r="AD482" s="2" t="n"/>
      <c r="AE482" s="2" t="n"/>
    </row>
    <row r="483" ht="12.75" customHeight="1" s="52">
      <c r="A483" s="2" t="n"/>
      <c r="B483" s="2">
        <f>'QBO Transactions'!$U485</f>
        <v/>
      </c>
      <c r="C483" s="3">
        <f>'QBO Transactions'!$S485</f>
        <v/>
      </c>
      <c r="D483" s="2">
        <f>'QBO Transactions'!$R485</f>
        <v/>
      </c>
      <c r="E483" s="2" t="n"/>
      <c r="F483" s="3">
        <f>'QBO Transactions'!$X485</f>
        <v/>
      </c>
      <c r="G483" s="2" t="n"/>
      <c r="H483" s="2" t="n"/>
      <c r="I483" s="2" t="n"/>
      <c r="J483" s="2" t="n"/>
      <c r="K483" s="2" t="n"/>
      <c r="L483" s="2" t="n"/>
      <c r="M483" s="2" t="n"/>
      <c r="N483" s="2">
        <f>'QBO Transactions'!$Y485</f>
        <v/>
      </c>
      <c r="O483" s="2" t="n"/>
      <c r="P483" s="2" t="n"/>
      <c r="Q483" s="2">
        <f>'QBO Transactions'!$T485</f>
        <v/>
      </c>
      <c r="R483" s="2" t="n"/>
      <c r="S483" s="2" t="n"/>
      <c r="T483" s="2" t="n"/>
      <c r="U483" s="2" t="n"/>
      <c r="V483" s="2" t="n"/>
      <c r="W483" s="2" t="n"/>
      <c r="X483" s="2">
        <f>Q483</f>
        <v/>
      </c>
      <c r="Y483" s="4">
        <f>'QBO Transactions'!$Q485</f>
        <v/>
      </c>
      <c r="Z483" s="2" t="n"/>
      <c r="AA483" s="2" t="n"/>
      <c r="AB483" s="2" t="n"/>
      <c r="AC483" s="2" t="n"/>
      <c r="AD483" s="2" t="n"/>
      <c r="AE483" s="2" t="n"/>
    </row>
    <row r="484" ht="12.75" customHeight="1" s="52">
      <c r="A484" s="2" t="n"/>
      <c r="B484" s="2">
        <f>'QBO Transactions'!$U486</f>
        <v/>
      </c>
      <c r="C484" s="3">
        <f>'QBO Transactions'!$S486</f>
        <v/>
      </c>
      <c r="D484" s="2">
        <f>'QBO Transactions'!$R486</f>
        <v/>
      </c>
      <c r="E484" s="2" t="n"/>
      <c r="F484" s="3">
        <f>'QBO Transactions'!$X486</f>
        <v/>
      </c>
      <c r="G484" s="2" t="n"/>
      <c r="H484" s="2" t="n"/>
      <c r="I484" s="2" t="n"/>
      <c r="J484" s="2" t="n"/>
      <c r="K484" s="2" t="n"/>
      <c r="L484" s="2" t="n"/>
      <c r="M484" s="2" t="n"/>
      <c r="N484" s="2">
        <f>'QBO Transactions'!$Y486</f>
        <v/>
      </c>
      <c r="O484" s="2" t="n"/>
      <c r="P484" s="2" t="n"/>
      <c r="Q484" s="2">
        <f>'QBO Transactions'!$T486</f>
        <v/>
      </c>
      <c r="R484" s="2" t="n"/>
      <c r="S484" s="2" t="n"/>
      <c r="T484" s="2" t="n"/>
      <c r="U484" s="2" t="n"/>
      <c r="V484" s="2" t="n"/>
      <c r="W484" s="2" t="n"/>
      <c r="X484" s="2">
        <f>Q484</f>
        <v/>
      </c>
      <c r="Y484" s="4">
        <f>'QBO Transactions'!$Q486</f>
        <v/>
      </c>
      <c r="Z484" s="2" t="n"/>
      <c r="AA484" s="2" t="n"/>
      <c r="AB484" s="2" t="n"/>
      <c r="AC484" s="2" t="n"/>
      <c r="AD484" s="2" t="n"/>
      <c r="AE484" s="2" t="n"/>
    </row>
    <row r="485" ht="12.75" customHeight="1" s="52">
      <c r="A485" s="2" t="n"/>
      <c r="B485" s="2">
        <f>'QBO Transactions'!$U487</f>
        <v/>
      </c>
      <c r="C485" s="3">
        <f>'QBO Transactions'!$S487</f>
        <v/>
      </c>
      <c r="D485" s="2">
        <f>'QBO Transactions'!$R487</f>
        <v/>
      </c>
      <c r="E485" s="2" t="n"/>
      <c r="F485" s="3">
        <f>'QBO Transactions'!$X487</f>
        <v/>
      </c>
      <c r="G485" s="2" t="n"/>
      <c r="H485" s="2" t="n"/>
      <c r="I485" s="2" t="n"/>
      <c r="J485" s="2" t="n"/>
      <c r="K485" s="2" t="n"/>
      <c r="L485" s="2" t="n"/>
      <c r="M485" s="2" t="n"/>
      <c r="N485" s="2">
        <f>'QBO Transactions'!$Y487</f>
        <v/>
      </c>
      <c r="O485" s="2" t="n"/>
      <c r="P485" s="2" t="n"/>
      <c r="Q485" s="2">
        <f>'QBO Transactions'!$T487</f>
        <v/>
      </c>
      <c r="R485" s="2" t="n"/>
      <c r="S485" s="2" t="n"/>
      <c r="T485" s="2" t="n"/>
      <c r="U485" s="2" t="n"/>
      <c r="V485" s="2" t="n"/>
      <c r="W485" s="2" t="n"/>
      <c r="X485" s="2">
        <f>Q485</f>
        <v/>
      </c>
      <c r="Y485" s="4">
        <f>'QBO Transactions'!$Q487</f>
        <v/>
      </c>
      <c r="Z485" s="2" t="n"/>
      <c r="AA485" s="2" t="n"/>
      <c r="AB485" s="2" t="n"/>
      <c r="AC485" s="2" t="n"/>
      <c r="AD485" s="2" t="n"/>
      <c r="AE485" s="2" t="n"/>
    </row>
    <row r="486" ht="12.75" customHeight="1" s="52">
      <c r="A486" s="2" t="n"/>
      <c r="B486" s="2">
        <f>'QBO Transactions'!$U488</f>
        <v/>
      </c>
      <c r="C486" s="3">
        <f>'QBO Transactions'!$S488</f>
        <v/>
      </c>
      <c r="D486" s="2">
        <f>'QBO Transactions'!$R488</f>
        <v/>
      </c>
      <c r="E486" s="2" t="n"/>
      <c r="F486" s="3">
        <f>'QBO Transactions'!$X488</f>
        <v/>
      </c>
      <c r="G486" s="2" t="n"/>
      <c r="H486" s="2" t="n"/>
      <c r="I486" s="2" t="n"/>
      <c r="J486" s="2" t="n"/>
      <c r="K486" s="2" t="n"/>
      <c r="L486" s="2" t="n"/>
      <c r="M486" s="2" t="n"/>
      <c r="N486" s="2">
        <f>'QBO Transactions'!$Y488</f>
        <v/>
      </c>
      <c r="O486" s="2" t="n"/>
      <c r="P486" s="2" t="n"/>
      <c r="Q486" s="2">
        <f>'QBO Transactions'!$T488</f>
        <v/>
      </c>
      <c r="R486" s="2" t="n"/>
      <c r="S486" s="2" t="n"/>
      <c r="T486" s="2" t="n"/>
      <c r="U486" s="2" t="n"/>
      <c r="V486" s="2" t="n"/>
      <c r="W486" s="2" t="n"/>
      <c r="X486" s="2">
        <f>Q486</f>
        <v/>
      </c>
      <c r="Y486" s="4">
        <f>'QBO Transactions'!$Q488</f>
        <v/>
      </c>
      <c r="Z486" s="2" t="n"/>
      <c r="AA486" s="2" t="n"/>
      <c r="AB486" s="2" t="n"/>
      <c r="AC486" s="2" t="n"/>
      <c r="AD486" s="2" t="n"/>
      <c r="AE486" s="2" t="n"/>
    </row>
    <row r="487" ht="12.75" customHeight="1" s="52">
      <c r="A487" s="2" t="n"/>
      <c r="B487" s="2">
        <f>'QBO Transactions'!$U489</f>
        <v/>
      </c>
      <c r="C487" s="3">
        <f>'QBO Transactions'!$S489</f>
        <v/>
      </c>
      <c r="D487" s="2">
        <f>'QBO Transactions'!$R489</f>
        <v/>
      </c>
      <c r="E487" s="2" t="n"/>
      <c r="F487" s="3">
        <f>'QBO Transactions'!$X489</f>
        <v/>
      </c>
      <c r="G487" s="2" t="n"/>
      <c r="H487" s="2" t="n"/>
      <c r="I487" s="2" t="n"/>
      <c r="J487" s="2" t="n"/>
      <c r="K487" s="2" t="n"/>
      <c r="L487" s="2" t="n"/>
      <c r="M487" s="2" t="n"/>
      <c r="N487" s="2">
        <f>'QBO Transactions'!$Y489</f>
        <v/>
      </c>
      <c r="O487" s="2" t="n"/>
      <c r="P487" s="2" t="n"/>
      <c r="Q487" s="2">
        <f>'QBO Transactions'!$T489</f>
        <v/>
      </c>
      <c r="R487" s="2" t="n"/>
      <c r="S487" s="2" t="n"/>
      <c r="T487" s="2" t="n"/>
      <c r="U487" s="2" t="n"/>
      <c r="V487" s="2" t="n"/>
      <c r="W487" s="2" t="n"/>
      <c r="X487" s="2">
        <f>Q487</f>
        <v/>
      </c>
      <c r="Y487" s="4">
        <f>'QBO Transactions'!$Q489</f>
        <v/>
      </c>
      <c r="Z487" s="2" t="n"/>
      <c r="AA487" s="2" t="n"/>
      <c r="AB487" s="2" t="n"/>
      <c r="AC487" s="2" t="n"/>
      <c r="AD487" s="2" t="n"/>
      <c r="AE487" s="2" t="n"/>
    </row>
    <row r="488" ht="12.75" customHeight="1" s="52">
      <c r="A488" s="2" t="n"/>
      <c r="B488" s="2">
        <f>'QBO Transactions'!$U490</f>
        <v/>
      </c>
      <c r="C488" s="3">
        <f>'QBO Transactions'!$S490</f>
        <v/>
      </c>
      <c r="D488" s="2">
        <f>'QBO Transactions'!$R490</f>
        <v/>
      </c>
      <c r="E488" s="2" t="n"/>
      <c r="F488" s="3">
        <f>'QBO Transactions'!$X490</f>
        <v/>
      </c>
      <c r="G488" s="2" t="n"/>
      <c r="H488" s="2" t="n"/>
      <c r="I488" s="2" t="n"/>
      <c r="J488" s="2" t="n"/>
      <c r="K488" s="2" t="n"/>
      <c r="L488" s="2" t="n"/>
      <c r="M488" s="2" t="n"/>
      <c r="N488" s="2">
        <f>'QBO Transactions'!$Y490</f>
        <v/>
      </c>
      <c r="O488" s="2" t="n"/>
      <c r="P488" s="2" t="n"/>
      <c r="Q488" s="2">
        <f>'QBO Transactions'!$T490</f>
        <v/>
      </c>
      <c r="R488" s="2" t="n"/>
      <c r="S488" s="2" t="n"/>
      <c r="T488" s="2" t="n"/>
      <c r="U488" s="2" t="n"/>
      <c r="V488" s="2" t="n"/>
      <c r="W488" s="2" t="n"/>
      <c r="X488" s="2">
        <f>Q488</f>
        <v/>
      </c>
      <c r="Y488" s="4">
        <f>'QBO Transactions'!$Q490</f>
        <v/>
      </c>
      <c r="Z488" s="2" t="n"/>
      <c r="AA488" s="2" t="n"/>
      <c r="AB488" s="2" t="n"/>
      <c r="AC488" s="2" t="n"/>
      <c r="AD488" s="2" t="n"/>
      <c r="AE488" s="2" t="n"/>
    </row>
    <row r="489" ht="12.75" customHeight="1" s="52">
      <c r="A489" s="2" t="n"/>
      <c r="B489" s="2">
        <f>'QBO Transactions'!$U491</f>
        <v/>
      </c>
      <c r="C489" s="3">
        <f>'QBO Transactions'!$S491</f>
        <v/>
      </c>
      <c r="D489" s="2">
        <f>'QBO Transactions'!$R491</f>
        <v/>
      </c>
      <c r="E489" s="2" t="n"/>
      <c r="F489" s="3">
        <f>'QBO Transactions'!$X491</f>
        <v/>
      </c>
      <c r="G489" s="2" t="n"/>
      <c r="H489" s="2" t="n"/>
      <c r="I489" s="2" t="n"/>
      <c r="J489" s="2" t="n"/>
      <c r="K489" s="2" t="n"/>
      <c r="L489" s="2" t="n"/>
      <c r="M489" s="2" t="n"/>
      <c r="N489" s="2">
        <f>'QBO Transactions'!$Y491</f>
        <v/>
      </c>
      <c r="O489" s="2" t="n"/>
      <c r="P489" s="2" t="n"/>
      <c r="Q489" s="2">
        <f>'QBO Transactions'!$T491</f>
        <v/>
      </c>
      <c r="R489" s="2" t="n"/>
      <c r="S489" s="2" t="n"/>
      <c r="T489" s="2" t="n"/>
      <c r="U489" s="2" t="n"/>
      <c r="V489" s="2" t="n"/>
      <c r="W489" s="2" t="n"/>
      <c r="X489" s="2">
        <f>Q489</f>
        <v/>
      </c>
      <c r="Y489" s="4">
        <f>'QBO Transactions'!$Q491</f>
        <v/>
      </c>
      <c r="Z489" s="2" t="n"/>
      <c r="AA489" s="2" t="n"/>
      <c r="AB489" s="2" t="n"/>
      <c r="AC489" s="2" t="n"/>
      <c r="AD489" s="2" t="n"/>
      <c r="AE489" s="2" t="n"/>
    </row>
    <row r="490" ht="12.75" customHeight="1" s="52">
      <c r="A490" s="2" t="n"/>
      <c r="B490" s="2">
        <f>'QBO Transactions'!$U492</f>
        <v/>
      </c>
      <c r="C490" s="3">
        <f>'QBO Transactions'!$S492</f>
        <v/>
      </c>
      <c r="D490" s="2">
        <f>'QBO Transactions'!$R492</f>
        <v/>
      </c>
      <c r="E490" s="2" t="n"/>
      <c r="F490" s="3">
        <f>'QBO Transactions'!$X492</f>
        <v/>
      </c>
      <c r="G490" s="2" t="n"/>
      <c r="H490" s="2" t="n"/>
      <c r="I490" s="2" t="n"/>
      <c r="J490" s="2" t="n"/>
      <c r="K490" s="2" t="n"/>
      <c r="L490" s="2" t="n"/>
      <c r="M490" s="2" t="n"/>
      <c r="N490" s="2">
        <f>'QBO Transactions'!$Y492</f>
        <v/>
      </c>
      <c r="O490" s="2" t="n"/>
      <c r="P490" s="2" t="n"/>
      <c r="Q490" s="2">
        <f>'QBO Transactions'!$T492</f>
        <v/>
      </c>
      <c r="R490" s="2" t="n"/>
      <c r="S490" s="2" t="n"/>
      <c r="T490" s="2" t="n"/>
      <c r="U490" s="2" t="n"/>
      <c r="V490" s="2" t="n"/>
      <c r="W490" s="2" t="n"/>
      <c r="X490" s="2">
        <f>Q490</f>
        <v/>
      </c>
      <c r="Y490" s="4">
        <f>'QBO Transactions'!$Q492</f>
        <v/>
      </c>
      <c r="Z490" s="2" t="n"/>
      <c r="AA490" s="2" t="n"/>
      <c r="AB490" s="2" t="n"/>
      <c r="AC490" s="2" t="n"/>
      <c r="AD490" s="2" t="n"/>
      <c r="AE490" s="2" t="n"/>
    </row>
    <row r="491" ht="12.75" customHeight="1" s="52">
      <c r="A491" s="2" t="n"/>
      <c r="B491" s="2">
        <f>'QBO Transactions'!$U493</f>
        <v/>
      </c>
      <c r="C491" s="3">
        <f>'QBO Transactions'!$S493</f>
        <v/>
      </c>
      <c r="D491" s="2">
        <f>'QBO Transactions'!$R493</f>
        <v/>
      </c>
      <c r="E491" s="2" t="n"/>
      <c r="F491" s="3">
        <f>'QBO Transactions'!$X493</f>
        <v/>
      </c>
      <c r="G491" s="2" t="n"/>
      <c r="H491" s="2" t="n"/>
      <c r="I491" s="2" t="n"/>
      <c r="J491" s="2" t="n"/>
      <c r="K491" s="2" t="n"/>
      <c r="L491" s="2" t="n"/>
      <c r="M491" s="2" t="n"/>
      <c r="N491" s="2">
        <f>'QBO Transactions'!$Y493</f>
        <v/>
      </c>
      <c r="O491" s="2" t="n"/>
      <c r="P491" s="2" t="n"/>
      <c r="Q491" s="2">
        <f>'QBO Transactions'!$T493</f>
        <v/>
      </c>
      <c r="R491" s="2" t="n"/>
      <c r="S491" s="2" t="n"/>
      <c r="T491" s="2" t="n"/>
      <c r="U491" s="2" t="n"/>
      <c r="V491" s="2" t="n"/>
      <c r="W491" s="2" t="n"/>
      <c r="X491" s="2">
        <f>Q491</f>
        <v/>
      </c>
      <c r="Y491" s="4">
        <f>'QBO Transactions'!$Q493</f>
        <v/>
      </c>
      <c r="Z491" s="2" t="n"/>
      <c r="AA491" s="2" t="n"/>
      <c r="AB491" s="2" t="n"/>
      <c r="AC491" s="2" t="n"/>
      <c r="AD491" s="2" t="n"/>
      <c r="AE491" s="2" t="n"/>
    </row>
    <row r="492" ht="12.75" customHeight="1" s="52">
      <c r="A492" s="2" t="n"/>
      <c r="B492" s="2">
        <f>'QBO Transactions'!$U494</f>
        <v/>
      </c>
      <c r="C492" s="3">
        <f>'QBO Transactions'!$S494</f>
        <v/>
      </c>
      <c r="D492" s="2">
        <f>'QBO Transactions'!$R494</f>
        <v/>
      </c>
      <c r="E492" s="2" t="n"/>
      <c r="F492" s="3">
        <f>'QBO Transactions'!$X494</f>
        <v/>
      </c>
      <c r="G492" s="2" t="n"/>
      <c r="H492" s="2" t="n"/>
      <c r="I492" s="2" t="n"/>
      <c r="J492" s="2" t="n"/>
      <c r="K492" s="2" t="n"/>
      <c r="L492" s="2" t="n"/>
      <c r="M492" s="2" t="n"/>
      <c r="N492" s="2">
        <f>'QBO Transactions'!$Y494</f>
        <v/>
      </c>
      <c r="O492" s="2" t="n"/>
      <c r="P492" s="2" t="n"/>
      <c r="Q492" s="2">
        <f>'QBO Transactions'!$T494</f>
        <v/>
      </c>
      <c r="R492" s="2" t="n"/>
      <c r="S492" s="2" t="n"/>
      <c r="T492" s="2" t="n"/>
      <c r="U492" s="2" t="n"/>
      <c r="V492" s="2" t="n"/>
      <c r="W492" s="2" t="n"/>
      <c r="X492" s="2">
        <f>Q492</f>
        <v/>
      </c>
      <c r="Y492" s="4">
        <f>'QBO Transactions'!$Q494</f>
        <v/>
      </c>
      <c r="Z492" s="2" t="n"/>
      <c r="AA492" s="2" t="n"/>
      <c r="AB492" s="2" t="n"/>
      <c r="AC492" s="2" t="n"/>
      <c r="AD492" s="2" t="n"/>
      <c r="AE492" s="2" t="n"/>
    </row>
    <row r="493" ht="12.75" customHeight="1" s="52">
      <c r="A493" s="2" t="n"/>
      <c r="B493" s="2">
        <f>'QBO Transactions'!$U495</f>
        <v/>
      </c>
      <c r="C493" s="3">
        <f>'QBO Transactions'!$S495</f>
        <v/>
      </c>
      <c r="D493" s="2">
        <f>'QBO Transactions'!$R495</f>
        <v/>
      </c>
      <c r="E493" s="2" t="n"/>
      <c r="F493" s="3">
        <f>'QBO Transactions'!$X495</f>
        <v/>
      </c>
      <c r="G493" s="2" t="n"/>
      <c r="H493" s="2" t="n"/>
      <c r="I493" s="2" t="n"/>
      <c r="J493" s="2" t="n"/>
      <c r="K493" s="2" t="n"/>
      <c r="L493" s="2" t="n"/>
      <c r="M493" s="2" t="n"/>
      <c r="N493" s="2">
        <f>'QBO Transactions'!$Y495</f>
        <v/>
      </c>
      <c r="O493" s="2" t="n"/>
      <c r="P493" s="2" t="n"/>
      <c r="Q493" s="2">
        <f>'QBO Transactions'!$T495</f>
        <v/>
      </c>
      <c r="R493" s="2" t="n"/>
      <c r="S493" s="2" t="n"/>
      <c r="T493" s="2" t="n"/>
      <c r="U493" s="2" t="n"/>
      <c r="V493" s="2" t="n"/>
      <c r="W493" s="2" t="n"/>
      <c r="X493" s="2">
        <f>Q493</f>
        <v/>
      </c>
      <c r="Y493" s="4">
        <f>'QBO Transactions'!$Q495</f>
        <v/>
      </c>
      <c r="Z493" s="2" t="n"/>
      <c r="AA493" s="2" t="n"/>
      <c r="AB493" s="2" t="n"/>
      <c r="AC493" s="2" t="n"/>
      <c r="AD493" s="2" t="n"/>
      <c r="AE493" s="2" t="n"/>
    </row>
    <row r="494" ht="12.75" customHeight="1" s="52">
      <c r="A494" s="2" t="n"/>
      <c r="B494" s="2">
        <f>'QBO Transactions'!$U496</f>
        <v/>
      </c>
      <c r="C494" s="3">
        <f>'QBO Transactions'!$S496</f>
        <v/>
      </c>
      <c r="D494" s="2">
        <f>'QBO Transactions'!$R496</f>
        <v/>
      </c>
      <c r="E494" s="2" t="n"/>
      <c r="F494" s="3">
        <f>'QBO Transactions'!$X496</f>
        <v/>
      </c>
      <c r="G494" s="2" t="n"/>
      <c r="H494" s="2" t="n"/>
      <c r="I494" s="2" t="n"/>
      <c r="J494" s="2" t="n"/>
      <c r="K494" s="2" t="n"/>
      <c r="L494" s="2" t="n"/>
      <c r="M494" s="2" t="n"/>
      <c r="N494" s="2">
        <f>'QBO Transactions'!$Y496</f>
        <v/>
      </c>
      <c r="O494" s="2" t="n"/>
      <c r="P494" s="2" t="n"/>
      <c r="Q494" s="2">
        <f>'QBO Transactions'!$T496</f>
        <v/>
      </c>
      <c r="R494" s="2" t="n"/>
      <c r="S494" s="2" t="n"/>
      <c r="T494" s="2" t="n"/>
      <c r="U494" s="2" t="n"/>
      <c r="V494" s="2" t="n"/>
      <c r="W494" s="2" t="n"/>
      <c r="X494" s="2">
        <f>Q494</f>
        <v/>
      </c>
      <c r="Y494" s="4">
        <f>'QBO Transactions'!$Q496</f>
        <v/>
      </c>
      <c r="Z494" s="2" t="n"/>
      <c r="AA494" s="2" t="n"/>
      <c r="AB494" s="2" t="n"/>
      <c r="AC494" s="2" t="n"/>
      <c r="AD494" s="2" t="n"/>
      <c r="AE494" s="2" t="n"/>
    </row>
    <row r="495" ht="12.75" customHeight="1" s="52">
      <c r="A495" s="2" t="n"/>
      <c r="B495" s="2">
        <f>'QBO Transactions'!$U497</f>
        <v/>
      </c>
      <c r="C495" s="3">
        <f>'QBO Transactions'!$S497</f>
        <v/>
      </c>
      <c r="D495" s="2">
        <f>'QBO Transactions'!$R497</f>
        <v/>
      </c>
      <c r="E495" s="2" t="n"/>
      <c r="F495" s="3">
        <f>'QBO Transactions'!$X497</f>
        <v/>
      </c>
      <c r="G495" s="2" t="n"/>
      <c r="H495" s="2" t="n"/>
      <c r="I495" s="2" t="n"/>
      <c r="J495" s="2" t="n"/>
      <c r="K495" s="2" t="n"/>
      <c r="L495" s="2" t="n"/>
      <c r="M495" s="2" t="n"/>
      <c r="N495" s="2">
        <f>'QBO Transactions'!$Y497</f>
        <v/>
      </c>
      <c r="O495" s="2" t="n"/>
      <c r="P495" s="2" t="n"/>
      <c r="Q495" s="2">
        <f>'QBO Transactions'!$T497</f>
        <v/>
      </c>
      <c r="R495" s="2" t="n"/>
      <c r="S495" s="2" t="n"/>
      <c r="T495" s="2" t="n"/>
      <c r="U495" s="2" t="n"/>
      <c r="V495" s="2" t="n"/>
      <c r="W495" s="2" t="n"/>
      <c r="X495" s="2">
        <f>Q495</f>
        <v/>
      </c>
      <c r="Y495" s="4">
        <f>'QBO Transactions'!$Q497</f>
        <v/>
      </c>
      <c r="Z495" s="2" t="n"/>
      <c r="AA495" s="2" t="n"/>
      <c r="AB495" s="2" t="n"/>
      <c r="AC495" s="2" t="n"/>
      <c r="AD495" s="2" t="n"/>
      <c r="AE495" s="2" t="n"/>
    </row>
    <row r="496" ht="12.75" customHeight="1" s="52">
      <c r="A496" s="2" t="n"/>
      <c r="B496" s="2">
        <f>'QBO Transactions'!$U498</f>
        <v/>
      </c>
      <c r="C496" s="3">
        <f>'QBO Transactions'!$S498</f>
        <v/>
      </c>
      <c r="D496" s="2">
        <f>'QBO Transactions'!$R498</f>
        <v/>
      </c>
      <c r="E496" s="2" t="n"/>
      <c r="F496" s="3">
        <f>'QBO Transactions'!$X498</f>
        <v/>
      </c>
      <c r="G496" s="2" t="n"/>
      <c r="H496" s="2" t="n"/>
      <c r="I496" s="2" t="n"/>
      <c r="J496" s="2" t="n"/>
      <c r="K496" s="2" t="n"/>
      <c r="L496" s="2" t="n"/>
      <c r="M496" s="2" t="n"/>
      <c r="N496" s="2">
        <f>'QBO Transactions'!$Y498</f>
        <v/>
      </c>
      <c r="O496" s="2" t="n"/>
      <c r="P496" s="2" t="n"/>
      <c r="Q496" s="2">
        <f>'QBO Transactions'!$T498</f>
        <v/>
      </c>
      <c r="R496" s="2" t="n"/>
      <c r="S496" s="2" t="n"/>
      <c r="T496" s="2" t="n"/>
      <c r="U496" s="2" t="n"/>
      <c r="V496" s="2" t="n"/>
      <c r="W496" s="2" t="n"/>
      <c r="X496" s="2">
        <f>Q496</f>
        <v/>
      </c>
      <c r="Y496" s="4">
        <f>'QBO Transactions'!$Q498</f>
        <v/>
      </c>
      <c r="Z496" s="2" t="n"/>
      <c r="AA496" s="2" t="n"/>
      <c r="AB496" s="2" t="n"/>
      <c r="AC496" s="2" t="n"/>
      <c r="AD496" s="2" t="n"/>
      <c r="AE496" s="2" t="n"/>
    </row>
    <row r="497" ht="12.75" customHeight="1" s="52">
      <c r="A497" s="2" t="n"/>
      <c r="B497" s="2">
        <f>'QBO Transactions'!$U499</f>
        <v/>
      </c>
      <c r="C497" s="3">
        <f>'QBO Transactions'!$S499</f>
        <v/>
      </c>
      <c r="D497" s="2">
        <f>'QBO Transactions'!$R499</f>
        <v/>
      </c>
      <c r="E497" s="2" t="n"/>
      <c r="F497" s="3">
        <f>'QBO Transactions'!$X499</f>
        <v/>
      </c>
      <c r="G497" s="2" t="n"/>
      <c r="H497" s="2" t="n"/>
      <c r="I497" s="2" t="n"/>
      <c r="J497" s="2" t="n"/>
      <c r="K497" s="2" t="n"/>
      <c r="L497" s="2" t="n"/>
      <c r="M497" s="2" t="n"/>
      <c r="N497" s="2">
        <f>'QBO Transactions'!$Y499</f>
        <v/>
      </c>
      <c r="O497" s="2" t="n"/>
      <c r="P497" s="2" t="n"/>
      <c r="Q497" s="2">
        <f>'QBO Transactions'!$T499</f>
        <v/>
      </c>
      <c r="R497" s="2" t="n"/>
      <c r="S497" s="2" t="n"/>
      <c r="T497" s="2" t="n"/>
      <c r="U497" s="2" t="n"/>
      <c r="V497" s="2" t="n"/>
      <c r="W497" s="2" t="n"/>
      <c r="X497" s="2">
        <f>Q497</f>
        <v/>
      </c>
      <c r="Y497" s="4">
        <f>'QBO Transactions'!$Q499</f>
        <v/>
      </c>
      <c r="Z497" s="2" t="n"/>
      <c r="AA497" s="2" t="n"/>
      <c r="AB497" s="2" t="n"/>
      <c r="AC497" s="2" t="n"/>
      <c r="AD497" s="2" t="n"/>
      <c r="AE497" s="2" t="n"/>
    </row>
    <row r="498" ht="12.75" customHeight="1" s="52">
      <c r="A498" s="2" t="n"/>
      <c r="B498" s="2">
        <f>'QBO Transactions'!$U500</f>
        <v/>
      </c>
      <c r="C498" s="3">
        <f>'QBO Transactions'!$S500</f>
        <v/>
      </c>
      <c r="D498" s="2">
        <f>'QBO Transactions'!$R500</f>
        <v/>
      </c>
      <c r="E498" s="2" t="n"/>
      <c r="F498" s="3">
        <f>'QBO Transactions'!$X500</f>
        <v/>
      </c>
      <c r="G498" s="2" t="n"/>
      <c r="H498" s="2" t="n"/>
      <c r="I498" s="2" t="n"/>
      <c r="J498" s="2" t="n"/>
      <c r="K498" s="2" t="n"/>
      <c r="L498" s="2" t="n"/>
      <c r="M498" s="2" t="n"/>
      <c r="N498" s="2">
        <f>'QBO Transactions'!$Y500</f>
        <v/>
      </c>
      <c r="O498" s="2" t="n"/>
      <c r="P498" s="2" t="n"/>
      <c r="Q498" s="2">
        <f>'QBO Transactions'!$T500</f>
        <v/>
      </c>
      <c r="R498" s="2" t="n"/>
      <c r="S498" s="2" t="n"/>
      <c r="T498" s="2" t="n"/>
      <c r="U498" s="2" t="n"/>
      <c r="V498" s="2" t="n"/>
      <c r="W498" s="2" t="n"/>
      <c r="X498" s="2">
        <f>Q498</f>
        <v/>
      </c>
      <c r="Y498" s="4">
        <f>'QBO Transactions'!$Q500</f>
        <v/>
      </c>
      <c r="Z498" s="2" t="n"/>
      <c r="AA498" s="2" t="n"/>
      <c r="AB498" s="2" t="n"/>
      <c r="AC498" s="2" t="n"/>
      <c r="AD498" s="2" t="n"/>
      <c r="AE498" s="2" t="n"/>
    </row>
    <row r="499" ht="12.75" customHeight="1" s="52">
      <c r="A499" s="2" t="n"/>
      <c r="B499" s="2">
        <f>'QBO Transactions'!$U501</f>
        <v/>
      </c>
      <c r="C499" s="3">
        <f>'QBO Transactions'!$S501</f>
        <v/>
      </c>
      <c r="D499" s="2">
        <f>'QBO Transactions'!$R501</f>
        <v/>
      </c>
      <c r="E499" s="2" t="n"/>
      <c r="F499" s="3">
        <f>'QBO Transactions'!$X501</f>
        <v/>
      </c>
      <c r="G499" s="2" t="n"/>
      <c r="H499" s="2" t="n"/>
      <c r="I499" s="2" t="n"/>
      <c r="J499" s="2" t="n"/>
      <c r="K499" s="2" t="n"/>
      <c r="L499" s="2" t="n"/>
      <c r="M499" s="2" t="n"/>
      <c r="N499" s="2">
        <f>'QBO Transactions'!$Y501</f>
        <v/>
      </c>
      <c r="O499" s="2" t="n"/>
      <c r="P499" s="2" t="n"/>
      <c r="Q499" s="2">
        <f>'QBO Transactions'!$T501</f>
        <v/>
      </c>
      <c r="R499" s="2" t="n"/>
      <c r="S499" s="2" t="n"/>
      <c r="T499" s="2" t="n"/>
      <c r="U499" s="2" t="n"/>
      <c r="V499" s="2" t="n"/>
      <c r="W499" s="2" t="n"/>
      <c r="X499" s="2">
        <f>Q499</f>
        <v/>
      </c>
      <c r="Y499" s="4">
        <f>'QBO Transactions'!$Q501</f>
        <v/>
      </c>
      <c r="Z499" s="2" t="n"/>
      <c r="AA499" s="2" t="n"/>
      <c r="AB499" s="2" t="n"/>
      <c r="AC499" s="2" t="n"/>
      <c r="AD499" s="2" t="n"/>
      <c r="AE499" s="2" t="n"/>
    </row>
    <row r="500" ht="12.75" customHeight="1" s="52">
      <c r="A500" s="2" t="n"/>
      <c r="B500" s="2">
        <f>'QBO Transactions'!$U502</f>
        <v/>
      </c>
      <c r="C500" s="3">
        <f>'QBO Transactions'!$S502</f>
        <v/>
      </c>
      <c r="D500" s="2">
        <f>'QBO Transactions'!$R502</f>
        <v/>
      </c>
      <c r="E500" s="2" t="n"/>
      <c r="F500" s="3">
        <f>'QBO Transactions'!$X502</f>
        <v/>
      </c>
      <c r="G500" s="2" t="n"/>
      <c r="H500" s="2" t="n"/>
      <c r="I500" s="2" t="n"/>
      <c r="J500" s="2" t="n"/>
      <c r="K500" s="2" t="n"/>
      <c r="L500" s="2" t="n"/>
      <c r="M500" s="2" t="n"/>
      <c r="N500" s="2">
        <f>'QBO Transactions'!$Y502</f>
        <v/>
      </c>
      <c r="O500" s="2" t="n"/>
      <c r="P500" s="2" t="n"/>
      <c r="Q500" s="2">
        <f>'QBO Transactions'!$T502</f>
        <v/>
      </c>
      <c r="R500" s="2" t="n"/>
      <c r="S500" s="2" t="n"/>
      <c r="T500" s="2" t="n"/>
      <c r="U500" s="2" t="n"/>
      <c r="V500" s="2" t="n"/>
      <c r="W500" s="2" t="n"/>
      <c r="X500" s="2">
        <f>Q500</f>
        <v/>
      </c>
      <c r="Y500" s="4">
        <f>'QBO Transactions'!$Q502</f>
        <v/>
      </c>
      <c r="Z500" s="2" t="n"/>
      <c r="AA500" s="2" t="n"/>
      <c r="AB500" s="2" t="n"/>
      <c r="AC500" s="2" t="n"/>
      <c r="AD500" s="2" t="n"/>
      <c r="AE500" s="2" t="n"/>
    </row>
    <row r="501" ht="12.75" customHeight="1" s="52">
      <c r="A501" s="2" t="n"/>
      <c r="B501" s="2">
        <f>'QBO Transactions'!$U503</f>
        <v/>
      </c>
      <c r="C501" s="3">
        <f>'QBO Transactions'!$S503</f>
        <v/>
      </c>
      <c r="D501" s="2">
        <f>'QBO Transactions'!$R503</f>
        <v/>
      </c>
      <c r="E501" s="2" t="n"/>
      <c r="F501" s="3">
        <f>'QBO Transactions'!$X503</f>
        <v/>
      </c>
      <c r="G501" s="2" t="n"/>
      <c r="H501" s="2" t="n"/>
      <c r="I501" s="2" t="n"/>
      <c r="J501" s="2" t="n"/>
      <c r="K501" s="2" t="n"/>
      <c r="L501" s="2" t="n"/>
      <c r="M501" s="2" t="n"/>
      <c r="N501" s="2">
        <f>'QBO Transactions'!$Y503</f>
        <v/>
      </c>
      <c r="O501" s="2" t="n"/>
      <c r="P501" s="2" t="n"/>
      <c r="Q501" s="2">
        <f>'QBO Transactions'!$T503</f>
        <v/>
      </c>
      <c r="R501" s="2" t="n"/>
      <c r="S501" s="2" t="n"/>
      <c r="T501" s="2" t="n"/>
      <c r="U501" s="2" t="n"/>
      <c r="V501" s="2" t="n"/>
      <c r="W501" s="2" t="n"/>
      <c r="X501" s="2">
        <f>Q501</f>
        <v/>
      </c>
      <c r="Y501" s="4">
        <f>'QBO Transactions'!$Q503</f>
        <v/>
      </c>
      <c r="Z501" s="2" t="n"/>
      <c r="AA501" s="2" t="n"/>
      <c r="AB501" s="2" t="n"/>
      <c r="AC501" s="2" t="n"/>
      <c r="AD501" s="2" t="n"/>
      <c r="AE501" s="2" t="n"/>
    </row>
    <row r="502" ht="12.75" customHeight="1" s="52">
      <c r="A502" s="2" t="n"/>
      <c r="B502" s="2">
        <f>'QBO Transactions'!$U504</f>
        <v/>
      </c>
      <c r="C502" s="3">
        <f>'QBO Transactions'!$S504</f>
        <v/>
      </c>
      <c r="D502" s="2">
        <f>'QBO Transactions'!$R504</f>
        <v/>
      </c>
      <c r="E502" s="2" t="n"/>
      <c r="F502" s="3">
        <f>'QBO Transactions'!$X504</f>
        <v/>
      </c>
      <c r="G502" s="2" t="n"/>
      <c r="H502" s="2" t="n"/>
      <c r="I502" s="2" t="n"/>
      <c r="J502" s="2" t="n"/>
      <c r="K502" s="2" t="n"/>
      <c r="L502" s="2" t="n"/>
      <c r="M502" s="2" t="n"/>
      <c r="N502" s="2">
        <f>'QBO Transactions'!$Y504</f>
        <v/>
      </c>
      <c r="O502" s="2" t="n"/>
      <c r="P502" s="2" t="n"/>
      <c r="Q502" s="2">
        <f>'QBO Transactions'!$T504</f>
        <v/>
      </c>
      <c r="R502" s="2" t="n"/>
      <c r="S502" s="2" t="n"/>
      <c r="T502" s="2" t="n"/>
      <c r="U502" s="2" t="n"/>
      <c r="V502" s="2" t="n"/>
      <c r="W502" s="2" t="n"/>
      <c r="X502" s="2">
        <f>Q502</f>
        <v/>
      </c>
      <c r="Y502" s="4">
        <f>'QBO Transactions'!$Q504</f>
        <v/>
      </c>
      <c r="Z502" s="2" t="n"/>
      <c r="AA502" s="2" t="n"/>
      <c r="AB502" s="2" t="n"/>
      <c r="AC502" s="2" t="n"/>
      <c r="AD502" s="2" t="n"/>
      <c r="AE502" s="2" t="n"/>
    </row>
    <row r="503" ht="12.75" customHeight="1" s="52">
      <c r="A503" s="2" t="n"/>
      <c r="B503" s="2">
        <f>'QBO Transactions'!$U505</f>
        <v/>
      </c>
      <c r="C503" s="3">
        <f>'QBO Transactions'!$S505</f>
        <v/>
      </c>
      <c r="D503" s="2">
        <f>'QBO Transactions'!$R505</f>
        <v/>
      </c>
      <c r="E503" s="2" t="n"/>
      <c r="F503" s="3">
        <f>'QBO Transactions'!$X505</f>
        <v/>
      </c>
      <c r="G503" s="2" t="n"/>
      <c r="H503" s="2" t="n"/>
      <c r="I503" s="2" t="n"/>
      <c r="J503" s="2" t="n"/>
      <c r="K503" s="2" t="n"/>
      <c r="L503" s="2" t="n"/>
      <c r="M503" s="2" t="n"/>
      <c r="N503" s="2">
        <f>'QBO Transactions'!$Y505</f>
        <v/>
      </c>
      <c r="O503" s="2" t="n"/>
      <c r="P503" s="2" t="n"/>
      <c r="Q503" s="2">
        <f>'QBO Transactions'!$T505</f>
        <v/>
      </c>
      <c r="R503" s="2" t="n"/>
      <c r="S503" s="2" t="n"/>
      <c r="T503" s="2" t="n"/>
      <c r="U503" s="2" t="n"/>
      <c r="V503" s="2" t="n"/>
      <c r="W503" s="2" t="n"/>
      <c r="X503" s="2">
        <f>Q503</f>
        <v/>
      </c>
      <c r="Y503" s="4">
        <f>'QBO Transactions'!$Q505</f>
        <v/>
      </c>
      <c r="Z503" s="2" t="n"/>
      <c r="AA503" s="2" t="n"/>
      <c r="AB503" s="2" t="n"/>
      <c r="AC503" s="2" t="n"/>
      <c r="AD503" s="2" t="n"/>
      <c r="AE503" s="2" t="n"/>
    </row>
    <row r="504" ht="12.75" customHeight="1" s="52">
      <c r="A504" s="2" t="n"/>
      <c r="B504" s="2">
        <f>'QBO Transactions'!$U506</f>
        <v/>
      </c>
      <c r="C504" s="3">
        <f>'QBO Transactions'!$S506</f>
        <v/>
      </c>
      <c r="D504" s="2">
        <f>'QBO Transactions'!$R506</f>
        <v/>
      </c>
      <c r="E504" s="2" t="n"/>
      <c r="F504" s="3">
        <f>'QBO Transactions'!$X506</f>
        <v/>
      </c>
      <c r="G504" s="2" t="n"/>
      <c r="H504" s="2" t="n"/>
      <c r="I504" s="2" t="n"/>
      <c r="J504" s="2" t="n"/>
      <c r="K504" s="2" t="n"/>
      <c r="L504" s="2" t="n"/>
      <c r="M504" s="2" t="n"/>
      <c r="N504" s="2">
        <f>'QBO Transactions'!$Y506</f>
        <v/>
      </c>
      <c r="O504" s="2" t="n"/>
      <c r="P504" s="2" t="n"/>
      <c r="Q504" s="2">
        <f>'QBO Transactions'!$T506</f>
        <v/>
      </c>
      <c r="R504" s="2" t="n"/>
      <c r="S504" s="2" t="n"/>
      <c r="T504" s="2" t="n"/>
      <c r="U504" s="2" t="n"/>
      <c r="V504" s="2" t="n"/>
      <c r="W504" s="2" t="n"/>
      <c r="X504" s="2">
        <f>Q504</f>
        <v/>
      </c>
      <c r="Y504" s="4">
        <f>'QBO Transactions'!$Q506</f>
        <v/>
      </c>
      <c r="Z504" s="2" t="n"/>
      <c r="AA504" s="2" t="n"/>
      <c r="AB504" s="2" t="n"/>
      <c r="AC504" s="2" t="n"/>
      <c r="AD504" s="2" t="n"/>
      <c r="AE504" s="2" t="n"/>
    </row>
    <row r="505" ht="12.75" customHeight="1" s="52">
      <c r="A505" s="2" t="n"/>
      <c r="B505" s="2">
        <f>'QBO Transactions'!$U507</f>
        <v/>
      </c>
      <c r="C505" s="3">
        <f>'QBO Transactions'!$S507</f>
        <v/>
      </c>
      <c r="D505" s="2">
        <f>'QBO Transactions'!$R507</f>
        <v/>
      </c>
      <c r="E505" s="2" t="n"/>
      <c r="F505" s="3">
        <f>'QBO Transactions'!$X507</f>
        <v/>
      </c>
      <c r="G505" s="2" t="n"/>
      <c r="H505" s="2" t="n"/>
      <c r="I505" s="2" t="n"/>
      <c r="J505" s="2" t="n"/>
      <c r="K505" s="2" t="n"/>
      <c r="L505" s="2" t="n"/>
      <c r="M505" s="2" t="n"/>
      <c r="N505" s="2">
        <f>'QBO Transactions'!$Y507</f>
        <v/>
      </c>
      <c r="O505" s="2" t="n"/>
      <c r="P505" s="2" t="n"/>
      <c r="Q505" s="2">
        <f>'QBO Transactions'!$T507</f>
        <v/>
      </c>
      <c r="R505" s="2" t="n"/>
      <c r="S505" s="2" t="n"/>
      <c r="T505" s="2" t="n"/>
      <c r="U505" s="2" t="n"/>
      <c r="V505" s="2" t="n"/>
      <c r="W505" s="2" t="n"/>
      <c r="X505" s="2">
        <f>Q505</f>
        <v/>
      </c>
      <c r="Y505" s="4">
        <f>'QBO Transactions'!$Q507</f>
        <v/>
      </c>
      <c r="Z505" s="2" t="n"/>
      <c r="AA505" s="2" t="n"/>
      <c r="AB505" s="2" t="n"/>
      <c r="AC505" s="2" t="n"/>
      <c r="AD505" s="2" t="n"/>
      <c r="AE505" s="2" t="n"/>
    </row>
    <row r="506" ht="12.75" customHeight="1" s="52">
      <c r="A506" s="2" t="n"/>
      <c r="B506" s="2">
        <f>'QBO Transactions'!$U508</f>
        <v/>
      </c>
      <c r="C506" s="3">
        <f>'QBO Transactions'!$S508</f>
        <v/>
      </c>
      <c r="D506" s="2">
        <f>'QBO Transactions'!$R508</f>
        <v/>
      </c>
      <c r="E506" s="2" t="n"/>
      <c r="F506" s="3">
        <f>'QBO Transactions'!$X508</f>
        <v/>
      </c>
      <c r="G506" s="2" t="n"/>
      <c r="H506" s="2" t="n"/>
      <c r="I506" s="2" t="n"/>
      <c r="J506" s="2" t="n"/>
      <c r="K506" s="2" t="n"/>
      <c r="L506" s="2" t="n"/>
      <c r="M506" s="2" t="n"/>
      <c r="N506" s="2">
        <f>'QBO Transactions'!$Y508</f>
        <v/>
      </c>
      <c r="O506" s="2" t="n"/>
      <c r="P506" s="2" t="n"/>
      <c r="Q506" s="2">
        <f>'QBO Transactions'!$T508</f>
        <v/>
      </c>
      <c r="R506" s="2" t="n"/>
      <c r="S506" s="2" t="n"/>
      <c r="T506" s="2" t="n"/>
      <c r="U506" s="2" t="n"/>
      <c r="V506" s="2" t="n"/>
      <c r="W506" s="2" t="n"/>
      <c r="X506" s="2">
        <f>Q506</f>
        <v/>
      </c>
      <c r="Y506" s="4">
        <f>'QBO Transactions'!$Q508</f>
        <v/>
      </c>
      <c r="Z506" s="2" t="n"/>
      <c r="AA506" s="2" t="n"/>
      <c r="AB506" s="2" t="n"/>
      <c r="AC506" s="2" t="n"/>
      <c r="AD506" s="2" t="n"/>
      <c r="AE506" s="2" t="n"/>
    </row>
    <row r="507" ht="12.75" customHeight="1" s="52">
      <c r="A507" s="2" t="n"/>
      <c r="B507" s="2">
        <f>'QBO Transactions'!$U509</f>
        <v/>
      </c>
      <c r="C507" s="3">
        <f>'QBO Transactions'!$S509</f>
        <v/>
      </c>
      <c r="D507" s="2">
        <f>'QBO Transactions'!$R509</f>
        <v/>
      </c>
      <c r="E507" s="2" t="n"/>
      <c r="F507" s="3">
        <f>'QBO Transactions'!$X509</f>
        <v/>
      </c>
      <c r="G507" s="2" t="n"/>
      <c r="H507" s="2" t="n"/>
      <c r="I507" s="2" t="n"/>
      <c r="J507" s="2" t="n"/>
      <c r="K507" s="2" t="n"/>
      <c r="L507" s="2" t="n"/>
      <c r="M507" s="2" t="n"/>
      <c r="N507" s="2">
        <f>'QBO Transactions'!$Y509</f>
        <v/>
      </c>
      <c r="O507" s="2" t="n"/>
      <c r="P507" s="2" t="n"/>
      <c r="Q507" s="2">
        <f>'QBO Transactions'!$T509</f>
        <v/>
      </c>
      <c r="R507" s="2" t="n"/>
      <c r="S507" s="2" t="n"/>
      <c r="T507" s="2" t="n"/>
      <c r="U507" s="2" t="n"/>
      <c r="V507" s="2" t="n"/>
      <c r="W507" s="2" t="n"/>
      <c r="X507" s="2">
        <f>Q507</f>
        <v/>
      </c>
      <c r="Y507" s="4">
        <f>'QBO Transactions'!$Q509</f>
        <v/>
      </c>
      <c r="Z507" s="2" t="n"/>
      <c r="AA507" s="2" t="n"/>
      <c r="AB507" s="2" t="n"/>
      <c r="AC507" s="2" t="n"/>
      <c r="AD507" s="2" t="n"/>
      <c r="AE507" s="2" t="n"/>
    </row>
    <row r="508" ht="12.75" customHeight="1" s="52">
      <c r="A508" s="2" t="n"/>
      <c r="B508" s="2">
        <f>'QBO Transactions'!$U510</f>
        <v/>
      </c>
      <c r="C508" s="3">
        <f>'QBO Transactions'!$S510</f>
        <v/>
      </c>
      <c r="D508" s="2">
        <f>'QBO Transactions'!$R510</f>
        <v/>
      </c>
      <c r="E508" s="2" t="n"/>
      <c r="F508" s="3">
        <f>'QBO Transactions'!$X510</f>
        <v/>
      </c>
      <c r="G508" s="2" t="n"/>
      <c r="H508" s="2" t="n"/>
      <c r="I508" s="2" t="n"/>
      <c r="J508" s="2" t="n"/>
      <c r="K508" s="2" t="n"/>
      <c r="L508" s="2" t="n"/>
      <c r="M508" s="2" t="n"/>
      <c r="N508" s="2">
        <f>'QBO Transactions'!$Y510</f>
        <v/>
      </c>
      <c r="O508" s="2" t="n"/>
      <c r="P508" s="2" t="n"/>
      <c r="Q508" s="2">
        <f>'QBO Transactions'!$T510</f>
        <v/>
      </c>
      <c r="R508" s="2" t="n"/>
      <c r="S508" s="2" t="n"/>
      <c r="T508" s="2" t="n"/>
      <c r="U508" s="2" t="n"/>
      <c r="V508" s="2" t="n"/>
      <c r="W508" s="2" t="n"/>
      <c r="X508" s="2">
        <f>Q508</f>
        <v/>
      </c>
      <c r="Y508" s="4">
        <f>'QBO Transactions'!$Q510</f>
        <v/>
      </c>
      <c r="Z508" s="2" t="n"/>
      <c r="AA508" s="2" t="n"/>
      <c r="AB508" s="2" t="n"/>
      <c r="AC508" s="2" t="n"/>
      <c r="AD508" s="2" t="n"/>
      <c r="AE508" s="2" t="n"/>
    </row>
    <row r="509" ht="12.75" customHeight="1" s="52">
      <c r="A509" s="2" t="n"/>
      <c r="B509" s="2">
        <f>'QBO Transactions'!$U511</f>
        <v/>
      </c>
      <c r="C509" s="3">
        <f>'QBO Transactions'!$S511</f>
        <v/>
      </c>
      <c r="D509" s="2">
        <f>'QBO Transactions'!$R511</f>
        <v/>
      </c>
      <c r="E509" s="2" t="n"/>
      <c r="F509" s="3">
        <f>'QBO Transactions'!$X511</f>
        <v/>
      </c>
      <c r="G509" s="2" t="n"/>
      <c r="H509" s="2" t="n"/>
      <c r="I509" s="2" t="n"/>
      <c r="J509" s="2" t="n"/>
      <c r="K509" s="2" t="n"/>
      <c r="L509" s="2" t="n"/>
      <c r="M509" s="2" t="n"/>
      <c r="N509" s="2">
        <f>'QBO Transactions'!$Y511</f>
        <v/>
      </c>
      <c r="O509" s="2" t="n"/>
      <c r="P509" s="2" t="n"/>
      <c r="Q509" s="2">
        <f>'QBO Transactions'!$T511</f>
        <v/>
      </c>
      <c r="R509" s="2" t="n"/>
      <c r="S509" s="2" t="n"/>
      <c r="T509" s="2" t="n"/>
      <c r="U509" s="2" t="n"/>
      <c r="V509" s="2" t="n"/>
      <c r="W509" s="2" t="n"/>
      <c r="X509" s="2">
        <f>Q509</f>
        <v/>
      </c>
      <c r="Y509" s="4">
        <f>'QBO Transactions'!$Q511</f>
        <v/>
      </c>
      <c r="Z509" s="2" t="n"/>
      <c r="AA509" s="2" t="n"/>
      <c r="AB509" s="2" t="n"/>
      <c r="AC509" s="2" t="n"/>
      <c r="AD509" s="2" t="n"/>
      <c r="AE509" s="2" t="n"/>
    </row>
    <row r="510" ht="12.75" customHeight="1" s="52">
      <c r="A510" s="2" t="n"/>
      <c r="B510" s="2">
        <f>'QBO Transactions'!$U512</f>
        <v/>
      </c>
      <c r="C510" s="3">
        <f>'QBO Transactions'!$S512</f>
        <v/>
      </c>
      <c r="D510" s="2">
        <f>'QBO Transactions'!$R512</f>
        <v/>
      </c>
      <c r="E510" s="2" t="n"/>
      <c r="F510" s="3">
        <f>'QBO Transactions'!$X512</f>
        <v/>
      </c>
      <c r="G510" s="2" t="n"/>
      <c r="H510" s="2" t="n"/>
      <c r="I510" s="2" t="n"/>
      <c r="J510" s="2" t="n"/>
      <c r="K510" s="2" t="n"/>
      <c r="L510" s="2" t="n"/>
      <c r="M510" s="2" t="n"/>
      <c r="N510" s="2">
        <f>'QBO Transactions'!$Y512</f>
        <v/>
      </c>
      <c r="O510" s="2" t="n"/>
      <c r="P510" s="2" t="n"/>
      <c r="Q510" s="2">
        <f>'QBO Transactions'!$T512</f>
        <v/>
      </c>
      <c r="R510" s="2" t="n"/>
      <c r="S510" s="2" t="n"/>
      <c r="T510" s="2" t="n"/>
      <c r="U510" s="2" t="n"/>
      <c r="V510" s="2" t="n"/>
      <c r="W510" s="2" t="n"/>
      <c r="X510" s="2">
        <f>Q510</f>
        <v/>
      </c>
      <c r="Y510" s="4">
        <f>'QBO Transactions'!$Q512</f>
        <v/>
      </c>
      <c r="Z510" s="2" t="n"/>
      <c r="AA510" s="2" t="n"/>
      <c r="AB510" s="2" t="n"/>
      <c r="AC510" s="2" t="n"/>
      <c r="AD510" s="2" t="n"/>
      <c r="AE510" s="2" t="n"/>
    </row>
    <row r="511" ht="12.75" customHeight="1" s="52">
      <c r="A511" s="2" t="n"/>
      <c r="B511" s="2">
        <f>'QBO Transactions'!$U513</f>
        <v/>
      </c>
      <c r="C511" s="3">
        <f>'QBO Transactions'!$S513</f>
        <v/>
      </c>
      <c r="D511" s="2">
        <f>'QBO Transactions'!$R513</f>
        <v/>
      </c>
      <c r="E511" s="2" t="n"/>
      <c r="F511" s="3">
        <f>'QBO Transactions'!$X513</f>
        <v/>
      </c>
      <c r="G511" s="2" t="n"/>
      <c r="H511" s="2" t="n"/>
      <c r="I511" s="2" t="n"/>
      <c r="J511" s="2" t="n"/>
      <c r="K511" s="2" t="n"/>
      <c r="L511" s="2" t="n"/>
      <c r="M511" s="2" t="n"/>
      <c r="N511" s="2">
        <f>'QBO Transactions'!$Y513</f>
        <v/>
      </c>
      <c r="O511" s="2" t="n"/>
      <c r="P511" s="2" t="n"/>
      <c r="Q511" s="2">
        <f>'QBO Transactions'!$T513</f>
        <v/>
      </c>
      <c r="R511" s="2" t="n"/>
      <c r="S511" s="2" t="n"/>
      <c r="T511" s="2" t="n"/>
      <c r="U511" s="2" t="n"/>
      <c r="V511" s="2" t="n"/>
      <c r="W511" s="2" t="n"/>
      <c r="X511" s="2">
        <f>Q511</f>
        <v/>
      </c>
      <c r="Y511" s="4">
        <f>'QBO Transactions'!$Q513</f>
        <v/>
      </c>
      <c r="Z511" s="2" t="n"/>
      <c r="AA511" s="2" t="n"/>
      <c r="AB511" s="2" t="n"/>
      <c r="AC511" s="2" t="n"/>
      <c r="AD511" s="2" t="n"/>
      <c r="AE511" s="2" t="n"/>
    </row>
    <row r="512" ht="12.75" customHeight="1" s="52">
      <c r="A512" s="2" t="n"/>
      <c r="B512" s="2">
        <f>'QBO Transactions'!$U514</f>
        <v/>
      </c>
      <c r="C512" s="3">
        <f>'QBO Transactions'!$S514</f>
        <v/>
      </c>
      <c r="D512" s="2">
        <f>'QBO Transactions'!$R514</f>
        <v/>
      </c>
      <c r="E512" s="2" t="n"/>
      <c r="F512" s="3">
        <f>'QBO Transactions'!$X514</f>
        <v/>
      </c>
      <c r="G512" s="2" t="n"/>
      <c r="H512" s="2" t="n"/>
      <c r="I512" s="2" t="n"/>
      <c r="J512" s="2" t="n"/>
      <c r="K512" s="2" t="n"/>
      <c r="L512" s="2" t="n"/>
      <c r="M512" s="2" t="n"/>
      <c r="N512" s="2">
        <f>'QBO Transactions'!$Y514</f>
        <v/>
      </c>
      <c r="O512" s="2" t="n"/>
      <c r="P512" s="2" t="n"/>
      <c r="Q512" s="2">
        <f>'QBO Transactions'!$T514</f>
        <v/>
      </c>
      <c r="R512" s="2" t="n"/>
      <c r="S512" s="2" t="n"/>
      <c r="T512" s="2" t="n"/>
      <c r="U512" s="2" t="n"/>
      <c r="V512" s="2" t="n"/>
      <c r="W512" s="2" t="n"/>
      <c r="X512" s="2">
        <f>Q512</f>
        <v/>
      </c>
      <c r="Y512" s="4">
        <f>'QBO Transactions'!$Q514</f>
        <v/>
      </c>
      <c r="Z512" s="2" t="n"/>
      <c r="AA512" s="2" t="n"/>
      <c r="AB512" s="2" t="n"/>
      <c r="AC512" s="2" t="n"/>
      <c r="AD512" s="2" t="n"/>
      <c r="AE512" s="2" t="n"/>
    </row>
    <row r="513" ht="12.75" customHeight="1" s="52">
      <c r="A513" s="2" t="n"/>
      <c r="B513" s="2">
        <f>'QBO Transactions'!$U515</f>
        <v/>
      </c>
      <c r="C513" s="3">
        <f>'QBO Transactions'!$S515</f>
        <v/>
      </c>
      <c r="D513" s="2">
        <f>'QBO Transactions'!$R515</f>
        <v/>
      </c>
      <c r="E513" s="2" t="n"/>
      <c r="F513" s="3">
        <f>'QBO Transactions'!$X515</f>
        <v/>
      </c>
      <c r="G513" s="2" t="n"/>
      <c r="H513" s="2" t="n"/>
      <c r="I513" s="2" t="n"/>
      <c r="J513" s="2" t="n"/>
      <c r="K513" s="2" t="n"/>
      <c r="L513" s="2" t="n"/>
      <c r="M513" s="2" t="n"/>
      <c r="N513" s="2">
        <f>'QBO Transactions'!$Y515</f>
        <v/>
      </c>
      <c r="O513" s="2" t="n"/>
      <c r="P513" s="2" t="n"/>
      <c r="Q513" s="2">
        <f>'QBO Transactions'!$T515</f>
        <v/>
      </c>
      <c r="R513" s="2" t="n"/>
      <c r="S513" s="2" t="n"/>
      <c r="T513" s="2" t="n"/>
      <c r="U513" s="2" t="n"/>
      <c r="V513" s="2" t="n"/>
      <c r="W513" s="2" t="n"/>
      <c r="X513" s="2">
        <f>Q513</f>
        <v/>
      </c>
      <c r="Y513" s="4">
        <f>'QBO Transactions'!$Q515</f>
        <v/>
      </c>
      <c r="Z513" s="2" t="n"/>
      <c r="AA513" s="2" t="n"/>
      <c r="AB513" s="2" t="n"/>
      <c r="AC513" s="2" t="n"/>
      <c r="AD513" s="2" t="n"/>
      <c r="AE513" s="2" t="n"/>
    </row>
    <row r="514" ht="12.75" customHeight="1" s="52">
      <c r="A514" s="2" t="n"/>
      <c r="B514" s="2">
        <f>'QBO Transactions'!$U516</f>
        <v/>
      </c>
      <c r="C514" s="3">
        <f>'QBO Transactions'!$S516</f>
        <v/>
      </c>
      <c r="D514" s="2">
        <f>'QBO Transactions'!$R516</f>
        <v/>
      </c>
      <c r="E514" s="2" t="n"/>
      <c r="F514" s="3">
        <f>'QBO Transactions'!$X516</f>
        <v/>
      </c>
      <c r="G514" s="2" t="n"/>
      <c r="H514" s="2" t="n"/>
      <c r="I514" s="2" t="n"/>
      <c r="J514" s="2" t="n"/>
      <c r="K514" s="2" t="n"/>
      <c r="L514" s="2" t="n"/>
      <c r="M514" s="2" t="n"/>
      <c r="N514" s="2">
        <f>'QBO Transactions'!$Y516</f>
        <v/>
      </c>
      <c r="O514" s="2" t="n"/>
      <c r="P514" s="2" t="n"/>
      <c r="Q514" s="2">
        <f>'QBO Transactions'!$T516</f>
        <v/>
      </c>
      <c r="R514" s="2" t="n"/>
      <c r="S514" s="2" t="n"/>
      <c r="T514" s="2" t="n"/>
      <c r="U514" s="2" t="n"/>
      <c r="V514" s="2" t="n"/>
      <c r="W514" s="2" t="n"/>
      <c r="X514" s="2">
        <f>Q514</f>
        <v/>
      </c>
      <c r="Y514" s="4">
        <f>'QBO Transactions'!$Q516</f>
        <v/>
      </c>
      <c r="Z514" s="2" t="n"/>
      <c r="AA514" s="2" t="n"/>
      <c r="AB514" s="2" t="n"/>
      <c r="AC514" s="2" t="n"/>
      <c r="AD514" s="2" t="n"/>
      <c r="AE514" s="2" t="n"/>
    </row>
    <row r="515" ht="12.75" customHeight="1" s="52">
      <c r="A515" s="2" t="n"/>
      <c r="B515" s="2">
        <f>'QBO Transactions'!$U517</f>
        <v/>
      </c>
      <c r="C515" s="3">
        <f>'QBO Transactions'!$S517</f>
        <v/>
      </c>
      <c r="D515" s="2">
        <f>'QBO Transactions'!$R517</f>
        <v/>
      </c>
      <c r="E515" s="2" t="n"/>
      <c r="F515" s="3">
        <f>'QBO Transactions'!$X517</f>
        <v/>
      </c>
      <c r="G515" s="2" t="n"/>
      <c r="H515" s="2" t="n"/>
      <c r="I515" s="2" t="n"/>
      <c r="J515" s="2" t="n"/>
      <c r="K515" s="2" t="n"/>
      <c r="L515" s="2" t="n"/>
      <c r="M515" s="2" t="n"/>
      <c r="N515" s="2">
        <f>'QBO Transactions'!$Y517</f>
        <v/>
      </c>
      <c r="O515" s="2" t="n"/>
      <c r="P515" s="2" t="n"/>
      <c r="Q515" s="2">
        <f>'QBO Transactions'!$T517</f>
        <v/>
      </c>
      <c r="R515" s="2" t="n"/>
      <c r="S515" s="2" t="n"/>
      <c r="T515" s="2" t="n"/>
      <c r="U515" s="2" t="n"/>
      <c r="V515" s="2" t="n"/>
      <c r="W515" s="2" t="n"/>
      <c r="X515" s="2">
        <f>Q515</f>
        <v/>
      </c>
      <c r="Y515" s="4">
        <f>'QBO Transactions'!$Q517</f>
        <v/>
      </c>
      <c r="Z515" s="2" t="n"/>
      <c r="AA515" s="2" t="n"/>
      <c r="AB515" s="2" t="n"/>
      <c r="AC515" s="2" t="n"/>
      <c r="AD515" s="2" t="n"/>
      <c r="AE515" s="2" t="n"/>
    </row>
    <row r="516" ht="12.75" customHeight="1" s="52">
      <c r="A516" s="2" t="n"/>
      <c r="B516" s="2">
        <f>'QBO Transactions'!$U518</f>
        <v/>
      </c>
      <c r="C516" s="3">
        <f>'QBO Transactions'!$S518</f>
        <v/>
      </c>
      <c r="D516" s="2">
        <f>'QBO Transactions'!$R518</f>
        <v/>
      </c>
      <c r="E516" s="2" t="n"/>
      <c r="F516" s="3">
        <f>'QBO Transactions'!$X518</f>
        <v/>
      </c>
      <c r="G516" s="2" t="n"/>
      <c r="H516" s="2" t="n"/>
      <c r="I516" s="2" t="n"/>
      <c r="J516" s="2" t="n"/>
      <c r="K516" s="2" t="n"/>
      <c r="L516" s="2" t="n"/>
      <c r="M516" s="2" t="n"/>
      <c r="N516" s="2">
        <f>'QBO Transactions'!$Y518</f>
        <v/>
      </c>
      <c r="O516" s="2" t="n"/>
      <c r="P516" s="2" t="n"/>
      <c r="Q516" s="2">
        <f>'QBO Transactions'!$T518</f>
        <v/>
      </c>
      <c r="R516" s="2" t="n"/>
      <c r="S516" s="2" t="n"/>
      <c r="T516" s="2" t="n"/>
      <c r="U516" s="2" t="n"/>
      <c r="V516" s="2" t="n"/>
      <c r="W516" s="2" t="n"/>
      <c r="X516" s="2">
        <f>Q516</f>
        <v/>
      </c>
      <c r="Y516" s="4">
        <f>'QBO Transactions'!$Q518</f>
        <v/>
      </c>
      <c r="Z516" s="2" t="n"/>
      <c r="AA516" s="2" t="n"/>
      <c r="AB516" s="2" t="n"/>
      <c r="AC516" s="2" t="n"/>
      <c r="AD516" s="2" t="n"/>
      <c r="AE516" s="2" t="n"/>
    </row>
    <row r="517" ht="12.75" customHeight="1" s="52">
      <c r="A517" s="2" t="n"/>
      <c r="B517" s="2">
        <f>'QBO Transactions'!$U519</f>
        <v/>
      </c>
      <c r="C517" s="3">
        <f>'QBO Transactions'!$S519</f>
        <v/>
      </c>
      <c r="D517" s="2">
        <f>'QBO Transactions'!$R519</f>
        <v/>
      </c>
      <c r="E517" s="2" t="n"/>
      <c r="F517" s="3">
        <f>'QBO Transactions'!$X519</f>
        <v/>
      </c>
      <c r="G517" s="2" t="n"/>
      <c r="H517" s="2" t="n"/>
      <c r="I517" s="2" t="n"/>
      <c r="J517" s="2" t="n"/>
      <c r="K517" s="2" t="n"/>
      <c r="L517" s="2" t="n"/>
      <c r="M517" s="2" t="n"/>
      <c r="N517" s="2">
        <f>'QBO Transactions'!$Y519</f>
        <v/>
      </c>
      <c r="O517" s="2" t="n"/>
      <c r="P517" s="2" t="n"/>
      <c r="Q517" s="2">
        <f>'QBO Transactions'!$T519</f>
        <v/>
      </c>
      <c r="R517" s="2" t="n"/>
      <c r="S517" s="2" t="n"/>
      <c r="T517" s="2" t="n"/>
      <c r="U517" s="2" t="n"/>
      <c r="V517" s="2" t="n"/>
      <c r="W517" s="2" t="n"/>
      <c r="X517" s="2">
        <f>Q517</f>
        <v/>
      </c>
      <c r="Y517" s="4">
        <f>'QBO Transactions'!$Q519</f>
        <v/>
      </c>
      <c r="Z517" s="2" t="n"/>
      <c r="AA517" s="2" t="n"/>
      <c r="AB517" s="2" t="n"/>
      <c r="AC517" s="2" t="n"/>
      <c r="AD517" s="2" t="n"/>
      <c r="AE517" s="2" t="n"/>
    </row>
    <row r="518" ht="12.75" customHeight="1" s="52">
      <c r="A518" s="2" t="n"/>
      <c r="B518" s="2">
        <f>'QBO Transactions'!$U520</f>
        <v/>
      </c>
      <c r="C518" s="3">
        <f>'QBO Transactions'!$S520</f>
        <v/>
      </c>
      <c r="D518" s="2">
        <f>'QBO Transactions'!$R520</f>
        <v/>
      </c>
      <c r="E518" s="2" t="n"/>
      <c r="F518" s="3">
        <f>'QBO Transactions'!$X520</f>
        <v/>
      </c>
      <c r="G518" s="2" t="n"/>
      <c r="H518" s="2" t="n"/>
      <c r="I518" s="2" t="n"/>
      <c r="J518" s="2" t="n"/>
      <c r="K518" s="2" t="n"/>
      <c r="L518" s="2" t="n"/>
      <c r="M518" s="2" t="n"/>
      <c r="N518" s="2">
        <f>'QBO Transactions'!$Y520</f>
        <v/>
      </c>
      <c r="O518" s="2" t="n"/>
      <c r="P518" s="2" t="n"/>
      <c r="Q518" s="2">
        <f>'QBO Transactions'!$T520</f>
        <v/>
      </c>
      <c r="R518" s="2" t="n"/>
      <c r="S518" s="2" t="n"/>
      <c r="T518" s="2" t="n"/>
      <c r="U518" s="2" t="n"/>
      <c r="V518" s="2" t="n"/>
      <c r="W518" s="2" t="n"/>
      <c r="X518" s="2">
        <f>Q518</f>
        <v/>
      </c>
      <c r="Y518" s="4">
        <f>'QBO Transactions'!$Q520</f>
        <v/>
      </c>
      <c r="Z518" s="2" t="n"/>
      <c r="AA518" s="2" t="n"/>
      <c r="AB518" s="2" t="n"/>
      <c r="AC518" s="2" t="n"/>
      <c r="AD518" s="2" t="n"/>
      <c r="AE518" s="2" t="n"/>
    </row>
    <row r="519" ht="12.75" customHeight="1" s="52">
      <c r="A519" s="2" t="n"/>
      <c r="B519" s="2">
        <f>'QBO Transactions'!$U521</f>
        <v/>
      </c>
      <c r="C519" s="3">
        <f>'QBO Transactions'!$S521</f>
        <v/>
      </c>
      <c r="D519" s="2">
        <f>'QBO Transactions'!$R521</f>
        <v/>
      </c>
      <c r="E519" s="2" t="n"/>
      <c r="F519" s="3">
        <f>'QBO Transactions'!$X521</f>
        <v/>
      </c>
      <c r="G519" s="2" t="n"/>
      <c r="H519" s="2" t="n"/>
      <c r="I519" s="2" t="n"/>
      <c r="J519" s="2" t="n"/>
      <c r="K519" s="2" t="n"/>
      <c r="L519" s="2" t="n"/>
      <c r="M519" s="2" t="n"/>
      <c r="N519" s="2">
        <f>'QBO Transactions'!$Y521</f>
        <v/>
      </c>
      <c r="O519" s="2" t="n"/>
      <c r="P519" s="2" t="n"/>
      <c r="Q519" s="2">
        <f>'QBO Transactions'!$T521</f>
        <v/>
      </c>
      <c r="R519" s="2" t="n"/>
      <c r="S519" s="2" t="n"/>
      <c r="T519" s="2" t="n"/>
      <c r="U519" s="2" t="n"/>
      <c r="V519" s="2" t="n"/>
      <c r="W519" s="2" t="n"/>
      <c r="X519" s="2">
        <f>Q519</f>
        <v/>
      </c>
      <c r="Y519" s="4">
        <f>'QBO Transactions'!$Q521</f>
        <v/>
      </c>
      <c r="Z519" s="2" t="n"/>
      <c r="AA519" s="2" t="n"/>
      <c r="AB519" s="2" t="n"/>
      <c r="AC519" s="2" t="n"/>
      <c r="AD519" s="2" t="n"/>
      <c r="AE519" s="2" t="n"/>
    </row>
    <row r="520" ht="12.75" customHeight="1" s="52">
      <c r="A520" s="2" t="n"/>
      <c r="B520" s="2">
        <f>'QBO Transactions'!$U522</f>
        <v/>
      </c>
      <c r="C520" s="3">
        <f>'QBO Transactions'!$S522</f>
        <v/>
      </c>
      <c r="D520" s="2">
        <f>'QBO Transactions'!$R522</f>
        <v/>
      </c>
      <c r="E520" s="2" t="n"/>
      <c r="F520" s="3">
        <f>'QBO Transactions'!$X522</f>
        <v/>
      </c>
      <c r="G520" s="2" t="n"/>
      <c r="H520" s="2" t="n"/>
      <c r="I520" s="2" t="n"/>
      <c r="J520" s="2" t="n"/>
      <c r="K520" s="2" t="n"/>
      <c r="L520" s="2" t="n"/>
      <c r="M520" s="2" t="n"/>
      <c r="N520" s="2">
        <f>'QBO Transactions'!$Y522</f>
        <v/>
      </c>
      <c r="O520" s="2" t="n"/>
      <c r="P520" s="2" t="n"/>
      <c r="Q520" s="2">
        <f>'QBO Transactions'!$T522</f>
        <v/>
      </c>
      <c r="R520" s="2" t="n"/>
      <c r="S520" s="2" t="n"/>
      <c r="T520" s="2" t="n"/>
      <c r="U520" s="2" t="n"/>
      <c r="V520" s="2" t="n"/>
      <c r="W520" s="2" t="n"/>
      <c r="X520" s="2">
        <f>Q520</f>
        <v/>
      </c>
      <c r="Y520" s="4">
        <f>'QBO Transactions'!$Q522</f>
        <v/>
      </c>
      <c r="Z520" s="2" t="n"/>
      <c r="AA520" s="2" t="n"/>
      <c r="AB520" s="2" t="n"/>
      <c r="AC520" s="2" t="n"/>
      <c r="AD520" s="2" t="n"/>
      <c r="AE520" s="2" t="n"/>
    </row>
    <row r="521" ht="12.75" customHeight="1" s="52">
      <c r="A521" s="2" t="n"/>
      <c r="B521" s="2">
        <f>'QBO Transactions'!$U523</f>
        <v/>
      </c>
      <c r="C521" s="3">
        <f>'QBO Transactions'!$S523</f>
        <v/>
      </c>
      <c r="D521" s="2">
        <f>'QBO Transactions'!$R523</f>
        <v/>
      </c>
      <c r="E521" s="2" t="n"/>
      <c r="F521" s="3">
        <f>'QBO Transactions'!$X523</f>
        <v/>
      </c>
      <c r="G521" s="2" t="n"/>
      <c r="H521" s="2" t="n"/>
      <c r="I521" s="2" t="n"/>
      <c r="J521" s="2" t="n"/>
      <c r="K521" s="2" t="n"/>
      <c r="L521" s="2" t="n"/>
      <c r="M521" s="2" t="n"/>
      <c r="N521" s="2">
        <f>'QBO Transactions'!$Y523</f>
        <v/>
      </c>
      <c r="O521" s="2" t="n"/>
      <c r="P521" s="2" t="n"/>
      <c r="Q521" s="2">
        <f>'QBO Transactions'!$T523</f>
        <v/>
      </c>
      <c r="R521" s="2" t="n"/>
      <c r="S521" s="2" t="n"/>
      <c r="T521" s="2" t="n"/>
      <c r="U521" s="2" t="n"/>
      <c r="V521" s="2" t="n"/>
      <c r="W521" s="2" t="n"/>
      <c r="X521" s="2">
        <f>Q521</f>
        <v/>
      </c>
      <c r="Y521" s="4">
        <f>'QBO Transactions'!$Q523</f>
        <v/>
      </c>
      <c r="Z521" s="2" t="n"/>
      <c r="AA521" s="2" t="n"/>
      <c r="AB521" s="2" t="n"/>
      <c r="AC521" s="2" t="n"/>
      <c r="AD521" s="2" t="n"/>
      <c r="AE521" s="2" t="n"/>
    </row>
    <row r="522" ht="12.75" customHeight="1" s="52">
      <c r="A522" s="2" t="n"/>
      <c r="B522" s="2">
        <f>'QBO Transactions'!$U524</f>
        <v/>
      </c>
      <c r="C522" s="3">
        <f>'QBO Transactions'!$S524</f>
        <v/>
      </c>
      <c r="D522" s="2">
        <f>'QBO Transactions'!$R524</f>
        <v/>
      </c>
      <c r="E522" s="2" t="n"/>
      <c r="F522" s="3">
        <f>'QBO Transactions'!$X524</f>
        <v/>
      </c>
      <c r="G522" s="2" t="n"/>
      <c r="H522" s="2" t="n"/>
      <c r="I522" s="2" t="n"/>
      <c r="J522" s="2" t="n"/>
      <c r="K522" s="2" t="n"/>
      <c r="L522" s="2" t="n"/>
      <c r="M522" s="2" t="n"/>
      <c r="N522" s="2">
        <f>'QBO Transactions'!$Y524</f>
        <v/>
      </c>
      <c r="O522" s="2" t="n"/>
      <c r="P522" s="2" t="n"/>
      <c r="Q522" s="2">
        <f>'QBO Transactions'!$T524</f>
        <v/>
      </c>
      <c r="R522" s="2" t="n"/>
      <c r="S522" s="2" t="n"/>
      <c r="T522" s="2" t="n"/>
      <c r="U522" s="2" t="n"/>
      <c r="V522" s="2" t="n"/>
      <c r="W522" s="2" t="n"/>
      <c r="X522" s="2">
        <f>Q522</f>
        <v/>
      </c>
      <c r="Y522" s="4">
        <f>'QBO Transactions'!$Q524</f>
        <v/>
      </c>
      <c r="Z522" s="2" t="n"/>
      <c r="AA522" s="2" t="n"/>
      <c r="AB522" s="2" t="n"/>
      <c r="AC522" s="2" t="n"/>
      <c r="AD522" s="2" t="n"/>
      <c r="AE522" s="2" t="n"/>
    </row>
    <row r="523" ht="12.75" customHeight="1" s="52">
      <c r="A523" s="2" t="n"/>
      <c r="B523" s="2">
        <f>'QBO Transactions'!$U525</f>
        <v/>
      </c>
      <c r="C523" s="3">
        <f>'QBO Transactions'!$S525</f>
        <v/>
      </c>
      <c r="D523" s="2">
        <f>'QBO Transactions'!$R525</f>
        <v/>
      </c>
      <c r="E523" s="2" t="n"/>
      <c r="F523" s="3">
        <f>'QBO Transactions'!$X525</f>
        <v/>
      </c>
      <c r="G523" s="2" t="n"/>
      <c r="H523" s="2" t="n"/>
      <c r="I523" s="2" t="n"/>
      <c r="J523" s="2" t="n"/>
      <c r="K523" s="2" t="n"/>
      <c r="L523" s="2" t="n"/>
      <c r="M523" s="2" t="n"/>
      <c r="N523" s="2">
        <f>'QBO Transactions'!$Y525</f>
        <v/>
      </c>
      <c r="O523" s="2" t="n"/>
      <c r="P523" s="2" t="n"/>
      <c r="Q523" s="2">
        <f>'QBO Transactions'!$T525</f>
        <v/>
      </c>
      <c r="R523" s="2" t="n"/>
      <c r="S523" s="2" t="n"/>
      <c r="T523" s="2" t="n"/>
      <c r="U523" s="2" t="n"/>
      <c r="V523" s="2" t="n"/>
      <c r="W523" s="2" t="n"/>
      <c r="X523" s="2">
        <f>Q523</f>
        <v/>
      </c>
      <c r="Y523" s="4">
        <f>'QBO Transactions'!$Q525</f>
        <v/>
      </c>
      <c r="Z523" s="2" t="n"/>
      <c r="AA523" s="2" t="n"/>
      <c r="AB523" s="2" t="n"/>
      <c r="AC523" s="2" t="n"/>
      <c r="AD523" s="2" t="n"/>
      <c r="AE523" s="2" t="n"/>
    </row>
    <row r="524" ht="12.75" customHeight="1" s="52">
      <c r="A524" s="2" t="n"/>
      <c r="B524" s="2">
        <f>'QBO Transactions'!$U526</f>
        <v/>
      </c>
      <c r="C524" s="3">
        <f>'QBO Transactions'!$S526</f>
        <v/>
      </c>
      <c r="D524" s="2">
        <f>'QBO Transactions'!$R526</f>
        <v/>
      </c>
      <c r="E524" s="2" t="n"/>
      <c r="F524" s="3">
        <f>'QBO Transactions'!$X526</f>
        <v/>
      </c>
      <c r="G524" s="2" t="n"/>
      <c r="H524" s="2" t="n"/>
      <c r="I524" s="2" t="n"/>
      <c r="J524" s="2" t="n"/>
      <c r="K524" s="2" t="n"/>
      <c r="L524" s="2" t="n"/>
      <c r="M524" s="2" t="n"/>
      <c r="N524" s="2">
        <f>'QBO Transactions'!$Y526</f>
        <v/>
      </c>
      <c r="O524" s="2" t="n"/>
      <c r="P524" s="2" t="n"/>
      <c r="Q524" s="2">
        <f>'QBO Transactions'!$T526</f>
        <v/>
      </c>
      <c r="R524" s="2" t="n"/>
      <c r="S524" s="2" t="n"/>
      <c r="T524" s="2" t="n"/>
      <c r="U524" s="2" t="n"/>
      <c r="V524" s="2" t="n"/>
      <c r="W524" s="2" t="n"/>
      <c r="X524" s="2">
        <f>Q524</f>
        <v/>
      </c>
      <c r="Y524" s="4">
        <f>'QBO Transactions'!$Q526</f>
        <v/>
      </c>
      <c r="Z524" s="2" t="n"/>
      <c r="AA524" s="2" t="n"/>
      <c r="AB524" s="2" t="n"/>
      <c r="AC524" s="2" t="n"/>
      <c r="AD524" s="2" t="n"/>
      <c r="AE524" s="2" t="n"/>
    </row>
    <row r="525" ht="12.75" customHeight="1" s="52">
      <c r="A525" s="2" t="n"/>
      <c r="B525" s="2">
        <f>'QBO Transactions'!$U527</f>
        <v/>
      </c>
      <c r="C525" s="3">
        <f>'QBO Transactions'!$S527</f>
        <v/>
      </c>
      <c r="D525" s="2">
        <f>'QBO Transactions'!$R527</f>
        <v/>
      </c>
      <c r="E525" s="2" t="n"/>
      <c r="F525" s="3">
        <f>'QBO Transactions'!$X527</f>
        <v/>
      </c>
      <c r="G525" s="2" t="n"/>
      <c r="H525" s="2" t="n"/>
      <c r="I525" s="2" t="n"/>
      <c r="J525" s="2" t="n"/>
      <c r="K525" s="2" t="n"/>
      <c r="L525" s="2" t="n"/>
      <c r="M525" s="2" t="n"/>
      <c r="N525" s="2">
        <f>'QBO Transactions'!$Y527</f>
        <v/>
      </c>
      <c r="O525" s="2" t="n"/>
      <c r="P525" s="2" t="n"/>
      <c r="Q525" s="2">
        <f>'QBO Transactions'!$T527</f>
        <v/>
      </c>
      <c r="R525" s="2" t="n"/>
      <c r="S525" s="2" t="n"/>
      <c r="T525" s="2" t="n"/>
      <c r="U525" s="2" t="n"/>
      <c r="V525" s="2" t="n"/>
      <c r="W525" s="2" t="n"/>
      <c r="X525" s="2">
        <f>Q525</f>
        <v/>
      </c>
      <c r="Y525" s="4">
        <f>'QBO Transactions'!$Q527</f>
        <v/>
      </c>
      <c r="Z525" s="2" t="n"/>
      <c r="AA525" s="2" t="n"/>
      <c r="AB525" s="2" t="n"/>
      <c r="AC525" s="2" t="n"/>
      <c r="AD525" s="2" t="n"/>
      <c r="AE525" s="2" t="n"/>
    </row>
    <row r="526" ht="12.75" customHeight="1" s="52">
      <c r="A526" s="2" t="n"/>
      <c r="B526" s="2">
        <f>'QBO Transactions'!$U528</f>
        <v/>
      </c>
      <c r="C526" s="3">
        <f>'QBO Transactions'!$S528</f>
        <v/>
      </c>
      <c r="D526" s="2">
        <f>'QBO Transactions'!$R528</f>
        <v/>
      </c>
      <c r="E526" s="2" t="n"/>
      <c r="F526" s="3">
        <f>'QBO Transactions'!$X528</f>
        <v/>
      </c>
      <c r="G526" s="2" t="n"/>
      <c r="H526" s="2" t="n"/>
      <c r="I526" s="2" t="n"/>
      <c r="J526" s="2" t="n"/>
      <c r="K526" s="2" t="n"/>
      <c r="L526" s="2" t="n"/>
      <c r="M526" s="2" t="n"/>
      <c r="N526" s="2">
        <f>'QBO Transactions'!$Y528</f>
        <v/>
      </c>
      <c r="O526" s="2" t="n"/>
      <c r="P526" s="2" t="n"/>
      <c r="Q526" s="2">
        <f>'QBO Transactions'!$T528</f>
        <v/>
      </c>
      <c r="R526" s="2" t="n"/>
      <c r="S526" s="2" t="n"/>
      <c r="T526" s="2" t="n"/>
      <c r="U526" s="2" t="n"/>
      <c r="V526" s="2" t="n"/>
      <c r="W526" s="2" t="n"/>
      <c r="X526" s="2">
        <f>Q526</f>
        <v/>
      </c>
      <c r="Y526" s="4">
        <f>'QBO Transactions'!$Q528</f>
        <v/>
      </c>
      <c r="Z526" s="2" t="n"/>
      <c r="AA526" s="2" t="n"/>
      <c r="AB526" s="2" t="n"/>
      <c r="AC526" s="2" t="n"/>
      <c r="AD526" s="2" t="n"/>
      <c r="AE526" s="2" t="n"/>
    </row>
    <row r="527" ht="12.75" customHeight="1" s="52">
      <c r="A527" s="2" t="n"/>
      <c r="B527" s="2">
        <f>'QBO Transactions'!$U529</f>
        <v/>
      </c>
      <c r="C527" s="3">
        <f>'QBO Transactions'!$S529</f>
        <v/>
      </c>
      <c r="D527" s="2">
        <f>'QBO Transactions'!$R529</f>
        <v/>
      </c>
      <c r="E527" s="2" t="n"/>
      <c r="F527" s="3">
        <f>'QBO Transactions'!$X529</f>
        <v/>
      </c>
      <c r="G527" s="2" t="n"/>
      <c r="H527" s="2" t="n"/>
      <c r="I527" s="2" t="n"/>
      <c r="J527" s="2" t="n"/>
      <c r="K527" s="2" t="n"/>
      <c r="L527" s="2" t="n"/>
      <c r="M527" s="2" t="n"/>
      <c r="N527" s="2">
        <f>'QBO Transactions'!$Y529</f>
        <v/>
      </c>
      <c r="O527" s="2" t="n"/>
      <c r="P527" s="2" t="n"/>
      <c r="Q527" s="2">
        <f>'QBO Transactions'!$T529</f>
        <v/>
      </c>
      <c r="R527" s="2" t="n"/>
      <c r="S527" s="2" t="n"/>
      <c r="T527" s="2" t="n"/>
      <c r="U527" s="2" t="n"/>
      <c r="V527" s="2" t="n"/>
      <c r="W527" s="2" t="n"/>
      <c r="X527" s="2">
        <f>Q527</f>
        <v/>
      </c>
      <c r="Y527" s="4">
        <f>'QBO Transactions'!$Q529</f>
        <v/>
      </c>
      <c r="Z527" s="2" t="n"/>
      <c r="AA527" s="2" t="n"/>
      <c r="AB527" s="2" t="n"/>
      <c r="AC527" s="2" t="n"/>
      <c r="AD527" s="2" t="n"/>
      <c r="AE527" s="2" t="n"/>
    </row>
    <row r="528" ht="12.75" customHeight="1" s="52">
      <c r="A528" s="2" t="n"/>
      <c r="B528" s="2">
        <f>'QBO Transactions'!$U530</f>
        <v/>
      </c>
      <c r="C528" s="3">
        <f>'QBO Transactions'!$S530</f>
        <v/>
      </c>
      <c r="D528" s="2">
        <f>'QBO Transactions'!$R530</f>
        <v/>
      </c>
      <c r="E528" s="2" t="n"/>
      <c r="F528" s="3">
        <f>'QBO Transactions'!$X530</f>
        <v/>
      </c>
      <c r="G528" s="2" t="n"/>
      <c r="H528" s="2" t="n"/>
      <c r="I528" s="2" t="n"/>
      <c r="J528" s="2" t="n"/>
      <c r="K528" s="2" t="n"/>
      <c r="L528" s="2" t="n"/>
      <c r="M528" s="2" t="n"/>
      <c r="N528" s="2">
        <f>'QBO Transactions'!$Y530</f>
        <v/>
      </c>
      <c r="O528" s="2" t="n"/>
      <c r="P528" s="2" t="n"/>
      <c r="Q528" s="2">
        <f>'QBO Transactions'!$T530</f>
        <v/>
      </c>
      <c r="R528" s="2" t="n"/>
      <c r="S528" s="2" t="n"/>
      <c r="T528" s="2" t="n"/>
      <c r="U528" s="2" t="n"/>
      <c r="V528" s="2" t="n"/>
      <c r="W528" s="2" t="n"/>
      <c r="X528" s="2">
        <f>Q528</f>
        <v/>
      </c>
      <c r="Y528" s="4">
        <f>'QBO Transactions'!$Q530</f>
        <v/>
      </c>
      <c r="Z528" s="2" t="n"/>
      <c r="AA528" s="2" t="n"/>
      <c r="AB528" s="2" t="n"/>
      <c r="AC528" s="2" t="n"/>
      <c r="AD528" s="2" t="n"/>
      <c r="AE528" s="2" t="n"/>
    </row>
    <row r="529" ht="12.75" customHeight="1" s="52">
      <c r="A529" s="2" t="n"/>
      <c r="B529" s="2">
        <f>'QBO Transactions'!$U531</f>
        <v/>
      </c>
      <c r="C529" s="3">
        <f>'QBO Transactions'!$S531</f>
        <v/>
      </c>
      <c r="D529" s="2">
        <f>'QBO Transactions'!$R531</f>
        <v/>
      </c>
      <c r="E529" s="2" t="n"/>
      <c r="F529" s="3">
        <f>'QBO Transactions'!$X531</f>
        <v/>
      </c>
      <c r="G529" s="2" t="n"/>
      <c r="H529" s="2" t="n"/>
      <c r="I529" s="2" t="n"/>
      <c r="J529" s="2" t="n"/>
      <c r="K529" s="2" t="n"/>
      <c r="L529" s="2" t="n"/>
      <c r="M529" s="2" t="n"/>
      <c r="N529" s="2">
        <f>'QBO Transactions'!$Y531</f>
        <v/>
      </c>
      <c r="O529" s="2" t="n"/>
      <c r="P529" s="2" t="n"/>
      <c r="Q529" s="2">
        <f>'QBO Transactions'!$T531</f>
        <v/>
      </c>
      <c r="R529" s="2" t="n"/>
      <c r="S529" s="2" t="n"/>
      <c r="T529" s="2" t="n"/>
      <c r="U529" s="2" t="n"/>
      <c r="V529" s="2" t="n"/>
      <c r="W529" s="2" t="n"/>
      <c r="X529" s="2">
        <f>Q529</f>
        <v/>
      </c>
      <c r="Y529" s="4">
        <f>'QBO Transactions'!$Q531</f>
        <v/>
      </c>
      <c r="Z529" s="2" t="n"/>
      <c r="AA529" s="2" t="n"/>
      <c r="AB529" s="2" t="n"/>
      <c r="AC529" s="2" t="n"/>
      <c r="AD529" s="2" t="n"/>
      <c r="AE529" s="2" t="n"/>
    </row>
    <row r="530" ht="12.75" customHeight="1" s="52">
      <c r="A530" s="2" t="n"/>
      <c r="B530" s="2">
        <f>'QBO Transactions'!$U532</f>
        <v/>
      </c>
      <c r="C530" s="3">
        <f>'QBO Transactions'!$S532</f>
        <v/>
      </c>
      <c r="D530" s="2">
        <f>'QBO Transactions'!$R532</f>
        <v/>
      </c>
      <c r="E530" s="2" t="n"/>
      <c r="F530" s="3">
        <f>'QBO Transactions'!$X532</f>
        <v/>
      </c>
      <c r="G530" s="2" t="n"/>
      <c r="H530" s="2" t="n"/>
      <c r="I530" s="2" t="n"/>
      <c r="J530" s="2" t="n"/>
      <c r="K530" s="2" t="n"/>
      <c r="L530" s="2" t="n"/>
      <c r="M530" s="2" t="n"/>
      <c r="N530" s="2">
        <f>'QBO Transactions'!$Y532</f>
        <v/>
      </c>
      <c r="O530" s="2" t="n"/>
      <c r="P530" s="2" t="n"/>
      <c r="Q530" s="2">
        <f>'QBO Transactions'!$T532</f>
        <v/>
      </c>
      <c r="R530" s="2" t="n"/>
      <c r="S530" s="2" t="n"/>
      <c r="T530" s="2" t="n"/>
      <c r="U530" s="2" t="n"/>
      <c r="V530" s="2" t="n"/>
      <c r="W530" s="2" t="n"/>
      <c r="X530" s="2">
        <f>Q530</f>
        <v/>
      </c>
      <c r="Y530" s="4">
        <f>'QBO Transactions'!$Q532</f>
        <v/>
      </c>
      <c r="Z530" s="2" t="n"/>
      <c r="AA530" s="2" t="n"/>
      <c r="AB530" s="2" t="n"/>
      <c r="AC530" s="2" t="n"/>
      <c r="AD530" s="2" t="n"/>
      <c r="AE530" s="2" t="n"/>
    </row>
    <row r="531" ht="12.75" customHeight="1" s="52">
      <c r="A531" s="2" t="n"/>
      <c r="B531" s="2">
        <f>'QBO Transactions'!$U533</f>
        <v/>
      </c>
      <c r="C531" s="3">
        <f>'QBO Transactions'!$S533</f>
        <v/>
      </c>
      <c r="D531" s="2">
        <f>'QBO Transactions'!$R533</f>
        <v/>
      </c>
      <c r="E531" s="2" t="n"/>
      <c r="F531" s="3">
        <f>'QBO Transactions'!$X533</f>
        <v/>
      </c>
      <c r="G531" s="2" t="n"/>
      <c r="H531" s="2" t="n"/>
      <c r="I531" s="2" t="n"/>
      <c r="J531" s="2" t="n"/>
      <c r="K531" s="2" t="n"/>
      <c r="L531" s="2" t="n"/>
      <c r="M531" s="2" t="n"/>
      <c r="N531" s="2">
        <f>'QBO Transactions'!$Y533</f>
        <v/>
      </c>
      <c r="O531" s="2" t="n"/>
      <c r="P531" s="2" t="n"/>
      <c r="Q531" s="2">
        <f>'QBO Transactions'!$T533</f>
        <v/>
      </c>
      <c r="R531" s="2" t="n"/>
      <c r="S531" s="2" t="n"/>
      <c r="T531" s="2" t="n"/>
      <c r="U531" s="2" t="n"/>
      <c r="V531" s="2" t="n"/>
      <c r="W531" s="2" t="n"/>
      <c r="X531" s="2">
        <f>Q531</f>
        <v/>
      </c>
      <c r="Y531" s="4">
        <f>'QBO Transactions'!$Q533</f>
        <v/>
      </c>
      <c r="Z531" s="2" t="n"/>
      <c r="AA531" s="2" t="n"/>
      <c r="AB531" s="2" t="n"/>
      <c r="AC531" s="2" t="n"/>
      <c r="AD531" s="2" t="n"/>
      <c r="AE531" s="2" t="n"/>
    </row>
    <row r="532" ht="12.75" customHeight="1" s="52">
      <c r="A532" s="2" t="n"/>
      <c r="B532" s="2">
        <f>'QBO Transactions'!$U534</f>
        <v/>
      </c>
      <c r="C532" s="3">
        <f>'QBO Transactions'!$S534</f>
        <v/>
      </c>
      <c r="D532" s="2">
        <f>'QBO Transactions'!$R534</f>
        <v/>
      </c>
      <c r="E532" s="2" t="n"/>
      <c r="F532" s="3">
        <f>'QBO Transactions'!$X534</f>
        <v/>
      </c>
      <c r="G532" s="2" t="n"/>
      <c r="H532" s="2" t="n"/>
      <c r="I532" s="2" t="n"/>
      <c r="J532" s="2" t="n"/>
      <c r="K532" s="2" t="n"/>
      <c r="L532" s="2" t="n"/>
      <c r="M532" s="2" t="n"/>
      <c r="N532" s="2">
        <f>'QBO Transactions'!$Y534</f>
        <v/>
      </c>
      <c r="O532" s="2" t="n"/>
      <c r="P532" s="2" t="n"/>
      <c r="Q532" s="2">
        <f>'QBO Transactions'!$T534</f>
        <v/>
      </c>
      <c r="R532" s="2" t="n"/>
      <c r="S532" s="2" t="n"/>
      <c r="T532" s="2" t="n"/>
      <c r="U532" s="2" t="n"/>
      <c r="V532" s="2" t="n"/>
      <c r="W532" s="2" t="n"/>
      <c r="X532" s="2">
        <f>Q532</f>
        <v/>
      </c>
      <c r="Y532" s="4">
        <f>'QBO Transactions'!$Q534</f>
        <v/>
      </c>
      <c r="Z532" s="2" t="n"/>
      <c r="AA532" s="2" t="n"/>
      <c r="AB532" s="2" t="n"/>
      <c r="AC532" s="2" t="n"/>
      <c r="AD532" s="2" t="n"/>
      <c r="AE532" s="2" t="n"/>
    </row>
    <row r="533" ht="12.75" customHeight="1" s="52">
      <c r="A533" s="2" t="n"/>
      <c r="B533" s="2">
        <f>'QBO Transactions'!$U535</f>
        <v/>
      </c>
      <c r="C533" s="3">
        <f>'QBO Transactions'!$S535</f>
        <v/>
      </c>
      <c r="D533" s="2">
        <f>'QBO Transactions'!$R535</f>
        <v/>
      </c>
      <c r="E533" s="2" t="n"/>
      <c r="F533" s="3">
        <f>'QBO Transactions'!$X535</f>
        <v/>
      </c>
      <c r="G533" s="2" t="n"/>
      <c r="H533" s="2" t="n"/>
      <c r="I533" s="2" t="n"/>
      <c r="J533" s="2" t="n"/>
      <c r="K533" s="2" t="n"/>
      <c r="L533" s="2" t="n"/>
      <c r="M533" s="2" t="n"/>
      <c r="N533" s="2">
        <f>'QBO Transactions'!$Y535</f>
        <v/>
      </c>
      <c r="O533" s="2" t="n"/>
      <c r="P533" s="2" t="n"/>
      <c r="Q533" s="2">
        <f>'QBO Transactions'!$T535</f>
        <v/>
      </c>
      <c r="R533" s="2" t="n"/>
      <c r="S533" s="2" t="n"/>
      <c r="T533" s="2" t="n"/>
      <c r="U533" s="2" t="n"/>
      <c r="V533" s="2" t="n"/>
      <c r="W533" s="2" t="n"/>
      <c r="X533" s="2">
        <f>Q533</f>
        <v/>
      </c>
      <c r="Y533" s="4">
        <f>'QBO Transactions'!$Q535</f>
        <v/>
      </c>
      <c r="Z533" s="2" t="n"/>
      <c r="AA533" s="2" t="n"/>
      <c r="AB533" s="2" t="n"/>
      <c r="AC533" s="2" t="n"/>
      <c r="AD533" s="2" t="n"/>
      <c r="AE533" s="2" t="n"/>
    </row>
    <row r="534" ht="12.75" customHeight="1" s="52">
      <c r="A534" s="2" t="n"/>
      <c r="B534" s="2">
        <f>'QBO Transactions'!$U536</f>
        <v/>
      </c>
      <c r="C534" s="3">
        <f>'QBO Transactions'!$S536</f>
        <v/>
      </c>
      <c r="D534" s="2">
        <f>'QBO Transactions'!$R536</f>
        <v/>
      </c>
      <c r="E534" s="2" t="n"/>
      <c r="F534" s="3">
        <f>'QBO Transactions'!$X536</f>
        <v/>
      </c>
      <c r="G534" s="2" t="n"/>
      <c r="H534" s="2" t="n"/>
      <c r="I534" s="2" t="n"/>
      <c r="J534" s="2" t="n"/>
      <c r="K534" s="2" t="n"/>
      <c r="L534" s="2" t="n"/>
      <c r="M534" s="2" t="n"/>
      <c r="N534" s="2">
        <f>'QBO Transactions'!$Y536</f>
        <v/>
      </c>
      <c r="O534" s="2" t="n"/>
      <c r="P534" s="2" t="n"/>
      <c r="Q534" s="2">
        <f>'QBO Transactions'!$T536</f>
        <v/>
      </c>
      <c r="R534" s="2" t="n"/>
      <c r="S534" s="2" t="n"/>
      <c r="T534" s="2" t="n"/>
      <c r="U534" s="2" t="n"/>
      <c r="V534" s="2" t="n"/>
      <c r="W534" s="2" t="n"/>
      <c r="X534" s="2">
        <f>Q534</f>
        <v/>
      </c>
      <c r="Y534" s="4">
        <f>'QBO Transactions'!$Q536</f>
        <v/>
      </c>
      <c r="Z534" s="2" t="n"/>
      <c r="AA534" s="2" t="n"/>
      <c r="AB534" s="2" t="n"/>
      <c r="AC534" s="2" t="n"/>
      <c r="AD534" s="2" t="n"/>
      <c r="AE534" s="2" t="n"/>
    </row>
    <row r="535" ht="12.75" customHeight="1" s="52">
      <c r="A535" s="2" t="n"/>
      <c r="B535" s="2">
        <f>'QBO Transactions'!$U537</f>
        <v/>
      </c>
      <c r="C535" s="3">
        <f>'QBO Transactions'!$S537</f>
        <v/>
      </c>
      <c r="D535" s="2">
        <f>'QBO Transactions'!$R537</f>
        <v/>
      </c>
      <c r="E535" s="2" t="n"/>
      <c r="F535" s="3">
        <f>'QBO Transactions'!$X537</f>
        <v/>
      </c>
      <c r="G535" s="2" t="n"/>
      <c r="H535" s="2" t="n"/>
      <c r="I535" s="2" t="n"/>
      <c r="J535" s="2" t="n"/>
      <c r="K535" s="2" t="n"/>
      <c r="L535" s="2" t="n"/>
      <c r="M535" s="2" t="n"/>
      <c r="N535" s="2">
        <f>'QBO Transactions'!$Y537</f>
        <v/>
      </c>
      <c r="O535" s="2" t="n"/>
      <c r="P535" s="2" t="n"/>
      <c r="Q535" s="2">
        <f>'QBO Transactions'!$T537</f>
        <v/>
      </c>
      <c r="R535" s="2" t="n"/>
      <c r="S535" s="2" t="n"/>
      <c r="T535" s="2" t="n"/>
      <c r="U535" s="2" t="n"/>
      <c r="V535" s="2" t="n"/>
      <c r="W535" s="2" t="n"/>
      <c r="X535" s="2">
        <f>Q535</f>
        <v/>
      </c>
      <c r="Y535" s="4">
        <f>'QBO Transactions'!$Q537</f>
        <v/>
      </c>
      <c r="Z535" s="2" t="n"/>
      <c r="AA535" s="2" t="n"/>
      <c r="AB535" s="2" t="n"/>
      <c r="AC535" s="2" t="n"/>
      <c r="AD535" s="2" t="n"/>
      <c r="AE535" s="2" t="n"/>
    </row>
    <row r="536" ht="12.75" customHeight="1" s="52">
      <c r="A536" s="2" t="n"/>
      <c r="B536" s="2">
        <f>'QBO Transactions'!$U538</f>
        <v/>
      </c>
      <c r="C536" s="3">
        <f>'QBO Transactions'!$S538</f>
        <v/>
      </c>
      <c r="D536" s="2">
        <f>'QBO Transactions'!$R538</f>
        <v/>
      </c>
      <c r="E536" s="2" t="n"/>
      <c r="F536" s="3">
        <f>'QBO Transactions'!$X538</f>
        <v/>
      </c>
      <c r="G536" s="2" t="n"/>
      <c r="H536" s="2" t="n"/>
      <c r="I536" s="2" t="n"/>
      <c r="J536" s="2" t="n"/>
      <c r="K536" s="2" t="n"/>
      <c r="L536" s="2" t="n"/>
      <c r="M536" s="2" t="n"/>
      <c r="N536" s="2">
        <f>'QBO Transactions'!$Y538</f>
        <v/>
      </c>
      <c r="O536" s="2" t="n"/>
      <c r="P536" s="2" t="n"/>
      <c r="Q536" s="2">
        <f>'QBO Transactions'!$T538</f>
        <v/>
      </c>
      <c r="R536" s="2" t="n"/>
      <c r="S536" s="2" t="n"/>
      <c r="T536" s="2" t="n"/>
      <c r="U536" s="2" t="n"/>
      <c r="V536" s="2" t="n"/>
      <c r="W536" s="2" t="n"/>
      <c r="X536" s="2">
        <f>Q536</f>
        <v/>
      </c>
      <c r="Y536" s="4">
        <f>'QBO Transactions'!$Q538</f>
        <v/>
      </c>
      <c r="Z536" s="2" t="n"/>
      <c r="AA536" s="2" t="n"/>
      <c r="AB536" s="2" t="n"/>
      <c r="AC536" s="2" t="n"/>
      <c r="AD536" s="2" t="n"/>
      <c r="AE536" s="2" t="n"/>
    </row>
    <row r="537" ht="12.75" customHeight="1" s="52">
      <c r="A537" s="2" t="n"/>
      <c r="B537" s="2">
        <f>'QBO Transactions'!$U539</f>
        <v/>
      </c>
      <c r="C537" s="3">
        <f>'QBO Transactions'!$S539</f>
        <v/>
      </c>
      <c r="D537" s="2">
        <f>'QBO Transactions'!$R539</f>
        <v/>
      </c>
      <c r="E537" s="2" t="n"/>
      <c r="F537" s="3">
        <f>'QBO Transactions'!$X539</f>
        <v/>
      </c>
      <c r="G537" s="2" t="n"/>
      <c r="H537" s="2" t="n"/>
      <c r="I537" s="2" t="n"/>
      <c r="J537" s="2" t="n"/>
      <c r="K537" s="2" t="n"/>
      <c r="L537" s="2" t="n"/>
      <c r="M537" s="2" t="n"/>
      <c r="N537" s="2">
        <f>'QBO Transactions'!$Y539</f>
        <v/>
      </c>
      <c r="O537" s="2" t="n"/>
      <c r="P537" s="2" t="n"/>
      <c r="Q537" s="2">
        <f>'QBO Transactions'!$T539</f>
        <v/>
      </c>
      <c r="R537" s="2" t="n"/>
      <c r="S537" s="2" t="n"/>
      <c r="T537" s="2" t="n"/>
      <c r="U537" s="2" t="n"/>
      <c r="V537" s="2" t="n"/>
      <c r="W537" s="2" t="n"/>
      <c r="X537" s="2">
        <f>Q537</f>
        <v/>
      </c>
      <c r="Y537" s="4">
        <f>'QBO Transactions'!$Q539</f>
        <v/>
      </c>
      <c r="Z537" s="2" t="n"/>
      <c r="AA537" s="2" t="n"/>
      <c r="AB537" s="2" t="n"/>
      <c r="AC537" s="2" t="n"/>
      <c r="AD537" s="2" t="n"/>
      <c r="AE537" s="2" t="n"/>
    </row>
    <row r="538" ht="12.75" customHeight="1" s="52">
      <c r="A538" s="2" t="n"/>
      <c r="B538" s="2">
        <f>'QBO Transactions'!$U540</f>
        <v/>
      </c>
      <c r="C538" s="3">
        <f>'QBO Transactions'!$S540</f>
        <v/>
      </c>
      <c r="D538" s="2">
        <f>'QBO Transactions'!$R540</f>
        <v/>
      </c>
      <c r="E538" s="2" t="n"/>
      <c r="F538" s="3">
        <f>'QBO Transactions'!$X540</f>
        <v/>
      </c>
      <c r="G538" s="2" t="n"/>
      <c r="H538" s="2" t="n"/>
      <c r="I538" s="2" t="n"/>
      <c r="J538" s="2" t="n"/>
      <c r="K538" s="2" t="n"/>
      <c r="L538" s="2" t="n"/>
      <c r="M538" s="2" t="n"/>
      <c r="N538" s="2">
        <f>'QBO Transactions'!$Y540</f>
        <v/>
      </c>
      <c r="O538" s="2" t="n"/>
      <c r="P538" s="2" t="n"/>
      <c r="Q538" s="2">
        <f>'QBO Transactions'!$T540</f>
        <v/>
      </c>
      <c r="R538" s="2" t="n"/>
      <c r="S538" s="2" t="n"/>
      <c r="T538" s="2" t="n"/>
      <c r="U538" s="2" t="n"/>
      <c r="V538" s="2" t="n"/>
      <c r="W538" s="2" t="n"/>
      <c r="X538" s="2">
        <f>Q538</f>
        <v/>
      </c>
      <c r="Y538" s="4">
        <f>'QBO Transactions'!$Q540</f>
        <v/>
      </c>
      <c r="Z538" s="2" t="n"/>
      <c r="AA538" s="2" t="n"/>
      <c r="AB538" s="2" t="n"/>
      <c r="AC538" s="2" t="n"/>
      <c r="AD538" s="2" t="n"/>
      <c r="AE538" s="2" t="n"/>
    </row>
    <row r="539" ht="12.75" customHeight="1" s="52">
      <c r="A539" s="2" t="n"/>
      <c r="B539" s="2">
        <f>'QBO Transactions'!$U541</f>
        <v/>
      </c>
      <c r="C539" s="3">
        <f>'QBO Transactions'!$S541</f>
        <v/>
      </c>
      <c r="D539" s="2">
        <f>'QBO Transactions'!$R541</f>
        <v/>
      </c>
      <c r="E539" s="2" t="n"/>
      <c r="F539" s="3">
        <f>'QBO Transactions'!$X541</f>
        <v/>
      </c>
      <c r="G539" s="2" t="n"/>
      <c r="H539" s="2" t="n"/>
      <c r="I539" s="2" t="n"/>
      <c r="J539" s="2" t="n"/>
      <c r="K539" s="2" t="n"/>
      <c r="L539" s="2" t="n"/>
      <c r="M539" s="2" t="n"/>
      <c r="N539" s="2">
        <f>'QBO Transactions'!$Y541</f>
        <v/>
      </c>
      <c r="O539" s="2" t="n"/>
      <c r="P539" s="2" t="n"/>
      <c r="Q539" s="2">
        <f>'QBO Transactions'!$T541</f>
        <v/>
      </c>
      <c r="R539" s="2" t="n"/>
      <c r="S539" s="2" t="n"/>
      <c r="T539" s="2" t="n"/>
      <c r="U539" s="2" t="n"/>
      <c r="V539" s="2" t="n"/>
      <c r="W539" s="2" t="n"/>
      <c r="X539" s="2">
        <f>Q539</f>
        <v/>
      </c>
      <c r="Y539" s="4">
        <f>'QBO Transactions'!$Q541</f>
        <v/>
      </c>
      <c r="Z539" s="2" t="n"/>
      <c r="AA539" s="2" t="n"/>
      <c r="AB539" s="2" t="n"/>
      <c r="AC539" s="2" t="n"/>
      <c r="AD539" s="2" t="n"/>
      <c r="AE539" s="2" t="n"/>
    </row>
    <row r="540" ht="12.75" customHeight="1" s="52">
      <c r="A540" s="2" t="n"/>
      <c r="B540" s="2">
        <f>'QBO Transactions'!$U542</f>
        <v/>
      </c>
      <c r="C540" s="3">
        <f>'QBO Transactions'!$S542</f>
        <v/>
      </c>
      <c r="D540" s="2">
        <f>'QBO Transactions'!$R542</f>
        <v/>
      </c>
      <c r="E540" s="2" t="n"/>
      <c r="F540" s="3">
        <f>'QBO Transactions'!$X542</f>
        <v/>
      </c>
      <c r="G540" s="2" t="n"/>
      <c r="H540" s="2" t="n"/>
      <c r="I540" s="2" t="n"/>
      <c r="J540" s="2" t="n"/>
      <c r="K540" s="2" t="n"/>
      <c r="L540" s="2" t="n"/>
      <c r="M540" s="2" t="n"/>
      <c r="N540" s="2">
        <f>'QBO Transactions'!$Y542</f>
        <v/>
      </c>
      <c r="O540" s="2" t="n"/>
      <c r="P540" s="2" t="n"/>
      <c r="Q540" s="2">
        <f>'QBO Transactions'!$T542</f>
        <v/>
      </c>
      <c r="R540" s="2" t="n"/>
      <c r="S540" s="2" t="n"/>
      <c r="T540" s="2" t="n"/>
      <c r="U540" s="2" t="n"/>
      <c r="V540" s="2" t="n"/>
      <c r="W540" s="2" t="n"/>
      <c r="X540" s="2">
        <f>Q540</f>
        <v/>
      </c>
      <c r="Y540" s="4">
        <f>'QBO Transactions'!$Q542</f>
        <v/>
      </c>
      <c r="Z540" s="2" t="n"/>
      <c r="AA540" s="2" t="n"/>
      <c r="AB540" s="2" t="n"/>
      <c r="AC540" s="2" t="n"/>
      <c r="AD540" s="2" t="n"/>
      <c r="AE540" s="2" t="n"/>
    </row>
    <row r="541" ht="12.75" customHeight="1" s="52">
      <c r="A541" s="2" t="n"/>
      <c r="B541" s="2">
        <f>'QBO Transactions'!$U543</f>
        <v/>
      </c>
      <c r="C541" s="3">
        <f>'QBO Transactions'!$S543</f>
        <v/>
      </c>
      <c r="D541" s="2">
        <f>'QBO Transactions'!$R543</f>
        <v/>
      </c>
      <c r="E541" s="2" t="n"/>
      <c r="F541" s="3">
        <f>'QBO Transactions'!$X543</f>
        <v/>
      </c>
      <c r="G541" s="2" t="n"/>
      <c r="H541" s="2" t="n"/>
      <c r="I541" s="2" t="n"/>
      <c r="J541" s="2" t="n"/>
      <c r="K541" s="2" t="n"/>
      <c r="L541" s="2" t="n"/>
      <c r="M541" s="2" t="n"/>
      <c r="N541" s="2">
        <f>'QBO Transactions'!$Y543</f>
        <v/>
      </c>
      <c r="O541" s="2" t="n"/>
      <c r="P541" s="2" t="n"/>
      <c r="Q541" s="2">
        <f>'QBO Transactions'!$T543</f>
        <v/>
      </c>
      <c r="R541" s="2" t="n"/>
      <c r="S541" s="2" t="n"/>
      <c r="T541" s="2" t="n"/>
      <c r="U541" s="2" t="n"/>
      <c r="V541" s="2" t="n"/>
      <c r="W541" s="2" t="n"/>
      <c r="X541" s="2">
        <f>Q541</f>
        <v/>
      </c>
      <c r="Y541" s="4">
        <f>'QBO Transactions'!$Q543</f>
        <v/>
      </c>
      <c r="Z541" s="2" t="n"/>
      <c r="AA541" s="2" t="n"/>
      <c r="AB541" s="2" t="n"/>
      <c r="AC541" s="2" t="n"/>
      <c r="AD541" s="2" t="n"/>
      <c r="AE541" s="2" t="n"/>
    </row>
    <row r="542" ht="12.75" customHeight="1" s="52">
      <c r="A542" s="2" t="n"/>
      <c r="B542" s="2">
        <f>'QBO Transactions'!$U544</f>
        <v/>
      </c>
      <c r="C542" s="3">
        <f>'QBO Transactions'!$S544</f>
        <v/>
      </c>
      <c r="D542" s="2">
        <f>'QBO Transactions'!$R544</f>
        <v/>
      </c>
      <c r="E542" s="2" t="n"/>
      <c r="F542" s="3">
        <f>'QBO Transactions'!$X544</f>
        <v/>
      </c>
      <c r="G542" s="2" t="n"/>
      <c r="H542" s="2" t="n"/>
      <c r="I542" s="2" t="n"/>
      <c r="J542" s="2" t="n"/>
      <c r="K542" s="2" t="n"/>
      <c r="L542" s="2" t="n"/>
      <c r="M542" s="2" t="n"/>
      <c r="N542" s="2">
        <f>'QBO Transactions'!$Y544</f>
        <v/>
      </c>
      <c r="O542" s="2" t="n"/>
      <c r="P542" s="2" t="n"/>
      <c r="Q542" s="2">
        <f>'QBO Transactions'!$T544</f>
        <v/>
      </c>
      <c r="R542" s="2" t="n"/>
      <c r="S542" s="2" t="n"/>
      <c r="T542" s="2" t="n"/>
      <c r="U542" s="2" t="n"/>
      <c r="V542" s="2" t="n"/>
      <c r="W542" s="2" t="n"/>
      <c r="X542" s="2">
        <f>Q542</f>
        <v/>
      </c>
      <c r="Y542" s="4">
        <f>'QBO Transactions'!$Q544</f>
        <v/>
      </c>
      <c r="Z542" s="2" t="n"/>
      <c r="AA542" s="2" t="n"/>
      <c r="AB542" s="2" t="n"/>
      <c r="AC542" s="2" t="n"/>
      <c r="AD542" s="2" t="n"/>
      <c r="AE542" s="2" t="n"/>
    </row>
    <row r="543" ht="12.75" customHeight="1" s="52">
      <c r="A543" s="2" t="n"/>
      <c r="B543" s="2">
        <f>'QBO Transactions'!$U545</f>
        <v/>
      </c>
      <c r="C543" s="3">
        <f>'QBO Transactions'!$S545</f>
        <v/>
      </c>
      <c r="D543" s="2">
        <f>'QBO Transactions'!$R545</f>
        <v/>
      </c>
      <c r="E543" s="2" t="n"/>
      <c r="F543" s="3">
        <f>'QBO Transactions'!$X545</f>
        <v/>
      </c>
      <c r="G543" s="2" t="n"/>
      <c r="H543" s="2" t="n"/>
      <c r="I543" s="2" t="n"/>
      <c r="J543" s="2" t="n"/>
      <c r="K543" s="2" t="n"/>
      <c r="L543" s="2" t="n"/>
      <c r="M543" s="2" t="n"/>
      <c r="N543" s="2">
        <f>'QBO Transactions'!$Y545</f>
        <v/>
      </c>
      <c r="O543" s="2" t="n"/>
      <c r="P543" s="2" t="n"/>
      <c r="Q543" s="2">
        <f>'QBO Transactions'!$T545</f>
        <v/>
      </c>
      <c r="R543" s="2" t="n"/>
      <c r="S543" s="2" t="n"/>
      <c r="T543" s="2" t="n"/>
      <c r="U543" s="2" t="n"/>
      <c r="V543" s="2" t="n"/>
      <c r="W543" s="2" t="n"/>
      <c r="X543" s="2">
        <f>Q543</f>
        <v/>
      </c>
      <c r="Y543" s="4">
        <f>'QBO Transactions'!$Q545</f>
        <v/>
      </c>
      <c r="Z543" s="2" t="n"/>
      <c r="AA543" s="2" t="n"/>
      <c r="AB543" s="2" t="n"/>
      <c r="AC543" s="2" t="n"/>
      <c r="AD543" s="2" t="n"/>
      <c r="AE543" s="2" t="n"/>
    </row>
    <row r="544" ht="12.75" customHeight="1" s="52">
      <c r="A544" s="2" t="n"/>
      <c r="B544" s="2">
        <f>'QBO Transactions'!$U546</f>
        <v/>
      </c>
      <c r="C544" s="3">
        <f>'QBO Transactions'!$S546</f>
        <v/>
      </c>
      <c r="D544" s="2">
        <f>'QBO Transactions'!$R546</f>
        <v/>
      </c>
      <c r="E544" s="2" t="n"/>
      <c r="F544" s="3">
        <f>'QBO Transactions'!$X546</f>
        <v/>
      </c>
      <c r="G544" s="2" t="n"/>
      <c r="H544" s="2" t="n"/>
      <c r="I544" s="2" t="n"/>
      <c r="J544" s="2" t="n"/>
      <c r="K544" s="2" t="n"/>
      <c r="L544" s="2" t="n"/>
      <c r="M544" s="2" t="n"/>
      <c r="N544" s="2">
        <f>'QBO Transactions'!$Y546</f>
        <v/>
      </c>
      <c r="O544" s="2" t="n"/>
      <c r="P544" s="2" t="n"/>
      <c r="Q544" s="2">
        <f>'QBO Transactions'!$T546</f>
        <v/>
      </c>
      <c r="R544" s="2" t="n"/>
      <c r="S544" s="2" t="n"/>
      <c r="T544" s="2" t="n"/>
      <c r="U544" s="2" t="n"/>
      <c r="V544" s="2" t="n"/>
      <c r="W544" s="2" t="n"/>
      <c r="X544" s="2">
        <f>Q544</f>
        <v/>
      </c>
      <c r="Y544" s="4">
        <f>'QBO Transactions'!$Q546</f>
        <v/>
      </c>
      <c r="Z544" s="2" t="n"/>
      <c r="AA544" s="2" t="n"/>
      <c r="AB544" s="2" t="n"/>
      <c r="AC544" s="2" t="n"/>
      <c r="AD544" s="2" t="n"/>
      <c r="AE544" s="2" t="n"/>
    </row>
    <row r="545" ht="12.75" customHeight="1" s="52">
      <c r="A545" s="2" t="n"/>
      <c r="B545" s="2">
        <f>'QBO Transactions'!$U547</f>
        <v/>
      </c>
      <c r="C545" s="3">
        <f>'QBO Transactions'!$S547</f>
        <v/>
      </c>
      <c r="D545" s="2">
        <f>'QBO Transactions'!$R547</f>
        <v/>
      </c>
      <c r="E545" s="2" t="n"/>
      <c r="F545" s="3">
        <f>'QBO Transactions'!$X547</f>
        <v/>
      </c>
      <c r="G545" s="2" t="n"/>
      <c r="H545" s="2" t="n"/>
      <c r="I545" s="2" t="n"/>
      <c r="J545" s="2" t="n"/>
      <c r="K545" s="2" t="n"/>
      <c r="L545" s="2" t="n"/>
      <c r="M545" s="2" t="n"/>
      <c r="N545" s="2">
        <f>'QBO Transactions'!$Y547</f>
        <v/>
      </c>
      <c r="O545" s="2" t="n"/>
      <c r="P545" s="2" t="n"/>
      <c r="Q545" s="2">
        <f>'QBO Transactions'!$T547</f>
        <v/>
      </c>
      <c r="R545" s="2" t="n"/>
      <c r="S545" s="2" t="n"/>
      <c r="T545" s="2" t="n"/>
      <c r="U545" s="2" t="n"/>
      <c r="V545" s="2" t="n"/>
      <c r="W545" s="2" t="n"/>
      <c r="X545" s="2">
        <f>Q545</f>
        <v/>
      </c>
      <c r="Y545" s="4">
        <f>'QBO Transactions'!$Q547</f>
        <v/>
      </c>
      <c r="Z545" s="2" t="n"/>
      <c r="AA545" s="2" t="n"/>
      <c r="AB545" s="2" t="n"/>
      <c r="AC545" s="2" t="n"/>
      <c r="AD545" s="2" t="n"/>
      <c r="AE545" s="2" t="n"/>
    </row>
    <row r="546" ht="12.75" customHeight="1" s="52">
      <c r="A546" s="2" t="n"/>
      <c r="B546" s="2">
        <f>'QBO Transactions'!$U548</f>
        <v/>
      </c>
      <c r="C546" s="3">
        <f>'QBO Transactions'!$S548</f>
        <v/>
      </c>
      <c r="D546" s="2">
        <f>'QBO Transactions'!$R548</f>
        <v/>
      </c>
      <c r="E546" s="2" t="n"/>
      <c r="F546" s="3">
        <f>'QBO Transactions'!$X548</f>
        <v/>
      </c>
      <c r="G546" s="2" t="n"/>
      <c r="H546" s="2" t="n"/>
      <c r="I546" s="2" t="n"/>
      <c r="J546" s="2" t="n"/>
      <c r="K546" s="2" t="n"/>
      <c r="L546" s="2" t="n"/>
      <c r="M546" s="2" t="n"/>
      <c r="N546" s="2">
        <f>'QBO Transactions'!$Y548</f>
        <v/>
      </c>
      <c r="O546" s="2" t="n"/>
      <c r="P546" s="2" t="n"/>
      <c r="Q546" s="2">
        <f>'QBO Transactions'!$T548</f>
        <v/>
      </c>
      <c r="R546" s="2" t="n"/>
      <c r="S546" s="2" t="n"/>
      <c r="T546" s="2" t="n"/>
      <c r="U546" s="2" t="n"/>
      <c r="V546" s="2" t="n"/>
      <c r="W546" s="2" t="n"/>
      <c r="X546" s="2">
        <f>Q546</f>
        <v/>
      </c>
      <c r="Y546" s="4">
        <f>'QBO Transactions'!$Q548</f>
        <v/>
      </c>
      <c r="Z546" s="2" t="n"/>
      <c r="AA546" s="2" t="n"/>
      <c r="AB546" s="2" t="n"/>
      <c r="AC546" s="2" t="n"/>
      <c r="AD546" s="2" t="n"/>
      <c r="AE546" s="2" t="n"/>
    </row>
    <row r="547" ht="12.75" customHeight="1" s="52">
      <c r="A547" s="2" t="n"/>
      <c r="B547" s="2">
        <f>'QBO Transactions'!$U549</f>
        <v/>
      </c>
      <c r="C547" s="3">
        <f>'QBO Transactions'!$S549</f>
        <v/>
      </c>
      <c r="D547" s="2">
        <f>'QBO Transactions'!$R549</f>
        <v/>
      </c>
      <c r="E547" s="2" t="n"/>
      <c r="F547" s="3">
        <f>'QBO Transactions'!$X549</f>
        <v/>
      </c>
      <c r="G547" s="2" t="n"/>
      <c r="H547" s="2" t="n"/>
      <c r="I547" s="2" t="n"/>
      <c r="J547" s="2" t="n"/>
      <c r="K547" s="2" t="n"/>
      <c r="L547" s="2" t="n"/>
      <c r="M547" s="2" t="n"/>
      <c r="N547" s="2">
        <f>'QBO Transactions'!$Y549</f>
        <v/>
      </c>
      <c r="O547" s="2" t="n"/>
      <c r="P547" s="2" t="n"/>
      <c r="Q547" s="2">
        <f>'QBO Transactions'!$T549</f>
        <v/>
      </c>
      <c r="R547" s="2" t="n"/>
      <c r="S547" s="2" t="n"/>
      <c r="T547" s="2" t="n"/>
      <c r="U547" s="2" t="n"/>
      <c r="V547" s="2" t="n"/>
      <c r="W547" s="2" t="n"/>
      <c r="X547" s="2">
        <f>Q547</f>
        <v/>
      </c>
      <c r="Y547" s="4">
        <f>'QBO Transactions'!$Q549</f>
        <v/>
      </c>
      <c r="Z547" s="2" t="n"/>
      <c r="AA547" s="2" t="n"/>
      <c r="AB547" s="2" t="n"/>
      <c r="AC547" s="2" t="n"/>
      <c r="AD547" s="2" t="n"/>
      <c r="AE547" s="2" t="n"/>
    </row>
    <row r="548" ht="12.75" customHeight="1" s="52">
      <c r="A548" s="2" t="n"/>
      <c r="B548" s="2">
        <f>'QBO Transactions'!$U550</f>
        <v/>
      </c>
      <c r="C548" s="3">
        <f>'QBO Transactions'!$S550</f>
        <v/>
      </c>
      <c r="D548" s="2">
        <f>'QBO Transactions'!$R550</f>
        <v/>
      </c>
      <c r="E548" s="2" t="n"/>
      <c r="F548" s="3">
        <f>'QBO Transactions'!$X550</f>
        <v/>
      </c>
      <c r="G548" s="2" t="n"/>
      <c r="H548" s="2" t="n"/>
      <c r="I548" s="2" t="n"/>
      <c r="J548" s="2" t="n"/>
      <c r="K548" s="2" t="n"/>
      <c r="L548" s="2" t="n"/>
      <c r="M548" s="2" t="n"/>
      <c r="N548" s="2">
        <f>'QBO Transactions'!$Y550</f>
        <v/>
      </c>
      <c r="O548" s="2" t="n"/>
      <c r="P548" s="2" t="n"/>
      <c r="Q548" s="2">
        <f>'QBO Transactions'!$T550</f>
        <v/>
      </c>
      <c r="R548" s="2" t="n"/>
      <c r="S548" s="2" t="n"/>
      <c r="T548" s="2" t="n"/>
      <c r="U548" s="2" t="n"/>
      <c r="V548" s="2" t="n"/>
      <c r="W548" s="2" t="n"/>
      <c r="X548" s="2">
        <f>Q548</f>
        <v/>
      </c>
      <c r="Y548" s="4">
        <f>'QBO Transactions'!$Q550</f>
        <v/>
      </c>
      <c r="Z548" s="2" t="n"/>
      <c r="AA548" s="2" t="n"/>
      <c r="AB548" s="2" t="n"/>
      <c r="AC548" s="2" t="n"/>
      <c r="AD548" s="2" t="n"/>
      <c r="AE548" s="2" t="n"/>
    </row>
    <row r="549" ht="12.75" customHeight="1" s="52">
      <c r="A549" s="2" t="n"/>
      <c r="B549" s="2">
        <f>'QBO Transactions'!$U551</f>
        <v/>
      </c>
      <c r="C549" s="3">
        <f>'QBO Transactions'!$S551</f>
        <v/>
      </c>
      <c r="D549" s="2">
        <f>'QBO Transactions'!$R551</f>
        <v/>
      </c>
      <c r="E549" s="2" t="n"/>
      <c r="F549" s="3">
        <f>'QBO Transactions'!$X551</f>
        <v/>
      </c>
      <c r="G549" s="2" t="n"/>
      <c r="H549" s="2" t="n"/>
      <c r="I549" s="2" t="n"/>
      <c r="J549" s="2" t="n"/>
      <c r="K549" s="2" t="n"/>
      <c r="L549" s="2" t="n"/>
      <c r="M549" s="2" t="n"/>
      <c r="N549" s="2">
        <f>'QBO Transactions'!$Y551</f>
        <v/>
      </c>
      <c r="O549" s="2" t="n"/>
      <c r="P549" s="2" t="n"/>
      <c r="Q549" s="2">
        <f>'QBO Transactions'!$T551</f>
        <v/>
      </c>
      <c r="R549" s="2" t="n"/>
      <c r="S549" s="2" t="n"/>
      <c r="T549" s="2" t="n"/>
      <c r="U549" s="2" t="n"/>
      <c r="V549" s="2" t="n"/>
      <c r="W549" s="2" t="n"/>
      <c r="X549" s="2">
        <f>Q549</f>
        <v/>
      </c>
      <c r="Y549" s="4">
        <f>'QBO Transactions'!$Q551</f>
        <v/>
      </c>
      <c r="Z549" s="2" t="n"/>
      <c r="AA549" s="2" t="n"/>
      <c r="AB549" s="2" t="n"/>
      <c r="AC549" s="2" t="n"/>
      <c r="AD549" s="2" t="n"/>
      <c r="AE549" s="2" t="n"/>
    </row>
    <row r="550" ht="12.75" customHeight="1" s="52">
      <c r="A550" s="2" t="n"/>
      <c r="B550" s="2">
        <f>'QBO Transactions'!$U552</f>
        <v/>
      </c>
      <c r="C550" s="3">
        <f>'QBO Transactions'!$S552</f>
        <v/>
      </c>
      <c r="D550" s="2">
        <f>'QBO Transactions'!$R552</f>
        <v/>
      </c>
      <c r="E550" s="2" t="n"/>
      <c r="F550" s="3">
        <f>'QBO Transactions'!$X552</f>
        <v/>
      </c>
      <c r="G550" s="2" t="n"/>
      <c r="H550" s="2" t="n"/>
      <c r="I550" s="2" t="n"/>
      <c r="J550" s="2" t="n"/>
      <c r="K550" s="2" t="n"/>
      <c r="L550" s="2" t="n"/>
      <c r="M550" s="2" t="n"/>
      <c r="N550" s="2">
        <f>'QBO Transactions'!$Y552</f>
        <v/>
      </c>
      <c r="O550" s="2" t="n"/>
      <c r="P550" s="2" t="n"/>
      <c r="Q550" s="2">
        <f>'QBO Transactions'!$T552</f>
        <v/>
      </c>
      <c r="R550" s="2" t="n"/>
      <c r="S550" s="2" t="n"/>
      <c r="T550" s="2" t="n"/>
      <c r="U550" s="2" t="n"/>
      <c r="V550" s="2" t="n"/>
      <c r="W550" s="2" t="n"/>
      <c r="X550" s="2">
        <f>Q550</f>
        <v/>
      </c>
      <c r="Y550" s="4">
        <f>'QBO Transactions'!$Q552</f>
        <v/>
      </c>
      <c r="Z550" s="2" t="n"/>
      <c r="AA550" s="2" t="n"/>
      <c r="AB550" s="2" t="n"/>
      <c r="AC550" s="2" t="n"/>
      <c r="AD550" s="2" t="n"/>
      <c r="AE550" s="2" t="n"/>
    </row>
    <row r="551" ht="12.75" customHeight="1" s="52">
      <c r="A551" s="2" t="n"/>
      <c r="B551" s="2">
        <f>'QBO Transactions'!$U553</f>
        <v/>
      </c>
      <c r="C551" s="3">
        <f>'QBO Transactions'!$S553</f>
        <v/>
      </c>
      <c r="D551" s="2">
        <f>'QBO Transactions'!$R553</f>
        <v/>
      </c>
      <c r="E551" s="2" t="n"/>
      <c r="F551" s="3">
        <f>'QBO Transactions'!$X553</f>
        <v/>
      </c>
      <c r="G551" s="2" t="n"/>
      <c r="H551" s="2" t="n"/>
      <c r="I551" s="2" t="n"/>
      <c r="J551" s="2" t="n"/>
      <c r="K551" s="2" t="n"/>
      <c r="L551" s="2" t="n"/>
      <c r="M551" s="2" t="n"/>
      <c r="N551" s="2">
        <f>'QBO Transactions'!$Y553</f>
        <v/>
      </c>
      <c r="O551" s="2" t="n"/>
      <c r="P551" s="2" t="n"/>
      <c r="Q551" s="2">
        <f>'QBO Transactions'!$T553</f>
        <v/>
      </c>
      <c r="R551" s="2" t="n"/>
      <c r="S551" s="2" t="n"/>
      <c r="T551" s="2" t="n"/>
      <c r="U551" s="2" t="n"/>
      <c r="V551" s="2" t="n"/>
      <c r="W551" s="2" t="n"/>
      <c r="X551" s="2">
        <f>Q551</f>
        <v/>
      </c>
      <c r="Y551" s="4">
        <f>'QBO Transactions'!$Q553</f>
        <v/>
      </c>
      <c r="Z551" s="2" t="n"/>
      <c r="AA551" s="2" t="n"/>
      <c r="AB551" s="2" t="n"/>
      <c r="AC551" s="2" t="n"/>
      <c r="AD551" s="2" t="n"/>
      <c r="AE551" s="2" t="n"/>
    </row>
    <row r="552" ht="12.75" customHeight="1" s="52">
      <c r="A552" s="2" t="n"/>
      <c r="B552" s="2">
        <f>'QBO Transactions'!$U554</f>
        <v/>
      </c>
      <c r="C552" s="3">
        <f>'QBO Transactions'!$S554</f>
        <v/>
      </c>
      <c r="D552" s="2">
        <f>'QBO Transactions'!$R554</f>
        <v/>
      </c>
      <c r="E552" s="2" t="n"/>
      <c r="F552" s="3">
        <f>'QBO Transactions'!$X554</f>
        <v/>
      </c>
      <c r="G552" s="2" t="n"/>
      <c r="H552" s="2" t="n"/>
      <c r="I552" s="2" t="n"/>
      <c r="J552" s="2" t="n"/>
      <c r="K552" s="2" t="n"/>
      <c r="L552" s="2" t="n"/>
      <c r="M552" s="2" t="n"/>
      <c r="N552" s="2">
        <f>'QBO Transactions'!$Y554</f>
        <v/>
      </c>
      <c r="O552" s="2" t="n"/>
      <c r="P552" s="2" t="n"/>
      <c r="Q552" s="2">
        <f>'QBO Transactions'!$T554</f>
        <v/>
      </c>
      <c r="R552" s="2" t="n"/>
      <c r="S552" s="2" t="n"/>
      <c r="T552" s="2" t="n"/>
      <c r="U552" s="2" t="n"/>
      <c r="V552" s="2" t="n"/>
      <c r="W552" s="2" t="n"/>
      <c r="X552" s="2">
        <f>Q552</f>
        <v/>
      </c>
      <c r="Y552" s="4">
        <f>'QBO Transactions'!$Q554</f>
        <v/>
      </c>
      <c r="Z552" s="2" t="n"/>
      <c r="AA552" s="2" t="n"/>
      <c r="AB552" s="2" t="n"/>
      <c r="AC552" s="2" t="n"/>
      <c r="AD552" s="2" t="n"/>
      <c r="AE552" s="2" t="n"/>
    </row>
    <row r="553" ht="12.75" customHeight="1" s="52">
      <c r="A553" s="2" t="n"/>
      <c r="B553" s="2">
        <f>'QBO Transactions'!$U555</f>
        <v/>
      </c>
      <c r="C553" s="3">
        <f>'QBO Transactions'!$S555</f>
        <v/>
      </c>
      <c r="D553" s="2">
        <f>'QBO Transactions'!$R555</f>
        <v/>
      </c>
      <c r="E553" s="2" t="n"/>
      <c r="F553" s="3">
        <f>'QBO Transactions'!$X555</f>
        <v/>
      </c>
      <c r="G553" s="2" t="n"/>
      <c r="H553" s="2" t="n"/>
      <c r="I553" s="2" t="n"/>
      <c r="J553" s="2" t="n"/>
      <c r="K553" s="2" t="n"/>
      <c r="L553" s="2" t="n"/>
      <c r="M553" s="2" t="n"/>
      <c r="N553" s="2">
        <f>'QBO Transactions'!$Y555</f>
        <v/>
      </c>
      <c r="O553" s="2" t="n"/>
      <c r="P553" s="2" t="n"/>
      <c r="Q553" s="2">
        <f>'QBO Transactions'!$T555</f>
        <v/>
      </c>
      <c r="R553" s="2" t="n"/>
      <c r="S553" s="2" t="n"/>
      <c r="T553" s="2" t="n"/>
      <c r="U553" s="2" t="n"/>
      <c r="V553" s="2" t="n"/>
      <c r="W553" s="2" t="n"/>
      <c r="X553" s="2">
        <f>Q553</f>
        <v/>
      </c>
      <c r="Y553" s="4">
        <f>'QBO Transactions'!$Q555</f>
        <v/>
      </c>
      <c r="Z553" s="2" t="n"/>
      <c r="AA553" s="2" t="n"/>
      <c r="AB553" s="2" t="n"/>
      <c r="AC553" s="2" t="n"/>
      <c r="AD553" s="2" t="n"/>
      <c r="AE553" s="2" t="n"/>
    </row>
    <row r="554" ht="12.75" customHeight="1" s="52">
      <c r="A554" s="2" t="n"/>
      <c r="B554" s="2">
        <f>'QBO Transactions'!$U556</f>
        <v/>
      </c>
      <c r="C554" s="3">
        <f>'QBO Transactions'!$S556</f>
        <v/>
      </c>
      <c r="D554" s="2">
        <f>'QBO Transactions'!$R556</f>
        <v/>
      </c>
      <c r="E554" s="2" t="n"/>
      <c r="F554" s="3">
        <f>'QBO Transactions'!$X556</f>
        <v/>
      </c>
      <c r="G554" s="2" t="n"/>
      <c r="H554" s="2" t="n"/>
      <c r="I554" s="2" t="n"/>
      <c r="J554" s="2" t="n"/>
      <c r="K554" s="2" t="n"/>
      <c r="L554" s="2" t="n"/>
      <c r="M554" s="2" t="n"/>
      <c r="N554" s="2">
        <f>'QBO Transactions'!$Y556</f>
        <v/>
      </c>
      <c r="O554" s="2" t="n"/>
      <c r="P554" s="2" t="n"/>
      <c r="Q554" s="2">
        <f>'QBO Transactions'!$T556</f>
        <v/>
      </c>
      <c r="R554" s="2" t="n"/>
      <c r="S554" s="2" t="n"/>
      <c r="T554" s="2" t="n"/>
      <c r="U554" s="2" t="n"/>
      <c r="V554" s="2" t="n"/>
      <c r="W554" s="2" t="n"/>
      <c r="X554" s="2">
        <f>Q554</f>
        <v/>
      </c>
      <c r="Y554" s="4">
        <f>'QBO Transactions'!$Q556</f>
        <v/>
      </c>
      <c r="Z554" s="2" t="n"/>
      <c r="AA554" s="2" t="n"/>
      <c r="AB554" s="2" t="n"/>
      <c r="AC554" s="2" t="n"/>
      <c r="AD554" s="2" t="n"/>
      <c r="AE554" s="2" t="n"/>
    </row>
    <row r="555" ht="12.75" customHeight="1" s="52">
      <c r="A555" s="2" t="n"/>
      <c r="B555" s="2">
        <f>'QBO Transactions'!$U557</f>
        <v/>
      </c>
      <c r="C555" s="3">
        <f>'QBO Transactions'!$S557</f>
        <v/>
      </c>
      <c r="D555" s="2">
        <f>'QBO Transactions'!$R557</f>
        <v/>
      </c>
      <c r="E555" s="2" t="n"/>
      <c r="F555" s="3">
        <f>'QBO Transactions'!$X557</f>
        <v/>
      </c>
      <c r="G555" s="2" t="n"/>
      <c r="H555" s="2" t="n"/>
      <c r="I555" s="2" t="n"/>
      <c r="J555" s="2" t="n"/>
      <c r="K555" s="2" t="n"/>
      <c r="L555" s="2" t="n"/>
      <c r="M555" s="2" t="n"/>
      <c r="N555" s="2">
        <f>'QBO Transactions'!$Y557</f>
        <v/>
      </c>
      <c r="O555" s="2" t="n"/>
      <c r="P555" s="2" t="n"/>
      <c r="Q555" s="2">
        <f>'QBO Transactions'!$T557</f>
        <v/>
      </c>
      <c r="R555" s="2" t="n"/>
      <c r="S555" s="2" t="n"/>
      <c r="T555" s="2" t="n"/>
      <c r="U555" s="2" t="n"/>
      <c r="V555" s="2" t="n"/>
      <c r="W555" s="2" t="n"/>
      <c r="X555" s="2">
        <f>Q555</f>
        <v/>
      </c>
      <c r="Y555" s="4">
        <f>'QBO Transactions'!$Q557</f>
        <v/>
      </c>
      <c r="Z555" s="2" t="n"/>
      <c r="AA555" s="2" t="n"/>
      <c r="AB555" s="2" t="n"/>
      <c r="AC555" s="2" t="n"/>
      <c r="AD555" s="2" t="n"/>
      <c r="AE555" s="2" t="n"/>
    </row>
    <row r="556" ht="12.75" customHeight="1" s="52">
      <c r="A556" s="2" t="n"/>
      <c r="B556" s="2">
        <f>'QBO Transactions'!$U558</f>
        <v/>
      </c>
      <c r="C556" s="3">
        <f>'QBO Transactions'!$S558</f>
        <v/>
      </c>
      <c r="D556" s="2">
        <f>'QBO Transactions'!$R558</f>
        <v/>
      </c>
      <c r="E556" s="2" t="n"/>
      <c r="F556" s="3">
        <f>'QBO Transactions'!$X558</f>
        <v/>
      </c>
      <c r="G556" s="2" t="n"/>
      <c r="H556" s="2" t="n"/>
      <c r="I556" s="2" t="n"/>
      <c r="J556" s="2" t="n"/>
      <c r="K556" s="2" t="n"/>
      <c r="L556" s="2" t="n"/>
      <c r="M556" s="2" t="n"/>
      <c r="N556" s="2">
        <f>'QBO Transactions'!$Y558</f>
        <v/>
      </c>
      <c r="O556" s="2" t="n"/>
      <c r="P556" s="2" t="n"/>
      <c r="Q556" s="2">
        <f>'QBO Transactions'!$T558</f>
        <v/>
      </c>
      <c r="R556" s="2" t="n"/>
      <c r="S556" s="2" t="n"/>
      <c r="T556" s="2" t="n"/>
      <c r="U556" s="2" t="n"/>
      <c r="V556" s="2" t="n"/>
      <c r="W556" s="2" t="n"/>
      <c r="X556" s="2">
        <f>Q556</f>
        <v/>
      </c>
      <c r="Y556" s="4">
        <f>'QBO Transactions'!$Q558</f>
        <v/>
      </c>
      <c r="Z556" s="2" t="n"/>
      <c r="AA556" s="2" t="n"/>
      <c r="AB556" s="2" t="n"/>
      <c r="AC556" s="2" t="n"/>
      <c r="AD556" s="2" t="n"/>
      <c r="AE556" s="2" t="n"/>
    </row>
    <row r="557" ht="12.75" customHeight="1" s="52">
      <c r="A557" s="2" t="n"/>
      <c r="B557" s="2">
        <f>'QBO Transactions'!$U559</f>
        <v/>
      </c>
      <c r="C557" s="3">
        <f>'QBO Transactions'!$S559</f>
        <v/>
      </c>
      <c r="D557" s="2">
        <f>'QBO Transactions'!$R559</f>
        <v/>
      </c>
      <c r="E557" s="2" t="n"/>
      <c r="F557" s="3">
        <f>'QBO Transactions'!$X559</f>
        <v/>
      </c>
      <c r="G557" s="2" t="n"/>
      <c r="H557" s="2" t="n"/>
      <c r="I557" s="2" t="n"/>
      <c r="J557" s="2" t="n"/>
      <c r="K557" s="2" t="n"/>
      <c r="L557" s="2" t="n"/>
      <c r="M557" s="2" t="n"/>
      <c r="N557" s="2">
        <f>'QBO Transactions'!$Y559</f>
        <v/>
      </c>
      <c r="O557" s="2" t="n"/>
      <c r="P557" s="2" t="n"/>
      <c r="Q557" s="2">
        <f>'QBO Transactions'!$T559</f>
        <v/>
      </c>
      <c r="R557" s="2" t="n"/>
      <c r="S557" s="2" t="n"/>
      <c r="T557" s="2" t="n"/>
      <c r="U557" s="2" t="n"/>
      <c r="V557" s="2" t="n"/>
      <c r="W557" s="2" t="n"/>
      <c r="X557" s="2">
        <f>Q557</f>
        <v/>
      </c>
      <c r="Y557" s="4">
        <f>'QBO Transactions'!$Q559</f>
        <v/>
      </c>
      <c r="Z557" s="2" t="n"/>
      <c r="AA557" s="2" t="n"/>
      <c r="AB557" s="2" t="n"/>
      <c r="AC557" s="2" t="n"/>
      <c r="AD557" s="2" t="n"/>
      <c r="AE557" s="2" t="n"/>
    </row>
    <row r="558" ht="12.75" customHeight="1" s="52">
      <c r="A558" s="2" t="n"/>
      <c r="B558" s="2">
        <f>'QBO Transactions'!$U560</f>
        <v/>
      </c>
      <c r="C558" s="3">
        <f>'QBO Transactions'!$S560</f>
        <v/>
      </c>
      <c r="D558" s="2">
        <f>'QBO Transactions'!$R560</f>
        <v/>
      </c>
      <c r="E558" s="2" t="n"/>
      <c r="F558" s="3">
        <f>'QBO Transactions'!$X560</f>
        <v/>
      </c>
      <c r="G558" s="2" t="n"/>
      <c r="H558" s="2" t="n"/>
      <c r="I558" s="2" t="n"/>
      <c r="J558" s="2" t="n"/>
      <c r="K558" s="2" t="n"/>
      <c r="L558" s="2" t="n"/>
      <c r="M558" s="2" t="n"/>
      <c r="N558" s="2">
        <f>'QBO Transactions'!$Y560</f>
        <v/>
      </c>
      <c r="O558" s="2" t="n"/>
      <c r="P558" s="2" t="n"/>
      <c r="Q558" s="2">
        <f>'QBO Transactions'!$T560</f>
        <v/>
      </c>
      <c r="R558" s="2" t="n"/>
      <c r="S558" s="2" t="n"/>
      <c r="T558" s="2" t="n"/>
      <c r="U558" s="2" t="n"/>
      <c r="V558" s="2" t="n"/>
      <c r="W558" s="2" t="n"/>
      <c r="X558" s="2">
        <f>Q558</f>
        <v/>
      </c>
      <c r="Y558" s="4">
        <f>'QBO Transactions'!$Q560</f>
        <v/>
      </c>
      <c r="Z558" s="2" t="n"/>
      <c r="AA558" s="2" t="n"/>
      <c r="AB558" s="2" t="n"/>
      <c r="AC558" s="2" t="n"/>
      <c r="AD558" s="2" t="n"/>
      <c r="AE558" s="2" t="n"/>
    </row>
    <row r="559" ht="12.75" customHeight="1" s="52">
      <c r="A559" s="2" t="n"/>
      <c r="B559" s="2">
        <f>'QBO Transactions'!$U561</f>
        <v/>
      </c>
      <c r="C559" s="3">
        <f>'QBO Transactions'!$S561</f>
        <v/>
      </c>
      <c r="D559" s="2">
        <f>'QBO Transactions'!$R561</f>
        <v/>
      </c>
      <c r="E559" s="2" t="n"/>
      <c r="F559" s="3">
        <f>'QBO Transactions'!$X561</f>
        <v/>
      </c>
      <c r="G559" s="2" t="n"/>
      <c r="H559" s="2" t="n"/>
      <c r="I559" s="2" t="n"/>
      <c r="J559" s="2" t="n"/>
      <c r="K559" s="2" t="n"/>
      <c r="L559" s="2" t="n"/>
      <c r="M559" s="2" t="n"/>
      <c r="N559" s="2">
        <f>'QBO Transactions'!$Y561</f>
        <v/>
      </c>
      <c r="O559" s="2" t="n"/>
      <c r="P559" s="2" t="n"/>
      <c r="Q559" s="2">
        <f>'QBO Transactions'!$T561</f>
        <v/>
      </c>
      <c r="R559" s="2" t="n"/>
      <c r="S559" s="2" t="n"/>
      <c r="T559" s="2" t="n"/>
      <c r="U559" s="2" t="n"/>
      <c r="V559" s="2" t="n"/>
      <c r="W559" s="2" t="n"/>
      <c r="X559" s="2">
        <f>Q559</f>
        <v/>
      </c>
      <c r="Y559" s="4">
        <f>'QBO Transactions'!$Q561</f>
        <v/>
      </c>
      <c r="Z559" s="2" t="n"/>
      <c r="AA559" s="2" t="n"/>
      <c r="AB559" s="2" t="n"/>
      <c r="AC559" s="2" t="n"/>
      <c r="AD559" s="2" t="n"/>
      <c r="AE559" s="2" t="n"/>
    </row>
    <row r="560" ht="12.75" customHeight="1" s="52">
      <c r="A560" s="2" t="n"/>
      <c r="B560" s="2">
        <f>'QBO Transactions'!$U562</f>
        <v/>
      </c>
      <c r="C560" s="3">
        <f>'QBO Transactions'!$S562</f>
        <v/>
      </c>
      <c r="D560" s="2">
        <f>'QBO Transactions'!$R562</f>
        <v/>
      </c>
      <c r="E560" s="2" t="n"/>
      <c r="F560" s="3">
        <f>'QBO Transactions'!$X562</f>
        <v/>
      </c>
      <c r="G560" s="2" t="n"/>
      <c r="H560" s="2" t="n"/>
      <c r="I560" s="2" t="n"/>
      <c r="J560" s="2" t="n"/>
      <c r="K560" s="2" t="n"/>
      <c r="L560" s="2" t="n"/>
      <c r="M560" s="2" t="n"/>
      <c r="N560" s="2">
        <f>'QBO Transactions'!$Y562</f>
        <v/>
      </c>
      <c r="O560" s="2" t="n"/>
      <c r="P560" s="2" t="n"/>
      <c r="Q560" s="2">
        <f>'QBO Transactions'!$T562</f>
        <v/>
      </c>
      <c r="R560" s="2" t="n"/>
      <c r="S560" s="2" t="n"/>
      <c r="T560" s="2" t="n"/>
      <c r="U560" s="2" t="n"/>
      <c r="V560" s="2" t="n"/>
      <c r="W560" s="2" t="n"/>
      <c r="X560" s="2">
        <f>Q560</f>
        <v/>
      </c>
      <c r="Y560" s="4">
        <f>'QBO Transactions'!$Q562</f>
        <v/>
      </c>
      <c r="Z560" s="2" t="n"/>
      <c r="AA560" s="2" t="n"/>
      <c r="AB560" s="2" t="n"/>
      <c r="AC560" s="2" t="n"/>
      <c r="AD560" s="2" t="n"/>
      <c r="AE560" s="2" t="n"/>
    </row>
    <row r="561" ht="12.75" customHeight="1" s="52">
      <c r="A561" s="2" t="n"/>
      <c r="B561" s="2">
        <f>'QBO Transactions'!$U563</f>
        <v/>
      </c>
      <c r="C561" s="3">
        <f>'QBO Transactions'!$S563</f>
        <v/>
      </c>
      <c r="D561" s="2">
        <f>'QBO Transactions'!$R563</f>
        <v/>
      </c>
      <c r="E561" s="2" t="n"/>
      <c r="F561" s="3">
        <f>'QBO Transactions'!$X563</f>
        <v/>
      </c>
      <c r="G561" s="2" t="n"/>
      <c r="H561" s="2" t="n"/>
      <c r="I561" s="2" t="n"/>
      <c r="J561" s="2" t="n"/>
      <c r="K561" s="2" t="n"/>
      <c r="L561" s="2" t="n"/>
      <c r="M561" s="2" t="n"/>
      <c r="N561" s="2">
        <f>'QBO Transactions'!$Y563</f>
        <v/>
      </c>
      <c r="O561" s="2" t="n"/>
      <c r="P561" s="2" t="n"/>
      <c r="Q561" s="2">
        <f>'QBO Transactions'!$T563</f>
        <v/>
      </c>
      <c r="R561" s="2" t="n"/>
      <c r="S561" s="2" t="n"/>
      <c r="T561" s="2" t="n"/>
      <c r="U561" s="2" t="n"/>
      <c r="V561" s="2" t="n"/>
      <c r="W561" s="2" t="n"/>
      <c r="X561" s="2">
        <f>Q561</f>
        <v/>
      </c>
      <c r="Y561" s="4">
        <f>'QBO Transactions'!$Q563</f>
        <v/>
      </c>
      <c r="Z561" s="2" t="n"/>
      <c r="AA561" s="2" t="n"/>
      <c r="AB561" s="2" t="n"/>
      <c r="AC561" s="2" t="n"/>
      <c r="AD561" s="2" t="n"/>
      <c r="AE561" s="2" t="n"/>
    </row>
    <row r="562" ht="12.75" customHeight="1" s="52">
      <c r="A562" s="2" t="n"/>
      <c r="B562" s="2">
        <f>'QBO Transactions'!$U564</f>
        <v/>
      </c>
      <c r="C562" s="3">
        <f>'QBO Transactions'!$S564</f>
        <v/>
      </c>
      <c r="D562" s="2">
        <f>'QBO Transactions'!$R564</f>
        <v/>
      </c>
      <c r="E562" s="2" t="n"/>
      <c r="F562" s="3">
        <f>'QBO Transactions'!$X564</f>
        <v/>
      </c>
      <c r="G562" s="2" t="n"/>
      <c r="H562" s="2" t="n"/>
      <c r="I562" s="2" t="n"/>
      <c r="J562" s="2" t="n"/>
      <c r="K562" s="2" t="n"/>
      <c r="L562" s="2" t="n"/>
      <c r="M562" s="2" t="n"/>
      <c r="N562" s="2">
        <f>'QBO Transactions'!$Y564</f>
        <v/>
      </c>
      <c r="O562" s="2" t="n"/>
      <c r="P562" s="2" t="n"/>
      <c r="Q562" s="2">
        <f>'QBO Transactions'!$T564</f>
        <v/>
      </c>
      <c r="R562" s="2" t="n"/>
      <c r="S562" s="2" t="n"/>
      <c r="T562" s="2" t="n"/>
      <c r="U562" s="2" t="n"/>
      <c r="V562" s="2" t="n"/>
      <c r="W562" s="2" t="n"/>
      <c r="X562" s="2">
        <f>Q562</f>
        <v/>
      </c>
      <c r="Y562" s="4">
        <f>'QBO Transactions'!$Q564</f>
        <v/>
      </c>
      <c r="Z562" s="2" t="n"/>
      <c r="AA562" s="2" t="n"/>
      <c r="AB562" s="2" t="n"/>
      <c r="AC562" s="2" t="n"/>
      <c r="AD562" s="2" t="n"/>
      <c r="AE562" s="2" t="n"/>
    </row>
    <row r="563" ht="12.75" customHeight="1" s="52">
      <c r="A563" s="2" t="n"/>
      <c r="B563" s="2">
        <f>'QBO Transactions'!$U565</f>
        <v/>
      </c>
      <c r="C563" s="3">
        <f>'QBO Transactions'!$S565</f>
        <v/>
      </c>
      <c r="D563" s="2">
        <f>'QBO Transactions'!$R565</f>
        <v/>
      </c>
      <c r="E563" s="2" t="n"/>
      <c r="F563" s="3">
        <f>'QBO Transactions'!$X565</f>
        <v/>
      </c>
      <c r="G563" s="2" t="n"/>
      <c r="H563" s="2" t="n"/>
      <c r="I563" s="2" t="n"/>
      <c r="J563" s="2" t="n"/>
      <c r="K563" s="2" t="n"/>
      <c r="L563" s="2" t="n"/>
      <c r="M563" s="2" t="n"/>
      <c r="N563" s="2">
        <f>'QBO Transactions'!$Y565</f>
        <v/>
      </c>
      <c r="O563" s="2" t="n"/>
      <c r="P563" s="2" t="n"/>
      <c r="Q563" s="2">
        <f>'QBO Transactions'!$T565</f>
        <v/>
      </c>
      <c r="R563" s="2" t="n"/>
      <c r="S563" s="2" t="n"/>
      <c r="T563" s="2" t="n"/>
      <c r="U563" s="2" t="n"/>
      <c r="V563" s="2" t="n"/>
      <c r="W563" s="2" t="n"/>
      <c r="X563" s="2">
        <f>Q563</f>
        <v/>
      </c>
      <c r="Y563" s="4">
        <f>'QBO Transactions'!$Q565</f>
        <v/>
      </c>
      <c r="Z563" s="2" t="n"/>
      <c r="AA563" s="2" t="n"/>
      <c r="AB563" s="2" t="n"/>
      <c r="AC563" s="2" t="n"/>
      <c r="AD563" s="2" t="n"/>
      <c r="AE563" s="2" t="n"/>
    </row>
    <row r="564" ht="12.75" customHeight="1" s="52">
      <c r="A564" s="2" t="n"/>
      <c r="B564" s="2">
        <f>'QBO Transactions'!$U566</f>
        <v/>
      </c>
      <c r="C564" s="3">
        <f>'QBO Transactions'!$S566</f>
        <v/>
      </c>
      <c r="D564" s="2">
        <f>'QBO Transactions'!$R566</f>
        <v/>
      </c>
      <c r="E564" s="2" t="n"/>
      <c r="F564" s="3">
        <f>'QBO Transactions'!$X566</f>
        <v/>
      </c>
      <c r="G564" s="2" t="n"/>
      <c r="H564" s="2" t="n"/>
      <c r="I564" s="2" t="n"/>
      <c r="J564" s="2" t="n"/>
      <c r="K564" s="2" t="n"/>
      <c r="L564" s="2" t="n"/>
      <c r="M564" s="2" t="n"/>
      <c r="N564" s="2">
        <f>'QBO Transactions'!$Y566</f>
        <v/>
      </c>
      <c r="O564" s="2" t="n"/>
      <c r="P564" s="2" t="n"/>
      <c r="Q564" s="2">
        <f>'QBO Transactions'!$T566</f>
        <v/>
      </c>
      <c r="R564" s="2" t="n"/>
      <c r="S564" s="2" t="n"/>
      <c r="T564" s="2" t="n"/>
      <c r="U564" s="2" t="n"/>
      <c r="V564" s="2" t="n"/>
      <c r="W564" s="2" t="n"/>
      <c r="X564" s="2">
        <f>Q564</f>
        <v/>
      </c>
      <c r="Y564" s="4">
        <f>'QBO Transactions'!$Q566</f>
        <v/>
      </c>
      <c r="Z564" s="2" t="n"/>
      <c r="AA564" s="2" t="n"/>
      <c r="AB564" s="2" t="n"/>
      <c r="AC564" s="2" t="n"/>
      <c r="AD564" s="2" t="n"/>
      <c r="AE564" s="2" t="n"/>
    </row>
    <row r="565" ht="12.75" customHeight="1" s="52">
      <c r="A565" s="2" t="n"/>
      <c r="B565" s="2">
        <f>'QBO Transactions'!$U567</f>
        <v/>
      </c>
      <c r="C565" s="3">
        <f>'QBO Transactions'!$S567</f>
        <v/>
      </c>
      <c r="D565" s="2">
        <f>'QBO Transactions'!$R567</f>
        <v/>
      </c>
      <c r="E565" s="2" t="n"/>
      <c r="F565" s="3">
        <f>'QBO Transactions'!$X567</f>
        <v/>
      </c>
      <c r="G565" s="2" t="n"/>
      <c r="H565" s="2" t="n"/>
      <c r="I565" s="2" t="n"/>
      <c r="J565" s="2" t="n"/>
      <c r="K565" s="2" t="n"/>
      <c r="L565" s="2" t="n"/>
      <c r="M565" s="2" t="n"/>
      <c r="N565" s="2">
        <f>'QBO Transactions'!$Y567</f>
        <v/>
      </c>
      <c r="O565" s="2" t="n"/>
      <c r="P565" s="2" t="n"/>
      <c r="Q565" s="2">
        <f>'QBO Transactions'!$T567</f>
        <v/>
      </c>
      <c r="R565" s="2" t="n"/>
      <c r="S565" s="2" t="n"/>
      <c r="T565" s="2" t="n"/>
      <c r="U565" s="2" t="n"/>
      <c r="V565" s="2" t="n"/>
      <c r="W565" s="2" t="n"/>
      <c r="X565" s="2">
        <f>Q565</f>
        <v/>
      </c>
      <c r="Y565" s="4">
        <f>'QBO Transactions'!$Q567</f>
        <v/>
      </c>
      <c r="Z565" s="2" t="n"/>
      <c r="AA565" s="2" t="n"/>
      <c r="AB565" s="2" t="n"/>
      <c r="AC565" s="2" t="n"/>
      <c r="AD565" s="2" t="n"/>
      <c r="AE565" s="2" t="n"/>
    </row>
    <row r="566" ht="12.75" customHeight="1" s="52">
      <c r="A566" s="2" t="n"/>
      <c r="B566" s="2">
        <f>'QBO Transactions'!$U568</f>
        <v/>
      </c>
      <c r="C566" s="3">
        <f>'QBO Transactions'!$S568</f>
        <v/>
      </c>
      <c r="D566" s="2">
        <f>'QBO Transactions'!$R568</f>
        <v/>
      </c>
      <c r="E566" s="2" t="n"/>
      <c r="F566" s="3">
        <f>'QBO Transactions'!$X568</f>
        <v/>
      </c>
      <c r="G566" s="2" t="n"/>
      <c r="H566" s="2" t="n"/>
      <c r="I566" s="2" t="n"/>
      <c r="J566" s="2" t="n"/>
      <c r="K566" s="2" t="n"/>
      <c r="L566" s="2" t="n"/>
      <c r="M566" s="2" t="n"/>
      <c r="N566" s="2">
        <f>'QBO Transactions'!$Y568</f>
        <v/>
      </c>
      <c r="O566" s="2" t="n"/>
      <c r="P566" s="2" t="n"/>
      <c r="Q566" s="2">
        <f>'QBO Transactions'!$T568</f>
        <v/>
      </c>
      <c r="R566" s="2" t="n"/>
      <c r="S566" s="2" t="n"/>
      <c r="T566" s="2" t="n"/>
      <c r="U566" s="2" t="n"/>
      <c r="V566" s="2" t="n"/>
      <c r="W566" s="2" t="n"/>
      <c r="X566" s="2">
        <f>Q566</f>
        <v/>
      </c>
      <c r="Y566" s="4">
        <f>'QBO Transactions'!$Q568</f>
        <v/>
      </c>
      <c r="Z566" s="2" t="n"/>
      <c r="AA566" s="2" t="n"/>
      <c r="AB566" s="2" t="n"/>
      <c r="AC566" s="2" t="n"/>
      <c r="AD566" s="2" t="n"/>
      <c r="AE566" s="2" t="n"/>
    </row>
    <row r="567" ht="12.75" customHeight="1" s="52">
      <c r="A567" s="2" t="n"/>
      <c r="B567" s="2">
        <f>'QBO Transactions'!$U569</f>
        <v/>
      </c>
      <c r="C567" s="3">
        <f>'QBO Transactions'!$S569</f>
        <v/>
      </c>
      <c r="D567" s="2">
        <f>'QBO Transactions'!$R569</f>
        <v/>
      </c>
      <c r="E567" s="2" t="n"/>
      <c r="F567" s="3">
        <f>'QBO Transactions'!$X569</f>
        <v/>
      </c>
      <c r="G567" s="2" t="n"/>
      <c r="H567" s="2" t="n"/>
      <c r="I567" s="2" t="n"/>
      <c r="J567" s="2" t="n"/>
      <c r="K567" s="2" t="n"/>
      <c r="L567" s="2" t="n"/>
      <c r="M567" s="2" t="n"/>
      <c r="N567" s="2">
        <f>'QBO Transactions'!$Y569</f>
        <v/>
      </c>
      <c r="O567" s="2" t="n"/>
      <c r="P567" s="2" t="n"/>
      <c r="Q567" s="2">
        <f>'QBO Transactions'!$T569</f>
        <v/>
      </c>
      <c r="R567" s="2" t="n"/>
      <c r="S567" s="2" t="n"/>
      <c r="T567" s="2" t="n"/>
      <c r="U567" s="2" t="n"/>
      <c r="V567" s="2" t="n"/>
      <c r="W567" s="2" t="n"/>
      <c r="X567" s="2">
        <f>Q567</f>
        <v/>
      </c>
      <c r="Y567" s="4">
        <f>'QBO Transactions'!$Q569</f>
        <v/>
      </c>
      <c r="Z567" s="2" t="n"/>
      <c r="AA567" s="2" t="n"/>
      <c r="AB567" s="2" t="n"/>
      <c r="AC567" s="2" t="n"/>
      <c r="AD567" s="2" t="n"/>
      <c r="AE567" s="2" t="n"/>
    </row>
    <row r="568" ht="12.75" customHeight="1" s="52">
      <c r="A568" s="2" t="n"/>
      <c r="B568" s="2">
        <f>'QBO Transactions'!$U570</f>
        <v/>
      </c>
      <c r="C568" s="3">
        <f>'QBO Transactions'!$S570</f>
        <v/>
      </c>
      <c r="D568" s="2">
        <f>'QBO Transactions'!$R570</f>
        <v/>
      </c>
      <c r="E568" s="2" t="n"/>
      <c r="F568" s="3">
        <f>'QBO Transactions'!$X570</f>
        <v/>
      </c>
      <c r="G568" s="2" t="n"/>
      <c r="H568" s="2" t="n"/>
      <c r="I568" s="2" t="n"/>
      <c r="J568" s="2" t="n"/>
      <c r="K568" s="2" t="n"/>
      <c r="L568" s="2" t="n"/>
      <c r="M568" s="2" t="n"/>
      <c r="N568" s="2">
        <f>'QBO Transactions'!$Y570</f>
        <v/>
      </c>
      <c r="O568" s="2" t="n"/>
      <c r="P568" s="2" t="n"/>
      <c r="Q568" s="2">
        <f>'QBO Transactions'!$T570</f>
        <v/>
      </c>
      <c r="R568" s="2" t="n"/>
      <c r="S568" s="2" t="n"/>
      <c r="T568" s="2" t="n"/>
      <c r="U568" s="2" t="n"/>
      <c r="V568" s="2" t="n"/>
      <c r="W568" s="2" t="n"/>
      <c r="X568" s="2">
        <f>Q568</f>
        <v/>
      </c>
      <c r="Y568" s="4">
        <f>'QBO Transactions'!$Q570</f>
        <v/>
      </c>
      <c r="Z568" s="2" t="n"/>
      <c r="AA568" s="2" t="n"/>
      <c r="AB568" s="2" t="n"/>
      <c r="AC568" s="2" t="n"/>
      <c r="AD568" s="2" t="n"/>
      <c r="AE568" s="2" t="n"/>
    </row>
    <row r="569" ht="12.75" customHeight="1" s="52">
      <c r="A569" s="2" t="n"/>
      <c r="B569" s="2">
        <f>'QBO Transactions'!$U571</f>
        <v/>
      </c>
      <c r="C569" s="3">
        <f>'QBO Transactions'!$S571</f>
        <v/>
      </c>
      <c r="D569" s="2">
        <f>'QBO Transactions'!$R571</f>
        <v/>
      </c>
      <c r="E569" s="2" t="n"/>
      <c r="F569" s="3">
        <f>'QBO Transactions'!$X571</f>
        <v/>
      </c>
      <c r="G569" s="2" t="n"/>
      <c r="H569" s="2" t="n"/>
      <c r="I569" s="2" t="n"/>
      <c r="J569" s="2" t="n"/>
      <c r="K569" s="2" t="n"/>
      <c r="L569" s="2" t="n"/>
      <c r="M569" s="2" t="n"/>
      <c r="N569" s="2">
        <f>'QBO Transactions'!$Y571</f>
        <v/>
      </c>
      <c r="O569" s="2" t="n"/>
      <c r="P569" s="2" t="n"/>
      <c r="Q569" s="2">
        <f>'QBO Transactions'!$T571</f>
        <v/>
      </c>
      <c r="R569" s="2" t="n"/>
      <c r="S569" s="2" t="n"/>
      <c r="T569" s="2" t="n"/>
      <c r="U569" s="2" t="n"/>
      <c r="V569" s="2" t="n"/>
      <c r="W569" s="2" t="n"/>
      <c r="X569" s="2">
        <f>Q569</f>
        <v/>
      </c>
      <c r="Y569" s="4">
        <f>'QBO Transactions'!$Q571</f>
        <v/>
      </c>
      <c r="Z569" s="2" t="n"/>
      <c r="AA569" s="2" t="n"/>
      <c r="AB569" s="2" t="n"/>
      <c r="AC569" s="2" t="n"/>
      <c r="AD569" s="2" t="n"/>
      <c r="AE569" s="2" t="n"/>
    </row>
    <row r="570" ht="12.75" customHeight="1" s="52">
      <c r="A570" s="2" t="n"/>
      <c r="B570" s="2">
        <f>'QBO Transactions'!$U572</f>
        <v/>
      </c>
      <c r="C570" s="3">
        <f>'QBO Transactions'!$S572</f>
        <v/>
      </c>
      <c r="D570" s="2">
        <f>'QBO Transactions'!$R572</f>
        <v/>
      </c>
      <c r="E570" s="2" t="n"/>
      <c r="F570" s="3">
        <f>'QBO Transactions'!$X572</f>
        <v/>
      </c>
      <c r="G570" s="2" t="n"/>
      <c r="H570" s="2" t="n"/>
      <c r="I570" s="2" t="n"/>
      <c r="J570" s="2" t="n"/>
      <c r="K570" s="2" t="n"/>
      <c r="L570" s="2" t="n"/>
      <c r="M570" s="2" t="n"/>
      <c r="N570" s="2">
        <f>'QBO Transactions'!$Y572</f>
        <v/>
      </c>
      <c r="O570" s="2" t="n"/>
      <c r="P570" s="2" t="n"/>
      <c r="Q570" s="2">
        <f>'QBO Transactions'!$T572</f>
        <v/>
      </c>
      <c r="R570" s="2" t="n"/>
      <c r="S570" s="2" t="n"/>
      <c r="T570" s="2" t="n"/>
      <c r="U570" s="2" t="n"/>
      <c r="V570" s="2" t="n"/>
      <c r="W570" s="2" t="n"/>
      <c r="X570" s="2">
        <f>Q570</f>
        <v/>
      </c>
      <c r="Y570" s="4">
        <f>'QBO Transactions'!$Q572</f>
        <v/>
      </c>
      <c r="Z570" s="2" t="n"/>
      <c r="AA570" s="2" t="n"/>
      <c r="AB570" s="2" t="n"/>
      <c r="AC570" s="2" t="n"/>
      <c r="AD570" s="2" t="n"/>
      <c r="AE570" s="2" t="n"/>
    </row>
    <row r="571" ht="12.75" customHeight="1" s="52">
      <c r="A571" s="2" t="n"/>
      <c r="B571" s="2">
        <f>'QBO Transactions'!$U573</f>
        <v/>
      </c>
      <c r="C571" s="3">
        <f>'QBO Transactions'!$S573</f>
        <v/>
      </c>
      <c r="D571" s="2">
        <f>'QBO Transactions'!$R573</f>
        <v/>
      </c>
      <c r="E571" s="2" t="n"/>
      <c r="F571" s="3">
        <f>'QBO Transactions'!$X573</f>
        <v/>
      </c>
      <c r="G571" s="2" t="n"/>
      <c r="H571" s="2" t="n"/>
      <c r="I571" s="2" t="n"/>
      <c r="J571" s="2" t="n"/>
      <c r="K571" s="2" t="n"/>
      <c r="L571" s="2" t="n"/>
      <c r="M571" s="2" t="n"/>
      <c r="N571" s="2">
        <f>'QBO Transactions'!$Y573</f>
        <v/>
      </c>
      <c r="O571" s="2" t="n"/>
      <c r="P571" s="2" t="n"/>
      <c r="Q571" s="2">
        <f>'QBO Transactions'!$T573</f>
        <v/>
      </c>
      <c r="R571" s="2" t="n"/>
      <c r="S571" s="2" t="n"/>
      <c r="T571" s="2" t="n"/>
      <c r="U571" s="2" t="n"/>
      <c r="V571" s="2" t="n"/>
      <c r="W571" s="2" t="n"/>
      <c r="X571" s="2">
        <f>Q571</f>
        <v/>
      </c>
      <c r="Y571" s="4">
        <f>'QBO Transactions'!$Q573</f>
        <v/>
      </c>
      <c r="Z571" s="2" t="n"/>
      <c r="AA571" s="2" t="n"/>
      <c r="AB571" s="2" t="n"/>
      <c r="AC571" s="2" t="n"/>
      <c r="AD571" s="2" t="n"/>
      <c r="AE571" s="2" t="n"/>
    </row>
    <row r="572" ht="12.75" customHeight="1" s="52">
      <c r="A572" s="2" t="n"/>
      <c r="B572" s="2">
        <f>'QBO Transactions'!$U574</f>
        <v/>
      </c>
      <c r="C572" s="3">
        <f>'QBO Transactions'!$S574</f>
        <v/>
      </c>
      <c r="D572" s="2">
        <f>'QBO Transactions'!$R574</f>
        <v/>
      </c>
      <c r="E572" s="2" t="n"/>
      <c r="F572" s="3">
        <f>'QBO Transactions'!$X574</f>
        <v/>
      </c>
      <c r="G572" s="2" t="n"/>
      <c r="H572" s="2" t="n"/>
      <c r="I572" s="2" t="n"/>
      <c r="J572" s="2" t="n"/>
      <c r="K572" s="2" t="n"/>
      <c r="L572" s="2" t="n"/>
      <c r="M572" s="2" t="n"/>
      <c r="N572" s="2">
        <f>'QBO Transactions'!$Y574</f>
        <v/>
      </c>
      <c r="O572" s="2" t="n"/>
      <c r="P572" s="2" t="n"/>
      <c r="Q572" s="2">
        <f>'QBO Transactions'!$T574</f>
        <v/>
      </c>
      <c r="R572" s="2" t="n"/>
      <c r="S572" s="2" t="n"/>
      <c r="T572" s="2" t="n"/>
      <c r="U572" s="2" t="n"/>
      <c r="V572" s="2" t="n"/>
      <c r="W572" s="2" t="n"/>
      <c r="X572" s="2">
        <f>Q572</f>
        <v/>
      </c>
      <c r="Y572" s="4">
        <f>'QBO Transactions'!$Q574</f>
        <v/>
      </c>
      <c r="Z572" s="2" t="n"/>
      <c r="AA572" s="2" t="n"/>
      <c r="AB572" s="2" t="n"/>
      <c r="AC572" s="2" t="n"/>
      <c r="AD572" s="2" t="n"/>
      <c r="AE572" s="2" t="n"/>
    </row>
    <row r="573" ht="12.75" customHeight="1" s="52">
      <c r="A573" s="2" t="n"/>
      <c r="B573" s="2">
        <f>'QBO Transactions'!$U575</f>
        <v/>
      </c>
      <c r="C573" s="3">
        <f>'QBO Transactions'!$S575</f>
        <v/>
      </c>
      <c r="D573" s="2">
        <f>'QBO Transactions'!$R575</f>
        <v/>
      </c>
      <c r="E573" s="2" t="n"/>
      <c r="F573" s="3">
        <f>'QBO Transactions'!$X575</f>
        <v/>
      </c>
      <c r="G573" s="2" t="n"/>
      <c r="H573" s="2" t="n"/>
      <c r="I573" s="2" t="n"/>
      <c r="J573" s="2" t="n"/>
      <c r="K573" s="2" t="n"/>
      <c r="L573" s="2" t="n"/>
      <c r="M573" s="2" t="n"/>
      <c r="N573" s="2">
        <f>'QBO Transactions'!$Y575</f>
        <v/>
      </c>
      <c r="O573" s="2" t="n"/>
      <c r="P573" s="2" t="n"/>
      <c r="Q573" s="2">
        <f>'QBO Transactions'!$T575</f>
        <v/>
      </c>
      <c r="R573" s="2" t="n"/>
      <c r="S573" s="2" t="n"/>
      <c r="T573" s="2" t="n"/>
      <c r="U573" s="2" t="n"/>
      <c r="V573" s="2" t="n"/>
      <c r="W573" s="2" t="n"/>
      <c r="X573" s="2">
        <f>Q573</f>
        <v/>
      </c>
      <c r="Y573" s="4">
        <f>'QBO Transactions'!$Q575</f>
        <v/>
      </c>
      <c r="Z573" s="2" t="n"/>
      <c r="AA573" s="2" t="n"/>
      <c r="AB573" s="2" t="n"/>
      <c r="AC573" s="2" t="n"/>
      <c r="AD573" s="2" t="n"/>
      <c r="AE573" s="2" t="n"/>
    </row>
    <row r="574" ht="12.75" customHeight="1" s="52">
      <c r="A574" s="2" t="n"/>
      <c r="B574" s="2">
        <f>'QBO Transactions'!$U576</f>
        <v/>
      </c>
      <c r="C574" s="3">
        <f>'QBO Transactions'!$S576</f>
        <v/>
      </c>
      <c r="D574" s="2">
        <f>'QBO Transactions'!$R576</f>
        <v/>
      </c>
      <c r="E574" s="2" t="n"/>
      <c r="F574" s="3">
        <f>'QBO Transactions'!$X576</f>
        <v/>
      </c>
      <c r="G574" s="2" t="n"/>
      <c r="H574" s="2" t="n"/>
      <c r="I574" s="2" t="n"/>
      <c r="J574" s="2" t="n"/>
      <c r="K574" s="2" t="n"/>
      <c r="L574" s="2" t="n"/>
      <c r="M574" s="2" t="n"/>
      <c r="N574" s="2">
        <f>'QBO Transactions'!$Y576</f>
        <v/>
      </c>
      <c r="O574" s="2" t="n"/>
      <c r="P574" s="2" t="n"/>
      <c r="Q574" s="2">
        <f>'QBO Transactions'!$T576</f>
        <v/>
      </c>
      <c r="R574" s="2" t="n"/>
      <c r="S574" s="2" t="n"/>
      <c r="T574" s="2" t="n"/>
      <c r="U574" s="2" t="n"/>
      <c r="V574" s="2" t="n"/>
      <c r="W574" s="2" t="n"/>
      <c r="X574" s="2">
        <f>Q574</f>
        <v/>
      </c>
      <c r="Y574" s="4">
        <f>'QBO Transactions'!$Q576</f>
        <v/>
      </c>
      <c r="Z574" s="2" t="n"/>
      <c r="AA574" s="2" t="n"/>
      <c r="AB574" s="2" t="n"/>
      <c r="AC574" s="2" t="n"/>
      <c r="AD574" s="2" t="n"/>
      <c r="AE574" s="2" t="n"/>
    </row>
    <row r="575" ht="12.75" customHeight="1" s="52">
      <c r="A575" s="2" t="n"/>
      <c r="B575" s="2">
        <f>'QBO Transactions'!$U577</f>
        <v/>
      </c>
      <c r="C575" s="3">
        <f>'QBO Transactions'!$S577</f>
        <v/>
      </c>
      <c r="D575" s="2">
        <f>'QBO Transactions'!$R577</f>
        <v/>
      </c>
      <c r="E575" s="2" t="n"/>
      <c r="F575" s="3">
        <f>'QBO Transactions'!$X577</f>
        <v/>
      </c>
      <c r="G575" s="2" t="n"/>
      <c r="H575" s="2" t="n"/>
      <c r="I575" s="2" t="n"/>
      <c r="J575" s="2" t="n"/>
      <c r="K575" s="2" t="n"/>
      <c r="L575" s="2" t="n"/>
      <c r="M575" s="2" t="n"/>
      <c r="N575" s="2">
        <f>'QBO Transactions'!$Y577</f>
        <v/>
      </c>
      <c r="O575" s="2" t="n"/>
      <c r="P575" s="2" t="n"/>
      <c r="Q575" s="2">
        <f>'QBO Transactions'!$T577</f>
        <v/>
      </c>
      <c r="R575" s="2" t="n"/>
      <c r="S575" s="2" t="n"/>
      <c r="T575" s="2" t="n"/>
      <c r="U575" s="2" t="n"/>
      <c r="V575" s="2" t="n"/>
      <c r="W575" s="2" t="n"/>
      <c r="X575" s="2">
        <f>Q575</f>
        <v/>
      </c>
      <c r="Y575" s="4">
        <f>'QBO Transactions'!$Q577</f>
        <v/>
      </c>
      <c r="Z575" s="2" t="n"/>
      <c r="AA575" s="2" t="n"/>
      <c r="AB575" s="2" t="n"/>
      <c r="AC575" s="2" t="n"/>
      <c r="AD575" s="2" t="n"/>
      <c r="AE575" s="2" t="n"/>
    </row>
    <row r="576" ht="12.75" customHeight="1" s="52">
      <c r="A576" s="2" t="n"/>
      <c r="B576" s="2">
        <f>'QBO Transactions'!$U578</f>
        <v/>
      </c>
      <c r="C576" s="3">
        <f>'QBO Transactions'!$S578</f>
        <v/>
      </c>
      <c r="D576" s="2">
        <f>'QBO Transactions'!$R578</f>
        <v/>
      </c>
      <c r="E576" s="2" t="n"/>
      <c r="F576" s="3">
        <f>'QBO Transactions'!$X578</f>
        <v/>
      </c>
      <c r="G576" s="2" t="n"/>
      <c r="H576" s="2" t="n"/>
      <c r="I576" s="2" t="n"/>
      <c r="J576" s="2" t="n"/>
      <c r="K576" s="2" t="n"/>
      <c r="L576" s="2" t="n"/>
      <c r="M576" s="2" t="n"/>
      <c r="N576" s="2">
        <f>'QBO Transactions'!$Y578</f>
        <v/>
      </c>
      <c r="O576" s="2" t="n"/>
      <c r="P576" s="2" t="n"/>
      <c r="Q576" s="2">
        <f>'QBO Transactions'!$T578</f>
        <v/>
      </c>
      <c r="R576" s="2" t="n"/>
      <c r="S576" s="2" t="n"/>
      <c r="T576" s="2" t="n"/>
      <c r="U576" s="2" t="n"/>
      <c r="V576" s="2" t="n"/>
      <c r="W576" s="2" t="n"/>
      <c r="X576" s="2">
        <f>Q576</f>
        <v/>
      </c>
      <c r="Y576" s="4">
        <f>'QBO Transactions'!$Q578</f>
        <v/>
      </c>
      <c r="Z576" s="2" t="n"/>
      <c r="AA576" s="2" t="n"/>
      <c r="AB576" s="2" t="n"/>
      <c r="AC576" s="2" t="n"/>
      <c r="AD576" s="2" t="n"/>
      <c r="AE576" s="2" t="n"/>
    </row>
    <row r="577" ht="12.75" customHeight="1" s="52">
      <c r="A577" s="2" t="n"/>
      <c r="B577" s="2">
        <f>'QBO Transactions'!$U579</f>
        <v/>
      </c>
      <c r="C577" s="3">
        <f>'QBO Transactions'!$S579</f>
        <v/>
      </c>
      <c r="D577" s="2">
        <f>'QBO Transactions'!$R579</f>
        <v/>
      </c>
      <c r="E577" s="2" t="n"/>
      <c r="F577" s="3">
        <f>'QBO Transactions'!$X579</f>
        <v/>
      </c>
      <c r="G577" s="2" t="n"/>
      <c r="H577" s="2" t="n"/>
      <c r="I577" s="2" t="n"/>
      <c r="J577" s="2" t="n"/>
      <c r="K577" s="2" t="n"/>
      <c r="L577" s="2" t="n"/>
      <c r="M577" s="2" t="n"/>
      <c r="N577" s="2">
        <f>'QBO Transactions'!$Y579</f>
        <v/>
      </c>
      <c r="O577" s="2" t="n"/>
      <c r="P577" s="2" t="n"/>
      <c r="Q577" s="2">
        <f>'QBO Transactions'!$T579</f>
        <v/>
      </c>
      <c r="R577" s="2" t="n"/>
      <c r="S577" s="2" t="n"/>
      <c r="T577" s="2" t="n"/>
      <c r="U577" s="2" t="n"/>
      <c r="V577" s="2" t="n"/>
      <c r="W577" s="2" t="n"/>
      <c r="X577" s="2">
        <f>Q577</f>
        <v/>
      </c>
      <c r="Y577" s="4">
        <f>'QBO Transactions'!$Q579</f>
        <v/>
      </c>
      <c r="Z577" s="2" t="n"/>
      <c r="AA577" s="2" t="n"/>
      <c r="AB577" s="2" t="n"/>
      <c r="AC577" s="2" t="n"/>
      <c r="AD577" s="2" t="n"/>
      <c r="AE577" s="2" t="n"/>
    </row>
    <row r="578" ht="12.75" customHeight="1" s="52">
      <c r="A578" s="2" t="n"/>
      <c r="B578" s="2">
        <f>'QBO Transactions'!$U580</f>
        <v/>
      </c>
      <c r="C578" s="3">
        <f>'QBO Transactions'!$S580</f>
        <v/>
      </c>
      <c r="D578" s="2">
        <f>'QBO Transactions'!$R580</f>
        <v/>
      </c>
      <c r="E578" s="2" t="n"/>
      <c r="F578" s="3">
        <f>'QBO Transactions'!$X580</f>
        <v/>
      </c>
      <c r="G578" s="2" t="n"/>
      <c r="H578" s="2" t="n"/>
      <c r="I578" s="2" t="n"/>
      <c r="J578" s="2" t="n"/>
      <c r="K578" s="2" t="n"/>
      <c r="L578" s="2" t="n"/>
      <c r="M578" s="2" t="n"/>
      <c r="N578" s="2">
        <f>'QBO Transactions'!$Y580</f>
        <v/>
      </c>
      <c r="O578" s="2" t="n"/>
      <c r="P578" s="2" t="n"/>
      <c r="Q578" s="2">
        <f>'QBO Transactions'!$T580</f>
        <v/>
      </c>
      <c r="R578" s="2" t="n"/>
      <c r="S578" s="2" t="n"/>
      <c r="T578" s="2" t="n"/>
      <c r="U578" s="2" t="n"/>
      <c r="V578" s="2" t="n"/>
      <c r="W578" s="2" t="n"/>
      <c r="X578" s="2">
        <f>Q578</f>
        <v/>
      </c>
      <c r="Y578" s="4">
        <f>'QBO Transactions'!$Q580</f>
        <v/>
      </c>
      <c r="Z578" s="2" t="n"/>
      <c r="AA578" s="2" t="n"/>
      <c r="AB578" s="2" t="n"/>
      <c r="AC578" s="2" t="n"/>
      <c r="AD578" s="2" t="n"/>
      <c r="AE578" s="2" t="n"/>
    </row>
    <row r="579" ht="12.75" customHeight="1" s="52">
      <c r="A579" s="2" t="n"/>
      <c r="B579" s="2">
        <f>'QBO Transactions'!$U581</f>
        <v/>
      </c>
      <c r="C579" s="3">
        <f>'QBO Transactions'!$S581</f>
        <v/>
      </c>
      <c r="D579" s="2">
        <f>'QBO Transactions'!$R581</f>
        <v/>
      </c>
      <c r="E579" s="2" t="n"/>
      <c r="F579" s="3">
        <f>'QBO Transactions'!$X581</f>
        <v/>
      </c>
      <c r="G579" s="2" t="n"/>
      <c r="H579" s="2" t="n"/>
      <c r="I579" s="2" t="n"/>
      <c r="J579" s="2" t="n"/>
      <c r="K579" s="2" t="n"/>
      <c r="L579" s="2" t="n"/>
      <c r="M579" s="2" t="n"/>
      <c r="N579" s="2">
        <f>'QBO Transactions'!$Y581</f>
        <v/>
      </c>
      <c r="O579" s="2" t="n"/>
      <c r="P579" s="2" t="n"/>
      <c r="Q579" s="2">
        <f>'QBO Transactions'!$T581</f>
        <v/>
      </c>
      <c r="R579" s="2" t="n"/>
      <c r="S579" s="2" t="n"/>
      <c r="T579" s="2" t="n"/>
      <c r="U579" s="2" t="n"/>
      <c r="V579" s="2" t="n"/>
      <c r="W579" s="2" t="n"/>
      <c r="X579" s="2">
        <f>Q579</f>
        <v/>
      </c>
      <c r="Y579" s="4">
        <f>'QBO Transactions'!$Q581</f>
        <v/>
      </c>
      <c r="Z579" s="2" t="n"/>
      <c r="AA579" s="2" t="n"/>
      <c r="AB579" s="2" t="n"/>
      <c r="AC579" s="2" t="n"/>
      <c r="AD579" s="2" t="n"/>
      <c r="AE579" s="2" t="n"/>
    </row>
    <row r="580" ht="12.75" customHeight="1" s="52">
      <c r="A580" s="2" t="n"/>
      <c r="B580" s="2">
        <f>'QBO Transactions'!$U582</f>
        <v/>
      </c>
      <c r="C580" s="3">
        <f>'QBO Transactions'!$S582</f>
        <v/>
      </c>
      <c r="D580" s="2">
        <f>'QBO Transactions'!$R582</f>
        <v/>
      </c>
      <c r="E580" s="2" t="n"/>
      <c r="F580" s="3">
        <f>'QBO Transactions'!$X582</f>
        <v/>
      </c>
      <c r="G580" s="2" t="n"/>
      <c r="H580" s="2" t="n"/>
      <c r="I580" s="2" t="n"/>
      <c r="J580" s="2" t="n"/>
      <c r="K580" s="2" t="n"/>
      <c r="L580" s="2" t="n"/>
      <c r="M580" s="2" t="n"/>
      <c r="N580" s="2">
        <f>'QBO Transactions'!$Y582</f>
        <v/>
      </c>
      <c r="O580" s="2" t="n"/>
      <c r="P580" s="2" t="n"/>
      <c r="Q580" s="2">
        <f>'QBO Transactions'!$T582</f>
        <v/>
      </c>
      <c r="R580" s="2" t="n"/>
      <c r="S580" s="2" t="n"/>
      <c r="T580" s="2" t="n"/>
      <c r="U580" s="2" t="n"/>
      <c r="V580" s="2" t="n"/>
      <c r="W580" s="2" t="n"/>
      <c r="X580" s="2">
        <f>Q580</f>
        <v/>
      </c>
      <c r="Y580" s="4">
        <f>'QBO Transactions'!$Q582</f>
        <v/>
      </c>
      <c r="Z580" s="2" t="n"/>
      <c r="AA580" s="2" t="n"/>
      <c r="AB580" s="2" t="n"/>
      <c r="AC580" s="2" t="n"/>
      <c r="AD580" s="2" t="n"/>
      <c r="AE580" s="2" t="n"/>
    </row>
    <row r="581" ht="12.75" customHeight="1" s="52">
      <c r="A581" s="2" t="n"/>
      <c r="B581" s="2">
        <f>'QBO Transactions'!$U583</f>
        <v/>
      </c>
      <c r="C581" s="3">
        <f>'QBO Transactions'!$S583</f>
        <v/>
      </c>
      <c r="D581" s="2">
        <f>'QBO Transactions'!$R583</f>
        <v/>
      </c>
      <c r="E581" s="2" t="n"/>
      <c r="F581" s="3">
        <f>'QBO Transactions'!$X583</f>
        <v/>
      </c>
      <c r="G581" s="2" t="n"/>
      <c r="H581" s="2" t="n"/>
      <c r="I581" s="2" t="n"/>
      <c r="J581" s="2" t="n"/>
      <c r="K581" s="2" t="n"/>
      <c r="L581" s="2" t="n"/>
      <c r="M581" s="2" t="n"/>
      <c r="N581" s="2">
        <f>'QBO Transactions'!$Y583</f>
        <v/>
      </c>
      <c r="O581" s="2" t="n"/>
      <c r="P581" s="2" t="n"/>
      <c r="Q581" s="2">
        <f>'QBO Transactions'!$T583</f>
        <v/>
      </c>
      <c r="R581" s="2" t="n"/>
      <c r="S581" s="2" t="n"/>
      <c r="T581" s="2" t="n"/>
      <c r="U581" s="2" t="n"/>
      <c r="V581" s="2" t="n"/>
      <c r="W581" s="2" t="n"/>
      <c r="X581" s="2">
        <f>Q581</f>
        <v/>
      </c>
      <c r="Y581" s="4">
        <f>'QBO Transactions'!$Q583</f>
        <v/>
      </c>
      <c r="Z581" s="2" t="n"/>
      <c r="AA581" s="2" t="n"/>
      <c r="AB581" s="2" t="n"/>
      <c r="AC581" s="2" t="n"/>
      <c r="AD581" s="2" t="n"/>
      <c r="AE581" s="2" t="n"/>
    </row>
    <row r="582" ht="12.75" customHeight="1" s="52">
      <c r="A582" s="2" t="n"/>
      <c r="B582" s="2">
        <f>'QBO Transactions'!$U584</f>
        <v/>
      </c>
      <c r="C582" s="3">
        <f>'QBO Transactions'!$S584</f>
        <v/>
      </c>
      <c r="D582" s="2">
        <f>'QBO Transactions'!$R584</f>
        <v/>
      </c>
      <c r="E582" s="2" t="n"/>
      <c r="F582" s="3">
        <f>'QBO Transactions'!$X584</f>
        <v/>
      </c>
      <c r="G582" s="2" t="n"/>
      <c r="H582" s="2" t="n"/>
      <c r="I582" s="2" t="n"/>
      <c r="J582" s="2" t="n"/>
      <c r="K582" s="2" t="n"/>
      <c r="L582" s="2" t="n"/>
      <c r="M582" s="2" t="n"/>
      <c r="N582" s="2">
        <f>'QBO Transactions'!$Y584</f>
        <v/>
      </c>
      <c r="O582" s="2" t="n"/>
      <c r="P582" s="2" t="n"/>
      <c r="Q582" s="2">
        <f>'QBO Transactions'!$T584</f>
        <v/>
      </c>
      <c r="R582" s="2" t="n"/>
      <c r="S582" s="2" t="n"/>
      <c r="T582" s="2" t="n"/>
      <c r="U582" s="2" t="n"/>
      <c r="V582" s="2" t="n"/>
      <c r="W582" s="2" t="n"/>
      <c r="X582" s="2">
        <f>Q582</f>
        <v/>
      </c>
      <c r="Y582" s="4">
        <f>'QBO Transactions'!$Q584</f>
        <v/>
      </c>
      <c r="Z582" s="2" t="n"/>
      <c r="AA582" s="2" t="n"/>
      <c r="AB582" s="2" t="n"/>
      <c r="AC582" s="2" t="n"/>
      <c r="AD582" s="2" t="n"/>
      <c r="AE582" s="2" t="n"/>
    </row>
    <row r="583" ht="12.75" customHeight="1" s="52">
      <c r="A583" s="2" t="n"/>
      <c r="B583" s="2">
        <f>'QBO Transactions'!$U585</f>
        <v/>
      </c>
      <c r="C583" s="3">
        <f>'QBO Transactions'!$S585</f>
        <v/>
      </c>
      <c r="D583" s="2">
        <f>'QBO Transactions'!$R585</f>
        <v/>
      </c>
      <c r="E583" s="2" t="n"/>
      <c r="F583" s="3">
        <f>'QBO Transactions'!$X585</f>
        <v/>
      </c>
      <c r="G583" s="2" t="n"/>
      <c r="H583" s="2" t="n"/>
      <c r="I583" s="2" t="n"/>
      <c r="J583" s="2" t="n"/>
      <c r="K583" s="2" t="n"/>
      <c r="L583" s="2" t="n"/>
      <c r="M583" s="2" t="n"/>
      <c r="N583" s="2">
        <f>'QBO Transactions'!$Y585</f>
        <v/>
      </c>
      <c r="O583" s="2" t="n"/>
      <c r="P583" s="2" t="n"/>
      <c r="Q583" s="2">
        <f>'QBO Transactions'!$T585</f>
        <v/>
      </c>
      <c r="R583" s="2" t="n"/>
      <c r="S583" s="2" t="n"/>
      <c r="T583" s="2" t="n"/>
      <c r="U583" s="2" t="n"/>
      <c r="V583" s="2" t="n"/>
      <c r="W583" s="2" t="n"/>
      <c r="X583" s="2">
        <f>Q583</f>
        <v/>
      </c>
      <c r="Y583" s="4">
        <f>'QBO Transactions'!$Q585</f>
        <v/>
      </c>
      <c r="Z583" s="2" t="n"/>
      <c r="AA583" s="2" t="n"/>
      <c r="AB583" s="2" t="n"/>
      <c r="AC583" s="2" t="n"/>
      <c r="AD583" s="2" t="n"/>
      <c r="AE583" s="2" t="n"/>
    </row>
    <row r="584" ht="12.75" customHeight="1" s="52">
      <c r="A584" s="2" t="n"/>
      <c r="B584" s="2">
        <f>'QBO Transactions'!$U586</f>
        <v/>
      </c>
      <c r="C584" s="3">
        <f>'QBO Transactions'!$S586</f>
        <v/>
      </c>
      <c r="D584" s="2">
        <f>'QBO Transactions'!$R586</f>
        <v/>
      </c>
      <c r="E584" s="2" t="n"/>
      <c r="F584" s="3">
        <f>'QBO Transactions'!$X586</f>
        <v/>
      </c>
      <c r="G584" s="2" t="n"/>
      <c r="H584" s="2" t="n"/>
      <c r="I584" s="2" t="n"/>
      <c r="J584" s="2" t="n"/>
      <c r="K584" s="2" t="n"/>
      <c r="L584" s="2" t="n"/>
      <c r="M584" s="2" t="n"/>
      <c r="N584" s="2">
        <f>'QBO Transactions'!$Y586</f>
        <v/>
      </c>
      <c r="O584" s="2" t="n"/>
      <c r="P584" s="2" t="n"/>
      <c r="Q584" s="2">
        <f>'QBO Transactions'!$T586</f>
        <v/>
      </c>
      <c r="R584" s="2" t="n"/>
      <c r="S584" s="2" t="n"/>
      <c r="T584" s="2" t="n"/>
      <c r="U584" s="2" t="n"/>
      <c r="V584" s="2" t="n"/>
      <c r="W584" s="2" t="n"/>
      <c r="X584" s="2">
        <f>Q584</f>
        <v/>
      </c>
      <c r="Y584" s="4">
        <f>'QBO Transactions'!$Q586</f>
        <v/>
      </c>
      <c r="Z584" s="2" t="n"/>
      <c r="AA584" s="2" t="n"/>
      <c r="AB584" s="2" t="n"/>
      <c r="AC584" s="2" t="n"/>
      <c r="AD584" s="2" t="n"/>
      <c r="AE584" s="2" t="n"/>
    </row>
    <row r="585" ht="12.75" customHeight="1" s="52">
      <c r="A585" s="2" t="n"/>
      <c r="B585" s="2">
        <f>'QBO Transactions'!$U587</f>
        <v/>
      </c>
      <c r="C585" s="3">
        <f>'QBO Transactions'!$S587</f>
        <v/>
      </c>
      <c r="D585" s="2">
        <f>'QBO Transactions'!$R587</f>
        <v/>
      </c>
      <c r="E585" s="2" t="n"/>
      <c r="F585" s="3">
        <f>'QBO Transactions'!$X587</f>
        <v/>
      </c>
      <c r="G585" s="2" t="n"/>
      <c r="H585" s="2" t="n"/>
      <c r="I585" s="2" t="n"/>
      <c r="J585" s="2" t="n"/>
      <c r="K585" s="2" t="n"/>
      <c r="L585" s="2" t="n"/>
      <c r="M585" s="2" t="n"/>
      <c r="N585" s="2">
        <f>'QBO Transactions'!$Y587</f>
        <v/>
      </c>
      <c r="O585" s="2" t="n"/>
      <c r="P585" s="2" t="n"/>
      <c r="Q585" s="2">
        <f>'QBO Transactions'!$T587</f>
        <v/>
      </c>
      <c r="R585" s="2" t="n"/>
      <c r="S585" s="2" t="n"/>
      <c r="T585" s="2" t="n"/>
      <c r="U585" s="2" t="n"/>
      <c r="V585" s="2" t="n"/>
      <c r="W585" s="2" t="n"/>
      <c r="X585" s="2">
        <f>Q585</f>
        <v/>
      </c>
      <c r="Y585" s="4">
        <f>'QBO Transactions'!$Q587</f>
        <v/>
      </c>
      <c r="Z585" s="2" t="n"/>
      <c r="AA585" s="2" t="n"/>
      <c r="AB585" s="2" t="n"/>
      <c r="AC585" s="2" t="n"/>
      <c r="AD585" s="2" t="n"/>
      <c r="AE585" s="2" t="n"/>
    </row>
    <row r="586" ht="12.75" customHeight="1" s="52">
      <c r="A586" s="2" t="n"/>
      <c r="B586" s="2">
        <f>'QBO Transactions'!$U588</f>
        <v/>
      </c>
      <c r="C586" s="3">
        <f>'QBO Transactions'!$S588</f>
        <v/>
      </c>
      <c r="D586" s="2">
        <f>'QBO Transactions'!$R588</f>
        <v/>
      </c>
      <c r="E586" s="2" t="n"/>
      <c r="F586" s="3">
        <f>'QBO Transactions'!$X588</f>
        <v/>
      </c>
      <c r="G586" s="2" t="n"/>
      <c r="H586" s="2" t="n"/>
      <c r="I586" s="2" t="n"/>
      <c r="J586" s="2" t="n"/>
      <c r="K586" s="2" t="n"/>
      <c r="L586" s="2" t="n"/>
      <c r="M586" s="2" t="n"/>
      <c r="N586" s="2">
        <f>'QBO Transactions'!$Y588</f>
        <v/>
      </c>
      <c r="O586" s="2" t="n"/>
      <c r="P586" s="2" t="n"/>
      <c r="Q586" s="2">
        <f>'QBO Transactions'!$T588</f>
        <v/>
      </c>
      <c r="R586" s="2" t="n"/>
      <c r="S586" s="2" t="n"/>
      <c r="T586" s="2" t="n"/>
      <c r="U586" s="2" t="n"/>
      <c r="V586" s="2" t="n"/>
      <c r="W586" s="2" t="n"/>
      <c r="X586" s="2">
        <f>Q586</f>
        <v/>
      </c>
      <c r="Y586" s="4">
        <f>'QBO Transactions'!$Q588</f>
        <v/>
      </c>
      <c r="Z586" s="2" t="n"/>
      <c r="AA586" s="2" t="n"/>
      <c r="AB586" s="2" t="n"/>
      <c r="AC586" s="2" t="n"/>
      <c r="AD586" s="2" t="n"/>
      <c r="AE586" s="2" t="n"/>
    </row>
    <row r="587" ht="12.75" customHeight="1" s="52">
      <c r="A587" s="2" t="n"/>
      <c r="B587" s="2">
        <f>'QBO Transactions'!$U589</f>
        <v/>
      </c>
      <c r="C587" s="3">
        <f>'QBO Transactions'!$S589</f>
        <v/>
      </c>
      <c r="D587" s="2">
        <f>'QBO Transactions'!$R589</f>
        <v/>
      </c>
      <c r="E587" s="2" t="n"/>
      <c r="F587" s="3">
        <f>'QBO Transactions'!$X589</f>
        <v/>
      </c>
      <c r="G587" s="2" t="n"/>
      <c r="H587" s="2" t="n"/>
      <c r="I587" s="2" t="n"/>
      <c r="J587" s="2" t="n"/>
      <c r="K587" s="2" t="n"/>
      <c r="L587" s="2" t="n"/>
      <c r="M587" s="2" t="n"/>
      <c r="N587" s="2">
        <f>'QBO Transactions'!$Y589</f>
        <v/>
      </c>
      <c r="O587" s="2" t="n"/>
      <c r="P587" s="2" t="n"/>
      <c r="Q587" s="2">
        <f>'QBO Transactions'!$T589</f>
        <v/>
      </c>
      <c r="R587" s="2" t="n"/>
      <c r="S587" s="2" t="n"/>
      <c r="T587" s="2" t="n"/>
      <c r="U587" s="2" t="n"/>
      <c r="V587" s="2" t="n"/>
      <c r="W587" s="2" t="n"/>
      <c r="X587" s="2">
        <f>Q587</f>
        <v/>
      </c>
      <c r="Y587" s="4">
        <f>'QBO Transactions'!$Q589</f>
        <v/>
      </c>
      <c r="Z587" s="2" t="n"/>
      <c r="AA587" s="2" t="n"/>
      <c r="AB587" s="2" t="n"/>
      <c r="AC587" s="2" t="n"/>
      <c r="AD587" s="2" t="n"/>
      <c r="AE587" s="2" t="n"/>
    </row>
    <row r="588" ht="12.75" customHeight="1" s="52">
      <c r="A588" s="2" t="n"/>
      <c r="B588" s="2">
        <f>'QBO Transactions'!$U590</f>
        <v/>
      </c>
      <c r="C588" s="3">
        <f>'QBO Transactions'!$S590</f>
        <v/>
      </c>
      <c r="D588" s="2">
        <f>'QBO Transactions'!$R590</f>
        <v/>
      </c>
      <c r="E588" s="2" t="n"/>
      <c r="F588" s="3">
        <f>'QBO Transactions'!$X590</f>
        <v/>
      </c>
      <c r="G588" s="2" t="n"/>
      <c r="H588" s="2" t="n"/>
      <c r="I588" s="2" t="n"/>
      <c r="J588" s="2" t="n"/>
      <c r="K588" s="2" t="n"/>
      <c r="L588" s="2" t="n"/>
      <c r="M588" s="2" t="n"/>
      <c r="N588" s="2">
        <f>'QBO Transactions'!$Y590</f>
        <v/>
      </c>
      <c r="O588" s="2" t="n"/>
      <c r="P588" s="2" t="n"/>
      <c r="Q588" s="2">
        <f>'QBO Transactions'!$T590</f>
        <v/>
      </c>
      <c r="R588" s="2" t="n"/>
      <c r="S588" s="2" t="n"/>
      <c r="T588" s="2" t="n"/>
      <c r="U588" s="2" t="n"/>
      <c r="V588" s="2" t="n"/>
      <c r="W588" s="2" t="n"/>
      <c r="X588" s="2">
        <f>Q588</f>
        <v/>
      </c>
      <c r="Y588" s="4">
        <f>'QBO Transactions'!$Q590</f>
        <v/>
      </c>
      <c r="Z588" s="2" t="n"/>
      <c r="AA588" s="2" t="n"/>
      <c r="AB588" s="2" t="n"/>
      <c r="AC588" s="2" t="n"/>
      <c r="AD588" s="2" t="n"/>
      <c r="AE588" s="2" t="n"/>
    </row>
    <row r="589" ht="12.75" customHeight="1" s="52">
      <c r="A589" s="2" t="n"/>
      <c r="B589" s="2">
        <f>'QBO Transactions'!$U591</f>
        <v/>
      </c>
      <c r="C589" s="3">
        <f>'QBO Transactions'!$S591</f>
        <v/>
      </c>
      <c r="D589" s="2">
        <f>'QBO Transactions'!$R591</f>
        <v/>
      </c>
      <c r="E589" s="2" t="n"/>
      <c r="F589" s="3">
        <f>'QBO Transactions'!$X591</f>
        <v/>
      </c>
      <c r="G589" s="2" t="n"/>
      <c r="H589" s="2" t="n"/>
      <c r="I589" s="2" t="n"/>
      <c r="J589" s="2" t="n"/>
      <c r="K589" s="2" t="n"/>
      <c r="L589" s="2" t="n"/>
      <c r="M589" s="2" t="n"/>
      <c r="N589" s="2">
        <f>'QBO Transactions'!$Y591</f>
        <v/>
      </c>
      <c r="O589" s="2" t="n"/>
      <c r="P589" s="2" t="n"/>
      <c r="Q589" s="2">
        <f>'QBO Transactions'!$T591</f>
        <v/>
      </c>
      <c r="R589" s="2" t="n"/>
      <c r="S589" s="2" t="n"/>
      <c r="T589" s="2" t="n"/>
      <c r="U589" s="2" t="n"/>
      <c r="V589" s="2" t="n"/>
      <c r="W589" s="2" t="n"/>
      <c r="X589" s="2">
        <f>Q589</f>
        <v/>
      </c>
      <c r="Y589" s="4">
        <f>'QBO Transactions'!$Q591</f>
        <v/>
      </c>
      <c r="Z589" s="2" t="n"/>
      <c r="AA589" s="2" t="n"/>
      <c r="AB589" s="2" t="n"/>
      <c r="AC589" s="2" t="n"/>
      <c r="AD589" s="2" t="n"/>
      <c r="AE589" s="2" t="n"/>
    </row>
    <row r="590" ht="12.75" customHeight="1" s="52">
      <c r="A590" s="2" t="n"/>
      <c r="B590" s="2">
        <f>'QBO Transactions'!$U592</f>
        <v/>
      </c>
      <c r="C590" s="3">
        <f>'QBO Transactions'!$S592</f>
        <v/>
      </c>
      <c r="D590" s="2">
        <f>'QBO Transactions'!$R592</f>
        <v/>
      </c>
      <c r="E590" s="2" t="n"/>
      <c r="F590" s="3">
        <f>'QBO Transactions'!$X592</f>
        <v/>
      </c>
      <c r="G590" s="2" t="n"/>
      <c r="H590" s="2" t="n"/>
      <c r="I590" s="2" t="n"/>
      <c r="J590" s="2" t="n"/>
      <c r="K590" s="2" t="n"/>
      <c r="L590" s="2" t="n"/>
      <c r="M590" s="2" t="n"/>
      <c r="N590" s="2">
        <f>'QBO Transactions'!$Y592</f>
        <v/>
      </c>
      <c r="O590" s="2" t="n"/>
      <c r="P590" s="2" t="n"/>
      <c r="Q590" s="2">
        <f>'QBO Transactions'!$T592</f>
        <v/>
      </c>
      <c r="R590" s="2" t="n"/>
      <c r="S590" s="2" t="n"/>
      <c r="T590" s="2" t="n"/>
      <c r="U590" s="2" t="n"/>
      <c r="V590" s="2" t="n"/>
      <c r="W590" s="2" t="n"/>
      <c r="X590" s="2">
        <f>Q590</f>
        <v/>
      </c>
      <c r="Y590" s="4">
        <f>'QBO Transactions'!$Q592</f>
        <v/>
      </c>
      <c r="Z590" s="2" t="n"/>
      <c r="AA590" s="2" t="n"/>
      <c r="AB590" s="2" t="n"/>
      <c r="AC590" s="2" t="n"/>
      <c r="AD590" s="2" t="n"/>
      <c r="AE590" s="2" t="n"/>
    </row>
    <row r="591" ht="12.75" customHeight="1" s="52">
      <c r="A591" s="2" t="n"/>
      <c r="B591" s="2">
        <f>'QBO Transactions'!$U593</f>
        <v/>
      </c>
      <c r="C591" s="3">
        <f>'QBO Transactions'!$S593</f>
        <v/>
      </c>
      <c r="D591" s="2">
        <f>'QBO Transactions'!$R593</f>
        <v/>
      </c>
      <c r="E591" s="2" t="n"/>
      <c r="F591" s="3">
        <f>'QBO Transactions'!$X593</f>
        <v/>
      </c>
      <c r="G591" s="2" t="n"/>
      <c r="H591" s="2" t="n"/>
      <c r="I591" s="2" t="n"/>
      <c r="J591" s="2" t="n"/>
      <c r="K591" s="2" t="n"/>
      <c r="L591" s="2" t="n"/>
      <c r="M591" s="2" t="n"/>
      <c r="N591" s="2">
        <f>'QBO Transactions'!$Y593</f>
        <v/>
      </c>
      <c r="O591" s="2" t="n"/>
      <c r="P591" s="2" t="n"/>
      <c r="Q591" s="2">
        <f>'QBO Transactions'!$T593</f>
        <v/>
      </c>
      <c r="R591" s="2" t="n"/>
      <c r="S591" s="2" t="n"/>
      <c r="T591" s="2" t="n"/>
      <c r="U591" s="2" t="n"/>
      <c r="V591" s="2" t="n"/>
      <c r="W591" s="2" t="n"/>
      <c r="X591" s="2">
        <f>Q591</f>
        <v/>
      </c>
      <c r="Y591" s="4">
        <f>'QBO Transactions'!$Q593</f>
        <v/>
      </c>
      <c r="Z591" s="2" t="n"/>
      <c r="AA591" s="2" t="n"/>
      <c r="AB591" s="2" t="n"/>
      <c r="AC591" s="2" t="n"/>
      <c r="AD591" s="2" t="n"/>
      <c r="AE591" s="2" t="n"/>
    </row>
    <row r="592" ht="12.75" customHeight="1" s="52">
      <c r="A592" s="2" t="n"/>
      <c r="B592" s="2">
        <f>'QBO Transactions'!$U594</f>
        <v/>
      </c>
      <c r="C592" s="3">
        <f>'QBO Transactions'!$S594</f>
        <v/>
      </c>
      <c r="D592" s="2">
        <f>'QBO Transactions'!$R594</f>
        <v/>
      </c>
      <c r="E592" s="2" t="n"/>
      <c r="F592" s="3">
        <f>'QBO Transactions'!$X594</f>
        <v/>
      </c>
      <c r="G592" s="2" t="n"/>
      <c r="H592" s="2" t="n"/>
      <c r="I592" s="2" t="n"/>
      <c r="J592" s="2" t="n"/>
      <c r="K592" s="2" t="n"/>
      <c r="L592" s="2" t="n"/>
      <c r="M592" s="2" t="n"/>
      <c r="N592" s="2">
        <f>'QBO Transactions'!$Y594</f>
        <v/>
      </c>
      <c r="O592" s="2" t="n"/>
      <c r="P592" s="2" t="n"/>
      <c r="Q592" s="2">
        <f>'QBO Transactions'!$T594</f>
        <v/>
      </c>
      <c r="R592" s="2" t="n"/>
      <c r="S592" s="2" t="n"/>
      <c r="T592" s="2" t="n"/>
      <c r="U592" s="2" t="n"/>
      <c r="V592" s="2" t="n"/>
      <c r="W592" s="2" t="n"/>
      <c r="X592" s="2">
        <f>Q592</f>
        <v/>
      </c>
      <c r="Y592" s="4">
        <f>'QBO Transactions'!$Q594</f>
        <v/>
      </c>
      <c r="Z592" s="2" t="n"/>
      <c r="AA592" s="2" t="n"/>
      <c r="AB592" s="2" t="n"/>
      <c r="AC592" s="2" t="n"/>
      <c r="AD592" s="2" t="n"/>
      <c r="AE592" s="2" t="n"/>
    </row>
    <row r="593" ht="12.75" customHeight="1" s="52">
      <c r="A593" s="2" t="n"/>
      <c r="B593" s="2">
        <f>'QBO Transactions'!$U595</f>
        <v/>
      </c>
      <c r="C593" s="3">
        <f>'QBO Transactions'!$S595</f>
        <v/>
      </c>
      <c r="D593" s="2">
        <f>'QBO Transactions'!$R595</f>
        <v/>
      </c>
      <c r="E593" s="2" t="n"/>
      <c r="F593" s="3">
        <f>'QBO Transactions'!$X595</f>
        <v/>
      </c>
      <c r="G593" s="2" t="n"/>
      <c r="H593" s="2" t="n"/>
      <c r="I593" s="2" t="n"/>
      <c r="J593" s="2" t="n"/>
      <c r="K593" s="2" t="n"/>
      <c r="L593" s="2" t="n"/>
      <c r="M593" s="2" t="n"/>
      <c r="N593" s="2">
        <f>'QBO Transactions'!$Y595</f>
        <v/>
      </c>
      <c r="O593" s="2" t="n"/>
      <c r="P593" s="2" t="n"/>
      <c r="Q593" s="2">
        <f>'QBO Transactions'!$T595</f>
        <v/>
      </c>
      <c r="R593" s="2" t="n"/>
      <c r="S593" s="2" t="n"/>
      <c r="T593" s="2" t="n"/>
      <c r="U593" s="2" t="n"/>
      <c r="V593" s="2" t="n"/>
      <c r="W593" s="2" t="n"/>
      <c r="X593" s="2">
        <f>Q593</f>
        <v/>
      </c>
      <c r="Y593" s="4">
        <f>'QBO Transactions'!$Q595</f>
        <v/>
      </c>
      <c r="Z593" s="2" t="n"/>
      <c r="AA593" s="2" t="n"/>
      <c r="AB593" s="2" t="n"/>
      <c r="AC593" s="2" t="n"/>
      <c r="AD593" s="2" t="n"/>
      <c r="AE593" s="2" t="n"/>
    </row>
    <row r="594" ht="12.75" customHeight="1" s="52">
      <c r="A594" s="2" t="n"/>
      <c r="B594" s="2">
        <f>'QBO Transactions'!$U596</f>
        <v/>
      </c>
      <c r="C594" s="3">
        <f>'QBO Transactions'!$S596</f>
        <v/>
      </c>
      <c r="D594" s="2">
        <f>'QBO Transactions'!$R596</f>
        <v/>
      </c>
      <c r="E594" s="2" t="n"/>
      <c r="F594" s="3">
        <f>'QBO Transactions'!$X596</f>
        <v/>
      </c>
      <c r="G594" s="2" t="n"/>
      <c r="H594" s="2" t="n"/>
      <c r="I594" s="2" t="n"/>
      <c r="J594" s="2" t="n"/>
      <c r="K594" s="2" t="n"/>
      <c r="L594" s="2" t="n"/>
      <c r="M594" s="2" t="n"/>
      <c r="N594" s="2">
        <f>'QBO Transactions'!$Y596</f>
        <v/>
      </c>
      <c r="O594" s="2" t="n"/>
      <c r="P594" s="2" t="n"/>
      <c r="Q594" s="2">
        <f>'QBO Transactions'!$T596</f>
        <v/>
      </c>
      <c r="R594" s="2" t="n"/>
      <c r="S594" s="2" t="n"/>
      <c r="T594" s="2" t="n"/>
      <c r="U594" s="2" t="n"/>
      <c r="V594" s="2" t="n"/>
      <c r="W594" s="2" t="n"/>
      <c r="X594" s="2">
        <f>Q594</f>
        <v/>
      </c>
      <c r="Y594" s="4">
        <f>'QBO Transactions'!$Q596</f>
        <v/>
      </c>
      <c r="Z594" s="2" t="n"/>
      <c r="AA594" s="2" t="n"/>
      <c r="AB594" s="2" t="n"/>
      <c r="AC594" s="2" t="n"/>
      <c r="AD594" s="2" t="n"/>
      <c r="AE594" s="2" t="n"/>
    </row>
    <row r="595" ht="12.75" customHeight="1" s="52">
      <c r="A595" s="2" t="n"/>
      <c r="B595" s="2">
        <f>'QBO Transactions'!$U597</f>
        <v/>
      </c>
      <c r="C595" s="3">
        <f>'QBO Transactions'!$S597</f>
        <v/>
      </c>
      <c r="D595" s="2">
        <f>'QBO Transactions'!$R597</f>
        <v/>
      </c>
      <c r="E595" s="2" t="n"/>
      <c r="F595" s="3">
        <f>'QBO Transactions'!$X597</f>
        <v/>
      </c>
      <c r="G595" s="2" t="n"/>
      <c r="H595" s="2" t="n"/>
      <c r="I595" s="2" t="n"/>
      <c r="J595" s="2" t="n"/>
      <c r="K595" s="2" t="n"/>
      <c r="L595" s="2" t="n"/>
      <c r="M595" s="2" t="n"/>
      <c r="N595" s="2">
        <f>'QBO Transactions'!$Y597</f>
        <v/>
      </c>
      <c r="O595" s="2" t="n"/>
      <c r="P595" s="2" t="n"/>
      <c r="Q595" s="2">
        <f>'QBO Transactions'!$T597</f>
        <v/>
      </c>
      <c r="R595" s="2" t="n"/>
      <c r="S595" s="2" t="n"/>
      <c r="T595" s="2" t="n"/>
      <c r="U595" s="2" t="n"/>
      <c r="V595" s="2" t="n"/>
      <c r="W595" s="2" t="n"/>
      <c r="X595" s="2">
        <f>Q595</f>
        <v/>
      </c>
      <c r="Y595" s="4">
        <f>'QBO Transactions'!$Q597</f>
        <v/>
      </c>
      <c r="Z595" s="2" t="n"/>
      <c r="AA595" s="2" t="n"/>
      <c r="AB595" s="2" t="n"/>
      <c r="AC595" s="2" t="n"/>
      <c r="AD595" s="2" t="n"/>
      <c r="AE595" s="2" t="n"/>
    </row>
    <row r="596" ht="12.75" customHeight="1" s="52">
      <c r="A596" s="2" t="n"/>
      <c r="B596" s="2">
        <f>'QBO Transactions'!$U598</f>
        <v/>
      </c>
      <c r="C596" s="3">
        <f>'QBO Transactions'!$S598</f>
        <v/>
      </c>
      <c r="D596" s="2">
        <f>'QBO Transactions'!$R598</f>
        <v/>
      </c>
      <c r="E596" s="2" t="n"/>
      <c r="F596" s="3">
        <f>'QBO Transactions'!$X598</f>
        <v/>
      </c>
      <c r="G596" s="2" t="n"/>
      <c r="H596" s="2" t="n"/>
      <c r="I596" s="2" t="n"/>
      <c r="J596" s="2" t="n"/>
      <c r="K596" s="2" t="n"/>
      <c r="L596" s="2" t="n"/>
      <c r="M596" s="2" t="n"/>
      <c r="N596" s="2">
        <f>'QBO Transactions'!$Y598</f>
        <v/>
      </c>
      <c r="O596" s="2" t="n"/>
      <c r="P596" s="2" t="n"/>
      <c r="Q596" s="2">
        <f>'QBO Transactions'!$T598</f>
        <v/>
      </c>
      <c r="R596" s="2" t="n"/>
      <c r="S596" s="2" t="n"/>
      <c r="T596" s="2" t="n"/>
      <c r="U596" s="2" t="n"/>
      <c r="V596" s="2" t="n"/>
      <c r="W596" s="2" t="n"/>
      <c r="X596" s="2">
        <f>Q596</f>
        <v/>
      </c>
      <c r="Y596" s="4">
        <f>'QBO Transactions'!$Q598</f>
        <v/>
      </c>
      <c r="Z596" s="2" t="n"/>
      <c r="AA596" s="2" t="n"/>
      <c r="AB596" s="2" t="n"/>
      <c r="AC596" s="2" t="n"/>
      <c r="AD596" s="2" t="n"/>
      <c r="AE596" s="2" t="n"/>
    </row>
    <row r="597" ht="12.75" customHeight="1" s="52">
      <c r="A597" s="2" t="n"/>
      <c r="B597" s="2">
        <f>'QBO Transactions'!$U599</f>
        <v/>
      </c>
      <c r="C597" s="3">
        <f>'QBO Transactions'!$S599</f>
        <v/>
      </c>
      <c r="D597" s="2">
        <f>'QBO Transactions'!$R599</f>
        <v/>
      </c>
      <c r="E597" s="2" t="n"/>
      <c r="F597" s="3">
        <f>'QBO Transactions'!$X599</f>
        <v/>
      </c>
      <c r="G597" s="2" t="n"/>
      <c r="H597" s="2" t="n"/>
      <c r="I597" s="2" t="n"/>
      <c r="J597" s="2" t="n"/>
      <c r="K597" s="2" t="n"/>
      <c r="L597" s="2" t="n"/>
      <c r="M597" s="2" t="n"/>
      <c r="N597" s="2">
        <f>'QBO Transactions'!$Y599</f>
        <v/>
      </c>
      <c r="O597" s="2" t="n"/>
      <c r="P597" s="2" t="n"/>
      <c r="Q597" s="2">
        <f>'QBO Transactions'!$T599</f>
        <v/>
      </c>
      <c r="R597" s="2" t="n"/>
      <c r="S597" s="2" t="n"/>
      <c r="T597" s="2" t="n"/>
      <c r="U597" s="2" t="n"/>
      <c r="V597" s="2" t="n"/>
      <c r="W597" s="2" t="n"/>
      <c r="X597" s="2">
        <f>Q597</f>
        <v/>
      </c>
      <c r="Y597" s="4">
        <f>'QBO Transactions'!$Q599</f>
        <v/>
      </c>
      <c r="Z597" s="2" t="n"/>
      <c r="AA597" s="2" t="n"/>
      <c r="AB597" s="2" t="n"/>
      <c r="AC597" s="2" t="n"/>
      <c r="AD597" s="2" t="n"/>
      <c r="AE597" s="2" t="n"/>
    </row>
    <row r="598" ht="12.75" customHeight="1" s="52">
      <c r="A598" s="2" t="n"/>
      <c r="B598" s="2">
        <f>'QBO Transactions'!$U600</f>
        <v/>
      </c>
      <c r="C598" s="3">
        <f>'QBO Transactions'!$S600</f>
        <v/>
      </c>
      <c r="D598" s="2">
        <f>'QBO Transactions'!$R600</f>
        <v/>
      </c>
      <c r="E598" s="2" t="n"/>
      <c r="F598" s="3">
        <f>'QBO Transactions'!$X600</f>
        <v/>
      </c>
      <c r="G598" s="2" t="n"/>
      <c r="H598" s="2" t="n"/>
      <c r="I598" s="2" t="n"/>
      <c r="J598" s="2" t="n"/>
      <c r="K598" s="2" t="n"/>
      <c r="L598" s="2" t="n"/>
      <c r="M598" s="2" t="n"/>
      <c r="N598" s="2">
        <f>'QBO Transactions'!$Y600</f>
        <v/>
      </c>
      <c r="O598" s="2" t="n"/>
      <c r="P598" s="2" t="n"/>
      <c r="Q598" s="2">
        <f>'QBO Transactions'!$T600</f>
        <v/>
      </c>
      <c r="R598" s="2" t="n"/>
      <c r="S598" s="2" t="n"/>
      <c r="T598" s="2" t="n"/>
      <c r="U598" s="2" t="n"/>
      <c r="V598" s="2" t="n"/>
      <c r="W598" s="2" t="n"/>
      <c r="X598" s="2">
        <f>Q598</f>
        <v/>
      </c>
      <c r="Y598" s="4">
        <f>'QBO Transactions'!$Q600</f>
        <v/>
      </c>
      <c r="Z598" s="2" t="n"/>
      <c r="AA598" s="2" t="n"/>
      <c r="AB598" s="2" t="n"/>
      <c r="AC598" s="2" t="n"/>
      <c r="AD598" s="2" t="n"/>
      <c r="AE598" s="2" t="n"/>
    </row>
    <row r="599" ht="12.75" customHeight="1" s="52">
      <c r="A599" s="2" t="n"/>
      <c r="B599" s="2">
        <f>'QBO Transactions'!$U601</f>
        <v/>
      </c>
      <c r="C599" s="3">
        <f>'QBO Transactions'!$S601</f>
        <v/>
      </c>
      <c r="D599" s="2">
        <f>'QBO Transactions'!$R601</f>
        <v/>
      </c>
      <c r="E599" s="2" t="n"/>
      <c r="F599" s="3">
        <f>'QBO Transactions'!$X601</f>
        <v/>
      </c>
      <c r="G599" s="2" t="n"/>
      <c r="H599" s="2" t="n"/>
      <c r="I599" s="2" t="n"/>
      <c r="J599" s="2" t="n"/>
      <c r="K599" s="2" t="n"/>
      <c r="L599" s="2" t="n"/>
      <c r="M599" s="2" t="n"/>
      <c r="N599" s="2">
        <f>'QBO Transactions'!$Y601</f>
        <v/>
      </c>
      <c r="O599" s="2" t="n"/>
      <c r="P599" s="2" t="n"/>
      <c r="Q599" s="2">
        <f>'QBO Transactions'!$T601</f>
        <v/>
      </c>
      <c r="R599" s="2" t="n"/>
      <c r="S599" s="2" t="n"/>
      <c r="T599" s="2" t="n"/>
      <c r="U599" s="2" t="n"/>
      <c r="V599" s="2" t="n"/>
      <c r="W599" s="2" t="n"/>
      <c r="X599" s="2">
        <f>Q599</f>
        <v/>
      </c>
      <c r="Y599" s="4">
        <f>'QBO Transactions'!$Q601</f>
        <v/>
      </c>
      <c r="Z599" s="2" t="n"/>
      <c r="AA599" s="2" t="n"/>
      <c r="AB599" s="2" t="n"/>
      <c r="AC599" s="2" t="n"/>
      <c r="AD599" s="2" t="n"/>
      <c r="AE599" s="2" t="n"/>
    </row>
    <row r="600" ht="12.75" customHeight="1" s="52">
      <c r="A600" s="2" t="n"/>
      <c r="B600" s="2">
        <f>'QBO Transactions'!$U602</f>
        <v/>
      </c>
      <c r="C600" s="3">
        <f>'QBO Transactions'!$S602</f>
        <v/>
      </c>
      <c r="D600" s="2">
        <f>'QBO Transactions'!$R602</f>
        <v/>
      </c>
      <c r="E600" s="2" t="n"/>
      <c r="F600" s="3">
        <f>'QBO Transactions'!$X602</f>
        <v/>
      </c>
      <c r="G600" s="2" t="n"/>
      <c r="H600" s="2" t="n"/>
      <c r="I600" s="2" t="n"/>
      <c r="J600" s="2" t="n"/>
      <c r="K600" s="2" t="n"/>
      <c r="L600" s="2" t="n"/>
      <c r="M600" s="2" t="n"/>
      <c r="N600" s="2">
        <f>'QBO Transactions'!$Y602</f>
        <v/>
      </c>
      <c r="O600" s="2" t="n"/>
      <c r="P600" s="2" t="n"/>
      <c r="Q600" s="2">
        <f>'QBO Transactions'!$T602</f>
        <v/>
      </c>
      <c r="R600" s="2" t="n"/>
      <c r="S600" s="2" t="n"/>
      <c r="T600" s="2" t="n"/>
      <c r="U600" s="2" t="n"/>
      <c r="V600" s="2" t="n"/>
      <c r="W600" s="2" t="n"/>
      <c r="X600" s="2">
        <f>Q600</f>
        <v/>
      </c>
      <c r="Y600" s="4">
        <f>'QBO Transactions'!$Q602</f>
        <v/>
      </c>
      <c r="Z600" s="2" t="n"/>
      <c r="AA600" s="2" t="n"/>
      <c r="AB600" s="2" t="n"/>
      <c r="AC600" s="2" t="n"/>
      <c r="AD600" s="2" t="n"/>
      <c r="AE600" s="2" t="n"/>
    </row>
    <row r="601" ht="12.75" customHeight="1" s="52">
      <c r="A601" s="2" t="n"/>
      <c r="B601" s="2">
        <f>'QBO Transactions'!$U603</f>
        <v/>
      </c>
      <c r="C601" s="3">
        <f>'QBO Transactions'!$S603</f>
        <v/>
      </c>
      <c r="D601" s="2">
        <f>'QBO Transactions'!$R603</f>
        <v/>
      </c>
      <c r="E601" s="2" t="n"/>
      <c r="F601" s="3">
        <f>'QBO Transactions'!$X603</f>
        <v/>
      </c>
      <c r="G601" s="2" t="n"/>
      <c r="H601" s="2" t="n"/>
      <c r="I601" s="2" t="n"/>
      <c r="J601" s="2" t="n"/>
      <c r="K601" s="2" t="n"/>
      <c r="L601" s="2" t="n"/>
      <c r="M601" s="2" t="n"/>
      <c r="N601" s="2">
        <f>'QBO Transactions'!$Y603</f>
        <v/>
      </c>
      <c r="O601" s="2" t="n"/>
      <c r="P601" s="2" t="n"/>
      <c r="Q601" s="2">
        <f>'QBO Transactions'!$T603</f>
        <v/>
      </c>
      <c r="R601" s="2" t="n"/>
      <c r="S601" s="2" t="n"/>
      <c r="T601" s="2" t="n"/>
      <c r="U601" s="2" t="n"/>
      <c r="V601" s="2" t="n"/>
      <c r="W601" s="2" t="n"/>
      <c r="X601" s="2">
        <f>Q601</f>
        <v/>
      </c>
      <c r="Y601" s="4">
        <f>'QBO Transactions'!$Q603</f>
        <v/>
      </c>
      <c r="Z601" s="2" t="n"/>
      <c r="AA601" s="2" t="n"/>
      <c r="AB601" s="2" t="n"/>
      <c r="AC601" s="2" t="n"/>
      <c r="AD601" s="2" t="n"/>
      <c r="AE601" s="2" t="n"/>
    </row>
    <row r="602" ht="12.75" customHeight="1" s="52">
      <c r="A602" s="2" t="n"/>
      <c r="B602" s="2">
        <f>'QBO Transactions'!$U604</f>
        <v/>
      </c>
      <c r="C602" s="3">
        <f>'QBO Transactions'!$S604</f>
        <v/>
      </c>
      <c r="D602" s="2">
        <f>'QBO Transactions'!$R604</f>
        <v/>
      </c>
      <c r="E602" s="2" t="n"/>
      <c r="F602" s="3">
        <f>'QBO Transactions'!$X604</f>
        <v/>
      </c>
      <c r="G602" s="2" t="n"/>
      <c r="H602" s="2" t="n"/>
      <c r="I602" s="2" t="n"/>
      <c r="J602" s="2" t="n"/>
      <c r="K602" s="2" t="n"/>
      <c r="L602" s="2" t="n"/>
      <c r="M602" s="2" t="n"/>
      <c r="N602" s="2">
        <f>'QBO Transactions'!$Y604</f>
        <v/>
      </c>
      <c r="O602" s="2" t="n"/>
      <c r="P602" s="2" t="n"/>
      <c r="Q602" s="2">
        <f>'QBO Transactions'!$T604</f>
        <v/>
      </c>
      <c r="R602" s="2" t="n"/>
      <c r="S602" s="2" t="n"/>
      <c r="T602" s="2" t="n"/>
      <c r="U602" s="2" t="n"/>
      <c r="V602" s="2" t="n"/>
      <c r="W602" s="2" t="n"/>
      <c r="X602" s="2">
        <f>Q602</f>
        <v/>
      </c>
      <c r="Y602" s="4">
        <f>'QBO Transactions'!$Q604</f>
        <v/>
      </c>
      <c r="Z602" s="2" t="n"/>
      <c r="AA602" s="2" t="n"/>
      <c r="AB602" s="2" t="n"/>
      <c r="AC602" s="2" t="n"/>
      <c r="AD602" s="2" t="n"/>
      <c r="AE602" s="2" t="n"/>
    </row>
    <row r="603" ht="12.75" customHeight="1" s="52">
      <c r="A603" s="2" t="n"/>
      <c r="B603" s="2">
        <f>'QBO Transactions'!$U605</f>
        <v/>
      </c>
      <c r="C603" s="3">
        <f>'QBO Transactions'!$S605</f>
        <v/>
      </c>
      <c r="D603" s="2">
        <f>'QBO Transactions'!$R605</f>
        <v/>
      </c>
      <c r="E603" s="2" t="n"/>
      <c r="F603" s="3">
        <f>'QBO Transactions'!$X605</f>
        <v/>
      </c>
      <c r="G603" s="2" t="n"/>
      <c r="H603" s="2" t="n"/>
      <c r="I603" s="2" t="n"/>
      <c r="J603" s="2" t="n"/>
      <c r="K603" s="2" t="n"/>
      <c r="L603" s="2" t="n"/>
      <c r="M603" s="2" t="n"/>
      <c r="N603" s="2">
        <f>'QBO Transactions'!$Y605</f>
        <v/>
      </c>
      <c r="O603" s="2" t="n"/>
      <c r="P603" s="2" t="n"/>
      <c r="Q603" s="2">
        <f>'QBO Transactions'!$T605</f>
        <v/>
      </c>
      <c r="R603" s="2" t="n"/>
      <c r="S603" s="2" t="n"/>
      <c r="T603" s="2" t="n"/>
      <c r="U603" s="2" t="n"/>
      <c r="V603" s="2" t="n"/>
      <c r="W603" s="2" t="n"/>
      <c r="X603" s="2">
        <f>Q603</f>
        <v/>
      </c>
      <c r="Y603" s="4">
        <f>'QBO Transactions'!$Q605</f>
        <v/>
      </c>
      <c r="Z603" s="2" t="n"/>
      <c r="AA603" s="2" t="n"/>
      <c r="AB603" s="2" t="n"/>
      <c r="AC603" s="2" t="n"/>
      <c r="AD603" s="2" t="n"/>
      <c r="AE603" s="2" t="n"/>
    </row>
    <row r="604" ht="12.75" customHeight="1" s="52">
      <c r="A604" s="2" t="n"/>
      <c r="B604" s="2">
        <f>'QBO Transactions'!$U606</f>
        <v/>
      </c>
      <c r="C604" s="3">
        <f>'QBO Transactions'!$S606</f>
        <v/>
      </c>
      <c r="D604" s="2">
        <f>'QBO Transactions'!$R606</f>
        <v/>
      </c>
      <c r="E604" s="2" t="n"/>
      <c r="F604" s="3">
        <f>'QBO Transactions'!$X606</f>
        <v/>
      </c>
      <c r="G604" s="2" t="n"/>
      <c r="H604" s="2" t="n"/>
      <c r="I604" s="2" t="n"/>
      <c r="J604" s="2" t="n"/>
      <c r="K604" s="2" t="n"/>
      <c r="L604" s="2" t="n"/>
      <c r="M604" s="2" t="n"/>
      <c r="N604" s="2">
        <f>'QBO Transactions'!$Y606</f>
        <v/>
      </c>
      <c r="O604" s="2" t="n"/>
      <c r="P604" s="2" t="n"/>
      <c r="Q604" s="2">
        <f>'QBO Transactions'!$T606</f>
        <v/>
      </c>
      <c r="R604" s="2" t="n"/>
      <c r="S604" s="2" t="n"/>
      <c r="T604" s="2" t="n"/>
      <c r="U604" s="2" t="n"/>
      <c r="V604" s="2" t="n"/>
      <c r="W604" s="2" t="n"/>
      <c r="X604" s="2">
        <f>Q604</f>
        <v/>
      </c>
      <c r="Y604" s="4">
        <f>'QBO Transactions'!$Q606</f>
        <v/>
      </c>
      <c r="Z604" s="2" t="n"/>
      <c r="AA604" s="2" t="n"/>
      <c r="AB604" s="2" t="n"/>
      <c r="AC604" s="2" t="n"/>
      <c r="AD604" s="2" t="n"/>
      <c r="AE604" s="2" t="n"/>
    </row>
    <row r="605" ht="12.75" customHeight="1" s="52">
      <c r="A605" s="2" t="n"/>
      <c r="B605" s="2">
        <f>'QBO Transactions'!$U607</f>
        <v/>
      </c>
      <c r="C605" s="3">
        <f>'QBO Transactions'!$S607</f>
        <v/>
      </c>
      <c r="D605" s="2">
        <f>'QBO Transactions'!$R607</f>
        <v/>
      </c>
      <c r="E605" s="2" t="n"/>
      <c r="F605" s="3">
        <f>'QBO Transactions'!$X607</f>
        <v/>
      </c>
      <c r="G605" s="2" t="n"/>
      <c r="H605" s="2" t="n"/>
      <c r="I605" s="2" t="n"/>
      <c r="J605" s="2" t="n"/>
      <c r="K605" s="2" t="n"/>
      <c r="L605" s="2" t="n"/>
      <c r="M605" s="2" t="n"/>
      <c r="N605" s="2">
        <f>'QBO Transactions'!$Y607</f>
        <v/>
      </c>
      <c r="O605" s="2" t="n"/>
      <c r="P605" s="2" t="n"/>
      <c r="Q605" s="2">
        <f>'QBO Transactions'!$T607</f>
        <v/>
      </c>
      <c r="R605" s="2" t="n"/>
      <c r="S605" s="2" t="n"/>
      <c r="T605" s="2" t="n"/>
      <c r="U605" s="2" t="n"/>
      <c r="V605" s="2" t="n"/>
      <c r="W605" s="2" t="n"/>
      <c r="X605" s="2">
        <f>Q605</f>
        <v/>
      </c>
      <c r="Y605" s="4">
        <f>'QBO Transactions'!$Q607</f>
        <v/>
      </c>
      <c r="Z605" s="2" t="n"/>
      <c r="AA605" s="2" t="n"/>
      <c r="AB605" s="2" t="n"/>
      <c r="AC605" s="2" t="n"/>
      <c r="AD605" s="2" t="n"/>
      <c r="AE605" s="2" t="n"/>
    </row>
    <row r="606" ht="12.75" customHeight="1" s="52">
      <c r="A606" s="2" t="n"/>
      <c r="B606" s="2">
        <f>'QBO Transactions'!$U608</f>
        <v/>
      </c>
      <c r="C606" s="3">
        <f>'QBO Transactions'!$S608</f>
        <v/>
      </c>
      <c r="D606" s="2">
        <f>'QBO Transactions'!$R608</f>
        <v/>
      </c>
      <c r="E606" s="2" t="n"/>
      <c r="F606" s="3">
        <f>'QBO Transactions'!$X608</f>
        <v/>
      </c>
      <c r="G606" s="2" t="n"/>
      <c r="H606" s="2" t="n"/>
      <c r="I606" s="2" t="n"/>
      <c r="J606" s="2" t="n"/>
      <c r="K606" s="2" t="n"/>
      <c r="L606" s="2" t="n"/>
      <c r="M606" s="2" t="n"/>
      <c r="N606" s="2">
        <f>'QBO Transactions'!$Y608</f>
        <v/>
      </c>
      <c r="O606" s="2" t="n"/>
      <c r="P606" s="2" t="n"/>
      <c r="Q606" s="2">
        <f>'QBO Transactions'!$T608</f>
        <v/>
      </c>
      <c r="R606" s="2" t="n"/>
      <c r="S606" s="2" t="n"/>
      <c r="T606" s="2" t="n"/>
      <c r="U606" s="2" t="n"/>
      <c r="V606" s="2" t="n"/>
      <c r="W606" s="2" t="n"/>
      <c r="X606" s="2">
        <f>Q606</f>
        <v/>
      </c>
      <c r="Y606" s="4">
        <f>'QBO Transactions'!$Q608</f>
        <v/>
      </c>
      <c r="Z606" s="2" t="n"/>
      <c r="AA606" s="2" t="n"/>
      <c r="AB606" s="2" t="n"/>
      <c r="AC606" s="2" t="n"/>
      <c r="AD606" s="2" t="n"/>
      <c r="AE606" s="2" t="n"/>
    </row>
    <row r="607" ht="12.75" customHeight="1" s="52">
      <c r="A607" s="2" t="n"/>
      <c r="B607" s="2">
        <f>'QBO Transactions'!$U609</f>
        <v/>
      </c>
      <c r="C607" s="3">
        <f>'QBO Transactions'!$S609</f>
        <v/>
      </c>
      <c r="D607" s="2">
        <f>'QBO Transactions'!$R609</f>
        <v/>
      </c>
      <c r="E607" s="2" t="n"/>
      <c r="F607" s="3">
        <f>'QBO Transactions'!$X609</f>
        <v/>
      </c>
      <c r="G607" s="2" t="n"/>
      <c r="H607" s="2" t="n"/>
      <c r="I607" s="2" t="n"/>
      <c r="J607" s="2" t="n"/>
      <c r="K607" s="2" t="n"/>
      <c r="L607" s="2" t="n"/>
      <c r="M607" s="2" t="n"/>
      <c r="N607" s="2">
        <f>'QBO Transactions'!$Y609</f>
        <v/>
      </c>
      <c r="O607" s="2" t="n"/>
      <c r="P607" s="2" t="n"/>
      <c r="Q607" s="2">
        <f>'QBO Transactions'!$T609</f>
        <v/>
      </c>
      <c r="R607" s="2" t="n"/>
      <c r="S607" s="2" t="n"/>
      <c r="T607" s="2" t="n"/>
      <c r="U607" s="2" t="n"/>
      <c r="V607" s="2" t="n"/>
      <c r="W607" s="2" t="n"/>
      <c r="X607" s="2">
        <f>Q607</f>
        <v/>
      </c>
      <c r="Y607" s="4">
        <f>'QBO Transactions'!$Q609</f>
        <v/>
      </c>
      <c r="Z607" s="2" t="n"/>
      <c r="AA607" s="2" t="n"/>
      <c r="AB607" s="2" t="n"/>
      <c r="AC607" s="2" t="n"/>
      <c r="AD607" s="2" t="n"/>
      <c r="AE607" s="2" t="n"/>
    </row>
    <row r="608" ht="12.75" customHeight="1" s="52">
      <c r="A608" s="2" t="n"/>
      <c r="B608" s="2">
        <f>'QBO Transactions'!$U610</f>
        <v/>
      </c>
      <c r="C608" s="3">
        <f>'QBO Transactions'!$S610</f>
        <v/>
      </c>
      <c r="D608" s="2">
        <f>'QBO Transactions'!$R610</f>
        <v/>
      </c>
      <c r="E608" s="2" t="n"/>
      <c r="F608" s="3">
        <f>'QBO Transactions'!$X610</f>
        <v/>
      </c>
      <c r="G608" s="2" t="n"/>
      <c r="H608" s="2" t="n"/>
      <c r="I608" s="2" t="n"/>
      <c r="J608" s="2" t="n"/>
      <c r="K608" s="2" t="n"/>
      <c r="L608" s="2" t="n"/>
      <c r="M608" s="2" t="n"/>
      <c r="N608" s="2">
        <f>'QBO Transactions'!$Y610</f>
        <v/>
      </c>
      <c r="O608" s="2" t="n"/>
      <c r="P608" s="2" t="n"/>
      <c r="Q608" s="2">
        <f>'QBO Transactions'!$T610</f>
        <v/>
      </c>
      <c r="R608" s="2" t="n"/>
      <c r="S608" s="2" t="n"/>
      <c r="T608" s="2" t="n"/>
      <c r="U608" s="2" t="n"/>
      <c r="V608" s="2" t="n"/>
      <c r="W608" s="2" t="n"/>
      <c r="X608" s="2">
        <f>Q608</f>
        <v/>
      </c>
      <c r="Y608" s="4">
        <f>'QBO Transactions'!$Q610</f>
        <v/>
      </c>
      <c r="Z608" s="2" t="n"/>
      <c r="AA608" s="2" t="n"/>
      <c r="AB608" s="2" t="n"/>
      <c r="AC608" s="2" t="n"/>
      <c r="AD608" s="2" t="n"/>
      <c r="AE608" s="2" t="n"/>
    </row>
    <row r="609" ht="12.75" customHeight="1" s="52">
      <c r="A609" s="2" t="n"/>
      <c r="B609" s="2">
        <f>'QBO Transactions'!$U611</f>
        <v/>
      </c>
      <c r="C609" s="3">
        <f>'QBO Transactions'!$S611</f>
        <v/>
      </c>
      <c r="D609" s="2">
        <f>'QBO Transactions'!$R611</f>
        <v/>
      </c>
      <c r="E609" s="2" t="n"/>
      <c r="F609" s="3">
        <f>'QBO Transactions'!$X611</f>
        <v/>
      </c>
      <c r="G609" s="2" t="n"/>
      <c r="H609" s="2" t="n"/>
      <c r="I609" s="2" t="n"/>
      <c r="J609" s="2" t="n"/>
      <c r="K609" s="2" t="n"/>
      <c r="L609" s="2" t="n"/>
      <c r="M609" s="2" t="n"/>
      <c r="N609" s="2">
        <f>'QBO Transactions'!$Y611</f>
        <v/>
      </c>
      <c r="O609" s="2" t="n"/>
      <c r="P609" s="2" t="n"/>
      <c r="Q609" s="2">
        <f>'QBO Transactions'!$T611</f>
        <v/>
      </c>
      <c r="R609" s="2" t="n"/>
      <c r="S609" s="2" t="n"/>
      <c r="T609" s="2" t="n"/>
      <c r="U609" s="2" t="n"/>
      <c r="V609" s="2" t="n"/>
      <c r="W609" s="2" t="n"/>
      <c r="X609" s="2">
        <f>Q609</f>
        <v/>
      </c>
      <c r="Y609" s="4">
        <f>'QBO Transactions'!$Q611</f>
        <v/>
      </c>
      <c r="Z609" s="2" t="n"/>
      <c r="AA609" s="2" t="n"/>
      <c r="AB609" s="2" t="n"/>
      <c r="AC609" s="2" t="n"/>
      <c r="AD609" s="2" t="n"/>
      <c r="AE609" s="2" t="n"/>
    </row>
    <row r="610" ht="12.75" customHeight="1" s="52">
      <c r="A610" s="2" t="n"/>
      <c r="B610" s="2">
        <f>'QBO Transactions'!$U612</f>
        <v/>
      </c>
      <c r="C610" s="3">
        <f>'QBO Transactions'!$S612</f>
        <v/>
      </c>
      <c r="D610" s="2">
        <f>'QBO Transactions'!$R612</f>
        <v/>
      </c>
      <c r="E610" s="2" t="n"/>
      <c r="F610" s="3">
        <f>'QBO Transactions'!$X612</f>
        <v/>
      </c>
      <c r="G610" s="2" t="n"/>
      <c r="H610" s="2" t="n"/>
      <c r="I610" s="2" t="n"/>
      <c r="J610" s="2" t="n"/>
      <c r="K610" s="2" t="n"/>
      <c r="L610" s="2" t="n"/>
      <c r="M610" s="2" t="n"/>
      <c r="N610" s="2">
        <f>'QBO Transactions'!$Y612</f>
        <v/>
      </c>
      <c r="O610" s="2" t="n"/>
      <c r="P610" s="2" t="n"/>
      <c r="Q610" s="2">
        <f>'QBO Transactions'!$T612</f>
        <v/>
      </c>
      <c r="R610" s="2" t="n"/>
      <c r="S610" s="2" t="n"/>
      <c r="T610" s="2" t="n"/>
      <c r="U610" s="2" t="n"/>
      <c r="V610" s="2" t="n"/>
      <c r="W610" s="2" t="n"/>
      <c r="X610" s="2">
        <f>Q610</f>
        <v/>
      </c>
      <c r="Y610" s="4">
        <f>'QBO Transactions'!$Q612</f>
        <v/>
      </c>
      <c r="Z610" s="2" t="n"/>
      <c r="AA610" s="2" t="n"/>
      <c r="AB610" s="2" t="n"/>
      <c r="AC610" s="2" t="n"/>
      <c r="AD610" s="2" t="n"/>
      <c r="AE610" s="2" t="n"/>
    </row>
    <row r="611" ht="12.75" customHeight="1" s="52">
      <c r="A611" s="2" t="n"/>
      <c r="B611" s="2">
        <f>'QBO Transactions'!$U613</f>
        <v/>
      </c>
      <c r="C611" s="3">
        <f>'QBO Transactions'!$S613</f>
        <v/>
      </c>
      <c r="D611" s="2">
        <f>'QBO Transactions'!$R613</f>
        <v/>
      </c>
      <c r="E611" s="2" t="n"/>
      <c r="F611" s="3">
        <f>'QBO Transactions'!$X613</f>
        <v/>
      </c>
      <c r="G611" s="2" t="n"/>
      <c r="H611" s="2" t="n"/>
      <c r="I611" s="2" t="n"/>
      <c r="J611" s="2" t="n"/>
      <c r="K611" s="2" t="n"/>
      <c r="L611" s="2" t="n"/>
      <c r="M611" s="2" t="n"/>
      <c r="N611" s="2">
        <f>'QBO Transactions'!$Y613</f>
        <v/>
      </c>
      <c r="O611" s="2" t="n"/>
      <c r="P611" s="2" t="n"/>
      <c r="Q611" s="2">
        <f>'QBO Transactions'!$T613</f>
        <v/>
      </c>
      <c r="R611" s="2" t="n"/>
      <c r="S611" s="2" t="n"/>
      <c r="T611" s="2" t="n"/>
      <c r="U611" s="2" t="n"/>
      <c r="V611" s="2" t="n"/>
      <c r="W611" s="2" t="n"/>
      <c r="X611" s="2">
        <f>Q611</f>
        <v/>
      </c>
      <c r="Y611" s="4">
        <f>'QBO Transactions'!$Q613</f>
        <v/>
      </c>
      <c r="Z611" s="2" t="n"/>
      <c r="AA611" s="2" t="n"/>
      <c r="AB611" s="2" t="n"/>
      <c r="AC611" s="2" t="n"/>
      <c r="AD611" s="2" t="n"/>
      <c r="AE611" s="2" t="n"/>
    </row>
    <row r="612" ht="12.75" customHeight="1" s="52">
      <c r="A612" s="2" t="n"/>
      <c r="B612" s="2">
        <f>'QBO Transactions'!$U614</f>
        <v/>
      </c>
      <c r="C612" s="3">
        <f>'QBO Transactions'!$S614</f>
        <v/>
      </c>
      <c r="D612" s="2">
        <f>'QBO Transactions'!$R614</f>
        <v/>
      </c>
      <c r="E612" s="2" t="n"/>
      <c r="F612" s="3">
        <f>'QBO Transactions'!$X614</f>
        <v/>
      </c>
      <c r="G612" s="2" t="n"/>
      <c r="H612" s="2" t="n"/>
      <c r="I612" s="2" t="n"/>
      <c r="J612" s="2" t="n"/>
      <c r="K612" s="2" t="n"/>
      <c r="L612" s="2" t="n"/>
      <c r="M612" s="2" t="n"/>
      <c r="N612" s="2">
        <f>'QBO Transactions'!$Y614</f>
        <v/>
      </c>
      <c r="O612" s="2" t="n"/>
      <c r="P612" s="2" t="n"/>
      <c r="Q612" s="2">
        <f>'QBO Transactions'!$T614</f>
        <v/>
      </c>
      <c r="R612" s="2" t="n"/>
      <c r="S612" s="2" t="n"/>
      <c r="T612" s="2" t="n"/>
      <c r="U612" s="2" t="n"/>
      <c r="V612" s="2" t="n"/>
      <c r="W612" s="2" t="n"/>
      <c r="X612" s="2">
        <f>Q612</f>
        <v/>
      </c>
      <c r="Y612" s="4">
        <f>'QBO Transactions'!$Q614</f>
        <v/>
      </c>
      <c r="Z612" s="2" t="n"/>
      <c r="AA612" s="2" t="n"/>
      <c r="AB612" s="2" t="n"/>
      <c r="AC612" s="2" t="n"/>
      <c r="AD612" s="2" t="n"/>
      <c r="AE612" s="2" t="n"/>
    </row>
    <row r="613" ht="12.75" customHeight="1" s="52">
      <c r="A613" s="2" t="n"/>
      <c r="B613" s="2">
        <f>'QBO Transactions'!$U615</f>
        <v/>
      </c>
      <c r="C613" s="3">
        <f>'QBO Transactions'!$S615</f>
        <v/>
      </c>
      <c r="D613" s="2">
        <f>'QBO Transactions'!$R615</f>
        <v/>
      </c>
      <c r="E613" s="2" t="n"/>
      <c r="F613" s="3">
        <f>'QBO Transactions'!$X615</f>
        <v/>
      </c>
      <c r="G613" s="2" t="n"/>
      <c r="H613" s="2" t="n"/>
      <c r="I613" s="2" t="n"/>
      <c r="J613" s="2" t="n"/>
      <c r="K613" s="2" t="n"/>
      <c r="L613" s="2" t="n"/>
      <c r="M613" s="2" t="n"/>
      <c r="N613" s="2">
        <f>'QBO Transactions'!$Y615</f>
        <v/>
      </c>
      <c r="O613" s="2" t="n"/>
      <c r="P613" s="2" t="n"/>
      <c r="Q613" s="2">
        <f>'QBO Transactions'!$T615</f>
        <v/>
      </c>
      <c r="R613" s="2" t="n"/>
      <c r="S613" s="2" t="n"/>
      <c r="T613" s="2" t="n"/>
      <c r="U613" s="2" t="n"/>
      <c r="V613" s="2" t="n"/>
      <c r="W613" s="2" t="n"/>
      <c r="X613" s="2">
        <f>Q613</f>
        <v/>
      </c>
      <c r="Y613" s="4">
        <f>'QBO Transactions'!$Q615</f>
        <v/>
      </c>
      <c r="Z613" s="2" t="n"/>
      <c r="AA613" s="2" t="n"/>
      <c r="AB613" s="2" t="n"/>
      <c r="AC613" s="2" t="n"/>
      <c r="AD613" s="2" t="n"/>
      <c r="AE613" s="2" t="n"/>
    </row>
    <row r="614" ht="12.75" customHeight="1" s="52">
      <c r="A614" s="2" t="n"/>
      <c r="B614" s="2">
        <f>'QBO Transactions'!$U616</f>
        <v/>
      </c>
      <c r="C614" s="3">
        <f>'QBO Transactions'!$S616</f>
        <v/>
      </c>
      <c r="D614" s="2">
        <f>'QBO Transactions'!$R616</f>
        <v/>
      </c>
      <c r="E614" s="2" t="n"/>
      <c r="F614" s="3">
        <f>'QBO Transactions'!$X616</f>
        <v/>
      </c>
      <c r="G614" s="2" t="n"/>
      <c r="H614" s="2" t="n"/>
      <c r="I614" s="2" t="n"/>
      <c r="J614" s="2" t="n"/>
      <c r="K614" s="2" t="n"/>
      <c r="L614" s="2" t="n"/>
      <c r="M614" s="2" t="n"/>
      <c r="N614" s="2">
        <f>'QBO Transactions'!$Y616</f>
        <v/>
      </c>
      <c r="O614" s="2" t="n"/>
      <c r="P614" s="2" t="n"/>
      <c r="Q614" s="2">
        <f>'QBO Transactions'!$T616</f>
        <v/>
      </c>
      <c r="R614" s="2" t="n"/>
      <c r="S614" s="2" t="n"/>
      <c r="T614" s="2" t="n"/>
      <c r="U614" s="2" t="n"/>
      <c r="V614" s="2" t="n"/>
      <c r="W614" s="2" t="n"/>
      <c r="X614" s="2">
        <f>Q614</f>
        <v/>
      </c>
      <c r="Y614" s="4">
        <f>'QBO Transactions'!$Q616</f>
        <v/>
      </c>
      <c r="Z614" s="2" t="n"/>
      <c r="AA614" s="2" t="n"/>
      <c r="AB614" s="2" t="n"/>
      <c r="AC614" s="2" t="n"/>
      <c r="AD614" s="2" t="n"/>
      <c r="AE614" s="2" t="n"/>
    </row>
    <row r="615" ht="12.75" customHeight="1" s="52">
      <c r="A615" s="2" t="n"/>
      <c r="B615" s="2">
        <f>'QBO Transactions'!$U617</f>
        <v/>
      </c>
      <c r="C615" s="3">
        <f>'QBO Transactions'!$S617</f>
        <v/>
      </c>
      <c r="D615" s="2">
        <f>'QBO Transactions'!$R617</f>
        <v/>
      </c>
      <c r="E615" s="2" t="n"/>
      <c r="F615" s="3">
        <f>'QBO Transactions'!$X617</f>
        <v/>
      </c>
      <c r="G615" s="2" t="n"/>
      <c r="H615" s="2" t="n"/>
      <c r="I615" s="2" t="n"/>
      <c r="J615" s="2" t="n"/>
      <c r="K615" s="2" t="n"/>
      <c r="L615" s="2" t="n"/>
      <c r="M615" s="2" t="n"/>
      <c r="N615" s="2">
        <f>'QBO Transactions'!$Y617</f>
        <v/>
      </c>
      <c r="O615" s="2" t="n"/>
      <c r="P615" s="2" t="n"/>
      <c r="Q615" s="2">
        <f>'QBO Transactions'!$T617</f>
        <v/>
      </c>
      <c r="R615" s="2" t="n"/>
      <c r="S615" s="2" t="n"/>
      <c r="T615" s="2" t="n"/>
      <c r="U615" s="2" t="n"/>
      <c r="V615" s="2" t="n"/>
      <c r="W615" s="2" t="n"/>
      <c r="X615" s="2">
        <f>Q615</f>
        <v/>
      </c>
      <c r="Y615" s="4">
        <f>'QBO Transactions'!$Q617</f>
        <v/>
      </c>
      <c r="Z615" s="2" t="n"/>
      <c r="AA615" s="2" t="n"/>
      <c r="AB615" s="2" t="n"/>
      <c r="AC615" s="2" t="n"/>
      <c r="AD615" s="2" t="n"/>
      <c r="AE615" s="2" t="n"/>
    </row>
    <row r="616" ht="12.75" customHeight="1" s="52">
      <c r="A616" s="2" t="n"/>
      <c r="B616" s="2">
        <f>'QBO Transactions'!$U618</f>
        <v/>
      </c>
      <c r="C616" s="3">
        <f>'QBO Transactions'!$S618</f>
        <v/>
      </c>
      <c r="D616" s="2">
        <f>'QBO Transactions'!$R618</f>
        <v/>
      </c>
      <c r="E616" s="2" t="n"/>
      <c r="F616" s="3">
        <f>'QBO Transactions'!$X618</f>
        <v/>
      </c>
      <c r="G616" s="2" t="n"/>
      <c r="H616" s="2" t="n"/>
      <c r="I616" s="2" t="n"/>
      <c r="J616" s="2" t="n"/>
      <c r="K616" s="2" t="n"/>
      <c r="L616" s="2" t="n"/>
      <c r="M616" s="2" t="n"/>
      <c r="N616" s="2">
        <f>'QBO Transactions'!$Y618</f>
        <v/>
      </c>
      <c r="O616" s="2" t="n"/>
      <c r="P616" s="2" t="n"/>
      <c r="Q616" s="2">
        <f>'QBO Transactions'!$T618</f>
        <v/>
      </c>
      <c r="R616" s="2" t="n"/>
      <c r="S616" s="2" t="n"/>
      <c r="T616" s="2" t="n"/>
      <c r="U616" s="2" t="n"/>
      <c r="V616" s="2" t="n"/>
      <c r="W616" s="2" t="n"/>
      <c r="X616" s="2">
        <f>Q616</f>
        <v/>
      </c>
      <c r="Y616" s="4">
        <f>'QBO Transactions'!$Q618</f>
        <v/>
      </c>
      <c r="Z616" s="2" t="n"/>
      <c r="AA616" s="2" t="n"/>
      <c r="AB616" s="2" t="n"/>
      <c r="AC616" s="2" t="n"/>
      <c r="AD616" s="2" t="n"/>
      <c r="AE616" s="2" t="n"/>
    </row>
    <row r="617" ht="12.75" customHeight="1" s="52">
      <c r="A617" s="2" t="n"/>
      <c r="B617" s="2">
        <f>'QBO Transactions'!$U619</f>
        <v/>
      </c>
      <c r="C617" s="3">
        <f>'QBO Transactions'!$S619</f>
        <v/>
      </c>
      <c r="D617" s="2">
        <f>'QBO Transactions'!$R619</f>
        <v/>
      </c>
      <c r="E617" s="2" t="n"/>
      <c r="F617" s="3">
        <f>'QBO Transactions'!$X619</f>
        <v/>
      </c>
      <c r="G617" s="2" t="n"/>
      <c r="H617" s="2" t="n"/>
      <c r="I617" s="2" t="n"/>
      <c r="J617" s="2" t="n"/>
      <c r="K617" s="2" t="n"/>
      <c r="L617" s="2" t="n"/>
      <c r="M617" s="2" t="n"/>
      <c r="N617" s="2">
        <f>'QBO Transactions'!$Y619</f>
        <v/>
      </c>
      <c r="O617" s="2" t="n"/>
      <c r="P617" s="2" t="n"/>
      <c r="Q617" s="2">
        <f>'QBO Transactions'!$T619</f>
        <v/>
      </c>
      <c r="R617" s="2" t="n"/>
      <c r="S617" s="2" t="n"/>
      <c r="T617" s="2" t="n"/>
      <c r="U617" s="2" t="n"/>
      <c r="V617" s="2" t="n"/>
      <c r="W617" s="2" t="n"/>
      <c r="X617" s="2">
        <f>Q617</f>
        <v/>
      </c>
      <c r="Y617" s="4">
        <f>'QBO Transactions'!$Q619</f>
        <v/>
      </c>
      <c r="Z617" s="2" t="n"/>
      <c r="AA617" s="2" t="n"/>
      <c r="AB617" s="2" t="n"/>
      <c r="AC617" s="2" t="n"/>
      <c r="AD617" s="2" t="n"/>
      <c r="AE617" s="2" t="n"/>
    </row>
    <row r="618" ht="12.75" customHeight="1" s="52">
      <c r="A618" s="2" t="n"/>
      <c r="B618" s="2">
        <f>'QBO Transactions'!$U620</f>
        <v/>
      </c>
      <c r="C618" s="3">
        <f>'QBO Transactions'!$S620</f>
        <v/>
      </c>
      <c r="D618" s="2">
        <f>'QBO Transactions'!$R620</f>
        <v/>
      </c>
      <c r="E618" s="2" t="n"/>
      <c r="F618" s="3">
        <f>'QBO Transactions'!$X620</f>
        <v/>
      </c>
      <c r="G618" s="2" t="n"/>
      <c r="H618" s="2" t="n"/>
      <c r="I618" s="2" t="n"/>
      <c r="J618" s="2" t="n"/>
      <c r="K618" s="2" t="n"/>
      <c r="L618" s="2" t="n"/>
      <c r="M618" s="2" t="n"/>
      <c r="N618" s="2">
        <f>'QBO Transactions'!$Y620</f>
        <v/>
      </c>
      <c r="O618" s="2" t="n"/>
      <c r="P618" s="2" t="n"/>
      <c r="Q618" s="2">
        <f>'QBO Transactions'!$T620</f>
        <v/>
      </c>
      <c r="R618" s="2" t="n"/>
      <c r="S618" s="2" t="n"/>
      <c r="T618" s="2" t="n"/>
      <c r="U618" s="2" t="n"/>
      <c r="V618" s="2" t="n"/>
      <c r="W618" s="2" t="n"/>
      <c r="X618" s="2">
        <f>Q618</f>
        <v/>
      </c>
      <c r="Y618" s="4">
        <f>'QBO Transactions'!$Q620</f>
        <v/>
      </c>
      <c r="Z618" s="2" t="n"/>
      <c r="AA618" s="2" t="n"/>
      <c r="AB618" s="2" t="n"/>
      <c r="AC618" s="2" t="n"/>
      <c r="AD618" s="2" t="n"/>
      <c r="AE618" s="2" t="n"/>
    </row>
    <row r="619" ht="12.75" customHeight="1" s="52">
      <c r="A619" s="2" t="n"/>
      <c r="B619" s="2">
        <f>'QBO Transactions'!$U621</f>
        <v/>
      </c>
      <c r="C619" s="3">
        <f>'QBO Transactions'!$S621</f>
        <v/>
      </c>
      <c r="D619" s="2">
        <f>'QBO Transactions'!$R621</f>
        <v/>
      </c>
      <c r="E619" s="2" t="n"/>
      <c r="F619" s="3">
        <f>'QBO Transactions'!$X621</f>
        <v/>
      </c>
      <c r="G619" s="2" t="n"/>
      <c r="H619" s="2" t="n"/>
      <c r="I619" s="2" t="n"/>
      <c r="J619" s="2" t="n"/>
      <c r="K619" s="2" t="n"/>
      <c r="L619" s="2" t="n"/>
      <c r="M619" s="2" t="n"/>
      <c r="N619" s="2">
        <f>'QBO Transactions'!$Y621</f>
        <v/>
      </c>
      <c r="O619" s="2" t="n"/>
      <c r="P619" s="2" t="n"/>
      <c r="Q619" s="2">
        <f>'QBO Transactions'!$T621</f>
        <v/>
      </c>
      <c r="R619" s="2" t="n"/>
      <c r="S619" s="2" t="n"/>
      <c r="T619" s="2" t="n"/>
      <c r="U619" s="2" t="n"/>
      <c r="V619" s="2" t="n"/>
      <c r="W619" s="2" t="n"/>
      <c r="X619" s="2">
        <f>Q619</f>
        <v/>
      </c>
      <c r="Y619" s="4">
        <f>'QBO Transactions'!$Q621</f>
        <v/>
      </c>
      <c r="Z619" s="2" t="n"/>
      <c r="AA619" s="2" t="n"/>
      <c r="AB619" s="2" t="n"/>
      <c r="AC619" s="2" t="n"/>
      <c r="AD619" s="2" t="n"/>
      <c r="AE619" s="2" t="n"/>
    </row>
    <row r="620" ht="12.75" customHeight="1" s="52">
      <c r="A620" s="2" t="n"/>
      <c r="B620" s="2">
        <f>'QBO Transactions'!$U622</f>
        <v/>
      </c>
      <c r="C620" s="3">
        <f>'QBO Transactions'!$S622</f>
        <v/>
      </c>
      <c r="D620" s="2">
        <f>'QBO Transactions'!$R622</f>
        <v/>
      </c>
      <c r="E620" s="2" t="n"/>
      <c r="F620" s="3">
        <f>'QBO Transactions'!$X622</f>
        <v/>
      </c>
      <c r="G620" s="2" t="n"/>
      <c r="H620" s="2" t="n"/>
      <c r="I620" s="2" t="n"/>
      <c r="J620" s="2" t="n"/>
      <c r="K620" s="2" t="n"/>
      <c r="L620" s="2" t="n"/>
      <c r="M620" s="2" t="n"/>
      <c r="N620" s="2">
        <f>'QBO Transactions'!$Y622</f>
        <v/>
      </c>
      <c r="O620" s="2" t="n"/>
      <c r="P620" s="2" t="n"/>
      <c r="Q620" s="2">
        <f>'QBO Transactions'!$T622</f>
        <v/>
      </c>
      <c r="R620" s="2" t="n"/>
      <c r="S620" s="2" t="n"/>
      <c r="T620" s="2" t="n"/>
      <c r="U620" s="2" t="n"/>
      <c r="V620" s="2" t="n"/>
      <c r="W620" s="2" t="n"/>
      <c r="X620" s="2">
        <f>Q620</f>
        <v/>
      </c>
      <c r="Y620" s="4">
        <f>'QBO Transactions'!$Q622</f>
        <v/>
      </c>
      <c r="Z620" s="2" t="n"/>
      <c r="AA620" s="2" t="n"/>
      <c r="AB620" s="2" t="n"/>
      <c r="AC620" s="2" t="n"/>
      <c r="AD620" s="2" t="n"/>
      <c r="AE620" s="2" t="n"/>
    </row>
    <row r="621" ht="12.75" customHeight="1" s="52">
      <c r="A621" s="2" t="n"/>
      <c r="B621" s="2">
        <f>'QBO Transactions'!$U623</f>
        <v/>
      </c>
      <c r="C621" s="3">
        <f>'QBO Transactions'!$S623</f>
        <v/>
      </c>
      <c r="D621" s="2">
        <f>'QBO Transactions'!$R623</f>
        <v/>
      </c>
      <c r="E621" s="2" t="n"/>
      <c r="F621" s="3">
        <f>'QBO Transactions'!$X623</f>
        <v/>
      </c>
      <c r="G621" s="2" t="n"/>
      <c r="H621" s="2" t="n"/>
      <c r="I621" s="2" t="n"/>
      <c r="J621" s="2" t="n"/>
      <c r="K621" s="2" t="n"/>
      <c r="L621" s="2" t="n"/>
      <c r="M621" s="2" t="n"/>
      <c r="N621" s="2">
        <f>'QBO Transactions'!$Y623</f>
        <v/>
      </c>
      <c r="O621" s="2" t="n"/>
      <c r="P621" s="2" t="n"/>
      <c r="Q621" s="2">
        <f>'QBO Transactions'!$T623</f>
        <v/>
      </c>
      <c r="R621" s="2" t="n"/>
      <c r="S621" s="2" t="n"/>
      <c r="T621" s="2" t="n"/>
      <c r="U621" s="2" t="n"/>
      <c r="V621" s="2" t="n"/>
      <c r="W621" s="2" t="n"/>
      <c r="X621" s="2">
        <f>Q621</f>
        <v/>
      </c>
      <c r="Y621" s="4">
        <f>'QBO Transactions'!$Q623</f>
        <v/>
      </c>
      <c r="Z621" s="2" t="n"/>
      <c r="AA621" s="2" t="n"/>
      <c r="AB621" s="2" t="n"/>
      <c r="AC621" s="2" t="n"/>
      <c r="AD621" s="2" t="n"/>
      <c r="AE621" s="2" t="n"/>
    </row>
    <row r="622" ht="12.75" customHeight="1" s="52">
      <c r="A622" s="2" t="n"/>
      <c r="B622" s="2">
        <f>'QBO Transactions'!$U624</f>
        <v/>
      </c>
      <c r="C622" s="3">
        <f>'QBO Transactions'!$S624</f>
        <v/>
      </c>
      <c r="D622" s="2">
        <f>'QBO Transactions'!$R624</f>
        <v/>
      </c>
      <c r="E622" s="2" t="n"/>
      <c r="F622" s="3">
        <f>'QBO Transactions'!$X624</f>
        <v/>
      </c>
      <c r="G622" s="2" t="n"/>
      <c r="H622" s="2" t="n"/>
      <c r="I622" s="2" t="n"/>
      <c r="J622" s="2" t="n"/>
      <c r="K622" s="2" t="n"/>
      <c r="L622" s="2" t="n"/>
      <c r="M622" s="2" t="n"/>
      <c r="N622" s="2">
        <f>'QBO Transactions'!$Y624</f>
        <v/>
      </c>
      <c r="O622" s="2" t="n"/>
      <c r="P622" s="2" t="n"/>
      <c r="Q622" s="2">
        <f>'QBO Transactions'!$T624</f>
        <v/>
      </c>
      <c r="R622" s="2" t="n"/>
      <c r="S622" s="2" t="n"/>
      <c r="T622" s="2" t="n"/>
      <c r="U622" s="2" t="n"/>
      <c r="V622" s="2" t="n"/>
      <c r="W622" s="2" t="n"/>
      <c r="X622" s="2">
        <f>Q622</f>
        <v/>
      </c>
      <c r="Y622" s="4">
        <f>'QBO Transactions'!$Q624</f>
        <v/>
      </c>
      <c r="Z622" s="2" t="n"/>
      <c r="AA622" s="2" t="n"/>
      <c r="AB622" s="2" t="n"/>
      <c r="AC622" s="2" t="n"/>
      <c r="AD622" s="2" t="n"/>
      <c r="AE622" s="2" t="n"/>
    </row>
    <row r="623" ht="12.75" customHeight="1" s="52">
      <c r="A623" s="2" t="n"/>
      <c r="B623" s="2">
        <f>'QBO Transactions'!$U625</f>
        <v/>
      </c>
      <c r="C623" s="3">
        <f>'QBO Transactions'!$S625</f>
        <v/>
      </c>
      <c r="D623" s="2">
        <f>'QBO Transactions'!$R625</f>
        <v/>
      </c>
      <c r="E623" s="2" t="n"/>
      <c r="F623" s="3">
        <f>'QBO Transactions'!$X625</f>
        <v/>
      </c>
      <c r="G623" s="2" t="n"/>
      <c r="H623" s="2" t="n"/>
      <c r="I623" s="2" t="n"/>
      <c r="J623" s="2" t="n"/>
      <c r="K623" s="2" t="n"/>
      <c r="L623" s="2" t="n"/>
      <c r="M623" s="2" t="n"/>
      <c r="N623" s="2">
        <f>'QBO Transactions'!$Y625</f>
        <v/>
      </c>
      <c r="O623" s="2" t="n"/>
      <c r="P623" s="2" t="n"/>
      <c r="Q623" s="2">
        <f>'QBO Transactions'!$T625</f>
        <v/>
      </c>
      <c r="R623" s="2" t="n"/>
      <c r="S623" s="2" t="n"/>
      <c r="T623" s="2" t="n"/>
      <c r="U623" s="2" t="n"/>
      <c r="V623" s="2" t="n"/>
      <c r="W623" s="2" t="n"/>
      <c r="X623" s="2">
        <f>Q623</f>
        <v/>
      </c>
      <c r="Y623" s="4">
        <f>'QBO Transactions'!$Q625</f>
        <v/>
      </c>
      <c r="Z623" s="2" t="n"/>
      <c r="AA623" s="2" t="n"/>
      <c r="AB623" s="2" t="n"/>
      <c r="AC623" s="2" t="n"/>
      <c r="AD623" s="2" t="n"/>
      <c r="AE623" s="2" t="n"/>
    </row>
    <row r="624" ht="12.75" customHeight="1" s="52">
      <c r="A624" s="2" t="n"/>
      <c r="B624" s="2">
        <f>'QBO Transactions'!$U626</f>
        <v/>
      </c>
      <c r="C624" s="3">
        <f>'QBO Transactions'!$S626</f>
        <v/>
      </c>
      <c r="D624" s="2">
        <f>'QBO Transactions'!$R626</f>
        <v/>
      </c>
      <c r="E624" s="2" t="n"/>
      <c r="F624" s="3">
        <f>'QBO Transactions'!$X626</f>
        <v/>
      </c>
      <c r="G624" s="2" t="n"/>
      <c r="H624" s="2" t="n"/>
      <c r="I624" s="2" t="n"/>
      <c r="J624" s="2" t="n"/>
      <c r="K624" s="2" t="n"/>
      <c r="L624" s="2" t="n"/>
      <c r="M624" s="2" t="n"/>
      <c r="N624" s="2">
        <f>'QBO Transactions'!$Y626</f>
        <v/>
      </c>
      <c r="O624" s="2" t="n"/>
      <c r="P624" s="2" t="n"/>
      <c r="Q624" s="2">
        <f>'QBO Transactions'!$T626</f>
        <v/>
      </c>
      <c r="R624" s="2" t="n"/>
      <c r="S624" s="2" t="n"/>
      <c r="T624" s="2" t="n"/>
      <c r="U624" s="2" t="n"/>
      <c r="V624" s="2" t="n"/>
      <c r="W624" s="2" t="n"/>
      <c r="X624" s="2">
        <f>Q624</f>
        <v/>
      </c>
      <c r="Y624" s="4">
        <f>'QBO Transactions'!$Q626</f>
        <v/>
      </c>
      <c r="Z624" s="2" t="n"/>
      <c r="AA624" s="2" t="n"/>
      <c r="AB624" s="2" t="n"/>
      <c r="AC624" s="2" t="n"/>
      <c r="AD624" s="2" t="n"/>
      <c r="AE624" s="2" t="n"/>
    </row>
    <row r="625" ht="12.75" customHeight="1" s="52">
      <c r="A625" s="2" t="n"/>
      <c r="B625" s="2">
        <f>'QBO Transactions'!$U627</f>
        <v/>
      </c>
      <c r="C625" s="3">
        <f>'QBO Transactions'!$S627</f>
        <v/>
      </c>
      <c r="D625" s="2">
        <f>'QBO Transactions'!$R627</f>
        <v/>
      </c>
      <c r="E625" s="2" t="n"/>
      <c r="F625" s="3">
        <f>'QBO Transactions'!$X627</f>
        <v/>
      </c>
      <c r="G625" s="2" t="n"/>
      <c r="H625" s="2" t="n"/>
      <c r="I625" s="2" t="n"/>
      <c r="J625" s="2" t="n"/>
      <c r="K625" s="2" t="n"/>
      <c r="L625" s="2" t="n"/>
      <c r="M625" s="2" t="n"/>
      <c r="N625" s="2">
        <f>'QBO Transactions'!$Y627</f>
        <v/>
      </c>
      <c r="O625" s="2" t="n"/>
      <c r="P625" s="2" t="n"/>
      <c r="Q625" s="2">
        <f>'QBO Transactions'!$T627</f>
        <v/>
      </c>
      <c r="R625" s="2" t="n"/>
      <c r="S625" s="2" t="n"/>
      <c r="T625" s="2" t="n"/>
      <c r="U625" s="2" t="n"/>
      <c r="V625" s="2" t="n"/>
      <c r="W625" s="2" t="n"/>
      <c r="X625" s="2">
        <f>Q625</f>
        <v/>
      </c>
      <c r="Y625" s="4">
        <f>'QBO Transactions'!$Q627</f>
        <v/>
      </c>
      <c r="Z625" s="2" t="n"/>
      <c r="AA625" s="2" t="n"/>
      <c r="AB625" s="2" t="n"/>
      <c r="AC625" s="2" t="n"/>
      <c r="AD625" s="2" t="n"/>
      <c r="AE625" s="2" t="n"/>
    </row>
    <row r="626" ht="12.75" customHeight="1" s="52">
      <c r="A626" s="2" t="n"/>
      <c r="B626" s="2">
        <f>'QBO Transactions'!$U628</f>
        <v/>
      </c>
      <c r="C626" s="3">
        <f>'QBO Transactions'!$S628</f>
        <v/>
      </c>
      <c r="D626" s="2">
        <f>'QBO Transactions'!$R628</f>
        <v/>
      </c>
      <c r="E626" s="2" t="n"/>
      <c r="F626" s="3">
        <f>'QBO Transactions'!$X628</f>
        <v/>
      </c>
      <c r="G626" s="2" t="n"/>
      <c r="H626" s="2" t="n"/>
      <c r="I626" s="2" t="n"/>
      <c r="J626" s="2" t="n"/>
      <c r="K626" s="2" t="n"/>
      <c r="L626" s="2" t="n"/>
      <c r="M626" s="2" t="n"/>
      <c r="N626" s="2">
        <f>'QBO Transactions'!$Y628</f>
        <v/>
      </c>
      <c r="O626" s="2" t="n"/>
      <c r="P626" s="2" t="n"/>
      <c r="Q626" s="2">
        <f>'QBO Transactions'!$T628</f>
        <v/>
      </c>
      <c r="R626" s="2" t="n"/>
      <c r="S626" s="2" t="n"/>
      <c r="T626" s="2" t="n"/>
      <c r="U626" s="2" t="n"/>
      <c r="V626" s="2" t="n"/>
      <c r="W626" s="2" t="n"/>
      <c r="X626" s="2">
        <f>Q626</f>
        <v/>
      </c>
      <c r="Y626" s="4">
        <f>'QBO Transactions'!$Q628</f>
        <v/>
      </c>
      <c r="Z626" s="2" t="n"/>
      <c r="AA626" s="2" t="n"/>
      <c r="AB626" s="2" t="n"/>
      <c r="AC626" s="2" t="n"/>
      <c r="AD626" s="2" t="n"/>
      <c r="AE626" s="2" t="n"/>
    </row>
    <row r="627" ht="12.75" customHeight="1" s="52">
      <c r="A627" s="2" t="n"/>
      <c r="B627" s="2">
        <f>'QBO Transactions'!$U629</f>
        <v/>
      </c>
      <c r="C627" s="3">
        <f>'QBO Transactions'!$S629</f>
        <v/>
      </c>
      <c r="D627" s="2">
        <f>'QBO Transactions'!$R629</f>
        <v/>
      </c>
      <c r="E627" s="2" t="n"/>
      <c r="F627" s="3">
        <f>'QBO Transactions'!$X629</f>
        <v/>
      </c>
      <c r="G627" s="2" t="n"/>
      <c r="H627" s="2" t="n"/>
      <c r="I627" s="2" t="n"/>
      <c r="J627" s="2" t="n"/>
      <c r="K627" s="2" t="n"/>
      <c r="L627" s="2" t="n"/>
      <c r="M627" s="2" t="n"/>
      <c r="N627" s="2">
        <f>'QBO Transactions'!$Y629</f>
        <v/>
      </c>
      <c r="O627" s="2" t="n"/>
      <c r="P627" s="2" t="n"/>
      <c r="Q627" s="2">
        <f>'QBO Transactions'!$T629</f>
        <v/>
      </c>
      <c r="R627" s="2" t="n"/>
      <c r="S627" s="2" t="n"/>
      <c r="T627" s="2" t="n"/>
      <c r="U627" s="2" t="n"/>
      <c r="V627" s="2" t="n"/>
      <c r="W627" s="2" t="n"/>
      <c r="X627" s="2">
        <f>Q627</f>
        <v/>
      </c>
      <c r="Y627" s="4">
        <f>'QBO Transactions'!$Q629</f>
        <v/>
      </c>
      <c r="Z627" s="2" t="n"/>
      <c r="AA627" s="2" t="n"/>
      <c r="AB627" s="2" t="n"/>
      <c r="AC627" s="2" t="n"/>
      <c r="AD627" s="2" t="n"/>
      <c r="AE627" s="2" t="n"/>
    </row>
    <row r="628" ht="12.75" customHeight="1" s="52">
      <c r="A628" s="2" t="n"/>
      <c r="B628" s="2">
        <f>'QBO Transactions'!$U630</f>
        <v/>
      </c>
      <c r="C628" s="3">
        <f>'QBO Transactions'!$S630</f>
        <v/>
      </c>
      <c r="D628" s="2">
        <f>'QBO Transactions'!$R630</f>
        <v/>
      </c>
      <c r="E628" s="2" t="n"/>
      <c r="F628" s="3">
        <f>'QBO Transactions'!$X630</f>
        <v/>
      </c>
      <c r="G628" s="2" t="n"/>
      <c r="H628" s="2" t="n"/>
      <c r="I628" s="2" t="n"/>
      <c r="J628" s="2" t="n"/>
      <c r="K628" s="2" t="n"/>
      <c r="L628" s="2" t="n"/>
      <c r="M628" s="2" t="n"/>
      <c r="N628" s="2">
        <f>'QBO Transactions'!$Y630</f>
        <v/>
      </c>
      <c r="O628" s="2" t="n"/>
      <c r="P628" s="2" t="n"/>
      <c r="Q628" s="2">
        <f>'QBO Transactions'!$T630</f>
        <v/>
      </c>
      <c r="R628" s="2" t="n"/>
      <c r="S628" s="2" t="n"/>
      <c r="T628" s="2" t="n"/>
      <c r="U628" s="2" t="n"/>
      <c r="V628" s="2" t="n"/>
      <c r="W628" s="2" t="n"/>
      <c r="X628" s="2">
        <f>Q628</f>
        <v/>
      </c>
      <c r="Y628" s="4">
        <f>'QBO Transactions'!$Q630</f>
        <v/>
      </c>
      <c r="Z628" s="2" t="n"/>
      <c r="AA628" s="2" t="n"/>
      <c r="AB628" s="2" t="n"/>
      <c r="AC628" s="2" t="n"/>
      <c r="AD628" s="2" t="n"/>
      <c r="AE628" s="2" t="n"/>
    </row>
    <row r="629" ht="12.75" customHeight="1" s="52">
      <c r="A629" s="2" t="n"/>
      <c r="B629" s="2">
        <f>'QBO Transactions'!$U631</f>
        <v/>
      </c>
      <c r="C629" s="3">
        <f>'QBO Transactions'!$S631</f>
        <v/>
      </c>
      <c r="D629" s="2">
        <f>'QBO Transactions'!$R631</f>
        <v/>
      </c>
      <c r="E629" s="2" t="n"/>
      <c r="F629" s="3">
        <f>'QBO Transactions'!$X631</f>
        <v/>
      </c>
      <c r="G629" s="2" t="n"/>
      <c r="H629" s="2" t="n"/>
      <c r="I629" s="2" t="n"/>
      <c r="J629" s="2" t="n"/>
      <c r="K629" s="2" t="n"/>
      <c r="L629" s="2" t="n"/>
      <c r="M629" s="2" t="n"/>
      <c r="N629" s="2">
        <f>'QBO Transactions'!$Y631</f>
        <v/>
      </c>
      <c r="O629" s="2" t="n"/>
      <c r="P629" s="2" t="n"/>
      <c r="Q629" s="2">
        <f>'QBO Transactions'!$T631</f>
        <v/>
      </c>
      <c r="R629" s="2" t="n"/>
      <c r="S629" s="2" t="n"/>
      <c r="T629" s="2" t="n"/>
      <c r="U629" s="2" t="n"/>
      <c r="V629" s="2" t="n"/>
      <c r="W629" s="2" t="n"/>
      <c r="X629" s="2">
        <f>Q629</f>
        <v/>
      </c>
      <c r="Y629" s="4">
        <f>'QBO Transactions'!$Q631</f>
        <v/>
      </c>
      <c r="Z629" s="2" t="n"/>
      <c r="AA629" s="2" t="n"/>
      <c r="AB629" s="2" t="n"/>
      <c r="AC629" s="2" t="n"/>
      <c r="AD629" s="2" t="n"/>
      <c r="AE629" s="2" t="n"/>
    </row>
    <row r="630" ht="12.75" customHeight="1" s="52">
      <c r="A630" s="2" t="n"/>
      <c r="B630" s="2">
        <f>'QBO Transactions'!$U632</f>
        <v/>
      </c>
      <c r="C630" s="3">
        <f>'QBO Transactions'!$S632</f>
        <v/>
      </c>
      <c r="D630" s="2">
        <f>'QBO Transactions'!$R632</f>
        <v/>
      </c>
      <c r="E630" s="2" t="n"/>
      <c r="F630" s="3">
        <f>'QBO Transactions'!$X632</f>
        <v/>
      </c>
      <c r="G630" s="2" t="n"/>
      <c r="H630" s="2" t="n"/>
      <c r="I630" s="2" t="n"/>
      <c r="J630" s="2" t="n"/>
      <c r="K630" s="2" t="n"/>
      <c r="L630" s="2" t="n"/>
      <c r="M630" s="2" t="n"/>
      <c r="N630" s="2">
        <f>'QBO Transactions'!$Y632</f>
        <v/>
      </c>
      <c r="O630" s="2" t="n"/>
      <c r="P630" s="2" t="n"/>
      <c r="Q630" s="2">
        <f>'QBO Transactions'!$T632</f>
        <v/>
      </c>
      <c r="R630" s="2" t="n"/>
      <c r="S630" s="2" t="n"/>
      <c r="T630" s="2" t="n"/>
      <c r="U630" s="2" t="n"/>
      <c r="V630" s="2" t="n"/>
      <c r="W630" s="2" t="n"/>
      <c r="X630" s="2">
        <f>Q630</f>
        <v/>
      </c>
      <c r="Y630" s="4">
        <f>'QBO Transactions'!$Q632</f>
        <v/>
      </c>
      <c r="Z630" s="2" t="n"/>
      <c r="AA630" s="2" t="n"/>
      <c r="AB630" s="2" t="n"/>
      <c r="AC630" s="2" t="n"/>
      <c r="AD630" s="2" t="n"/>
      <c r="AE630" s="2" t="n"/>
    </row>
    <row r="631" ht="12.75" customHeight="1" s="52">
      <c r="A631" s="2" t="n"/>
      <c r="B631" s="2">
        <f>'QBO Transactions'!$U633</f>
        <v/>
      </c>
      <c r="C631" s="3">
        <f>'QBO Transactions'!$S633</f>
        <v/>
      </c>
      <c r="D631" s="2">
        <f>'QBO Transactions'!$R633</f>
        <v/>
      </c>
      <c r="E631" s="2" t="n"/>
      <c r="F631" s="3">
        <f>'QBO Transactions'!$X633</f>
        <v/>
      </c>
      <c r="G631" s="2" t="n"/>
      <c r="H631" s="2" t="n"/>
      <c r="I631" s="2" t="n"/>
      <c r="J631" s="2" t="n"/>
      <c r="K631" s="2" t="n"/>
      <c r="L631" s="2" t="n"/>
      <c r="M631" s="2" t="n"/>
      <c r="N631" s="2">
        <f>'QBO Transactions'!$Y633</f>
        <v/>
      </c>
      <c r="O631" s="2" t="n"/>
      <c r="P631" s="2" t="n"/>
      <c r="Q631" s="2">
        <f>'QBO Transactions'!$T633</f>
        <v/>
      </c>
      <c r="R631" s="2" t="n"/>
      <c r="S631" s="2" t="n"/>
      <c r="T631" s="2" t="n"/>
      <c r="U631" s="2" t="n"/>
      <c r="V631" s="2" t="n"/>
      <c r="W631" s="2" t="n"/>
      <c r="X631" s="2">
        <f>Q631</f>
        <v/>
      </c>
      <c r="Y631" s="4">
        <f>'QBO Transactions'!$Q633</f>
        <v/>
      </c>
      <c r="Z631" s="2" t="n"/>
      <c r="AA631" s="2" t="n"/>
      <c r="AB631" s="2" t="n"/>
      <c r="AC631" s="2" t="n"/>
      <c r="AD631" s="2" t="n"/>
      <c r="AE631" s="2" t="n"/>
    </row>
    <row r="632" ht="12.75" customHeight="1" s="52">
      <c r="A632" s="2" t="n"/>
      <c r="B632" s="2">
        <f>'QBO Transactions'!$U634</f>
        <v/>
      </c>
      <c r="C632" s="3">
        <f>'QBO Transactions'!$S634</f>
        <v/>
      </c>
      <c r="D632" s="2">
        <f>'QBO Transactions'!$R634</f>
        <v/>
      </c>
      <c r="E632" s="2" t="n"/>
      <c r="F632" s="3">
        <f>'QBO Transactions'!$X634</f>
        <v/>
      </c>
      <c r="G632" s="2" t="n"/>
      <c r="H632" s="2" t="n"/>
      <c r="I632" s="2" t="n"/>
      <c r="J632" s="2" t="n"/>
      <c r="K632" s="2" t="n"/>
      <c r="L632" s="2" t="n"/>
      <c r="M632" s="2" t="n"/>
      <c r="N632" s="2">
        <f>'QBO Transactions'!$Y634</f>
        <v/>
      </c>
      <c r="O632" s="2" t="n"/>
      <c r="P632" s="2" t="n"/>
      <c r="Q632" s="2">
        <f>'QBO Transactions'!$T634</f>
        <v/>
      </c>
      <c r="R632" s="2" t="n"/>
      <c r="S632" s="2" t="n"/>
      <c r="T632" s="2" t="n"/>
      <c r="U632" s="2" t="n"/>
      <c r="V632" s="2" t="n"/>
      <c r="W632" s="2" t="n"/>
      <c r="X632" s="2">
        <f>Q632</f>
        <v/>
      </c>
      <c r="Y632" s="4">
        <f>'QBO Transactions'!$Q634</f>
        <v/>
      </c>
      <c r="Z632" s="2" t="n"/>
      <c r="AA632" s="2" t="n"/>
      <c r="AB632" s="2" t="n"/>
      <c r="AC632" s="2" t="n"/>
      <c r="AD632" s="2" t="n"/>
      <c r="AE632" s="2" t="n"/>
    </row>
    <row r="633" ht="12.75" customHeight="1" s="52">
      <c r="A633" s="2" t="n"/>
      <c r="B633" s="2">
        <f>'QBO Transactions'!$U635</f>
        <v/>
      </c>
      <c r="C633" s="3">
        <f>'QBO Transactions'!$S635</f>
        <v/>
      </c>
      <c r="D633" s="2">
        <f>'QBO Transactions'!$R635</f>
        <v/>
      </c>
      <c r="E633" s="2" t="n"/>
      <c r="F633" s="3">
        <f>'QBO Transactions'!$X635</f>
        <v/>
      </c>
      <c r="G633" s="2" t="n"/>
      <c r="H633" s="2" t="n"/>
      <c r="I633" s="2" t="n"/>
      <c r="J633" s="2" t="n"/>
      <c r="K633" s="2" t="n"/>
      <c r="L633" s="2" t="n"/>
      <c r="M633" s="2" t="n"/>
      <c r="N633" s="2">
        <f>'QBO Transactions'!$Y635</f>
        <v/>
      </c>
      <c r="O633" s="2" t="n"/>
      <c r="P633" s="2" t="n"/>
      <c r="Q633" s="2">
        <f>'QBO Transactions'!$T635</f>
        <v/>
      </c>
      <c r="R633" s="2" t="n"/>
      <c r="S633" s="2" t="n"/>
      <c r="T633" s="2" t="n"/>
      <c r="U633" s="2" t="n"/>
      <c r="V633" s="2" t="n"/>
      <c r="W633" s="2" t="n"/>
      <c r="X633" s="2">
        <f>Q633</f>
        <v/>
      </c>
      <c r="Y633" s="4">
        <f>'QBO Transactions'!$Q635</f>
        <v/>
      </c>
      <c r="Z633" s="2" t="n"/>
      <c r="AA633" s="2" t="n"/>
      <c r="AB633" s="2" t="n"/>
      <c r="AC633" s="2" t="n"/>
      <c r="AD633" s="2" t="n"/>
      <c r="AE633" s="2" t="n"/>
    </row>
    <row r="634" ht="12.75" customHeight="1" s="52">
      <c r="A634" s="2" t="n"/>
      <c r="B634" s="2">
        <f>'QBO Transactions'!$U636</f>
        <v/>
      </c>
      <c r="C634" s="3">
        <f>'QBO Transactions'!$S636</f>
        <v/>
      </c>
      <c r="D634" s="2">
        <f>'QBO Transactions'!$R636</f>
        <v/>
      </c>
      <c r="E634" s="2" t="n"/>
      <c r="F634" s="3">
        <f>'QBO Transactions'!$X636</f>
        <v/>
      </c>
      <c r="G634" s="2" t="n"/>
      <c r="H634" s="2" t="n"/>
      <c r="I634" s="2" t="n"/>
      <c r="J634" s="2" t="n"/>
      <c r="K634" s="2" t="n"/>
      <c r="L634" s="2" t="n"/>
      <c r="M634" s="2" t="n"/>
      <c r="N634" s="2">
        <f>'QBO Transactions'!$Y636</f>
        <v/>
      </c>
      <c r="O634" s="2" t="n"/>
      <c r="P634" s="2" t="n"/>
      <c r="Q634" s="2">
        <f>'QBO Transactions'!$T636</f>
        <v/>
      </c>
      <c r="R634" s="2" t="n"/>
      <c r="S634" s="2" t="n"/>
      <c r="T634" s="2" t="n"/>
      <c r="U634" s="2" t="n"/>
      <c r="V634" s="2" t="n"/>
      <c r="W634" s="2" t="n"/>
      <c r="X634" s="2">
        <f>Q634</f>
        <v/>
      </c>
      <c r="Y634" s="4">
        <f>'QBO Transactions'!$Q636</f>
        <v/>
      </c>
      <c r="Z634" s="2" t="n"/>
      <c r="AA634" s="2" t="n"/>
      <c r="AB634" s="2" t="n"/>
      <c r="AC634" s="2" t="n"/>
      <c r="AD634" s="2" t="n"/>
      <c r="AE634" s="2" t="n"/>
    </row>
    <row r="635" ht="12.75" customHeight="1" s="52">
      <c r="A635" s="2" t="n"/>
      <c r="B635" s="2">
        <f>'QBO Transactions'!$U637</f>
        <v/>
      </c>
      <c r="C635" s="3">
        <f>'QBO Transactions'!$S637</f>
        <v/>
      </c>
      <c r="D635" s="2">
        <f>'QBO Transactions'!$R637</f>
        <v/>
      </c>
      <c r="E635" s="2" t="n"/>
      <c r="F635" s="3">
        <f>'QBO Transactions'!$X637</f>
        <v/>
      </c>
      <c r="G635" s="2" t="n"/>
      <c r="H635" s="2" t="n"/>
      <c r="I635" s="2" t="n"/>
      <c r="J635" s="2" t="n"/>
      <c r="K635" s="2" t="n"/>
      <c r="L635" s="2" t="n"/>
      <c r="M635" s="2" t="n"/>
      <c r="N635" s="2">
        <f>'QBO Transactions'!$Y637</f>
        <v/>
      </c>
      <c r="O635" s="2" t="n"/>
      <c r="P635" s="2" t="n"/>
      <c r="Q635" s="2">
        <f>'QBO Transactions'!$T637</f>
        <v/>
      </c>
      <c r="R635" s="2" t="n"/>
      <c r="S635" s="2" t="n"/>
      <c r="T635" s="2" t="n"/>
      <c r="U635" s="2" t="n"/>
      <c r="V635" s="2" t="n"/>
      <c r="W635" s="2" t="n"/>
      <c r="X635" s="2">
        <f>Q635</f>
        <v/>
      </c>
      <c r="Y635" s="4">
        <f>'QBO Transactions'!$Q637</f>
        <v/>
      </c>
      <c r="Z635" s="2" t="n"/>
      <c r="AA635" s="2" t="n"/>
      <c r="AB635" s="2" t="n"/>
      <c r="AC635" s="2" t="n"/>
      <c r="AD635" s="2" t="n"/>
      <c r="AE635" s="2" t="n"/>
    </row>
    <row r="636" ht="12.75" customHeight="1" s="52">
      <c r="A636" s="2" t="n"/>
      <c r="B636" s="2">
        <f>'QBO Transactions'!$U638</f>
        <v/>
      </c>
      <c r="C636" s="3">
        <f>'QBO Transactions'!$S638</f>
        <v/>
      </c>
      <c r="D636" s="2">
        <f>'QBO Transactions'!$R638</f>
        <v/>
      </c>
      <c r="E636" s="2" t="n"/>
      <c r="F636" s="3">
        <f>'QBO Transactions'!$X638</f>
        <v/>
      </c>
      <c r="G636" s="2" t="n"/>
      <c r="H636" s="2" t="n"/>
      <c r="I636" s="2" t="n"/>
      <c r="J636" s="2" t="n"/>
      <c r="K636" s="2" t="n"/>
      <c r="L636" s="2" t="n"/>
      <c r="M636" s="2" t="n"/>
      <c r="N636" s="2">
        <f>'QBO Transactions'!$Y638</f>
        <v/>
      </c>
      <c r="O636" s="2" t="n"/>
      <c r="P636" s="2" t="n"/>
      <c r="Q636" s="2">
        <f>'QBO Transactions'!$T638</f>
        <v/>
      </c>
      <c r="R636" s="2" t="n"/>
      <c r="S636" s="2" t="n"/>
      <c r="T636" s="2" t="n"/>
      <c r="U636" s="2" t="n"/>
      <c r="V636" s="2" t="n"/>
      <c r="W636" s="2" t="n"/>
      <c r="X636" s="2">
        <f>Q636</f>
        <v/>
      </c>
      <c r="Y636" s="4">
        <f>'QBO Transactions'!$Q638</f>
        <v/>
      </c>
      <c r="Z636" s="2" t="n"/>
      <c r="AA636" s="2" t="n"/>
      <c r="AB636" s="2" t="n"/>
      <c r="AC636" s="2" t="n"/>
      <c r="AD636" s="2" t="n"/>
      <c r="AE636" s="2" t="n"/>
    </row>
    <row r="637" ht="12.75" customHeight="1" s="52">
      <c r="A637" s="2" t="n"/>
      <c r="B637" s="2">
        <f>'QBO Transactions'!$U639</f>
        <v/>
      </c>
      <c r="C637" s="3">
        <f>'QBO Transactions'!$S639</f>
        <v/>
      </c>
      <c r="D637" s="2">
        <f>'QBO Transactions'!$R639</f>
        <v/>
      </c>
      <c r="E637" s="2" t="n"/>
      <c r="F637" s="3">
        <f>'QBO Transactions'!$X639</f>
        <v/>
      </c>
      <c r="G637" s="2" t="n"/>
      <c r="H637" s="2" t="n"/>
      <c r="I637" s="2" t="n"/>
      <c r="J637" s="2" t="n"/>
      <c r="K637" s="2" t="n"/>
      <c r="L637" s="2" t="n"/>
      <c r="M637" s="2" t="n"/>
      <c r="N637" s="2">
        <f>'QBO Transactions'!$Y639</f>
        <v/>
      </c>
      <c r="O637" s="2" t="n"/>
      <c r="P637" s="2" t="n"/>
      <c r="Q637" s="2">
        <f>'QBO Transactions'!$T639</f>
        <v/>
      </c>
      <c r="R637" s="2" t="n"/>
      <c r="S637" s="2" t="n"/>
      <c r="T637" s="2" t="n"/>
      <c r="U637" s="2" t="n"/>
      <c r="V637" s="2" t="n"/>
      <c r="W637" s="2" t="n"/>
      <c r="X637" s="2">
        <f>Q637</f>
        <v/>
      </c>
      <c r="Y637" s="4">
        <f>'QBO Transactions'!$Q639</f>
        <v/>
      </c>
      <c r="Z637" s="2" t="n"/>
      <c r="AA637" s="2" t="n"/>
      <c r="AB637" s="2" t="n"/>
      <c r="AC637" s="2" t="n"/>
      <c r="AD637" s="2" t="n"/>
      <c r="AE637" s="2" t="n"/>
    </row>
    <row r="638" ht="12.75" customHeight="1" s="52">
      <c r="A638" s="2" t="n"/>
      <c r="B638" s="2">
        <f>'QBO Transactions'!$U640</f>
        <v/>
      </c>
      <c r="C638" s="3">
        <f>'QBO Transactions'!$S640</f>
        <v/>
      </c>
      <c r="D638" s="2">
        <f>'QBO Transactions'!$R640</f>
        <v/>
      </c>
      <c r="E638" s="2" t="n"/>
      <c r="F638" s="3">
        <f>'QBO Transactions'!$X640</f>
        <v/>
      </c>
      <c r="G638" s="2" t="n"/>
      <c r="H638" s="2" t="n"/>
      <c r="I638" s="2" t="n"/>
      <c r="J638" s="2" t="n"/>
      <c r="K638" s="2" t="n"/>
      <c r="L638" s="2" t="n"/>
      <c r="M638" s="2" t="n"/>
      <c r="N638" s="2">
        <f>'QBO Transactions'!$Y640</f>
        <v/>
      </c>
      <c r="O638" s="2" t="n"/>
      <c r="P638" s="2" t="n"/>
      <c r="Q638" s="2">
        <f>'QBO Transactions'!$T640</f>
        <v/>
      </c>
      <c r="R638" s="2" t="n"/>
      <c r="S638" s="2" t="n"/>
      <c r="T638" s="2" t="n"/>
      <c r="U638" s="2" t="n"/>
      <c r="V638" s="2" t="n"/>
      <c r="W638" s="2" t="n"/>
      <c r="X638" s="2">
        <f>Q638</f>
        <v/>
      </c>
      <c r="Y638" s="4">
        <f>'QBO Transactions'!$Q640</f>
        <v/>
      </c>
      <c r="Z638" s="2" t="n"/>
      <c r="AA638" s="2" t="n"/>
      <c r="AB638" s="2" t="n"/>
      <c r="AC638" s="2" t="n"/>
      <c r="AD638" s="2" t="n"/>
      <c r="AE638" s="2" t="n"/>
    </row>
    <row r="639" ht="12.75" customHeight="1" s="52">
      <c r="A639" s="2" t="n"/>
      <c r="B639" s="2">
        <f>'QBO Transactions'!$U641</f>
        <v/>
      </c>
      <c r="C639" s="3">
        <f>'QBO Transactions'!$S641</f>
        <v/>
      </c>
      <c r="D639" s="2">
        <f>'QBO Transactions'!$R641</f>
        <v/>
      </c>
      <c r="E639" s="2" t="n"/>
      <c r="F639" s="3">
        <f>'QBO Transactions'!$X641</f>
        <v/>
      </c>
      <c r="G639" s="2" t="n"/>
      <c r="H639" s="2" t="n"/>
      <c r="I639" s="2" t="n"/>
      <c r="J639" s="2" t="n"/>
      <c r="K639" s="2" t="n"/>
      <c r="L639" s="2" t="n"/>
      <c r="M639" s="2" t="n"/>
      <c r="N639" s="2">
        <f>'QBO Transactions'!$Y641</f>
        <v/>
      </c>
      <c r="O639" s="2" t="n"/>
      <c r="P639" s="2" t="n"/>
      <c r="Q639" s="2">
        <f>'QBO Transactions'!$T641</f>
        <v/>
      </c>
      <c r="R639" s="2" t="n"/>
      <c r="S639" s="2" t="n"/>
      <c r="T639" s="2" t="n"/>
      <c r="U639" s="2" t="n"/>
      <c r="V639" s="2" t="n"/>
      <c r="W639" s="2" t="n"/>
      <c r="X639" s="2">
        <f>Q639</f>
        <v/>
      </c>
      <c r="Y639" s="4">
        <f>'QBO Transactions'!$Q641</f>
        <v/>
      </c>
      <c r="Z639" s="2" t="n"/>
      <c r="AA639" s="2" t="n"/>
      <c r="AB639" s="2" t="n"/>
      <c r="AC639" s="2" t="n"/>
      <c r="AD639" s="2" t="n"/>
      <c r="AE639" s="2" t="n"/>
    </row>
    <row r="640" ht="12.75" customHeight="1" s="52">
      <c r="A640" s="2" t="n"/>
      <c r="B640" s="2">
        <f>'QBO Transactions'!$U642</f>
        <v/>
      </c>
      <c r="C640" s="3">
        <f>'QBO Transactions'!$S642</f>
        <v/>
      </c>
      <c r="D640" s="2">
        <f>'QBO Transactions'!$R642</f>
        <v/>
      </c>
      <c r="E640" s="2" t="n"/>
      <c r="F640" s="3">
        <f>'QBO Transactions'!$X642</f>
        <v/>
      </c>
      <c r="G640" s="2" t="n"/>
      <c r="H640" s="2" t="n"/>
      <c r="I640" s="2" t="n"/>
      <c r="J640" s="2" t="n"/>
      <c r="K640" s="2" t="n"/>
      <c r="L640" s="2" t="n"/>
      <c r="M640" s="2" t="n"/>
      <c r="N640" s="2">
        <f>'QBO Transactions'!$Y642</f>
        <v/>
      </c>
      <c r="O640" s="2" t="n"/>
      <c r="P640" s="2" t="n"/>
      <c r="Q640" s="2">
        <f>'QBO Transactions'!$T642</f>
        <v/>
      </c>
      <c r="R640" s="2" t="n"/>
      <c r="S640" s="2" t="n"/>
      <c r="T640" s="2" t="n"/>
      <c r="U640" s="2" t="n"/>
      <c r="V640" s="2" t="n"/>
      <c r="W640" s="2" t="n"/>
      <c r="X640" s="2">
        <f>Q640</f>
        <v/>
      </c>
      <c r="Y640" s="4">
        <f>'QBO Transactions'!$Q642</f>
        <v/>
      </c>
      <c r="Z640" s="2" t="n"/>
      <c r="AA640" s="2" t="n"/>
      <c r="AB640" s="2" t="n"/>
      <c r="AC640" s="2" t="n"/>
      <c r="AD640" s="2" t="n"/>
      <c r="AE640" s="2" t="n"/>
    </row>
    <row r="641" ht="12.75" customHeight="1" s="52">
      <c r="A641" s="2" t="n"/>
      <c r="B641" s="2">
        <f>'QBO Transactions'!$U643</f>
        <v/>
      </c>
      <c r="C641" s="3">
        <f>'QBO Transactions'!$S643</f>
        <v/>
      </c>
      <c r="D641" s="2">
        <f>'QBO Transactions'!$R643</f>
        <v/>
      </c>
      <c r="E641" s="2" t="n"/>
      <c r="F641" s="3">
        <f>'QBO Transactions'!$X643</f>
        <v/>
      </c>
      <c r="G641" s="2" t="n"/>
      <c r="H641" s="2" t="n"/>
      <c r="I641" s="2" t="n"/>
      <c r="J641" s="2" t="n"/>
      <c r="K641" s="2" t="n"/>
      <c r="L641" s="2" t="n"/>
      <c r="M641" s="2" t="n"/>
      <c r="N641" s="2">
        <f>'QBO Transactions'!$Y643</f>
        <v/>
      </c>
      <c r="O641" s="2" t="n"/>
      <c r="P641" s="2" t="n"/>
      <c r="Q641" s="2">
        <f>'QBO Transactions'!$T643</f>
        <v/>
      </c>
      <c r="R641" s="2" t="n"/>
      <c r="S641" s="2" t="n"/>
      <c r="T641" s="2" t="n"/>
      <c r="U641" s="2" t="n"/>
      <c r="V641" s="2" t="n"/>
      <c r="W641" s="2" t="n"/>
      <c r="X641" s="2">
        <f>Q641</f>
        <v/>
      </c>
      <c r="Y641" s="4">
        <f>'QBO Transactions'!$Q643</f>
        <v/>
      </c>
      <c r="Z641" s="2" t="n"/>
      <c r="AA641" s="2" t="n"/>
      <c r="AB641" s="2" t="n"/>
      <c r="AC641" s="2" t="n"/>
      <c r="AD641" s="2" t="n"/>
      <c r="AE641" s="2" t="n"/>
    </row>
    <row r="642" ht="12.75" customHeight="1" s="52">
      <c r="A642" s="2" t="n"/>
      <c r="B642" s="2">
        <f>'QBO Transactions'!$U644</f>
        <v/>
      </c>
      <c r="C642" s="3">
        <f>'QBO Transactions'!$S644</f>
        <v/>
      </c>
      <c r="D642" s="2">
        <f>'QBO Transactions'!$R644</f>
        <v/>
      </c>
      <c r="E642" s="2" t="n"/>
      <c r="F642" s="3">
        <f>'QBO Transactions'!$X644</f>
        <v/>
      </c>
      <c r="G642" s="2" t="n"/>
      <c r="H642" s="2" t="n"/>
      <c r="I642" s="2" t="n"/>
      <c r="J642" s="2" t="n"/>
      <c r="K642" s="2" t="n"/>
      <c r="L642" s="2" t="n"/>
      <c r="M642" s="2" t="n"/>
      <c r="N642" s="2">
        <f>'QBO Transactions'!$Y644</f>
        <v/>
      </c>
      <c r="O642" s="2" t="n"/>
      <c r="P642" s="2" t="n"/>
      <c r="Q642" s="2">
        <f>'QBO Transactions'!$T644</f>
        <v/>
      </c>
      <c r="R642" s="2" t="n"/>
      <c r="S642" s="2" t="n"/>
      <c r="T642" s="2" t="n"/>
      <c r="U642" s="2" t="n"/>
      <c r="V642" s="2" t="n"/>
      <c r="W642" s="2" t="n"/>
      <c r="X642" s="2">
        <f>Q642</f>
        <v/>
      </c>
      <c r="Y642" s="4">
        <f>'QBO Transactions'!$Q644</f>
        <v/>
      </c>
      <c r="Z642" s="2" t="n"/>
      <c r="AA642" s="2" t="n"/>
      <c r="AB642" s="2" t="n"/>
      <c r="AC642" s="2" t="n"/>
      <c r="AD642" s="2" t="n"/>
      <c r="AE642" s="2" t="n"/>
    </row>
    <row r="643" ht="12.75" customHeight="1" s="52">
      <c r="A643" s="2" t="n"/>
      <c r="B643" s="2">
        <f>'QBO Transactions'!$U645</f>
        <v/>
      </c>
      <c r="C643" s="3">
        <f>'QBO Transactions'!$S645</f>
        <v/>
      </c>
      <c r="D643" s="2">
        <f>'QBO Transactions'!$R645</f>
        <v/>
      </c>
      <c r="E643" s="2" t="n"/>
      <c r="F643" s="3">
        <f>'QBO Transactions'!$X645</f>
        <v/>
      </c>
      <c r="G643" s="2" t="n"/>
      <c r="H643" s="2" t="n"/>
      <c r="I643" s="2" t="n"/>
      <c r="J643" s="2" t="n"/>
      <c r="K643" s="2" t="n"/>
      <c r="L643" s="2" t="n"/>
      <c r="M643" s="2" t="n"/>
      <c r="N643" s="2">
        <f>'QBO Transactions'!$Y645</f>
        <v/>
      </c>
      <c r="O643" s="2" t="n"/>
      <c r="P643" s="2" t="n"/>
      <c r="Q643" s="2">
        <f>'QBO Transactions'!$T645</f>
        <v/>
      </c>
      <c r="R643" s="2" t="n"/>
      <c r="S643" s="2" t="n"/>
      <c r="T643" s="2" t="n"/>
      <c r="U643" s="2" t="n"/>
      <c r="V643" s="2" t="n"/>
      <c r="W643" s="2" t="n"/>
      <c r="X643" s="2">
        <f>Q643</f>
        <v/>
      </c>
      <c r="Y643" s="4">
        <f>'QBO Transactions'!$Q645</f>
        <v/>
      </c>
      <c r="Z643" s="2" t="n"/>
      <c r="AA643" s="2" t="n"/>
      <c r="AB643" s="2" t="n"/>
      <c r="AC643" s="2" t="n"/>
      <c r="AD643" s="2" t="n"/>
      <c r="AE643" s="2" t="n"/>
    </row>
    <row r="644" ht="12.75" customHeight="1" s="52">
      <c r="A644" s="2" t="n"/>
      <c r="B644" s="2">
        <f>'QBO Transactions'!$U646</f>
        <v/>
      </c>
      <c r="C644" s="3">
        <f>'QBO Transactions'!$S646</f>
        <v/>
      </c>
      <c r="D644" s="2">
        <f>'QBO Transactions'!$R646</f>
        <v/>
      </c>
      <c r="E644" s="2" t="n"/>
      <c r="F644" s="3">
        <f>'QBO Transactions'!$X646</f>
        <v/>
      </c>
      <c r="G644" s="2" t="n"/>
      <c r="H644" s="2" t="n"/>
      <c r="I644" s="2" t="n"/>
      <c r="J644" s="2" t="n"/>
      <c r="K644" s="2" t="n"/>
      <c r="L644" s="2" t="n"/>
      <c r="M644" s="2" t="n"/>
      <c r="N644" s="2">
        <f>'QBO Transactions'!$Y646</f>
        <v/>
      </c>
      <c r="O644" s="2" t="n"/>
      <c r="P644" s="2" t="n"/>
      <c r="Q644" s="2">
        <f>'QBO Transactions'!$T646</f>
        <v/>
      </c>
      <c r="R644" s="2" t="n"/>
      <c r="S644" s="2" t="n"/>
      <c r="T644" s="2" t="n"/>
      <c r="U644" s="2" t="n"/>
      <c r="V644" s="2" t="n"/>
      <c r="W644" s="2" t="n"/>
      <c r="X644" s="2">
        <f>Q644</f>
        <v/>
      </c>
      <c r="Y644" s="4">
        <f>'QBO Transactions'!$Q646</f>
        <v/>
      </c>
      <c r="Z644" s="2" t="n"/>
      <c r="AA644" s="2" t="n"/>
      <c r="AB644" s="2" t="n"/>
      <c r="AC644" s="2" t="n"/>
      <c r="AD644" s="2" t="n"/>
      <c r="AE644" s="2" t="n"/>
    </row>
    <row r="645" ht="12.75" customHeight="1" s="52">
      <c r="A645" s="2" t="n"/>
      <c r="B645" s="2">
        <f>'QBO Transactions'!$U647</f>
        <v/>
      </c>
      <c r="C645" s="3">
        <f>'QBO Transactions'!$S647</f>
        <v/>
      </c>
      <c r="D645" s="2">
        <f>'QBO Transactions'!$R647</f>
        <v/>
      </c>
      <c r="E645" s="2" t="n"/>
      <c r="F645" s="3">
        <f>'QBO Transactions'!$X647</f>
        <v/>
      </c>
      <c r="G645" s="2" t="n"/>
      <c r="H645" s="2" t="n"/>
      <c r="I645" s="2" t="n"/>
      <c r="J645" s="2" t="n"/>
      <c r="K645" s="2" t="n"/>
      <c r="L645" s="2" t="n"/>
      <c r="M645" s="2" t="n"/>
      <c r="N645" s="2">
        <f>'QBO Transactions'!$Y647</f>
        <v/>
      </c>
      <c r="O645" s="2" t="n"/>
      <c r="P645" s="2" t="n"/>
      <c r="Q645" s="2">
        <f>'QBO Transactions'!$T647</f>
        <v/>
      </c>
      <c r="R645" s="2" t="n"/>
      <c r="S645" s="2" t="n"/>
      <c r="T645" s="2" t="n"/>
      <c r="U645" s="2" t="n"/>
      <c r="V645" s="2" t="n"/>
      <c r="W645" s="2" t="n"/>
      <c r="X645" s="2">
        <f>Q645</f>
        <v/>
      </c>
      <c r="Y645" s="4">
        <f>'QBO Transactions'!$Q647</f>
        <v/>
      </c>
      <c r="Z645" s="2" t="n"/>
      <c r="AA645" s="2" t="n"/>
      <c r="AB645" s="2" t="n"/>
      <c r="AC645" s="2" t="n"/>
      <c r="AD645" s="2" t="n"/>
      <c r="AE645" s="2" t="n"/>
    </row>
    <row r="646" ht="12.75" customHeight="1" s="52">
      <c r="A646" s="2" t="n"/>
      <c r="B646" s="2">
        <f>'QBO Transactions'!$U648</f>
        <v/>
      </c>
      <c r="C646" s="3">
        <f>'QBO Transactions'!$S648</f>
        <v/>
      </c>
      <c r="D646" s="2">
        <f>'QBO Transactions'!$R648</f>
        <v/>
      </c>
      <c r="E646" s="2" t="n"/>
      <c r="F646" s="3">
        <f>'QBO Transactions'!$X648</f>
        <v/>
      </c>
      <c r="G646" s="2" t="n"/>
      <c r="H646" s="2" t="n"/>
      <c r="I646" s="2" t="n"/>
      <c r="J646" s="2" t="n"/>
      <c r="K646" s="2" t="n"/>
      <c r="L646" s="2" t="n"/>
      <c r="M646" s="2" t="n"/>
      <c r="N646" s="2">
        <f>'QBO Transactions'!$Y648</f>
        <v/>
      </c>
      <c r="O646" s="2" t="n"/>
      <c r="P646" s="2" t="n"/>
      <c r="Q646" s="2">
        <f>'QBO Transactions'!$T648</f>
        <v/>
      </c>
      <c r="R646" s="2" t="n"/>
      <c r="S646" s="2" t="n"/>
      <c r="T646" s="2" t="n"/>
      <c r="U646" s="2" t="n"/>
      <c r="V646" s="2" t="n"/>
      <c r="W646" s="2" t="n"/>
      <c r="X646" s="2">
        <f>Q646</f>
        <v/>
      </c>
      <c r="Y646" s="4">
        <f>'QBO Transactions'!$Q648</f>
        <v/>
      </c>
      <c r="Z646" s="2" t="n"/>
      <c r="AA646" s="2" t="n"/>
      <c r="AB646" s="2" t="n"/>
      <c r="AC646" s="2" t="n"/>
      <c r="AD646" s="2" t="n"/>
      <c r="AE646" s="2" t="n"/>
    </row>
    <row r="647" ht="12.75" customHeight="1" s="52">
      <c r="A647" s="2" t="n"/>
      <c r="B647" s="2">
        <f>'QBO Transactions'!$U649</f>
        <v/>
      </c>
      <c r="C647" s="3">
        <f>'QBO Transactions'!$S649</f>
        <v/>
      </c>
      <c r="D647" s="2">
        <f>'QBO Transactions'!$R649</f>
        <v/>
      </c>
      <c r="E647" s="2" t="n"/>
      <c r="F647" s="3">
        <f>'QBO Transactions'!$X649</f>
        <v/>
      </c>
      <c r="G647" s="2" t="n"/>
      <c r="H647" s="2" t="n"/>
      <c r="I647" s="2" t="n"/>
      <c r="J647" s="2" t="n"/>
      <c r="K647" s="2" t="n"/>
      <c r="L647" s="2" t="n"/>
      <c r="M647" s="2" t="n"/>
      <c r="N647" s="2">
        <f>'QBO Transactions'!$Y649</f>
        <v/>
      </c>
      <c r="O647" s="2" t="n"/>
      <c r="P647" s="2" t="n"/>
      <c r="Q647" s="2">
        <f>'QBO Transactions'!$T649</f>
        <v/>
      </c>
      <c r="R647" s="2" t="n"/>
      <c r="S647" s="2" t="n"/>
      <c r="T647" s="2" t="n"/>
      <c r="U647" s="2" t="n"/>
      <c r="V647" s="2" t="n"/>
      <c r="W647" s="2" t="n"/>
      <c r="X647" s="2">
        <f>Q647</f>
        <v/>
      </c>
      <c r="Y647" s="4">
        <f>'QBO Transactions'!$Q649</f>
        <v/>
      </c>
      <c r="Z647" s="2" t="n"/>
      <c r="AA647" s="2" t="n"/>
      <c r="AB647" s="2" t="n"/>
      <c r="AC647" s="2" t="n"/>
      <c r="AD647" s="2" t="n"/>
      <c r="AE647" s="2" t="n"/>
    </row>
    <row r="648" ht="12.75" customHeight="1" s="52">
      <c r="A648" s="2" t="n"/>
      <c r="B648" s="2">
        <f>'QBO Transactions'!$U650</f>
        <v/>
      </c>
      <c r="C648" s="3">
        <f>'QBO Transactions'!$S650</f>
        <v/>
      </c>
      <c r="D648" s="2">
        <f>'QBO Transactions'!$R650</f>
        <v/>
      </c>
      <c r="E648" s="2" t="n"/>
      <c r="F648" s="3">
        <f>'QBO Transactions'!$X650</f>
        <v/>
      </c>
      <c r="G648" s="2" t="n"/>
      <c r="H648" s="2" t="n"/>
      <c r="I648" s="2" t="n"/>
      <c r="J648" s="2" t="n"/>
      <c r="K648" s="2" t="n"/>
      <c r="L648" s="2" t="n"/>
      <c r="M648" s="2" t="n"/>
      <c r="N648" s="2">
        <f>'QBO Transactions'!$Y650</f>
        <v/>
      </c>
      <c r="O648" s="2" t="n"/>
      <c r="P648" s="2" t="n"/>
      <c r="Q648" s="2">
        <f>'QBO Transactions'!$T650</f>
        <v/>
      </c>
      <c r="R648" s="2" t="n"/>
      <c r="S648" s="2" t="n"/>
      <c r="T648" s="2" t="n"/>
      <c r="U648" s="2" t="n"/>
      <c r="V648" s="2" t="n"/>
      <c r="W648" s="2" t="n"/>
      <c r="X648" s="2">
        <f>Q648</f>
        <v/>
      </c>
      <c r="Y648" s="4">
        <f>'QBO Transactions'!$Q650</f>
        <v/>
      </c>
      <c r="Z648" s="2" t="n"/>
      <c r="AA648" s="2" t="n"/>
      <c r="AB648" s="2" t="n"/>
      <c r="AC648" s="2" t="n"/>
      <c r="AD648" s="2" t="n"/>
      <c r="AE648" s="2" t="n"/>
    </row>
    <row r="649" ht="12.75" customHeight="1" s="52">
      <c r="A649" s="2" t="n"/>
      <c r="B649" s="2">
        <f>'QBO Transactions'!$U651</f>
        <v/>
      </c>
      <c r="C649" s="3">
        <f>'QBO Transactions'!$S651</f>
        <v/>
      </c>
      <c r="D649" s="2">
        <f>'QBO Transactions'!$R651</f>
        <v/>
      </c>
      <c r="E649" s="2" t="n"/>
      <c r="F649" s="3">
        <f>'QBO Transactions'!$X651</f>
        <v/>
      </c>
      <c r="G649" s="2" t="n"/>
      <c r="H649" s="2" t="n"/>
      <c r="I649" s="2" t="n"/>
      <c r="J649" s="2" t="n"/>
      <c r="K649" s="2" t="n"/>
      <c r="L649" s="2" t="n"/>
      <c r="M649" s="2" t="n"/>
      <c r="N649" s="2">
        <f>'QBO Transactions'!$Y651</f>
        <v/>
      </c>
      <c r="O649" s="2" t="n"/>
      <c r="P649" s="2" t="n"/>
      <c r="Q649" s="2">
        <f>'QBO Transactions'!$T651</f>
        <v/>
      </c>
      <c r="R649" s="2" t="n"/>
      <c r="S649" s="2" t="n"/>
      <c r="T649" s="2" t="n"/>
      <c r="U649" s="2" t="n"/>
      <c r="V649" s="2" t="n"/>
      <c r="W649" s="2" t="n"/>
      <c r="X649" s="2">
        <f>Q649</f>
        <v/>
      </c>
      <c r="Y649" s="4">
        <f>'QBO Transactions'!$Q651</f>
        <v/>
      </c>
      <c r="Z649" s="2" t="n"/>
      <c r="AA649" s="2" t="n"/>
      <c r="AB649" s="2" t="n"/>
      <c r="AC649" s="2" t="n"/>
      <c r="AD649" s="2" t="n"/>
      <c r="AE649" s="2" t="n"/>
    </row>
    <row r="650" ht="12.75" customHeight="1" s="52">
      <c r="A650" s="2" t="n"/>
      <c r="B650" s="2">
        <f>'QBO Transactions'!$U652</f>
        <v/>
      </c>
      <c r="C650" s="3">
        <f>'QBO Transactions'!$S652</f>
        <v/>
      </c>
      <c r="D650" s="2">
        <f>'QBO Transactions'!$R652</f>
        <v/>
      </c>
      <c r="E650" s="2" t="n"/>
      <c r="F650" s="3">
        <f>'QBO Transactions'!$X652</f>
        <v/>
      </c>
      <c r="G650" s="2" t="n"/>
      <c r="H650" s="2" t="n"/>
      <c r="I650" s="2" t="n"/>
      <c r="J650" s="2" t="n"/>
      <c r="K650" s="2" t="n"/>
      <c r="L650" s="2" t="n"/>
      <c r="M650" s="2" t="n"/>
      <c r="N650" s="2">
        <f>'QBO Transactions'!$Y652</f>
        <v/>
      </c>
      <c r="O650" s="2" t="n"/>
      <c r="P650" s="2" t="n"/>
      <c r="Q650" s="2">
        <f>'QBO Transactions'!$T652</f>
        <v/>
      </c>
      <c r="R650" s="2" t="n"/>
      <c r="S650" s="2" t="n"/>
      <c r="T650" s="2" t="n"/>
      <c r="U650" s="2" t="n"/>
      <c r="V650" s="2" t="n"/>
      <c r="W650" s="2" t="n"/>
      <c r="X650" s="2">
        <f>Q650</f>
        <v/>
      </c>
      <c r="Y650" s="4">
        <f>'QBO Transactions'!$Q652</f>
        <v/>
      </c>
      <c r="Z650" s="2" t="n"/>
      <c r="AA650" s="2" t="n"/>
      <c r="AB650" s="2" t="n"/>
      <c r="AC650" s="2" t="n"/>
      <c r="AD650" s="2" t="n"/>
      <c r="AE650" s="2" t="n"/>
    </row>
    <row r="651" ht="12.75" customHeight="1" s="52">
      <c r="A651" s="2" t="n"/>
      <c r="B651" s="2">
        <f>'QBO Transactions'!$U653</f>
        <v/>
      </c>
      <c r="C651" s="3">
        <f>'QBO Transactions'!$S653</f>
        <v/>
      </c>
      <c r="D651" s="2">
        <f>'QBO Transactions'!$R653</f>
        <v/>
      </c>
      <c r="E651" s="2" t="n"/>
      <c r="F651" s="3">
        <f>'QBO Transactions'!$X653</f>
        <v/>
      </c>
      <c r="G651" s="2" t="n"/>
      <c r="H651" s="2" t="n"/>
      <c r="I651" s="2" t="n"/>
      <c r="J651" s="2" t="n"/>
      <c r="K651" s="2" t="n"/>
      <c r="L651" s="2" t="n"/>
      <c r="M651" s="2" t="n"/>
      <c r="N651" s="2">
        <f>'QBO Transactions'!$Y653</f>
        <v/>
      </c>
      <c r="O651" s="2" t="n"/>
      <c r="P651" s="2" t="n"/>
      <c r="Q651" s="2">
        <f>'QBO Transactions'!$T653</f>
        <v/>
      </c>
      <c r="R651" s="2" t="n"/>
      <c r="S651" s="2" t="n"/>
      <c r="T651" s="2" t="n"/>
      <c r="U651" s="2" t="n"/>
      <c r="V651" s="2" t="n"/>
      <c r="W651" s="2" t="n"/>
      <c r="X651" s="2">
        <f>Q651</f>
        <v/>
      </c>
      <c r="Y651" s="4">
        <f>'QBO Transactions'!$Q653</f>
        <v/>
      </c>
      <c r="Z651" s="2" t="n"/>
      <c r="AA651" s="2" t="n"/>
      <c r="AB651" s="2" t="n"/>
      <c r="AC651" s="2" t="n"/>
      <c r="AD651" s="2" t="n"/>
      <c r="AE651" s="2" t="n"/>
    </row>
    <row r="652" ht="12.75" customHeight="1" s="52">
      <c r="A652" s="2" t="n"/>
      <c r="B652" s="2">
        <f>'QBO Transactions'!$U654</f>
        <v/>
      </c>
      <c r="C652" s="3">
        <f>'QBO Transactions'!$S654</f>
        <v/>
      </c>
      <c r="D652" s="2">
        <f>'QBO Transactions'!$R654</f>
        <v/>
      </c>
      <c r="E652" s="2" t="n"/>
      <c r="F652" s="3">
        <f>'QBO Transactions'!$X654</f>
        <v/>
      </c>
      <c r="G652" s="2" t="n"/>
      <c r="H652" s="2" t="n"/>
      <c r="I652" s="2" t="n"/>
      <c r="J652" s="2" t="n"/>
      <c r="K652" s="2" t="n"/>
      <c r="L652" s="2" t="n"/>
      <c r="M652" s="2" t="n"/>
      <c r="N652" s="2">
        <f>'QBO Transactions'!$Y654</f>
        <v/>
      </c>
      <c r="O652" s="2" t="n"/>
      <c r="P652" s="2" t="n"/>
      <c r="Q652" s="2">
        <f>'QBO Transactions'!$T654</f>
        <v/>
      </c>
      <c r="R652" s="2" t="n"/>
      <c r="S652" s="2" t="n"/>
      <c r="T652" s="2" t="n"/>
      <c r="U652" s="2" t="n"/>
      <c r="V652" s="2" t="n"/>
      <c r="W652" s="2" t="n"/>
      <c r="X652" s="2">
        <f>Q652</f>
        <v/>
      </c>
      <c r="Y652" s="4">
        <f>'QBO Transactions'!$Q654</f>
        <v/>
      </c>
      <c r="Z652" s="2" t="n"/>
      <c r="AA652" s="2" t="n"/>
      <c r="AB652" s="2" t="n"/>
      <c r="AC652" s="2" t="n"/>
      <c r="AD652" s="2" t="n"/>
      <c r="AE652" s="2" t="n"/>
    </row>
    <row r="653" ht="12.75" customHeight="1" s="52">
      <c r="A653" s="2" t="n"/>
      <c r="B653" s="2">
        <f>'QBO Transactions'!$U655</f>
        <v/>
      </c>
      <c r="C653" s="3">
        <f>'QBO Transactions'!$S655</f>
        <v/>
      </c>
      <c r="D653" s="2">
        <f>'QBO Transactions'!$R655</f>
        <v/>
      </c>
      <c r="E653" s="2" t="n"/>
      <c r="F653" s="3">
        <f>'QBO Transactions'!$X655</f>
        <v/>
      </c>
      <c r="G653" s="2" t="n"/>
      <c r="H653" s="2" t="n"/>
      <c r="I653" s="2" t="n"/>
      <c r="J653" s="2" t="n"/>
      <c r="K653" s="2" t="n"/>
      <c r="L653" s="2" t="n"/>
      <c r="M653" s="2" t="n"/>
      <c r="N653" s="2">
        <f>'QBO Transactions'!$Y655</f>
        <v/>
      </c>
      <c r="O653" s="2" t="n"/>
      <c r="P653" s="2" t="n"/>
      <c r="Q653" s="2">
        <f>'QBO Transactions'!$T655</f>
        <v/>
      </c>
      <c r="R653" s="2" t="n"/>
      <c r="S653" s="2" t="n"/>
      <c r="T653" s="2" t="n"/>
      <c r="U653" s="2" t="n"/>
      <c r="V653" s="2" t="n"/>
      <c r="W653" s="2" t="n"/>
      <c r="X653" s="2">
        <f>Q653</f>
        <v/>
      </c>
      <c r="Y653" s="4">
        <f>'QBO Transactions'!$Q655</f>
        <v/>
      </c>
      <c r="Z653" s="2" t="n"/>
      <c r="AA653" s="2" t="n"/>
      <c r="AB653" s="2" t="n"/>
      <c r="AC653" s="2" t="n"/>
      <c r="AD653" s="2" t="n"/>
      <c r="AE653" s="2" t="n"/>
    </row>
    <row r="654" ht="12.75" customHeight="1" s="52">
      <c r="A654" s="2" t="n"/>
      <c r="B654" s="2">
        <f>'QBO Transactions'!$U656</f>
        <v/>
      </c>
      <c r="C654" s="3">
        <f>'QBO Transactions'!$S656</f>
        <v/>
      </c>
      <c r="D654" s="2">
        <f>'QBO Transactions'!$R656</f>
        <v/>
      </c>
      <c r="E654" s="2" t="n"/>
      <c r="F654" s="3">
        <f>'QBO Transactions'!$X656</f>
        <v/>
      </c>
      <c r="G654" s="2" t="n"/>
      <c r="H654" s="2" t="n"/>
      <c r="I654" s="2" t="n"/>
      <c r="J654" s="2" t="n"/>
      <c r="K654" s="2" t="n"/>
      <c r="L654" s="2" t="n"/>
      <c r="M654" s="2" t="n"/>
      <c r="N654" s="2">
        <f>'QBO Transactions'!$Y656</f>
        <v/>
      </c>
      <c r="O654" s="2" t="n"/>
      <c r="P654" s="2" t="n"/>
      <c r="Q654" s="2">
        <f>'QBO Transactions'!$T656</f>
        <v/>
      </c>
      <c r="R654" s="2" t="n"/>
      <c r="S654" s="2" t="n"/>
      <c r="T654" s="2" t="n"/>
      <c r="U654" s="2" t="n"/>
      <c r="V654" s="2" t="n"/>
      <c r="W654" s="2" t="n"/>
      <c r="X654" s="2">
        <f>Q654</f>
        <v/>
      </c>
      <c r="Y654" s="4">
        <f>'QBO Transactions'!$Q656</f>
        <v/>
      </c>
      <c r="Z654" s="2" t="n"/>
      <c r="AA654" s="2" t="n"/>
      <c r="AB654" s="2" t="n"/>
      <c r="AC654" s="2" t="n"/>
      <c r="AD654" s="2" t="n"/>
      <c r="AE654" s="2" t="n"/>
    </row>
    <row r="655" ht="12.75" customHeight="1" s="52">
      <c r="A655" s="2" t="n"/>
      <c r="B655" s="2">
        <f>'QBO Transactions'!$U657</f>
        <v/>
      </c>
      <c r="C655" s="3">
        <f>'QBO Transactions'!$S657</f>
        <v/>
      </c>
      <c r="D655" s="2">
        <f>'QBO Transactions'!$R657</f>
        <v/>
      </c>
      <c r="E655" s="2" t="n"/>
      <c r="F655" s="3">
        <f>'QBO Transactions'!$X657</f>
        <v/>
      </c>
      <c r="G655" s="2" t="n"/>
      <c r="H655" s="2" t="n"/>
      <c r="I655" s="2" t="n"/>
      <c r="J655" s="2" t="n"/>
      <c r="K655" s="2" t="n"/>
      <c r="L655" s="2" t="n"/>
      <c r="M655" s="2" t="n"/>
      <c r="N655" s="2">
        <f>'QBO Transactions'!$Y657</f>
        <v/>
      </c>
      <c r="O655" s="2" t="n"/>
      <c r="P655" s="2" t="n"/>
      <c r="Q655" s="2">
        <f>'QBO Transactions'!$T657</f>
        <v/>
      </c>
      <c r="R655" s="2" t="n"/>
      <c r="S655" s="2" t="n"/>
      <c r="T655" s="2" t="n"/>
      <c r="U655" s="2" t="n"/>
      <c r="V655" s="2" t="n"/>
      <c r="W655" s="2" t="n"/>
      <c r="X655" s="2">
        <f>Q655</f>
        <v/>
      </c>
      <c r="Y655" s="4">
        <f>'QBO Transactions'!$Q657</f>
        <v/>
      </c>
      <c r="Z655" s="2" t="n"/>
      <c r="AA655" s="2" t="n"/>
      <c r="AB655" s="2" t="n"/>
      <c r="AC655" s="2" t="n"/>
      <c r="AD655" s="2" t="n"/>
      <c r="AE655" s="2" t="n"/>
    </row>
    <row r="656" ht="12.75" customHeight="1" s="52">
      <c r="A656" s="2" t="n"/>
      <c r="B656" s="2">
        <f>'QBO Transactions'!$U658</f>
        <v/>
      </c>
      <c r="C656" s="3">
        <f>'QBO Transactions'!$S658</f>
        <v/>
      </c>
      <c r="D656" s="2">
        <f>'QBO Transactions'!$R658</f>
        <v/>
      </c>
      <c r="E656" s="2" t="n"/>
      <c r="F656" s="3">
        <f>'QBO Transactions'!$X658</f>
        <v/>
      </c>
      <c r="G656" s="2" t="n"/>
      <c r="H656" s="2" t="n"/>
      <c r="I656" s="2" t="n"/>
      <c r="J656" s="2" t="n"/>
      <c r="K656" s="2" t="n"/>
      <c r="L656" s="2" t="n"/>
      <c r="M656" s="2" t="n"/>
      <c r="N656" s="2">
        <f>'QBO Transactions'!$Y658</f>
        <v/>
      </c>
      <c r="O656" s="2" t="n"/>
      <c r="P656" s="2" t="n"/>
      <c r="Q656" s="2">
        <f>'QBO Transactions'!$T658</f>
        <v/>
      </c>
      <c r="R656" s="2" t="n"/>
      <c r="S656" s="2" t="n"/>
      <c r="T656" s="2" t="n"/>
      <c r="U656" s="2" t="n"/>
      <c r="V656" s="2" t="n"/>
      <c r="W656" s="2" t="n"/>
      <c r="X656" s="2">
        <f>Q656</f>
        <v/>
      </c>
      <c r="Y656" s="4">
        <f>'QBO Transactions'!$Q658</f>
        <v/>
      </c>
      <c r="Z656" s="2" t="n"/>
      <c r="AA656" s="2" t="n"/>
      <c r="AB656" s="2" t="n"/>
      <c r="AC656" s="2" t="n"/>
      <c r="AD656" s="2" t="n"/>
      <c r="AE656" s="2" t="n"/>
    </row>
    <row r="657" ht="12.75" customHeight="1" s="52">
      <c r="A657" s="2" t="n"/>
      <c r="B657" s="2">
        <f>'QBO Transactions'!$U659</f>
        <v/>
      </c>
      <c r="C657" s="3">
        <f>'QBO Transactions'!$S659</f>
        <v/>
      </c>
      <c r="D657" s="2">
        <f>'QBO Transactions'!$R659</f>
        <v/>
      </c>
      <c r="E657" s="2" t="n"/>
      <c r="F657" s="3">
        <f>'QBO Transactions'!$X659</f>
        <v/>
      </c>
      <c r="G657" s="2" t="n"/>
      <c r="H657" s="2" t="n"/>
      <c r="I657" s="2" t="n"/>
      <c r="J657" s="2" t="n"/>
      <c r="K657" s="2" t="n"/>
      <c r="L657" s="2" t="n"/>
      <c r="M657" s="2" t="n"/>
      <c r="N657" s="2">
        <f>'QBO Transactions'!$Y659</f>
        <v/>
      </c>
      <c r="O657" s="2" t="n"/>
      <c r="P657" s="2" t="n"/>
      <c r="Q657" s="2">
        <f>'QBO Transactions'!$T659</f>
        <v/>
      </c>
      <c r="R657" s="2" t="n"/>
      <c r="S657" s="2" t="n"/>
      <c r="T657" s="2" t="n"/>
      <c r="U657" s="2" t="n"/>
      <c r="V657" s="2" t="n"/>
      <c r="W657" s="2" t="n"/>
      <c r="X657" s="2">
        <f>Q657</f>
        <v/>
      </c>
      <c r="Y657" s="4">
        <f>'QBO Transactions'!$Q659</f>
        <v/>
      </c>
      <c r="Z657" s="2" t="n"/>
      <c r="AA657" s="2" t="n"/>
      <c r="AB657" s="2" t="n"/>
      <c r="AC657" s="2" t="n"/>
      <c r="AD657" s="2" t="n"/>
      <c r="AE657" s="2" t="n"/>
    </row>
    <row r="658" ht="12.75" customHeight="1" s="52">
      <c r="A658" s="2" t="n"/>
      <c r="B658" s="2" t="n"/>
      <c r="C658" s="3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4" t="n"/>
      <c r="Z658" s="2" t="n"/>
      <c r="AA658" s="2" t="n"/>
      <c r="AB658" s="2" t="n"/>
      <c r="AC658" s="2" t="n"/>
      <c r="AD658" s="2" t="n"/>
      <c r="AE658" s="2" t="n"/>
    </row>
    <row r="659" ht="12.75" customHeight="1" s="52">
      <c r="A659" s="2" t="n"/>
      <c r="B659" s="2" t="n"/>
      <c r="C659" s="3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4" t="n"/>
      <c r="Z659" s="2" t="n"/>
      <c r="AA659" s="2" t="n"/>
      <c r="AB659" s="2" t="n"/>
      <c r="AC659" s="2" t="n"/>
      <c r="AD659" s="2" t="n"/>
      <c r="AE659" s="2" t="n"/>
    </row>
    <row r="660" ht="12.75" customHeight="1" s="52">
      <c r="A660" s="2" t="n"/>
      <c r="B660" s="2" t="n"/>
      <c r="C660" s="3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4" t="n"/>
      <c r="Z660" s="2" t="n"/>
      <c r="AA660" s="2" t="n"/>
      <c r="AB660" s="2" t="n"/>
      <c r="AC660" s="2" t="n"/>
      <c r="AD660" s="2" t="n"/>
      <c r="AE660" s="2" t="n"/>
    </row>
    <row r="661" ht="12.75" customHeight="1" s="52">
      <c r="A661" s="2" t="n"/>
      <c r="B661" s="2" t="n"/>
      <c r="C661" s="3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4" t="n"/>
      <c r="Z661" s="2" t="n"/>
      <c r="AA661" s="2" t="n"/>
      <c r="AB661" s="2" t="n"/>
      <c r="AC661" s="2" t="n"/>
      <c r="AD661" s="2" t="n"/>
      <c r="AE661" s="2" t="n"/>
    </row>
    <row r="662" ht="12.75" customHeight="1" s="52">
      <c r="A662" s="2" t="n"/>
      <c r="B662" s="2" t="n"/>
      <c r="C662" s="3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4" t="n"/>
      <c r="Z662" s="2" t="n"/>
      <c r="AA662" s="2" t="n"/>
      <c r="AB662" s="2" t="n"/>
      <c r="AC662" s="2" t="n"/>
      <c r="AD662" s="2" t="n"/>
      <c r="AE662" s="2" t="n"/>
    </row>
    <row r="663" ht="12.75" customHeight="1" s="52">
      <c r="A663" s="2" t="n"/>
      <c r="B663" s="2" t="n"/>
      <c r="C663" s="3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4" t="n"/>
      <c r="Z663" s="2" t="n"/>
      <c r="AA663" s="2" t="n"/>
      <c r="AB663" s="2" t="n"/>
      <c r="AC663" s="2" t="n"/>
      <c r="AD663" s="2" t="n"/>
      <c r="AE663" s="2" t="n"/>
    </row>
    <row r="664" ht="12.75" customHeight="1" s="52">
      <c r="A664" s="2" t="n"/>
      <c r="B664" s="2" t="n"/>
      <c r="C664" s="3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4" t="n"/>
      <c r="Z664" s="2" t="n"/>
      <c r="AA664" s="2" t="n"/>
      <c r="AB664" s="2" t="n"/>
      <c r="AC664" s="2" t="n"/>
      <c r="AD664" s="2" t="n"/>
      <c r="AE664" s="2" t="n"/>
    </row>
    <row r="665" ht="12.75" customHeight="1" s="52">
      <c r="A665" s="2" t="n"/>
      <c r="B665" s="2" t="n"/>
      <c r="C665" s="3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4" t="n"/>
      <c r="Z665" s="2" t="n"/>
      <c r="AA665" s="2" t="n"/>
      <c r="AB665" s="2" t="n"/>
      <c r="AC665" s="2" t="n"/>
      <c r="AD665" s="2" t="n"/>
      <c r="AE665" s="2" t="n"/>
    </row>
    <row r="666" ht="12.75" customHeight="1" s="52">
      <c r="A666" s="2" t="n"/>
      <c r="B666" s="2" t="n"/>
      <c r="C666" s="3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4" t="n"/>
      <c r="Z666" s="2" t="n"/>
      <c r="AA666" s="2" t="n"/>
      <c r="AB666" s="2" t="n"/>
      <c r="AC666" s="2" t="n"/>
      <c r="AD666" s="2" t="n"/>
      <c r="AE666" s="2" t="n"/>
    </row>
    <row r="667" ht="12.75" customHeight="1" s="52">
      <c r="A667" s="2" t="n"/>
      <c r="B667" s="2" t="n"/>
      <c r="C667" s="3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4" t="n"/>
      <c r="Z667" s="2" t="n"/>
      <c r="AA667" s="2" t="n"/>
      <c r="AB667" s="2" t="n"/>
      <c r="AC667" s="2" t="n"/>
      <c r="AD667" s="2" t="n"/>
      <c r="AE667" s="2" t="n"/>
    </row>
    <row r="668" ht="12.75" customHeight="1" s="52">
      <c r="A668" s="2" t="n"/>
      <c r="B668" s="2" t="n"/>
      <c r="C668" s="3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4" t="n"/>
      <c r="Z668" s="2" t="n"/>
      <c r="AA668" s="2" t="n"/>
      <c r="AB668" s="2" t="n"/>
      <c r="AC668" s="2" t="n"/>
      <c r="AD668" s="2" t="n"/>
      <c r="AE668" s="2" t="n"/>
    </row>
    <row r="669" ht="12.75" customHeight="1" s="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</row>
    <row r="670" ht="12.75" customHeight="1" s="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</row>
    <row r="671" ht="12.75" customHeight="1" s="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</row>
    <row r="672" ht="12.75" customHeight="1" s="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</row>
    <row r="673" ht="12.75" customHeight="1" s="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</row>
    <row r="674" ht="12.75" customHeight="1" s="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</row>
    <row r="675" ht="12.75" customHeight="1" s="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</row>
    <row r="676" ht="12.75" customHeight="1" s="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</row>
    <row r="677" ht="12.75" customHeight="1" s="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</row>
    <row r="678" ht="12.75" customHeight="1" s="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</row>
    <row r="679" ht="12.75" customHeight="1" s="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</row>
    <row r="680" ht="12.75" customHeight="1" s="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</row>
    <row r="681" ht="12.75" customHeight="1" s="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</row>
    <row r="682" ht="12.75" customHeight="1" s="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</row>
    <row r="683" ht="12.75" customHeight="1" s="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</row>
    <row r="684" ht="12.75" customHeight="1" s="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</row>
    <row r="685" ht="12.75" customHeight="1" s="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</row>
    <row r="686" ht="12.75" customHeight="1" s="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</row>
    <row r="687" ht="12.75" customHeight="1" s="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</row>
    <row r="688" ht="12.75" customHeight="1" s="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</row>
    <row r="689" ht="12.75" customHeight="1" s="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</row>
    <row r="690" ht="12.75" customHeight="1" s="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</row>
    <row r="691" ht="12.75" customHeight="1" s="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</row>
    <row r="692" ht="12.75" customHeight="1" s="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</row>
    <row r="693" ht="12.75" customHeight="1" s="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</row>
    <row r="694" ht="12.75" customHeight="1" s="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</row>
    <row r="695" ht="12.75" customHeight="1" s="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</row>
    <row r="696" ht="12.75" customHeight="1" s="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</row>
    <row r="697" ht="12.75" customHeight="1" s="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</row>
    <row r="698" ht="12.75" customHeight="1" s="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</row>
    <row r="699" ht="12.75" customHeight="1" s="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</row>
    <row r="700" ht="12.75" customHeight="1" s="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</row>
    <row r="701" ht="12.75" customHeight="1" s="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</row>
    <row r="702" ht="12.75" customHeight="1" s="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</row>
    <row r="703" ht="12.75" customHeight="1" s="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</row>
    <row r="704" ht="12.75" customHeight="1" s="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</row>
    <row r="705" ht="12.75" customHeight="1" s="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</row>
    <row r="706" ht="12.75" customHeight="1" s="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</row>
    <row r="707" ht="12.75" customHeight="1" s="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</row>
    <row r="708" ht="12.75" customHeight="1" s="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</row>
    <row r="709" ht="12.75" customHeight="1" s="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</row>
    <row r="710" ht="12.75" customHeight="1" s="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</row>
    <row r="711" ht="12.75" customHeight="1" s="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</row>
    <row r="712" ht="12.75" customHeight="1" s="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</row>
    <row r="713" ht="12.75" customHeight="1" s="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</row>
    <row r="714" ht="12.75" customHeight="1" s="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</row>
    <row r="715" ht="12.75" customHeight="1" s="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</row>
    <row r="716" ht="12.75" customHeight="1" s="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</row>
    <row r="717" ht="12.75" customHeight="1" s="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</row>
    <row r="718" ht="12.75" customHeight="1" s="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</row>
    <row r="719" ht="12.75" customHeight="1" s="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</row>
    <row r="720" ht="12.75" customHeight="1" s="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</row>
    <row r="721" ht="12.75" customHeight="1" s="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</row>
    <row r="722" ht="12.75" customHeight="1" s="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</row>
    <row r="723" ht="12.75" customHeight="1" s="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</row>
    <row r="724" ht="12.75" customHeight="1" s="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</row>
    <row r="725" ht="12.75" customHeight="1" s="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</row>
    <row r="726" ht="12.75" customHeight="1" s="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</row>
    <row r="727" ht="12.75" customHeight="1" s="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</row>
    <row r="728" ht="12.75" customHeight="1" s="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</row>
    <row r="729" ht="12.75" customHeight="1" s="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</row>
    <row r="730" ht="12.75" customHeight="1" s="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</row>
    <row r="731" ht="12.75" customHeight="1" s="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</row>
    <row r="732" ht="12.75" customHeight="1" s="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</row>
    <row r="733" ht="12.75" customHeight="1" s="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</row>
    <row r="734" ht="12.75" customHeight="1" s="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</row>
    <row r="735" ht="12.75" customHeight="1" s="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</row>
    <row r="736" ht="12.75" customHeight="1" s="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</row>
    <row r="737" ht="12.75" customHeight="1" s="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</row>
    <row r="738" ht="12.75" customHeight="1" s="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</row>
    <row r="739" ht="12.75" customHeight="1" s="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</row>
    <row r="740" ht="12.75" customHeight="1" s="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</row>
    <row r="741" ht="12.75" customHeight="1" s="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</row>
    <row r="742" ht="12.75" customHeight="1" s="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</row>
    <row r="743" ht="12.75" customHeight="1" s="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</row>
    <row r="744" ht="12.75" customHeight="1" s="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</row>
    <row r="745" ht="12.75" customHeight="1" s="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</row>
    <row r="746" ht="12.75" customHeight="1" s="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</row>
    <row r="747" ht="12.75" customHeight="1" s="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</row>
    <row r="748" ht="12.75" customHeight="1" s="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</row>
    <row r="749" ht="12.75" customHeight="1" s="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</row>
    <row r="750" ht="12.75" customHeight="1" s="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</row>
    <row r="751" ht="12.75" customHeight="1" s="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</row>
    <row r="752" ht="12.75" customHeight="1" s="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</row>
    <row r="753" ht="12.75" customHeight="1" s="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</row>
    <row r="754" ht="12.75" customHeight="1" s="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</row>
    <row r="755" ht="12.75" customHeight="1" s="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</row>
    <row r="756" ht="12.75" customHeight="1" s="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</row>
    <row r="757" ht="12.75" customHeight="1" s="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</row>
    <row r="758" ht="12.75" customHeight="1" s="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</row>
    <row r="759" ht="12.75" customHeight="1" s="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</row>
    <row r="760" ht="12.75" customHeight="1" s="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</row>
    <row r="761" ht="12.75" customHeight="1" s="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</row>
    <row r="762" ht="12.75" customHeight="1" s="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</row>
    <row r="763" ht="12.75" customHeight="1" s="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</row>
    <row r="764" ht="12.75" customHeight="1" s="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</row>
    <row r="765" ht="12.75" customHeight="1" s="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</row>
    <row r="766" ht="12.75" customHeight="1" s="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</row>
    <row r="767" ht="12.75" customHeight="1" s="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</row>
    <row r="768" ht="12.75" customHeight="1" s="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</row>
    <row r="769" ht="12.75" customHeight="1" s="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</row>
    <row r="770" ht="12.75" customHeight="1" s="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</row>
    <row r="771" ht="12.75" customHeight="1" s="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</row>
    <row r="772" ht="12.75" customHeight="1" s="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</row>
    <row r="773" ht="12.75" customHeight="1" s="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</row>
    <row r="774" ht="12.75" customHeight="1" s="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</row>
    <row r="775" ht="12.75" customHeight="1" s="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</row>
    <row r="776" ht="12.75" customHeight="1" s="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</row>
    <row r="777" ht="12.75" customHeight="1" s="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</row>
    <row r="778" ht="12.75" customHeight="1" s="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</row>
    <row r="779" ht="12.75" customHeight="1" s="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</row>
    <row r="780" ht="12.75" customHeight="1" s="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</row>
    <row r="781" ht="12.75" customHeight="1" s="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</row>
    <row r="782" ht="12.75" customHeight="1" s="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</row>
    <row r="783" ht="12.75" customHeight="1" s="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</row>
    <row r="784" ht="12.75" customHeight="1" s="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</row>
    <row r="785" ht="12.75" customHeight="1" s="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</row>
    <row r="786" ht="12.75" customHeight="1" s="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</row>
    <row r="787" ht="12.75" customHeight="1" s="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</row>
    <row r="788" ht="12.75" customHeight="1" s="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</row>
    <row r="789" ht="12.75" customHeight="1" s="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</row>
    <row r="790" ht="12.75" customHeight="1" s="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</row>
    <row r="791" ht="12.75" customHeight="1" s="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</row>
    <row r="792" ht="12.75" customHeight="1" s="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</row>
    <row r="793" ht="12.75" customHeight="1" s="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</row>
    <row r="794" ht="12.75" customHeight="1" s="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</row>
    <row r="795" ht="12.75" customHeight="1" s="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</row>
    <row r="796" ht="12.75" customHeight="1" s="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</row>
    <row r="797" ht="12.75" customHeight="1" s="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</row>
    <row r="798" ht="12.75" customHeight="1" s="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</row>
    <row r="799" ht="12.75" customHeight="1" s="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</row>
    <row r="800" ht="12.75" customHeight="1" s="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</row>
    <row r="801" ht="12.75" customHeight="1" s="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</row>
    <row r="802" ht="12.75" customHeight="1" s="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</row>
    <row r="803" ht="12.75" customHeight="1" s="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</row>
    <row r="804" ht="12.75" customHeight="1" s="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</row>
    <row r="805" ht="12.75" customHeight="1" s="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</row>
    <row r="806" ht="12.75" customHeight="1" s="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</row>
    <row r="807" ht="12.75" customHeight="1" s="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</row>
    <row r="808" ht="12.75" customHeight="1" s="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</row>
    <row r="809" ht="12.75" customHeight="1" s="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</row>
    <row r="810" ht="12.75" customHeight="1" s="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</row>
    <row r="811" ht="12.75" customHeight="1" s="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</row>
    <row r="812" ht="12.75" customHeight="1" s="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</row>
    <row r="813" ht="12.75" customHeight="1" s="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</row>
    <row r="814" ht="12.75" customHeight="1" s="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</row>
    <row r="815" ht="12.75" customHeight="1" s="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</row>
    <row r="816" ht="12.75" customHeight="1" s="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</row>
    <row r="817" ht="12.75" customHeight="1" s="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</row>
    <row r="818" ht="12.75" customHeight="1" s="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</row>
    <row r="819" ht="12.75" customHeight="1" s="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</row>
    <row r="820" ht="12.75" customHeight="1" s="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</row>
    <row r="821" ht="12.75" customHeight="1" s="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</row>
    <row r="822" ht="12.75" customHeight="1" s="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</row>
    <row r="823" ht="12.75" customHeight="1" s="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</row>
    <row r="824" ht="12.75" customHeight="1" s="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</row>
    <row r="825" ht="12.75" customHeight="1" s="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</row>
    <row r="826" ht="12.75" customHeight="1" s="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</row>
    <row r="827" ht="12.75" customHeight="1" s="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</row>
    <row r="828" ht="12.75" customHeight="1" s="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</row>
    <row r="829" ht="12.75" customHeight="1" s="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</row>
    <row r="830" ht="12.75" customHeight="1" s="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</row>
    <row r="831" ht="12.75" customHeight="1" s="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</row>
    <row r="832" ht="12.75" customHeight="1" s="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</row>
    <row r="833" ht="12.75" customHeight="1" s="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</row>
    <row r="834" ht="12.75" customHeight="1" s="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</row>
    <row r="835" ht="12.75" customHeight="1" s="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</row>
    <row r="836" ht="12.75" customHeight="1" s="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</row>
    <row r="837" ht="12.75" customHeight="1" s="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</row>
    <row r="838" ht="12.75" customHeight="1" s="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</row>
    <row r="839" ht="12.75" customHeight="1" s="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</row>
    <row r="840" ht="12.75" customHeight="1" s="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</row>
    <row r="841" ht="12.75" customHeight="1" s="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</row>
    <row r="842" ht="12.75" customHeight="1" s="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</row>
    <row r="843" ht="12.75" customHeight="1" s="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</row>
    <row r="844" ht="12.75" customHeight="1" s="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</row>
    <row r="845" ht="12.75" customHeight="1" s="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</row>
    <row r="846" ht="12.75" customHeight="1" s="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</row>
    <row r="847" ht="12.75" customHeight="1" s="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</row>
    <row r="848" ht="12.75" customHeight="1" s="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</row>
    <row r="849" ht="12.75" customHeight="1" s="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</row>
    <row r="850" ht="12.75" customHeight="1" s="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</row>
    <row r="851" ht="12.75" customHeight="1" s="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</row>
    <row r="852" ht="12.75" customHeight="1" s="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</row>
    <row r="853" ht="12.75" customHeight="1" s="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</row>
    <row r="854" ht="12.75" customHeight="1" s="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</row>
    <row r="855" ht="12.75" customHeight="1" s="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</row>
    <row r="856" ht="12.75" customHeight="1" s="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</row>
    <row r="857" ht="12.75" customHeight="1" s="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D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.43" customWidth="1" style="52" min="1" max="1"/>
    <col width="14.43" customWidth="1" style="52" min="2" max="2"/>
    <col width="24.14" customWidth="1" style="52" min="3" max="3"/>
    <col width="18.14" customWidth="1" style="52" min="4" max="4"/>
    <col width="54" customWidth="1" style="52" min="5" max="5"/>
    <col width="11.29" customWidth="1" style="52" min="6" max="6"/>
    <col width="8.710000000000001" customWidth="1" style="52" min="7" max="7"/>
    <col width="1.43" customWidth="1" style="52" min="8" max="8"/>
    <col width="13.43" customWidth="1" style="52" min="9" max="9"/>
    <col width="11.29" customWidth="1" style="52" min="10" max="10"/>
    <col width="20.14" customWidth="1" style="52" min="11" max="13"/>
    <col width="8.43" customWidth="1" style="52" min="14" max="14"/>
    <col width="18.43" customWidth="1" style="52" min="15" max="15"/>
    <col width="8.57" customWidth="1" style="52" min="16" max="16"/>
    <col width="13" customWidth="1" style="52" min="17" max="17"/>
    <col width="13.14" customWidth="1" style="52" min="18" max="18"/>
    <col width="11.43" customWidth="1" style="52" min="19" max="19"/>
    <col width="49.86" customWidth="1" style="52" min="20" max="20"/>
    <col hidden="1" outlineLevel="1" width="18.14" customWidth="1" style="52" min="21" max="21"/>
    <col hidden="1" outlineLevel="1" width="23.57" customWidth="1" style="52" min="22" max="23"/>
    <col width="66.43000000000001" customWidth="1" style="52" min="24" max="24"/>
    <col width="25.57" customWidth="1" style="52" min="25" max="25"/>
    <col width="8.710000000000001" customWidth="1" style="52" min="26" max="30"/>
  </cols>
  <sheetData>
    <row r="1">
      <c r="B1" s="6" t="n"/>
      <c r="C1" s="7" t="inlineStr">
        <is>
          <t>Credit Card Account:</t>
        </is>
      </c>
      <c r="D1" s="8" t="inlineStr">
        <is>
          <t>Brex Credit Card</t>
        </is>
      </c>
      <c r="E1" s="7" t="n"/>
      <c r="F1" s="6" t="n"/>
      <c r="G1" s="6" t="n"/>
      <c r="H1" s="6" t="n"/>
      <c r="I1" s="9" t="inlineStr">
        <is>
          <t>Travel Vendor</t>
        </is>
      </c>
      <c r="J1" s="9" t="n"/>
      <c r="K1" s="9" t="inlineStr">
        <is>
          <t>Taxi Vendor</t>
        </is>
      </c>
      <c r="L1" s="9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1" t="n"/>
      <c r="AA1" s="11" t="n"/>
      <c r="AB1" s="11" t="n"/>
      <c r="AC1" s="11" t="n"/>
      <c r="AD1" s="11" t="n"/>
    </row>
    <row r="2">
      <c r="B2" s="53" t="inlineStr">
        <is>
          <t>QBO Credit Card Transaction Data</t>
        </is>
      </c>
      <c r="C2" s="54" t="n"/>
      <c r="D2" s="54" t="n"/>
      <c r="E2" s="54" t="n"/>
      <c r="F2" s="54" t="n"/>
      <c r="G2" s="55" t="n"/>
      <c r="H2" s="10" t="n"/>
      <c r="I2" s="9" t="inlineStr">
        <is>
          <t>Food Vendor</t>
        </is>
      </c>
      <c r="J2" s="9" t="n"/>
      <c r="K2" s="9" t="inlineStr">
        <is>
          <t>Office Vendor</t>
        </is>
      </c>
      <c r="L2" s="9" t="n"/>
      <c r="M2" s="9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1" t="n"/>
      <c r="AA2" s="11" t="n"/>
      <c r="AB2" s="11" t="n"/>
      <c r="AC2" s="11" t="n"/>
      <c r="AD2" s="11" t="n"/>
    </row>
    <row r="3">
      <c r="B3" s="6" t="inlineStr">
        <is>
          <t>DATE</t>
        </is>
      </c>
      <c r="C3" s="6" t="inlineStr">
        <is>
          <t>DESCRIPTION</t>
        </is>
      </c>
      <c r="D3" s="6" t="inlineStr">
        <is>
          <t>Payee</t>
        </is>
      </c>
      <c r="E3" s="7" t="inlineStr">
        <is>
          <t>Category or Match</t>
        </is>
      </c>
      <c r="F3" s="6" t="inlineStr">
        <is>
          <t>SPENT</t>
        </is>
      </c>
      <c r="G3" s="6" t="inlineStr">
        <is>
          <t>RECEIVED</t>
        </is>
      </c>
      <c r="H3" s="6" t="inlineStr">
        <is>
          <t>xxx</t>
        </is>
      </c>
      <c r="I3" s="6" t="inlineStr">
        <is>
          <t>Payee Override</t>
        </is>
      </c>
      <c r="J3" s="6" t="inlineStr">
        <is>
          <t>Full Acct Override</t>
        </is>
      </c>
      <c r="K3" s="6" t="inlineStr">
        <is>
          <t>Parent Category Override</t>
        </is>
      </c>
      <c r="L3" s="6" t="inlineStr">
        <is>
          <t>Sub Category Override</t>
        </is>
      </c>
      <c r="M3" s="6" t="inlineStr">
        <is>
          <t>Dept Override</t>
        </is>
      </c>
      <c r="N3" s="6" t="inlineStr">
        <is>
          <t>Card #</t>
        </is>
      </c>
      <c r="O3" s="6" t="inlineStr">
        <is>
          <t>Card Name</t>
        </is>
      </c>
      <c r="P3" s="6" t="inlineStr">
        <is>
          <t>EE ID</t>
        </is>
      </c>
      <c r="Q3" s="6" t="inlineStr">
        <is>
          <t>Date</t>
        </is>
      </c>
      <c r="R3" s="6" t="inlineStr">
        <is>
          <t>Vendor</t>
        </is>
      </c>
      <c r="S3" s="6" t="inlineStr">
        <is>
          <t>Amount</t>
        </is>
      </c>
      <c r="T3" s="6" t="inlineStr">
        <is>
          <t>Updated Description</t>
        </is>
      </c>
      <c r="U3" s="6" t="inlineStr">
        <is>
          <t>Card Acct</t>
        </is>
      </c>
      <c r="V3" s="6" t="inlineStr">
        <is>
          <t>Parent Category</t>
        </is>
      </c>
      <c r="W3" s="6" t="inlineStr">
        <is>
          <t>Sub Category</t>
        </is>
      </c>
      <c r="X3" s="6" t="inlineStr">
        <is>
          <t>Line Acct</t>
        </is>
      </c>
      <c r="Y3" s="15" t="inlineStr">
        <is>
          <t>Department</t>
        </is>
      </c>
      <c r="Z3" s="16" t="inlineStr">
        <is>
          <t>Acct Check</t>
        </is>
      </c>
      <c r="AA3" s="11" t="n"/>
      <c r="AB3" s="11" t="n"/>
      <c r="AC3" s="11" t="n"/>
      <c r="AD3" s="11" t="n"/>
    </row>
    <row r="4" ht="15.75" customHeight="1" s="52">
      <c r="B4" s="17" t="n">
        <v>46164</v>
      </c>
      <c r="C4" s="18" t="inlineStr">
        <is>
          <t>QANTASXXXXXXXX41055 MASTERCARD-544015XXXXXX7759-Mickenzi Krpec</t>
        </is>
      </c>
      <c r="E4" s="18" t="inlineStr">
        <is>
          <t>61210 Sales &amp; Marketing:Sales &amp; Marketing- Travel Expenses:Airfare</t>
        </is>
      </c>
      <c r="F4" s="19" t="n">
        <v>8368.299999999999</v>
      </c>
      <c r="H4" s="10" t="n"/>
      <c r="I4" s="9" t="inlineStr">
        <is>
          <t>Travel Vendor</t>
        </is>
      </c>
      <c r="J4" s="9" t="n"/>
      <c r="K4" s="9" t="n"/>
      <c r="L4" s="9" t="inlineStr">
        <is>
          <t>Airfare</t>
        </is>
      </c>
      <c r="M4" s="9" t="n"/>
      <c r="N4" s="20" t="n"/>
      <c r="O4" s="20">
        <f>IF(C4="", "", TRIM(RIGHT(C4, LEN(C4) - FIND("@@", SUBSTITUTE(C4, "-", "@@", LEN(C4) - LEN(SUBSTITUTE(C4, "-", "")))))))</f>
        <v/>
      </c>
      <c r="P4" s="20">
        <f t="array" ref="P4">IFERROR(XLOOKUP(O4,'Department Listing'!$O$1:$O$395,'Department Listing'!$A$1:$A$395),IFERROR(XLOOKUP(O4,'Name Aliases'!$A$2:$A$1000,'Name Aliases'!$B$2:$B$1000),""))</f>
        <v/>
      </c>
      <c r="Q4" s="21">
        <f>IF(ISBLANK($C4),"",$B4)</f>
        <v/>
      </c>
      <c r="R4" s="20">
        <f>IF(ISBLANK($C4),"",IF(ISBLANK($I4),$D4,$I4))</f>
        <v/>
      </c>
      <c r="S4" s="22">
        <f>IF(ISBLANK($C4),"",$F4 - $G4)</f>
        <v/>
      </c>
      <c r="T4" s="20">
        <f>IF(ISBLANK($C4),"",C4)</f>
        <v/>
      </c>
      <c r="U4" s="20">
        <f>IF(ISBLANK($C4),"",$D$1)</f>
        <v/>
      </c>
      <c r="V4" s="22">
        <f t="array" ref="V4">IF(ISBLANK($B4),"",IF(ISBLANK($K4),IF(XLOOKUP($W4,'Category Mapping'!$C:$C,'Category Mapping'!$B:$B)="Travel",XLOOKUP($P4,'Department Listing'!$A:$A,'Department Listing'!$M:$M),XLOOKUP($W4,'Category Mapping'!$C:$C,'Category Mapping'!$D:$D)),$K4))</f>
        <v/>
      </c>
      <c r="W4" s="22">
        <f>IF(ISBLANK($B4),"",IF(ISBLANK($L4),RIGHT($E4,LEN($E4) - FIND("^",SUBSTITUTE($E4,":","^",LEN($E4) - LEN(SUBSTITUTE($E4,":",""))))),$L4))</f>
        <v/>
      </c>
      <c r="X4" s="22">
        <f>IF(ISBLANK($J4),$V4&amp;$W4,$J4)</f>
        <v/>
      </c>
      <c r="Y4" s="23">
        <f t="array" ref="Y4">IF(ISBLANK($M4),IFERROR(XLOOKUP($P4,'Department Listing'!$A:$A,'Department Listing'!$L:$L),""),$M4)</f>
        <v/>
      </c>
      <c r="Z4" s="11">
        <f>IF(ISBLANK($B4),"",MATCH($X4,COA!$B:$B,0))</f>
        <v/>
      </c>
      <c r="AA4" s="11" t="n"/>
      <c r="AB4" s="11" t="n"/>
      <c r="AC4" s="11" t="n"/>
      <c r="AD4" s="11" t="n"/>
    </row>
    <row r="5" ht="15.75" customHeight="1" s="52">
      <c r="B5" s="17" t="n">
        <v>46170</v>
      </c>
      <c r="C5" s="18" t="inlineStr">
        <is>
          <t>Monument Charlestown Restaurant &amp; Tavern MASTERCARD-544015XXXXXX7759-Mickenzi Krpec</t>
        </is>
      </c>
      <c r="E5" s="18" t="inlineStr">
        <is>
          <t>61290 Sales &amp; Marketing:Sales &amp; Marketing- Travel Expenses:Other Travel Expenses</t>
        </is>
      </c>
      <c r="F5" s="19" t="n">
        <v>2764.88</v>
      </c>
      <c r="H5" s="10" t="n"/>
      <c r="I5" s="9" t="inlineStr">
        <is>
          <t>Food Vendor</t>
        </is>
      </c>
      <c r="J5" s="9" t="n"/>
      <c r="K5" s="9" t="n"/>
      <c r="L5" s="9" t="inlineStr">
        <is>
          <t>Meals &amp; Entertainment</t>
        </is>
      </c>
      <c r="M5" s="9" t="n"/>
      <c r="N5" s="20" t="n"/>
      <c r="O5" s="20">
        <f>IF(C5="", "", TRIM(RIGHT(C5, LEN(C5) - FIND("@@", SUBSTITUTE(C5, "-", "@@", LEN(C5) - LEN(SUBSTITUTE(C5, "-", "")))))))</f>
        <v/>
      </c>
      <c r="P5" s="20">
        <f t="array" ref="P5">IFERROR(XLOOKUP(O5,'Department Listing'!$O$1:$O$395,'Department Listing'!$A$1:$A$395),IFERROR(XLOOKUP(O5,'Name Aliases'!$A$2:$A$1000,'Name Aliases'!$B$2:$B$1000),""))</f>
        <v/>
      </c>
      <c r="Q5" s="21">
        <f>IF(ISBLANK($C5),"",$B5)</f>
        <v/>
      </c>
      <c r="R5" s="20">
        <f>IF(ISBLANK($C5),"",IF(ISBLANK($I5),$D5,$I5))</f>
        <v/>
      </c>
      <c r="S5" s="22">
        <f>IF(ISBLANK($C5),"",$F5 - $G5)</f>
        <v/>
      </c>
      <c r="T5" s="20">
        <f>IF(ISBLANK($C5),"",C5)</f>
        <v/>
      </c>
      <c r="U5" s="20">
        <f>IF(ISBLANK($C5),"",$D$1)</f>
        <v/>
      </c>
      <c r="V5" s="22">
        <f t="array" ref="V5">IF(ISBLANK($B5),"",IF(ISBLANK($K5),IF(XLOOKUP($W5,'Category Mapping'!$C:$C,'Category Mapping'!$B:$B)="Travel",XLOOKUP($P5,'Department Listing'!$A:$A,'Department Listing'!$M:$M),XLOOKUP($W5,'Category Mapping'!$C:$C,'Category Mapping'!$D:$D)),$K5))</f>
        <v/>
      </c>
      <c r="W5" s="22">
        <f>IF(ISBLANK($B5),"",IF(ISBLANK($L5),RIGHT($E5,LEN($E5) - FIND("^",SUBSTITUTE($E5,":","^",LEN($E5) - LEN(SUBSTITUTE($E5,":",""))))),$L5))</f>
        <v/>
      </c>
      <c r="X5" s="22">
        <f>IF(ISBLANK($J5),$V5&amp;$W5,$J5)</f>
        <v/>
      </c>
      <c r="Y5" s="23">
        <f t="array" ref="Y5">IF(ISBLANK($M5),IFERROR(XLOOKUP($P5,'Department Listing'!$A:$A,'Department Listing'!$L:$L),""),$M5)</f>
        <v/>
      </c>
      <c r="Z5" s="11">
        <f>IF(ISBLANK($B5),"",MATCH($X5,COA!$B:$B,0))</f>
        <v/>
      </c>
      <c r="AA5" s="11" t="n"/>
      <c r="AB5" s="11" t="n"/>
      <c r="AC5" s="11" t="n"/>
      <c r="AD5" s="11" t="n"/>
    </row>
    <row r="6" ht="15.75" customHeight="1" s="52">
      <c r="B6" s="17" t="n">
        <v>46169</v>
      </c>
      <c r="C6" s="18" t="inlineStr">
        <is>
          <t>Bar Primi Penn District MASTERCARD-555671XXXXXX5731-Nikita Ashok</t>
        </is>
      </c>
      <c r="E6" s="18" t="inlineStr">
        <is>
          <t>61240 Sales &amp; Marketing:Sales &amp; Marketing- Travel Expenses:Meals &amp; Entertainment</t>
        </is>
      </c>
      <c r="F6" s="19" t="n">
        <v>2366.4</v>
      </c>
      <c r="H6" s="10" t="n"/>
      <c r="I6" s="9" t="inlineStr">
        <is>
          <t>Food Vendor</t>
        </is>
      </c>
      <c r="J6" s="9" t="n"/>
      <c r="K6" s="9" t="n"/>
      <c r="L6" s="9" t="n"/>
      <c r="M6" s="9" t="n"/>
      <c r="N6" s="20" t="n"/>
      <c r="O6" s="20">
        <f>IF(C6="", "", TRIM(RIGHT(C6, LEN(C6) - FIND("@@", SUBSTITUTE(C6, "-", "@@", LEN(C6) - LEN(SUBSTITUTE(C6, "-", "")))))))</f>
        <v/>
      </c>
      <c r="P6" s="20">
        <f t="array" ref="P6">IFERROR(XLOOKUP(O6,'Department Listing'!$O$1:$O$395,'Department Listing'!$A$1:$A$395),IFERROR(XLOOKUP(O6,'Name Aliases'!$A$2:$A$1000,'Name Aliases'!$B$2:$B$1000),""))</f>
        <v/>
      </c>
      <c r="Q6" s="21">
        <f>IF(ISBLANK($C6),"",$B6)</f>
        <v/>
      </c>
      <c r="R6" s="20">
        <f>IF(ISBLANK($C6),"",IF(ISBLANK($I6),$D6,$I6))</f>
        <v/>
      </c>
      <c r="S6" s="22">
        <f>IF(ISBLANK($C6),"",$F6 - $G6)</f>
        <v/>
      </c>
      <c r="T6" s="20">
        <f>IF(ISBLANK($C6),"",C6)</f>
        <v/>
      </c>
      <c r="U6" s="20">
        <f>IF(ISBLANK($C6),"",$D$1)</f>
        <v/>
      </c>
      <c r="V6" s="22">
        <f t="array" ref="V6">IF(ISBLANK($B6),"",IF(ISBLANK($K6),IF(XLOOKUP($W6,'Category Mapping'!$C:$C,'Category Mapping'!$B:$B)="Travel",XLOOKUP($P6,'Department Listing'!$A:$A,'Department Listing'!$M:$M),XLOOKUP($W6,'Category Mapping'!$C:$C,'Category Mapping'!$D:$D)),$K6))</f>
        <v/>
      </c>
      <c r="W6" s="22">
        <f>IF(ISBLANK($B6),"",IF(ISBLANK($L6),RIGHT($E6,LEN($E6) - FIND("^",SUBSTITUTE($E6,":","^",LEN($E6) - LEN(SUBSTITUTE($E6,":",""))))),$L6))</f>
        <v/>
      </c>
      <c r="X6" s="22">
        <f>IF(ISBLANK($J6),$V6&amp;$W6,$J6)</f>
        <v/>
      </c>
      <c r="Y6" s="23">
        <f t="array" ref="Y6">IF(ISBLANK($M6),IFERROR(XLOOKUP($P6,'Department Listing'!$A:$A,'Department Listing'!$L:$L),""),$M6)</f>
        <v/>
      </c>
      <c r="Z6" s="11">
        <f>IF(ISBLANK($B6),"",MATCH($X6,COA!$B:$B,0))</f>
        <v/>
      </c>
      <c r="AA6" s="11" t="n"/>
      <c r="AB6" s="11" t="n"/>
      <c r="AC6" s="11" t="n"/>
      <c r="AD6" s="11" t="n"/>
    </row>
    <row r="7" ht="15.75" customHeight="1" s="52">
      <c r="B7" s="17" t="n">
        <v>46168</v>
      </c>
      <c r="C7" s="18" t="inlineStr">
        <is>
          <t>Bamboo HR MASTERCARD-544015XXXXXX0151-Eric Rabkin</t>
        </is>
      </c>
      <c r="D7" s="18" t="inlineStr">
        <is>
          <t>Bamboo HR</t>
        </is>
      </c>
      <c r="E7" s="18" t="inlineStr">
        <is>
          <t>63310 General &amp; Administrative:Software Licenses</t>
        </is>
      </c>
      <c r="F7" s="19" t="n">
        <v>1783.48</v>
      </c>
      <c r="H7" s="10" t="n"/>
      <c r="I7" s="9" t="n"/>
      <c r="J7" s="9" t="n"/>
      <c r="K7" s="9" t="n"/>
      <c r="L7" s="9" t="n"/>
      <c r="M7" s="9" t="n"/>
      <c r="N7" s="20" t="n"/>
      <c r="O7" s="20">
        <f>IF(C7="", "", TRIM(RIGHT(C7, LEN(C7) - FIND("@@", SUBSTITUTE(C7, "-", "@@", LEN(C7) - LEN(SUBSTITUTE(C7, "-", "")))))))</f>
        <v/>
      </c>
      <c r="P7" s="20">
        <f t="array" ref="P7">IFERROR(XLOOKUP(O7,'Department Listing'!$O$1:$O$395,'Department Listing'!$A$1:$A$395),IFERROR(XLOOKUP(O7,'Name Aliases'!$A$2:$A$1000,'Name Aliases'!$B$2:$B$1000),""))</f>
        <v/>
      </c>
      <c r="Q7" s="21">
        <f>IF(ISBLANK($C7),"",$B7)</f>
        <v/>
      </c>
      <c r="R7" s="20">
        <f>IF(ISBLANK($C7),"",IF(ISBLANK($I7),$D7,$I7))</f>
        <v/>
      </c>
      <c r="S7" s="22">
        <f>IF(ISBLANK($C7),"",$F7 - $G7)</f>
        <v/>
      </c>
      <c r="T7" s="20">
        <f>IF(ISBLANK($C7),"",C7)</f>
        <v/>
      </c>
      <c r="U7" s="20">
        <f>IF(ISBLANK($C7),"",$D$1)</f>
        <v/>
      </c>
      <c r="V7" s="22">
        <f t="array" ref="V7">IF(ISBLANK($B7),"",IF(ISBLANK($K7),IF(XLOOKUP($W7,'Category Mapping'!$C:$C,'Category Mapping'!$B:$B)="Travel",XLOOKUP($P7,'Department Listing'!$A:$A,'Department Listing'!$M:$M),XLOOKUP($W7,'Category Mapping'!$C:$C,'Category Mapping'!$D:$D)),$K7))</f>
        <v/>
      </c>
      <c r="W7" s="22">
        <f>IF(ISBLANK($B7),"",IF(ISBLANK($L7),RIGHT($E7,LEN($E7) - FIND("^",SUBSTITUTE($E7,":","^",LEN($E7) - LEN(SUBSTITUTE($E7,":",""))))),$L7))</f>
        <v/>
      </c>
      <c r="X7" s="22">
        <f>IF(ISBLANK($J7),$V7&amp;$W7,$J7)</f>
        <v/>
      </c>
      <c r="Y7" s="23">
        <f t="array" ref="Y7">IF(ISBLANK($M7),IFERROR(XLOOKUP($P7,'Department Listing'!$A:$A,'Department Listing'!$L:$L),""),$M7)</f>
        <v/>
      </c>
      <c r="Z7" s="11">
        <f>IF(ISBLANK($B7),"",MATCH($X7,COA!$B:$B,0))</f>
        <v/>
      </c>
      <c r="AA7" s="11" t="n"/>
      <c r="AB7" s="11" t="n"/>
      <c r="AC7" s="11" t="n"/>
      <c r="AD7" s="11" t="n"/>
    </row>
    <row r="8" ht="15.75" customHeight="1" s="52">
      <c r="B8" s="17" t="n">
        <v>46165</v>
      </c>
      <c r="C8" s="18" t="inlineStr">
        <is>
          <t>Back Bay Garage MASTERCARD-544015XXXXXX4926-Alta Abel</t>
        </is>
      </c>
      <c r="D8" s="18" t="inlineStr">
        <is>
          <t>Back Bay Garage</t>
        </is>
      </c>
      <c r="E8" s="18" t="inlineStr">
        <is>
          <t>61220 Sales &amp; Marketing:Sales &amp; Marketing- Travel Expenses:Ground Transportation</t>
        </is>
      </c>
      <c r="F8" s="19" t="n">
        <v>1685</v>
      </c>
      <c r="H8" s="10" t="n"/>
      <c r="I8" s="9" t="n"/>
      <c r="J8" s="9" t="n"/>
      <c r="K8" s="9" t="n"/>
      <c r="L8" s="9" t="n"/>
      <c r="M8" s="9" t="n"/>
      <c r="N8" s="20" t="n"/>
      <c r="O8" s="20">
        <f>IF(C8="", "", TRIM(RIGHT(C8, LEN(C8) - FIND("@@", SUBSTITUTE(C8, "-", "@@", LEN(C8) - LEN(SUBSTITUTE(C8, "-", "")))))))</f>
        <v/>
      </c>
      <c r="P8" s="20">
        <f t="array" ref="P8">IFERROR(XLOOKUP(O8,'Department Listing'!$O$1:$O$395,'Department Listing'!$A$1:$A$395),IFERROR(XLOOKUP(O8,'Name Aliases'!$A$2:$A$1000,'Name Aliases'!$B$2:$B$1000),""))</f>
        <v/>
      </c>
      <c r="Q8" s="21">
        <f>IF(ISBLANK($C8),"",$B8)</f>
        <v/>
      </c>
      <c r="R8" s="20">
        <f>IF(ISBLANK($C8),"",IF(ISBLANK($I8),$D8,$I8))</f>
        <v/>
      </c>
      <c r="S8" s="22">
        <f>IF(ISBLANK($C8),"",$F8 - $G8)</f>
        <v/>
      </c>
      <c r="T8" s="20">
        <f>IF(ISBLANK($C8),"",C8)</f>
        <v/>
      </c>
      <c r="U8" s="20">
        <f>IF(ISBLANK($C8),"",$D$1)</f>
        <v/>
      </c>
      <c r="V8" s="22">
        <f t="array" ref="V8">IF(ISBLANK($B8),"",IF(ISBLANK($K8),IF(XLOOKUP($W8,'Category Mapping'!$C:$C,'Category Mapping'!$B:$B)="Travel",XLOOKUP($P8,'Department Listing'!$A:$A,'Department Listing'!$M:$M),XLOOKUP($W8,'Category Mapping'!$C:$C,'Category Mapping'!$D:$D)),$K8))</f>
        <v/>
      </c>
      <c r="W8" s="22">
        <f>IF(ISBLANK($B8),"",IF(ISBLANK($L8),RIGHT($E8,LEN($E8) - FIND("^",SUBSTITUTE($E8,":","^",LEN($E8) - LEN(SUBSTITUTE($E8,":",""))))),$L8))</f>
        <v/>
      </c>
      <c r="X8" s="22">
        <f>IF(ISBLANK($J8),$V8&amp;$W8,$J8)</f>
        <v/>
      </c>
      <c r="Y8" s="23">
        <f t="array" ref="Y8">IF(ISBLANK($M8),IFERROR(XLOOKUP($P8,'Department Listing'!$A:$A,'Department Listing'!$L:$L),""),$M8)</f>
        <v/>
      </c>
      <c r="Z8" s="11">
        <f>IF(ISBLANK($B8),"",MATCH($X8,COA!$B:$B,0))</f>
        <v/>
      </c>
      <c r="AA8" s="11" t="n"/>
      <c r="AB8" s="11" t="n"/>
      <c r="AC8" s="11" t="n"/>
      <c r="AD8" s="11" t="n"/>
    </row>
    <row r="9" ht="15.75" customHeight="1" s="52">
      <c r="B9" s="17" t="n">
        <v>46168</v>
      </c>
      <c r="C9" s="18" t="inlineStr">
        <is>
          <t>CustomCookies.com MASTERCARD-544015XXXXXX8091-Brooke Berg</t>
        </is>
      </c>
      <c r="E9" s="18" t="inlineStr">
        <is>
          <t>63410 General &amp; Administrative:Office Expenses:Office Supplies</t>
        </is>
      </c>
      <c r="F9" s="19" t="n">
        <v>1355</v>
      </c>
      <c r="H9" s="10" t="n"/>
      <c r="I9" s="9" t="inlineStr">
        <is>
          <t>Customcookies.com</t>
        </is>
      </c>
      <c r="J9" s="9" t="n"/>
      <c r="K9" s="9" t="n"/>
      <c r="L9" s="9" t="n"/>
      <c r="M9" s="9" t="n"/>
      <c r="N9" s="20" t="n"/>
      <c r="O9" s="20">
        <f>IF(C9="", "", TRIM(RIGHT(C9, LEN(C9) - FIND("@@", SUBSTITUTE(C9, "-", "@@", LEN(C9) - LEN(SUBSTITUTE(C9, "-", "")))))))</f>
        <v/>
      </c>
      <c r="P9" s="20">
        <f t="array" ref="P9">IFERROR(XLOOKUP(O9,'Department Listing'!$O$1:$O$395,'Department Listing'!$A$1:$A$395),IFERROR(XLOOKUP(O9,'Name Aliases'!$A$2:$A$1000,'Name Aliases'!$B$2:$B$1000),""))</f>
        <v/>
      </c>
      <c r="Q9" s="21">
        <f>IF(ISBLANK($C9),"",$B9)</f>
        <v/>
      </c>
      <c r="R9" s="24">
        <f>IF(ISBLANK($C9),"",IF(ISBLANK($I9),$D9,$I9))</f>
        <v/>
      </c>
      <c r="S9" s="22">
        <f>IF(ISBLANK($C9),"",$F9 - $G9)</f>
        <v/>
      </c>
      <c r="T9" s="20">
        <f>IF(ISBLANK($C9),"",C9)</f>
        <v/>
      </c>
      <c r="U9" s="20">
        <f>IF(ISBLANK($C9),"",$D$1)</f>
        <v/>
      </c>
      <c r="V9" s="22">
        <f t="array" ref="V9">IF(ISBLANK($B9),"",IF(ISBLANK($K9),IF(XLOOKUP($W9,'Category Mapping'!$C:$C,'Category Mapping'!$B:$B)="Travel",XLOOKUP($P9,'Department Listing'!$A:$A,'Department Listing'!$M:$M),XLOOKUP($W9,'Category Mapping'!$C:$C,'Category Mapping'!$D:$D)),$K9))</f>
        <v/>
      </c>
      <c r="W9" s="22">
        <f>IF(ISBLANK($B9),"",IF(ISBLANK($L9),RIGHT($E9,LEN($E9) - FIND("^",SUBSTITUTE($E9,":","^",LEN($E9) - LEN(SUBSTITUTE($E9,":",""))))),$L9))</f>
        <v/>
      </c>
      <c r="X9" s="22">
        <f>IF(ISBLANK($J9),$V9&amp;$W9,$J9)</f>
        <v/>
      </c>
      <c r="Y9" s="23">
        <f t="array" ref="Y9">IF(ISBLANK($M9),IFERROR(XLOOKUP($P9,'Department Listing'!$A:$A,'Department Listing'!$L:$L),""),$M9)</f>
        <v/>
      </c>
      <c r="Z9" s="11">
        <f>IF(ISBLANK($B9),"",MATCH($X9,COA!$B:$B,0))</f>
        <v/>
      </c>
      <c r="AA9" s="11" t="n"/>
      <c r="AB9" s="11" t="n"/>
      <c r="AC9" s="11" t="n"/>
      <c r="AD9" s="11" t="n"/>
    </row>
    <row r="10" ht="15.75" customHeight="1" s="52">
      <c r="B10" s="17" t="n">
        <v>46165</v>
      </c>
      <c r="C10" s="18" t="inlineStr">
        <is>
          <t>Claude MASTERCARD-544015XXXXXX0151-Eric Rabkin</t>
        </is>
      </c>
      <c r="D10" s="18" t="inlineStr">
        <is>
          <t>Claude.AI</t>
        </is>
      </c>
      <c r="E10" s="18" t="inlineStr">
        <is>
          <t>63310 General &amp; Administrative:Software Licenses</t>
        </is>
      </c>
      <c r="F10" s="19" t="n">
        <v>1038.46</v>
      </c>
      <c r="H10" s="10" t="n"/>
      <c r="I10" s="9" t="n"/>
      <c r="J10" s="9" t="n"/>
      <c r="K10" s="9" t="n"/>
      <c r="L10" s="9" t="n"/>
      <c r="M10" s="9" t="n"/>
      <c r="N10" s="20" t="n"/>
      <c r="O10" s="20">
        <f>IF(C10="", "", TRIM(RIGHT(C10, LEN(C10) - FIND("@@", SUBSTITUTE(C10, "-", "@@", LEN(C10) - LEN(SUBSTITUTE(C10, "-", "")))))))</f>
        <v/>
      </c>
      <c r="P10" s="20">
        <f t="array" ref="P10">IFERROR(XLOOKUP(O10,'Department Listing'!$O$1:$O$395,'Department Listing'!$A$1:$A$395),IFERROR(XLOOKUP(O10,'Name Aliases'!$A$2:$A$1000,'Name Aliases'!$B$2:$B$1000),""))</f>
        <v/>
      </c>
      <c r="Q10" s="21">
        <f>IF(ISBLANK($C10),"",$B10)</f>
        <v/>
      </c>
      <c r="R10" s="24">
        <f>IF(ISBLANK($C10),"",IF(ISBLANK($I10),$D10,$I10))</f>
        <v/>
      </c>
      <c r="S10" s="22">
        <f>IF(ISBLANK($C10),"",$F10 - $G10)</f>
        <v/>
      </c>
      <c r="T10" s="20">
        <f>IF(ISBLANK($C10),"",C10)</f>
        <v/>
      </c>
      <c r="U10" s="20">
        <f>IF(ISBLANK($C10),"",$D$1)</f>
        <v/>
      </c>
      <c r="V10" s="22">
        <f t="array" ref="V10">IF(ISBLANK($B10),"",IF(ISBLANK($K10),IF(XLOOKUP($W10,'Category Mapping'!$C:$C,'Category Mapping'!$B:$B)="Travel",XLOOKUP($P10,'Department Listing'!$A:$A,'Department Listing'!$M:$M),XLOOKUP($W10,'Category Mapping'!$C:$C,'Category Mapping'!$D:$D)),$K10))</f>
        <v/>
      </c>
      <c r="W10" s="22">
        <f>IF(ISBLANK($B10),"",IF(ISBLANK($L10),RIGHT($E10,LEN($E10) - FIND("^",SUBSTITUTE($E10,":","^",LEN($E10) - LEN(SUBSTITUTE($E10,":",""))))),$L10))</f>
        <v/>
      </c>
      <c r="X10" s="22">
        <f>IF(ISBLANK($J10),$V10&amp;$W10,$J10)</f>
        <v/>
      </c>
      <c r="Y10" s="23">
        <f t="array" ref="Y10">IF(ISBLANK($M10),IFERROR(XLOOKUP($P10,'Department Listing'!$A:$A,'Department Listing'!$L:$L),""),$M10)</f>
        <v/>
      </c>
      <c r="Z10" s="11">
        <f>IF(ISBLANK($B10),"",MATCH($X10,COA!$B:$B,0))</f>
        <v/>
      </c>
      <c r="AA10" s="11" t="n"/>
      <c r="AB10" s="11" t="n"/>
      <c r="AC10" s="11" t="n"/>
      <c r="AD10" s="11" t="n"/>
    </row>
    <row r="11" ht="15.75" customHeight="1" s="52">
      <c r="B11" s="17" t="n">
        <v>46166</v>
      </c>
      <c r="C11" s="18" t="inlineStr">
        <is>
          <t>Claude MASTERCARD-544015XXXXXX0151-Eric Rabkin</t>
        </is>
      </c>
      <c r="D11" s="18" t="inlineStr">
        <is>
          <t>Claude.AI</t>
        </is>
      </c>
      <c r="E11" s="18" t="inlineStr">
        <is>
          <t>63310 General &amp; Administrative:Software Licenses</t>
        </is>
      </c>
      <c r="F11" s="19" t="n">
        <v>1037.63</v>
      </c>
      <c r="H11" s="10" t="n"/>
      <c r="I11" s="9" t="n"/>
      <c r="J11" s="9" t="n"/>
      <c r="K11" s="9" t="n"/>
      <c r="L11" s="9" t="n"/>
      <c r="M11" s="9" t="n"/>
      <c r="N11" s="20" t="n"/>
      <c r="O11" s="20">
        <f>IF(C11="", "", TRIM(RIGHT(C11, LEN(C11) - FIND("@@", SUBSTITUTE(C11, "-", "@@", LEN(C11) - LEN(SUBSTITUTE(C11, "-", "")))))))</f>
        <v/>
      </c>
      <c r="P11" s="20">
        <f t="array" ref="P11">IFERROR(XLOOKUP(O11,'Department Listing'!$O$1:$O$395,'Department Listing'!$A$1:$A$395),IFERROR(XLOOKUP(O11,'Name Aliases'!$A$2:$A$1000,'Name Aliases'!$B$2:$B$1000),""))</f>
        <v/>
      </c>
      <c r="Q11" s="21">
        <f>IF(ISBLANK($C11),"",$B11)</f>
        <v/>
      </c>
      <c r="R11" s="24">
        <f>IF(ISBLANK($C11),"",IF(ISBLANK($I11),$D11,$I11))</f>
        <v/>
      </c>
      <c r="S11" s="22">
        <f>IF(ISBLANK($C11),"",$F11 - $G11)</f>
        <v/>
      </c>
      <c r="T11" s="20">
        <f>IF(ISBLANK($C11),"",C11)</f>
        <v/>
      </c>
      <c r="U11" s="20">
        <f>IF(ISBLANK($C11),"",$D$1)</f>
        <v/>
      </c>
      <c r="V11" s="22">
        <f t="array" ref="V11">IF(ISBLANK($B11),"",IF(ISBLANK($K11),IF(XLOOKUP($W11,'Category Mapping'!$C:$C,'Category Mapping'!$B:$B)="Travel",XLOOKUP($P11,'Department Listing'!$A:$A,'Department Listing'!$M:$M),XLOOKUP($W11,'Category Mapping'!$C:$C,'Category Mapping'!$D:$D)),$K11))</f>
        <v/>
      </c>
      <c r="W11" s="22">
        <f>IF(ISBLANK($B11),"",IF(ISBLANK($L11),RIGHT($E11,LEN($E11) - FIND("^",SUBSTITUTE($E11,":","^",LEN($E11) - LEN(SUBSTITUTE($E11,":",""))))),$L11))</f>
        <v/>
      </c>
      <c r="X11" s="22">
        <f>IF(ISBLANK($J11),$V11&amp;$W11,$J11)</f>
        <v/>
      </c>
      <c r="Y11" s="23">
        <f t="array" ref="Y11">IF(ISBLANK($M11),IFERROR(XLOOKUP($P11,'Department Listing'!$A:$A,'Department Listing'!$L:$L),""),$M11)</f>
        <v/>
      </c>
      <c r="Z11" s="11">
        <f>IF(ISBLANK($B11),"",MATCH($X11,COA!$B:$B,0))</f>
        <v/>
      </c>
      <c r="AA11" s="11" t="n"/>
      <c r="AB11" s="11" t="n"/>
      <c r="AC11" s="11" t="n"/>
      <c r="AD11" s="11" t="n"/>
    </row>
    <row r="12" ht="15.75" customHeight="1" s="52">
      <c r="B12" s="17" t="n">
        <v>46165</v>
      </c>
      <c r="C12" s="18" t="inlineStr">
        <is>
          <t>Claude MASTERCARD-544015XXXXXX0151-Eric Rabkin</t>
        </is>
      </c>
      <c r="D12" s="18" t="inlineStr">
        <is>
          <t>Claude.AI</t>
        </is>
      </c>
      <c r="E12" s="18" t="inlineStr">
        <is>
          <t>63310 General &amp; Administrative:Software Licenses</t>
        </is>
      </c>
      <c r="F12" s="19" t="n">
        <v>1036.29</v>
      </c>
      <c r="H12" s="10" t="n"/>
      <c r="I12" s="9" t="n"/>
      <c r="J12" s="9" t="n"/>
      <c r="K12" s="9" t="n"/>
      <c r="L12" s="9" t="n"/>
      <c r="M12" s="9" t="n"/>
      <c r="N12" s="20" t="n"/>
      <c r="O12" s="20">
        <f>IF(C12="", "", TRIM(RIGHT(C12, LEN(C12) - FIND("@@", SUBSTITUTE(C12, "-", "@@", LEN(C12) - LEN(SUBSTITUTE(C12, "-", "")))))))</f>
        <v/>
      </c>
      <c r="P12" s="20">
        <f t="array" ref="P12">IFERROR(XLOOKUP(O12,'Department Listing'!$O$1:$O$395,'Department Listing'!$A$1:$A$395),IFERROR(XLOOKUP(O12,'Name Aliases'!$A$2:$A$1000,'Name Aliases'!$B$2:$B$1000),""))</f>
        <v/>
      </c>
      <c r="Q12" s="21">
        <f>IF(ISBLANK($C12),"",$B12)</f>
        <v/>
      </c>
      <c r="R12" s="24">
        <f>IF(ISBLANK($C12),"",IF(ISBLANK($I12),$D12,$I12))</f>
        <v/>
      </c>
      <c r="S12" s="22">
        <f>IF(ISBLANK($C12),"",$F12 - $G12)</f>
        <v/>
      </c>
      <c r="T12" s="20">
        <f>IF(ISBLANK($C12),"",C12)</f>
        <v/>
      </c>
      <c r="U12" s="20">
        <f>IF(ISBLANK($C12),"",$D$1)</f>
        <v/>
      </c>
      <c r="V12" s="22">
        <f t="array" ref="V12">IF(ISBLANK($B12),"",IF(ISBLANK($K12),IF(XLOOKUP($W12,'Category Mapping'!$C:$C,'Category Mapping'!$B:$B)="Travel",XLOOKUP($P12,'Department Listing'!$A:$A,'Department Listing'!$M:$M),XLOOKUP($W12,'Category Mapping'!$C:$C,'Category Mapping'!$D:$D)),$K12))</f>
        <v/>
      </c>
      <c r="W12" s="22">
        <f>IF(ISBLANK($B12),"",IF(ISBLANK($L12),RIGHT($E12,LEN($E12) - FIND("^",SUBSTITUTE($E12,":","^",LEN($E12) - LEN(SUBSTITUTE($E12,":",""))))),$L12))</f>
        <v/>
      </c>
      <c r="X12" s="22">
        <f>IF(ISBLANK($J12),$V12&amp;$W12,$J12)</f>
        <v/>
      </c>
      <c r="Y12" s="23">
        <f t="array" ref="Y12">IF(ISBLANK($M12),IFERROR(XLOOKUP($P12,'Department Listing'!$A:$A,'Department Listing'!$L:$L),""),$M12)</f>
        <v/>
      </c>
      <c r="Z12" s="11">
        <f>IF(ISBLANK($B12),"",MATCH($X12,COA!$B:$B,0))</f>
        <v/>
      </c>
      <c r="AA12" s="11" t="n"/>
      <c r="AB12" s="11" t="n"/>
      <c r="AC12" s="11" t="n"/>
      <c r="AD12" s="11" t="n"/>
    </row>
    <row r="13" ht="15.75" customHeight="1" s="52">
      <c r="B13" s="17" t="n">
        <v>46166</v>
      </c>
      <c r="C13" s="18" t="inlineStr">
        <is>
          <t>Claude MASTERCARD-544015XXXXXX0151-Eric Rabkin</t>
        </is>
      </c>
      <c r="D13" s="18" t="inlineStr">
        <is>
          <t>Claude.AI</t>
        </is>
      </c>
      <c r="E13" s="18" t="inlineStr">
        <is>
          <t>63310 General &amp; Administrative:Software Licenses</t>
        </is>
      </c>
      <c r="F13" s="19" t="n">
        <v>1036.22</v>
      </c>
      <c r="H13" s="10" t="n"/>
      <c r="I13" s="9" t="n"/>
      <c r="J13" s="9" t="n"/>
      <c r="K13" s="25" t="n"/>
      <c r="L13" s="9" t="n"/>
      <c r="M13" s="25" t="n"/>
      <c r="N13" s="20" t="n"/>
      <c r="O13" s="20">
        <f>IF(C13="", "", TRIM(RIGHT(C13, LEN(C13) - FIND("@@", SUBSTITUTE(C13, "-", "@@", LEN(C13) - LEN(SUBSTITUTE(C13, "-", "")))))))</f>
        <v/>
      </c>
      <c r="P13" s="20">
        <f t="array" ref="P13">IFERROR(XLOOKUP(O13,'Department Listing'!$O$1:$O$395,'Department Listing'!$A$1:$A$395),IFERROR(XLOOKUP(O13,'Name Aliases'!$A$2:$A$1000,'Name Aliases'!$B$2:$B$1000),""))</f>
        <v/>
      </c>
      <c r="Q13" s="21">
        <f>IF(ISBLANK($C13),"",$B13)</f>
        <v/>
      </c>
      <c r="R13" s="24">
        <f>IF(ISBLANK($C13),"",IF(ISBLANK($I13),$D13,$I13))</f>
        <v/>
      </c>
      <c r="S13" s="22">
        <f>IF(ISBLANK($C13),"",$F13 - $G13)</f>
        <v/>
      </c>
      <c r="T13" s="20">
        <f>IF(ISBLANK($C13),"",C13)</f>
        <v/>
      </c>
      <c r="U13" s="20">
        <f>IF(ISBLANK($C13),"",$D$1)</f>
        <v/>
      </c>
      <c r="V13" s="22">
        <f t="array" ref="V13">IF(ISBLANK($B13),"",IF(ISBLANK($K13),IF(XLOOKUP($W13,'Category Mapping'!$C:$C,'Category Mapping'!$B:$B)="Travel",XLOOKUP($P13,'Department Listing'!$A:$A,'Department Listing'!$M:$M),XLOOKUP($W13,'Category Mapping'!$C:$C,'Category Mapping'!$D:$D)),$K13))</f>
        <v/>
      </c>
      <c r="W13" s="22">
        <f>IF(ISBLANK($B13),"",IF(ISBLANK($L13),RIGHT($E13,LEN($E13) - FIND("^",SUBSTITUTE($E13,":","^",LEN($E13) - LEN(SUBSTITUTE($E13,":",""))))),$L13))</f>
        <v/>
      </c>
      <c r="X13" s="22">
        <f>IF(ISBLANK($J13),$V13&amp;$W13,$J13)</f>
        <v/>
      </c>
      <c r="Y13" s="23">
        <f t="array" ref="Y13">IF(ISBLANK($M13),IFERROR(XLOOKUP($P13,'Department Listing'!$A:$A,'Department Listing'!$L:$L),""),$M13)</f>
        <v/>
      </c>
      <c r="Z13" s="11">
        <f>IF(ISBLANK($B13),"",MATCH($X13,COA!$B:$B,0))</f>
        <v/>
      </c>
      <c r="AA13" s="11" t="n"/>
      <c r="AB13" s="11" t="n"/>
      <c r="AC13" s="11" t="n"/>
      <c r="AD13" s="11" t="n"/>
    </row>
    <row r="14" ht="15.75" customHeight="1" s="52">
      <c r="B14" s="17" t="n">
        <v>46165</v>
      </c>
      <c r="C14" s="18" t="inlineStr">
        <is>
          <t>Claude MASTERCARD-544015XXXXXX0151-Eric Rabkin</t>
        </is>
      </c>
      <c r="D14" s="18" t="inlineStr">
        <is>
          <t>Claude.AI</t>
        </is>
      </c>
      <c r="E14" s="18" t="inlineStr">
        <is>
          <t>63310 General &amp; Administrative:Software Licenses</t>
        </is>
      </c>
      <c r="F14" s="19" t="n">
        <v>1029.53</v>
      </c>
      <c r="H14" s="10" t="n"/>
      <c r="I14" s="9" t="n"/>
      <c r="J14" s="9" t="n"/>
      <c r="K14" s="25" t="n"/>
      <c r="L14" s="9" t="n"/>
      <c r="M14" s="9" t="n"/>
      <c r="N14" s="20" t="n"/>
      <c r="O14" s="20">
        <f>IF(C14="", "", TRIM(RIGHT(C14, LEN(C14) - FIND("@@", SUBSTITUTE(C14, "-", "@@", LEN(C14) - LEN(SUBSTITUTE(C14, "-", "")))))))</f>
        <v/>
      </c>
      <c r="P14" s="20">
        <f t="array" ref="P14">IFERROR(XLOOKUP(O14,'Department Listing'!$O$1:$O$395,'Department Listing'!$A$1:$A$395),IFERROR(XLOOKUP(O14,'Name Aliases'!$A$2:$A$1000,'Name Aliases'!$B$2:$B$1000),""))</f>
        <v/>
      </c>
      <c r="Q14" s="21">
        <f>IF(ISBLANK($C14),"",$B14)</f>
        <v/>
      </c>
      <c r="R14" s="24">
        <f>IF(ISBLANK($C14),"",IF(ISBLANK($I14),$D14,$I14))</f>
        <v/>
      </c>
      <c r="S14" s="22">
        <f>IF(ISBLANK($C14),"",$F14 - $G14)</f>
        <v/>
      </c>
      <c r="T14" s="20">
        <f>IF(ISBLANK($C14),"",C14)</f>
        <v/>
      </c>
      <c r="U14" s="20">
        <f>IF(ISBLANK($C14),"",$D$1)</f>
        <v/>
      </c>
      <c r="V14" s="22">
        <f t="array" ref="V14">IF(ISBLANK($B14),"",IF(ISBLANK($K14),IF(XLOOKUP($W14,'Category Mapping'!$C:$C,'Category Mapping'!$B:$B)="Travel",XLOOKUP($P14,'Department Listing'!$A:$A,'Department Listing'!$M:$M),XLOOKUP($W14,'Category Mapping'!$C:$C,'Category Mapping'!$D:$D)),$K14))</f>
        <v/>
      </c>
      <c r="W14" s="22">
        <f>IF(ISBLANK($B14),"",IF(ISBLANK($L14),RIGHT($E14,LEN($E14) - FIND("^",SUBSTITUTE($E14,":","^",LEN($E14) - LEN(SUBSTITUTE($E14,":",""))))),$L14))</f>
        <v/>
      </c>
      <c r="X14" s="22">
        <f>IF(ISBLANK($J14),$V14&amp;$W14,$J14)</f>
        <v/>
      </c>
      <c r="Y14" s="23">
        <f t="array" ref="Y14">IF(ISBLANK($M14),IFERROR(XLOOKUP($P14,'Department Listing'!$A:$A,'Department Listing'!$L:$L),""),$M14)</f>
        <v/>
      </c>
      <c r="Z14" s="11">
        <f>IF(ISBLANK($B14),"",MATCH($X14,COA!$B:$B,0))</f>
        <v/>
      </c>
      <c r="AA14" s="11" t="n"/>
      <c r="AB14" s="11" t="n"/>
      <c r="AC14" s="11" t="n"/>
      <c r="AD14" s="11" t="n"/>
    </row>
    <row r="15" ht="15.75" customHeight="1" s="52">
      <c r="B15" s="17" t="n">
        <v>46169</v>
      </c>
      <c r="C15" s="18" t="inlineStr">
        <is>
          <t>Csi Worldwide MASTERCARD-555671XXXXXX8308-Toni Manning</t>
        </is>
      </c>
      <c r="E15" s="18" t="inlineStr">
        <is>
          <t>61290 Sales &amp; Marketing:Sales &amp; Marketing- Travel Expenses:Other Travel Expenses</t>
        </is>
      </c>
      <c r="F15" s="19" t="n">
        <v>1029.42</v>
      </c>
      <c r="H15" s="10" t="n"/>
      <c r="I15" s="9" t="inlineStr">
        <is>
          <t>Office Vendor</t>
        </is>
      </c>
      <c r="J15" s="9" t="n"/>
      <c r="K15" s="9" t="n"/>
      <c r="L15" s="9" t="inlineStr">
        <is>
          <t>Dues &amp; Subscriptions</t>
        </is>
      </c>
      <c r="M15" s="9" t="n"/>
      <c r="N15" s="20" t="n"/>
      <c r="O15" s="20">
        <f>IF(C15="", "", TRIM(RIGHT(C15, LEN(C15) - FIND("@@", SUBSTITUTE(C15, "-", "@@", LEN(C15) - LEN(SUBSTITUTE(C15, "-", "")))))))</f>
        <v/>
      </c>
      <c r="P15" s="20">
        <f t="array" ref="P15">IFERROR(XLOOKUP(O15,'Department Listing'!$O$1:$O$395,'Department Listing'!$A$1:$A$395),IFERROR(XLOOKUP(O15,'Name Aliases'!$A$2:$A$1000,'Name Aliases'!$B$2:$B$1000),""))</f>
        <v/>
      </c>
      <c r="Q15" s="21">
        <f>IF(ISBLANK($C15),"",$B15)</f>
        <v/>
      </c>
      <c r="R15" s="20">
        <f>IF(ISBLANK($C15),"",IF(ISBLANK($I15),$D15,$I15))</f>
        <v/>
      </c>
      <c r="S15" s="22">
        <f>IF(ISBLANK($C15),"",$F15 - $G15)</f>
        <v/>
      </c>
      <c r="T15" s="20">
        <f>IF(ISBLANK($C15),"",C15)</f>
        <v/>
      </c>
      <c r="U15" s="20">
        <f>IF(ISBLANK($C15),"",$D$1)</f>
        <v/>
      </c>
      <c r="V15" s="22">
        <f t="array" ref="V15">IF(ISBLANK($B15),"",IF(ISBLANK($K15),IF(XLOOKUP($W15,'Category Mapping'!$C:$C,'Category Mapping'!$B:$B)="Travel",XLOOKUP($P15,'Department Listing'!$A:$A,'Department Listing'!$M:$M),XLOOKUP($W15,'Category Mapping'!$C:$C,'Category Mapping'!$D:$D)),$K15))</f>
        <v/>
      </c>
      <c r="W15" s="22">
        <f>IF(ISBLANK($B15),"",IF(ISBLANK($L15),RIGHT($E15,LEN($E15) - FIND("^",SUBSTITUTE($E15,":","^",LEN($E15) - LEN(SUBSTITUTE($E15,":",""))))),$L15))</f>
        <v/>
      </c>
      <c r="X15" s="22">
        <f>IF(ISBLANK($J15),$V15&amp;$W15,$J15)</f>
        <v/>
      </c>
      <c r="Y15" s="23">
        <f t="array" ref="Y15">IF(ISBLANK($M15),IFERROR(XLOOKUP($P15,'Department Listing'!$A:$A,'Department Listing'!$L:$L),""),$M15)</f>
        <v/>
      </c>
      <c r="Z15" s="11">
        <f>IF(ISBLANK($B15),"",MATCH($X15,COA!$B:$B,0))</f>
        <v/>
      </c>
      <c r="AA15" s="11" t="n"/>
      <c r="AB15" s="11" t="n"/>
      <c r="AC15" s="11" t="n"/>
      <c r="AD15" s="11" t="n"/>
    </row>
    <row r="16" ht="15.75" customHeight="1" s="52">
      <c r="B16" s="17" t="n">
        <v>46166</v>
      </c>
      <c r="C16" s="18" t="inlineStr">
        <is>
          <t>Claude MASTERCARD-544015XXXXXX0151-Eric Rabkin</t>
        </is>
      </c>
      <c r="D16" s="18" t="inlineStr">
        <is>
          <t>Claude.AI</t>
        </is>
      </c>
      <c r="E16" s="18" t="inlineStr">
        <is>
          <t>63310 General &amp; Administrative:Software Licenses</t>
        </is>
      </c>
      <c r="F16" s="19" t="n">
        <v>1029.01</v>
      </c>
      <c r="H16" s="10" t="n"/>
      <c r="I16" s="9" t="n"/>
      <c r="J16" s="9" t="n"/>
      <c r="K16" s="9" t="n"/>
      <c r="L16" s="9" t="n"/>
      <c r="M16" s="9" t="n"/>
      <c r="N16" s="20" t="n"/>
      <c r="O16" s="20">
        <f>IF(C16="", "", TRIM(RIGHT(C16, LEN(C16) - FIND("@@", SUBSTITUTE(C16, "-", "@@", LEN(C16) - LEN(SUBSTITUTE(C16, "-", "")))))))</f>
        <v/>
      </c>
      <c r="P16" s="20">
        <f t="array" ref="P16">IFERROR(XLOOKUP(O16,'Department Listing'!$O$1:$O$395,'Department Listing'!$A$1:$A$395),IFERROR(XLOOKUP(O16,'Name Aliases'!$A$2:$A$1000,'Name Aliases'!$B$2:$B$1000),""))</f>
        <v/>
      </c>
      <c r="Q16" s="21">
        <f>IF(ISBLANK($C16),"",$B16)</f>
        <v/>
      </c>
      <c r="R16" s="24">
        <f>IF(ISBLANK($C16),"",IF(ISBLANK($I16),$D16,$I16))</f>
        <v/>
      </c>
      <c r="S16" s="22">
        <f>IF(ISBLANK($C16),"",$F16 - $G16)</f>
        <v/>
      </c>
      <c r="T16" s="20">
        <f>IF(ISBLANK($C16),"",C16)</f>
        <v/>
      </c>
      <c r="U16" s="20">
        <f>IF(ISBLANK($C16),"",$D$1)</f>
        <v/>
      </c>
      <c r="V16" s="22">
        <f t="array" ref="V16">IF(ISBLANK($B16),"",IF(ISBLANK($K16),IF(XLOOKUP($W16,'Category Mapping'!$C:$C,'Category Mapping'!$B:$B)="Travel",XLOOKUP($P16,'Department Listing'!$A:$A,'Department Listing'!$M:$M),XLOOKUP($W16,'Category Mapping'!$C:$C,'Category Mapping'!$D:$D)),$K16))</f>
        <v/>
      </c>
      <c r="W16" s="22">
        <f>IF(ISBLANK($B16),"",IF(ISBLANK($L16),RIGHT($E16,LEN($E16) - FIND("^",SUBSTITUTE($E16,":","^",LEN($E16) - LEN(SUBSTITUTE($E16,":",""))))),$L16))</f>
        <v/>
      </c>
      <c r="X16" s="22">
        <f>IF(ISBLANK($J16),$V16&amp;$W16,$J16)</f>
        <v/>
      </c>
      <c r="Y16" s="23">
        <f t="array" ref="Y16">IF(ISBLANK($M16),IFERROR(XLOOKUP($P16,'Department Listing'!$A:$A,'Department Listing'!$L:$L),""),$M16)</f>
        <v/>
      </c>
      <c r="Z16" s="11">
        <f>IF(ISBLANK($B16),"",MATCH($X16,COA!$B:$B,0))</f>
        <v/>
      </c>
      <c r="AA16" s="11" t="n"/>
      <c r="AB16" s="11" t="n"/>
      <c r="AC16" s="11" t="n"/>
      <c r="AD16" s="11" t="n"/>
    </row>
    <row r="17" ht="15.75" customHeight="1" s="52">
      <c r="B17" s="17" t="n">
        <v>46165</v>
      </c>
      <c r="C17" s="18" t="inlineStr">
        <is>
          <t>Claude MASTERCARD-544015XXXXXX0151-Eric Rabkin</t>
        </is>
      </c>
      <c r="D17" s="18" t="inlineStr">
        <is>
          <t>Claude.AI</t>
        </is>
      </c>
      <c r="E17" s="18" t="inlineStr">
        <is>
          <t>63310 General &amp; Administrative:Software Licenses</t>
        </is>
      </c>
      <c r="F17" s="19" t="n">
        <v>1024.09</v>
      </c>
      <c r="H17" s="10" t="n"/>
      <c r="I17" s="9" t="n"/>
      <c r="J17" s="9" t="n"/>
      <c r="K17" s="25" t="n"/>
      <c r="L17" s="25" t="n"/>
      <c r="M17" s="25" t="n"/>
      <c r="N17" s="20" t="n"/>
      <c r="O17" s="20">
        <f>IF(C17="", "", TRIM(RIGHT(C17, LEN(C17) - FIND("@@", SUBSTITUTE(C17, "-", "@@", LEN(C17) - LEN(SUBSTITUTE(C17, "-", "")))))))</f>
        <v/>
      </c>
      <c r="P17" s="20">
        <f t="array" ref="P17">IFERROR(XLOOKUP(O17,'Department Listing'!$O$1:$O$395,'Department Listing'!$A$1:$A$395),IFERROR(XLOOKUP(O17,'Name Aliases'!$A$2:$A$1000,'Name Aliases'!$B$2:$B$1000),""))</f>
        <v/>
      </c>
      <c r="Q17" s="21">
        <f>IF(ISBLANK($C17),"",$B17)</f>
        <v/>
      </c>
      <c r="R17" s="24">
        <f>IF(ISBLANK($C17),"",IF(ISBLANK($I17),$D17,$I17))</f>
        <v/>
      </c>
      <c r="S17" s="22">
        <f>IF(ISBLANK($C17),"",$F17 - $G17)</f>
        <v/>
      </c>
      <c r="T17" s="20">
        <f>IF(ISBLANK($C17),"",C17)</f>
        <v/>
      </c>
      <c r="U17" s="20">
        <f>IF(ISBLANK($C17),"",$D$1)</f>
        <v/>
      </c>
      <c r="V17" s="22">
        <f t="array" ref="V17">IF(ISBLANK($B17),"",IF(ISBLANK($K17),IF(XLOOKUP($W17,'Category Mapping'!$C:$C,'Category Mapping'!$B:$B)="Travel",XLOOKUP($P17,'Department Listing'!$A:$A,'Department Listing'!$M:$M),XLOOKUP($W17,'Category Mapping'!$C:$C,'Category Mapping'!$D:$D)),$K17))</f>
        <v/>
      </c>
      <c r="W17" s="22">
        <f>IF(ISBLANK($B17),"",IF(ISBLANK($L17),RIGHT($E17,LEN($E17) - FIND("^",SUBSTITUTE($E17,":","^",LEN($E17) - LEN(SUBSTITUTE($E17,":",""))))),$L17))</f>
        <v/>
      </c>
      <c r="X17" s="22">
        <f>IF(ISBLANK($J17),$V17&amp;$W17,$J17)</f>
        <v/>
      </c>
      <c r="Y17" s="23">
        <f t="array" ref="Y17">IF(ISBLANK($M17),IFERROR(XLOOKUP($P17,'Department Listing'!$A:$A,'Department Listing'!$L:$L),""),$M17)</f>
        <v/>
      </c>
      <c r="Z17" s="11">
        <f>IF(ISBLANK($B17),"",MATCH($X17,COA!$B:$B,0))</f>
        <v/>
      </c>
      <c r="AA17" s="11" t="n"/>
      <c r="AB17" s="11" t="n"/>
      <c r="AC17" s="11" t="n"/>
      <c r="AD17" s="11" t="n"/>
    </row>
    <row r="18" ht="15.75" customHeight="1" s="52">
      <c r="B18" s="17" t="n">
        <v>46166</v>
      </c>
      <c r="C18" s="18" t="inlineStr">
        <is>
          <t>Claude MASTERCARD-544015XXXXXX0151-Eric Rabkin</t>
        </is>
      </c>
      <c r="D18" s="18" t="inlineStr">
        <is>
          <t>Claude.AI</t>
        </is>
      </c>
      <c r="E18" s="18" t="inlineStr">
        <is>
          <t>63310 General &amp; Administrative:Software Licenses</t>
        </is>
      </c>
      <c r="F18" s="19" t="n">
        <v>1023.44</v>
      </c>
      <c r="H18" s="10" t="n"/>
      <c r="I18" s="9" t="n"/>
      <c r="J18" s="9" t="n"/>
      <c r="K18" s="9" t="n"/>
      <c r="L18" s="9" t="n"/>
      <c r="M18" s="9" t="n"/>
      <c r="N18" s="20" t="n"/>
      <c r="O18" s="20">
        <f>IF(C18="", "", TRIM(RIGHT(C18, LEN(C18) - FIND("@@", SUBSTITUTE(C18, "-", "@@", LEN(C18) - LEN(SUBSTITUTE(C18, "-", "")))))))</f>
        <v/>
      </c>
      <c r="P18" s="20">
        <f t="array" ref="P18">IFERROR(XLOOKUP(O18,'Department Listing'!$O$1:$O$395,'Department Listing'!$A$1:$A$395),IFERROR(XLOOKUP(O18,'Name Aliases'!$A$2:$A$1000,'Name Aliases'!$B$2:$B$1000),""))</f>
        <v/>
      </c>
      <c r="Q18" s="21">
        <f>IF(ISBLANK($C18),"",$B18)</f>
        <v/>
      </c>
      <c r="R18" s="24">
        <f>IF(ISBLANK($C18),"",IF(ISBLANK($I18),$D18,$I18))</f>
        <v/>
      </c>
      <c r="S18" s="22">
        <f>IF(ISBLANK($C18),"",$F18 - $G18)</f>
        <v/>
      </c>
      <c r="T18" s="20">
        <f>IF(ISBLANK($C18),"",C18)</f>
        <v/>
      </c>
      <c r="U18" s="20">
        <f>IF(ISBLANK($C18),"",$D$1)</f>
        <v/>
      </c>
      <c r="V18" s="22">
        <f t="array" ref="V18">IF(ISBLANK($B18),"",IF(ISBLANK($K18),IF(XLOOKUP($W18,'Category Mapping'!$C:$C,'Category Mapping'!$B:$B)="Travel",XLOOKUP($P18,'Department Listing'!$A:$A,'Department Listing'!$M:$M),XLOOKUP($W18,'Category Mapping'!$C:$C,'Category Mapping'!$D:$D)),$K18))</f>
        <v/>
      </c>
      <c r="W18" s="22">
        <f>IF(ISBLANK($B18),"",IF(ISBLANK($L18),RIGHT($E18,LEN($E18) - FIND("^",SUBSTITUTE($E18,":","^",LEN($E18) - LEN(SUBSTITUTE($E18,":",""))))),$L18))</f>
        <v/>
      </c>
      <c r="X18" s="22">
        <f>IF(ISBLANK($J18),$V18&amp;$W18,$J18)</f>
        <v/>
      </c>
      <c r="Y18" s="23">
        <f t="array" ref="Y18">IF(ISBLANK($M18),IFERROR(XLOOKUP($P18,'Department Listing'!$A:$A,'Department Listing'!$L:$L),""),$M18)</f>
        <v/>
      </c>
      <c r="Z18" s="11">
        <f>IF(ISBLANK($B18),"",MATCH($X18,COA!$B:$B,0))</f>
        <v/>
      </c>
      <c r="AA18" s="11" t="n"/>
      <c r="AB18" s="11" t="n"/>
      <c r="AC18" s="11" t="n"/>
      <c r="AD18" s="11" t="n"/>
    </row>
    <row r="19" ht="15.75" customHeight="1" s="52">
      <c r="B19" s="17" t="n">
        <v>46166</v>
      </c>
      <c r="C19" s="18" t="inlineStr">
        <is>
          <t>Claude MASTERCARD-544015XXXXXX0151-Eric Rabkin</t>
        </is>
      </c>
      <c r="D19" s="18" t="inlineStr">
        <is>
          <t>Claude.AI</t>
        </is>
      </c>
      <c r="E19" s="18" t="inlineStr">
        <is>
          <t>63310 General &amp; Administrative:Software Licenses</t>
        </is>
      </c>
      <c r="F19" s="19" t="n">
        <v>1022.16</v>
      </c>
      <c r="H19" s="10" t="n"/>
      <c r="I19" s="9" t="n"/>
      <c r="J19" s="9" t="n"/>
      <c r="K19" s="9" t="n"/>
      <c r="L19" s="9" t="n"/>
      <c r="M19" s="9" t="n"/>
      <c r="N19" s="20" t="n"/>
      <c r="O19" s="20">
        <f>IF(C19="", "", TRIM(RIGHT(C19, LEN(C19) - FIND("@@", SUBSTITUTE(C19, "-", "@@", LEN(C19) - LEN(SUBSTITUTE(C19, "-", "")))))))</f>
        <v/>
      </c>
      <c r="P19" s="20">
        <f t="array" ref="P19">IFERROR(XLOOKUP(O19,'Department Listing'!$O$1:$O$395,'Department Listing'!$A$1:$A$395),IFERROR(XLOOKUP(O19,'Name Aliases'!$A$2:$A$1000,'Name Aliases'!$B$2:$B$1000),""))</f>
        <v/>
      </c>
      <c r="Q19" s="21">
        <f>IF(ISBLANK($C19),"",$B19)</f>
        <v/>
      </c>
      <c r="R19" s="24">
        <f>IF(ISBLANK($C19),"",IF(ISBLANK($I19),$D19,$I19))</f>
        <v/>
      </c>
      <c r="S19" s="22">
        <f>IF(ISBLANK($C19),"",$F19 - $G19)</f>
        <v/>
      </c>
      <c r="T19" s="20">
        <f>IF(ISBLANK($C19),"",C19)</f>
        <v/>
      </c>
      <c r="U19" s="20">
        <f>IF(ISBLANK($C19),"",$D$1)</f>
        <v/>
      </c>
      <c r="V19" s="22">
        <f t="array" ref="V19">IF(ISBLANK($B19),"",IF(ISBLANK($K19),IF(XLOOKUP($W19,'Category Mapping'!$C:$C,'Category Mapping'!$B:$B)="Travel",XLOOKUP($P19,'Department Listing'!$A:$A,'Department Listing'!$M:$M),XLOOKUP($W19,'Category Mapping'!$C:$C,'Category Mapping'!$D:$D)),$K19))</f>
        <v/>
      </c>
      <c r="W19" s="22">
        <f>IF(ISBLANK($B19),"",IF(ISBLANK($L19),RIGHT($E19,LEN($E19) - FIND("^",SUBSTITUTE($E19,":","^",LEN($E19) - LEN(SUBSTITUTE($E19,":",""))))),$L19))</f>
        <v/>
      </c>
      <c r="X19" s="22">
        <f>IF(ISBLANK($J19),$V19&amp;$W19,$J19)</f>
        <v/>
      </c>
      <c r="Y19" s="23">
        <f t="array" ref="Y19">IF(ISBLANK($M19),IFERROR(XLOOKUP($P19,'Department Listing'!$A:$A,'Department Listing'!$L:$L),""),$M19)</f>
        <v/>
      </c>
      <c r="Z19" s="11">
        <f>IF(ISBLANK($B19),"",MATCH($X19,COA!$B:$B,0))</f>
        <v/>
      </c>
      <c r="AA19" s="11" t="n"/>
      <c r="AB19" s="11" t="n"/>
      <c r="AC19" s="11" t="n"/>
      <c r="AD19" s="11" t="n"/>
    </row>
    <row r="20" ht="15.75" customHeight="1" s="52">
      <c r="B20" s="17" t="n">
        <v>46166</v>
      </c>
      <c r="C20" s="18" t="inlineStr">
        <is>
          <t>Claude MASTERCARD-544015XXXXXX0151-Eric Rabkin</t>
        </is>
      </c>
      <c r="D20" s="18" t="inlineStr">
        <is>
          <t>Claude.AI</t>
        </is>
      </c>
      <c r="E20" s="18" t="inlineStr">
        <is>
          <t>63310 General &amp; Administrative:Software Licenses</t>
        </is>
      </c>
      <c r="F20" s="19" t="n">
        <v>1020.56</v>
      </c>
      <c r="H20" s="10" t="n"/>
      <c r="I20" s="9" t="n"/>
      <c r="J20" s="9" t="n"/>
      <c r="K20" s="9" t="n"/>
      <c r="L20" s="9" t="n"/>
      <c r="M20" s="9" t="n"/>
      <c r="N20" s="20" t="n"/>
      <c r="O20" s="20">
        <f>IF(C20="", "", TRIM(RIGHT(C20, LEN(C20) - FIND("@@", SUBSTITUTE(C20, "-", "@@", LEN(C20) - LEN(SUBSTITUTE(C20, "-", "")))))))</f>
        <v/>
      </c>
      <c r="P20" s="20">
        <f t="array" ref="P20">IFERROR(XLOOKUP(O20,'Department Listing'!$O$1:$O$395,'Department Listing'!$A$1:$A$395),IFERROR(XLOOKUP(O20,'Name Aliases'!$A$2:$A$1000,'Name Aliases'!$B$2:$B$1000),""))</f>
        <v/>
      </c>
      <c r="Q20" s="21">
        <f>IF(ISBLANK($C20),"",$B20)</f>
        <v/>
      </c>
      <c r="R20" s="24">
        <f>IF(ISBLANK($C20),"",IF(ISBLANK($I20),$D20,$I20))</f>
        <v/>
      </c>
      <c r="S20" s="22">
        <f>IF(ISBLANK($C20),"",$F20 - $G20)</f>
        <v/>
      </c>
      <c r="T20" s="20">
        <f>IF(ISBLANK($C20),"",C20)</f>
        <v/>
      </c>
      <c r="U20" s="20">
        <f>IF(ISBLANK($C20),"",$D$1)</f>
        <v/>
      </c>
      <c r="V20" s="22">
        <f t="array" ref="V20">IF(ISBLANK($B20),"",IF(ISBLANK($K20),IF(XLOOKUP($W20,'Category Mapping'!$C:$C,'Category Mapping'!$B:$B)="Travel",XLOOKUP($P20,'Department Listing'!$A:$A,'Department Listing'!$M:$M),XLOOKUP($W20,'Category Mapping'!$C:$C,'Category Mapping'!$D:$D)),$K20))</f>
        <v/>
      </c>
      <c r="W20" s="22">
        <f>IF(ISBLANK($B20),"",IF(ISBLANK($L20),RIGHT($E20,LEN($E20) - FIND("^",SUBSTITUTE($E20,":","^",LEN($E20) - LEN(SUBSTITUTE($E20,":",""))))),$L20))</f>
        <v/>
      </c>
      <c r="X20" s="22">
        <f>IF(ISBLANK($J20),$V20&amp;$W20,$J20)</f>
        <v/>
      </c>
      <c r="Y20" s="23">
        <f t="array" ref="Y20">IF(ISBLANK($M20),IFERROR(XLOOKUP($P20,'Department Listing'!$A:$A,'Department Listing'!$L:$L),""),$M20)</f>
        <v/>
      </c>
      <c r="Z20" s="11">
        <f>IF(ISBLANK($B20),"",MATCH($X20,COA!$B:$B,0))</f>
        <v/>
      </c>
      <c r="AA20" s="11" t="n"/>
      <c r="AB20" s="11" t="n"/>
      <c r="AC20" s="11" t="n"/>
      <c r="AD20" s="11" t="n"/>
    </row>
    <row r="21" ht="15.75" customHeight="1" s="52">
      <c r="B21" s="17" t="n">
        <v>46165</v>
      </c>
      <c r="C21" s="18" t="inlineStr">
        <is>
          <t>Claude MASTERCARD-544015XXXXXX0151-Eric Rabkin</t>
        </is>
      </c>
      <c r="D21" s="18" t="inlineStr">
        <is>
          <t>Claude.AI</t>
        </is>
      </c>
      <c r="E21" s="18" t="inlineStr">
        <is>
          <t>63310 General &amp; Administrative:Software Licenses</t>
        </is>
      </c>
      <c r="F21" s="19" t="n">
        <v>1019.16</v>
      </c>
      <c r="H21" s="10" t="n"/>
      <c r="I21" s="9" t="n"/>
      <c r="J21" s="9" t="n"/>
      <c r="K21" s="9" t="n"/>
      <c r="L21" s="9" t="n"/>
      <c r="M21" s="9" t="n"/>
      <c r="N21" s="20" t="n"/>
      <c r="O21" s="20">
        <f>IF(C21="", "", TRIM(RIGHT(C21, LEN(C21) - FIND("@@", SUBSTITUTE(C21, "-", "@@", LEN(C21) - LEN(SUBSTITUTE(C21, "-", "")))))))</f>
        <v/>
      </c>
      <c r="P21" s="20">
        <f t="array" ref="P21">IFERROR(XLOOKUP(O21,'Department Listing'!$O$1:$O$395,'Department Listing'!$A$1:$A$395),IFERROR(XLOOKUP(O21,'Name Aliases'!$A$2:$A$1000,'Name Aliases'!$B$2:$B$1000),""))</f>
        <v/>
      </c>
      <c r="Q21" s="21">
        <f>IF(ISBLANK($C21),"",$B21)</f>
        <v/>
      </c>
      <c r="R21" s="24">
        <f>IF(ISBLANK($C21),"",IF(ISBLANK($I21),$D21,$I21))</f>
        <v/>
      </c>
      <c r="S21" s="22">
        <f>IF(ISBLANK($C21),"",$F21 - $G21)</f>
        <v/>
      </c>
      <c r="T21" s="20">
        <f>IF(ISBLANK($C21),"",C21)</f>
        <v/>
      </c>
      <c r="U21" s="20">
        <f>IF(ISBLANK($C21),"",$D$1)</f>
        <v/>
      </c>
      <c r="V21" s="22">
        <f t="array" ref="V21">IF(ISBLANK($B21),"",IF(ISBLANK($K21),IF(XLOOKUP($W21,'Category Mapping'!$C:$C,'Category Mapping'!$B:$B)="Travel",XLOOKUP($P21,'Department Listing'!$A:$A,'Department Listing'!$M:$M),XLOOKUP($W21,'Category Mapping'!$C:$C,'Category Mapping'!$D:$D)),$K21))</f>
        <v/>
      </c>
      <c r="W21" s="22">
        <f>IF(ISBLANK($B21),"",IF(ISBLANK($L21),RIGHT($E21,LEN($E21) - FIND("^",SUBSTITUTE($E21,":","^",LEN($E21) - LEN(SUBSTITUTE($E21,":",""))))),$L21))</f>
        <v/>
      </c>
      <c r="X21" s="22">
        <f>IF(ISBLANK($J21),$V21&amp;$W21,$J21)</f>
        <v/>
      </c>
      <c r="Y21" s="23">
        <f t="array" ref="Y21">IF(ISBLANK($M21),IFERROR(XLOOKUP($P21,'Department Listing'!$A:$A,'Department Listing'!$L:$L),""),$M21)</f>
        <v/>
      </c>
      <c r="Z21" s="11">
        <f>IF(ISBLANK($B21),"",MATCH($X21,COA!$B:$B,0))</f>
        <v/>
      </c>
      <c r="AA21" s="11" t="n"/>
      <c r="AB21" s="11" t="n"/>
      <c r="AC21" s="11" t="n"/>
      <c r="AD21" s="11" t="n"/>
    </row>
    <row r="22" ht="15.75" customHeight="1" s="52">
      <c r="B22" s="17" t="n">
        <v>46165</v>
      </c>
      <c r="C22" s="18" t="inlineStr">
        <is>
          <t>Claude MASTERCARD-544015XXXXXX0151-Eric Rabkin</t>
        </is>
      </c>
      <c r="D22" s="18" t="inlineStr">
        <is>
          <t>Claude.AI</t>
        </is>
      </c>
      <c r="E22" s="18" t="inlineStr">
        <is>
          <t>63310 General &amp; Administrative:Software Licenses</t>
        </is>
      </c>
      <c r="F22" s="19" t="n">
        <v>1018.67</v>
      </c>
      <c r="H22" s="10" t="n"/>
      <c r="I22" s="9" t="n"/>
      <c r="J22" s="9" t="n"/>
      <c r="K22" s="9" t="n"/>
      <c r="L22" s="9" t="n"/>
      <c r="M22" s="25" t="n"/>
      <c r="N22" s="20" t="n"/>
      <c r="O22" s="20">
        <f>IF(C22="", "", TRIM(RIGHT(C22, LEN(C22) - FIND("@@", SUBSTITUTE(C22, "-", "@@", LEN(C22) - LEN(SUBSTITUTE(C22, "-", "")))))))</f>
        <v/>
      </c>
      <c r="P22" s="20">
        <f t="array" ref="P22">IFERROR(XLOOKUP(O22,'Department Listing'!$O$1:$O$395,'Department Listing'!$A$1:$A$395),IFERROR(XLOOKUP(O22,'Name Aliases'!$A$2:$A$1000,'Name Aliases'!$B$2:$B$1000),""))</f>
        <v/>
      </c>
      <c r="Q22" s="21">
        <f>IF(ISBLANK($C22),"",$B22)</f>
        <v/>
      </c>
      <c r="R22" s="24">
        <f>IF(ISBLANK($C22),"",IF(ISBLANK($I22),$D22,$I22))</f>
        <v/>
      </c>
      <c r="S22" s="22">
        <f>IF(ISBLANK($C22),"",$F22 - $G22)</f>
        <v/>
      </c>
      <c r="T22" s="20">
        <f>IF(ISBLANK($C22),"",C22)</f>
        <v/>
      </c>
      <c r="U22" s="20">
        <f>IF(ISBLANK($C22),"",$D$1)</f>
        <v/>
      </c>
      <c r="V22" s="22">
        <f t="array" ref="V22">IF(ISBLANK($B22),"",IF(ISBLANK($K22),IF(XLOOKUP($W22,'Category Mapping'!$C:$C,'Category Mapping'!$B:$B)="Travel",XLOOKUP($P22,'Department Listing'!$A:$A,'Department Listing'!$M:$M),XLOOKUP($W22,'Category Mapping'!$C:$C,'Category Mapping'!$D:$D)),$K22))</f>
        <v/>
      </c>
      <c r="W22" s="22">
        <f>IF(ISBLANK($B22),"",IF(ISBLANK($L22),RIGHT($E22,LEN($E22) - FIND("^",SUBSTITUTE($E22,":","^",LEN($E22) - LEN(SUBSTITUTE($E22,":",""))))),$L22))</f>
        <v/>
      </c>
      <c r="X22" s="22">
        <f>IF(ISBLANK($J22),$V22&amp;$W22,$J22)</f>
        <v/>
      </c>
      <c r="Y22" s="23">
        <f t="array" ref="Y22">IF(ISBLANK($M22),IFERROR(XLOOKUP($P22,'Department Listing'!$A:$A,'Department Listing'!$L:$L),""),$M22)</f>
        <v/>
      </c>
      <c r="Z22" s="11">
        <f>IF(ISBLANK($B22),"",MATCH($X22,COA!$B:$B,0))</f>
        <v/>
      </c>
      <c r="AA22" s="11" t="n"/>
      <c r="AB22" s="11" t="n"/>
      <c r="AC22" s="11" t="n"/>
      <c r="AD22" s="11" t="n"/>
    </row>
    <row r="23" ht="15.75" customHeight="1" s="52">
      <c r="B23" s="17" t="n">
        <v>46165</v>
      </c>
      <c r="C23" s="18" t="inlineStr">
        <is>
          <t>Claude MASTERCARD-544015XXXXXX0151-Eric Rabkin</t>
        </is>
      </c>
      <c r="D23" s="18" t="inlineStr">
        <is>
          <t>Claude.AI</t>
        </is>
      </c>
      <c r="E23" s="18" t="inlineStr">
        <is>
          <t>63310 General &amp; Administrative:Software Licenses</t>
        </is>
      </c>
      <c r="F23" s="19" t="n">
        <v>1018.34</v>
      </c>
      <c r="H23" s="10" t="n"/>
      <c r="I23" s="9" t="n"/>
      <c r="J23" s="9" t="n"/>
      <c r="K23" s="9" t="n"/>
      <c r="L23" s="9" t="n"/>
      <c r="M23" s="9" t="n"/>
      <c r="N23" s="20" t="n"/>
      <c r="O23" s="20">
        <f>IF(C23="", "", TRIM(RIGHT(C23, LEN(C23) - FIND("@@", SUBSTITUTE(C23, "-", "@@", LEN(C23) - LEN(SUBSTITUTE(C23, "-", "")))))))</f>
        <v/>
      </c>
      <c r="P23" s="20">
        <f t="array" ref="P23">IFERROR(XLOOKUP(O23,'Department Listing'!$O$1:$O$395,'Department Listing'!$A$1:$A$395),IFERROR(XLOOKUP(O23,'Name Aliases'!$A$2:$A$1000,'Name Aliases'!$B$2:$B$1000),""))</f>
        <v/>
      </c>
      <c r="Q23" s="21">
        <f>IF(ISBLANK($C23),"",$B23)</f>
        <v/>
      </c>
      <c r="R23" s="24">
        <f>IF(ISBLANK($C23),"",IF(ISBLANK($I23),$D23,$I23))</f>
        <v/>
      </c>
      <c r="S23" s="22">
        <f>IF(ISBLANK($C23),"",$F23 - $G23)</f>
        <v/>
      </c>
      <c r="T23" s="20">
        <f>IF(ISBLANK($C23),"",C23)</f>
        <v/>
      </c>
      <c r="U23" s="20">
        <f>IF(ISBLANK($C23),"",$D$1)</f>
        <v/>
      </c>
      <c r="V23" s="22">
        <f t="array" ref="V23">IF(ISBLANK($B23),"",IF(ISBLANK($K23),IF(XLOOKUP($W23,'Category Mapping'!$C:$C,'Category Mapping'!$B:$B)="Travel",XLOOKUP($P23,'Department Listing'!$A:$A,'Department Listing'!$M:$M),XLOOKUP($W23,'Category Mapping'!$C:$C,'Category Mapping'!$D:$D)),$K23))</f>
        <v/>
      </c>
      <c r="W23" s="22">
        <f>IF(ISBLANK($B23),"",IF(ISBLANK($L23),RIGHT($E23,LEN($E23) - FIND("^",SUBSTITUTE($E23,":","^",LEN($E23) - LEN(SUBSTITUTE($E23,":",""))))),$L23))</f>
        <v/>
      </c>
      <c r="X23" s="22">
        <f>IF(ISBLANK($J23),$V23&amp;$W23,$J23)</f>
        <v/>
      </c>
      <c r="Y23" s="23">
        <f t="array" ref="Y23">IF(ISBLANK($M23),IFERROR(XLOOKUP($P23,'Department Listing'!$A:$A,'Department Listing'!$L:$L),""),$M23)</f>
        <v/>
      </c>
      <c r="Z23" s="11">
        <f>IF(ISBLANK($B23),"",MATCH($X23,COA!$B:$B,0))</f>
        <v/>
      </c>
      <c r="AA23" s="11" t="n"/>
      <c r="AB23" s="11" t="n"/>
      <c r="AC23" s="11" t="n"/>
      <c r="AD23" s="11" t="n"/>
    </row>
    <row r="24" ht="15.75" customHeight="1" s="52">
      <c r="B24" s="17" t="n">
        <v>46166</v>
      </c>
      <c r="C24" s="18" t="inlineStr">
        <is>
          <t>Claude MASTERCARD-544015XXXXXX0151-Eric Rabkin</t>
        </is>
      </c>
      <c r="D24" s="18" t="inlineStr">
        <is>
          <t>Claude.AI</t>
        </is>
      </c>
      <c r="E24" s="18" t="inlineStr">
        <is>
          <t>63310 General &amp; Administrative:Software Licenses</t>
        </is>
      </c>
      <c r="F24" s="19" t="n">
        <v>1017.01</v>
      </c>
      <c r="H24" s="10" t="n"/>
      <c r="I24" s="9" t="n"/>
      <c r="J24" s="9" t="n"/>
      <c r="K24" s="9" t="n"/>
      <c r="L24" s="9" t="n"/>
      <c r="M24" s="9" t="n"/>
      <c r="N24" s="20" t="n"/>
      <c r="O24" s="20">
        <f>IF(C24="", "", TRIM(RIGHT(C24, LEN(C24) - FIND("@@", SUBSTITUTE(C24, "-", "@@", LEN(C24) - LEN(SUBSTITUTE(C24, "-", "")))))))</f>
        <v/>
      </c>
      <c r="P24" s="20">
        <f t="array" ref="P24">IFERROR(XLOOKUP(O24,'Department Listing'!$O$1:$O$395,'Department Listing'!$A$1:$A$395),IFERROR(XLOOKUP(O24,'Name Aliases'!$A$2:$A$1000,'Name Aliases'!$B$2:$B$1000),""))</f>
        <v/>
      </c>
      <c r="Q24" s="21">
        <f>IF(ISBLANK($C24),"",$B24)</f>
        <v/>
      </c>
      <c r="R24" s="24">
        <f>IF(ISBLANK($C24),"",IF(ISBLANK($I24),$D24,$I24))</f>
        <v/>
      </c>
      <c r="S24" s="22">
        <f>IF(ISBLANK($C24),"",$F24 - $G24)</f>
        <v/>
      </c>
      <c r="T24" s="20">
        <f>IF(ISBLANK($C24),"",C24)</f>
        <v/>
      </c>
      <c r="U24" s="20">
        <f>IF(ISBLANK($C24),"",$D$1)</f>
        <v/>
      </c>
      <c r="V24" s="22">
        <f t="array" ref="V24">IF(ISBLANK($B24),"",IF(ISBLANK($K24),IF(XLOOKUP($W24,'Category Mapping'!$C:$C,'Category Mapping'!$B:$B)="Travel",XLOOKUP($P24,'Department Listing'!$A:$A,'Department Listing'!$M:$M),XLOOKUP($W24,'Category Mapping'!$C:$C,'Category Mapping'!$D:$D)),$K24))</f>
        <v/>
      </c>
      <c r="W24" s="22">
        <f>IF(ISBLANK($B24),"",IF(ISBLANK($L24),RIGHT($E24,LEN($E24) - FIND("^",SUBSTITUTE($E24,":","^",LEN($E24) - LEN(SUBSTITUTE($E24,":",""))))),$L24))</f>
        <v/>
      </c>
      <c r="X24" s="22">
        <f>IF(ISBLANK($J24),$V24&amp;$W24,$J24)</f>
        <v/>
      </c>
      <c r="Y24" s="23">
        <f t="array" ref="Y24">IF(ISBLANK($M24),IFERROR(XLOOKUP($P24,'Department Listing'!$A:$A,'Department Listing'!$L:$L),""),$M24)</f>
        <v/>
      </c>
      <c r="Z24" s="11">
        <f>IF(ISBLANK($B24),"",MATCH($X24,COA!$B:$B,0))</f>
        <v/>
      </c>
      <c r="AA24" s="11" t="n"/>
      <c r="AB24" s="11" t="n"/>
      <c r="AC24" s="11" t="n"/>
      <c r="AD24" s="11" t="n"/>
    </row>
    <row r="25" ht="15.75" customHeight="1" s="52">
      <c r="B25" s="17" t="n">
        <v>46169</v>
      </c>
      <c r="C25" s="18" t="inlineStr">
        <is>
          <t>Claude MASTERCARD-544015XXXXXX0151-Eric Rabkin</t>
        </is>
      </c>
      <c r="D25" s="18" t="inlineStr">
        <is>
          <t>Claude.AI</t>
        </is>
      </c>
      <c r="E25" s="18" t="inlineStr">
        <is>
          <t>63310 General &amp; Administrative:Software Licenses</t>
        </is>
      </c>
      <c r="F25" s="19" t="n">
        <v>1015.91</v>
      </c>
      <c r="H25" s="10" t="n"/>
      <c r="I25" s="9" t="n"/>
      <c r="J25" s="9" t="n"/>
      <c r="K25" s="25" t="n"/>
      <c r="L25" s="25" t="n"/>
      <c r="M25" s="25" t="n"/>
      <c r="N25" s="20" t="n"/>
      <c r="O25" s="20">
        <f>IF(C25="", "", TRIM(RIGHT(C25, LEN(C25) - FIND("@@", SUBSTITUTE(C25, "-", "@@", LEN(C25) - LEN(SUBSTITUTE(C25, "-", "")))))))</f>
        <v/>
      </c>
      <c r="P25" s="20">
        <f t="array" ref="P25">IFERROR(XLOOKUP(O25,'Department Listing'!$O$1:$O$395,'Department Listing'!$A$1:$A$395),IFERROR(XLOOKUP(O25,'Name Aliases'!$A$2:$A$1000,'Name Aliases'!$B$2:$B$1000),""))</f>
        <v/>
      </c>
      <c r="Q25" s="21">
        <f>IF(ISBLANK($C25),"",$B25)</f>
        <v/>
      </c>
      <c r="R25" s="24">
        <f>IF(ISBLANK($C25),"",IF(ISBLANK($I25),$D25,$I25))</f>
        <v/>
      </c>
      <c r="S25" s="22">
        <f>IF(ISBLANK($C25),"",$F25 - $G25)</f>
        <v/>
      </c>
      <c r="T25" s="20">
        <f>IF(ISBLANK($C25),"",C25)</f>
        <v/>
      </c>
      <c r="U25" s="20">
        <f>IF(ISBLANK($C25),"",$D$1)</f>
        <v/>
      </c>
      <c r="V25" s="22">
        <f t="array" ref="V25">IF(ISBLANK($B25),"",IF(ISBLANK($K25),IF(XLOOKUP($W25,'Category Mapping'!$C:$C,'Category Mapping'!$B:$B)="Travel",XLOOKUP($P25,'Department Listing'!$A:$A,'Department Listing'!$M:$M),XLOOKUP($W25,'Category Mapping'!$C:$C,'Category Mapping'!$D:$D)),$K25))</f>
        <v/>
      </c>
      <c r="W25" s="22">
        <f>IF(ISBLANK($B25),"",IF(ISBLANK($L25),RIGHT($E25,LEN($E25) - FIND("^",SUBSTITUTE($E25,":","^",LEN($E25) - LEN(SUBSTITUTE($E25,":",""))))),$L25))</f>
        <v/>
      </c>
      <c r="X25" s="22">
        <f>IF(ISBLANK($J25),$V25&amp;$W25,$J25)</f>
        <v/>
      </c>
      <c r="Y25" s="23">
        <f t="array" ref="Y25">IF(ISBLANK($M25),IFERROR(XLOOKUP($P25,'Department Listing'!$A:$A,'Department Listing'!$L:$L),""),$M25)</f>
        <v/>
      </c>
      <c r="Z25" s="11">
        <f>IF(ISBLANK($B25),"",MATCH($X25,COA!$B:$B,0))</f>
        <v/>
      </c>
      <c r="AB25" s="11" t="n"/>
    </row>
    <row r="26" ht="15.75" customHeight="1" s="52">
      <c r="B26" s="17" t="n">
        <v>46166</v>
      </c>
      <c r="C26" s="18" t="inlineStr">
        <is>
          <t>Claude MASTERCARD-544015XXXXXX0151-Eric Rabkin</t>
        </is>
      </c>
      <c r="D26" s="18" t="inlineStr">
        <is>
          <t>Claude.AI</t>
        </is>
      </c>
      <c r="E26" s="18" t="inlineStr">
        <is>
          <t>63310 General &amp; Administrative:Software Licenses</t>
        </is>
      </c>
      <c r="F26" s="19" t="n">
        <v>1015.56</v>
      </c>
      <c r="H26" s="10" t="n"/>
      <c r="I26" s="9" t="n"/>
      <c r="J26" s="9" t="n"/>
      <c r="K26" s="9" t="n"/>
      <c r="L26" s="9" t="n"/>
      <c r="M26" s="9" t="n"/>
      <c r="N26" s="20" t="n"/>
      <c r="O26" s="20">
        <f>IF(C26="", "", TRIM(RIGHT(C26, LEN(C26) - FIND("@@", SUBSTITUTE(C26, "-", "@@", LEN(C26) - LEN(SUBSTITUTE(C26, "-", "")))))))</f>
        <v/>
      </c>
      <c r="P26" s="20">
        <f t="array" ref="P26">IFERROR(XLOOKUP(O26,'Department Listing'!$O$1:$O$395,'Department Listing'!$A$1:$A$395),IFERROR(XLOOKUP(O26,'Name Aliases'!$A$2:$A$1000,'Name Aliases'!$B$2:$B$1000),""))</f>
        <v/>
      </c>
      <c r="Q26" s="21">
        <f>IF(ISBLANK($C26),"",$B26)</f>
        <v/>
      </c>
      <c r="R26" s="24">
        <f>IF(ISBLANK($C26),"",IF(ISBLANK($I26),$D26,$I26))</f>
        <v/>
      </c>
      <c r="S26" s="22">
        <f>IF(ISBLANK($C26),"",$F26 - $G26)</f>
        <v/>
      </c>
      <c r="T26" s="20">
        <f>IF(ISBLANK($C26),"",C26)</f>
        <v/>
      </c>
      <c r="U26" s="20">
        <f>IF(ISBLANK($C26),"",$D$1)</f>
        <v/>
      </c>
      <c r="V26" s="22">
        <f t="array" ref="V26">IF(ISBLANK($B26),"",IF(ISBLANK($K26),IF(XLOOKUP($W26,'Category Mapping'!$C:$C,'Category Mapping'!$B:$B)="Travel",XLOOKUP($P26,'Department Listing'!$A:$A,'Department Listing'!$M:$M),XLOOKUP($W26,'Category Mapping'!$C:$C,'Category Mapping'!$D:$D)),$K26))</f>
        <v/>
      </c>
      <c r="W26" s="22">
        <f>IF(ISBLANK($B26),"",IF(ISBLANK($L26),RIGHT($E26,LEN($E26) - FIND("^",SUBSTITUTE($E26,":","^",LEN($E26) - LEN(SUBSTITUTE($E26,":",""))))),$L26))</f>
        <v/>
      </c>
      <c r="X26" s="22">
        <f>IF(ISBLANK($J26),$V26&amp;$W26,$J26)</f>
        <v/>
      </c>
      <c r="Y26" s="23">
        <f t="array" ref="Y26">IF(ISBLANK($M26),IFERROR(XLOOKUP($P26,'Department Listing'!$A:$A,'Department Listing'!$L:$L),""),$M26)</f>
        <v/>
      </c>
      <c r="Z26" s="11">
        <f>IF(ISBLANK($B26),"",MATCH($X26,COA!$B:$B,0))</f>
        <v/>
      </c>
      <c r="AB26" s="11" t="n"/>
    </row>
    <row r="27" ht="15.75" customHeight="1" s="52">
      <c r="B27" s="17" t="n">
        <v>46164</v>
      </c>
      <c r="C27" s="18" t="inlineStr">
        <is>
          <t>Claude MASTERCARD-544015XXXXXX0151-Eric Rabkin</t>
        </is>
      </c>
      <c r="D27" s="18" t="inlineStr">
        <is>
          <t>Claude.AI</t>
        </is>
      </c>
      <c r="E27" s="18" t="inlineStr">
        <is>
          <t>63310 General &amp; Administrative:Software Licenses</t>
        </is>
      </c>
      <c r="F27" s="19" t="n">
        <v>1015.12</v>
      </c>
      <c r="H27" s="10" t="n"/>
      <c r="I27" s="9" t="n"/>
      <c r="J27" s="9" t="n"/>
      <c r="K27" s="9" t="n"/>
      <c r="L27" s="9" t="n"/>
      <c r="M27" s="25" t="n"/>
      <c r="N27" s="20" t="n"/>
      <c r="O27" s="20">
        <f>IF(C27="", "", TRIM(RIGHT(C27, LEN(C27) - FIND("@@", SUBSTITUTE(C27, "-", "@@", LEN(C27) - LEN(SUBSTITUTE(C27, "-", "")))))))</f>
        <v/>
      </c>
      <c r="P27" s="20">
        <f t="array" ref="P27">IFERROR(XLOOKUP(O27,'Department Listing'!$O$1:$O$395,'Department Listing'!$A$1:$A$395),IFERROR(XLOOKUP(O27,'Name Aliases'!$A$2:$A$1000,'Name Aliases'!$B$2:$B$1000),""))</f>
        <v/>
      </c>
      <c r="Q27" s="21">
        <f>IF(ISBLANK($C27),"",$B27)</f>
        <v/>
      </c>
      <c r="R27" s="24">
        <f>IF(ISBLANK($C27),"",IF(ISBLANK($I27),$D27,$I27))</f>
        <v/>
      </c>
      <c r="S27" s="22">
        <f>IF(ISBLANK($C27),"",$F27 - $G27)</f>
        <v/>
      </c>
      <c r="T27" s="20">
        <f>IF(ISBLANK($C27),"",C27)</f>
        <v/>
      </c>
      <c r="U27" s="20">
        <f>IF(ISBLANK($C27),"",$D$1)</f>
        <v/>
      </c>
      <c r="V27" s="22">
        <f t="array" ref="V27">IF(ISBLANK($B27),"",IF(ISBLANK($K27),IF(XLOOKUP($W27,'Category Mapping'!$C:$C,'Category Mapping'!$B:$B)="Travel",XLOOKUP($P27,'Department Listing'!$A:$A,'Department Listing'!$M:$M),XLOOKUP($W27,'Category Mapping'!$C:$C,'Category Mapping'!$D:$D)),$K27))</f>
        <v/>
      </c>
      <c r="W27" s="22">
        <f>IF(ISBLANK($B27),"",IF(ISBLANK($L27),RIGHT($E27,LEN($E27) - FIND("^",SUBSTITUTE($E27,":","^",LEN($E27) - LEN(SUBSTITUTE($E27,":",""))))),$L27))</f>
        <v/>
      </c>
      <c r="X27" s="22">
        <f>IF(ISBLANK($J27),$V27&amp;$W27,$J27)</f>
        <v/>
      </c>
      <c r="Y27" s="23">
        <f t="array" ref="Y27">IF(ISBLANK($M27),IFERROR(XLOOKUP($P27,'Department Listing'!$A:$A,'Department Listing'!$L:$L),""),$M27)</f>
        <v/>
      </c>
      <c r="Z27" s="11">
        <f>IF(ISBLANK($B27),"",MATCH($X27,COA!$B:$B,0))</f>
        <v/>
      </c>
      <c r="AB27" s="11" t="n"/>
    </row>
    <row r="28" ht="15.75" customHeight="1" s="52">
      <c r="B28" s="17" t="n">
        <v>46165</v>
      </c>
      <c r="C28" s="18" t="inlineStr">
        <is>
          <t>Claude MASTERCARD-544015XXXXXX0151-Eric Rabkin</t>
        </is>
      </c>
      <c r="D28" s="18" t="inlineStr">
        <is>
          <t>Claude.AI</t>
        </is>
      </c>
      <c r="E28" s="18" t="inlineStr">
        <is>
          <t>63310 General &amp; Administrative:Software Licenses</t>
        </is>
      </c>
      <c r="F28" s="19" t="n">
        <v>1015</v>
      </c>
      <c r="H28" s="10" t="n"/>
      <c r="I28" s="9" t="n"/>
      <c r="J28" s="9" t="n"/>
      <c r="K28" s="9" t="n"/>
      <c r="L28" s="9" t="n"/>
      <c r="M28" s="9" t="n"/>
      <c r="N28" s="20" t="n"/>
      <c r="O28" s="20">
        <f>IF(C28="", "", TRIM(RIGHT(C28, LEN(C28) - FIND("@@", SUBSTITUTE(C28, "-", "@@", LEN(C28) - LEN(SUBSTITUTE(C28, "-", "")))))))</f>
        <v/>
      </c>
      <c r="P28" s="20">
        <f t="array" ref="P28">IFERROR(XLOOKUP(O28,'Department Listing'!$O$1:$O$395,'Department Listing'!$A$1:$A$395),IFERROR(XLOOKUP(O28,'Name Aliases'!$A$2:$A$1000,'Name Aliases'!$B$2:$B$1000),""))</f>
        <v/>
      </c>
      <c r="Q28" s="21">
        <f>IF(ISBLANK($C28),"",$B28)</f>
        <v/>
      </c>
      <c r="R28" s="24">
        <f>IF(ISBLANK($C28),"",IF(ISBLANK($I28),$D28,$I28))</f>
        <v/>
      </c>
      <c r="S28" s="22">
        <f>IF(ISBLANK($C28),"",$F28 - $G28)</f>
        <v/>
      </c>
      <c r="T28" s="20">
        <f>IF(ISBLANK($C28),"",C28)</f>
        <v/>
      </c>
      <c r="U28" s="20">
        <f>IF(ISBLANK($C28),"",$D$1)</f>
        <v/>
      </c>
      <c r="V28" s="22">
        <f t="array" ref="V28">IF(ISBLANK($B28),"",IF(ISBLANK($K28),IF(XLOOKUP($W28,'Category Mapping'!$C:$C,'Category Mapping'!$B:$B)="Travel",XLOOKUP($P28,'Department Listing'!$A:$A,'Department Listing'!$M:$M),XLOOKUP($W28,'Category Mapping'!$C:$C,'Category Mapping'!$D:$D)),$K28))</f>
        <v/>
      </c>
      <c r="W28" s="22">
        <f>IF(ISBLANK($B28),"",IF(ISBLANK($L28),RIGHT($E28,LEN($E28) - FIND("^",SUBSTITUTE($E28,":","^",LEN($E28) - LEN(SUBSTITUTE($E28,":",""))))),$L28))</f>
        <v/>
      </c>
      <c r="X28" s="22">
        <f>IF(ISBLANK($J28),$V28&amp;$W28,$J28)</f>
        <v/>
      </c>
      <c r="Y28" s="23">
        <f t="array" ref="Y28">IF(ISBLANK($M28),IFERROR(XLOOKUP($P28,'Department Listing'!$A:$A,'Department Listing'!$L:$L),""),$M28)</f>
        <v/>
      </c>
      <c r="Z28" s="11">
        <f>IF(ISBLANK($B28),"",MATCH($X28,COA!$B:$B,0))</f>
        <v/>
      </c>
      <c r="AB28" s="11" t="n"/>
    </row>
    <row r="29" ht="15.75" customHeight="1" s="52">
      <c r="B29" s="17" t="n">
        <v>46166</v>
      </c>
      <c r="C29" s="18" t="inlineStr">
        <is>
          <t>Claude MASTERCARD-544015XXXXXX0151-Eric Rabkin</t>
        </is>
      </c>
      <c r="D29" s="18" t="inlineStr">
        <is>
          <t>Claude.AI</t>
        </is>
      </c>
      <c r="E29" s="18" t="inlineStr">
        <is>
          <t>63310 General &amp; Administrative:Software Licenses</t>
        </is>
      </c>
      <c r="F29" s="19" t="n">
        <v>1014.57</v>
      </c>
      <c r="H29" s="10" t="n"/>
      <c r="I29" s="9" t="n"/>
      <c r="J29" s="9" t="n"/>
      <c r="K29" s="9" t="n"/>
      <c r="L29" s="9" t="n"/>
      <c r="M29" s="9" t="n"/>
      <c r="N29" s="20" t="n"/>
      <c r="O29" s="20">
        <f>IF(C29="", "", TRIM(RIGHT(C29, LEN(C29) - FIND("@@", SUBSTITUTE(C29, "-", "@@", LEN(C29) - LEN(SUBSTITUTE(C29, "-", "")))))))</f>
        <v/>
      </c>
      <c r="P29" s="20">
        <f t="array" ref="P29">IFERROR(XLOOKUP(O29,'Department Listing'!$O$1:$O$395,'Department Listing'!$A$1:$A$395),IFERROR(XLOOKUP(O29,'Name Aliases'!$A$2:$A$1000,'Name Aliases'!$B$2:$B$1000),""))</f>
        <v/>
      </c>
      <c r="Q29" s="21">
        <f>IF(ISBLANK($C29),"",$B29)</f>
        <v/>
      </c>
      <c r="R29" s="24">
        <f>IF(ISBLANK($C29),"",IF(ISBLANK($I29),$D29,$I29))</f>
        <v/>
      </c>
      <c r="S29" s="22">
        <f>IF(ISBLANK($C29),"",$F29 - $G29)</f>
        <v/>
      </c>
      <c r="T29" s="20">
        <f>IF(ISBLANK($C29),"",C29)</f>
        <v/>
      </c>
      <c r="U29" s="20">
        <f>IF(ISBLANK($C29),"",$D$1)</f>
        <v/>
      </c>
      <c r="V29" s="22">
        <f t="array" ref="V29">IF(ISBLANK($B29),"",IF(ISBLANK($K29),IF(XLOOKUP($W29,'Category Mapping'!$C:$C,'Category Mapping'!$B:$B)="Travel",XLOOKUP($P29,'Department Listing'!$A:$A,'Department Listing'!$M:$M),XLOOKUP($W29,'Category Mapping'!$C:$C,'Category Mapping'!$D:$D)),$K29))</f>
        <v/>
      </c>
      <c r="W29" s="22">
        <f>IF(ISBLANK($B29),"",IF(ISBLANK($L29),RIGHT($E29,LEN($E29) - FIND("^",SUBSTITUTE($E29,":","^",LEN($E29) - LEN(SUBSTITUTE($E29,":",""))))),$L29))</f>
        <v/>
      </c>
      <c r="X29" s="22">
        <f>IF(ISBLANK($J29),$V29&amp;$W29,$J29)</f>
        <v/>
      </c>
      <c r="Y29" s="23">
        <f t="array" ref="Y29">IF(ISBLANK($M29),IFERROR(XLOOKUP($P29,'Department Listing'!$A:$A,'Department Listing'!$L:$L),""),$M29)</f>
        <v/>
      </c>
      <c r="Z29" s="11">
        <f>IF(ISBLANK($B29),"",MATCH($X29,COA!$B:$B,0))</f>
        <v/>
      </c>
      <c r="AB29" s="11" t="n"/>
    </row>
    <row r="30" ht="15.75" customHeight="1" s="52">
      <c r="B30" s="17" t="n">
        <v>46165</v>
      </c>
      <c r="C30" s="18" t="inlineStr">
        <is>
          <t>Claude MASTERCARD-544015XXXXXX0151-Eric Rabkin</t>
        </is>
      </c>
      <c r="D30" s="18" t="inlineStr">
        <is>
          <t>Claude.AI</t>
        </is>
      </c>
      <c r="E30" s="18" t="inlineStr">
        <is>
          <t>63310 General &amp; Administrative:Software Licenses</t>
        </is>
      </c>
      <c r="F30" s="19" t="n">
        <v>1014.31</v>
      </c>
      <c r="H30" s="10" t="n"/>
      <c r="I30" s="9" t="n"/>
      <c r="J30" s="9" t="n"/>
      <c r="K30" s="9" t="n"/>
      <c r="L30" s="9" t="n"/>
      <c r="M30" s="9" t="n"/>
      <c r="N30" s="20" t="n"/>
      <c r="O30" s="20">
        <f>IF(C30="", "", TRIM(RIGHT(C30, LEN(C30) - FIND("@@", SUBSTITUTE(C30, "-", "@@", LEN(C30) - LEN(SUBSTITUTE(C30, "-", "")))))))</f>
        <v/>
      </c>
      <c r="P30" s="20">
        <f t="array" ref="P30">IFERROR(XLOOKUP(O30,'Department Listing'!$O$1:$O$395,'Department Listing'!$A$1:$A$395),IFERROR(XLOOKUP(O30,'Name Aliases'!$A$2:$A$1000,'Name Aliases'!$B$2:$B$1000),""))</f>
        <v/>
      </c>
      <c r="Q30" s="21">
        <f>IF(ISBLANK($C30),"",$B30)</f>
        <v/>
      </c>
      <c r="R30" s="24">
        <f>IF(ISBLANK($C30),"",IF(ISBLANK($I30),$D30,$I30))</f>
        <v/>
      </c>
      <c r="S30" s="22">
        <f>IF(ISBLANK($C30),"",$F30 - $G30)</f>
        <v/>
      </c>
      <c r="T30" s="20">
        <f>IF(ISBLANK($C30),"",C30)</f>
        <v/>
      </c>
      <c r="U30" s="20">
        <f>IF(ISBLANK($C30),"",$D$1)</f>
        <v/>
      </c>
      <c r="V30" s="22">
        <f t="array" ref="V30">IF(ISBLANK($B30),"",IF(ISBLANK($K30),IF(XLOOKUP($W30,'Category Mapping'!$C:$C,'Category Mapping'!$B:$B)="Travel",XLOOKUP($P30,'Department Listing'!$A:$A,'Department Listing'!$M:$M),XLOOKUP($W30,'Category Mapping'!$C:$C,'Category Mapping'!$D:$D)),$K30))</f>
        <v/>
      </c>
      <c r="W30" s="22">
        <f>IF(ISBLANK($B30),"",IF(ISBLANK($L30),RIGHT($E30,LEN($E30) - FIND("^",SUBSTITUTE($E30,":","^",LEN($E30) - LEN(SUBSTITUTE($E30,":",""))))),$L30))</f>
        <v/>
      </c>
      <c r="X30" s="22">
        <f>IF(ISBLANK($J30),$V30&amp;$W30,$J30)</f>
        <v/>
      </c>
      <c r="Y30" s="23">
        <f t="array" ref="Y30">IF(ISBLANK($M30),IFERROR(XLOOKUP($P30,'Department Listing'!$A:$A,'Department Listing'!$L:$L),""),$M30)</f>
        <v/>
      </c>
      <c r="Z30" s="11">
        <f>IF(ISBLANK($B30),"",MATCH($X30,COA!$B:$B,0))</f>
        <v/>
      </c>
      <c r="AB30" s="11" t="n"/>
    </row>
    <row r="31" ht="15.75" customHeight="1" s="52">
      <c r="B31" s="17" t="n">
        <v>46166</v>
      </c>
      <c r="C31" s="18" t="inlineStr">
        <is>
          <t>Claude MASTERCARD-544015XXXXXX0151-Eric Rabkin</t>
        </is>
      </c>
      <c r="D31" s="18" t="inlineStr">
        <is>
          <t>Claude.AI</t>
        </is>
      </c>
      <c r="E31" s="18" t="inlineStr">
        <is>
          <t>63310 General &amp; Administrative:Software Licenses</t>
        </is>
      </c>
      <c r="F31" s="19" t="n">
        <v>1013.52</v>
      </c>
      <c r="H31" s="10" t="n"/>
      <c r="I31" s="9" t="n"/>
      <c r="J31" s="9" t="n"/>
      <c r="K31" s="25" t="n"/>
      <c r="L31" s="9" t="n"/>
      <c r="M31" s="25" t="n"/>
      <c r="N31" s="20" t="n"/>
      <c r="O31" s="20">
        <f>IF(C31="", "", TRIM(RIGHT(C31, LEN(C31) - FIND("@@", SUBSTITUTE(C31, "-", "@@", LEN(C31) - LEN(SUBSTITUTE(C31, "-", "")))))))</f>
        <v/>
      </c>
      <c r="P31" s="20">
        <f t="array" ref="P31">IFERROR(XLOOKUP(O31,'Department Listing'!$O$1:$O$395,'Department Listing'!$A$1:$A$395),IFERROR(XLOOKUP(O31,'Name Aliases'!$A$2:$A$1000,'Name Aliases'!$B$2:$B$1000),""))</f>
        <v/>
      </c>
      <c r="Q31" s="21">
        <f>IF(ISBLANK($C31),"",$B31)</f>
        <v/>
      </c>
      <c r="R31" s="24">
        <f>IF(ISBLANK($C31),"",IF(ISBLANK($I31),$D31,$I31))</f>
        <v/>
      </c>
      <c r="S31" s="22">
        <f>IF(ISBLANK($C31),"",$F31 - $G31)</f>
        <v/>
      </c>
      <c r="T31" s="20">
        <f>IF(ISBLANK($C31),"",C31)</f>
        <v/>
      </c>
      <c r="U31" s="20">
        <f>IF(ISBLANK($C31),"",$D$1)</f>
        <v/>
      </c>
      <c r="V31" s="22">
        <f t="array" ref="V31">IF(ISBLANK($B31),"",IF(ISBLANK($K31),IF(XLOOKUP($W31,'Category Mapping'!$C:$C,'Category Mapping'!$B:$B)="Travel",XLOOKUP($P31,'Department Listing'!$A:$A,'Department Listing'!$M:$M),XLOOKUP($W31,'Category Mapping'!$C:$C,'Category Mapping'!$D:$D)),$K31))</f>
        <v/>
      </c>
      <c r="W31" s="22">
        <f>IF(ISBLANK($B31),"",IF(ISBLANK($L31),RIGHT($E31,LEN($E31) - FIND("^",SUBSTITUTE($E31,":","^",LEN($E31) - LEN(SUBSTITUTE($E31,":",""))))),$L31))</f>
        <v/>
      </c>
      <c r="X31" s="22">
        <f>IF(ISBLANK($J31),$V31&amp;$W31,$J31)</f>
        <v/>
      </c>
      <c r="Y31" s="23">
        <f t="array" ref="Y31">IF(ISBLANK($M31),IFERROR(XLOOKUP($P31,'Department Listing'!$A:$A,'Department Listing'!$L:$L),""),$M31)</f>
        <v/>
      </c>
      <c r="Z31" s="11">
        <f>IF(ISBLANK($B31),"",MATCH($X31,COA!$B:$B,0))</f>
        <v/>
      </c>
      <c r="AB31" s="11" t="n"/>
    </row>
    <row r="32" ht="15.75" customHeight="1" s="52">
      <c r="B32" s="17" t="n">
        <v>46167</v>
      </c>
      <c r="C32" s="18" t="inlineStr">
        <is>
          <t>Claude MASTERCARD-544015XXXXXX0151-Eric Rabkin</t>
        </is>
      </c>
      <c r="D32" s="18" t="inlineStr">
        <is>
          <t>Claude.AI</t>
        </is>
      </c>
      <c r="E32" s="18" t="inlineStr">
        <is>
          <t>63310 General &amp; Administrative:Software Licenses</t>
        </is>
      </c>
      <c r="F32" s="19" t="n">
        <v>1012.85</v>
      </c>
      <c r="H32" s="10" t="n"/>
      <c r="I32" s="9" t="n"/>
      <c r="J32" s="9" t="n"/>
      <c r="K32" s="9" t="n"/>
      <c r="L32" s="9" t="n"/>
      <c r="M32" s="9" t="n"/>
      <c r="N32" s="20" t="n"/>
      <c r="O32" s="20">
        <f>IF(C32="", "", TRIM(RIGHT(C32, LEN(C32) - FIND("@@", SUBSTITUTE(C32, "-", "@@", LEN(C32) - LEN(SUBSTITUTE(C32, "-", "")))))))</f>
        <v/>
      </c>
      <c r="P32" s="20">
        <f t="array" ref="P32">IFERROR(XLOOKUP(O32,'Department Listing'!$O$1:$O$395,'Department Listing'!$A$1:$A$395),IFERROR(XLOOKUP(O32,'Name Aliases'!$A$2:$A$1000,'Name Aliases'!$B$2:$B$1000),""))</f>
        <v/>
      </c>
      <c r="Q32" s="21">
        <f>IF(ISBLANK($C32),"",$B32)</f>
        <v/>
      </c>
      <c r="R32" s="24">
        <f>IF(ISBLANK($C32),"",IF(ISBLANK($I32),$D32,$I32))</f>
        <v/>
      </c>
      <c r="S32" s="22">
        <f>IF(ISBLANK($C32),"",$F32 - $G32)</f>
        <v/>
      </c>
      <c r="T32" s="20">
        <f>IF(ISBLANK($C32),"",C32)</f>
        <v/>
      </c>
      <c r="U32" s="20">
        <f>IF(ISBLANK($C32),"",$D$1)</f>
        <v/>
      </c>
      <c r="V32" s="22">
        <f t="array" ref="V32">IF(ISBLANK($B32),"",IF(ISBLANK($K32),IF(XLOOKUP($W32,'Category Mapping'!$C:$C,'Category Mapping'!$B:$B)="Travel",XLOOKUP($P32,'Department Listing'!$A:$A,'Department Listing'!$M:$M),XLOOKUP($W32,'Category Mapping'!$C:$C,'Category Mapping'!$D:$D)),$K32))</f>
        <v/>
      </c>
      <c r="W32" s="22">
        <f>IF(ISBLANK($B32),"",IF(ISBLANK($L32),RIGHT($E32,LEN($E32) - FIND("^",SUBSTITUTE($E32,":","^",LEN($E32) - LEN(SUBSTITUTE($E32,":",""))))),$L32))</f>
        <v/>
      </c>
      <c r="X32" s="22">
        <f>IF(ISBLANK($J32),$V32&amp;$W32,$J32)</f>
        <v/>
      </c>
      <c r="Y32" s="23">
        <f t="array" ref="Y32">IF(ISBLANK($M32),IFERROR(XLOOKUP($P32,'Department Listing'!$A:$A,'Department Listing'!$L:$L),""),$M32)</f>
        <v/>
      </c>
      <c r="Z32" s="11">
        <f>IF(ISBLANK($B32),"",MATCH($X32,COA!$B:$B,0))</f>
        <v/>
      </c>
      <c r="AB32" s="11" t="n"/>
    </row>
    <row r="33" ht="15.75" customHeight="1" s="52">
      <c r="B33" s="17" t="n">
        <v>46165</v>
      </c>
      <c r="C33" s="18" t="inlineStr">
        <is>
          <t>Claude MASTERCARD-544015XXXXXX0151-Eric Rabkin</t>
        </is>
      </c>
      <c r="D33" s="18" t="inlineStr">
        <is>
          <t>Claude.AI</t>
        </is>
      </c>
      <c r="E33" s="18" t="inlineStr">
        <is>
          <t>63310 General &amp; Administrative:Software Licenses</t>
        </is>
      </c>
      <c r="F33" s="19" t="n">
        <v>1012.56</v>
      </c>
      <c r="H33" s="10" t="n"/>
      <c r="I33" s="9" t="n"/>
      <c r="J33" s="9" t="n"/>
      <c r="K33" s="9" t="n"/>
      <c r="L33" s="9" t="n"/>
      <c r="M33" s="9" t="n"/>
      <c r="N33" s="20" t="n"/>
      <c r="O33" s="20">
        <f>IF(C33="", "", TRIM(RIGHT(C33, LEN(C33) - FIND("@@", SUBSTITUTE(C33, "-", "@@", LEN(C33) - LEN(SUBSTITUTE(C33, "-", "")))))))</f>
        <v/>
      </c>
      <c r="P33" s="20">
        <f t="array" ref="P33">IFERROR(XLOOKUP(O33,'Department Listing'!$O$1:$O$395,'Department Listing'!$A$1:$A$395),IFERROR(XLOOKUP(O33,'Name Aliases'!$A$2:$A$1000,'Name Aliases'!$B$2:$B$1000),""))</f>
        <v/>
      </c>
      <c r="Q33" s="21">
        <f>IF(ISBLANK($C33),"",$B33)</f>
        <v/>
      </c>
      <c r="R33" s="24">
        <f>IF(ISBLANK($C33),"",IF(ISBLANK($I33),$D33,$I33))</f>
        <v/>
      </c>
      <c r="S33" s="22">
        <f>IF(ISBLANK($C33),"",$F33 - $G33)</f>
        <v/>
      </c>
      <c r="T33" s="20">
        <f>IF(ISBLANK($C33),"",C33)</f>
        <v/>
      </c>
      <c r="U33" s="20">
        <f>IF(ISBLANK($C33),"",$D$1)</f>
        <v/>
      </c>
      <c r="V33" s="22">
        <f t="array" ref="V33">IF(ISBLANK($B33),"",IF(ISBLANK($K33),IF(XLOOKUP($W33,'Category Mapping'!$C:$C,'Category Mapping'!$B:$B)="Travel",XLOOKUP($P33,'Department Listing'!$A:$A,'Department Listing'!$M:$M),XLOOKUP($W33,'Category Mapping'!$C:$C,'Category Mapping'!$D:$D)),$K33))</f>
        <v/>
      </c>
      <c r="W33" s="22">
        <f>IF(ISBLANK($B33),"",IF(ISBLANK($L33),RIGHT($E33,LEN($E33) - FIND("^",SUBSTITUTE($E33,":","^",LEN($E33) - LEN(SUBSTITUTE($E33,":",""))))),$L33))</f>
        <v/>
      </c>
      <c r="X33" s="22">
        <f>IF(ISBLANK($J33),$V33&amp;$W33,$J33)</f>
        <v/>
      </c>
      <c r="Y33" s="23">
        <f t="array" ref="Y33">IF(ISBLANK($M33),IFERROR(XLOOKUP($P33,'Department Listing'!$A:$A,'Department Listing'!$L:$L),""),$M33)</f>
        <v/>
      </c>
      <c r="Z33" s="11">
        <f>IF(ISBLANK($B33),"",MATCH($X33,COA!$B:$B,0))</f>
        <v/>
      </c>
      <c r="AB33" s="11" t="n"/>
    </row>
    <row r="34" ht="15.75" customHeight="1" s="52">
      <c r="B34" s="17" t="n">
        <v>46165</v>
      </c>
      <c r="C34" s="18" t="inlineStr">
        <is>
          <t>Claude MASTERCARD-544015XXXXXX0151-Eric Rabkin</t>
        </is>
      </c>
      <c r="D34" s="18" t="inlineStr">
        <is>
          <t>Claude.AI</t>
        </is>
      </c>
      <c r="E34" s="18" t="inlineStr">
        <is>
          <t>63310 General &amp; Administrative:Software Licenses</t>
        </is>
      </c>
      <c r="F34" s="19" t="n">
        <v>1011.63</v>
      </c>
      <c r="H34" s="10" t="n"/>
      <c r="I34" s="9" t="n"/>
      <c r="J34" s="9" t="n"/>
      <c r="K34" s="9" t="n"/>
      <c r="L34" s="9" t="n"/>
      <c r="M34" s="9" t="n"/>
      <c r="N34" s="20" t="n"/>
      <c r="O34" s="20">
        <f>IF(C34="", "", TRIM(RIGHT(C34, LEN(C34) - FIND("@@", SUBSTITUTE(C34, "-", "@@", LEN(C34) - LEN(SUBSTITUTE(C34, "-", "")))))))</f>
        <v/>
      </c>
      <c r="P34" s="20">
        <f t="array" ref="P34">IFERROR(XLOOKUP(O34,'Department Listing'!$O$1:$O$395,'Department Listing'!$A$1:$A$395),IFERROR(XLOOKUP(O34,'Name Aliases'!$A$2:$A$1000,'Name Aliases'!$B$2:$B$1000),""))</f>
        <v/>
      </c>
      <c r="Q34" s="21">
        <f>IF(ISBLANK($C34),"",$B34)</f>
        <v/>
      </c>
      <c r="R34" s="24">
        <f>IF(ISBLANK($C34),"",IF(ISBLANK($I34),$D34,$I34))</f>
        <v/>
      </c>
      <c r="S34" s="22">
        <f>IF(ISBLANK($C34),"",$F34 - $G34)</f>
        <v/>
      </c>
      <c r="T34" s="20">
        <f>IF(ISBLANK($C34),"",C34)</f>
        <v/>
      </c>
      <c r="U34" s="20">
        <f>IF(ISBLANK($C34),"",$D$1)</f>
        <v/>
      </c>
      <c r="V34" s="22">
        <f t="array" ref="V34">IF(ISBLANK($B34),"",IF(ISBLANK($K34),IF(XLOOKUP($W34,'Category Mapping'!$C:$C,'Category Mapping'!$B:$B)="Travel",XLOOKUP($P34,'Department Listing'!$A:$A,'Department Listing'!$M:$M),XLOOKUP($W34,'Category Mapping'!$C:$C,'Category Mapping'!$D:$D)),$K34))</f>
        <v/>
      </c>
      <c r="W34" s="22">
        <f>IF(ISBLANK($B34),"",IF(ISBLANK($L34),RIGHT($E34,LEN($E34) - FIND("^",SUBSTITUTE($E34,":","^",LEN($E34) - LEN(SUBSTITUTE($E34,":",""))))),$L34))</f>
        <v/>
      </c>
      <c r="X34" s="22">
        <f>IF(ISBLANK($J34),$V34&amp;$W34,$J34)</f>
        <v/>
      </c>
      <c r="Y34" s="23">
        <f t="array" ref="Y34">IF(ISBLANK($M34),IFERROR(XLOOKUP($P34,'Department Listing'!$A:$A,'Department Listing'!$L:$L),""),$M34)</f>
        <v/>
      </c>
      <c r="Z34" s="11">
        <f>IF(ISBLANK($B34),"",MATCH($X34,COA!$B:$B,0))</f>
        <v/>
      </c>
      <c r="AB34" s="11" t="n"/>
    </row>
    <row r="35" ht="15.75" customHeight="1" s="52">
      <c r="B35" s="17" t="n">
        <v>46164</v>
      </c>
      <c r="C35" s="18" t="inlineStr">
        <is>
          <t>Claude MASTERCARD-544015XXXXXX0151-Eric Rabkin</t>
        </is>
      </c>
      <c r="D35" s="18" t="inlineStr">
        <is>
          <t>Claude.AI</t>
        </is>
      </c>
      <c r="E35" s="18" t="inlineStr">
        <is>
          <t>63310 General &amp; Administrative:Software Licenses</t>
        </is>
      </c>
      <c r="F35" s="19" t="n">
        <v>1011.13</v>
      </c>
      <c r="H35" s="10" t="n"/>
      <c r="I35" s="9" t="n"/>
      <c r="J35" s="9" t="n"/>
      <c r="K35" s="9" t="n"/>
      <c r="L35" s="9" t="n"/>
      <c r="M35" s="9" t="n"/>
      <c r="N35" s="20" t="n"/>
      <c r="O35" s="20">
        <f>IF(C35="", "", TRIM(RIGHT(C35, LEN(C35) - FIND("@@", SUBSTITUTE(C35, "-", "@@", LEN(C35) - LEN(SUBSTITUTE(C35, "-", "")))))))</f>
        <v/>
      </c>
      <c r="P35" s="20">
        <f t="array" ref="P35">IFERROR(XLOOKUP(O35,'Department Listing'!$O$1:$O$395,'Department Listing'!$A$1:$A$395),IFERROR(XLOOKUP(O35,'Name Aliases'!$A$2:$A$1000,'Name Aliases'!$B$2:$B$1000),""))</f>
        <v/>
      </c>
      <c r="Q35" s="21">
        <f>IF(ISBLANK($C35),"",$B35)</f>
        <v/>
      </c>
      <c r="R35" s="24">
        <f>IF(ISBLANK($C35),"",IF(ISBLANK($I35),$D35,$I35))</f>
        <v/>
      </c>
      <c r="S35" s="22">
        <f>IF(ISBLANK($C35),"",$F35 - $G35)</f>
        <v/>
      </c>
      <c r="T35" s="20">
        <f>IF(ISBLANK($C35),"",C35)</f>
        <v/>
      </c>
      <c r="U35" s="20">
        <f>IF(ISBLANK($C35),"",$D$1)</f>
        <v/>
      </c>
      <c r="V35" s="22">
        <f t="array" ref="V35">IF(ISBLANK($B35),"",IF(ISBLANK($K35),IF(XLOOKUP($W35,'Category Mapping'!$C:$C,'Category Mapping'!$B:$B)="Travel",XLOOKUP($P35,'Department Listing'!$A:$A,'Department Listing'!$M:$M),XLOOKUP($W35,'Category Mapping'!$C:$C,'Category Mapping'!$D:$D)),$K35))</f>
        <v/>
      </c>
      <c r="W35" s="22">
        <f>IF(ISBLANK($B35),"",IF(ISBLANK($L35),RIGHT($E35,LEN($E35) - FIND("^",SUBSTITUTE($E35,":","^",LEN($E35) - LEN(SUBSTITUTE($E35,":",""))))),$L35))</f>
        <v/>
      </c>
      <c r="X35" s="22">
        <f>IF(ISBLANK($J35),$V35&amp;$W35,$J35)</f>
        <v/>
      </c>
      <c r="Y35" s="23">
        <f t="array" ref="Y35">IF(ISBLANK($M35),IFERROR(XLOOKUP($P35,'Department Listing'!$A:$A,'Department Listing'!$L:$L),""),$M35)</f>
        <v/>
      </c>
      <c r="Z35" s="11">
        <f>IF(ISBLANK($B35),"",MATCH($X35,COA!$B:$B,0))</f>
        <v/>
      </c>
      <c r="AB35" s="11" t="n"/>
    </row>
    <row r="36" ht="15.75" customHeight="1" s="52">
      <c r="B36" s="17" t="n">
        <v>46168</v>
      </c>
      <c r="C36" s="18" t="inlineStr">
        <is>
          <t>Claude MASTERCARD-544015XXXXXX0151-Eric Rabkin</t>
        </is>
      </c>
      <c r="D36" s="18" t="inlineStr">
        <is>
          <t>Claude.AI</t>
        </is>
      </c>
      <c r="E36" s="18" t="inlineStr">
        <is>
          <t>63310 General &amp; Administrative:Software Licenses</t>
        </is>
      </c>
      <c r="F36" s="19" t="n">
        <v>1010.55</v>
      </c>
      <c r="H36" s="10" t="n"/>
      <c r="I36" s="9" t="n"/>
      <c r="J36" s="9" t="n"/>
      <c r="K36" s="9" t="n"/>
      <c r="L36" s="9" t="n"/>
      <c r="M36" s="9" t="n"/>
      <c r="N36" s="20" t="n"/>
      <c r="O36" s="20">
        <f>IF(C36="", "", TRIM(RIGHT(C36, LEN(C36) - FIND("@@", SUBSTITUTE(C36, "-", "@@", LEN(C36) - LEN(SUBSTITUTE(C36, "-", "")))))))</f>
        <v/>
      </c>
      <c r="P36" s="20">
        <f t="array" ref="P36">IFERROR(XLOOKUP(O36,'Department Listing'!$O$1:$O$395,'Department Listing'!$A$1:$A$395),IFERROR(XLOOKUP(O36,'Name Aliases'!$A$2:$A$1000,'Name Aliases'!$B$2:$B$1000),""))</f>
        <v/>
      </c>
      <c r="Q36" s="21">
        <f>IF(ISBLANK($C36),"",$B36)</f>
        <v/>
      </c>
      <c r="R36" s="24">
        <f>IF(ISBLANK($C36),"",IF(ISBLANK($I36),$D36,$I36))</f>
        <v/>
      </c>
      <c r="S36" s="22">
        <f>IF(ISBLANK($C36),"",$F36 - $G36)</f>
        <v/>
      </c>
      <c r="T36" s="20">
        <f>IF(ISBLANK($C36),"",C36)</f>
        <v/>
      </c>
      <c r="U36" s="20">
        <f>IF(ISBLANK($C36),"",$D$1)</f>
        <v/>
      </c>
      <c r="V36" s="22">
        <f t="array" ref="V36">IF(ISBLANK($B36),"",IF(ISBLANK($K36),IF(XLOOKUP($W36,'Category Mapping'!$C:$C,'Category Mapping'!$B:$B)="Travel",XLOOKUP($P36,'Department Listing'!$A:$A,'Department Listing'!$M:$M),XLOOKUP($W36,'Category Mapping'!$C:$C,'Category Mapping'!$D:$D)),$K36))</f>
        <v/>
      </c>
      <c r="W36" s="22">
        <f>IF(ISBLANK($B36),"",IF(ISBLANK($L36),RIGHT($E36,LEN($E36) - FIND("^",SUBSTITUTE($E36,":","^",LEN($E36) - LEN(SUBSTITUTE($E36,":",""))))),$L36))</f>
        <v/>
      </c>
      <c r="X36" s="22">
        <f>IF(ISBLANK($J36),$V36&amp;$W36,$J36)</f>
        <v/>
      </c>
      <c r="Y36" s="23">
        <f t="array" ref="Y36">IF(ISBLANK($M36),IFERROR(XLOOKUP($P36,'Department Listing'!$A:$A,'Department Listing'!$L:$L),""),$M36)</f>
        <v/>
      </c>
      <c r="Z36" s="11">
        <f>IF(ISBLANK($B36),"",MATCH($X36,COA!$B:$B,0))</f>
        <v/>
      </c>
      <c r="AB36" s="11" t="n"/>
    </row>
    <row r="37" ht="15.75" customHeight="1" s="52">
      <c r="B37" s="17" t="n">
        <v>46166</v>
      </c>
      <c r="C37" s="18" t="inlineStr">
        <is>
          <t>Claude MASTERCARD-544015XXXXXX0151-Eric Rabkin</t>
        </is>
      </c>
      <c r="D37" s="18" t="inlineStr">
        <is>
          <t>Claude.AI</t>
        </is>
      </c>
      <c r="E37" s="18" t="inlineStr">
        <is>
          <t>63310 General &amp; Administrative:Software Licenses</t>
        </is>
      </c>
      <c r="F37" s="19" t="n">
        <v>1010.27</v>
      </c>
      <c r="H37" s="10" t="n"/>
      <c r="I37" s="9" t="n"/>
      <c r="J37" s="9" t="n"/>
      <c r="K37" s="9" t="n"/>
      <c r="L37" s="9" t="n"/>
      <c r="M37" s="9" t="n"/>
      <c r="N37" s="20" t="n"/>
      <c r="O37" s="20">
        <f>IF(C37="", "", TRIM(RIGHT(C37, LEN(C37) - FIND("@@", SUBSTITUTE(C37, "-", "@@", LEN(C37) - LEN(SUBSTITUTE(C37, "-", "")))))))</f>
        <v/>
      </c>
      <c r="P37" s="20">
        <f t="array" ref="P37">IFERROR(XLOOKUP(O37,'Department Listing'!$O$1:$O$395,'Department Listing'!$A$1:$A$395),IFERROR(XLOOKUP(O37,'Name Aliases'!$A$2:$A$1000,'Name Aliases'!$B$2:$B$1000),""))</f>
        <v/>
      </c>
      <c r="Q37" s="21">
        <f>IF(ISBLANK($C37),"",$B37)</f>
        <v/>
      </c>
      <c r="R37" s="24">
        <f>IF(ISBLANK($C37),"",IF(ISBLANK($I37),$D37,$I37))</f>
        <v/>
      </c>
      <c r="S37" s="22">
        <f>IF(ISBLANK($C37),"",$F37 - $G37)</f>
        <v/>
      </c>
      <c r="T37" s="20">
        <f>IF(ISBLANK($C37),"",C37)</f>
        <v/>
      </c>
      <c r="U37" s="20">
        <f>IF(ISBLANK($C37),"",$D$1)</f>
        <v/>
      </c>
      <c r="V37" s="22">
        <f t="array" ref="V37">IF(ISBLANK($B37),"",IF(ISBLANK($K37),IF(XLOOKUP($W37,'Category Mapping'!$C:$C,'Category Mapping'!$B:$B)="Travel",XLOOKUP($P37,'Department Listing'!$A:$A,'Department Listing'!$M:$M),XLOOKUP($W37,'Category Mapping'!$C:$C,'Category Mapping'!$D:$D)),$K37))</f>
        <v/>
      </c>
      <c r="W37" s="22">
        <f>IF(ISBLANK($B37),"",IF(ISBLANK($L37),RIGHT($E37,LEN($E37) - FIND("^",SUBSTITUTE($E37,":","^",LEN($E37) - LEN(SUBSTITUTE($E37,":",""))))),$L37))</f>
        <v/>
      </c>
      <c r="X37" s="22">
        <f>IF(ISBLANK($J37),$V37&amp;$W37,$J37)</f>
        <v/>
      </c>
      <c r="Y37" s="23">
        <f t="array" ref="Y37">IF(ISBLANK($M37),IFERROR(XLOOKUP($P37,'Department Listing'!$A:$A,'Department Listing'!$L:$L),""),$M37)</f>
        <v/>
      </c>
      <c r="Z37" s="11">
        <f>IF(ISBLANK($B37),"",MATCH($X37,COA!$B:$B,0))</f>
        <v/>
      </c>
      <c r="AB37" s="11" t="n"/>
    </row>
    <row r="38" ht="15.75" customHeight="1" s="52">
      <c r="B38" s="17" t="n">
        <v>46166</v>
      </c>
      <c r="C38" s="18" t="inlineStr">
        <is>
          <t>Claude MASTERCARD-544015XXXXXX0151-Eric Rabkin</t>
        </is>
      </c>
      <c r="D38" s="18" t="inlineStr">
        <is>
          <t>Claude.AI</t>
        </is>
      </c>
      <c r="E38" s="18" t="inlineStr">
        <is>
          <t>63310 General &amp; Administrative:Software Licenses</t>
        </is>
      </c>
      <c r="F38" s="19" t="n">
        <v>1009.85</v>
      </c>
      <c r="H38" s="10" t="n"/>
      <c r="I38" s="9" t="n"/>
      <c r="J38" s="9" t="n"/>
      <c r="K38" s="9" t="n"/>
      <c r="L38" s="9" t="n"/>
      <c r="M38" s="9" t="n"/>
      <c r="N38" s="20" t="n"/>
      <c r="O38" s="20">
        <f>IF(C38="", "", TRIM(RIGHT(C38, LEN(C38) - FIND("@@", SUBSTITUTE(C38, "-", "@@", LEN(C38) - LEN(SUBSTITUTE(C38, "-", "")))))))</f>
        <v/>
      </c>
      <c r="P38" s="20">
        <f t="array" ref="P38">IFERROR(XLOOKUP(O38,'Department Listing'!$O$1:$O$395,'Department Listing'!$A$1:$A$395),IFERROR(XLOOKUP(O38,'Name Aliases'!$A$2:$A$1000,'Name Aliases'!$B$2:$B$1000),""))</f>
        <v/>
      </c>
      <c r="Q38" s="21">
        <f>IF(ISBLANK($C38),"",$B38)</f>
        <v/>
      </c>
      <c r="R38" s="24">
        <f>IF(ISBLANK($C38),"",IF(ISBLANK($I38),$D38,$I38))</f>
        <v/>
      </c>
      <c r="S38" s="22">
        <f>IF(ISBLANK($C38),"",$F38 - $G38)</f>
        <v/>
      </c>
      <c r="T38" s="20">
        <f>IF(ISBLANK($C38),"",C38)</f>
        <v/>
      </c>
      <c r="U38" s="20">
        <f>IF(ISBLANK($C38),"",$D$1)</f>
        <v/>
      </c>
      <c r="V38" s="22">
        <f t="array" ref="V38">IF(ISBLANK($B38),"",IF(ISBLANK($K38),IF(XLOOKUP($W38,'Category Mapping'!$C:$C,'Category Mapping'!$B:$B)="Travel",XLOOKUP($P38,'Department Listing'!$A:$A,'Department Listing'!$M:$M),XLOOKUP($W38,'Category Mapping'!$C:$C,'Category Mapping'!$D:$D)),$K38))</f>
        <v/>
      </c>
      <c r="W38" s="22">
        <f>IF(ISBLANK($B38),"",IF(ISBLANK($L38),RIGHT($E38,LEN($E38) - FIND("^",SUBSTITUTE($E38,":","^",LEN($E38) - LEN(SUBSTITUTE($E38,":",""))))),$L38))</f>
        <v/>
      </c>
      <c r="X38" s="22">
        <f>IF(ISBLANK($J38),$V38&amp;$W38,$J38)</f>
        <v/>
      </c>
      <c r="Y38" s="23">
        <f t="array" ref="Y38">IF(ISBLANK($M38),IFERROR(XLOOKUP($P38,'Department Listing'!$A:$A,'Department Listing'!$L:$L),""),$M38)</f>
        <v/>
      </c>
      <c r="Z38" s="11">
        <f>IF(ISBLANK($B38),"",MATCH($X38,COA!$B:$B,0))</f>
        <v/>
      </c>
      <c r="AB38" s="11" t="n"/>
    </row>
    <row r="39" ht="15.75" customHeight="1" s="52">
      <c r="B39" s="17" t="n">
        <v>46170</v>
      </c>
      <c r="C39" s="18" t="inlineStr">
        <is>
          <t>Claude MASTERCARD-544015XXXXXX0151-Eric Rabkin</t>
        </is>
      </c>
      <c r="D39" s="18" t="inlineStr">
        <is>
          <t>Claude.AI</t>
        </is>
      </c>
      <c r="E39" s="18" t="inlineStr">
        <is>
          <t>63310 General &amp; Administrative:Software Licenses</t>
        </is>
      </c>
      <c r="F39" s="19" t="n">
        <v>1009.49</v>
      </c>
      <c r="H39" s="10" t="n"/>
      <c r="I39" s="9" t="n"/>
      <c r="J39" s="9" t="n"/>
      <c r="K39" s="9" t="n"/>
      <c r="L39" s="9" t="n"/>
      <c r="M39" s="9" t="n"/>
      <c r="N39" s="20" t="n"/>
      <c r="O39" s="20">
        <f>IF(C39="", "", TRIM(RIGHT(C39, LEN(C39) - FIND("@@", SUBSTITUTE(C39, "-", "@@", LEN(C39) - LEN(SUBSTITUTE(C39, "-", "")))))))</f>
        <v/>
      </c>
      <c r="P39" s="20">
        <f t="array" ref="P39">IFERROR(XLOOKUP(O39,'Department Listing'!$O$1:$O$395,'Department Listing'!$A$1:$A$395),IFERROR(XLOOKUP(O39,'Name Aliases'!$A$2:$A$1000,'Name Aliases'!$B$2:$B$1000),""))</f>
        <v/>
      </c>
      <c r="Q39" s="21">
        <f>IF(ISBLANK($C39),"",$B39)</f>
        <v/>
      </c>
      <c r="R39" s="24">
        <f>IF(ISBLANK($C39),"",IF(ISBLANK($I39),$D39,$I39))</f>
        <v/>
      </c>
      <c r="S39" s="22">
        <f>IF(ISBLANK($C39),"",$F39 - $G39)</f>
        <v/>
      </c>
      <c r="T39" s="20">
        <f>IF(ISBLANK($C39),"",C39)</f>
        <v/>
      </c>
      <c r="U39" s="20">
        <f>IF(ISBLANK($C39),"",$D$1)</f>
        <v/>
      </c>
      <c r="V39" s="22">
        <f t="array" ref="V39">IF(ISBLANK($B39),"",IF(ISBLANK($K39),IF(XLOOKUP($W39,'Category Mapping'!$C:$C,'Category Mapping'!$B:$B)="Travel",XLOOKUP($P39,'Department Listing'!$A:$A,'Department Listing'!$M:$M),XLOOKUP($W39,'Category Mapping'!$C:$C,'Category Mapping'!$D:$D)),$K39))</f>
        <v/>
      </c>
      <c r="W39" s="22">
        <f>IF(ISBLANK($B39),"",IF(ISBLANK($L39),RIGHT($E39,LEN($E39) - FIND("^",SUBSTITUTE($E39,":","^",LEN($E39) - LEN(SUBSTITUTE($E39,":",""))))),$L39))</f>
        <v/>
      </c>
      <c r="X39" s="22">
        <f>IF(ISBLANK($J39),$V39&amp;$W39,$J39)</f>
        <v/>
      </c>
      <c r="Y39" s="23">
        <f t="array" ref="Y39">IF(ISBLANK($M39),IFERROR(XLOOKUP($P39,'Department Listing'!$A:$A,'Department Listing'!$L:$L),""),$M39)</f>
        <v/>
      </c>
      <c r="Z39" s="11">
        <f>IF(ISBLANK($B39),"",MATCH($X39,COA!$B:$B,0))</f>
        <v/>
      </c>
      <c r="AB39" s="11" t="n"/>
    </row>
    <row r="40" ht="15.75" customHeight="1" s="52">
      <c r="B40" s="17" t="n">
        <v>46165</v>
      </c>
      <c r="C40" s="18" t="inlineStr">
        <is>
          <t>MakeStickers.com MASTERCARD-544015XXXXXX8091-Brooke Berg</t>
        </is>
      </c>
      <c r="E40" s="18" t="inlineStr">
        <is>
          <t>63410 General &amp; Administrative:Office Expenses:Office Supplies</t>
        </is>
      </c>
      <c r="F40" s="19" t="n">
        <v>958.3099999999999</v>
      </c>
      <c r="H40" s="10" t="n"/>
      <c r="I40" s="9" t="inlineStr">
        <is>
          <t>Makestickers.com</t>
        </is>
      </c>
      <c r="J40" s="9" t="n"/>
      <c r="K40" s="9" t="n"/>
      <c r="L40" s="9" t="n"/>
      <c r="M40" s="9" t="n"/>
      <c r="N40" s="20" t="n"/>
      <c r="O40" s="20">
        <f>IF(C40="", "", TRIM(RIGHT(C40, LEN(C40) - FIND("@@", SUBSTITUTE(C40, "-", "@@", LEN(C40) - LEN(SUBSTITUTE(C40, "-", "")))))))</f>
        <v/>
      </c>
      <c r="P40" s="20">
        <f t="array" ref="P40">IFERROR(XLOOKUP(O40,'Department Listing'!$O$1:$O$395,'Department Listing'!$A$1:$A$395),IFERROR(XLOOKUP(O40,'Name Aliases'!$A$2:$A$1000,'Name Aliases'!$B$2:$B$1000),""))</f>
        <v/>
      </c>
      <c r="Q40" s="21">
        <f>IF(ISBLANK($C40),"",$B40)</f>
        <v/>
      </c>
      <c r="R40" s="24">
        <f>IF(ISBLANK($C40),"",IF(ISBLANK($I40),$D40,$I40))</f>
        <v/>
      </c>
      <c r="S40" s="22">
        <f>IF(ISBLANK($C40),"",$F40 - $G40)</f>
        <v/>
      </c>
      <c r="T40" s="20">
        <f>IF(ISBLANK($C40),"",C40)</f>
        <v/>
      </c>
      <c r="U40" s="20">
        <f>IF(ISBLANK($C40),"",$D$1)</f>
        <v/>
      </c>
      <c r="V40" s="22">
        <f t="array" ref="V40">IF(ISBLANK($B40),"",IF(ISBLANK($K40),IF(XLOOKUP($W40,'Category Mapping'!$C:$C,'Category Mapping'!$B:$B)="Travel",XLOOKUP($P40,'Department Listing'!$A:$A,'Department Listing'!$M:$M),XLOOKUP($W40,'Category Mapping'!$C:$C,'Category Mapping'!$D:$D)),$K40))</f>
        <v/>
      </c>
      <c r="W40" s="22">
        <f>IF(ISBLANK($B40),"",IF(ISBLANK($L40),RIGHT($E40,LEN($E40) - FIND("^",SUBSTITUTE($E40,":","^",LEN($E40) - LEN(SUBSTITUTE($E40,":",""))))),$L40))</f>
        <v/>
      </c>
      <c r="X40" s="22">
        <f>IF(ISBLANK($J40),$V40&amp;$W40,$J40)</f>
        <v/>
      </c>
      <c r="Y40" s="23">
        <f t="array" ref="Y40">IF(ISBLANK($M40),IFERROR(XLOOKUP($P40,'Department Listing'!$A:$A,'Department Listing'!$L:$L),""),$M40)</f>
        <v/>
      </c>
      <c r="Z40" s="11">
        <f>IF(ISBLANK($B40),"",MATCH($X40,COA!$B:$B,0))</f>
        <v/>
      </c>
      <c r="AB40" s="11" t="n"/>
    </row>
    <row r="41" ht="15.75" customHeight="1" s="52">
      <c r="B41" s="17" t="n">
        <v>46165</v>
      </c>
      <c r="C41" s="18" t="inlineStr">
        <is>
          <t>Southwest Airlines MASTERCARD-544015XXXXXX8678-John Taylor</t>
        </is>
      </c>
      <c r="D41" s="18" t="inlineStr">
        <is>
          <t>Southwest Air</t>
        </is>
      </c>
      <c r="E41" s="18" t="inlineStr">
        <is>
          <t>61210 Sales &amp; Marketing:Sales &amp; Marketing- Travel Expenses:Airfare</t>
        </is>
      </c>
      <c r="F41" s="19" t="n">
        <v>882.8</v>
      </c>
      <c r="H41" s="10" t="n"/>
      <c r="I41" s="9" t="n"/>
      <c r="J41" s="9" t="n"/>
      <c r="K41" s="9" t="n"/>
      <c r="L41" s="9" t="n"/>
      <c r="M41" s="9" t="n"/>
      <c r="N41" s="20" t="n"/>
      <c r="O41" s="20">
        <f>IF(C41="", "", TRIM(RIGHT(C41, LEN(C41) - FIND("@@", SUBSTITUTE(C41, "-", "@@", LEN(C41) - LEN(SUBSTITUTE(C41, "-", "")))))))</f>
        <v/>
      </c>
      <c r="P41" s="20">
        <f t="array" ref="P41">IFERROR(XLOOKUP(O41,'Department Listing'!$O$1:$O$395,'Department Listing'!$A$1:$A$395),IFERROR(XLOOKUP(O41,'Name Aliases'!$A$2:$A$1000,'Name Aliases'!$B$2:$B$1000),""))</f>
        <v/>
      </c>
      <c r="Q41" s="21">
        <f>IF(ISBLANK($C41),"",$B41)</f>
        <v/>
      </c>
      <c r="R41" s="20">
        <f>IF(ISBLANK($C41),"",IF(ISBLANK($I41),$D41,$I41))</f>
        <v/>
      </c>
      <c r="S41" s="22">
        <f>IF(ISBLANK($C41),"",$F41 - $G41)</f>
        <v/>
      </c>
      <c r="T41" s="20">
        <f>IF(ISBLANK($C41),"",C41)</f>
        <v/>
      </c>
      <c r="U41" s="20">
        <f>IF(ISBLANK($C41),"",$D$1)</f>
        <v/>
      </c>
      <c r="V41" s="22">
        <f t="array" ref="V41">IF(ISBLANK($B41),"",IF(ISBLANK($K41),IF(XLOOKUP($W41,'Category Mapping'!$C:$C,'Category Mapping'!$B:$B)="Travel",XLOOKUP($P41,'Department Listing'!$A:$A,'Department Listing'!$M:$M),XLOOKUP($W41,'Category Mapping'!$C:$C,'Category Mapping'!$D:$D)),$K41))</f>
        <v/>
      </c>
      <c r="W41" s="22">
        <f>IF(ISBLANK($B41),"",IF(ISBLANK($L41),RIGHT($E41,LEN($E41) - FIND("^",SUBSTITUTE($E41,":","^",LEN($E41) - LEN(SUBSTITUTE($E41,":",""))))),$L41))</f>
        <v/>
      </c>
      <c r="X41" s="22">
        <f>IF(ISBLANK($J41),$V41&amp;$W41,$J41)</f>
        <v/>
      </c>
      <c r="Y41" s="23">
        <f t="array" ref="Y41">IF(ISBLANK($M41),IFERROR(XLOOKUP($P41,'Department Listing'!$A:$A,'Department Listing'!$L:$L),""),$M41)</f>
        <v/>
      </c>
      <c r="Z41" s="11">
        <f>IF(ISBLANK($B41),"",MATCH($X41,COA!$B:$B,0))</f>
        <v/>
      </c>
      <c r="AB41" s="11" t="n"/>
    </row>
    <row r="42" ht="15.75" customHeight="1" s="52">
      <c r="B42" s="17" t="n">
        <v>46165</v>
      </c>
      <c r="C42" s="18" t="inlineStr">
        <is>
          <t>Jamie Cosgrove MASTERCARD-544015XXXXXX6112-Elyse Neumeier</t>
        </is>
      </c>
      <c r="E42" s="18" t="inlineStr">
        <is>
          <t>63310 General &amp; Administrative:Software Licenses</t>
        </is>
      </c>
      <c r="F42" s="19" t="n">
        <v>750</v>
      </c>
      <c r="H42" s="10" t="n"/>
      <c r="I42" s="9" t="inlineStr">
        <is>
          <t>Office Vendor</t>
        </is>
      </c>
      <c r="J42" s="9" t="n"/>
      <c r="K42" s="9" t="n"/>
      <c r="L42" s="9" t="inlineStr">
        <is>
          <t>Dues &amp; Subscriptions</t>
        </is>
      </c>
      <c r="M42" s="9" t="n"/>
      <c r="N42" s="20" t="n"/>
      <c r="O42" s="20">
        <f>IF(C42="", "", TRIM(RIGHT(C42, LEN(C42) - FIND("@@", SUBSTITUTE(C42, "-", "@@", LEN(C42) - LEN(SUBSTITUTE(C42, "-", "")))))))</f>
        <v/>
      </c>
      <c r="P42" s="20">
        <f t="array" ref="P42">IFERROR(XLOOKUP(O42,'Department Listing'!$O$1:$O$395,'Department Listing'!$A$1:$A$395),IFERROR(XLOOKUP(O42,'Name Aliases'!$A$2:$A$1000,'Name Aliases'!$B$2:$B$1000),""))</f>
        <v/>
      </c>
      <c r="Q42" s="21">
        <f>IF(ISBLANK($C42),"",$B42)</f>
        <v/>
      </c>
      <c r="R42" s="20">
        <f>IF(ISBLANK($C42),"",IF(ISBLANK($I42),$D42,$I42))</f>
        <v/>
      </c>
      <c r="S42" s="22">
        <f>IF(ISBLANK($C42),"",$F42 - $G42)</f>
        <v/>
      </c>
      <c r="T42" s="20">
        <f>IF(ISBLANK($C42),"",C42)</f>
        <v/>
      </c>
      <c r="U42" s="20">
        <f>IF(ISBLANK($C42),"",$D$1)</f>
        <v/>
      </c>
      <c r="V42" s="22">
        <f t="array" ref="V42">IF(ISBLANK($B42),"",IF(ISBLANK($K42),IF(XLOOKUP($W42,'Category Mapping'!$C:$C,'Category Mapping'!$B:$B)="Travel",XLOOKUP($P42,'Department Listing'!$A:$A,'Department Listing'!$M:$M),XLOOKUP($W42,'Category Mapping'!$C:$C,'Category Mapping'!$D:$D)),$K42))</f>
        <v/>
      </c>
      <c r="W42" s="22">
        <f>IF(ISBLANK($B42),"",IF(ISBLANK($L42),RIGHT($E42,LEN($E42) - FIND("^",SUBSTITUTE($E42,":","^",LEN($E42) - LEN(SUBSTITUTE($E42,":",""))))),$L42))</f>
        <v/>
      </c>
      <c r="X42" s="22">
        <f>IF(ISBLANK($J42),$V42&amp;$W42,$J42)</f>
        <v/>
      </c>
      <c r="Y42" s="23">
        <f t="array" ref="Y42">IF(ISBLANK($M42),IFERROR(XLOOKUP($P42,'Department Listing'!$A:$A,'Department Listing'!$L:$L),""),$M42)</f>
        <v/>
      </c>
      <c r="Z42" s="11">
        <f>IF(ISBLANK($B42),"",MATCH($X42,COA!$B:$B,0))</f>
        <v/>
      </c>
      <c r="AB42" s="11" t="n"/>
    </row>
    <row r="43" ht="15.75" customHeight="1" s="52">
      <c r="B43" s="17" t="n">
        <v>46168</v>
      </c>
      <c r="C43" s="18" t="inlineStr">
        <is>
          <t>GUESTRS*PUROWARSZA MASTERCARD-544015XXXXXX5191-Samantha Purpura</t>
        </is>
      </c>
      <c r="E43" s="18" t="inlineStr">
        <is>
          <t>61220 Sales &amp; Marketing:Sales &amp; Marketing- Travel Expenses:Ground Transportation</t>
        </is>
      </c>
      <c r="F43" s="19" t="n">
        <v>739.92</v>
      </c>
      <c r="H43" s="10" t="n"/>
      <c r="I43" s="9" t="inlineStr">
        <is>
          <t>Hotel Vendor</t>
        </is>
      </c>
      <c r="J43" s="9" t="n"/>
      <c r="K43" s="9" t="n"/>
      <c r="L43" s="9" t="inlineStr">
        <is>
          <t>Lodging</t>
        </is>
      </c>
      <c r="M43" s="9" t="n"/>
      <c r="N43" s="20" t="n"/>
      <c r="O43" s="20">
        <f>IF(C43="", "", TRIM(RIGHT(C43, LEN(C43) - FIND("@@", SUBSTITUTE(C43, "-", "@@", LEN(C43) - LEN(SUBSTITUTE(C43, "-", "")))))))</f>
        <v/>
      </c>
      <c r="P43" s="20">
        <f t="array" ref="P43">IFERROR(XLOOKUP(O43,'Department Listing'!$O$1:$O$395,'Department Listing'!$A$1:$A$395),IFERROR(XLOOKUP(O43,'Name Aliases'!$A$2:$A$1000,'Name Aliases'!$B$2:$B$1000),""))</f>
        <v/>
      </c>
      <c r="Q43" s="21">
        <f>IF(ISBLANK($C43),"",$B43)</f>
        <v/>
      </c>
      <c r="R43" s="20">
        <f>IF(ISBLANK($C43),"",IF(ISBLANK($I43),$D43,$I43))</f>
        <v/>
      </c>
      <c r="S43" s="22">
        <f>IF(ISBLANK($C43),"",$F43 - $G43)</f>
        <v/>
      </c>
      <c r="T43" s="20">
        <f>IF(ISBLANK($C43),"",C43)</f>
        <v/>
      </c>
      <c r="U43" s="20">
        <f>IF(ISBLANK($C43),"",$D$1)</f>
        <v/>
      </c>
      <c r="V43" s="22">
        <f t="array" ref="V43">IF(ISBLANK($B43),"",IF(ISBLANK($K43),IF(XLOOKUP($W43,'Category Mapping'!$C:$C,'Category Mapping'!$B:$B)="Travel",XLOOKUP($P43,'Department Listing'!$A:$A,'Department Listing'!$M:$M),XLOOKUP($W43,'Category Mapping'!$C:$C,'Category Mapping'!$D:$D)),$K43))</f>
        <v/>
      </c>
      <c r="W43" s="22">
        <f>IF(ISBLANK($B43),"",IF(ISBLANK($L43),RIGHT($E43,LEN($E43) - FIND("^",SUBSTITUTE($E43,":","^",LEN($E43) - LEN(SUBSTITUTE($E43,":",""))))),$L43))</f>
        <v/>
      </c>
      <c r="X43" s="22">
        <f>IF(ISBLANK($J43),$V43&amp;$W43,$J43)</f>
        <v/>
      </c>
      <c r="Y43" s="23">
        <f t="array" ref="Y43">IF(ISBLANK($M43),IFERROR(XLOOKUP($P43,'Department Listing'!$A:$A,'Department Listing'!$L:$L),""),$M43)</f>
        <v/>
      </c>
      <c r="Z43" s="11">
        <f>IF(ISBLANK($B43),"",MATCH($X43,COA!$B:$B,0))</f>
        <v/>
      </c>
      <c r="AB43" s="11" t="n"/>
    </row>
    <row r="44" ht="15.75" customHeight="1" s="52">
      <c r="B44" s="17" t="n">
        <v>46164</v>
      </c>
      <c r="C44" s="18" t="inlineStr">
        <is>
          <t>Marriott Union Square MASTERCARD-544015XXXXXX2445-Tyler Grimshaw</t>
        </is>
      </c>
      <c r="D44" s="18" t="inlineStr">
        <is>
          <t>Marriott</t>
        </is>
      </c>
      <c r="E44" s="18" t="inlineStr">
        <is>
          <t>61230 Sales &amp; Marketing:Sales &amp; Marketing- Travel Expenses:Lodging</t>
        </is>
      </c>
      <c r="F44" s="19" t="n">
        <v>699.46</v>
      </c>
      <c r="H44" s="10" t="n"/>
      <c r="I44" s="9" t="n"/>
      <c r="J44" s="9" t="n"/>
      <c r="K44" s="9" t="n"/>
      <c r="L44" s="9" t="n"/>
      <c r="M44" s="9" t="n"/>
      <c r="N44" s="20" t="n"/>
      <c r="O44" s="20">
        <f>IF(C44="", "", TRIM(RIGHT(C44, LEN(C44) - FIND("@@", SUBSTITUTE(C44, "-", "@@", LEN(C44) - LEN(SUBSTITUTE(C44, "-", "")))))))</f>
        <v/>
      </c>
      <c r="P44" s="20">
        <f t="array" ref="P44">IFERROR(XLOOKUP(O44,'Department Listing'!$O$1:$O$395,'Department Listing'!$A$1:$A$395),IFERROR(XLOOKUP(O44,'Name Aliases'!$A$2:$A$1000,'Name Aliases'!$B$2:$B$1000),""))</f>
        <v/>
      </c>
      <c r="Q44" s="21">
        <f>IF(ISBLANK($C44),"",$B44)</f>
        <v/>
      </c>
      <c r="R44" s="20">
        <f>IF(ISBLANK($C44),"",IF(ISBLANK($I44),$D44,$I44))</f>
        <v/>
      </c>
      <c r="S44" s="22">
        <f>IF(ISBLANK($C44),"",$F44 - $G44)</f>
        <v/>
      </c>
      <c r="T44" s="20">
        <f>IF(ISBLANK($C44),"",C44)</f>
        <v/>
      </c>
      <c r="U44" s="20">
        <f>IF(ISBLANK($C44),"",$D$1)</f>
        <v/>
      </c>
      <c r="V44" s="22">
        <f t="array" ref="V44">IF(ISBLANK($B44),"",IF(ISBLANK($K44),IF(XLOOKUP($W44,'Category Mapping'!$C:$C,'Category Mapping'!$B:$B)="Travel",XLOOKUP($P44,'Department Listing'!$A:$A,'Department Listing'!$M:$M),XLOOKUP($W44,'Category Mapping'!$C:$C,'Category Mapping'!$D:$D)),$K44))</f>
        <v/>
      </c>
      <c r="W44" s="22">
        <f>IF(ISBLANK($B44),"",IF(ISBLANK($L44),RIGHT($E44,LEN($E44) - FIND("^",SUBSTITUTE($E44,":","^",LEN($E44) - LEN(SUBSTITUTE($E44,":",""))))),$L44))</f>
        <v/>
      </c>
      <c r="X44" s="22">
        <f>IF(ISBLANK($J44),$V44&amp;$W44,$J44)</f>
        <v/>
      </c>
      <c r="Y44" s="23">
        <f t="array" ref="Y44">IF(ISBLANK($M44),IFERROR(XLOOKUP($P44,'Department Listing'!$A:$A,'Department Listing'!$L:$L),""),$M44)</f>
        <v/>
      </c>
      <c r="Z44" s="11">
        <f>IF(ISBLANK($B44),"",MATCH($X44,COA!$B:$B,0))</f>
        <v/>
      </c>
      <c r="AB44" s="11" t="n"/>
    </row>
    <row r="45" ht="15.75" customHeight="1" s="52">
      <c r="B45" s="17" t="n">
        <v>46167</v>
      </c>
      <c r="C45" s="18" t="inlineStr">
        <is>
          <t>Air Canada MASTERCARD-555671XXXXXX3587-Pooja Manjeshwar</t>
        </is>
      </c>
      <c r="D45" s="18" t="inlineStr">
        <is>
          <t>Air Canada</t>
        </is>
      </c>
      <c r="E45" s="18" t="inlineStr">
        <is>
          <t>61210 Sales &amp; Marketing:Sales &amp; Marketing- Travel Expenses:Airfare</t>
        </is>
      </c>
      <c r="F45" s="19" t="n">
        <v>646.62</v>
      </c>
      <c r="H45" s="10" t="n"/>
      <c r="I45" s="9" t="n"/>
      <c r="J45" s="9" t="n"/>
      <c r="K45" s="9" t="n"/>
      <c r="L45" s="9" t="n"/>
      <c r="M45" s="9" t="n"/>
      <c r="N45" s="20" t="n"/>
      <c r="O45" s="20">
        <f>IF(C45="", "", TRIM(RIGHT(C45, LEN(C45) - FIND("@@", SUBSTITUTE(C45, "-", "@@", LEN(C45) - LEN(SUBSTITUTE(C45, "-", "")))))))</f>
        <v/>
      </c>
      <c r="P45" s="20">
        <f t="array" ref="P45">IFERROR(XLOOKUP(O45,'Department Listing'!$O$1:$O$395,'Department Listing'!$A$1:$A$395),IFERROR(XLOOKUP(O45,'Name Aliases'!$A$2:$A$1000,'Name Aliases'!$B$2:$B$1000),""))</f>
        <v/>
      </c>
      <c r="Q45" s="21">
        <f>IF(ISBLANK($C45),"",$B45)</f>
        <v/>
      </c>
      <c r="R45" s="20">
        <f>IF(ISBLANK($C45),"",IF(ISBLANK($I45),$D45,$I45))</f>
        <v/>
      </c>
      <c r="S45" s="22">
        <f>IF(ISBLANK($C45),"",$F45 - $G45)</f>
        <v/>
      </c>
      <c r="T45" s="20">
        <f>IF(ISBLANK($C45),"",C45)</f>
        <v/>
      </c>
      <c r="U45" s="20">
        <f>IF(ISBLANK($C45),"",$D$1)</f>
        <v/>
      </c>
      <c r="V45" s="22">
        <f t="array" ref="V45">IF(ISBLANK($B45),"",IF(ISBLANK($K45),IF(XLOOKUP($W45,'Category Mapping'!$C:$C,'Category Mapping'!$B:$B)="Travel",XLOOKUP($P45,'Department Listing'!$A:$A,'Department Listing'!$M:$M),XLOOKUP($W45,'Category Mapping'!$C:$C,'Category Mapping'!$D:$D)),$K45))</f>
        <v/>
      </c>
      <c r="W45" s="22">
        <f>IF(ISBLANK($B45),"",IF(ISBLANK($L45),RIGHT($E45,LEN($E45) - FIND("^",SUBSTITUTE($E45,":","^",LEN($E45) - LEN(SUBSTITUTE($E45,":",""))))),$L45))</f>
        <v/>
      </c>
      <c r="X45" s="22">
        <f>IF(ISBLANK($J45),$V45&amp;$W45,$J45)</f>
        <v/>
      </c>
      <c r="Y45" s="23">
        <f t="array" ref="Y45">IF(ISBLANK($M45),IFERROR(XLOOKUP($P45,'Department Listing'!$A:$A,'Department Listing'!$L:$L),""),$M45)</f>
        <v/>
      </c>
      <c r="Z45" s="11">
        <f>IF(ISBLANK($B45),"",MATCH($X45,COA!$B:$B,0))</f>
        <v/>
      </c>
      <c r="AB45" s="11" t="n"/>
    </row>
    <row r="46" ht="15.75" customHeight="1" s="52">
      <c r="B46" s="17" t="n">
        <v>46168</v>
      </c>
      <c r="C46" s="18" t="inlineStr">
        <is>
          <t>FedEx MASTERCARD-544015XXXXXX0151-Eric Rabkin</t>
        </is>
      </c>
      <c r="D46" s="18" t="inlineStr">
        <is>
          <t>FedEx</t>
        </is>
      </c>
      <c r="E46" s="18" t="inlineStr">
        <is>
          <t>63430 General &amp; Administrative:Office Expenses:Shipping Expense</t>
        </is>
      </c>
      <c r="F46" s="19" t="n">
        <v>637.7</v>
      </c>
      <c r="H46" s="10" t="n"/>
      <c r="I46" s="9" t="n"/>
      <c r="J46" s="9" t="n"/>
      <c r="K46" s="9" t="n"/>
      <c r="L46" s="9" t="n"/>
      <c r="M46" s="9" t="n"/>
      <c r="N46" s="20" t="n"/>
      <c r="O46" s="20">
        <f>IF(C46="", "", TRIM(RIGHT(C46, LEN(C46) - FIND("@@", SUBSTITUTE(C46, "-", "@@", LEN(C46) - LEN(SUBSTITUTE(C46, "-", "")))))))</f>
        <v/>
      </c>
      <c r="P46" s="20">
        <f t="array" ref="P46">IFERROR(XLOOKUP(O46,'Department Listing'!$O$1:$O$395,'Department Listing'!$A$1:$A$395),IFERROR(XLOOKUP(O46,'Name Aliases'!$A$2:$A$1000,'Name Aliases'!$B$2:$B$1000),""))</f>
        <v/>
      </c>
      <c r="Q46" s="21">
        <f>IF(ISBLANK($C46),"",$B46)</f>
        <v/>
      </c>
      <c r="R46" s="20">
        <f>IF(ISBLANK($C46),"",IF(ISBLANK($I46),$D46,$I46))</f>
        <v/>
      </c>
      <c r="S46" s="22">
        <f>IF(ISBLANK($C46),"",$F46 - $G46)</f>
        <v/>
      </c>
      <c r="T46" s="20">
        <f>IF(ISBLANK($C46),"",C46)</f>
        <v/>
      </c>
      <c r="U46" s="20">
        <f>IF(ISBLANK($C46),"",$D$1)</f>
        <v/>
      </c>
      <c r="V46" s="22">
        <f t="array" ref="V46">IF(ISBLANK($B46),"",IF(ISBLANK($K46),IF(XLOOKUP($W46,'Category Mapping'!$C:$C,'Category Mapping'!$B:$B)="Travel",XLOOKUP($P46,'Department Listing'!$A:$A,'Department Listing'!$M:$M),XLOOKUP($W46,'Category Mapping'!$C:$C,'Category Mapping'!$D:$D)),$K46))</f>
        <v/>
      </c>
      <c r="W46" s="22">
        <f>IF(ISBLANK($B46),"",IF(ISBLANK($L46),RIGHT($E46,LEN($E46) - FIND("^",SUBSTITUTE($E46,":","^",LEN($E46) - LEN(SUBSTITUTE($E46,":",""))))),$L46))</f>
        <v/>
      </c>
      <c r="X46" s="22">
        <f>IF(ISBLANK($J46),$V46&amp;$W46,$J46)</f>
        <v/>
      </c>
      <c r="Y46" s="23">
        <f t="array" ref="Y46">IF(ISBLANK($M46),IFERROR(XLOOKUP($P46,'Department Listing'!$A:$A,'Department Listing'!$L:$L),""),$M46)</f>
        <v/>
      </c>
      <c r="Z46" s="11">
        <f>IF(ISBLANK($B46),"",MATCH($X46,COA!$B:$B,0))</f>
        <v/>
      </c>
      <c r="AB46" s="11" t="n"/>
    </row>
    <row r="47" ht="15.75" customHeight="1" s="52">
      <c r="B47" s="17" t="n">
        <v>46167</v>
      </c>
      <c r="C47" s="18" t="inlineStr">
        <is>
          <t>American Airlines MASTERCARD-544015XXXXXX5029-Austin Nadler</t>
        </is>
      </c>
      <c r="D47" s="18" t="inlineStr">
        <is>
          <t>American Airlines</t>
        </is>
      </c>
      <c r="E47" s="18" t="inlineStr">
        <is>
          <t>61210 Sales &amp; Marketing:Sales &amp; Marketing- Travel Expenses:Airfare</t>
        </is>
      </c>
      <c r="F47" s="19" t="n">
        <v>594.8</v>
      </c>
      <c r="H47" s="10" t="n"/>
      <c r="I47" s="9" t="n"/>
      <c r="J47" s="9" t="n"/>
      <c r="K47" s="25" t="n"/>
      <c r="L47" s="25" t="n"/>
      <c r="M47" s="25" t="n"/>
      <c r="N47" s="20" t="n"/>
      <c r="O47" s="20">
        <f>IF(C47="", "", TRIM(RIGHT(C47, LEN(C47) - FIND("@@", SUBSTITUTE(C47, "-", "@@", LEN(C47) - LEN(SUBSTITUTE(C47, "-", "")))))))</f>
        <v/>
      </c>
      <c r="P47" s="20">
        <f t="array" ref="P47">IFERROR(XLOOKUP(O47,'Department Listing'!$O$1:$O$395,'Department Listing'!$A$1:$A$395),IFERROR(XLOOKUP(O47,'Name Aliases'!$A$2:$A$1000,'Name Aliases'!$B$2:$B$1000),""))</f>
        <v/>
      </c>
      <c r="Q47" s="21">
        <f>IF(ISBLANK($C47),"",$B47)</f>
        <v/>
      </c>
      <c r="R47" s="20">
        <f>IF(ISBLANK($C47),"",IF(ISBLANK($I47),$D47,$I47))</f>
        <v/>
      </c>
      <c r="S47" s="22">
        <f>IF(ISBLANK($C47),"",$F47 - $G47)</f>
        <v/>
      </c>
      <c r="T47" s="20">
        <f>IF(ISBLANK($C47),"",C47)</f>
        <v/>
      </c>
      <c r="U47" s="20">
        <f>IF(ISBLANK($C47),"",$D$1)</f>
        <v/>
      </c>
      <c r="V47" s="22">
        <f t="array" ref="V47">IF(ISBLANK($B47),"",IF(ISBLANK($K47),IF(XLOOKUP($W47,'Category Mapping'!$C:$C,'Category Mapping'!$B:$B)="Travel",XLOOKUP($P47,'Department Listing'!$A:$A,'Department Listing'!$M:$M),XLOOKUP($W47,'Category Mapping'!$C:$C,'Category Mapping'!$D:$D)),$K47))</f>
        <v/>
      </c>
      <c r="W47" s="22">
        <f>IF(ISBLANK($B47),"",IF(ISBLANK($L47),RIGHT($E47,LEN($E47) - FIND("^",SUBSTITUTE($E47,":","^",LEN($E47) - LEN(SUBSTITUTE($E47,":",""))))),$L47))</f>
        <v/>
      </c>
      <c r="X47" s="22">
        <f>IF(ISBLANK($J47),$V47&amp;$W47,$J47)</f>
        <v/>
      </c>
      <c r="Y47" s="23">
        <f t="array" ref="Y47">IF(ISBLANK($M47),IFERROR(XLOOKUP($P47,'Department Listing'!$A:$A,'Department Listing'!$L:$L),""),$M47)</f>
        <v/>
      </c>
      <c r="Z47" s="11">
        <f>IF(ISBLANK($B47),"",MATCH($X47,COA!$B:$B,0))</f>
        <v/>
      </c>
      <c r="AB47" s="11" t="n"/>
    </row>
    <row r="48" ht="15.75" customHeight="1" s="52">
      <c r="B48" s="17" t="n">
        <v>46168</v>
      </c>
      <c r="C48" s="18" t="inlineStr">
        <is>
          <t>Wegmans MASTERCARD-544015XXXXXX7759-Mickenzi Krpec</t>
        </is>
      </c>
      <c r="E48" s="18" t="inlineStr">
        <is>
          <t>61240 Sales &amp; Marketing:Sales &amp; Marketing- Travel Expenses:Meals &amp; Entertainment</t>
        </is>
      </c>
      <c r="F48" s="19" t="n">
        <v>507.74</v>
      </c>
      <c r="H48" s="10" t="n"/>
      <c r="I48" s="9" t="inlineStr">
        <is>
          <t>Food Vendor</t>
        </is>
      </c>
      <c r="J48" s="9" t="n"/>
      <c r="K48" s="9" t="n"/>
      <c r="L48" s="9" t="n"/>
      <c r="M48" s="9" t="n"/>
      <c r="N48" s="20" t="n"/>
      <c r="O48" s="20">
        <f>IF(C48="", "", TRIM(RIGHT(C48, LEN(C48) - FIND("@@", SUBSTITUTE(C48, "-", "@@", LEN(C48) - LEN(SUBSTITUTE(C48, "-", "")))))))</f>
        <v/>
      </c>
      <c r="P48" s="20">
        <f t="array" ref="P48">IFERROR(XLOOKUP(O48,'Department Listing'!$O$1:$O$395,'Department Listing'!$A$1:$A$395),IFERROR(XLOOKUP(O48,'Name Aliases'!$A$2:$A$1000,'Name Aliases'!$B$2:$B$1000),""))</f>
        <v/>
      </c>
      <c r="Q48" s="21">
        <f>IF(ISBLANK($C48),"",$B48)</f>
        <v/>
      </c>
      <c r="R48" s="20">
        <f>IF(ISBLANK($C48),"",IF(ISBLANK($I48),$D48,$I48))</f>
        <v/>
      </c>
      <c r="S48" s="22">
        <f>IF(ISBLANK($C48),"",$F48 - $G48)</f>
        <v/>
      </c>
      <c r="T48" s="20">
        <f>IF(ISBLANK($C48),"",C48)</f>
        <v/>
      </c>
      <c r="U48" s="20">
        <f>IF(ISBLANK($C48),"",$D$1)</f>
        <v/>
      </c>
      <c r="V48" s="22">
        <f t="array" ref="V48">IF(ISBLANK($B48),"",IF(ISBLANK($K48),IF(XLOOKUP($W48,'Category Mapping'!$C:$C,'Category Mapping'!$B:$B)="Travel",XLOOKUP($P48,'Department Listing'!$A:$A,'Department Listing'!$M:$M),XLOOKUP($W48,'Category Mapping'!$C:$C,'Category Mapping'!$D:$D)),$K48))</f>
        <v/>
      </c>
      <c r="W48" s="22">
        <f>IF(ISBLANK($B48),"",IF(ISBLANK($L48),RIGHT($E48,LEN($E48) - FIND("^",SUBSTITUTE($E48,":","^",LEN($E48) - LEN(SUBSTITUTE($E48,":",""))))),$L48))</f>
        <v/>
      </c>
      <c r="X48" s="22">
        <f>IF(ISBLANK($J48),$V48&amp;$W48,$J48)</f>
        <v/>
      </c>
      <c r="Y48" s="23">
        <f t="array" ref="Y48">IF(ISBLANK($M48),IFERROR(XLOOKUP($P48,'Department Listing'!$A:$A,'Department Listing'!$L:$L),""),$M48)</f>
        <v/>
      </c>
      <c r="Z48" s="11">
        <f>IF(ISBLANK($B48),"",MATCH($X48,COA!$B:$B,0))</f>
        <v/>
      </c>
      <c r="AB48" s="11" t="n"/>
    </row>
    <row r="49" ht="15.75" customHeight="1" s="52">
      <c r="B49" s="17" t="n">
        <v>46164</v>
      </c>
      <c r="C49" s="18" t="inlineStr">
        <is>
          <t>Presidio Golf Course MASTERCARD-544015XXXXXX2445-Tyler Grimshaw</t>
        </is>
      </c>
      <c r="E49" s="18" t="inlineStr">
        <is>
          <t>61240 Sales &amp; Marketing:Sales &amp; Marketing- Travel Expenses:Meals &amp; Entertainment</t>
        </is>
      </c>
      <c r="F49" s="19" t="n">
        <v>501.28</v>
      </c>
      <c r="H49" s="10" t="n"/>
      <c r="I49" s="9" t="inlineStr">
        <is>
          <t>Food Vendor</t>
        </is>
      </c>
      <c r="J49" s="9" t="n"/>
      <c r="K49" s="25" t="n"/>
      <c r="L49" s="25" t="n"/>
      <c r="M49" s="9" t="n"/>
      <c r="N49" s="20" t="n"/>
      <c r="O49" s="20">
        <f>IF(C49="", "", TRIM(RIGHT(C49, LEN(C49) - FIND("@@", SUBSTITUTE(C49, "-", "@@", LEN(C49) - LEN(SUBSTITUTE(C49, "-", "")))))))</f>
        <v/>
      </c>
      <c r="P49" s="20">
        <f t="array" ref="P49">IFERROR(XLOOKUP(O49,'Department Listing'!$O$1:$O$395,'Department Listing'!$A$1:$A$395),IFERROR(XLOOKUP(O49,'Name Aliases'!$A$2:$A$1000,'Name Aliases'!$B$2:$B$1000),""))</f>
        <v/>
      </c>
      <c r="Q49" s="21">
        <f>IF(ISBLANK($C49),"",$B49)</f>
        <v/>
      </c>
      <c r="R49" s="20">
        <f>IF(ISBLANK($C49),"",IF(ISBLANK($I49),$D49,$I49))</f>
        <v/>
      </c>
      <c r="S49" s="22">
        <f>IF(ISBLANK($C49),"",$F49 - $G49)</f>
        <v/>
      </c>
      <c r="T49" s="20">
        <f>IF(ISBLANK($C49),"",C49)</f>
        <v/>
      </c>
      <c r="U49" s="20">
        <f>IF(ISBLANK($C49),"",$D$1)</f>
        <v/>
      </c>
      <c r="V49" s="22">
        <f t="array" ref="V49">IF(ISBLANK($B49),"",IF(ISBLANK($K49),IF(XLOOKUP($W49,'Category Mapping'!$C:$C,'Category Mapping'!$B:$B)="Travel",XLOOKUP($P49,'Department Listing'!$A:$A,'Department Listing'!$M:$M),XLOOKUP($W49,'Category Mapping'!$C:$C,'Category Mapping'!$D:$D)),$K49))</f>
        <v/>
      </c>
      <c r="W49" s="22">
        <f>IF(ISBLANK($B49),"",IF(ISBLANK($L49),RIGHT($E49,LEN($E49) - FIND("^",SUBSTITUTE($E49,":","^",LEN($E49) - LEN(SUBSTITUTE($E49,":",""))))),$L49))</f>
        <v/>
      </c>
      <c r="X49" s="22">
        <f>IF(ISBLANK($J49),$V49&amp;$W49,$J49)</f>
        <v/>
      </c>
      <c r="Y49" s="23">
        <f t="array" ref="Y49">IF(ISBLANK($M49),IFERROR(XLOOKUP($P49,'Department Listing'!$A:$A,'Department Listing'!$L:$L),""),$M49)</f>
        <v/>
      </c>
      <c r="Z49" s="11">
        <f>IF(ISBLANK($B49),"",MATCH($X49,COA!$B:$B,0))</f>
        <v/>
      </c>
      <c r="AB49" s="11" t="n"/>
    </row>
    <row r="50" ht="15.75" customHeight="1" s="52">
      <c r="B50" s="17" t="n">
        <v>46168</v>
      </c>
      <c r="C50" s="18" t="inlineStr">
        <is>
          <t>Uber Eats MASTERCARD-544015XXXXXX7759-Mickenzi Krpec</t>
        </is>
      </c>
      <c r="D50" s="18" t="inlineStr">
        <is>
          <t>Uber Eats</t>
        </is>
      </c>
      <c r="E50" s="18" t="inlineStr">
        <is>
          <t>61240 Sales &amp; Marketing:Sales &amp; Marketing- Travel Expenses:Meals &amp; Entertainment</t>
        </is>
      </c>
      <c r="F50" s="19" t="n">
        <v>480.39</v>
      </c>
      <c r="H50" s="10" t="n"/>
      <c r="I50" s="9" t="n"/>
      <c r="J50" s="9" t="n"/>
      <c r="K50" s="9" t="n"/>
      <c r="L50" s="9" t="n"/>
      <c r="M50" s="9" t="n"/>
      <c r="N50" s="20" t="n"/>
      <c r="O50" s="20">
        <f>IF(C50="", "", TRIM(RIGHT(C50, LEN(C50) - FIND("@@", SUBSTITUTE(C50, "-", "@@", LEN(C50) - LEN(SUBSTITUTE(C50, "-", "")))))))</f>
        <v/>
      </c>
      <c r="P50" s="20">
        <f t="array" ref="P50">IFERROR(XLOOKUP(O50,'Department Listing'!$O$1:$O$395,'Department Listing'!$A$1:$A$395),IFERROR(XLOOKUP(O50,'Name Aliases'!$A$2:$A$1000,'Name Aliases'!$B$2:$B$1000),""))</f>
        <v/>
      </c>
      <c r="Q50" s="21">
        <f>IF(ISBLANK($C50),"",$B50)</f>
        <v/>
      </c>
      <c r="R50" s="20">
        <f>IF(ISBLANK($C50),"",IF(ISBLANK($I50),$D50,$I50))</f>
        <v/>
      </c>
      <c r="S50" s="22">
        <f>IF(ISBLANK($C50),"",$F50 - $G50)</f>
        <v/>
      </c>
      <c r="T50" s="20">
        <f>IF(ISBLANK($C50),"",C50)</f>
        <v/>
      </c>
      <c r="U50" s="20">
        <f>IF(ISBLANK($C50),"",$D$1)</f>
        <v/>
      </c>
      <c r="V50" s="22">
        <f t="array" ref="V50">IF(ISBLANK($B50),"",IF(ISBLANK($K50),IF(XLOOKUP($W50,'Category Mapping'!$C:$C,'Category Mapping'!$B:$B)="Travel",XLOOKUP($P50,'Department Listing'!$A:$A,'Department Listing'!$M:$M),XLOOKUP($W50,'Category Mapping'!$C:$C,'Category Mapping'!$D:$D)),$K50))</f>
        <v/>
      </c>
      <c r="W50" s="22">
        <f>IF(ISBLANK($B50),"",IF(ISBLANK($L50),RIGHT($E50,LEN($E50) - FIND("^",SUBSTITUTE($E50,":","^",LEN($E50) - LEN(SUBSTITUTE($E50,":",""))))),$L50))</f>
        <v/>
      </c>
      <c r="X50" s="22">
        <f>IF(ISBLANK($J50),$V50&amp;$W50,$J50)</f>
        <v/>
      </c>
      <c r="Y50" s="23">
        <f t="array" ref="Y50">IF(ISBLANK($M50),IFERROR(XLOOKUP($P50,'Department Listing'!$A:$A,'Department Listing'!$L:$L),""),$M50)</f>
        <v/>
      </c>
      <c r="Z50" s="11">
        <f>IF(ISBLANK($B50),"",MATCH($X50,COA!$B:$B,0))</f>
        <v/>
      </c>
      <c r="AB50" s="11" t="n"/>
    </row>
    <row r="51" ht="15.75" customHeight="1" s="52">
      <c r="B51" s="17" t="n">
        <v>46168</v>
      </c>
      <c r="C51" s="18" t="inlineStr">
        <is>
          <t>Uber Eats MASTERCARD-544015XXXXXX7759-Mickenzi Krpec</t>
        </is>
      </c>
      <c r="D51" s="18" t="inlineStr">
        <is>
          <t>Uber Eats</t>
        </is>
      </c>
      <c r="E51" s="18" t="inlineStr">
        <is>
          <t>61240 Sales &amp; Marketing:Sales &amp; Marketing- Travel Expenses:Meals &amp; Entertainment</t>
        </is>
      </c>
      <c r="F51" s="19" t="n">
        <v>469.84</v>
      </c>
      <c r="H51" s="10" t="n"/>
      <c r="I51" s="9" t="n"/>
      <c r="J51" s="9" t="n"/>
      <c r="K51" s="9" t="n"/>
      <c r="L51" s="9" t="n"/>
      <c r="M51" s="9" t="n"/>
      <c r="N51" s="20" t="n"/>
      <c r="O51" s="20">
        <f>IF(C51="", "", TRIM(RIGHT(C51, LEN(C51) - FIND("@@", SUBSTITUTE(C51, "-", "@@", LEN(C51) - LEN(SUBSTITUTE(C51, "-", "")))))))</f>
        <v/>
      </c>
      <c r="P51" s="20">
        <f t="array" ref="P51">IFERROR(XLOOKUP(O51,'Department Listing'!$O$1:$O$395,'Department Listing'!$A$1:$A$395),IFERROR(XLOOKUP(O51,'Name Aliases'!$A$2:$A$1000,'Name Aliases'!$B$2:$B$1000),""))</f>
        <v/>
      </c>
      <c r="Q51" s="21">
        <f>IF(ISBLANK($C51),"",$B51)</f>
        <v/>
      </c>
      <c r="R51" s="20">
        <f>IF(ISBLANK($C51),"",IF(ISBLANK($I51),$D51,$I51))</f>
        <v/>
      </c>
      <c r="S51" s="22">
        <f>IF(ISBLANK($C51),"",$F51 - $G51)</f>
        <v/>
      </c>
      <c r="T51" s="20">
        <f>IF(ISBLANK($C51),"",C51)</f>
        <v/>
      </c>
      <c r="U51" s="20">
        <f>IF(ISBLANK($C51),"",$D$1)</f>
        <v/>
      </c>
      <c r="V51" s="22">
        <f t="array" ref="V51">IF(ISBLANK($B51),"",IF(ISBLANK($K51),IF(XLOOKUP($W51,'Category Mapping'!$C:$C,'Category Mapping'!$B:$B)="Travel",XLOOKUP($P51,'Department Listing'!$A:$A,'Department Listing'!$M:$M),XLOOKUP($W51,'Category Mapping'!$C:$C,'Category Mapping'!$D:$D)),$K51))</f>
        <v/>
      </c>
      <c r="W51" s="22">
        <f>IF(ISBLANK($B51),"",IF(ISBLANK($L51),RIGHT($E51,LEN($E51) - FIND("^",SUBSTITUTE($E51,":","^",LEN($E51) - LEN(SUBSTITUTE($E51,":",""))))),$L51))</f>
        <v/>
      </c>
      <c r="X51" s="22">
        <f>IF(ISBLANK($J51),$V51&amp;$W51,$J51)</f>
        <v/>
      </c>
      <c r="Y51" s="23">
        <f t="array" ref="Y51">IF(ISBLANK($M51),IFERROR(XLOOKUP($P51,'Department Listing'!$A:$A,'Department Listing'!$L:$L),""),$M51)</f>
        <v/>
      </c>
      <c r="Z51" s="11">
        <f>IF(ISBLANK($B51),"",MATCH($X51,COA!$B:$B,0))</f>
        <v/>
      </c>
      <c r="AB51" s="11" t="n"/>
    </row>
    <row r="52" ht="15.75" customHeight="1" s="52">
      <c r="B52" s="17" t="n">
        <v>46165</v>
      </c>
      <c r="C52" s="18" t="inlineStr">
        <is>
          <t>National Car Rental MASTERCARD-544015XXXXXX8678-John Taylor</t>
        </is>
      </c>
      <c r="D52" s="18" t="inlineStr">
        <is>
          <t>National Car</t>
        </is>
      </c>
      <c r="E52" s="18" t="inlineStr">
        <is>
          <t>61220 Sales &amp; Marketing:Sales &amp; Marketing- Travel Expenses:Ground Transportation</t>
        </is>
      </c>
      <c r="F52" s="19" t="n">
        <v>454.77</v>
      </c>
      <c r="H52" s="10" t="n"/>
      <c r="I52" s="9" t="n"/>
      <c r="J52" s="9" t="n"/>
      <c r="K52" s="25" t="n"/>
      <c r="L52" s="9" t="n"/>
      <c r="M52" s="9" t="n"/>
      <c r="N52" s="20" t="n"/>
      <c r="O52" s="20">
        <f>IF(C52="", "", TRIM(RIGHT(C52, LEN(C52) - FIND("@@", SUBSTITUTE(C52, "-", "@@", LEN(C52) - LEN(SUBSTITUTE(C52, "-", "")))))))</f>
        <v/>
      </c>
      <c r="P52" s="20">
        <f t="array" ref="P52">IFERROR(XLOOKUP(O52,'Department Listing'!$O$1:$O$395,'Department Listing'!$A$1:$A$395),IFERROR(XLOOKUP(O52,'Name Aliases'!$A$2:$A$1000,'Name Aliases'!$B$2:$B$1000),""))</f>
        <v/>
      </c>
      <c r="Q52" s="21">
        <f>IF(ISBLANK($C52),"",$B52)</f>
        <v/>
      </c>
      <c r="R52" s="20">
        <f>IF(ISBLANK($C52),"",IF(ISBLANK($I52),$D52,$I52))</f>
        <v/>
      </c>
      <c r="S52" s="22">
        <f>IF(ISBLANK($C52),"",$F52 - $G52)</f>
        <v/>
      </c>
      <c r="T52" s="20">
        <f>IF(ISBLANK($C52),"",C52)</f>
        <v/>
      </c>
      <c r="U52" s="20">
        <f>IF(ISBLANK($C52),"",$D$1)</f>
        <v/>
      </c>
      <c r="V52" s="22">
        <f t="array" ref="V52">IF(ISBLANK($B52),"",IF(ISBLANK($K52),IF(XLOOKUP($W52,'Category Mapping'!$C:$C,'Category Mapping'!$B:$B)="Travel",XLOOKUP($P52,'Department Listing'!$A:$A,'Department Listing'!$M:$M),XLOOKUP($W52,'Category Mapping'!$C:$C,'Category Mapping'!$D:$D)),$K52))</f>
        <v/>
      </c>
      <c r="W52" s="22">
        <f>IF(ISBLANK($B52),"",IF(ISBLANK($L52),RIGHT($E52,LEN($E52) - FIND("^",SUBSTITUTE($E52,":","^",LEN($E52) - LEN(SUBSTITUTE($E52,":",""))))),$L52))</f>
        <v/>
      </c>
      <c r="X52" s="22">
        <f>IF(ISBLANK($J52),$V52&amp;$W52,$J52)</f>
        <v/>
      </c>
      <c r="Y52" s="23">
        <f t="array" ref="Y52">IF(ISBLANK($M52),IFERROR(XLOOKUP($P52,'Department Listing'!$A:$A,'Department Listing'!$L:$L),""),$M52)</f>
        <v/>
      </c>
      <c r="Z52" s="11">
        <f>IF(ISBLANK($B52),"",MATCH($X52,COA!$B:$B,0))</f>
        <v/>
      </c>
      <c r="AB52" s="11" t="n"/>
    </row>
    <row r="53" ht="15.75" customHeight="1" s="52">
      <c r="B53" s="17" t="n">
        <v>46169</v>
      </c>
      <c r="C53" s="18" t="inlineStr">
        <is>
          <t>Southwest Airlines MASTERCARD-555671XXXXXX6688-Matt Hyman</t>
        </is>
      </c>
      <c r="D53" s="18" t="inlineStr">
        <is>
          <t>Southwest Air</t>
        </is>
      </c>
      <c r="E53" s="18" t="inlineStr">
        <is>
          <t>61210 Sales &amp; Marketing:Sales &amp; Marketing- Travel Expenses:Airfare</t>
        </is>
      </c>
      <c r="F53" s="19" t="n">
        <v>400.4</v>
      </c>
      <c r="H53" s="10" t="n"/>
      <c r="I53" s="9" t="n"/>
      <c r="J53" s="9" t="n"/>
      <c r="K53" s="9" t="n"/>
      <c r="L53" s="9" t="n"/>
      <c r="M53" s="9" t="n"/>
      <c r="N53" s="20" t="n"/>
      <c r="O53" s="20">
        <f>IF(C53="", "", TRIM(RIGHT(C53, LEN(C53) - FIND("@@", SUBSTITUTE(C53, "-", "@@", LEN(C53) - LEN(SUBSTITUTE(C53, "-", "")))))))</f>
        <v/>
      </c>
      <c r="P53" s="20">
        <f t="array" ref="P53">IFERROR(XLOOKUP(O53,'Department Listing'!$O$1:$O$395,'Department Listing'!$A$1:$A$395),IFERROR(XLOOKUP(O53,'Name Aliases'!$A$2:$A$1000,'Name Aliases'!$B$2:$B$1000),""))</f>
        <v/>
      </c>
      <c r="Q53" s="21">
        <f>IF(ISBLANK($C53),"",$B53)</f>
        <v/>
      </c>
      <c r="R53" s="20">
        <f>IF(ISBLANK($C53),"",IF(ISBLANK($I53),$D53,$I53))</f>
        <v/>
      </c>
      <c r="S53" s="22">
        <f>IF(ISBLANK($C53),"",$F53 - $G53)</f>
        <v/>
      </c>
      <c r="T53" s="20">
        <f>IF(ISBLANK($C53),"",C53)</f>
        <v/>
      </c>
      <c r="U53" s="20">
        <f>IF(ISBLANK($C53),"",$D$1)</f>
        <v/>
      </c>
      <c r="V53" s="22">
        <f t="array" ref="V53">IF(ISBLANK($B53),"",IF(ISBLANK($K53),IF(XLOOKUP($W53,'Category Mapping'!$C:$C,'Category Mapping'!$B:$B)="Travel",XLOOKUP($P53,'Department Listing'!$A:$A,'Department Listing'!$M:$M),XLOOKUP($W53,'Category Mapping'!$C:$C,'Category Mapping'!$D:$D)),$K53))</f>
        <v/>
      </c>
      <c r="W53" s="22">
        <f>IF(ISBLANK($B53),"",IF(ISBLANK($L53),RIGHT($E53,LEN($E53) - FIND("^",SUBSTITUTE($E53,":","^",LEN($E53) - LEN(SUBSTITUTE($E53,":",""))))),$L53))</f>
        <v/>
      </c>
      <c r="X53" s="22">
        <f>IF(ISBLANK($J53),$V53&amp;$W53,$J53)</f>
        <v/>
      </c>
      <c r="Y53" s="23">
        <f t="array" ref="Y53">IF(ISBLANK($M53),IFERROR(XLOOKUP($P53,'Department Listing'!$A:$A,'Department Listing'!$L:$L),""),$M53)</f>
        <v/>
      </c>
      <c r="Z53" s="11">
        <f>IF(ISBLANK($B53),"",MATCH($X53,COA!$B:$B,0))</f>
        <v/>
      </c>
      <c r="AB53" s="11" t="n"/>
    </row>
    <row r="54" ht="15.75" customHeight="1" s="52">
      <c r="B54" s="17" t="n">
        <v>46164</v>
      </c>
      <c r="C54" s="18" t="inlineStr">
        <is>
          <t>WEISSGERBER S GOLDEN M MASTERCARD-544015XXXXXX8678-John Taylor</t>
        </is>
      </c>
      <c r="E54" s="18" t="inlineStr">
        <is>
          <t>61240 Sales &amp; Marketing:Sales &amp; Marketing- Travel Expenses:Meals &amp; Entertainment</t>
        </is>
      </c>
      <c r="F54" s="19" t="n">
        <v>385</v>
      </c>
      <c r="H54" s="10" t="n"/>
      <c r="I54" s="9" t="inlineStr">
        <is>
          <t>Food Vendor</t>
        </is>
      </c>
      <c r="J54" s="9" t="n"/>
      <c r="K54" s="25" t="n"/>
      <c r="L54" s="9" t="n"/>
      <c r="M54" s="25" t="n"/>
      <c r="N54" s="20" t="n"/>
      <c r="O54" s="20">
        <f>IF(C54="", "", TRIM(RIGHT(C54, LEN(C54) - FIND("@@", SUBSTITUTE(C54, "-", "@@", LEN(C54) - LEN(SUBSTITUTE(C54, "-", "")))))))</f>
        <v/>
      </c>
      <c r="P54" s="20">
        <f t="array" ref="P54">IFERROR(XLOOKUP(O54,'Department Listing'!$O$1:$O$395,'Department Listing'!$A$1:$A$395),IFERROR(XLOOKUP(O54,'Name Aliases'!$A$2:$A$1000,'Name Aliases'!$B$2:$B$1000),""))</f>
        <v/>
      </c>
      <c r="Q54" s="21">
        <f>IF(ISBLANK($C54),"",$B54)</f>
        <v/>
      </c>
      <c r="R54" s="20">
        <f>IF(ISBLANK($C54),"",IF(ISBLANK($I54),$D54,$I54))</f>
        <v/>
      </c>
      <c r="S54" s="22">
        <f>IF(ISBLANK($C54),"",$F54 - $G54)</f>
        <v/>
      </c>
      <c r="T54" s="20">
        <f>IF(ISBLANK($C54),"",C54)</f>
        <v/>
      </c>
      <c r="U54" s="20">
        <f>IF(ISBLANK($C54),"",$D$1)</f>
        <v/>
      </c>
      <c r="V54" s="22">
        <f t="array" ref="V54">IF(ISBLANK($B54),"",IF(ISBLANK($K54),IF(XLOOKUP($W54,'Category Mapping'!$C:$C,'Category Mapping'!$B:$B)="Travel",XLOOKUP($P54,'Department Listing'!$A:$A,'Department Listing'!$M:$M),XLOOKUP($W54,'Category Mapping'!$C:$C,'Category Mapping'!$D:$D)),$K54))</f>
        <v/>
      </c>
      <c r="W54" s="22">
        <f>IF(ISBLANK($B54),"",IF(ISBLANK($L54),RIGHT($E54,LEN($E54) - FIND("^",SUBSTITUTE($E54,":","^",LEN($E54) - LEN(SUBSTITUTE($E54,":",""))))),$L54))</f>
        <v/>
      </c>
      <c r="X54" s="22">
        <f>IF(ISBLANK($J54),$V54&amp;$W54,$J54)</f>
        <v/>
      </c>
      <c r="Y54" s="23">
        <f t="array" ref="Y54">IF(ISBLANK($M54),IFERROR(XLOOKUP($P54,'Department Listing'!$A:$A,'Department Listing'!$L:$L),""),$M54)</f>
        <v/>
      </c>
      <c r="Z54" s="11">
        <f>IF(ISBLANK($B54),"",MATCH($X54,COA!$B:$B,0))</f>
        <v/>
      </c>
      <c r="AB54" s="11" t="n"/>
    </row>
    <row r="55" ht="15.75" customHeight="1" s="52">
      <c r="B55" s="17" t="n">
        <v>46169</v>
      </c>
      <c r="C55" s="18" t="inlineStr">
        <is>
          <t>British Airways MASTERCARD-555671XXXXXX4106-Daniel Mooney</t>
        </is>
      </c>
      <c r="D55" s="18" t="inlineStr">
        <is>
          <t>British Airways</t>
        </is>
      </c>
      <c r="E55" s="18" t="inlineStr">
        <is>
          <t>61210 Sales &amp; Marketing:Sales &amp; Marketing- Travel Expenses:Airfare</t>
        </is>
      </c>
      <c r="F55" s="19" t="n">
        <v>375.23</v>
      </c>
      <c r="H55" s="10" t="n"/>
      <c r="I55" s="9" t="n"/>
      <c r="J55" s="9" t="n"/>
      <c r="K55" s="9" t="n"/>
      <c r="L55" s="9" t="n"/>
      <c r="M55" s="9" t="n"/>
      <c r="N55" s="20" t="n"/>
      <c r="O55" s="20">
        <f>IF(C55="", "", TRIM(RIGHT(C55, LEN(C55) - FIND("@@", SUBSTITUTE(C55, "-", "@@", LEN(C55) - LEN(SUBSTITUTE(C55, "-", "")))))))</f>
        <v/>
      </c>
      <c r="P55" s="20">
        <f t="array" ref="P55">IFERROR(XLOOKUP(O55,'Department Listing'!$O$1:$O$395,'Department Listing'!$A$1:$A$395),IFERROR(XLOOKUP(O55,'Name Aliases'!$A$2:$A$1000,'Name Aliases'!$B$2:$B$1000),""))</f>
        <v/>
      </c>
      <c r="Q55" s="21">
        <f>IF(ISBLANK($C55),"",$B55)</f>
        <v/>
      </c>
      <c r="R55" s="20">
        <f>IF(ISBLANK($C55),"",IF(ISBLANK($I55),$D55,$I55))</f>
        <v/>
      </c>
      <c r="S55" s="22">
        <f>IF(ISBLANK($C55),"",$F55 - $G55)</f>
        <v/>
      </c>
      <c r="T55" s="20">
        <f>IF(ISBLANK($C55),"",C55)</f>
        <v/>
      </c>
      <c r="U55" s="20">
        <f>IF(ISBLANK($C55),"",$D$1)</f>
        <v/>
      </c>
      <c r="V55" s="22">
        <f t="array" ref="V55">IF(ISBLANK($B55),"",IF(ISBLANK($K55),IF(XLOOKUP($W55,'Category Mapping'!$C:$C,'Category Mapping'!$B:$B)="Travel",XLOOKUP($P55,'Department Listing'!$A:$A,'Department Listing'!$M:$M),XLOOKUP($W55,'Category Mapping'!$C:$C,'Category Mapping'!$D:$D)),$K55))</f>
        <v/>
      </c>
      <c r="W55" s="22">
        <f>IF(ISBLANK($B55),"",IF(ISBLANK($L55),RIGHT($E55,LEN($E55) - FIND("^",SUBSTITUTE($E55,":","^",LEN($E55) - LEN(SUBSTITUTE($E55,":",""))))),$L55))</f>
        <v/>
      </c>
      <c r="X55" s="22">
        <f>IF(ISBLANK($J55),$V55&amp;$W55,$J55)</f>
        <v/>
      </c>
      <c r="Y55" s="23">
        <f t="array" ref="Y55">IF(ISBLANK($M55),IFERROR(XLOOKUP($P55,'Department Listing'!$A:$A,'Department Listing'!$L:$L),""),$M55)</f>
        <v/>
      </c>
      <c r="Z55" s="11">
        <f>IF(ISBLANK($B55),"",MATCH($X55,COA!$B:$B,0))</f>
        <v/>
      </c>
      <c r="AB55" s="11" t="n"/>
    </row>
    <row r="56" ht="15.75" customHeight="1" s="52">
      <c r="B56" s="17" t="n">
        <v>46169</v>
      </c>
      <c r="C56" s="18" t="inlineStr">
        <is>
          <t>Uber Eats MASTERCARD-544015XXXXXX7759-Mickenzi Krpec</t>
        </is>
      </c>
      <c r="D56" s="18" t="inlineStr">
        <is>
          <t>Uber Eats</t>
        </is>
      </c>
      <c r="E56" s="18" t="inlineStr">
        <is>
          <t>61240 Sales &amp; Marketing:Sales &amp; Marketing- Travel Expenses:Meals &amp; Entertainment</t>
        </is>
      </c>
      <c r="F56" s="19" t="n">
        <v>362.59</v>
      </c>
      <c r="H56" s="10" t="n"/>
      <c r="I56" s="9" t="n"/>
      <c r="J56" s="9" t="n"/>
      <c r="K56" s="9" t="n"/>
      <c r="L56" s="9" t="n"/>
      <c r="M56" s="9" t="n"/>
      <c r="N56" s="20" t="n"/>
      <c r="O56" s="20">
        <f>IF(C56="", "", TRIM(RIGHT(C56, LEN(C56) - FIND("@@", SUBSTITUTE(C56, "-", "@@", LEN(C56) - LEN(SUBSTITUTE(C56, "-", "")))))))</f>
        <v/>
      </c>
      <c r="P56" s="20">
        <f t="array" ref="P56">IFERROR(XLOOKUP(O56,'Department Listing'!$O$1:$O$395,'Department Listing'!$A$1:$A$395),IFERROR(XLOOKUP(O56,'Name Aliases'!$A$2:$A$1000,'Name Aliases'!$B$2:$B$1000),""))</f>
        <v/>
      </c>
      <c r="Q56" s="21">
        <f>IF(ISBLANK($C56),"",$B56)</f>
        <v/>
      </c>
      <c r="R56" s="20">
        <f>IF(ISBLANK($C56),"",IF(ISBLANK($I56),$D56,$I56))</f>
        <v/>
      </c>
      <c r="S56" s="22">
        <f>IF(ISBLANK($C56),"",$F56 - $G56)</f>
        <v/>
      </c>
      <c r="T56" s="20">
        <f>IF(ISBLANK($C56),"",C56)</f>
        <v/>
      </c>
      <c r="U56" s="20">
        <f>IF(ISBLANK($C56),"",$D$1)</f>
        <v/>
      </c>
      <c r="V56" s="22">
        <f t="array" ref="V56">IF(ISBLANK($B56),"",IF(ISBLANK($K56),IF(XLOOKUP($W56,'Category Mapping'!$C:$C,'Category Mapping'!$B:$B)="Travel",XLOOKUP($P56,'Department Listing'!$A:$A,'Department Listing'!$M:$M),XLOOKUP($W56,'Category Mapping'!$C:$C,'Category Mapping'!$D:$D)),$K56))</f>
        <v/>
      </c>
      <c r="W56" s="22">
        <f>IF(ISBLANK($B56),"",IF(ISBLANK($L56),RIGHT($E56,LEN($E56) - FIND("^",SUBSTITUTE($E56,":","^",LEN($E56) - LEN(SUBSTITUTE($E56,":",""))))),$L56))</f>
        <v/>
      </c>
      <c r="X56" s="22">
        <f>IF(ISBLANK($J56),$V56&amp;$W56,$J56)</f>
        <v/>
      </c>
      <c r="Y56" s="23">
        <f t="array" ref="Y56">IF(ISBLANK($M56),IFERROR(XLOOKUP($P56,'Department Listing'!$A:$A,'Department Listing'!$L:$L),""),$M56)</f>
        <v/>
      </c>
      <c r="Z56" s="11">
        <f>IF(ISBLANK($B56),"",MATCH($X56,COA!$B:$B,0))</f>
        <v/>
      </c>
      <c r="AB56" s="11" t="n"/>
    </row>
    <row r="57" ht="15.75" customHeight="1" s="52">
      <c r="B57" s="17" t="n">
        <v>46168</v>
      </c>
      <c r="C57" s="18" t="inlineStr">
        <is>
          <t>GUESTRS*PUROWARSZA MASTERCARD-544015XXXXXX5191-Samantha Purpura</t>
        </is>
      </c>
      <c r="E57" s="18" t="inlineStr">
        <is>
          <t>61220 Sales &amp; Marketing:Sales &amp; Marketing- Travel Expenses:Ground Transportation</t>
        </is>
      </c>
      <c r="F57" s="19" t="n">
        <v>312.71</v>
      </c>
      <c r="H57" s="10" t="n"/>
      <c r="I57" s="9" t="inlineStr">
        <is>
          <t>Hotel Vendor</t>
        </is>
      </c>
      <c r="J57" s="9" t="n"/>
      <c r="K57" s="9" t="n"/>
      <c r="L57" s="9" t="inlineStr">
        <is>
          <t>Lodging</t>
        </is>
      </c>
      <c r="M57" s="9" t="n"/>
      <c r="N57" s="20" t="n"/>
      <c r="O57" s="20">
        <f>IF(C57="", "", TRIM(RIGHT(C57, LEN(C57) - FIND("@@", SUBSTITUTE(C57, "-", "@@", LEN(C57) - LEN(SUBSTITUTE(C57, "-", "")))))))</f>
        <v/>
      </c>
      <c r="P57" s="20">
        <f t="array" ref="P57">IFERROR(XLOOKUP(O57,'Department Listing'!$O$1:$O$395,'Department Listing'!$A$1:$A$395),IFERROR(XLOOKUP(O57,'Name Aliases'!$A$2:$A$1000,'Name Aliases'!$B$2:$B$1000),""))</f>
        <v/>
      </c>
      <c r="Q57" s="21">
        <f>IF(ISBLANK($C57),"",$B57)</f>
        <v/>
      </c>
      <c r="R57" s="20">
        <f>IF(ISBLANK($C57),"",IF(ISBLANK($I57),$D57,$I57))</f>
        <v/>
      </c>
      <c r="S57" s="22">
        <f>IF(ISBLANK($C57),"",$F57 - $G57)</f>
        <v/>
      </c>
      <c r="T57" s="20">
        <f>IF(ISBLANK($C57),"",C57)</f>
        <v/>
      </c>
      <c r="U57" s="20">
        <f>IF(ISBLANK($C57),"",$D$1)</f>
        <v/>
      </c>
      <c r="V57" s="22">
        <f t="array" ref="V57">IF(ISBLANK($B57),"",IF(ISBLANK($K57),IF(XLOOKUP($W57,'Category Mapping'!$C:$C,'Category Mapping'!$B:$B)="Travel",XLOOKUP($P57,'Department Listing'!$A:$A,'Department Listing'!$M:$M),XLOOKUP($W57,'Category Mapping'!$C:$C,'Category Mapping'!$D:$D)),$K57))</f>
        <v/>
      </c>
      <c r="W57" s="22">
        <f>IF(ISBLANK($B57),"",IF(ISBLANK($L57),RIGHT($E57,LEN($E57) - FIND("^",SUBSTITUTE($E57,":","^",LEN($E57) - LEN(SUBSTITUTE($E57,":",""))))),$L57))</f>
        <v/>
      </c>
      <c r="X57" s="22">
        <f>IF(ISBLANK($J57),$V57&amp;$W57,$J57)</f>
        <v/>
      </c>
      <c r="Y57" s="23">
        <f t="array" ref="Y57">IF(ISBLANK($M57),IFERROR(XLOOKUP($P57,'Department Listing'!$A:$A,'Department Listing'!$L:$L),""),$M57)</f>
        <v/>
      </c>
      <c r="Z57" s="11">
        <f>IF(ISBLANK($B57),"",MATCH($X57,COA!$B:$B,0))</f>
        <v/>
      </c>
      <c r="AB57" s="11" t="n"/>
    </row>
    <row r="58" ht="15.75" customHeight="1" s="52">
      <c r="B58" s="17" t="n">
        <v>46168</v>
      </c>
      <c r="C58" s="18" t="inlineStr">
        <is>
          <t>Booking.com MASTERCARD-555671XXXXXX4106-Daniel Mooney</t>
        </is>
      </c>
      <c r="D58" s="18" t="inlineStr">
        <is>
          <t>Booking.com</t>
        </is>
      </c>
      <c r="E58" s="18" t="inlineStr">
        <is>
          <t>61290 Sales &amp; Marketing:Sales &amp; Marketing- Travel Expenses:Other Travel Expenses</t>
        </is>
      </c>
      <c r="F58" s="19" t="n">
        <v>304.99</v>
      </c>
      <c r="H58" s="10" t="n"/>
      <c r="I58" s="9" t="n"/>
      <c r="J58" s="9" t="n"/>
      <c r="K58" s="9" t="n"/>
      <c r="L58" s="9" t="n"/>
      <c r="M58" s="9" t="n"/>
      <c r="N58" s="20" t="n"/>
      <c r="O58" s="20">
        <f>IF(C58="", "", TRIM(RIGHT(C58, LEN(C58) - FIND("@@", SUBSTITUTE(C58, "-", "@@", LEN(C58) - LEN(SUBSTITUTE(C58, "-", "")))))))</f>
        <v/>
      </c>
      <c r="P58" s="20">
        <f t="array" ref="P58">IFERROR(XLOOKUP(O58,'Department Listing'!$O$1:$O$395,'Department Listing'!$A$1:$A$395),IFERROR(XLOOKUP(O58,'Name Aliases'!$A$2:$A$1000,'Name Aliases'!$B$2:$B$1000),""))</f>
        <v/>
      </c>
      <c r="Q58" s="21">
        <f>IF(ISBLANK($C58),"",$B58)</f>
        <v/>
      </c>
      <c r="R58" s="24">
        <f>IF(ISBLANK($C58),"",IF(ISBLANK($I58),$D58,$I58))</f>
        <v/>
      </c>
      <c r="S58" s="22">
        <f>IF(ISBLANK($C58),"",$F58 - $G58)</f>
        <v/>
      </c>
      <c r="T58" s="20">
        <f>IF(ISBLANK($C58),"",C58)</f>
        <v/>
      </c>
      <c r="U58" s="20">
        <f>IF(ISBLANK($C58),"",$D$1)</f>
        <v/>
      </c>
      <c r="V58" s="22">
        <f t="array" ref="V58">IF(ISBLANK($B58),"",IF(ISBLANK($K58),IF(XLOOKUP($W58,'Category Mapping'!$C:$C,'Category Mapping'!$B:$B)="Travel",XLOOKUP($P58,'Department Listing'!$A:$A,'Department Listing'!$M:$M),XLOOKUP($W58,'Category Mapping'!$C:$C,'Category Mapping'!$D:$D)),$K58))</f>
        <v/>
      </c>
      <c r="W58" s="22">
        <f>IF(ISBLANK($B58),"",IF(ISBLANK($L58),RIGHT($E58,LEN($E58) - FIND("^",SUBSTITUTE($E58,":","^",LEN($E58) - LEN(SUBSTITUTE($E58,":",""))))),$L58))</f>
        <v/>
      </c>
      <c r="X58" s="22">
        <f>IF(ISBLANK($J58),$V58&amp;$W58,$J58)</f>
        <v/>
      </c>
      <c r="Y58" s="23">
        <f t="array" ref="Y58">IF(ISBLANK($M58),IFERROR(XLOOKUP($P58,'Department Listing'!$A:$A,'Department Listing'!$L:$L),""),$M58)</f>
        <v/>
      </c>
      <c r="Z58" s="11">
        <f>IF(ISBLANK($B58),"",MATCH($X58,COA!$B:$B,0))</f>
        <v/>
      </c>
      <c r="AB58" s="11" t="n"/>
    </row>
    <row r="59" ht="15.75" customHeight="1" s="52">
      <c r="B59" s="17" t="n">
        <v>46167</v>
      </c>
      <c r="C59" s="18" t="inlineStr">
        <is>
          <t>Microsoft MASTERCARD-555671XXXXXX5364-Erik Williams</t>
        </is>
      </c>
      <c r="D59" s="18" t="inlineStr">
        <is>
          <t>Microsoft</t>
        </is>
      </c>
      <c r="E59" s="18" t="inlineStr">
        <is>
          <t>63310 General &amp; Administrative:Software Licenses</t>
        </is>
      </c>
      <c r="F59" s="19" t="n">
        <v>285.2</v>
      </c>
      <c r="H59" s="10" t="n"/>
      <c r="I59" s="9" t="n"/>
      <c r="J59" s="9" t="n"/>
      <c r="K59" s="9" t="n"/>
      <c r="L59" s="9" t="n"/>
      <c r="M59" s="9" t="n"/>
      <c r="N59" s="20" t="n"/>
      <c r="O59" s="20">
        <f>IF(C59="", "", TRIM(RIGHT(C59, LEN(C59) - FIND("@@", SUBSTITUTE(C59, "-", "@@", LEN(C59) - LEN(SUBSTITUTE(C59, "-", "")))))))</f>
        <v/>
      </c>
      <c r="P59" s="20">
        <f t="array" ref="P59">IFERROR(XLOOKUP(O59,'Department Listing'!$O$1:$O$395,'Department Listing'!$A$1:$A$395),IFERROR(XLOOKUP(O59,'Name Aliases'!$A$2:$A$1000,'Name Aliases'!$B$2:$B$1000),""))</f>
        <v/>
      </c>
      <c r="Q59" s="21">
        <f>IF(ISBLANK($C59),"",$B59)</f>
        <v/>
      </c>
      <c r="R59" s="20">
        <f>IF(ISBLANK($C59),"",IF(ISBLANK($I59),$D59,$I59))</f>
        <v/>
      </c>
      <c r="S59" s="22">
        <f>IF(ISBLANK($C59),"",$F59 - $G59)</f>
        <v/>
      </c>
      <c r="T59" s="20">
        <f>IF(ISBLANK($C59),"",C59)</f>
        <v/>
      </c>
      <c r="U59" s="20">
        <f>IF(ISBLANK($C59),"",$D$1)</f>
        <v/>
      </c>
      <c r="V59" s="22">
        <f t="array" ref="V59">IF(ISBLANK($B59),"",IF(ISBLANK($K59),IF(XLOOKUP($W59,'Category Mapping'!$C:$C,'Category Mapping'!$B:$B)="Travel",XLOOKUP($P59,'Department Listing'!$A:$A,'Department Listing'!$M:$M),XLOOKUP($W59,'Category Mapping'!$C:$C,'Category Mapping'!$D:$D)),$K59))</f>
        <v/>
      </c>
      <c r="W59" s="22">
        <f>IF(ISBLANK($B59),"",IF(ISBLANK($L59),RIGHT($E59,LEN($E59) - FIND("^",SUBSTITUTE($E59,":","^",LEN($E59) - LEN(SUBSTITUTE($E59,":",""))))),$L59))</f>
        <v/>
      </c>
      <c r="X59" s="22">
        <f>IF(ISBLANK($J59),$V59&amp;$W59,$J59)</f>
        <v/>
      </c>
      <c r="Y59" s="23">
        <f t="array" ref="Y59">IF(ISBLANK($M59),IFERROR(XLOOKUP($P59,'Department Listing'!$A:$A,'Department Listing'!$L:$L),""),$M59)</f>
        <v/>
      </c>
      <c r="Z59" s="11">
        <f>IF(ISBLANK($B59),"",MATCH($X59,COA!$B:$B,0))</f>
        <v/>
      </c>
      <c r="AB59" s="11" t="n"/>
    </row>
    <row r="60" ht="15.75" customHeight="1" s="52">
      <c r="B60" s="17" t="n">
        <v>46165</v>
      </c>
      <c r="C60" s="18" t="inlineStr">
        <is>
          <t>American MASTERCARD-544015XXXXXX2900-Chloe Brant</t>
        </is>
      </c>
      <c r="D60" s="18" t="inlineStr">
        <is>
          <t>American Airlines</t>
        </is>
      </c>
      <c r="E60" s="18" t="inlineStr">
        <is>
          <t>61210 Sales &amp; Marketing:Sales &amp; Marketing- Travel Expenses:Airfare</t>
        </is>
      </c>
      <c r="F60" s="19" t="n">
        <v>268.4</v>
      </c>
      <c r="H60" s="10" t="n"/>
      <c r="I60" s="9" t="n"/>
      <c r="J60" s="9" t="n"/>
      <c r="K60" s="9" t="n"/>
      <c r="L60" s="9" t="n"/>
      <c r="M60" s="9" t="n"/>
      <c r="N60" s="20" t="n"/>
      <c r="O60" s="20">
        <f>IF(C60="", "", TRIM(RIGHT(C60, LEN(C60) - FIND("@@", SUBSTITUTE(C60, "-", "@@", LEN(C60) - LEN(SUBSTITUTE(C60, "-", "")))))))</f>
        <v/>
      </c>
      <c r="P60" s="20">
        <f t="array" ref="P60">IFERROR(XLOOKUP(O60,'Department Listing'!$O$1:$O$395,'Department Listing'!$A$1:$A$395),IFERROR(XLOOKUP(O60,'Name Aliases'!$A$2:$A$1000,'Name Aliases'!$B$2:$B$1000),""))</f>
        <v/>
      </c>
      <c r="Q60" s="21">
        <f>IF(ISBLANK($C60),"",$B60)</f>
        <v/>
      </c>
      <c r="R60" s="20">
        <f>IF(ISBLANK($C60),"",IF(ISBLANK($I60),$D60,$I60))</f>
        <v/>
      </c>
      <c r="S60" s="22">
        <f>IF(ISBLANK($C60),"",$F60 - $G60)</f>
        <v/>
      </c>
      <c r="T60" s="20">
        <f>IF(ISBLANK($C60),"",C60)</f>
        <v/>
      </c>
      <c r="U60" s="20">
        <f>IF(ISBLANK($C60),"",$D$1)</f>
        <v/>
      </c>
      <c r="V60" s="22">
        <f t="array" ref="V60">IF(ISBLANK($B60),"",IF(ISBLANK($K60),IF(XLOOKUP($W60,'Category Mapping'!$C:$C,'Category Mapping'!$B:$B)="Travel",XLOOKUP($P60,'Department Listing'!$A:$A,'Department Listing'!$M:$M),XLOOKUP($W60,'Category Mapping'!$C:$C,'Category Mapping'!$D:$D)),$K60))</f>
        <v/>
      </c>
      <c r="W60" s="22">
        <f>IF(ISBLANK($B60),"",IF(ISBLANK($L60),RIGHT($E60,LEN($E60) - FIND("^",SUBSTITUTE($E60,":","^",LEN($E60) - LEN(SUBSTITUTE($E60,":",""))))),$L60))</f>
        <v/>
      </c>
      <c r="X60" s="22">
        <f>IF(ISBLANK($J60),$V60&amp;$W60,$J60)</f>
        <v/>
      </c>
      <c r="Y60" s="23">
        <f t="array" ref="Y60">IF(ISBLANK($M60),IFERROR(XLOOKUP($P60,'Department Listing'!$A:$A,'Department Listing'!$L:$L),""),$M60)</f>
        <v/>
      </c>
      <c r="Z60" s="11">
        <f>IF(ISBLANK($B60),"",MATCH($X60,COA!$B:$B,0))</f>
        <v/>
      </c>
      <c r="AB60" s="11" t="n"/>
    </row>
    <row r="61" ht="15.75" customHeight="1" s="52">
      <c r="B61" s="17" t="n">
        <v>46170</v>
      </c>
      <c r="C61" s="18" t="inlineStr">
        <is>
          <t>Expedia MASTERCARD-555671XXXXXX8870-Kyle Brueckner</t>
        </is>
      </c>
      <c r="D61" s="18" t="inlineStr">
        <is>
          <t>Expedia.com</t>
        </is>
      </c>
      <c r="E61" s="18" t="inlineStr">
        <is>
          <t>61290 Sales &amp; Marketing:Sales &amp; Marketing- Travel Expenses:Other Travel Expenses</t>
        </is>
      </c>
      <c r="F61" s="19" t="n">
        <v>264.71</v>
      </c>
      <c r="H61" s="10" t="n"/>
      <c r="I61" s="9" t="n"/>
      <c r="J61" s="9" t="n"/>
      <c r="K61" s="9" t="n"/>
      <c r="L61" s="9" t="n"/>
      <c r="M61" s="9" t="n"/>
      <c r="N61" s="20" t="n"/>
      <c r="O61" s="20">
        <f>IF(C61="", "", TRIM(RIGHT(C61, LEN(C61) - FIND("@@", SUBSTITUTE(C61, "-", "@@", LEN(C61) - LEN(SUBSTITUTE(C61, "-", "")))))))</f>
        <v/>
      </c>
      <c r="P61" s="20">
        <f t="array" ref="P61">IFERROR(XLOOKUP(O61,'Department Listing'!$O$1:$O$395,'Department Listing'!$A$1:$A$395),IFERROR(XLOOKUP(O61,'Name Aliases'!$A$2:$A$1000,'Name Aliases'!$B$2:$B$1000),""))</f>
        <v/>
      </c>
      <c r="Q61" s="21">
        <f>IF(ISBLANK($C61),"",$B61)</f>
        <v/>
      </c>
      <c r="R61" s="24">
        <f>IF(ISBLANK($C61),"",IF(ISBLANK($I61),$D61,$I61))</f>
        <v/>
      </c>
      <c r="S61" s="22">
        <f>IF(ISBLANK($C61),"",$F61 - $G61)</f>
        <v/>
      </c>
      <c r="T61" s="20">
        <f>IF(ISBLANK($C61),"",C61)</f>
        <v/>
      </c>
      <c r="U61" s="20">
        <f>IF(ISBLANK($C61),"",$D$1)</f>
        <v/>
      </c>
      <c r="V61" s="22">
        <f t="array" ref="V61">IF(ISBLANK($B61),"",IF(ISBLANK($K61),IF(XLOOKUP($W61,'Category Mapping'!$C:$C,'Category Mapping'!$B:$B)="Travel",XLOOKUP($P61,'Department Listing'!$A:$A,'Department Listing'!$M:$M),XLOOKUP($W61,'Category Mapping'!$C:$C,'Category Mapping'!$D:$D)),$K61))</f>
        <v/>
      </c>
      <c r="W61" s="22">
        <f>IF(ISBLANK($B61),"",IF(ISBLANK($L61),RIGHT($E61,LEN($E61) - FIND("^",SUBSTITUTE($E61,":","^",LEN($E61) - LEN(SUBSTITUTE($E61,":",""))))),$L61))</f>
        <v/>
      </c>
      <c r="X61" s="22">
        <f>IF(ISBLANK($J61),$V61&amp;$W61,$J61)</f>
        <v/>
      </c>
      <c r="Y61" s="23">
        <f t="array" ref="Y61">IF(ISBLANK($M61),IFERROR(XLOOKUP($P61,'Department Listing'!$A:$A,'Department Listing'!$L:$L),""),$M61)</f>
        <v/>
      </c>
      <c r="Z61" s="11">
        <f>IF(ISBLANK($B61),"",MATCH($X61,COA!$B:$B,0))</f>
        <v/>
      </c>
      <c r="AB61" s="11" t="n"/>
    </row>
    <row r="62" ht="15.75" customHeight="1" s="52">
      <c r="B62" s="17" t="n">
        <v>46169</v>
      </c>
      <c r="C62" s="18" t="inlineStr">
        <is>
          <t>United Airlines MASTERCARD-544015XXXXXX4359-Jason Speet</t>
        </is>
      </c>
      <c r="D62" s="18" t="inlineStr">
        <is>
          <t>United Airlines</t>
        </is>
      </c>
      <c r="E62" s="18" t="inlineStr">
        <is>
          <t>61210 Sales &amp; Marketing:Sales &amp; Marketing- Travel Expenses:Airfare</t>
        </is>
      </c>
      <c r="F62" s="19" t="n">
        <v>263.32</v>
      </c>
      <c r="H62" s="10" t="n"/>
      <c r="I62" s="9" t="n"/>
      <c r="J62" s="9" t="n"/>
      <c r="K62" s="25" t="n"/>
      <c r="L62" s="9" t="n"/>
      <c r="M62" s="25" t="n"/>
      <c r="N62" s="20" t="n"/>
      <c r="O62" s="20">
        <f>IF(C62="", "", TRIM(RIGHT(C62, LEN(C62) - FIND("@@", SUBSTITUTE(C62, "-", "@@", LEN(C62) - LEN(SUBSTITUTE(C62, "-", "")))))))</f>
        <v/>
      </c>
      <c r="P62" s="20">
        <f t="array" ref="P62">IFERROR(XLOOKUP(O62,'Department Listing'!$O$1:$O$395,'Department Listing'!$A$1:$A$395),IFERROR(XLOOKUP(O62,'Name Aliases'!$A$2:$A$1000,'Name Aliases'!$B$2:$B$1000),""))</f>
        <v/>
      </c>
      <c r="Q62" s="21">
        <f>IF(ISBLANK($C62),"",$B62)</f>
        <v/>
      </c>
      <c r="R62" s="20">
        <f>IF(ISBLANK($C62),"",IF(ISBLANK($I62),$D62,$I62))</f>
        <v/>
      </c>
      <c r="S62" s="22">
        <f>IF(ISBLANK($C62),"",$F62 - $G62)</f>
        <v/>
      </c>
      <c r="T62" s="20">
        <f>IF(ISBLANK($C62),"",C62)</f>
        <v/>
      </c>
      <c r="U62" s="20">
        <f>IF(ISBLANK($C62),"",$D$1)</f>
        <v/>
      </c>
      <c r="V62" s="22">
        <f t="array" ref="V62">IF(ISBLANK($B62),"",IF(ISBLANK($K62),IF(XLOOKUP($W62,'Category Mapping'!$C:$C,'Category Mapping'!$B:$B)="Travel",XLOOKUP($P62,'Department Listing'!$A:$A,'Department Listing'!$M:$M),XLOOKUP($W62,'Category Mapping'!$C:$C,'Category Mapping'!$D:$D)),$K62))</f>
        <v/>
      </c>
      <c r="W62" s="22">
        <f>IF(ISBLANK($B62),"",IF(ISBLANK($L62),RIGHT($E62,LEN($E62) - FIND("^",SUBSTITUTE($E62,":","^",LEN($E62) - LEN(SUBSTITUTE($E62,":",""))))),$L62))</f>
        <v/>
      </c>
      <c r="X62" s="22">
        <f>IF(ISBLANK($J62),$V62&amp;$W62,$J62)</f>
        <v/>
      </c>
      <c r="Y62" s="23">
        <f t="array" ref="Y62">IF(ISBLANK($M62),IFERROR(XLOOKUP($P62,'Department Listing'!$A:$A,'Department Listing'!$L:$L),""),$M62)</f>
        <v/>
      </c>
      <c r="Z62" s="11">
        <f>IF(ISBLANK($B62),"",MATCH($X62,COA!$B:$B,0))</f>
        <v/>
      </c>
      <c r="AB62" s="11" t="n"/>
    </row>
    <row r="63" ht="15.75" customHeight="1" s="52">
      <c r="B63" s="17" t="n">
        <v>46169</v>
      </c>
      <c r="C63" s="18" t="inlineStr">
        <is>
          <t>Allegiant Travel Co MASTERCARD-544015XXXXXX4359-Jason Speet</t>
        </is>
      </c>
      <c r="D63" s="18" t="inlineStr">
        <is>
          <t>Allianz</t>
        </is>
      </c>
      <c r="E63" s="18" t="inlineStr">
        <is>
          <t>61290 Sales &amp; Marketing:Sales &amp; Marketing- Travel Expenses:Other Travel Expenses</t>
        </is>
      </c>
      <c r="F63" s="19" t="n">
        <v>258</v>
      </c>
      <c r="H63" s="10" t="n"/>
      <c r="I63" s="9" t="n"/>
      <c r="J63" s="9" t="n"/>
      <c r="K63" s="9" t="n"/>
      <c r="L63" s="9" t="n"/>
      <c r="M63" s="9" t="n"/>
      <c r="N63" s="20" t="n"/>
      <c r="O63" s="20">
        <f>IF(C63="", "", TRIM(RIGHT(C63, LEN(C63) - FIND("@@", SUBSTITUTE(C63, "-", "@@", LEN(C63) - LEN(SUBSTITUTE(C63, "-", "")))))))</f>
        <v/>
      </c>
      <c r="P63" s="20">
        <f t="array" ref="P63">IFERROR(XLOOKUP(O63,'Department Listing'!$O$1:$O$395,'Department Listing'!$A$1:$A$395),IFERROR(XLOOKUP(O63,'Name Aliases'!$A$2:$A$1000,'Name Aliases'!$B$2:$B$1000),""))</f>
        <v/>
      </c>
      <c r="Q63" s="21">
        <f>IF(ISBLANK($C63),"",$B63)</f>
        <v/>
      </c>
      <c r="R63" s="20">
        <f>IF(ISBLANK($C63),"",IF(ISBLANK($I63),$D63,$I63))</f>
        <v/>
      </c>
      <c r="S63" s="22">
        <f>IF(ISBLANK($C63),"",$F63 - $G63)</f>
        <v/>
      </c>
      <c r="T63" s="20">
        <f>IF(ISBLANK($C63),"",C63)</f>
        <v/>
      </c>
      <c r="U63" s="20">
        <f>IF(ISBLANK($C63),"",$D$1)</f>
        <v/>
      </c>
      <c r="V63" s="22">
        <f t="array" ref="V63">IF(ISBLANK($B63),"",IF(ISBLANK($K63),IF(XLOOKUP($W63,'Category Mapping'!$C:$C,'Category Mapping'!$B:$B)="Travel",XLOOKUP($P63,'Department Listing'!$A:$A,'Department Listing'!$M:$M),XLOOKUP($W63,'Category Mapping'!$C:$C,'Category Mapping'!$D:$D)),$K63))</f>
        <v/>
      </c>
      <c r="W63" s="22">
        <f>IF(ISBLANK($B63),"",IF(ISBLANK($L63),RIGHT($E63,LEN($E63) - FIND("^",SUBSTITUTE($E63,":","^",LEN($E63) - LEN(SUBSTITUTE($E63,":",""))))),$L63))</f>
        <v/>
      </c>
      <c r="X63" s="22">
        <f>IF(ISBLANK($J63),$V63&amp;$W63,$J63)</f>
        <v/>
      </c>
      <c r="Y63" s="23">
        <f t="array" ref="Y63">IF(ISBLANK($M63),IFERROR(XLOOKUP($P63,'Department Listing'!$A:$A,'Department Listing'!$L:$L),""),$M63)</f>
        <v/>
      </c>
      <c r="Z63" s="11">
        <f>IF(ISBLANK($B63),"",MATCH($X63,COA!$B:$B,0))</f>
        <v/>
      </c>
      <c r="AB63" s="11" t="n"/>
    </row>
    <row r="64" ht="15.75" customHeight="1" s="52">
      <c r="B64" s="17" t="n">
        <v>46165</v>
      </c>
      <c r="C64" s="18" t="inlineStr">
        <is>
          <t>JetBlue Airways MASTERCARD-544015XXXXXX7263-Brendan Nolan</t>
        </is>
      </c>
      <c r="D64" s="18" t="inlineStr">
        <is>
          <t>JetBlue</t>
        </is>
      </c>
      <c r="E64" s="18" t="inlineStr">
        <is>
          <t>61210 Sales &amp; Marketing:Sales &amp; Marketing- Travel Expenses:Airfare</t>
        </is>
      </c>
      <c r="F64" s="19" t="n">
        <v>236.8</v>
      </c>
      <c r="H64" s="10" t="n"/>
      <c r="I64" s="9" t="n"/>
      <c r="J64" s="9" t="n"/>
      <c r="K64" s="9" t="n"/>
      <c r="L64" s="9" t="n"/>
      <c r="M64" s="9" t="n"/>
      <c r="N64" s="20" t="n"/>
      <c r="O64" s="20">
        <f>IF(C64="", "", TRIM(RIGHT(C64, LEN(C64) - FIND("@@", SUBSTITUTE(C64, "-", "@@", LEN(C64) - LEN(SUBSTITUTE(C64, "-", "")))))))</f>
        <v/>
      </c>
      <c r="P64" s="20">
        <f t="array" ref="P64">IFERROR(XLOOKUP(O64,'Department Listing'!$O$1:$O$395,'Department Listing'!$A$1:$A$395),IFERROR(XLOOKUP(O64,'Name Aliases'!$A$2:$A$1000,'Name Aliases'!$B$2:$B$1000),""))</f>
        <v/>
      </c>
      <c r="Q64" s="21">
        <f>IF(ISBLANK($C64),"",$B64)</f>
        <v/>
      </c>
      <c r="R64" s="20">
        <f>IF(ISBLANK($C64),"",IF(ISBLANK($I64),$D64,$I64))</f>
        <v/>
      </c>
      <c r="S64" s="22">
        <f>IF(ISBLANK($C64),"",$F64 - $G64)</f>
        <v/>
      </c>
      <c r="T64" s="20">
        <f>IF(ISBLANK($C64),"",C64)</f>
        <v/>
      </c>
      <c r="U64" s="20">
        <f>IF(ISBLANK($C64),"",$D$1)</f>
        <v/>
      </c>
      <c r="V64" s="22">
        <f t="array" ref="V64">IF(ISBLANK($B64),"",IF(ISBLANK($K64),IF(XLOOKUP($W64,'Category Mapping'!$C:$C,'Category Mapping'!$B:$B)="Travel",XLOOKUP($P64,'Department Listing'!$A:$A,'Department Listing'!$M:$M),XLOOKUP($W64,'Category Mapping'!$C:$C,'Category Mapping'!$D:$D)),$K64))</f>
        <v/>
      </c>
      <c r="W64" s="22">
        <f>IF(ISBLANK($B64),"",IF(ISBLANK($L64),RIGHT($E64,LEN($E64) - FIND("^",SUBSTITUTE($E64,":","^",LEN($E64) - LEN(SUBSTITUTE($E64,":",""))))),$L64))</f>
        <v/>
      </c>
      <c r="X64" s="22">
        <f>IF(ISBLANK($J64),$V64&amp;$W64,$J64)</f>
        <v/>
      </c>
      <c r="Y64" s="23">
        <f t="array" ref="Y64">IF(ISBLANK($M64),IFERROR(XLOOKUP($P64,'Department Listing'!$A:$A,'Department Listing'!$L:$L),""),$M64)</f>
        <v/>
      </c>
      <c r="Z64" s="11">
        <f>IF(ISBLANK($B64),"",MATCH($X64,COA!$B:$B,0))</f>
        <v/>
      </c>
      <c r="AB64" s="11" t="n"/>
    </row>
    <row r="65" ht="15.75" customHeight="1" s="52">
      <c r="B65" s="17" t="n">
        <v>46165</v>
      </c>
      <c r="C65" s="18" t="inlineStr">
        <is>
          <t>American MASTERCARD-544015XXXXXX2900-Chloe Brant</t>
        </is>
      </c>
      <c r="D65" s="18" t="inlineStr">
        <is>
          <t>American Airlines</t>
        </is>
      </c>
      <c r="E65" s="18" t="inlineStr">
        <is>
          <t>61210 Sales &amp; Marketing:Sales &amp; Marketing- Travel Expenses:Airfare</t>
        </is>
      </c>
      <c r="F65" s="19" t="n">
        <v>235.4</v>
      </c>
      <c r="H65" s="10" t="n"/>
      <c r="I65" s="9" t="n"/>
      <c r="J65" s="9" t="n"/>
      <c r="K65" s="9" t="n"/>
      <c r="L65" s="9" t="n"/>
      <c r="M65" s="9" t="n"/>
      <c r="N65" s="20" t="n"/>
      <c r="O65" s="20">
        <f>IF(C65="", "", TRIM(RIGHT(C65, LEN(C65) - FIND("@@", SUBSTITUTE(C65, "-", "@@", LEN(C65) - LEN(SUBSTITUTE(C65, "-", "")))))))</f>
        <v/>
      </c>
      <c r="P65" s="20">
        <f t="array" ref="P65">IFERROR(XLOOKUP(O65,'Department Listing'!$O$1:$O$395,'Department Listing'!$A$1:$A$395),IFERROR(XLOOKUP(O65,'Name Aliases'!$A$2:$A$1000,'Name Aliases'!$B$2:$B$1000),""))</f>
        <v/>
      </c>
      <c r="Q65" s="21">
        <f>IF(ISBLANK($C65),"",$B65)</f>
        <v/>
      </c>
      <c r="R65" s="20">
        <f>IF(ISBLANK($C65),"",IF(ISBLANK($I65),$D65,$I65))</f>
        <v/>
      </c>
      <c r="S65" s="22">
        <f>IF(ISBLANK($C65),"",$F65 - $G65)</f>
        <v/>
      </c>
      <c r="T65" s="20">
        <f>IF(ISBLANK($C65),"",C65)</f>
        <v/>
      </c>
      <c r="U65" s="20">
        <f>IF(ISBLANK($C65),"",$D$1)</f>
        <v/>
      </c>
      <c r="V65" s="22">
        <f t="array" ref="V65">IF(ISBLANK($B65),"",IF(ISBLANK($K65),IF(XLOOKUP($W65,'Category Mapping'!$C:$C,'Category Mapping'!$B:$B)="Travel",XLOOKUP($P65,'Department Listing'!$A:$A,'Department Listing'!$M:$M),XLOOKUP($W65,'Category Mapping'!$C:$C,'Category Mapping'!$D:$D)),$K65))</f>
        <v/>
      </c>
      <c r="W65" s="22">
        <f>IF(ISBLANK($B65),"",IF(ISBLANK($L65),RIGHT($E65,LEN($E65) - FIND("^",SUBSTITUTE($E65,":","^",LEN($E65) - LEN(SUBSTITUTE($E65,":",""))))),$L65))</f>
        <v/>
      </c>
      <c r="X65" s="22">
        <f>IF(ISBLANK($J65),$V65&amp;$W65,$J65)</f>
        <v/>
      </c>
      <c r="Y65" s="23">
        <f t="array" ref="Y65">IF(ISBLANK($M65),IFERROR(XLOOKUP($P65,'Department Listing'!$A:$A,'Department Listing'!$L:$L),""),$M65)</f>
        <v/>
      </c>
      <c r="Z65" s="11">
        <f>IF(ISBLANK($B65),"",MATCH($X65,COA!$B:$B,0))</f>
        <v/>
      </c>
      <c r="AB65" s="11" t="n"/>
    </row>
    <row r="66" ht="15.75" customHeight="1" s="52">
      <c r="B66" s="17" t="n">
        <v>46170</v>
      </c>
      <c r="C66" s="18" t="inlineStr">
        <is>
          <t>Amtrak MASTERCARD-544015XXXXXX2900-Chloe Brant</t>
        </is>
      </c>
      <c r="D66" s="18" t="inlineStr">
        <is>
          <t>Amtrak</t>
        </is>
      </c>
      <c r="E66" s="18" t="inlineStr">
        <is>
          <t>61220 Sales &amp; Marketing:Sales &amp; Marketing- Travel Expenses:Ground Transportation</t>
        </is>
      </c>
      <c r="F66" s="19" t="n">
        <v>218</v>
      </c>
      <c r="H66" s="10" t="n"/>
      <c r="I66" s="9" t="n"/>
      <c r="J66" s="9" t="n"/>
      <c r="K66" s="9" t="n"/>
      <c r="L66" s="9" t="n"/>
      <c r="M66" s="9" t="n"/>
      <c r="N66" s="20" t="n"/>
      <c r="O66" s="20">
        <f>IF(C66="", "", TRIM(RIGHT(C66, LEN(C66) - FIND("@@", SUBSTITUTE(C66, "-", "@@", LEN(C66) - LEN(SUBSTITUTE(C66, "-", "")))))))</f>
        <v/>
      </c>
      <c r="P66" s="20">
        <f t="array" ref="P66">IFERROR(XLOOKUP(O66,'Department Listing'!$O$1:$O$395,'Department Listing'!$A$1:$A$395),IFERROR(XLOOKUP(O66,'Name Aliases'!$A$2:$A$1000,'Name Aliases'!$B$2:$B$1000),""))</f>
        <v/>
      </c>
      <c r="Q66" s="21">
        <f>IF(ISBLANK($C66),"",$B66)</f>
        <v/>
      </c>
      <c r="R66" s="20">
        <f>IF(ISBLANK($C66),"",IF(ISBLANK($I66),$D66,$I66))</f>
        <v/>
      </c>
      <c r="S66" s="22">
        <f>IF(ISBLANK($C66),"",$F66 - $G66)</f>
        <v/>
      </c>
      <c r="T66" s="20">
        <f>IF(ISBLANK($C66),"",C66)</f>
        <v/>
      </c>
      <c r="U66" s="20">
        <f>IF(ISBLANK($C66),"",$D$1)</f>
        <v/>
      </c>
      <c r="V66" s="22">
        <f t="array" ref="V66">IF(ISBLANK($B66),"",IF(ISBLANK($K66),IF(XLOOKUP($W66,'Category Mapping'!$C:$C,'Category Mapping'!$B:$B)="Travel",XLOOKUP($P66,'Department Listing'!$A:$A,'Department Listing'!$M:$M),XLOOKUP($W66,'Category Mapping'!$C:$C,'Category Mapping'!$D:$D)),$K66))</f>
        <v/>
      </c>
      <c r="W66" s="22">
        <f>IF(ISBLANK($B66),"",IF(ISBLANK($L66),RIGHT($E66,LEN($E66) - FIND("^",SUBSTITUTE($E66,":","^",LEN($E66) - LEN(SUBSTITUTE($E66,":",""))))),$L66))</f>
        <v/>
      </c>
      <c r="X66" s="22">
        <f>IF(ISBLANK($J66),$V66&amp;$W66,$J66)</f>
        <v/>
      </c>
      <c r="Y66" s="23">
        <f t="array" ref="Y66">IF(ISBLANK($M66),IFERROR(XLOOKUP($P66,'Department Listing'!$A:$A,'Department Listing'!$L:$L),""),$M66)</f>
        <v/>
      </c>
      <c r="Z66" s="11">
        <f>IF(ISBLANK($B66),"",MATCH($X66,COA!$B:$B,0))</f>
        <v/>
      </c>
      <c r="AB66" s="11" t="n"/>
    </row>
    <row r="67" ht="15.75" customHeight="1" s="52">
      <c r="B67" s="17" t="n">
        <v>46169</v>
      </c>
      <c r="C67" s="18" t="inlineStr">
        <is>
          <t>Amazon Marketplace US MASTERCARD-544015XXXXXX7759-Mickenzi Krpec</t>
        </is>
      </c>
      <c r="D67" s="18" t="inlineStr">
        <is>
          <t>Amazon</t>
        </is>
      </c>
      <c r="E67" s="18" t="inlineStr">
        <is>
          <t>63410 General &amp; Administrative:Office Expenses:Office Supplies</t>
        </is>
      </c>
      <c r="F67" s="19" t="n">
        <v>216.85</v>
      </c>
      <c r="H67" s="10" t="n"/>
      <c r="I67" s="9" t="n"/>
      <c r="J67" s="9" t="n"/>
      <c r="K67" s="9" t="n"/>
      <c r="L67" s="9" t="n"/>
      <c r="M67" s="9" t="n"/>
      <c r="N67" s="20" t="n"/>
      <c r="O67" s="20">
        <f>IF(C67="", "", TRIM(RIGHT(C67, LEN(C67) - FIND("@@", SUBSTITUTE(C67, "-", "@@", LEN(C67) - LEN(SUBSTITUTE(C67, "-", "")))))))</f>
        <v/>
      </c>
      <c r="P67" s="20">
        <f t="array" ref="P67">IFERROR(XLOOKUP(O67,'Department Listing'!$O$1:$O$395,'Department Listing'!$A$1:$A$395),IFERROR(XLOOKUP(O67,'Name Aliases'!$A$2:$A$1000,'Name Aliases'!$B$2:$B$1000),""))</f>
        <v/>
      </c>
      <c r="Q67" s="21">
        <f>IF(ISBLANK($C67),"",$B67)</f>
        <v/>
      </c>
      <c r="R67" s="20">
        <f>IF(ISBLANK($C67),"",IF(ISBLANK($I67),$D67,$I67))</f>
        <v/>
      </c>
      <c r="S67" s="22">
        <f>IF(ISBLANK($C67),"",$F67 - $G67)</f>
        <v/>
      </c>
      <c r="T67" s="20">
        <f>IF(ISBLANK($C67),"",C67)</f>
        <v/>
      </c>
      <c r="U67" s="20">
        <f>IF(ISBLANK($C67),"",$D$1)</f>
        <v/>
      </c>
      <c r="V67" s="22">
        <f t="array" ref="V67">IF(ISBLANK($B67),"",IF(ISBLANK($K67),IF(XLOOKUP($W67,'Category Mapping'!$C:$C,'Category Mapping'!$B:$B)="Travel",XLOOKUP($P67,'Department Listing'!$A:$A,'Department Listing'!$M:$M),XLOOKUP($W67,'Category Mapping'!$C:$C,'Category Mapping'!$D:$D)),$K67))</f>
        <v/>
      </c>
      <c r="W67" s="22">
        <f>IF(ISBLANK($B67),"",IF(ISBLANK($L67),RIGHT($E67,LEN($E67) - FIND("^",SUBSTITUTE($E67,":","^",LEN($E67) - LEN(SUBSTITUTE($E67,":",""))))),$L67))</f>
        <v/>
      </c>
      <c r="X67" s="22">
        <f>IF(ISBLANK($J67),$V67&amp;$W67,$J67)</f>
        <v/>
      </c>
      <c r="Y67" s="23">
        <f t="array" ref="Y67">IF(ISBLANK($M67),IFERROR(XLOOKUP($P67,'Department Listing'!$A:$A,'Department Listing'!$L:$L),""),$M67)</f>
        <v/>
      </c>
      <c r="Z67" s="11">
        <f>IF(ISBLANK($B67),"",MATCH($X67,COA!$B:$B,0))</f>
        <v/>
      </c>
      <c r="AB67" s="11" t="n"/>
    </row>
    <row r="68" ht="15.75" customHeight="1" s="52">
      <c r="B68" s="17" t="n">
        <v>46169</v>
      </c>
      <c r="C68" s="18" t="inlineStr">
        <is>
          <t>Amazon Marketplace US MASTERCARD-544015XXXXXX7759-Mickenzi Krpec</t>
        </is>
      </c>
      <c r="D68" s="18" t="inlineStr">
        <is>
          <t>Amazon</t>
        </is>
      </c>
      <c r="E68" s="18" t="inlineStr">
        <is>
          <t>63410 General &amp; Administrative:Office Expenses:Office Supplies</t>
        </is>
      </c>
      <c r="F68" s="19" t="n">
        <v>212.73</v>
      </c>
      <c r="H68" s="10" t="n"/>
      <c r="I68" s="9" t="n"/>
      <c r="J68" s="9" t="n"/>
      <c r="K68" s="9" t="n"/>
      <c r="L68" s="9" t="n"/>
      <c r="M68" s="9" t="n"/>
      <c r="N68" s="20" t="n"/>
      <c r="O68" s="20">
        <f>IF(C68="", "", TRIM(RIGHT(C68, LEN(C68) - FIND("@@", SUBSTITUTE(C68, "-", "@@", LEN(C68) - LEN(SUBSTITUTE(C68, "-", "")))))))</f>
        <v/>
      </c>
      <c r="P68" s="20">
        <f t="array" ref="P68">IFERROR(XLOOKUP(O68,'Department Listing'!$O$1:$O$395,'Department Listing'!$A$1:$A$395),IFERROR(XLOOKUP(O68,'Name Aliases'!$A$2:$A$1000,'Name Aliases'!$B$2:$B$1000),""))</f>
        <v/>
      </c>
      <c r="Q68" s="21">
        <f>IF(ISBLANK($C68),"",$B68)</f>
        <v/>
      </c>
      <c r="R68" s="20">
        <f>IF(ISBLANK($C68),"",IF(ISBLANK($I68),$D68,$I68))</f>
        <v/>
      </c>
      <c r="S68" s="22">
        <f>IF(ISBLANK($C68),"",$F68 - $G68)</f>
        <v/>
      </c>
      <c r="T68" s="20">
        <f>IF(ISBLANK($C68),"",C68)</f>
        <v/>
      </c>
      <c r="U68" s="20">
        <f>IF(ISBLANK($C68),"",$D$1)</f>
        <v/>
      </c>
      <c r="V68" s="22">
        <f t="array" ref="V68">IF(ISBLANK($B68),"",IF(ISBLANK($K68),IF(XLOOKUP($W68,'Category Mapping'!$C:$C,'Category Mapping'!$B:$B)="Travel",XLOOKUP($P68,'Department Listing'!$A:$A,'Department Listing'!$M:$M),XLOOKUP($W68,'Category Mapping'!$C:$C,'Category Mapping'!$D:$D)),$K68))</f>
        <v/>
      </c>
      <c r="W68" s="22">
        <f>IF(ISBLANK($B68),"",IF(ISBLANK($L68),RIGHT($E68,LEN($E68) - FIND("^",SUBSTITUTE($E68,":","^",LEN($E68) - LEN(SUBSTITUTE($E68,":",""))))),$L68))</f>
        <v/>
      </c>
      <c r="X68" s="22">
        <f>IF(ISBLANK($J68),$V68&amp;$W68,$J68)</f>
        <v/>
      </c>
      <c r="Y68" s="23">
        <f t="array" ref="Y68">IF(ISBLANK($M68),IFERROR(XLOOKUP($P68,'Department Listing'!$A:$A,'Department Listing'!$L:$L),""),$M68)</f>
        <v/>
      </c>
      <c r="Z68" s="11">
        <f>IF(ISBLANK($B68),"",MATCH($X68,COA!$B:$B,0))</f>
        <v/>
      </c>
      <c r="AB68" s="11" t="n"/>
    </row>
    <row r="69" ht="15.75" customHeight="1" s="52">
      <c r="B69" s="17" t="n">
        <v>46168</v>
      </c>
      <c r="C69" s="18" t="inlineStr">
        <is>
          <t>Wegmans MASTERCARD-544015XXXXXX7759-Mickenzi Krpec</t>
        </is>
      </c>
      <c r="E69" s="18" t="inlineStr">
        <is>
          <t>61240 Sales &amp; Marketing:Sales &amp; Marketing- Travel Expenses:Meals &amp; Entertainment</t>
        </is>
      </c>
      <c r="F69" s="19" t="n">
        <v>166.5</v>
      </c>
      <c r="H69" s="10" t="n"/>
      <c r="I69" s="9" t="inlineStr">
        <is>
          <t>Food Vendor</t>
        </is>
      </c>
      <c r="J69" s="9" t="n"/>
      <c r="K69" s="9" t="n"/>
      <c r="L69" s="9" t="n"/>
      <c r="M69" s="9" t="n"/>
      <c r="N69" s="20" t="n"/>
      <c r="O69" s="20">
        <f>IF(C69="", "", TRIM(RIGHT(C69, LEN(C69) - FIND("@@", SUBSTITUTE(C69, "-", "@@", LEN(C69) - LEN(SUBSTITUTE(C69, "-", "")))))))</f>
        <v/>
      </c>
      <c r="P69" s="20">
        <f t="array" ref="P69">IFERROR(XLOOKUP(O69,'Department Listing'!$O$1:$O$395,'Department Listing'!$A$1:$A$395),IFERROR(XLOOKUP(O69,'Name Aliases'!$A$2:$A$1000,'Name Aliases'!$B$2:$B$1000),""))</f>
        <v/>
      </c>
      <c r="Q69" s="21">
        <f>IF(ISBLANK($C69),"",$B69)</f>
        <v/>
      </c>
      <c r="R69" s="20">
        <f>IF(ISBLANK($C69),"",IF(ISBLANK($I69),$D69,$I69))</f>
        <v/>
      </c>
      <c r="S69" s="22">
        <f>IF(ISBLANK($C69),"",$F69 - $G69)</f>
        <v/>
      </c>
      <c r="T69" s="20">
        <f>IF(ISBLANK($C69),"",C69)</f>
        <v/>
      </c>
      <c r="U69" s="20">
        <f>IF(ISBLANK($C69),"",$D$1)</f>
        <v/>
      </c>
      <c r="V69" s="22">
        <f t="array" ref="V69">IF(ISBLANK($B69),"",IF(ISBLANK($K69),IF(XLOOKUP($W69,'Category Mapping'!$C:$C,'Category Mapping'!$B:$B)="Travel",XLOOKUP($P69,'Department Listing'!$A:$A,'Department Listing'!$M:$M),XLOOKUP($W69,'Category Mapping'!$C:$C,'Category Mapping'!$D:$D)),$K69))</f>
        <v/>
      </c>
      <c r="W69" s="22">
        <f>IF(ISBLANK($B69),"",IF(ISBLANK($L69),RIGHT($E69,LEN($E69) - FIND("^",SUBSTITUTE($E69,":","^",LEN($E69) - LEN(SUBSTITUTE($E69,":",""))))),$L69))</f>
        <v/>
      </c>
      <c r="X69" s="22">
        <f>IF(ISBLANK($J69),$V69&amp;$W69,$J69)</f>
        <v/>
      </c>
      <c r="Y69" s="23">
        <f t="array" ref="Y69">IF(ISBLANK($M69),IFERROR(XLOOKUP($P69,'Department Listing'!$A:$A,'Department Listing'!$L:$L),""),$M69)</f>
        <v/>
      </c>
      <c r="Z69" s="11">
        <f>IF(ISBLANK($B69),"",MATCH($X69,COA!$B:$B,0))</f>
        <v/>
      </c>
      <c r="AB69" s="11" t="n"/>
    </row>
    <row r="70" ht="15.75" customHeight="1" s="52">
      <c r="B70" s="17" t="n">
        <v>46164</v>
      </c>
      <c r="C70" s="18" t="inlineStr">
        <is>
          <t>FedEx MASTERCARD-544015XXXXXX0151-Eric Rabkin</t>
        </is>
      </c>
      <c r="D70" s="18" t="inlineStr">
        <is>
          <t>FedEx</t>
        </is>
      </c>
      <c r="E70" s="18" t="inlineStr">
        <is>
          <t>63430 General &amp; Administrative:Office Expenses:Shipping Expense</t>
        </is>
      </c>
      <c r="F70" s="19" t="n">
        <v>149.07</v>
      </c>
      <c r="H70" s="10" t="n"/>
      <c r="I70" s="9" t="n"/>
      <c r="J70" s="9" t="n"/>
      <c r="K70" s="9" t="n"/>
      <c r="L70" s="9" t="n"/>
      <c r="M70" s="9" t="n"/>
      <c r="N70" s="20" t="n"/>
      <c r="O70" s="20">
        <f>IF(C70="", "", TRIM(RIGHT(C70, LEN(C70) - FIND("@@", SUBSTITUTE(C70, "-", "@@", LEN(C70) - LEN(SUBSTITUTE(C70, "-", "")))))))</f>
        <v/>
      </c>
      <c r="P70" s="20">
        <f t="array" ref="P70">IFERROR(XLOOKUP(O70,'Department Listing'!$O$1:$O$395,'Department Listing'!$A$1:$A$395),IFERROR(XLOOKUP(O70,'Name Aliases'!$A$2:$A$1000,'Name Aliases'!$B$2:$B$1000),""))</f>
        <v/>
      </c>
      <c r="Q70" s="21">
        <f>IF(ISBLANK($C70),"",$B70)</f>
        <v/>
      </c>
      <c r="R70" s="20">
        <f>IF(ISBLANK($C70),"",IF(ISBLANK($I70),$D70,$I70))</f>
        <v/>
      </c>
      <c r="S70" s="22">
        <f>IF(ISBLANK($C70),"",$F70 - $G70)</f>
        <v/>
      </c>
      <c r="T70" s="20">
        <f>IF(ISBLANK($C70),"",C70)</f>
        <v/>
      </c>
      <c r="U70" s="20">
        <f>IF(ISBLANK($C70),"",$D$1)</f>
        <v/>
      </c>
      <c r="V70" s="22">
        <f t="array" ref="V70">IF(ISBLANK($B70),"",IF(ISBLANK($K70),IF(XLOOKUP($W70,'Category Mapping'!$C:$C,'Category Mapping'!$B:$B)="Travel",XLOOKUP($P70,'Department Listing'!$A:$A,'Department Listing'!$M:$M),XLOOKUP($W70,'Category Mapping'!$C:$C,'Category Mapping'!$D:$D)),$K70))</f>
        <v/>
      </c>
      <c r="W70" s="22">
        <f>IF(ISBLANK($B70),"",IF(ISBLANK($L70),RIGHT($E70,LEN($E70) - FIND("^",SUBSTITUTE($E70,":","^",LEN($E70) - LEN(SUBSTITUTE($E70,":",""))))),$L70))</f>
        <v/>
      </c>
      <c r="X70" s="22">
        <f>IF(ISBLANK($J70),$V70&amp;$W70,$J70)</f>
        <v/>
      </c>
      <c r="Y70" s="23">
        <f t="array" ref="Y70">IF(ISBLANK($M70),IFERROR(XLOOKUP($P70,'Department Listing'!$A:$A,'Department Listing'!$L:$L),""),$M70)</f>
        <v/>
      </c>
      <c r="Z70" s="11">
        <f>IF(ISBLANK($B70),"",MATCH($X70,COA!$B:$B,0))</f>
        <v/>
      </c>
      <c r="AB70" s="11" t="n"/>
    </row>
    <row r="71" ht="15.75" customHeight="1" s="52">
      <c r="B71" s="17" t="n">
        <v>46164</v>
      </c>
      <c r="C71" s="18" t="inlineStr">
        <is>
          <t>Presidio Golf Course Cafe MASTERCARD-544015XXXXXX2445-Tyler Grimshaw</t>
        </is>
      </c>
      <c r="E71" s="18" t="inlineStr">
        <is>
          <t>61240 Sales &amp; Marketing:Sales &amp; Marketing- Travel Expenses:Meals &amp; Entertainment</t>
        </is>
      </c>
      <c r="F71" s="19" t="n">
        <v>147.23</v>
      </c>
      <c r="H71" s="10" t="n"/>
      <c r="I71" s="9" t="inlineStr">
        <is>
          <t>Food Vendor</t>
        </is>
      </c>
      <c r="J71" s="9" t="n"/>
      <c r="K71" s="9" t="n"/>
      <c r="L71" s="9" t="n"/>
      <c r="M71" s="9" t="n"/>
      <c r="N71" s="20" t="n"/>
      <c r="O71" s="20">
        <f>IF(C71="", "", TRIM(RIGHT(C71, LEN(C71) - FIND("@@", SUBSTITUTE(C71, "-", "@@", LEN(C71) - LEN(SUBSTITUTE(C71, "-", "")))))))</f>
        <v/>
      </c>
      <c r="P71" s="20">
        <f t="array" ref="P71">IFERROR(XLOOKUP(O71,'Department Listing'!$O$1:$O$395,'Department Listing'!$A$1:$A$395),IFERROR(XLOOKUP(O71,'Name Aliases'!$A$2:$A$1000,'Name Aliases'!$B$2:$B$1000),""))</f>
        <v/>
      </c>
      <c r="Q71" s="21">
        <f>IF(ISBLANK($C71),"",$B71)</f>
        <v/>
      </c>
      <c r="R71" s="20">
        <f>IF(ISBLANK($C71),"",IF(ISBLANK($I71),$D71,$I71))</f>
        <v/>
      </c>
      <c r="S71" s="22">
        <f>IF(ISBLANK($C71),"",$F71 - $G71)</f>
        <v/>
      </c>
      <c r="T71" s="20">
        <f>IF(ISBLANK($C71),"",C71)</f>
        <v/>
      </c>
      <c r="U71" s="20">
        <f>IF(ISBLANK($C71),"",$D$1)</f>
        <v/>
      </c>
      <c r="V71" s="22">
        <f t="array" ref="V71">IF(ISBLANK($B71),"",IF(ISBLANK($K71),IF(XLOOKUP($W71,'Category Mapping'!$C:$C,'Category Mapping'!$B:$B)="Travel",XLOOKUP($P71,'Department Listing'!$A:$A,'Department Listing'!$M:$M),XLOOKUP($W71,'Category Mapping'!$C:$C,'Category Mapping'!$D:$D)),$K71))</f>
        <v/>
      </c>
      <c r="W71" s="22">
        <f>IF(ISBLANK($B71),"",IF(ISBLANK($L71),RIGHT($E71,LEN($E71) - FIND("^",SUBSTITUTE($E71,":","^",LEN($E71) - LEN(SUBSTITUTE($E71,":",""))))),$L71))</f>
        <v/>
      </c>
      <c r="X71" s="22">
        <f>IF(ISBLANK($J71),$V71&amp;$W71,$J71)</f>
        <v/>
      </c>
      <c r="Y71" s="23">
        <f t="array" ref="Y71">IF(ISBLANK($M71),IFERROR(XLOOKUP($P71,'Department Listing'!$A:$A,'Department Listing'!$L:$L),""),$M71)</f>
        <v/>
      </c>
      <c r="Z71" s="11">
        <f>IF(ISBLANK($B71),"",MATCH($X71,COA!$B:$B,0))</f>
        <v/>
      </c>
      <c r="AB71" s="11" t="n"/>
    </row>
    <row r="72" ht="15.75" customHeight="1" s="52">
      <c r="B72" s="17" t="n">
        <v>46169</v>
      </c>
      <c r="C72" s="18" t="inlineStr">
        <is>
          <t>Amazon MASTERCARD-544015XXXXXX7759-Mickenzi Krpec</t>
        </is>
      </c>
      <c r="D72" s="18" t="inlineStr">
        <is>
          <t>Amazon</t>
        </is>
      </c>
      <c r="E72" s="18" t="inlineStr">
        <is>
          <t>63410 General &amp; Administrative:Office Expenses:Office Supplies</t>
        </is>
      </c>
      <c r="F72" s="19" t="n">
        <v>144.04</v>
      </c>
      <c r="H72" s="10" t="n"/>
      <c r="I72" s="9" t="n"/>
      <c r="J72" s="9" t="n"/>
      <c r="K72" s="9" t="n"/>
      <c r="L72" s="9" t="n"/>
      <c r="M72" s="9" t="n"/>
      <c r="N72" s="20" t="n"/>
      <c r="O72" s="20">
        <f>IF(C72="", "", TRIM(RIGHT(C72, LEN(C72) - FIND("@@", SUBSTITUTE(C72, "-", "@@", LEN(C72) - LEN(SUBSTITUTE(C72, "-", "")))))))</f>
        <v/>
      </c>
      <c r="P72" s="20">
        <f t="array" ref="P72">IFERROR(XLOOKUP(O72,'Department Listing'!$O$1:$O$395,'Department Listing'!$A$1:$A$395),IFERROR(XLOOKUP(O72,'Name Aliases'!$A$2:$A$1000,'Name Aliases'!$B$2:$B$1000),""))</f>
        <v/>
      </c>
      <c r="Q72" s="21">
        <f>IF(ISBLANK($C72),"",$B72)</f>
        <v/>
      </c>
      <c r="R72" s="20">
        <f>IF(ISBLANK($C72),"",IF(ISBLANK($I72),$D72,$I72))</f>
        <v/>
      </c>
      <c r="S72" s="22">
        <f>IF(ISBLANK($C72),"",$F72 - $G72)</f>
        <v/>
      </c>
      <c r="T72" s="20">
        <f>IF(ISBLANK($C72),"",C72)</f>
        <v/>
      </c>
      <c r="U72" s="20">
        <f>IF(ISBLANK($C72),"",$D$1)</f>
        <v/>
      </c>
      <c r="V72" s="22">
        <f t="array" ref="V72">IF(ISBLANK($B72),"",IF(ISBLANK($K72),IF(XLOOKUP($W72,'Category Mapping'!$C:$C,'Category Mapping'!$B:$B)="Travel",XLOOKUP($P72,'Department Listing'!$A:$A,'Department Listing'!$M:$M),XLOOKUP($W72,'Category Mapping'!$C:$C,'Category Mapping'!$D:$D)),$K72))</f>
        <v/>
      </c>
      <c r="W72" s="22">
        <f>IF(ISBLANK($B72),"",IF(ISBLANK($L72),RIGHT($E72,LEN($E72) - FIND("^",SUBSTITUTE($E72,":","^",LEN($E72) - LEN(SUBSTITUTE($E72,":",""))))),$L72))</f>
        <v/>
      </c>
      <c r="X72" s="22">
        <f>IF(ISBLANK($J72),$V72&amp;$W72,$J72)</f>
        <v/>
      </c>
      <c r="Y72" s="23">
        <f t="array" ref="Y72">IF(ISBLANK($M72),IFERROR(XLOOKUP($P72,'Department Listing'!$A:$A,'Department Listing'!$L:$L),""),$M72)</f>
        <v/>
      </c>
      <c r="Z72" s="11">
        <f>IF(ISBLANK($B72),"",MATCH($X72,COA!$B:$B,0))</f>
        <v/>
      </c>
      <c r="AB72" s="11" t="n"/>
    </row>
    <row r="73" ht="15.75" customHeight="1" s="52">
      <c r="B73" s="17" t="n">
        <v>46169</v>
      </c>
      <c r="C73" s="18" t="inlineStr">
        <is>
          <t>Bca Ltd* Belfast City MASTERCARD-555671XXXXXX4106-Daniel Mooney</t>
        </is>
      </c>
      <c r="E73" s="18" t="inlineStr">
        <is>
          <t>61220 Sales &amp; Marketing:Sales &amp; Marketing- Travel Expenses:Ground Transportation</t>
        </is>
      </c>
      <c r="F73" s="19" t="n">
        <v>139.27</v>
      </c>
      <c r="H73" s="10" t="n"/>
      <c r="I73" s="9" t="inlineStr">
        <is>
          <t>Travel Vendor</t>
        </is>
      </c>
      <c r="J73" s="9" t="n"/>
      <c r="K73" s="9" t="n"/>
      <c r="L73" s="9" t="inlineStr">
        <is>
          <t>Other Travel Expenses</t>
        </is>
      </c>
      <c r="M73" s="9" t="n"/>
      <c r="N73" s="20" t="n"/>
      <c r="O73" s="20">
        <f>IF(C73="", "", TRIM(RIGHT(C73, LEN(C73) - FIND("@@", SUBSTITUTE(C73, "-", "@@", LEN(C73) - LEN(SUBSTITUTE(C73, "-", "")))))))</f>
        <v/>
      </c>
      <c r="P73" s="20">
        <f t="array" ref="P73">IFERROR(XLOOKUP(O73,'Department Listing'!$O$1:$O$395,'Department Listing'!$A$1:$A$395),IFERROR(XLOOKUP(O73,'Name Aliases'!$A$2:$A$1000,'Name Aliases'!$B$2:$B$1000),""))</f>
        <v/>
      </c>
      <c r="Q73" s="21">
        <f>IF(ISBLANK($C73),"",$B73)</f>
        <v/>
      </c>
      <c r="R73" s="20">
        <f>IF(ISBLANK($C73),"",IF(ISBLANK($I73),$D73,$I73))</f>
        <v/>
      </c>
      <c r="S73" s="22">
        <f>IF(ISBLANK($C73),"",$F73 - $G73)</f>
        <v/>
      </c>
      <c r="T73" s="20">
        <f>IF(ISBLANK($C73),"",C73)</f>
        <v/>
      </c>
      <c r="U73" s="20">
        <f>IF(ISBLANK($C73),"",$D$1)</f>
        <v/>
      </c>
      <c r="V73" s="22">
        <f t="array" ref="V73">IF(ISBLANK($B73),"",IF(ISBLANK($K73),IF(XLOOKUP($W73,'Category Mapping'!$C:$C,'Category Mapping'!$B:$B)="Travel",XLOOKUP($P73,'Department Listing'!$A:$A,'Department Listing'!$M:$M),XLOOKUP($W73,'Category Mapping'!$C:$C,'Category Mapping'!$D:$D)),$K73))</f>
        <v/>
      </c>
      <c r="W73" s="22">
        <f>IF(ISBLANK($B73),"",IF(ISBLANK($L73),RIGHT($E73,LEN($E73) - FIND("^",SUBSTITUTE($E73,":","^",LEN($E73) - LEN(SUBSTITUTE($E73,":",""))))),$L73))</f>
        <v/>
      </c>
      <c r="X73" s="22">
        <f>IF(ISBLANK($J73),$V73&amp;$W73,$J73)</f>
        <v/>
      </c>
      <c r="Y73" s="23">
        <f t="array" ref="Y73">IF(ISBLANK($M73),IFERROR(XLOOKUP($P73,'Department Listing'!$A:$A,'Department Listing'!$L:$L),""),$M73)</f>
        <v/>
      </c>
      <c r="Z73" s="11">
        <f>IF(ISBLANK($B73),"",MATCH($X73,COA!$B:$B,0))</f>
        <v/>
      </c>
      <c r="AB73" s="11" t="n"/>
    </row>
    <row r="74" ht="15.75" customHeight="1" s="52">
      <c r="B74" s="17" t="n">
        <v>46168</v>
      </c>
      <c r="C74" s="18" t="inlineStr">
        <is>
          <t>Vistaprint MASTERCARD-544015XXXXXX0918-Brooke Berg</t>
        </is>
      </c>
      <c r="D74" s="18" t="inlineStr">
        <is>
          <t>VistaPrint</t>
        </is>
      </c>
      <c r="E74" s="18" t="inlineStr">
        <is>
          <t>61190 Sales &amp; Marketing:Marketing Expenses:Other Marketing Expenses</t>
        </is>
      </c>
      <c r="F74" s="19" t="n">
        <v>139.16</v>
      </c>
      <c r="H74" s="10" t="n"/>
      <c r="I74" s="9" t="n"/>
      <c r="J74" s="9" t="n"/>
      <c r="K74" s="9" t="n"/>
      <c r="L74" s="9" t="n"/>
      <c r="M74" s="9" t="n"/>
      <c r="N74" s="20" t="n"/>
      <c r="O74" s="20">
        <f>IF(C74="", "", TRIM(RIGHT(C74, LEN(C74) - FIND("@@", SUBSTITUTE(C74, "-", "@@", LEN(C74) - LEN(SUBSTITUTE(C74, "-", "")))))))</f>
        <v/>
      </c>
      <c r="P74" s="20">
        <f t="array" ref="P74">IFERROR(XLOOKUP(O74,'Department Listing'!$O$1:$O$395,'Department Listing'!$A$1:$A$395),IFERROR(XLOOKUP(O74,'Name Aliases'!$A$2:$A$1000,'Name Aliases'!$B$2:$B$1000),""))</f>
        <v/>
      </c>
      <c r="Q74" s="21">
        <f>IF(ISBLANK($C74),"",$B74)</f>
        <v/>
      </c>
      <c r="R74" s="20">
        <f>IF(ISBLANK($C74),"",IF(ISBLANK($I74),$D74,$I74))</f>
        <v/>
      </c>
      <c r="S74" s="22">
        <f>IF(ISBLANK($C74),"",$F74 - $G74)</f>
        <v/>
      </c>
      <c r="T74" s="20">
        <f>IF(ISBLANK($C74),"",C74)</f>
        <v/>
      </c>
      <c r="U74" s="20">
        <f>IF(ISBLANK($C74),"",$D$1)</f>
        <v/>
      </c>
      <c r="V74" s="22">
        <f t="array" ref="V74">IF(ISBLANK($B74),"",IF(ISBLANK($K74),IF(XLOOKUP($W74,'Category Mapping'!$C:$C,'Category Mapping'!$B:$B)="Travel",XLOOKUP($P74,'Department Listing'!$A:$A,'Department Listing'!$M:$M),XLOOKUP($W74,'Category Mapping'!$C:$C,'Category Mapping'!$D:$D)),$K74))</f>
        <v/>
      </c>
      <c r="W74" s="22">
        <f>IF(ISBLANK($B74),"",IF(ISBLANK($L74),RIGHT($E74,LEN($E74) - FIND("^",SUBSTITUTE($E74,":","^",LEN($E74) - LEN(SUBSTITUTE($E74,":",""))))),$L74))</f>
        <v/>
      </c>
      <c r="X74" s="22">
        <f>IF(ISBLANK($J74),$V74&amp;$W74,$J74)</f>
        <v/>
      </c>
      <c r="Y74" s="23">
        <f t="array" ref="Y74">IF(ISBLANK($M74),IFERROR(XLOOKUP($P74,'Department Listing'!$A:$A,'Department Listing'!$L:$L),""),$M74)</f>
        <v/>
      </c>
      <c r="Z74" s="11">
        <f>IF(ISBLANK($B74),"",MATCH($X74,COA!$B:$B,0))</f>
        <v/>
      </c>
      <c r="AB74" s="11" t="n"/>
    </row>
    <row r="75" ht="15.75" customHeight="1" s="52">
      <c r="B75" s="17" t="n">
        <v>46169</v>
      </c>
      <c r="C75" s="18" t="inlineStr">
        <is>
          <t>Uber HQ MASTERCARD-544015XXXXXX8678-John Taylor</t>
        </is>
      </c>
      <c r="D75" s="18" t="inlineStr">
        <is>
          <t>Uber</t>
        </is>
      </c>
      <c r="E75" s="18" t="inlineStr">
        <is>
          <t>61220 Sales &amp; Marketing:Sales &amp; Marketing- Travel Expenses:Ground Transportation</t>
        </is>
      </c>
      <c r="F75" s="19" t="n">
        <v>105.93</v>
      </c>
      <c r="H75" s="10" t="n"/>
      <c r="I75" s="9" t="n"/>
      <c r="J75" s="9" t="n"/>
      <c r="K75" s="9" t="n"/>
      <c r="L75" s="9" t="n"/>
      <c r="M75" s="9" t="n"/>
      <c r="N75" s="20" t="n"/>
      <c r="O75" s="20">
        <f>IF(C75="", "", TRIM(RIGHT(C75, LEN(C75) - FIND("@@", SUBSTITUTE(C75, "-", "@@", LEN(C75) - LEN(SUBSTITUTE(C75, "-", "")))))))</f>
        <v/>
      </c>
      <c r="P75" s="20">
        <f t="array" ref="P75">IFERROR(XLOOKUP(O75,'Department Listing'!$O$1:$O$395,'Department Listing'!$A$1:$A$395),IFERROR(XLOOKUP(O75,'Name Aliases'!$A$2:$A$1000,'Name Aliases'!$B$2:$B$1000),""))</f>
        <v/>
      </c>
      <c r="Q75" s="21">
        <f>IF(ISBLANK($C75),"",$B75)</f>
        <v/>
      </c>
      <c r="R75" s="20">
        <f>IF(ISBLANK($C75),"",IF(ISBLANK($I75),$D75,$I75))</f>
        <v/>
      </c>
      <c r="S75" s="22">
        <f>IF(ISBLANK($C75),"",$F75 - $G75)</f>
        <v/>
      </c>
      <c r="T75" s="20">
        <f>IF(ISBLANK($C75),"",C75)</f>
        <v/>
      </c>
      <c r="U75" s="20">
        <f>IF(ISBLANK($C75),"",$D$1)</f>
        <v/>
      </c>
      <c r="V75" s="22">
        <f t="array" ref="V75">IF(ISBLANK($B75),"",IF(ISBLANK($K75),IF(XLOOKUP($W75,'Category Mapping'!$C:$C,'Category Mapping'!$B:$B)="Travel",XLOOKUP($P75,'Department Listing'!$A:$A,'Department Listing'!$M:$M),XLOOKUP($W75,'Category Mapping'!$C:$C,'Category Mapping'!$D:$D)),$K75))</f>
        <v/>
      </c>
      <c r="W75" s="22">
        <f>IF(ISBLANK($B75),"",IF(ISBLANK($L75),RIGHT($E75,LEN($E75) - FIND("^",SUBSTITUTE($E75,":","^",LEN($E75) - LEN(SUBSTITUTE($E75,":",""))))),$L75))</f>
        <v/>
      </c>
      <c r="X75" s="22">
        <f>IF(ISBLANK($J75),$V75&amp;$W75,$J75)</f>
        <v/>
      </c>
      <c r="Y75" s="23">
        <f t="array" ref="Y75">IF(ISBLANK($M75),IFERROR(XLOOKUP($P75,'Department Listing'!$A:$A,'Department Listing'!$L:$L),""),$M75)</f>
        <v/>
      </c>
      <c r="Z75" s="11">
        <f>IF(ISBLANK($B75),"",MATCH($X75,COA!$B:$B,0))</f>
        <v/>
      </c>
      <c r="AB75" s="11" t="n"/>
    </row>
    <row r="76" ht="15.75" customHeight="1" s="52">
      <c r="B76" s="17" t="n">
        <v>46170</v>
      </c>
      <c r="C76" s="18" t="inlineStr">
        <is>
          <t>Amazon Marketplace US MASTERCARD-544015XXXXXX8091-Brooke Berg</t>
        </is>
      </c>
      <c r="D76" s="18" t="inlineStr">
        <is>
          <t>Amazon</t>
        </is>
      </c>
      <c r="E76" s="18" t="inlineStr">
        <is>
          <t>63410 General &amp; Administrative:Office Expenses:Office Supplies</t>
        </is>
      </c>
      <c r="F76" s="19" t="n">
        <v>97.72</v>
      </c>
      <c r="H76" s="10" t="n"/>
      <c r="I76" s="9" t="n"/>
      <c r="J76" s="9" t="n"/>
      <c r="K76" s="9" t="n"/>
      <c r="L76" s="9" t="n"/>
      <c r="M76" s="9" t="n"/>
      <c r="N76" s="20" t="n"/>
      <c r="O76" s="20">
        <f>IF(C76="", "", TRIM(RIGHT(C76, LEN(C76) - FIND("@@", SUBSTITUTE(C76, "-", "@@", LEN(C76) - LEN(SUBSTITUTE(C76, "-", "")))))))</f>
        <v/>
      </c>
      <c r="P76" s="20">
        <f t="array" ref="P76">IFERROR(XLOOKUP(O76,'Department Listing'!$O$1:$O$395,'Department Listing'!$A$1:$A$395),IFERROR(XLOOKUP(O76,'Name Aliases'!$A$2:$A$1000,'Name Aliases'!$B$2:$B$1000),""))</f>
        <v/>
      </c>
      <c r="Q76" s="21">
        <f>IF(ISBLANK($C76),"",$B76)</f>
        <v/>
      </c>
      <c r="R76" s="20">
        <f>IF(ISBLANK($C76),"",IF(ISBLANK($I76),$D76,$I76))</f>
        <v/>
      </c>
      <c r="S76" s="22">
        <f>IF(ISBLANK($C76),"",$F76 - $G76)</f>
        <v/>
      </c>
      <c r="T76" s="20">
        <f>IF(ISBLANK($C76),"",C76)</f>
        <v/>
      </c>
      <c r="U76" s="20">
        <f>IF(ISBLANK($C76),"",$D$1)</f>
        <v/>
      </c>
      <c r="V76" s="22">
        <f t="array" ref="V76">IF(ISBLANK($B76),"",IF(ISBLANK($K76),IF(XLOOKUP($W76,'Category Mapping'!$C:$C,'Category Mapping'!$B:$B)="Travel",XLOOKUP($P76,'Department Listing'!$A:$A,'Department Listing'!$M:$M),XLOOKUP($W76,'Category Mapping'!$C:$C,'Category Mapping'!$D:$D)),$K76))</f>
        <v/>
      </c>
      <c r="W76" s="22">
        <f>IF(ISBLANK($B76),"",IF(ISBLANK($L76),RIGHT($E76,LEN($E76) - FIND("^",SUBSTITUTE($E76,":","^",LEN($E76) - LEN(SUBSTITUTE($E76,":",""))))),$L76))</f>
        <v/>
      </c>
      <c r="X76" s="22">
        <f>IF(ISBLANK($J76),$V76&amp;$W76,$J76)</f>
        <v/>
      </c>
      <c r="Y76" s="23">
        <f t="array" ref="Y76">IF(ISBLANK($M76),IFERROR(XLOOKUP($P76,'Department Listing'!$A:$A,'Department Listing'!$L:$L),""),$M76)</f>
        <v/>
      </c>
      <c r="Z76" s="11">
        <f>IF(ISBLANK($B76),"",MATCH($X76,COA!$B:$B,0))</f>
        <v/>
      </c>
      <c r="AB76" s="11" t="n"/>
    </row>
    <row r="77" ht="15.75" customHeight="1" s="52">
      <c r="B77" s="17" t="n">
        <v>46169</v>
      </c>
      <c r="C77" s="18" t="inlineStr">
        <is>
          <t>Uber HQ MASTERCARD-544015XXXXXX9350-Gary Passaglia</t>
        </is>
      </c>
      <c r="D77" s="18" t="inlineStr">
        <is>
          <t>Uber</t>
        </is>
      </c>
      <c r="E77" s="18" t="inlineStr">
        <is>
          <t>61220 Sales &amp; Marketing:Sales &amp; Marketing- Travel Expenses:Ground Transportation</t>
        </is>
      </c>
      <c r="F77" s="19" t="n">
        <v>89.09</v>
      </c>
      <c r="H77" s="10" t="n"/>
      <c r="I77" s="9" t="n"/>
      <c r="J77" s="9" t="n"/>
      <c r="K77" s="9" t="n"/>
      <c r="L77" s="9" t="n"/>
      <c r="M77" s="9" t="n"/>
      <c r="N77" s="20" t="n"/>
      <c r="O77" s="20">
        <f>IF(C77="", "", TRIM(RIGHT(C77, LEN(C77) - FIND("@@", SUBSTITUTE(C77, "-", "@@", LEN(C77) - LEN(SUBSTITUTE(C77, "-", "")))))))</f>
        <v/>
      </c>
      <c r="P77" s="20">
        <f t="array" ref="P77">IFERROR(XLOOKUP(O77,'Department Listing'!$O$1:$O$395,'Department Listing'!$A$1:$A$395),IFERROR(XLOOKUP(O77,'Name Aliases'!$A$2:$A$1000,'Name Aliases'!$B$2:$B$1000),""))</f>
        <v/>
      </c>
      <c r="Q77" s="21">
        <f>IF(ISBLANK($C77),"",$B77)</f>
        <v/>
      </c>
      <c r="R77" s="20">
        <f>IF(ISBLANK($C77),"",IF(ISBLANK($I77),$D77,$I77))</f>
        <v/>
      </c>
      <c r="S77" s="22">
        <f>IF(ISBLANK($C77),"",$F77 - $G77)</f>
        <v/>
      </c>
      <c r="T77" s="20">
        <f>IF(ISBLANK($C77),"",C77)</f>
        <v/>
      </c>
      <c r="U77" s="20">
        <f>IF(ISBLANK($C77),"",$D$1)</f>
        <v/>
      </c>
      <c r="V77" s="22">
        <f t="array" ref="V77">IF(ISBLANK($B77),"",IF(ISBLANK($K77),IF(XLOOKUP($W77,'Category Mapping'!$C:$C,'Category Mapping'!$B:$B)="Travel",XLOOKUP($P77,'Department Listing'!$A:$A,'Department Listing'!$M:$M),XLOOKUP($W77,'Category Mapping'!$C:$C,'Category Mapping'!$D:$D)),$K77))</f>
        <v/>
      </c>
      <c r="W77" s="22">
        <f>IF(ISBLANK($B77),"",IF(ISBLANK($L77),RIGHT($E77,LEN($E77) - FIND("^",SUBSTITUTE($E77,":","^",LEN($E77) - LEN(SUBSTITUTE($E77,":",""))))),$L77))</f>
        <v/>
      </c>
      <c r="X77" s="22">
        <f>IF(ISBLANK($J77),$V77&amp;$W77,$J77)</f>
        <v/>
      </c>
      <c r="Y77" s="23">
        <f t="array" ref="Y77">IF(ISBLANK($M77),IFERROR(XLOOKUP($P77,'Department Listing'!$A:$A,'Department Listing'!$L:$L),""),$M77)</f>
        <v/>
      </c>
      <c r="Z77" s="11">
        <f>IF(ISBLANK($B77),"",MATCH($X77,COA!$B:$B,0))</f>
        <v/>
      </c>
      <c r="AB77" s="11" t="n"/>
    </row>
    <row r="78" ht="15.75" customHeight="1" s="52">
      <c r="B78" s="17" t="n">
        <v>46169</v>
      </c>
      <c r="C78" s="18" t="inlineStr">
        <is>
          <t>PKL Boston MASTERCARD-555671XXXXXX3587-Pooja Manjeshwar</t>
        </is>
      </c>
      <c r="D78" s="18" t="inlineStr">
        <is>
          <t>PKL Boston</t>
        </is>
      </c>
      <c r="E78" s="18" t="inlineStr">
        <is>
          <t>61240 Sales &amp; Marketing:Sales &amp; Marketing- Travel Expenses:Meals &amp; Entertainment</t>
        </is>
      </c>
      <c r="F78" s="19" t="n">
        <v>80</v>
      </c>
      <c r="H78" s="10" t="n"/>
      <c r="I78" s="9" t="n"/>
      <c r="J78" s="9" t="n"/>
      <c r="K78" s="9" t="n"/>
      <c r="L78" s="9" t="n"/>
      <c r="M78" s="9" t="n"/>
      <c r="N78" s="20" t="n"/>
      <c r="O78" s="20">
        <f>IF(C78="", "", TRIM(RIGHT(C78, LEN(C78) - FIND("@@", SUBSTITUTE(C78, "-", "@@", LEN(C78) - LEN(SUBSTITUTE(C78, "-", "")))))))</f>
        <v/>
      </c>
      <c r="P78" s="20">
        <f t="array" ref="P78">IFERROR(XLOOKUP(O78,'Department Listing'!$O$1:$O$395,'Department Listing'!$A$1:$A$395),IFERROR(XLOOKUP(O78,'Name Aliases'!$A$2:$A$1000,'Name Aliases'!$B$2:$B$1000),""))</f>
        <v/>
      </c>
      <c r="Q78" s="21">
        <f>IF(ISBLANK($C78),"",$B78)</f>
        <v/>
      </c>
      <c r="R78" s="20">
        <f>IF(ISBLANK($C78),"",IF(ISBLANK($I78),$D78,$I78))</f>
        <v/>
      </c>
      <c r="S78" s="22">
        <f>IF(ISBLANK($C78),"",$F78 - $G78)</f>
        <v/>
      </c>
      <c r="T78" s="20">
        <f>IF(ISBLANK($C78),"",C78)</f>
        <v/>
      </c>
      <c r="U78" s="20">
        <f>IF(ISBLANK($C78),"",$D$1)</f>
        <v/>
      </c>
      <c r="V78" s="22">
        <f t="array" ref="V78">IF(ISBLANK($B78),"",IF(ISBLANK($K78),IF(XLOOKUP($W78,'Category Mapping'!$C:$C,'Category Mapping'!$B:$B)="Travel",XLOOKUP($P78,'Department Listing'!$A:$A,'Department Listing'!$M:$M),XLOOKUP($W78,'Category Mapping'!$C:$C,'Category Mapping'!$D:$D)),$K78))</f>
        <v/>
      </c>
      <c r="W78" s="22">
        <f>IF(ISBLANK($B78),"",IF(ISBLANK($L78),RIGHT($E78,LEN($E78) - FIND("^",SUBSTITUTE($E78,":","^",LEN($E78) - LEN(SUBSTITUTE($E78,":",""))))),$L78))</f>
        <v/>
      </c>
      <c r="X78" s="22">
        <f>IF(ISBLANK($J78),$V78&amp;$W78,$J78)</f>
        <v/>
      </c>
      <c r="Y78" s="23">
        <f t="array" ref="Y78">IF(ISBLANK($M78),IFERROR(XLOOKUP($P78,'Department Listing'!$A:$A,'Department Listing'!$L:$L),""),$M78)</f>
        <v/>
      </c>
      <c r="Z78" s="11">
        <f>IF(ISBLANK($B78),"",MATCH($X78,COA!$B:$B,0))</f>
        <v/>
      </c>
      <c r="AB78" s="11" t="n"/>
    </row>
    <row r="79" ht="15.75" customHeight="1" s="52">
      <c r="B79" s="17" t="n">
        <v>46169</v>
      </c>
      <c r="C79" s="18" t="inlineStr">
        <is>
          <t>PKL Boston MASTERCARD-555671XXXXXX3587-Pooja Manjeshwar</t>
        </is>
      </c>
      <c r="D79" s="18" t="inlineStr">
        <is>
          <t>PKL Boston</t>
        </is>
      </c>
      <c r="E79" s="18" t="inlineStr">
        <is>
          <t>61240 Sales &amp; Marketing:Sales &amp; Marketing- Travel Expenses:Meals &amp; Entertainment</t>
        </is>
      </c>
      <c r="F79" s="19" t="n">
        <v>80</v>
      </c>
      <c r="H79" s="10" t="n"/>
      <c r="I79" s="9" t="n"/>
      <c r="J79" s="9" t="n"/>
      <c r="K79" s="9" t="n"/>
      <c r="L79" s="9" t="n"/>
      <c r="M79" s="9" t="n"/>
      <c r="N79" s="20" t="n"/>
      <c r="O79" s="20">
        <f>IF(C79="", "", TRIM(RIGHT(C79, LEN(C79) - FIND("@@", SUBSTITUTE(C79, "-", "@@", LEN(C79) - LEN(SUBSTITUTE(C79, "-", "")))))))</f>
        <v/>
      </c>
      <c r="P79" s="20">
        <f t="array" ref="P79">IFERROR(XLOOKUP(O79,'Department Listing'!$O$1:$O$395,'Department Listing'!$A$1:$A$395),IFERROR(XLOOKUP(O79,'Name Aliases'!$A$2:$A$1000,'Name Aliases'!$B$2:$B$1000),""))</f>
        <v/>
      </c>
      <c r="Q79" s="21">
        <f>IF(ISBLANK($C79),"",$B79)</f>
        <v/>
      </c>
      <c r="R79" s="20">
        <f>IF(ISBLANK($C79),"",IF(ISBLANK($I79),$D79,$I79))</f>
        <v/>
      </c>
      <c r="S79" s="22">
        <f>IF(ISBLANK($C79),"",$F79 - $G79)</f>
        <v/>
      </c>
      <c r="T79" s="20">
        <f>IF(ISBLANK($C79),"",C79)</f>
        <v/>
      </c>
      <c r="U79" s="20">
        <f>IF(ISBLANK($C79),"",$D$1)</f>
        <v/>
      </c>
      <c r="V79" s="22">
        <f t="array" ref="V79">IF(ISBLANK($B79),"",IF(ISBLANK($K79),IF(XLOOKUP($W79,'Category Mapping'!$C:$C,'Category Mapping'!$B:$B)="Travel",XLOOKUP($P79,'Department Listing'!$A:$A,'Department Listing'!$M:$M),XLOOKUP($W79,'Category Mapping'!$C:$C,'Category Mapping'!$D:$D)),$K79))</f>
        <v/>
      </c>
      <c r="W79" s="22">
        <f>IF(ISBLANK($B79),"",IF(ISBLANK($L79),RIGHT($E79,LEN($E79) - FIND("^",SUBSTITUTE($E79,":","^",LEN($E79) - LEN(SUBSTITUTE($E79,":",""))))),$L79))</f>
        <v/>
      </c>
      <c r="X79" s="22">
        <f>IF(ISBLANK($J79),$V79&amp;$W79,$J79)</f>
        <v/>
      </c>
      <c r="Y79" s="23">
        <f t="array" ref="Y79">IF(ISBLANK($M79),IFERROR(XLOOKUP($P79,'Department Listing'!$A:$A,'Department Listing'!$L:$L),""),$M79)</f>
        <v/>
      </c>
      <c r="Z79" s="11">
        <f>IF(ISBLANK($B79),"",MATCH($X79,COA!$B:$B,0))</f>
        <v/>
      </c>
      <c r="AB79" s="11" t="n"/>
    </row>
    <row r="80" ht="15.75" customHeight="1" s="52">
      <c r="B80" s="17" t="n">
        <v>46164</v>
      </c>
      <c r="C80" s="18" t="inlineStr">
        <is>
          <t>Presidio Golf Course Cafe MASTERCARD-544015XXXXXX2445-Tyler Grimshaw</t>
        </is>
      </c>
      <c r="E80" s="18" t="inlineStr">
        <is>
          <t>61240 Sales &amp; Marketing:Sales &amp; Marketing- Travel Expenses:Meals &amp; Entertainment</t>
        </is>
      </c>
      <c r="F80" s="19" t="n">
        <v>79.12</v>
      </c>
      <c r="H80" s="10" t="n"/>
      <c r="I80" s="9" t="inlineStr">
        <is>
          <t>Food Vendor</t>
        </is>
      </c>
      <c r="J80" s="9" t="n"/>
      <c r="K80" s="9" t="n"/>
      <c r="L80" s="9" t="n"/>
      <c r="M80" s="9" t="n"/>
      <c r="N80" s="20" t="n"/>
      <c r="O80" s="20">
        <f>IF(C80="", "", TRIM(RIGHT(C80, LEN(C80) - FIND("@@", SUBSTITUTE(C80, "-", "@@", LEN(C80) - LEN(SUBSTITUTE(C80, "-", "")))))))</f>
        <v/>
      </c>
      <c r="P80" s="20">
        <f t="array" ref="P80">IFERROR(XLOOKUP(O80,'Department Listing'!$O$1:$O$395,'Department Listing'!$A$1:$A$395),IFERROR(XLOOKUP(O80,'Name Aliases'!$A$2:$A$1000,'Name Aliases'!$B$2:$B$1000),""))</f>
        <v/>
      </c>
      <c r="Q80" s="21">
        <f>IF(ISBLANK($C80),"",$B80)</f>
        <v/>
      </c>
      <c r="R80" s="20">
        <f>IF(ISBLANK($C80),"",IF(ISBLANK($I80),$D80,$I80))</f>
        <v/>
      </c>
      <c r="S80" s="22">
        <f>IF(ISBLANK($C80),"",$F80 - $G80)</f>
        <v/>
      </c>
      <c r="T80" s="20">
        <f>IF(ISBLANK($C80),"",C80)</f>
        <v/>
      </c>
      <c r="U80" s="20">
        <f>IF(ISBLANK($C80),"",$D$1)</f>
        <v/>
      </c>
      <c r="V80" s="22">
        <f t="array" ref="V80">IF(ISBLANK($B80),"",IF(ISBLANK($K80),IF(XLOOKUP($W80,'Category Mapping'!$C:$C,'Category Mapping'!$B:$B)="Travel",XLOOKUP($P80,'Department Listing'!$A:$A,'Department Listing'!$M:$M),XLOOKUP($W80,'Category Mapping'!$C:$C,'Category Mapping'!$D:$D)),$K80))</f>
        <v/>
      </c>
      <c r="W80" s="22">
        <f>IF(ISBLANK($B80),"",IF(ISBLANK($L80),RIGHT($E80,LEN($E80) - FIND("^",SUBSTITUTE($E80,":","^",LEN($E80) - LEN(SUBSTITUTE($E80,":",""))))),$L80))</f>
        <v/>
      </c>
      <c r="X80" s="22">
        <f>IF(ISBLANK($J80),$V80&amp;$W80,$J80)</f>
        <v/>
      </c>
      <c r="Y80" s="23">
        <f t="array" ref="Y80">IF(ISBLANK($M80),IFERROR(XLOOKUP($P80,'Department Listing'!$A:$A,'Department Listing'!$L:$L),""),$M80)</f>
        <v/>
      </c>
      <c r="Z80" s="11">
        <f>IF(ISBLANK($B80),"",MATCH($X80,COA!$B:$B,0))</f>
        <v/>
      </c>
      <c r="AB80" s="11" t="n"/>
    </row>
    <row r="81" ht="15.75" customHeight="1" s="52">
      <c r="B81" s="17" t="n">
        <v>46170</v>
      </c>
      <c r="C81" s="18" t="inlineStr">
        <is>
          <t>Grand Central Oyster Bar MASTERCARD-544015XXXXXX2900-Chloe Brant</t>
        </is>
      </c>
      <c r="E81" s="18" t="inlineStr">
        <is>
          <t>61240 Sales &amp; Marketing:Sales &amp; Marketing- Travel Expenses:Meals &amp; Entertainment</t>
        </is>
      </c>
      <c r="F81" s="19" t="n">
        <v>71.34</v>
      </c>
      <c r="H81" s="10" t="n"/>
      <c r="I81" s="9" t="inlineStr">
        <is>
          <t>Food Vendor</t>
        </is>
      </c>
      <c r="J81" s="9" t="n"/>
      <c r="K81" s="9" t="n"/>
      <c r="L81" s="9" t="n"/>
      <c r="M81" s="9" t="n"/>
      <c r="N81" s="20" t="n"/>
      <c r="O81" s="20">
        <f>IF(C81="", "", TRIM(RIGHT(C81, LEN(C81) - FIND("@@", SUBSTITUTE(C81, "-", "@@", LEN(C81) - LEN(SUBSTITUTE(C81, "-", "")))))))</f>
        <v/>
      </c>
      <c r="P81" s="20">
        <f t="array" ref="P81">IFERROR(XLOOKUP(O81,'Department Listing'!$O$1:$O$395,'Department Listing'!$A$1:$A$395),IFERROR(XLOOKUP(O81,'Name Aliases'!$A$2:$A$1000,'Name Aliases'!$B$2:$B$1000),""))</f>
        <v/>
      </c>
      <c r="Q81" s="21">
        <f>IF(ISBLANK($C81),"",$B81)</f>
        <v/>
      </c>
      <c r="R81" s="20">
        <f>IF(ISBLANK($C81),"",IF(ISBLANK($I81),$D81,$I81))</f>
        <v/>
      </c>
      <c r="S81" s="22">
        <f>IF(ISBLANK($C81),"",$F81 - $G81)</f>
        <v/>
      </c>
      <c r="T81" s="20">
        <f>IF(ISBLANK($C81),"",C81)</f>
        <v/>
      </c>
      <c r="U81" s="20">
        <f>IF(ISBLANK($C81),"",$D$1)</f>
        <v/>
      </c>
      <c r="V81" s="22">
        <f t="array" ref="V81">IF(ISBLANK($B81),"",IF(ISBLANK($K81),IF(XLOOKUP($W81,'Category Mapping'!$C:$C,'Category Mapping'!$B:$B)="Travel",XLOOKUP($P81,'Department Listing'!$A:$A,'Department Listing'!$M:$M),XLOOKUP($W81,'Category Mapping'!$C:$C,'Category Mapping'!$D:$D)),$K81))</f>
        <v/>
      </c>
      <c r="W81" s="22">
        <f>IF(ISBLANK($B81),"",IF(ISBLANK($L81),RIGHT($E81,LEN($E81) - FIND("^",SUBSTITUTE($E81,":","^",LEN($E81) - LEN(SUBSTITUTE($E81,":",""))))),$L81))</f>
        <v/>
      </c>
      <c r="X81" s="22">
        <f>IF(ISBLANK($J81),$V81&amp;$W81,$J81)</f>
        <v/>
      </c>
      <c r="Y81" s="23">
        <f t="array" ref="Y81">IF(ISBLANK($M81),IFERROR(XLOOKUP($P81,'Department Listing'!$A:$A,'Department Listing'!$L:$L),""),$M81)</f>
        <v/>
      </c>
      <c r="Z81" s="11">
        <f>IF(ISBLANK($B81),"",MATCH($X81,COA!$B:$B,0))</f>
        <v/>
      </c>
      <c r="AB81" s="11" t="n"/>
    </row>
    <row r="82" ht="15.75" customHeight="1" s="52">
      <c r="B82" s="17" t="n">
        <v>46164</v>
      </c>
      <c r="C82" s="18" t="inlineStr">
        <is>
          <t>Lyft MASTERCARD-544015XXXXXX7759-Mickenzi Krpec</t>
        </is>
      </c>
      <c r="D82" s="18" t="inlineStr">
        <is>
          <t>Lyft</t>
        </is>
      </c>
      <c r="E82" s="18" t="inlineStr">
        <is>
          <t>61220 Sales &amp; Marketing:Sales &amp; Marketing- Travel Expenses:Ground Transportation</t>
        </is>
      </c>
      <c r="F82" s="19" t="n">
        <v>68.28</v>
      </c>
      <c r="H82" s="10" t="n"/>
      <c r="I82" s="9" t="n"/>
      <c r="J82" s="9" t="n"/>
      <c r="K82" s="9" t="n"/>
      <c r="L82" s="9" t="n"/>
      <c r="M82" s="9" t="n"/>
      <c r="N82" s="20" t="n"/>
      <c r="O82" s="20">
        <f>IF(C82="", "", TRIM(RIGHT(C82, LEN(C82) - FIND("@@", SUBSTITUTE(C82, "-", "@@", LEN(C82) - LEN(SUBSTITUTE(C82, "-", "")))))))</f>
        <v/>
      </c>
      <c r="P82" s="20">
        <f t="array" ref="P82">IFERROR(XLOOKUP(O82,'Department Listing'!$O$1:$O$395,'Department Listing'!$A$1:$A$395),IFERROR(XLOOKUP(O82,'Name Aliases'!$A$2:$A$1000,'Name Aliases'!$B$2:$B$1000),""))</f>
        <v/>
      </c>
      <c r="Q82" s="21">
        <f>IF(ISBLANK($C82),"",$B82)</f>
        <v/>
      </c>
      <c r="R82" s="20">
        <f>IF(ISBLANK($C82),"",IF(ISBLANK($I82),$D82,$I82))</f>
        <v/>
      </c>
      <c r="S82" s="22">
        <f>IF(ISBLANK($C82),"",$F82 - $G82)</f>
        <v/>
      </c>
      <c r="T82" s="20">
        <f>IF(ISBLANK($C82),"",C82)</f>
        <v/>
      </c>
      <c r="U82" s="20">
        <f>IF(ISBLANK($C82),"",$D$1)</f>
        <v/>
      </c>
      <c r="V82" s="22">
        <f t="array" ref="V82">IF(ISBLANK($B82),"",IF(ISBLANK($K82),IF(XLOOKUP($W82,'Category Mapping'!$C:$C,'Category Mapping'!$B:$B)="Travel",XLOOKUP($P82,'Department Listing'!$A:$A,'Department Listing'!$M:$M),XLOOKUP($W82,'Category Mapping'!$C:$C,'Category Mapping'!$D:$D)),$K82))</f>
        <v/>
      </c>
      <c r="W82" s="22">
        <f>IF(ISBLANK($B82),"",IF(ISBLANK($L82),RIGHT($E82,LEN($E82) - FIND("^",SUBSTITUTE($E82,":","^",LEN($E82) - LEN(SUBSTITUTE($E82,":",""))))),$L82))</f>
        <v/>
      </c>
      <c r="X82" s="22">
        <f>IF(ISBLANK($J82),$V82&amp;$W82,$J82)</f>
        <v/>
      </c>
      <c r="Y82" s="23">
        <f t="array" ref="Y82">IF(ISBLANK($M82),IFERROR(XLOOKUP($P82,'Department Listing'!$A:$A,'Department Listing'!$L:$L),""),$M82)</f>
        <v/>
      </c>
      <c r="Z82" s="11">
        <f>IF(ISBLANK($B82),"",MATCH($X82,COA!$B:$B,0))</f>
        <v/>
      </c>
      <c r="AB82" s="11" t="n"/>
    </row>
    <row r="83" ht="15.75" customHeight="1" s="52">
      <c r="B83" s="17" t="n">
        <v>46168</v>
      </c>
      <c r="C83" s="18" t="inlineStr">
        <is>
          <t>Uber Eats MASTERCARD-544015XXXXXX2900-Chloe Brant</t>
        </is>
      </c>
      <c r="D83" s="18" t="inlineStr">
        <is>
          <t>Uber Eats</t>
        </is>
      </c>
      <c r="E83" s="18" t="inlineStr">
        <is>
          <t>61240 Sales &amp; Marketing:Sales &amp; Marketing- Travel Expenses:Meals &amp; Entertainment</t>
        </is>
      </c>
      <c r="F83" s="19" t="n">
        <v>63.41</v>
      </c>
      <c r="H83" s="10" t="n"/>
      <c r="I83" s="9" t="n"/>
      <c r="J83" s="9" t="n"/>
      <c r="K83" s="25" t="n"/>
      <c r="L83" s="25" t="n"/>
      <c r="M83" s="9" t="n"/>
      <c r="N83" s="20" t="n"/>
      <c r="O83" s="20">
        <f>IF(C83="", "", TRIM(RIGHT(C83, LEN(C83) - FIND("@@", SUBSTITUTE(C83, "-", "@@", LEN(C83) - LEN(SUBSTITUTE(C83, "-", "")))))))</f>
        <v/>
      </c>
      <c r="P83" s="20">
        <f t="array" ref="P83">IFERROR(XLOOKUP(O83,'Department Listing'!$O$1:$O$395,'Department Listing'!$A$1:$A$395),IFERROR(XLOOKUP(O83,'Name Aliases'!$A$2:$A$1000,'Name Aliases'!$B$2:$B$1000),""))</f>
        <v/>
      </c>
      <c r="Q83" s="21">
        <f>IF(ISBLANK($C83),"",$B83)</f>
        <v/>
      </c>
      <c r="R83" s="20">
        <f>IF(ISBLANK($C83),"",IF(ISBLANK($I83),$D83,$I83))</f>
        <v/>
      </c>
      <c r="S83" s="22">
        <f>IF(ISBLANK($C83),"",$F83 - $G83)</f>
        <v/>
      </c>
      <c r="T83" s="20">
        <f>IF(ISBLANK($C83),"",C83)</f>
        <v/>
      </c>
      <c r="U83" s="20">
        <f>IF(ISBLANK($C83),"",$D$1)</f>
        <v/>
      </c>
      <c r="V83" s="22">
        <f t="array" ref="V83">IF(ISBLANK($B83),"",IF(ISBLANK($K83),IF(XLOOKUP($W83,'Category Mapping'!$C:$C,'Category Mapping'!$B:$B)="Travel",XLOOKUP($P83,'Department Listing'!$A:$A,'Department Listing'!$M:$M),XLOOKUP($W83,'Category Mapping'!$C:$C,'Category Mapping'!$D:$D)),$K83))</f>
        <v/>
      </c>
      <c r="W83" s="22">
        <f>IF(ISBLANK($B83),"",IF(ISBLANK($L83),RIGHT($E83,LEN($E83) - FIND("^",SUBSTITUTE($E83,":","^",LEN($E83) - LEN(SUBSTITUTE($E83,":",""))))),$L83))</f>
        <v/>
      </c>
      <c r="X83" s="22">
        <f>IF(ISBLANK($J83),$V83&amp;$W83,$J83)</f>
        <v/>
      </c>
      <c r="Y83" s="23">
        <f t="array" ref="Y83">IF(ISBLANK($M83),IFERROR(XLOOKUP($P83,'Department Listing'!$A:$A,'Department Listing'!$L:$L),""),$M83)</f>
        <v/>
      </c>
      <c r="Z83" s="11">
        <f>IF(ISBLANK($B83),"",MATCH($X83,COA!$B:$B,0))</f>
        <v/>
      </c>
      <c r="AB83" s="11" t="n"/>
    </row>
    <row r="84" ht="15.75" customHeight="1" s="52">
      <c r="B84" s="17" t="n">
        <v>46169</v>
      </c>
      <c r="C84" s="18" t="inlineStr">
        <is>
          <t>Amazon MASTERCARD-544015XXXXXX8091-Brooke Berg</t>
        </is>
      </c>
      <c r="D84" s="18" t="inlineStr">
        <is>
          <t>Amazon</t>
        </is>
      </c>
      <c r="E84" s="18" t="inlineStr">
        <is>
          <t>63410 General &amp; Administrative:Office Expenses:Office Supplies</t>
        </is>
      </c>
      <c r="F84" s="19" t="n">
        <v>59.93</v>
      </c>
      <c r="H84" s="10" t="n"/>
      <c r="I84" s="9" t="n"/>
      <c r="J84" s="9" t="n"/>
      <c r="K84" s="9" t="n"/>
      <c r="L84" s="9" t="n"/>
      <c r="M84" s="9" t="n"/>
      <c r="N84" s="20" t="n"/>
      <c r="O84" s="20">
        <f>IF(C84="", "", TRIM(RIGHT(C84, LEN(C84) - FIND("@@", SUBSTITUTE(C84, "-", "@@", LEN(C84) - LEN(SUBSTITUTE(C84, "-", "")))))))</f>
        <v/>
      </c>
      <c r="P84" s="20">
        <f t="array" ref="P84">IFERROR(XLOOKUP(O84,'Department Listing'!$O$1:$O$395,'Department Listing'!$A$1:$A$395),IFERROR(XLOOKUP(O84,'Name Aliases'!$A$2:$A$1000,'Name Aliases'!$B$2:$B$1000),""))</f>
        <v/>
      </c>
      <c r="Q84" s="21">
        <f>IF(ISBLANK($C84),"",$B84)</f>
        <v/>
      </c>
      <c r="R84" s="20">
        <f>IF(ISBLANK($C84),"",IF(ISBLANK($I84),$D84,$I84))</f>
        <v/>
      </c>
      <c r="S84" s="22">
        <f>IF(ISBLANK($C84),"",$F84 - $G84)</f>
        <v/>
      </c>
      <c r="T84" s="20">
        <f>IF(ISBLANK($C84),"",C84)</f>
        <v/>
      </c>
      <c r="U84" s="20">
        <f>IF(ISBLANK($C84),"",$D$1)</f>
        <v/>
      </c>
      <c r="V84" s="22">
        <f t="array" ref="V84">IF(ISBLANK($B84),"",IF(ISBLANK($K84),IF(XLOOKUP($W84,'Category Mapping'!$C:$C,'Category Mapping'!$B:$B)="Travel",XLOOKUP($P84,'Department Listing'!$A:$A,'Department Listing'!$M:$M),XLOOKUP($W84,'Category Mapping'!$C:$C,'Category Mapping'!$D:$D)),$K84))</f>
        <v/>
      </c>
      <c r="W84" s="22">
        <f>IF(ISBLANK($B84),"",IF(ISBLANK($L84),RIGHT($E84,LEN($E84) - FIND("^",SUBSTITUTE($E84,":","^",LEN($E84) - LEN(SUBSTITUTE($E84,":",""))))),$L84))</f>
        <v/>
      </c>
      <c r="X84" s="22">
        <f>IF(ISBLANK($J84),$V84&amp;$W84,$J84)</f>
        <v/>
      </c>
      <c r="Y84" s="23">
        <f t="array" ref="Y84">IF(ISBLANK($M84),IFERROR(XLOOKUP($P84,'Department Listing'!$A:$A,'Department Listing'!$L:$L),""),$M84)</f>
        <v/>
      </c>
      <c r="Z84" s="11">
        <f>IF(ISBLANK($B84),"",MATCH($X84,COA!$B:$B,0))</f>
        <v/>
      </c>
      <c r="AB84" s="11" t="n"/>
    </row>
    <row r="85" ht="15.75" customHeight="1" s="52">
      <c r="B85" s="17" t="n">
        <v>46169</v>
      </c>
      <c r="C85" s="18" t="inlineStr">
        <is>
          <t>Taxi MASTERCARD-544015XXXXXX0424-Dwight Henderson</t>
        </is>
      </c>
      <c r="D85" s="18" t="inlineStr">
        <is>
          <t>Taxi Vendor</t>
        </is>
      </c>
      <c r="E85" s="18" t="inlineStr">
        <is>
          <t>61220 Sales &amp; Marketing:Sales &amp; Marketing- Travel Expenses:Ground Transportation</t>
        </is>
      </c>
      <c r="F85" s="19" t="n">
        <v>59.86</v>
      </c>
      <c r="H85" s="10" t="n"/>
      <c r="I85" s="9" t="n"/>
      <c r="J85" s="9" t="n"/>
      <c r="K85" s="9" t="n"/>
      <c r="L85" s="9" t="n"/>
      <c r="M85" s="9" t="n"/>
      <c r="N85" s="20" t="n"/>
      <c r="O85" s="20">
        <f>IF(C85="", "", TRIM(RIGHT(C85, LEN(C85) - FIND("@@", SUBSTITUTE(C85, "-", "@@", LEN(C85) - LEN(SUBSTITUTE(C85, "-", "")))))))</f>
        <v/>
      </c>
      <c r="P85" s="20">
        <f t="array" ref="P85">IFERROR(XLOOKUP(O85,'Department Listing'!$O$1:$O$395,'Department Listing'!$A$1:$A$395),IFERROR(XLOOKUP(O85,'Name Aliases'!$A$2:$A$1000,'Name Aliases'!$B$2:$B$1000),""))</f>
        <v/>
      </c>
      <c r="Q85" s="21">
        <f>IF(ISBLANK($C85),"",$B85)</f>
        <v/>
      </c>
      <c r="R85" s="20">
        <f>IF(ISBLANK($C85),"",IF(ISBLANK($I85),$D85,$I85))</f>
        <v/>
      </c>
      <c r="S85" s="22">
        <f>IF(ISBLANK($C85),"",$F85 - $G85)</f>
        <v/>
      </c>
      <c r="T85" s="20">
        <f>IF(ISBLANK($C85),"",C85)</f>
        <v/>
      </c>
      <c r="U85" s="20">
        <f>IF(ISBLANK($C85),"",$D$1)</f>
        <v/>
      </c>
      <c r="V85" s="22">
        <f t="array" ref="V85">IF(ISBLANK($B85),"",IF(ISBLANK($K85),IF(XLOOKUP($W85,'Category Mapping'!$C:$C,'Category Mapping'!$B:$B)="Travel",XLOOKUP($P85,'Department Listing'!$A:$A,'Department Listing'!$M:$M),XLOOKUP($W85,'Category Mapping'!$C:$C,'Category Mapping'!$D:$D)),$K85))</f>
        <v/>
      </c>
      <c r="W85" s="22">
        <f>IF(ISBLANK($B85),"",IF(ISBLANK($L85),RIGHT($E85,LEN($E85) - FIND("^",SUBSTITUTE($E85,":","^",LEN($E85) - LEN(SUBSTITUTE($E85,":",""))))),$L85))</f>
        <v/>
      </c>
      <c r="X85" s="22">
        <f>IF(ISBLANK($J85),$V85&amp;$W85,$J85)</f>
        <v/>
      </c>
      <c r="Y85" s="23">
        <f t="array" ref="Y85">IF(ISBLANK($M85),IFERROR(XLOOKUP($P85,'Department Listing'!$A:$A,'Department Listing'!$L:$L),""),$M85)</f>
        <v/>
      </c>
      <c r="Z85" s="11">
        <f>IF(ISBLANK($B85),"",MATCH($X85,COA!$B:$B,0))</f>
        <v/>
      </c>
      <c r="AB85" s="11" t="n"/>
    </row>
    <row r="86" ht="15.75" customHeight="1" s="52">
      <c r="B86" s="17" t="n">
        <v>46170</v>
      </c>
      <c r="C86" s="18" t="inlineStr">
        <is>
          <t>Amazon Marketplace US MASTERCARD-544015XXXXXX8091-Brooke Berg</t>
        </is>
      </c>
      <c r="D86" s="18" t="inlineStr">
        <is>
          <t>Amazon</t>
        </is>
      </c>
      <c r="E86" s="18" t="inlineStr">
        <is>
          <t>63410 General &amp; Administrative:Office Expenses:Office Supplies</t>
        </is>
      </c>
      <c r="F86" s="19" t="n">
        <v>52.04</v>
      </c>
      <c r="H86" s="10" t="n"/>
      <c r="I86" s="9" t="n"/>
      <c r="J86" s="9" t="n"/>
      <c r="K86" s="9" t="n"/>
      <c r="L86" s="9" t="n"/>
      <c r="M86" s="9" t="n"/>
      <c r="N86" s="20" t="n"/>
      <c r="O86" s="20">
        <f>IF(C86="", "", TRIM(RIGHT(C86, LEN(C86) - FIND("@@", SUBSTITUTE(C86, "-", "@@", LEN(C86) - LEN(SUBSTITUTE(C86, "-", "")))))))</f>
        <v/>
      </c>
      <c r="P86" s="20">
        <f t="array" ref="P86">IFERROR(XLOOKUP(O86,'Department Listing'!$O$1:$O$395,'Department Listing'!$A$1:$A$395),IFERROR(XLOOKUP(O86,'Name Aliases'!$A$2:$A$1000,'Name Aliases'!$B$2:$B$1000),""))</f>
        <v/>
      </c>
      <c r="Q86" s="21">
        <f>IF(ISBLANK($C86),"",$B86)</f>
        <v/>
      </c>
      <c r="R86" s="20">
        <f>IF(ISBLANK($C86),"",IF(ISBLANK($I86),$D86,$I86))</f>
        <v/>
      </c>
      <c r="S86" s="22">
        <f>IF(ISBLANK($C86),"",$F86 - $G86)</f>
        <v/>
      </c>
      <c r="T86" s="20">
        <f>IF(ISBLANK($C86),"",C86)</f>
        <v/>
      </c>
      <c r="U86" s="20">
        <f>IF(ISBLANK($C86),"",$D$1)</f>
        <v/>
      </c>
      <c r="V86" s="22">
        <f t="array" ref="V86">IF(ISBLANK($B86),"",IF(ISBLANK($K86),IF(XLOOKUP($W86,'Category Mapping'!$C:$C,'Category Mapping'!$B:$B)="Travel",XLOOKUP($P86,'Department Listing'!$A:$A,'Department Listing'!$M:$M),XLOOKUP($W86,'Category Mapping'!$C:$C,'Category Mapping'!$D:$D)),$K86))</f>
        <v/>
      </c>
      <c r="W86" s="22">
        <f>IF(ISBLANK($B86),"",IF(ISBLANK($L86),RIGHT($E86,LEN($E86) - FIND("^",SUBSTITUTE($E86,":","^",LEN($E86) - LEN(SUBSTITUTE($E86,":",""))))),$L86))</f>
        <v/>
      </c>
      <c r="X86" s="22">
        <f>IF(ISBLANK($J86),$V86&amp;$W86,$J86)</f>
        <v/>
      </c>
      <c r="Y86" s="23">
        <f t="array" ref="Y86">IF(ISBLANK($M86),IFERROR(XLOOKUP($P86,'Department Listing'!$A:$A,'Department Listing'!$L:$L),""),$M86)</f>
        <v/>
      </c>
      <c r="Z86" s="11">
        <f>IF(ISBLANK($B86),"",MATCH($X86,COA!$B:$B,0))</f>
        <v/>
      </c>
      <c r="AB86" s="11" t="n"/>
    </row>
    <row r="87" ht="15.75" customHeight="1" s="52">
      <c r="B87" s="17" t="n">
        <v>46169</v>
      </c>
      <c r="C87" s="18" t="inlineStr">
        <is>
          <t>Amazon Marketplace US MASTERCARD-544015XXXXXX7759-Mickenzi Krpec</t>
        </is>
      </c>
      <c r="D87" s="18" t="inlineStr">
        <is>
          <t>Amazon</t>
        </is>
      </c>
      <c r="E87" s="18" t="inlineStr">
        <is>
          <t>63410 General &amp; Administrative:Office Expenses:Office Supplies</t>
        </is>
      </c>
      <c r="F87" s="19" t="n">
        <v>50.97</v>
      </c>
      <c r="H87" s="10" t="n"/>
      <c r="I87" s="9" t="n"/>
      <c r="J87" s="9" t="n"/>
      <c r="K87" s="25" t="n"/>
      <c r="L87" s="25" t="n"/>
      <c r="M87" s="25" t="n"/>
      <c r="N87" s="20" t="n"/>
      <c r="O87" s="20">
        <f>IF(C87="", "", TRIM(RIGHT(C87, LEN(C87) - FIND("@@", SUBSTITUTE(C87, "-", "@@", LEN(C87) - LEN(SUBSTITUTE(C87, "-", "")))))))</f>
        <v/>
      </c>
      <c r="P87" s="20">
        <f t="array" ref="P87">IFERROR(XLOOKUP(O87,'Department Listing'!$O$1:$O$395,'Department Listing'!$A$1:$A$395),IFERROR(XLOOKUP(O87,'Name Aliases'!$A$2:$A$1000,'Name Aliases'!$B$2:$B$1000),""))</f>
        <v/>
      </c>
      <c r="Q87" s="21">
        <f>IF(ISBLANK($C87),"",$B87)</f>
        <v/>
      </c>
      <c r="R87" s="20">
        <f>IF(ISBLANK($C87),"",IF(ISBLANK($I87),$D87,$I87))</f>
        <v/>
      </c>
      <c r="S87" s="22">
        <f>IF(ISBLANK($C87),"",$F87 - $G87)</f>
        <v/>
      </c>
      <c r="T87" s="20">
        <f>IF(ISBLANK($C87),"",C87)</f>
        <v/>
      </c>
      <c r="U87" s="20">
        <f>IF(ISBLANK($C87),"",$D$1)</f>
        <v/>
      </c>
      <c r="V87" s="22">
        <f t="array" ref="V87">IF(ISBLANK($B87),"",IF(ISBLANK($K87),IF(XLOOKUP($W87,'Category Mapping'!$C:$C,'Category Mapping'!$B:$B)="Travel",XLOOKUP($P87,'Department Listing'!$A:$A,'Department Listing'!$M:$M),XLOOKUP($W87,'Category Mapping'!$C:$C,'Category Mapping'!$D:$D)),$K87))</f>
        <v/>
      </c>
      <c r="W87" s="22">
        <f>IF(ISBLANK($B87),"",IF(ISBLANK($L87),RIGHT($E87,LEN($E87) - FIND("^",SUBSTITUTE($E87,":","^",LEN($E87) - LEN(SUBSTITUTE($E87,":",""))))),$L87))</f>
        <v/>
      </c>
      <c r="X87" s="22">
        <f>IF(ISBLANK($J87),$V87&amp;$W87,$J87)</f>
        <v/>
      </c>
      <c r="Y87" s="23">
        <f t="array" ref="Y87">IF(ISBLANK($M87),IFERROR(XLOOKUP($P87,'Department Listing'!$A:$A,'Department Listing'!$L:$L),""),$M87)</f>
        <v/>
      </c>
      <c r="Z87" s="11">
        <f>IF(ISBLANK($B87),"",MATCH($X87,COA!$B:$B,0))</f>
        <v/>
      </c>
    </row>
    <row r="88" ht="15.75" customHeight="1" s="52">
      <c r="B88" s="17" t="n">
        <v>46167</v>
      </c>
      <c r="C88" s="18" t="inlineStr">
        <is>
          <t>Lyft MASTERCARD-544015XXXXXX8601-Heidebritta Frank</t>
        </is>
      </c>
      <c r="D88" s="18" t="inlineStr">
        <is>
          <t>Lyft</t>
        </is>
      </c>
      <c r="E88" s="18" t="inlineStr">
        <is>
          <t>61220 Sales &amp; Marketing:Sales &amp; Marketing- Travel Expenses:Ground Transportation</t>
        </is>
      </c>
      <c r="F88" s="19" t="n">
        <v>49.91</v>
      </c>
      <c r="H88" s="10" t="n"/>
      <c r="I88" s="9" t="n"/>
      <c r="J88" s="9" t="n"/>
      <c r="K88" s="9" t="n"/>
      <c r="L88" s="9" t="n"/>
      <c r="M88" s="9" t="n"/>
      <c r="N88" s="20" t="n"/>
      <c r="O88" s="20">
        <f>IF(C88="", "", TRIM(RIGHT(C88, LEN(C88) - FIND("@@", SUBSTITUTE(C88, "-", "@@", LEN(C88) - LEN(SUBSTITUTE(C88, "-", "")))))))</f>
        <v/>
      </c>
      <c r="P88" s="20">
        <f t="array" ref="P88">IFERROR(XLOOKUP(O88,'Department Listing'!$O$1:$O$395,'Department Listing'!$A$1:$A$395),IFERROR(XLOOKUP(O88,'Name Aliases'!$A$2:$A$1000,'Name Aliases'!$B$2:$B$1000),""))</f>
        <v/>
      </c>
      <c r="Q88" s="21">
        <f>IF(ISBLANK($C88),"",$B88)</f>
        <v/>
      </c>
      <c r="R88" s="20">
        <f>IF(ISBLANK($C88),"",IF(ISBLANK($I88),$D88,$I88))</f>
        <v/>
      </c>
      <c r="S88" s="22">
        <f>IF(ISBLANK($C88),"",$F88 - $G88)</f>
        <v/>
      </c>
      <c r="T88" s="20">
        <f>IF(ISBLANK($C88),"",C88)</f>
        <v/>
      </c>
      <c r="U88" s="20">
        <f>IF(ISBLANK($C88),"",$D$1)</f>
        <v/>
      </c>
      <c r="V88" s="22">
        <f t="array" ref="V88">IF(ISBLANK($B88),"",IF(ISBLANK($K88),IF(XLOOKUP($W88,'Category Mapping'!$C:$C,'Category Mapping'!$B:$B)="Travel",XLOOKUP($P88,'Department Listing'!$A:$A,'Department Listing'!$M:$M),XLOOKUP($W88,'Category Mapping'!$C:$C,'Category Mapping'!$D:$D)),$K88))</f>
        <v/>
      </c>
      <c r="W88" s="22">
        <f>IF(ISBLANK($B88),"",IF(ISBLANK($L88),RIGHT($E88,LEN($E88) - FIND("^",SUBSTITUTE($E88,":","^",LEN($E88) - LEN(SUBSTITUTE($E88,":",""))))),$L88))</f>
        <v/>
      </c>
      <c r="X88" s="22">
        <f>IF(ISBLANK($J88),$V88&amp;$W88,$J88)</f>
        <v/>
      </c>
      <c r="Y88" s="23">
        <f t="array" ref="Y88">IF(ISBLANK($M88),IFERROR(XLOOKUP($P88,'Department Listing'!$A:$A,'Department Listing'!$L:$L),""),$M88)</f>
        <v/>
      </c>
      <c r="Z88" s="11">
        <f>IF(ISBLANK($B88),"",MATCH($X88,COA!$B:$B,0))</f>
        <v/>
      </c>
    </row>
    <row r="89" ht="15.75" customHeight="1" s="52">
      <c r="B89" s="17" t="n">
        <v>46168</v>
      </c>
      <c r="C89" s="18" t="inlineStr">
        <is>
          <t>Amazon Marketplace US MASTERCARD-544015XXXXXX7759-Mickenzi Krpec</t>
        </is>
      </c>
      <c r="D89" s="18" t="inlineStr">
        <is>
          <t>Amazon</t>
        </is>
      </c>
      <c r="E89" s="18" t="inlineStr">
        <is>
          <t>63410 General &amp; Administrative:Office Expenses:Office Supplies</t>
        </is>
      </c>
      <c r="F89" s="19" t="n">
        <v>45.35</v>
      </c>
      <c r="H89" s="10" t="n"/>
      <c r="I89" s="9" t="n"/>
      <c r="J89" s="9" t="n"/>
      <c r="K89" s="9" t="n"/>
      <c r="L89" s="9" t="n"/>
      <c r="M89" s="9" t="n"/>
      <c r="N89" s="20" t="n"/>
      <c r="O89" s="20">
        <f>IF(C89="", "", TRIM(RIGHT(C89, LEN(C89) - FIND("@@", SUBSTITUTE(C89, "-", "@@", LEN(C89) - LEN(SUBSTITUTE(C89, "-", "")))))))</f>
        <v/>
      </c>
      <c r="P89" s="20">
        <f t="array" ref="P89">IFERROR(XLOOKUP(O89,'Department Listing'!$O$1:$O$395,'Department Listing'!$A$1:$A$395),IFERROR(XLOOKUP(O89,'Name Aliases'!$A$2:$A$1000,'Name Aliases'!$B$2:$B$1000),""))</f>
        <v/>
      </c>
      <c r="Q89" s="21">
        <f>IF(ISBLANK($C89),"",$B89)</f>
        <v/>
      </c>
      <c r="R89" s="20">
        <f>IF(ISBLANK($C89),"",IF(ISBLANK($I89),$D89,$I89))</f>
        <v/>
      </c>
      <c r="S89" s="22">
        <f>IF(ISBLANK($C89),"",$F89 - $G89)</f>
        <v/>
      </c>
      <c r="T89" s="20">
        <f>IF(ISBLANK($C89),"",C89)</f>
        <v/>
      </c>
      <c r="U89" s="20">
        <f>IF(ISBLANK($C89),"",$D$1)</f>
        <v/>
      </c>
      <c r="V89" s="22">
        <f t="array" ref="V89">IF(ISBLANK($B89),"",IF(ISBLANK($K89),IF(XLOOKUP($W89,'Category Mapping'!$C:$C,'Category Mapping'!$B:$B)="Travel",XLOOKUP($P89,'Department Listing'!$A:$A,'Department Listing'!$M:$M),XLOOKUP($W89,'Category Mapping'!$C:$C,'Category Mapping'!$D:$D)),$K89))</f>
        <v/>
      </c>
      <c r="W89" s="22">
        <f>IF(ISBLANK($B89),"",IF(ISBLANK($L89),RIGHT($E89,LEN($E89) - FIND("^",SUBSTITUTE($E89,":","^",LEN($E89) - LEN(SUBSTITUTE($E89,":",""))))),$L89))</f>
        <v/>
      </c>
      <c r="X89" s="22">
        <f>IF(ISBLANK($J89),$V89&amp;$W89,$J89)</f>
        <v/>
      </c>
      <c r="Y89" s="23">
        <f t="array" ref="Y89">IF(ISBLANK($M89),IFERROR(XLOOKUP($P89,'Department Listing'!$A:$A,'Department Listing'!$L:$L),""),$M89)</f>
        <v/>
      </c>
      <c r="Z89" s="11">
        <f>IF(ISBLANK($B89),"",MATCH($X89,COA!$B:$B,0))</f>
        <v/>
      </c>
    </row>
    <row r="90" ht="15.75" customHeight="1" s="52">
      <c r="B90" s="17" t="n">
        <v>46164</v>
      </c>
      <c r="C90" s="18" t="inlineStr">
        <is>
          <t>Presidio Golf Course Cafe MASTERCARD-544015XXXXXX2445-Tyler Grimshaw</t>
        </is>
      </c>
      <c r="E90" s="18" t="inlineStr">
        <is>
          <t>61240 Sales &amp; Marketing:Sales &amp; Marketing- Travel Expenses:Meals &amp; Entertainment</t>
        </is>
      </c>
      <c r="F90" s="19" t="n">
        <v>44.84</v>
      </c>
      <c r="H90" s="10" t="n"/>
      <c r="I90" s="9" t="inlineStr">
        <is>
          <t>Food Vendor</t>
        </is>
      </c>
      <c r="J90" s="9" t="n"/>
      <c r="K90" s="9" t="n"/>
      <c r="L90" s="9" t="n"/>
      <c r="M90" s="9" t="n"/>
      <c r="N90" s="20" t="n"/>
      <c r="O90" s="20">
        <f>IF(C90="", "", TRIM(RIGHT(C90, LEN(C90) - FIND("@@", SUBSTITUTE(C90, "-", "@@", LEN(C90) - LEN(SUBSTITUTE(C90, "-", "")))))))</f>
        <v/>
      </c>
      <c r="P90" s="20">
        <f t="array" ref="P90">IFERROR(XLOOKUP(O90,'Department Listing'!$O$1:$O$395,'Department Listing'!$A$1:$A$395),IFERROR(XLOOKUP(O90,'Name Aliases'!$A$2:$A$1000,'Name Aliases'!$B$2:$B$1000),""))</f>
        <v/>
      </c>
      <c r="Q90" s="21">
        <f>IF(ISBLANK($C90),"",$B90)</f>
        <v/>
      </c>
      <c r="R90" s="20">
        <f>IF(ISBLANK($C90),"",IF(ISBLANK($I90),$D90,$I90))</f>
        <v/>
      </c>
      <c r="S90" s="22">
        <f>IF(ISBLANK($C90),"",$F90 - $G90)</f>
        <v/>
      </c>
      <c r="T90" s="20">
        <f>IF(ISBLANK($C90),"",C90)</f>
        <v/>
      </c>
      <c r="U90" s="20">
        <f>IF(ISBLANK($C90),"",$D$1)</f>
        <v/>
      </c>
      <c r="V90" s="22">
        <f t="array" ref="V90">IF(ISBLANK($B90),"",IF(ISBLANK($K90),IF(XLOOKUP($W90,'Category Mapping'!$C:$C,'Category Mapping'!$B:$B)="Travel",XLOOKUP($P90,'Department Listing'!$A:$A,'Department Listing'!$M:$M),XLOOKUP($W90,'Category Mapping'!$C:$C,'Category Mapping'!$D:$D)),$K90))</f>
        <v/>
      </c>
      <c r="W90" s="22">
        <f>IF(ISBLANK($B90),"",IF(ISBLANK($L90),RIGHT($E90,LEN($E90) - FIND("^",SUBSTITUTE($E90,":","^",LEN($E90) - LEN(SUBSTITUTE($E90,":",""))))),$L90))</f>
        <v/>
      </c>
      <c r="X90" s="22">
        <f>IF(ISBLANK($J90),$V90&amp;$W90,$J90)</f>
        <v/>
      </c>
      <c r="Y90" s="23">
        <f t="array" ref="Y90">IF(ISBLANK($M90),IFERROR(XLOOKUP($P90,'Department Listing'!$A:$A,'Department Listing'!$L:$L),""),$M90)</f>
        <v/>
      </c>
      <c r="Z90" s="11">
        <f>IF(ISBLANK($B90),"",MATCH($X90,COA!$B:$B,0))</f>
        <v/>
      </c>
    </row>
    <row r="91" ht="15.75" customHeight="1" s="52">
      <c r="B91" s="17" t="n">
        <v>46165</v>
      </c>
      <c r="C91" s="18" t="inlineStr">
        <is>
          <t>Raising Canes Chicken Fingers MASTERCARD-555671XXXXXX3281-Elias Kapetanopoulos</t>
        </is>
      </c>
      <c r="E91" s="18" t="inlineStr">
        <is>
          <t>61240 Sales &amp; Marketing:Sales &amp; Marketing- Travel Expenses:Meals &amp; Entertainment</t>
        </is>
      </c>
      <c r="F91" s="19" t="n">
        <v>43.83</v>
      </c>
      <c r="H91" s="10" t="n"/>
      <c r="I91" s="9" t="inlineStr">
        <is>
          <t>Raising Canes</t>
        </is>
      </c>
      <c r="J91" s="9" t="n"/>
      <c r="K91" s="9" t="n"/>
      <c r="L91" s="9" t="n"/>
      <c r="M91" s="9" t="n"/>
      <c r="N91" s="20" t="n"/>
      <c r="O91" s="20">
        <f>IF(C91="", "", TRIM(RIGHT(C91, LEN(C91) - FIND("@@", SUBSTITUTE(C91, "-", "@@", LEN(C91) - LEN(SUBSTITUTE(C91, "-", "")))))))</f>
        <v/>
      </c>
      <c r="P91" s="20">
        <f t="array" ref="P91">IFERROR(XLOOKUP(O91,'Department Listing'!$O$1:$O$395,'Department Listing'!$A$1:$A$395),IFERROR(XLOOKUP(O91,'Name Aliases'!$A$2:$A$1000,'Name Aliases'!$B$2:$B$1000),""))</f>
        <v/>
      </c>
      <c r="Q91" s="21">
        <f>IF(ISBLANK($C91),"",$B91)</f>
        <v/>
      </c>
      <c r="R91" s="20">
        <f>IF(ISBLANK($C91),"",IF(ISBLANK($I91),$D91,$I91))</f>
        <v/>
      </c>
      <c r="S91" s="22">
        <f>IF(ISBLANK($C91),"",$F91 - $G91)</f>
        <v/>
      </c>
      <c r="T91" s="20">
        <f>IF(ISBLANK($C91),"",C91)</f>
        <v/>
      </c>
      <c r="U91" s="20">
        <f>IF(ISBLANK($C91),"",$D$1)</f>
        <v/>
      </c>
      <c r="V91" s="22">
        <f t="array" ref="V91">IF(ISBLANK($B91),"",IF(ISBLANK($K91),IF(XLOOKUP($W91,'Category Mapping'!$C:$C,'Category Mapping'!$B:$B)="Travel",XLOOKUP($P91,'Department Listing'!$A:$A,'Department Listing'!$M:$M),XLOOKUP($W91,'Category Mapping'!$C:$C,'Category Mapping'!$D:$D)),$K91))</f>
        <v/>
      </c>
      <c r="W91" s="22">
        <f>IF(ISBLANK($B91),"",IF(ISBLANK($L91),RIGHT($E91,LEN($E91) - FIND("^",SUBSTITUTE($E91,":","^",LEN($E91) - LEN(SUBSTITUTE($E91,":",""))))),$L91))</f>
        <v/>
      </c>
      <c r="X91" s="22">
        <f>IF(ISBLANK($J91),$V91&amp;$W91,$J91)</f>
        <v/>
      </c>
      <c r="Y91" s="23">
        <f t="array" ref="Y91">IF(ISBLANK($M91),IFERROR(XLOOKUP($P91,'Department Listing'!$A:$A,'Department Listing'!$L:$L),""),$M91)</f>
        <v/>
      </c>
      <c r="Z91" s="11">
        <f>IF(ISBLANK($B91),"",MATCH($X91,COA!$B:$B,0))</f>
        <v/>
      </c>
    </row>
    <row r="92" ht="15.75" customHeight="1" s="52">
      <c r="B92" s="17" t="n">
        <v>46168</v>
      </c>
      <c r="C92" s="18" t="inlineStr">
        <is>
          <t>Asana MASTERCARD-544015XXXXXX0374-Vincent Planz</t>
        </is>
      </c>
      <c r="D92" s="18" t="inlineStr">
        <is>
          <t>Asana</t>
        </is>
      </c>
      <c r="E92" s="18" t="inlineStr">
        <is>
          <t>63310 General &amp; Administrative:Software Licenses</t>
        </is>
      </c>
      <c r="F92" s="19" t="n">
        <v>43</v>
      </c>
      <c r="H92" s="10" t="n"/>
      <c r="I92" s="9" t="n"/>
      <c r="J92" s="9" t="n"/>
      <c r="K92" s="25" t="n"/>
      <c r="L92" s="25" t="inlineStr">
        <is>
          <t>Airfare</t>
        </is>
      </c>
      <c r="M92" s="9" t="n"/>
      <c r="N92" s="20" t="n"/>
      <c r="O92" s="20">
        <f>IF(C92="", "", TRIM(RIGHT(C92, LEN(C92) - FIND("@@", SUBSTITUTE(C92, "-", "@@", LEN(C92) - LEN(SUBSTITUTE(C92, "-", "")))))))</f>
        <v/>
      </c>
      <c r="P92" s="20">
        <f t="array" ref="P92">IFERROR(XLOOKUP(O92,'Department Listing'!$O$1:$O$395,'Department Listing'!$A$1:$A$395),IFERROR(XLOOKUP(O92,'Name Aliases'!$A$2:$A$1000,'Name Aliases'!$B$2:$B$1000),""))</f>
        <v/>
      </c>
      <c r="Q92" s="21">
        <f>IF(ISBLANK($C92),"",$B92)</f>
        <v/>
      </c>
      <c r="R92" s="20">
        <f>IF(ISBLANK($C92),"",IF(ISBLANK($I92),$D92,$I92))</f>
        <v/>
      </c>
      <c r="S92" s="22">
        <f>IF(ISBLANK($C92),"",$F92 - $G92)</f>
        <v/>
      </c>
      <c r="T92" s="20">
        <f>IF(ISBLANK($C92),"",C92)</f>
        <v/>
      </c>
      <c r="U92" s="20">
        <f>IF(ISBLANK($C92),"",$D$1)</f>
        <v/>
      </c>
      <c r="V92" s="22">
        <f t="array" ref="V92">IF(ISBLANK($B92),"",IF(ISBLANK($K92),IF(XLOOKUP($W92,'Category Mapping'!$C:$C,'Category Mapping'!$B:$B)="Travel",XLOOKUP($P92,'Department Listing'!$A:$A,'Department Listing'!$M:$M),XLOOKUP($W92,'Category Mapping'!$C:$C,'Category Mapping'!$D:$D)),$K92))</f>
        <v/>
      </c>
      <c r="W92" s="22">
        <f>IF(ISBLANK($B92),"",IF(ISBLANK($L92),RIGHT($E92,LEN($E92) - FIND("^",SUBSTITUTE($E92,":","^",LEN($E92) - LEN(SUBSTITUTE($E92,":",""))))),$L92))</f>
        <v/>
      </c>
      <c r="X92" s="22">
        <f>IF(ISBLANK($J92),$V92&amp;$W92,$J92)</f>
        <v/>
      </c>
      <c r="Y92" s="23">
        <f t="array" ref="Y92">IF(ISBLANK($M92),IFERROR(XLOOKUP($P92,'Department Listing'!$A:$A,'Department Listing'!$L:$L),""),$M92)</f>
        <v/>
      </c>
      <c r="Z92" s="11">
        <f>IF(ISBLANK($B92),"",MATCH($X92,COA!$B:$B,0))</f>
        <v/>
      </c>
    </row>
    <row r="93" ht="15.75" customHeight="1" s="52">
      <c r="B93" s="17" t="n">
        <v>46169</v>
      </c>
      <c r="C93" s="18" t="inlineStr">
        <is>
          <t>Amazon Marketplace US MASTERCARD-544015XXXXXX8091-Brooke Berg</t>
        </is>
      </c>
      <c r="D93" s="18" t="inlineStr">
        <is>
          <t>Amazon</t>
        </is>
      </c>
      <c r="E93" s="18" t="inlineStr">
        <is>
          <t>63410 General &amp; Administrative:Office Expenses:Office Supplies</t>
        </is>
      </c>
      <c r="F93" s="19" t="n">
        <v>41.96</v>
      </c>
      <c r="H93" s="10" t="n"/>
      <c r="I93" s="9" t="n"/>
      <c r="J93" s="9" t="n"/>
      <c r="K93" s="9" t="n"/>
      <c r="L93" s="9" t="n"/>
      <c r="M93" s="9" t="n"/>
      <c r="N93" s="20" t="n"/>
      <c r="O93" s="20">
        <f>IF(C93="", "", TRIM(RIGHT(C93, LEN(C93) - FIND("@@", SUBSTITUTE(C93, "-", "@@", LEN(C93) - LEN(SUBSTITUTE(C93, "-", "")))))))</f>
        <v/>
      </c>
      <c r="P93" s="20">
        <f t="array" ref="P93">IFERROR(XLOOKUP(O93,'Department Listing'!$O$1:$O$395,'Department Listing'!$A$1:$A$395),IFERROR(XLOOKUP(O93,'Name Aliases'!$A$2:$A$1000,'Name Aliases'!$B$2:$B$1000),""))</f>
        <v/>
      </c>
      <c r="Q93" s="21">
        <f>IF(ISBLANK($C93),"",$B93)</f>
        <v/>
      </c>
      <c r="R93" s="20">
        <f>IF(ISBLANK($C93),"",IF(ISBLANK($I93),$D93,$I93))</f>
        <v/>
      </c>
      <c r="S93" s="22">
        <f>IF(ISBLANK($C93),"",$F93 - $G93)</f>
        <v/>
      </c>
      <c r="T93" s="20">
        <f>IF(ISBLANK($C93),"",C93)</f>
        <v/>
      </c>
      <c r="U93" s="20">
        <f>IF(ISBLANK($C93),"",$D$1)</f>
        <v/>
      </c>
      <c r="V93" s="22">
        <f t="array" ref="V93">IF(ISBLANK($B93),"",IF(ISBLANK($K93),IF(XLOOKUP($W93,'Category Mapping'!$C:$C,'Category Mapping'!$B:$B)="Travel",XLOOKUP($P93,'Department Listing'!$A:$A,'Department Listing'!$M:$M),XLOOKUP($W93,'Category Mapping'!$C:$C,'Category Mapping'!$D:$D)),$K93))</f>
        <v/>
      </c>
      <c r="W93" s="22">
        <f>IF(ISBLANK($B93),"",IF(ISBLANK($L93),RIGHT($E93,LEN($E93) - FIND("^",SUBSTITUTE($E93,":","^",LEN($E93) - LEN(SUBSTITUTE($E93,":",""))))),$L93))</f>
        <v/>
      </c>
      <c r="X93" s="22">
        <f>IF(ISBLANK($J93),$V93&amp;$W93,$J93)</f>
        <v/>
      </c>
      <c r="Y93" s="23">
        <f t="array" ref="Y93">IF(ISBLANK($M93),IFERROR(XLOOKUP($P93,'Department Listing'!$A:$A,'Department Listing'!$L:$L),""),$M93)</f>
        <v/>
      </c>
      <c r="Z93" s="11">
        <f>IF(ISBLANK($B93),"",MATCH($X93,COA!$B:$B,0))</f>
        <v/>
      </c>
    </row>
    <row r="94" ht="15.75" customHeight="1" s="52">
      <c r="B94" s="17" t="n">
        <v>46169</v>
      </c>
      <c r="C94" s="18" t="inlineStr">
        <is>
          <t>Uber HQ MASTERCARD-544015XXXXXX8678-John Taylor</t>
        </is>
      </c>
      <c r="D94" s="18" t="inlineStr">
        <is>
          <t>Uber</t>
        </is>
      </c>
      <c r="E94" s="18" t="inlineStr">
        <is>
          <t>61220 Sales &amp; Marketing:Sales &amp; Marketing- Travel Expenses:Ground Transportation</t>
        </is>
      </c>
      <c r="F94" s="19" t="n">
        <v>39.96</v>
      </c>
      <c r="H94" s="10" t="n"/>
      <c r="I94" s="9" t="n"/>
      <c r="J94" s="9" t="n"/>
      <c r="K94" s="9" t="n"/>
      <c r="L94" s="9" t="n"/>
      <c r="M94" s="9" t="n"/>
      <c r="N94" s="20" t="n"/>
      <c r="O94" s="20">
        <f>IF(C94="", "", TRIM(RIGHT(C94, LEN(C94) - FIND("@@", SUBSTITUTE(C94, "-", "@@", LEN(C94) - LEN(SUBSTITUTE(C94, "-", "")))))))</f>
        <v/>
      </c>
      <c r="P94" s="20">
        <f t="array" ref="P94">IFERROR(XLOOKUP(O94,'Department Listing'!$O$1:$O$395,'Department Listing'!$A$1:$A$395),IFERROR(XLOOKUP(O94,'Name Aliases'!$A$2:$A$1000,'Name Aliases'!$B$2:$B$1000),""))</f>
        <v/>
      </c>
      <c r="Q94" s="21">
        <f>IF(ISBLANK($C94),"",$B94)</f>
        <v/>
      </c>
      <c r="R94" s="20">
        <f>IF(ISBLANK($C94),"",IF(ISBLANK($I94),$D94,$I94))</f>
        <v/>
      </c>
      <c r="S94" s="22">
        <f>IF(ISBLANK($C94),"",$F94 - $G94)</f>
        <v/>
      </c>
      <c r="T94" s="20">
        <f>IF(ISBLANK($C94),"",C94)</f>
        <v/>
      </c>
      <c r="U94" s="20">
        <f>IF(ISBLANK($C94),"",$D$1)</f>
        <v/>
      </c>
      <c r="V94" s="22">
        <f t="array" ref="V94">IF(ISBLANK($B94),"",IF(ISBLANK($K94),IF(XLOOKUP($W94,'Category Mapping'!$C:$C,'Category Mapping'!$B:$B)="Travel",XLOOKUP($P94,'Department Listing'!$A:$A,'Department Listing'!$M:$M),XLOOKUP($W94,'Category Mapping'!$C:$C,'Category Mapping'!$D:$D)),$K94))</f>
        <v/>
      </c>
      <c r="W94" s="22">
        <f>IF(ISBLANK($B94),"",IF(ISBLANK($L94),RIGHT($E94,LEN($E94) - FIND("^",SUBSTITUTE($E94,":","^",LEN($E94) - LEN(SUBSTITUTE($E94,":",""))))),$L94))</f>
        <v/>
      </c>
      <c r="X94" s="22">
        <f>IF(ISBLANK($J94),$V94&amp;$W94,$J94)</f>
        <v/>
      </c>
      <c r="Y94" s="23">
        <f t="array" ref="Y94">IF(ISBLANK($M94),IFERROR(XLOOKUP($P94,'Department Listing'!$A:$A,'Department Listing'!$L:$L),""),$M94)</f>
        <v/>
      </c>
      <c r="Z94" s="11">
        <f>IF(ISBLANK($B94),"",MATCH($X94,COA!$B:$B,0))</f>
        <v/>
      </c>
    </row>
    <row r="95" ht="15.75" customHeight="1" s="52">
      <c r="B95" s="17" t="n">
        <v>46167</v>
      </c>
      <c r="C95" s="18" t="inlineStr">
        <is>
          <t>Uber HQ MASTERCARD-555671XXXXXX5379-Ashley Karpel</t>
        </is>
      </c>
      <c r="D95" s="18" t="inlineStr">
        <is>
          <t>Uber</t>
        </is>
      </c>
      <c r="E95" s="18" t="inlineStr">
        <is>
          <t>61220 Sales &amp; Marketing:Sales &amp; Marketing- Travel Expenses:Ground Transportation</t>
        </is>
      </c>
      <c r="F95" s="19" t="n">
        <v>39.7</v>
      </c>
      <c r="H95" s="10" t="n"/>
      <c r="I95" s="9" t="n"/>
      <c r="J95" s="9" t="n"/>
      <c r="K95" s="25" t="n"/>
      <c r="L95" s="9" t="n"/>
      <c r="M95" s="25" t="n"/>
      <c r="N95" s="20" t="n"/>
      <c r="O95" s="20">
        <f>IF(C95="", "", TRIM(RIGHT(C95, LEN(C95) - FIND("@@", SUBSTITUTE(C95, "-", "@@", LEN(C95) - LEN(SUBSTITUTE(C95, "-", "")))))))</f>
        <v/>
      </c>
      <c r="P95" s="20">
        <f t="array" ref="P95">IFERROR(XLOOKUP(O95,'Department Listing'!$O$1:$O$395,'Department Listing'!$A$1:$A$395),IFERROR(XLOOKUP(O95,'Name Aliases'!$A$2:$A$1000,'Name Aliases'!$B$2:$B$1000),""))</f>
        <v/>
      </c>
      <c r="Q95" s="21">
        <f>IF(ISBLANK($C95),"",$B95)</f>
        <v/>
      </c>
      <c r="R95" s="20">
        <f>IF(ISBLANK($C95),"",IF(ISBLANK($I95),$D95,$I95))</f>
        <v/>
      </c>
      <c r="S95" s="22">
        <f>IF(ISBLANK($C95),"",$F95 - $G95)</f>
        <v/>
      </c>
      <c r="T95" s="20">
        <f>IF(ISBLANK($C95),"",C95)</f>
        <v/>
      </c>
      <c r="U95" s="20">
        <f>IF(ISBLANK($C95),"",$D$1)</f>
        <v/>
      </c>
      <c r="V95" s="22">
        <f t="array" ref="V95">IF(ISBLANK($B95),"",IF(ISBLANK($K95),IF(XLOOKUP($W95,'Category Mapping'!$C:$C,'Category Mapping'!$B:$B)="Travel",XLOOKUP($P95,'Department Listing'!$A:$A,'Department Listing'!$M:$M),XLOOKUP($W95,'Category Mapping'!$C:$C,'Category Mapping'!$D:$D)),$K95))</f>
        <v/>
      </c>
      <c r="W95" s="22">
        <f>IF(ISBLANK($B95),"",IF(ISBLANK($L95),RIGHT($E95,LEN($E95) - FIND("^",SUBSTITUTE($E95,":","^",LEN($E95) - LEN(SUBSTITUTE($E95,":",""))))),$L95))</f>
        <v/>
      </c>
      <c r="X95" s="22">
        <f>IF(ISBLANK($J95),$V95&amp;$W95,$J95)</f>
        <v/>
      </c>
      <c r="Y95" s="23">
        <f t="array" ref="Y95">IF(ISBLANK($M95),IFERROR(XLOOKUP($P95,'Department Listing'!$A:$A,'Department Listing'!$L:$L),""),$M95)</f>
        <v/>
      </c>
      <c r="Z95" s="11">
        <f>IF(ISBLANK($B95),"",MATCH($X95,COA!$B:$B,0))</f>
        <v/>
      </c>
    </row>
    <row r="96" ht="15.75" customHeight="1" s="52">
      <c r="B96" s="17" t="n">
        <v>46164</v>
      </c>
      <c r="C96" s="18" t="inlineStr">
        <is>
          <t>Boston Common Garage MASTERCARD-544015XXXXXX9352-Ryan Kelly</t>
        </is>
      </c>
      <c r="D96" s="18" t="inlineStr">
        <is>
          <t>Boston Common Garage</t>
        </is>
      </c>
      <c r="E96" s="18" t="inlineStr">
        <is>
          <t>61220 Sales &amp; Marketing:Sales &amp; Marketing- Travel Expenses:Ground Transportation</t>
        </is>
      </c>
      <c r="F96" s="19" t="n">
        <v>38</v>
      </c>
      <c r="H96" s="10" t="n"/>
      <c r="I96" s="9" t="n"/>
      <c r="J96" s="9" t="n"/>
      <c r="K96" s="9" t="n"/>
      <c r="L96" s="9" t="n"/>
      <c r="M96" s="9" t="n"/>
      <c r="N96" s="20" t="n"/>
      <c r="O96" s="20">
        <f>IF(C96="", "", TRIM(RIGHT(C96, LEN(C96) - FIND("@@", SUBSTITUTE(C96, "-", "@@", LEN(C96) - LEN(SUBSTITUTE(C96, "-", "")))))))</f>
        <v/>
      </c>
      <c r="P96" s="20">
        <f t="array" ref="P96">IFERROR(XLOOKUP(O96,'Department Listing'!$O$1:$O$395,'Department Listing'!$A$1:$A$395),IFERROR(XLOOKUP(O96,'Name Aliases'!$A$2:$A$1000,'Name Aliases'!$B$2:$B$1000),""))</f>
        <v/>
      </c>
      <c r="Q96" s="21">
        <f>IF(ISBLANK($C96),"",$B96)</f>
        <v/>
      </c>
      <c r="R96" s="20">
        <f>IF(ISBLANK($C96),"",IF(ISBLANK($I96),$D96,$I96))</f>
        <v/>
      </c>
      <c r="S96" s="22">
        <f>IF(ISBLANK($C96),"",$F96 - $G96)</f>
        <v/>
      </c>
      <c r="T96" s="20">
        <f>IF(ISBLANK($C96),"",C96)</f>
        <v/>
      </c>
      <c r="U96" s="20">
        <f>IF(ISBLANK($C96),"",$D$1)</f>
        <v/>
      </c>
      <c r="V96" s="22">
        <f t="array" ref="V96">IF(ISBLANK($B96),"",IF(ISBLANK($K96),IF(XLOOKUP($W96,'Category Mapping'!$C:$C,'Category Mapping'!$B:$B)="Travel",XLOOKUP($P96,'Department Listing'!$A:$A,'Department Listing'!$M:$M),XLOOKUP($W96,'Category Mapping'!$C:$C,'Category Mapping'!$D:$D)),$K96))</f>
        <v/>
      </c>
      <c r="W96" s="22">
        <f>IF(ISBLANK($B96),"",IF(ISBLANK($L96),RIGHT($E96,LEN($E96) - FIND("^",SUBSTITUTE($E96,":","^",LEN($E96) - LEN(SUBSTITUTE($E96,":",""))))),$L96))</f>
        <v/>
      </c>
      <c r="X96" s="22">
        <f>IF(ISBLANK($J96),$V96&amp;$W96,$J96)</f>
        <v/>
      </c>
      <c r="Y96" s="23">
        <f t="array" ref="Y96">IF(ISBLANK($M96),IFERROR(XLOOKUP($P96,'Department Listing'!$A:$A,'Department Listing'!$L:$L),""),$M96)</f>
        <v/>
      </c>
      <c r="Z96" s="11">
        <f>IF(ISBLANK($B96),"",MATCH($X96,COA!$B:$B,0))</f>
        <v/>
      </c>
    </row>
    <row r="97" ht="15.75" customHeight="1" s="52">
      <c r="B97" s="17" t="n">
        <v>46165</v>
      </c>
      <c r="C97" s="18" t="inlineStr">
        <is>
          <t>GoMoWorld MASTERCARD-544015XXXXXX2884-Ayla Hourani</t>
        </is>
      </c>
      <c r="E97" s="18" t="inlineStr">
        <is>
          <t>61190 Sales &amp; Marketing:Marketing Expenses:Other Marketing Expenses</t>
        </is>
      </c>
      <c r="F97" s="19" t="n">
        <v>35.93</v>
      </c>
      <c r="H97" s="10" t="n"/>
      <c r="I97" s="9" t="inlineStr">
        <is>
          <t>Travel Vendor</t>
        </is>
      </c>
      <c r="J97" s="9" t="n"/>
      <c r="K97" s="9" t="n"/>
      <c r="L97" s="9" t="inlineStr">
        <is>
          <t>Other Travel Expenses</t>
        </is>
      </c>
      <c r="M97" s="9" t="n"/>
      <c r="N97" s="20" t="n"/>
      <c r="O97" s="20">
        <f>IF(C97="", "", TRIM(RIGHT(C97, LEN(C97) - FIND("@@", SUBSTITUTE(C97, "-", "@@", LEN(C97) - LEN(SUBSTITUTE(C97, "-", "")))))))</f>
        <v/>
      </c>
      <c r="P97" s="20">
        <f t="array" ref="P97">IFERROR(XLOOKUP(O97,'Department Listing'!$O$1:$O$395,'Department Listing'!$A$1:$A$395),IFERROR(XLOOKUP(O97,'Name Aliases'!$A$2:$A$1000,'Name Aliases'!$B$2:$B$1000),""))</f>
        <v/>
      </c>
      <c r="Q97" s="21">
        <f>IF(ISBLANK($C97),"",$B97)</f>
        <v/>
      </c>
      <c r="R97" s="20">
        <f>IF(ISBLANK($C97),"",IF(ISBLANK($I97),$D97,$I97))</f>
        <v/>
      </c>
      <c r="S97" s="22">
        <f>IF(ISBLANK($C97),"",$F97 - $G97)</f>
        <v/>
      </c>
      <c r="T97" s="20">
        <f>IF(ISBLANK($C97),"",C97)</f>
        <v/>
      </c>
      <c r="U97" s="20">
        <f>IF(ISBLANK($C97),"",$D$1)</f>
        <v/>
      </c>
      <c r="V97" s="22">
        <f t="array" ref="V97">IF(ISBLANK($B97),"",IF(ISBLANK($K97),IF(XLOOKUP($W97,'Category Mapping'!$C:$C,'Category Mapping'!$B:$B)="Travel",XLOOKUP($P97,'Department Listing'!$A:$A,'Department Listing'!$M:$M),XLOOKUP($W97,'Category Mapping'!$C:$C,'Category Mapping'!$D:$D)),$K97))</f>
        <v/>
      </c>
      <c r="W97" s="22">
        <f>IF(ISBLANK($B97),"",IF(ISBLANK($L97),RIGHT($E97,LEN($E97) - FIND("^",SUBSTITUTE($E97,":","^",LEN($E97) - LEN(SUBSTITUTE($E97,":",""))))),$L97))</f>
        <v/>
      </c>
      <c r="X97" s="22">
        <f>IF(ISBLANK($J97),$V97&amp;$W97,$J97)</f>
        <v/>
      </c>
      <c r="Y97" s="23">
        <f t="array" ref="Y97">IF(ISBLANK($M97),IFERROR(XLOOKUP($P97,'Department Listing'!$A:$A,'Department Listing'!$L:$L),""),$M97)</f>
        <v/>
      </c>
      <c r="Z97" s="11">
        <f>IF(ISBLANK($B97),"",MATCH($X97,COA!$B:$B,0))</f>
        <v/>
      </c>
    </row>
    <row r="98" ht="15.75" customHeight="1" s="52">
      <c r="B98" s="17" t="n">
        <v>46170</v>
      </c>
      <c r="C98" s="18" t="inlineStr">
        <is>
          <t>Amazon Marketplace US MASTERCARD-544015XXXXXX8091-Brooke Berg</t>
        </is>
      </c>
      <c r="D98" s="18" t="inlineStr">
        <is>
          <t>Amazon</t>
        </is>
      </c>
      <c r="E98" s="18" t="inlineStr">
        <is>
          <t>63410 General &amp; Administrative:Office Expenses:Office Supplies</t>
        </is>
      </c>
      <c r="F98" s="19" t="n">
        <v>35.72</v>
      </c>
      <c r="H98" s="10" t="n"/>
      <c r="I98" s="9" t="n"/>
      <c r="J98" s="9" t="n"/>
      <c r="K98" s="9" t="n"/>
      <c r="L98" s="9" t="n"/>
      <c r="M98" s="9" t="n"/>
      <c r="N98" s="20" t="n"/>
      <c r="O98" s="20">
        <f>IF(C98="", "", TRIM(RIGHT(C98, LEN(C98) - FIND("@@", SUBSTITUTE(C98, "-", "@@", LEN(C98) - LEN(SUBSTITUTE(C98, "-", "")))))))</f>
        <v/>
      </c>
      <c r="P98" s="20">
        <f t="array" ref="P98">IFERROR(XLOOKUP(O98,'Department Listing'!$O$1:$O$395,'Department Listing'!$A$1:$A$395),IFERROR(XLOOKUP(O98,'Name Aliases'!$A$2:$A$1000,'Name Aliases'!$B$2:$B$1000),""))</f>
        <v/>
      </c>
      <c r="Q98" s="21">
        <f>IF(ISBLANK($C98),"",$B98)</f>
        <v/>
      </c>
      <c r="R98" s="20">
        <f>IF(ISBLANK($C98),"",IF(ISBLANK($I98),$D98,$I98))</f>
        <v/>
      </c>
      <c r="S98" s="22">
        <f>IF(ISBLANK($C98),"",$F98 - $G98)</f>
        <v/>
      </c>
      <c r="T98" s="20">
        <f>IF(ISBLANK($C98),"",C98)</f>
        <v/>
      </c>
      <c r="U98" s="20">
        <f>IF(ISBLANK($C98),"",$D$1)</f>
        <v/>
      </c>
      <c r="V98" s="22">
        <f t="array" ref="V98">IF(ISBLANK($B98),"",IF(ISBLANK($K98),IF(XLOOKUP($W98,'Category Mapping'!$C:$C,'Category Mapping'!$B:$B)="Travel",XLOOKUP($P98,'Department Listing'!$A:$A,'Department Listing'!$M:$M),XLOOKUP($W98,'Category Mapping'!$C:$C,'Category Mapping'!$D:$D)),$K98))</f>
        <v/>
      </c>
      <c r="W98" s="22">
        <f>IF(ISBLANK($B98),"",IF(ISBLANK($L98),RIGHT($E98,LEN($E98) - FIND("^",SUBSTITUTE($E98,":","^",LEN($E98) - LEN(SUBSTITUTE($E98,":",""))))),$L98))</f>
        <v/>
      </c>
      <c r="X98" s="22">
        <f>IF(ISBLANK($J98),$V98&amp;$W98,$J98)</f>
        <v/>
      </c>
      <c r="Y98" s="23">
        <f t="array" ref="Y98">IF(ISBLANK($M98),IFERROR(XLOOKUP($P98,'Department Listing'!$A:$A,'Department Listing'!$L:$L),""),$M98)</f>
        <v/>
      </c>
      <c r="Z98" s="11">
        <f>IF(ISBLANK($B98),"",MATCH($X98,COA!$B:$B,0))</f>
        <v/>
      </c>
    </row>
    <row r="99" ht="15.75" customHeight="1" s="52">
      <c r="B99" s="17" t="n">
        <v>46168</v>
      </c>
      <c r="C99" s="18" t="inlineStr">
        <is>
          <t>Amazon Marketplace US MASTERCARD-544015XXXXXX7759-Mickenzi Krpec</t>
        </is>
      </c>
      <c r="D99" s="18" t="inlineStr">
        <is>
          <t>Amazon</t>
        </is>
      </c>
      <c r="E99" s="18" t="inlineStr">
        <is>
          <t>63410 General &amp; Administrative:Office Expenses:Office Supplies</t>
        </is>
      </c>
      <c r="F99" s="19" t="n">
        <v>35.1</v>
      </c>
      <c r="H99" s="10" t="n"/>
      <c r="I99" s="9" t="n"/>
      <c r="J99" s="9" t="n"/>
      <c r="K99" s="9" t="n"/>
      <c r="L99" s="9" t="n"/>
      <c r="M99" s="9" t="n"/>
      <c r="N99" s="20" t="n"/>
      <c r="O99" s="20">
        <f>IF(C99="", "", TRIM(RIGHT(C99, LEN(C99) - FIND("@@", SUBSTITUTE(C99, "-", "@@", LEN(C99) - LEN(SUBSTITUTE(C99, "-", "")))))))</f>
        <v/>
      </c>
      <c r="P99" s="20">
        <f t="array" ref="P99">IFERROR(XLOOKUP(O99,'Department Listing'!$O$1:$O$395,'Department Listing'!$A$1:$A$395),IFERROR(XLOOKUP(O99,'Name Aliases'!$A$2:$A$1000,'Name Aliases'!$B$2:$B$1000),""))</f>
        <v/>
      </c>
      <c r="Q99" s="21">
        <f>IF(ISBLANK($C99),"",$B99)</f>
        <v/>
      </c>
      <c r="R99" s="20">
        <f>IF(ISBLANK($C99),"",IF(ISBLANK($I99),$D99,$I99))</f>
        <v/>
      </c>
      <c r="S99" s="22">
        <f>IF(ISBLANK($C99),"",$F99 - $G99)</f>
        <v/>
      </c>
      <c r="T99" s="20">
        <f>IF(ISBLANK($C99),"",C99)</f>
        <v/>
      </c>
      <c r="U99" s="20">
        <f>IF(ISBLANK($C99),"",$D$1)</f>
        <v/>
      </c>
      <c r="V99" s="22">
        <f t="array" ref="V99">IF(ISBLANK($B99),"",IF(ISBLANK($K99),IF(XLOOKUP($W99,'Category Mapping'!$C:$C,'Category Mapping'!$B:$B)="Travel",XLOOKUP($P99,'Department Listing'!$A:$A,'Department Listing'!$M:$M),XLOOKUP($W99,'Category Mapping'!$C:$C,'Category Mapping'!$D:$D)),$K99))</f>
        <v/>
      </c>
      <c r="W99" s="22">
        <f>IF(ISBLANK($B99),"",IF(ISBLANK($L99),RIGHT($E99,LEN($E99) - FIND("^",SUBSTITUTE($E99,":","^",LEN($E99) - LEN(SUBSTITUTE($E99,":",""))))),$L99))</f>
        <v/>
      </c>
      <c r="X99" s="22">
        <f>IF(ISBLANK($J99),$V99&amp;$W99,$J99)</f>
        <v/>
      </c>
      <c r="Y99" s="23">
        <f t="array" ref="Y99">IF(ISBLANK($M99),IFERROR(XLOOKUP($P99,'Department Listing'!$A:$A,'Department Listing'!$L:$L),""),$M99)</f>
        <v/>
      </c>
      <c r="Z99" s="11">
        <f>IF(ISBLANK($B99),"",MATCH($X99,COA!$B:$B,0))</f>
        <v/>
      </c>
    </row>
    <row r="100" ht="15.75" customHeight="1" s="52">
      <c r="B100" s="17" t="n">
        <v>46165</v>
      </c>
      <c r="C100" s="18" t="inlineStr">
        <is>
          <t>Uber HQ MASTERCARD-544015XXXXXX9350-Gary Passaglia</t>
        </is>
      </c>
      <c r="D100" s="18" t="inlineStr">
        <is>
          <t>Uber</t>
        </is>
      </c>
      <c r="E100" s="18" t="inlineStr">
        <is>
          <t>61220 Sales &amp; Marketing:Sales &amp; Marketing- Travel Expenses:Ground Transportation</t>
        </is>
      </c>
      <c r="F100" s="19" t="n">
        <v>34.97</v>
      </c>
      <c r="H100" s="10" t="n"/>
      <c r="I100" s="9" t="n"/>
      <c r="J100" s="9" t="n"/>
      <c r="K100" s="9" t="n"/>
      <c r="L100" s="9" t="n"/>
      <c r="M100" s="9" t="n"/>
      <c r="N100" s="20" t="n"/>
      <c r="O100" s="20">
        <f>IF(C100="", "", TRIM(RIGHT(C100, LEN(C100) - FIND("@@", SUBSTITUTE(C100, "-", "@@", LEN(C100) - LEN(SUBSTITUTE(C100, "-", "")))))))</f>
        <v/>
      </c>
      <c r="P100" s="20">
        <f t="array" ref="P100">IFERROR(XLOOKUP(O100,'Department Listing'!$O$1:$O$395,'Department Listing'!$A$1:$A$395),IFERROR(XLOOKUP(O100,'Name Aliases'!$A$2:$A$1000,'Name Aliases'!$B$2:$B$1000),""))</f>
        <v/>
      </c>
      <c r="Q100" s="21">
        <f>IF(ISBLANK($C100),"",$B100)</f>
        <v/>
      </c>
      <c r="R100" s="20">
        <f>IF(ISBLANK($C100),"",IF(ISBLANK($I100),$D100,$I100))</f>
        <v/>
      </c>
      <c r="S100" s="22">
        <f>IF(ISBLANK($C100),"",$F100 - $G100)</f>
        <v/>
      </c>
      <c r="T100" s="20">
        <f>IF(ISBLANK($C100),"",C100)</f>
        <v/>
      </c>
      <c r="U100" s="20">
        <f>IF(ISBLANK($C100),"",$D$1)</f>
        <v/>
      </c>
      <c r="V100" s="22">
        <f t="array" ref="V100">IF(ISBLANK($B100),"",IF(ISBLANK($K100),IF(XLOOKUP($W100,'Category Mapping'!$C:$C,'Category Mapping'!$B:$B)="Travel",XLOOKUP($P100,'Department Listing'!$A:$A,'Department Listing'!$M:$M),XLOOKUP($W100,'Category Mapping'!$C:$C,'Category Mapping'!$D:$D)),$K100))</f>
        <v/>
      </c>
      <c r="W100" s="22">
        <f>IF(ISBLANK($B100),"",IF(ISBLANK($L100),RIGHT($E100,LEN($E100) - FIND("^",SUBSTITUTE($E100,":","^",LEN($E100) - LEN(SUBSTITUTE($E100,":",""))))),$L100))</f>
        <v/>
      </c>
      <c r="X100" s="22">
        <f>IF(ISBLANK($J100),$V100&amp;$W100,$J100)</f>
        <v/>
      </c>
      <c r="Y100" s="23">
        <f t="array" ref="Y100">IF(ISBLANK($M100),IFERROR(XLOOKUP($P100,'Department Listing'!$A:$A,'Department Listing'!$L:$L),""),$M100)</f>
        <v/>
      </c>
      <c r="Z100" s="11">
        <f>IF(ISBLANK($B100),"",MATCH($X100,COA!$B:$B,0))</f>
        <v/>
      </c>
    </row>
    <row r="101" ht="15.75" customHeight="1" s="52">
      <c r="B101" s="17" t="n">
        <v>46165</v>
      </c>
      <c r="C101" s="18" t="inlineStr">
        <is>
          <t>Certn (Formerly Credence) Background Screening MASTERCARD-544015XXXXXX6112-Elyse Neumeier</t>
        </is>
      </c>
      <c r="D101" s="18" t="inlineStr">
        <is>
          <t>Certn</t>
        </is>
      </c>
      <c r="E101" s="18" t="inlineStr">
        <is>
          <t>63410 General &amp; Administrative:Office Expenses:Office Supplies</t>
        </is>
      </c>
      <c r="F101" s="19" t="n">
        <v>34.65</v>
      </c>
      <c r="H101" s="10" t="n"/>
      <c r="I101" s="9" t="n"/>
      <c r="J101" s="9" t="n"/>
      <c r="K101" s="25" t="n"/>
      <c r="L101" s="25" t="n"/>
      <c r="M101" s="25" t="n"/>
      <c r="N101" s="20" t="n"/>
      <c r="O101" s="20">
        <f>IF(C101="", "", TRIM(RIGHT(C101, LEN(C101) - FIND("@@", SUBSTITUTE(C101, "-", "@@", LEN(C101) - LEN(SUBSTITUTE(C101, "-", "")))))))</f>
        <v/>
      </c>
      <c r="P101" s="20">
        <f t="array" ref="P101">IFERROR(XLOOKUP(O101,'Department Listing'!$O$1:$O$395,'Department Listing'!$A$1:$A$395),IFERROR(XLOOKUP(O101,'Name Aliases'!$A$2:$A$1000,'Name Aliases'!$B$2:$B$1000),""))</f>
        <v/>
      </c>
      <c r="Q101" s="21">
        <f>IF(ISBLANK($C101),"",$B101)</f>
        <v/>
      </c>
      <c r="R101" s="20">
        <f>IF(ISBLANK($C101),"",IF(ISBLANK($I101),$D101,$I101))</f>
        <v/>
      </c>
      <c r="S101" s="22">
        <f>IF(ISBLANK($C101),"",$F101 - $G101)</f>
        <v/>
      </c>
      <c r="T101" s="20">
        <f>IF(ISBLANK($C101),"",C101)</f>
        <v/>
      </c>
      <c r="U101" s="20">
        <f>IF(ISBLANK($C101),"",$D$1)</f>
        <v/>
      </c>
      <c r="V101" s="22">
        <f t="array" ref="V101">IF(ISBLANK($B101),"",IF(ISBLANK($K101),IF(XLOOKUP($W101,'Category Mapping'!$C:$C,'Category Mapping'!$B:$B)="Travel",XLOOKUP($P101,'Department Listing'!$A:$A,'Department Listing'!$M:$M),XLOOKUP($W101,'Category Mapping'!$C:$C,'Category Mapping'!$D:$D)),$K101))</f>
        <v/>
      </c>
      <c r="W101" s="22">
        <f>IF(ISBLANK($B101),"",IF(ISBLANK($L101),RIGHT($E101,LEN($E101) - FIND("^",SUBSTITUTE($E101,":","^",LEN($E101) - LEN(SUBSTITUTE($E101,":",""))))),$L101))</f>
        <v/>
      </c>
      <c r="X101" s="22">
        <f>IF(ISBLANK($J101),$V101&amp;$W101,$J101)</f>
        <v/>
      </c>
      <c r="Y101" s="23">
        <f t="array" ref="Y101">IF(ISBLANK($M101),IFERROR(XLOOKUP($P101,'Department Listing'!$A:$A,'Department Listing'!$L:$L),""),$M101)</f>
        <v/>
      </c>
      <c r="Z101" s="11">
        <f>IF(ISBLANK($B101),"",MATCH($X101,COA!$B:$B,0))</f>
        <v/>
      </c>
    </row>
    <row r="102" ht="15.75" customHeight="1" s="52">
      <c r="B102" s="17" t="n">
        <v>46168</v>
      </c>
      <c r="C102" s="18" t="inlineStr">
        <is>
          <t>Amazon Marketplace US MASTERCARD-544015XXXXXX7759-Mickenzi Krpec</t>
        </is>
      </c>
      <c r="D102" s="18" t="inlineStr">
        <is>
          <t>Amazon</t>
        </is>
      </c>
      <c r="E102" s="18" t="inlineStr">
        <is>
          <t>63410 General &amp; Administrative:Office Expenses:Office Supplies</t>
        </is>
      </c>
      <c r="F102" s="19" t="n">
        <v>34.4</v>
      </c>
      <c r="H102" s="10" t="n"/>
      <c r="I102" s="9" t="n"/>
      <c r="J102" s="9" t="n"/>
      <c r="K102" s="9" t="n"/>
      <c r="L102" s="9" t="n"/>
      <c r="M102" s="9" t="n"/>
      <c r="N102" s="20" t="n"/>
      <c r="O102" s="20">
        <f>IF(C102="", "", TRIM(RIGHT(C102, LEN(C102) - FIND("@@", SUBSTITUTE(C102, "-", "@@", LEN(C102) - LEN(SUBSTITUTE(C102, "-", "")))))))</f>
        <v/>
      </c>
      <c r="P102" s="20">
        <f t="array" ref="P102">IFERROR(XLOOKUP(O102,'Department Listing'!$O$1:$O$395,'Department Listing'!$A$1:$A$395),IFERROR(XLOOKUP(O102,'Name Aliases'!$A$2:$A$1000,'Name Aliases'!$B$2:$B$1000),""))</f>
        <v/>
      </c>
      <c r="Q102" s="21">
        <f>IF(ISBLANK($C102),"",$B102)</f>
        <v/>
      </c>
      <c r="R102" s="20">
        <f>IF(ISBLANK($C102),"",IF(ISBLANK($I102),$D102,$I102))</f>
        <v/>
      </c>
      <c r="S102" s="22">
        <f>IF(ISBLANK($C102),"",$F102 - $G102)</f>
        <v/>
      </c>
      <c r="T102" s="20">
        <f>IF(ISBLANK($C102),"",C102)</f>
        <v/>
      </c>
      <c r="U102" s="20">
        <f>IF(ISBLANK($C102),"",$D$1)</f>
        <v/>
      </c>
      <c r="V102" s="22">
        <f t="array" ref="V102">IF(ISBLANK($B102),"",IF(ISBLANK($K102),IF(XLOOKUP($W102,'Category Mapping'!$C:$C,'Category Mapping'!$B:$B)="Travel",XLOOKUP($P102,'Department Listing'!$A:$A,'Department Listing'!$M:$M),XLOOKUP($W102,'Category Mapping'!$C:$C,'Category Mapping'!$D:$D)),$K102))</f>
        <v/>
      </c>
      <c r="W102" s="22">
        <f>IF(ISBLANK($B102),"",IF(ISBLANK($L102),RIGHT($E102,LEN($E102) - FIND("^",SUBSTITUTE($E102,":","^",LEN($E102) - LEN(SUBSTITUTE($E102,":",""))))),$L102))</f>
        <v/>
      </c>
      <c r="X102" s="22">
        <f>IF(ISBLANK($J102),$V102&amp;$W102,$J102)</f>
        <v/>
      </c>
      <c r="Y102" s="23">
        <f t="array" ref="Y102">IF(ISBLANK($M102),IFERROR(XLOOKUP($P102,'Department Listing'!$A:$A,'Department Listing'!$L:$L),""),$M102)</f>
        <v/>
      </c>
      <c r="Z102" s="11">
        <f>IF(ISBLANK($B102),"",MATCH($X102,COA!$B:$B,0))</f>
        <v/>
      </c>
    </row>
    <row r="103" ht="15.75" customHeight="1" s="52">
      <c r="B103" s="17" t="n">
        <v>46168</v>
      </c>
      <c r="C103" s="18" t="inlineStr">
        <is>
          <t>Uber HQ MASTERCARD-544015XXXXXX9350-Gary Passaglia</t>
        </is>
      </c>
      <c r="D103" s="18" t="inlineStr">
        <is>
          <t>Uber</t>
        </is>
      </c>
      <c r="E103" s="18" t="inlineStr">
        <is>
          <t>61220 Sales &amp; Marketing:Sales &amp; Marketing- Travel Expenses:Ground Transportation</t>
        </is>
      </c>
      <c r="F103" s="19" t="n">
        <v>33.93</v>
      </c>
      <c r="H103" s="10" t="n"/>
      <c r="I103" s="9" t="n"/>
      <c r="J103" s="9" t="n"/>
      <c r="K103" s="9" t="n"/>
      <c r="L103" s="9" t="n"/>
      <c r="M103" s="25" t="n"/>
      <c r="N103" s="20" t="n"/>
      <c r="O103" s="20">
        <f>IF(C103="", "", TRIM(RIGHT(C103, LEN(C103) - FIND("@@", SUBSTITUTE(C103, "-", "@@", LEN(C103) - LEN(SUBSTITUTE(C103, "-", "")))))))</f>
        <v/>
      </c>
      <c r="P103" s="20">
        <f t="array" ref="P103">IFERROR(XLOOKUP(O103,'Department Listing'!$O$1:$O$395,'Department Listing'!$A$1:$A$395),IFERROR(XLOOKUP(O103,'Name Aliases'!$A$2:$A$1000,'Name Aliases'!$B$2:$B$1000),""))</f>
        <v/>
      </c>
      <c r="Q103" s="21">
        <f>IF(ISBLANK($C103),"",$B103)</f>
        <v/>
      </c>
      <c r="R103" s="20">
        <f>IF(ISBLANK($C103),"",IF(ISBLANK($I103),$D103,$I103))</f>
        <v/>
      </c>
      <c r="S103" s="22">
        <f>IF(ISBLANK($C103),"",$F103 - $G103)</f>
        <v/>
      </c>
      <c r="T103" s="20">
        <f>IF(ISBLANK($C103),"",C103)</f>
        <v/>
      </c>
      <c r="U103" s="20">
        <f>IF(ISBLANK($C103),"",$D$1)</f>
        <v/>
      </c>
      <c r="V103" s="22">
        <f t="array" ref="V103">IF(ISBLANK($B103),"",IF(ISBLANK($K103),IF(XLOOKUP($W103,'Category Mapping'!$C:$C,'Category Mapping'!$B:$B)="Travel",XLOOKUP($P103,'Department Listing'!$A:$A,'Department Listing'!$M:$M),XLOOKUP($W103,'Category Mapping'!$C:$C,'Category Mapping'!$D:$D)),$K103))</f>
        <v/>
      </c>
      <c r="W103" s="22">
        <f>IF(ISBLANK($B103),"",IF(ISBLANK($L103),RIGHT($E103,LEN($E103) - FIND("^",SUBSTITUTE($E103,":","^",LEN($E103) - LEN(SUBSTITUTE($E103,":",""))))),$L103))</f>
        <v/>
      </c>
      <c r="X103" s="22">
        <f>IF(ISBLANK($J103),$V103&amp;$W103,$J103)</f>
        <v/>
      </c>
      <c r="Y103" s="23">
        <f t="array" ref="Y103">IF(ISBLANK($M103),IFERROR(XLOOKUP($P103,'Department Listing'!$A:$A,'Department Listing'!$L:$L),""),$M103)</f>
        <v/>
      </c>
      <c r="Z103" s="11">
        <f>IF(ISBLANK($B103),"",MATCH($X103,COA!$B:$B,0))</f>
        <v/>
      </c>
    </row>
    <row r="104" ht="15.75" customHeight="1" s="52">
      <c r="B104" s="17" t="n">
        <v>46170</v>
      </c>
      <c r="C104" s="18" t="inlineStr">
        <is>
          <t>Amazon Marketplace US MASTERCARD-544015XXXXXX8091-Brooke Berg</t>
        </is>
      </c>
      <c r="D104" s="18" t="inlineStr">
        <is>
          <t>Amazon</t>
        </is>
      </c>
      <c r="E104" s="18" t="inlineStr">
        <is>
          <t>63410 General &amp; Administrative:Office Expenses:Office Supplies</t>
        </is>
      </c>
      <c r="F104" s="19" t="n">
        <v>32.4</v>
      </c>
      <c r="H104" s="10" t="n"/>
      <c r="I104" s="9" t="n"/>
      <c r="J104" s="9" t="n"/>
      <c r="K104" s="9" t="n"/>
      <c r="L104" s="25" t="n"/>
      <c r="M104" s="9" t="n"/>
      <c r="N104" s="20" t="n"/>
      <c r="O104" s="20">
        <f>IF(C104="", "", TRIM(RIGHT(C104, LEN(C104) - FIND("@@", SUBSTITUTE(C104, "-", "@@", LEN(C104) - LEN(SUBSTITUTE(C104, "-", "")))))))</f>
        <v/>
      </c>
      <c r="P104" s="20">
        <f t="array" ref="P104">IFERROR(XLOOKUP(O104,'Department Listing'!$O$1:$O$395,'Department Listing'!$A$1:$A$395),IFERROR(XLOOKUP(O104,'Name Aliases'!$A$2:$A$1000,'Name Aliases'!$B$2:$B$1000),""))</f>
        <v/>
      </c>
      <c r="Q104" s="21">
        <f>IF(ISBLANK($C104),"",$B104)</f>
        <v/>
      </c>
      <c r="R104" s="20">
        <f>IF(ISBLANK($C104),"",IF(ISBLANK($I104),$D104,$I104))</f>
        <v/>
      </c>
      <c r="S104" s="22">
        <f>IF(ISBLANK($C104),"",$F104 - $G104)</f>
        <v/>
      </c>
      <c r="T104" s="20">
        <f>IF(ISBLANK($C104),"",C104)</f>
        <v/>
      </c>
      <c r="U104" s="20">
        <f>IF(ISBLANK($C104),"",$D$1)</f>
        <v/>
      </c>
      <c r="V104" s="22">
        <f t="array" ref="V104">IF(ISBLANK($B104),"",IF(ISBLANK($K104),IF(XLOOKUP($W104,'Category Mapping'!$C:$C,'Category Mapping'!$B:$B)="Travel",XLOOKUP($P104,'Department Listing'!$A:$A,'Department Listing'!$M:$M),XLOOKUP($W104,'Category Mapping'!$C:$C,'Category Mapping'!$D:$D)),$K104))</f>
        <v/>
      </c>
      <c r="W104" s="22">
        <f>IF(ISBLANK($B104),"",IF(ISBLANK($L104),RIGHT($E104,LEN($E104) - FIND("^",SUBSTITUTE($E104,":","^",LEN($E104) - LEN(SUBSTITUTE($E104,":",""))))),$L104))</f>
        <v/>
      </c>
      <c r="X104" s="22">
        <f>IF(ISBLANK($J104),$V104&amp;$W104,$J104)</f>
        <v/>
      </c>
      <c r="Y104" s="23">
        <f t="array" ref="Y104">IF(ISBLANK($M104),IFERROR(XLOOKUP($P104,'Department Listing'!$A:$A,'Department Listing'!$L:$L),""),$M104)</f>
        <v/>
      </c>
      <c r="Z104" s="11">
        <f>IF(ISBLANK($B104),"",MATCH($X104,COA!$B:$B,0))</f>
        <v/>
      </c>
    </row>
    <row r="105" ht="15.75" customHeight="1" s="52">
      <c r="B105" s="17" t="n">
        <v>46164</v>
      </c>
      <c r="C105" s="18" t="inlineStr">
        <is>
          <t>Taxi MASTERCARD-555671XXXXXX1123-Tomas Cespedes</t>
        </is>
      </c>
      <c r="E105" s="18" t="inlineStr">
        <is>
          <t>61220 Sales &amp; Marketing:Sales &amp; Marketing- Travel Expenses:Ground Transportation</t>
        </is>
      </c>
      <c r="F105" s="19" t="n">
        <v>32.1</v>
      </c>
      <c r="H105" s="10" t="n"/>
      <c r="I105" s="9" t="inlineStr">
        <is>
          <t>Taxi Vendor</t>
        </is>
      </c>
      <c r="J105" s="9" t="n"/>
      <c r="K105" s="25" t="n"/>
      <c r="L105" s="25" t="n"/>
      <c r="M105" s="9" t="n"/>
      <c r="N105" s="20" t="n"/>
      <c r="O105" s="20">
        <f>IF(C105="", "", TRIM(RIGHT(C105, LEN(C105) - FIND("@@", SUBSTITUTE(C105, "-", "@@", LEN(C105) - LEN(SUBSTITUTE(C105, "-", "")))))))</f>
        <v/>
      </c>
      <c r="P105" s="20">
        <f t="array" ref="P105">IFERROR(XLOOKUP(O105,'Department Listing'!$O$1:$O$395,'Department Listing'!$A$1:$A$395),IFERROR(XLOOKUP(O105,'Name Aliases'!$A$2:$A$1000,'Name Aliases'!$B$2:$B$1000),""))</f>
        <v/>
      </c>
      <c r="Q105" s="21">
        <f>IF(ISBLANK($C105),"",$B105)</f>
        <v/>
      </c>
      <c r="R105" s="20">
        <f>IF(ISBLANK($C105),"",IF(ISBLANK($I105),$D105,$I105))</f>
        <v/>
      </c>
      <c r="S105" s="22">
        <f>IF(ISBLANK($C105),"",$F105 - $G105)</f>
        <v/>
      </c>
      <c r="T105" s="20">
        <f>IF(ISBLANK($C105),"",C105)</f>
        <v/>
      </c>
      <c r="U105" s="20">
        <f>IF(ISBLANK($C105),"",$D$1)</f>
        <v/>
      </c>
      <c r="V105" s="22">
        <f t="array" ref="V105">IF(ISBLANK($B105),"",IF(ISBLANK($K105),IF(XLOOKUP($W105,'Category Mapping'!$C:$C,'Category Mapping'!$B:$B)="Travel",XLOOKUP($P105,'Department Listing'!$A:$A,'Department Listing'!$M:$M),XLOOKUP($W105,'Category Mapping'!$C:$C,'Category Mapping'!$D:$D)),$K105))</f>
        <v/>
      </c>
      <c r="W105" s="22">
        <f>IF(ISBLANK($B105),"",IF(ISBLANK($L105),RIGHT($E105,LEN($E105) - FIND("^",SUBSTITUTE($E105,":","^",LEN($E105) - LEN(SUBSTITUTE($E105,":",""))))),$L105))</f>
        <v/>
      </c>
      <c r="X105" s="22">
        <f>IF(ISBLANK($J105),$V105&amp;$W105,$J105)</f>
        <v/>
      </c>
      <c r="Y105" s="23">
        <f t="array" ref="Y105">IF(ISBLANK($M105),IFERROR(XLOOKUP($P105,'Department Listing'!$A:$A,'Department Listing'!$L:$L),""),$M105)</f>
        <v/>
      </c>
      <c r="Z105" s="11">
        <f>IF(ISBLANK($B105),"",MATCH($X105,COA!$B:$B,0))</f>
        <v/>
      </c>
    </row>
    <row r="106" ht="15.75" customHeight="1" s="52">
      <c r="B106" s="17" t="n">
        <v>46169</v>
      </c>
      <c r="C106" s="18" t="inlineStr">
        <is>
          <t>Amazon MASTERCARD-544015XXXXXX9692-Aaron Rhodes</t>
        </is>
      </c>
      <c r="D106" s="18" t="inlineStr">
        <is>
          <t>Amazon</t>
        </is>
      </c>
      <c r="E106" s="18" t="inlineStr">
        <is>
          <t>63410 General &amp; Administrative:Office Expenses:Office Supplies</t>
        </is>
      </c>
      <c r="F106" s="19" t="n">
        <v>31.33</v>
      </c>
      <c r="H106" s="10" t="n"/>
      <c r="I106" s="9" t="n"/>
      <c r="J106" s="9" t="n"/>
      <c r="K106" s="25" t="n"/>
      <c r="L106" s="25" t="n"/>
      <c r="M106" s="9" t="n"/>
      <c r="N106" s="20" t="n"/>
      <c r="O106" s="20">
        <f>IF(C106="", "", TRIM(RIGHT(C106, LEN(C106) - FIND("@@", SUBSTITUTE(C106, "-", "@@", LEN(C106) - LEN(SUBSTITUTE(C106, "-", "")))))))</f>
        <v/>
      </c>
      <c r="P106" s="20">
        <f t="array" ref="P106">IFERROR(XLOOKUP(O106,'Department Listing'!$O$1:$O$395,'Department Listing'!$A$1:$A$395),IFERROR(XLOOKUP(O106,'Name Aliases'!$A$2:$A$1000,'Name Aliases'!$B$2:$B$1000),""))</f>
        <v/>
      </c>
      <c r="Q106" s="21">
        <f>IF(ISBLANK($C106),"",$B106)</f>
        <v/>
      </c>
      <c r="R106" s="20">
        <f>IF(ISBLANK($C106),"",IF(ISBLANK($I106),$D106,$I106))</f>
        <v/>
      </c>
      <c r="S106" s="22">
        <f>IF(ISBLANK($C106),"",$F106 - $G106)</f>
        <v/>
      </c>
      <c r="T106" s="20">
        <f>IF(ISBLANK($C106),"",C106)</f>
        <v/>
      </c>
      <c r="U106" s="20">
        <f>IF(ISBLANK($C106),"",$D$1)</f>
        <v/>
      </c>
      <c r="V106" s="22">
        <f t="array" ref="V106">IF(ISBLANK($B106),"",IF(ISBLANK($K106),IF(XLOOKUP($W106,'Category Mapping'!$C:$C,'Category Mapping'!$B:$B)="Travel",XLOOKUP($P106,'Department Listing'!$A:$A,'Department Listing'!$M:$M),XLOOKUP($W106,'Category Mapping'!$C:$C,'Category Mapping'!$D:$D)),$K106))</f>
        <v/>
      </c>
      <c r="W106" s="22">
        <f>IF(ISBLANK($B106),"",IF(ISBLANK($L106),RIGHT($E106,LEN($E106) - FIND("^",SUBSTITUTE($E106,":","^",LEN($E106) - LEN(SUBSTITUTE($E106,":",""))))),$L106))</f>
        <v/>
      </c>
      <c r="X106" s="22">
        <f>IF(ISBLANK($J106),$V106&amp;$W106,$J106)</f>
        <v/>
      </c>
      <c r="Y106" s="23">
        <f t="array" ref="Y106">IF(ISBLANK($M106),IFERROR(XLOOKUP($P106,'Department Listing'!$A:$A,'Department Listing'!$L:$L),""),$M106)</f>
        <v/>
      </c>
      <c r="Z106" s="11">
        <f>IF(ISBLANK($B106),"",MATCH($X106,COA!$B:$B,0))</f>
        <v/>
      </c>
    </row>
    <row r="107" ht="15.75" customHeight="1" s="52">
      <c r="B107" s="17" t="n">
        <v>46168</v>
      </c>
      <c r="C107" s="18" t="inlineStr">
        <is>
          <t>Wegmans MASTERCARD-544015XXXXXX7759-Mickenzi Krpec</t>
        </is>
      </c>
      <c r="E107" s="18" t="inlineStr">
        <is>
          <t>61240 Sales &amp; Marketing:Sales &amp; Marketing- Travel Expenses:Meals &amp; Entertainment</t>
        </is>
      </c>
      <c r="F107" s="19" t="n">
        <v>30.46</v>
      </c>
      <c r="H107" s="10" t="n"/>
      <c r="I107" s="9" t="inlineStr">
        <is>
          <t>Food Vendor</t>
        </is>
      </c>
      <c r="J107" s="9" t="n"/>
      <c r="K107" s="9" t="n"/>
      <c r="L107" s="9" t="n"/>
      <c r="M107" s="9" t="n"/>
      <c r="N107" s="20" t="n"/>
      <c r="O107" s="20">
        <f>IF(C107="", "", TRIM(RIGHT(C107, LEN(C107) - FIND("@@", SUBSTITUTE(C107, "-", "@@", LEN(C107) - LEN(SUBSTITUTE(C107, "-", "")))))))</f>
        <v/>
      </c>
      <c r="P107" s="20">
        <f t="array" ref="P107">IFERROR(XLOOKUP(O107,'Department Listing'!$O$1:$O$395,'Department Listing'!$A$1:$A$395),IFERROR(XLOOKUP(O107,'Name Aliases'!$A$2:$A$1000,'Name Aliases'!$B$2:$B$1000),""))</f>
        <v/>
      </c>
      <c r="Q107" s="21">
        <f>IF(ISBLANK($C107),"",$B107)</f>
        <v/>
      </c>
      <c r="R107" s="20">
        <f>IF(ISBLANK($C107),"",IF(ISBLANK($I107),$D107,$I107))</f>
        <v/>
      </c>
      <c r="S107" s="22">
        <f>IF(ISBLANK($C107),"",$F107 - $G107)</f>
        <v/>
      </c>
      <c r="T107" s="20">
        <f>IF(ISBLANK($C107),"",C107)</f>
        <v/>
      </c>
      <c r="U107" s="20">
        <f>IF(ISBLANK($C107),"",$D$1)</f>
        <v/>
      </c>
      <c r="V107" s="22">
        <f t="array" ref="V107">IF(ISBLANK($B107),"",IF(ISBLANK($K107),IF(XLOOKUP($W107,'Category Mapping'!$C:$C,'Category Mapping'!$B:$B)="Travel",XLOOKUP($P107,'Department Listing'!$A:$A,'Department Listing'!$M:$M),XLOOKUP($W107,'Category Mapping'!$C:$C,'Category Mapping'!$D:$D)),$K107))</f>
        <v/>
      </c>
      <c r="W107" s="22">
        <f>IF(ISBLANK($B107),"",IF(ISBLANK($L107),RIGHT($E107,LEN($E107) - FIND("^",SUBSTITUTE($E107,":","^",LEN($E107) - LEN(SUBSTITUTE($E107,":",""))))),$L107))</f>
        <v/>
      </c>
      <c r="X107" s="22">
        <f>IF(ISBLANK($J107),$V107&amp;$W107,$J107)</f>
        <v/>
      </c>
      <c r="Y107" s="23">
        <f t="array" ref="Y107">IF(ISBLANK($M107),IFERROR(XLOOKUP($P107,'Department Listing'!$A:$A,'Department Listing'!$L:$L),""),$M107)</f>
        <v/>
      </c>
      <c r="Z107" s="11">
        <f>IF(ISBLANK($B107),"",MATCH($X107,COA!$B:$B,0))</f>
        <v/>
      </c>
    </row>
    <row r="108" ht="15.75" customHeight="1" s="52">
      <c r="B108" s="17" t="n">
        <v>46167</v>
      </c>
      <c r="C108" s="18" t="inlineStr">
        <is>
          <t>Amazon Marketplace US MASTERCARD-544015XXXXXX9352-Ryan Kelly</t>
        </is>
      </c>
      <c r="D108" s="18" t="inlineStr">
        <is>
          <t>Amazon</t>
        </is>
      </c>
      <c r="E108" s="18" t="inlineStr">
        <is>
          <t>63410 General &amp; Administrative:Office Expenses:Office Supplies</t>
        </is>
      </c>
      <c r="F108" s="19" t="n">
        <v>29.99</v>
      </c>
      <c r="H108" s="10" t="n"/>
      <c r="I108" s="9" t="n"/>
      <c r="J108" s="9" t="n"/>
      <c r="K108" s="9" t="n"/>
      <c r="L108" s="9" t="n"/>
      <c r="M108" s="9" t="n"/>
      <c r="N108" s="20" t="n"/>
      <c r="O108" s="20">
        <f>IF(C108="", "", TRIM(RIGHT(C108, LEN(C108) - FIND("@@", SUBSTITUTE(C108, "-", "@@", LEN(C108) - LEN(SUBSTITUTE(C108, "-", "")))))))</f>
        <v/>
      </c>
      <c r="P108" s="20">
        <f t="array" ref="P108">IFERROR(XLOOKUP(O108,'Department Listing'!$O$1:$O$395,'Department Listing'!$A$1:$A$395),IFERROR(XLOOKUP(O108,'Name Aliases'!$A$2:$A$1000,'Name Aliases'!$B$2:$B$1000),""))</f>
        <v/>
      </c>
      <c r="Q108" s="21">
        <f>IF(ISBLANK($C108),"",$B108)</f>
        <v/>
      </c>
      <c r="R108" s="20">
        <f>IF(ISBLANK($C108),"",IF(ISBLANK($I108),$D108,$I108))</f>
        <v/>
      </c>
      <c r="S108" s="22">
        <f>IF(ISBLANK($C108),"",$F108 - $G108)</f>
        <v/>
      </c>
      <c r="T108" s="20">
        <f>IF(ISBLANK($C108),"",C108)</f>
        <v/>
      </c>
      <c r="U108" s="20">
        <f>IF(ISBLANK($C108),"",$D$1)</f>
        <v/>
      </c>
      <c r="V108" s="22">
        <f t="array" ref="V108">IF(ISBLANK($B108),"",IF(ISBLANK($K108),IF(XLOOKUP($W108,'Category Mapping'!$C:$C,'Category Mapping'!$B:$B)="Travel",XLOOKUP($P108,'Department Listing'!$A:$A,'Department Listing'!$M:$M),XLOOKUP($W108,'Category Mapping'!$C:$C,'Category Mapping'!$D:$D)),$K108))</f>
        <v/>
      </c>
      <c r="W108" s="22">
        <f>IF(ISBLANK($B108),"",IF(ISBLANK($L108),RIGHT($E108,LEN($E108) - FIND("^",SUBSTITUTE($E108,":","^",LEN($E108) - LEN(SUBSTITUTE($E108,":",""))))),$L108))</f>
        <v/>
      </c>
      <c r="X108" s="22">
        <f>IF(ISBLANK($J108),$V108&amp;$W108,$J108)</f>
        <v/>
      </c>
      <c r="Y108" s="23">
        <f t="array" ref="Y108">IF(ISBLANK($M108),IFERROR(XLOOKUP($P108,'Department Listing'!$A:$A,'Department Listing'!$L:$L),""),$M108)</f>
        <v/>
      </c>
      <c r="Z108" s="11">
        <f>IF(ISBLANK($B108),"",MATCH($X108,COA!$B:$B,0))</f>
        <v/>
      </c>
    </row>
    <row r="109" ht="15.75" customHeight="1" s="52">
      <c r="B109" s="17" t="n">
        <v>46166</v>
      </c>
      <c r="C109" s="18" t="inlineStr">
        <is>
          <t>Amazon MASTERCARD-544015XXXXXX2900-Chloe Brant</t>
        </is>
      </c>
      <c r="D109" s="18" t="inlineStr">
        <is>
          <t>Amazon</t>
        </is>
      </c>
      <c r="E109" s="18" t="inlineStr">
        <is>
          <t>63410 General &amp; Administrative:Office Expenses:Office Supplies</t>
        </is>
      </c>
      <c r="F109" s="19" t="n">
        <v>28.06</v>
      </c>
      <c r="H109" s="10" t="n"/>
      <c r="I109" s="9" t="n"/>
      <c r="J109" s="9" t="n"/>
      <c r="K109" s="9" t="n"/>
      <c r="L109" s="9" t="n"/>
      <c r="M109" s="9" t="n"/>
      <c r="N109" s="20" t="n"/>
      <c r="O109" s="20">
        <f>IF(C109="", "", TRIM(RIGHT(C109, LEN(C109) - FIND("@@", SUBSTITUTE(C109, "-", "@@", LEN(C109) - LEN(SUBSTITUTE(C109, "-", "")))))))</f>
        <v/>
      </c>
      <c r="P109" s="20">
        <f t="array" ref="P109">IFERROR(XLOOKUP(O109,'Department Listing'!$O$1:$O$395,'Department Listing'!$A$1:$A$395),IFERROR(XLOOKUP(O109,'Name Aliases'!$A$2:$A$1000,'Name Aliases'!$B$2:$B$1000),""))</f>
        <v/>
      </c>
      <c r="Q109" s="21">
        <f>IF(ISBLANK($C109),"",$B109)</f>
        <v/>
      </c>
      <c r="R109" s="20">
        <f>IF(ISBLANK($C109),"",IF(ISBLANK($I109),$D109,$I109))</f>
        <v/>
      </c>
      <c r="S109" s="22">
        <f>IF(ISBLANK($C109),"",$F109 - $G109)</f>
        <v/>
      </c>
      <c r="T109" s="20">
        <f>IF(ISBLANK($C109),"",C109)</f>
        <v/>
      </c>
      <c r="U109" s="20">
        <f>IF(ISBLANK($C109),"",$D$1)</f>
        <v/>
      </c>
      <c r="V109" s="22">
        <f t="array" ref="V109">IF(ISBLANK($B109),"",IF(ISBLANK($K109),IF(XLOOKUP($W109,'Category Mapping'!$C:$C,'Category Mapping'!$B:$B)="Travel",XLOOKUP($P109,'Department Listing'!$A:$A,'Department Listing'!$M:$M),XLOOKUP($W109,'Category Mapping'!$C:$C,'Category Mapping'!$D:$D)),$K109))</f>
        <v/>
      </c>
      <c r="W109" s="22">
        <f>IF(ISBLANK($B109),"",IF(ISBLANK($L109),RIGHT($E109,LEN($E109) - FIND("^",SUBSTITUTE($E109,":","^",LEN($E109) - LEN(SUBSTITUTE($E109,":",""))))),$L109))</f>
        <v/>
      </c>
      <c r="X109" s="22">
        <f>IF(ISBLANK($J109),$V109&amp;$W109,$J109)</f>
        <v/>
      </c>
      <c r="Y109" s="23">
        <f t="array" ref="Y109">IF(ISBLANK($M109),IFERROR(XLOOKUP($P109,'Department Listing'!$A:$A,'Department Listing'!$L:$L),""),$M109)</f>
        <v/>
      </c>
      <c r="Z109" s="11">
        <f>IF(ISBLANK($B109),"",MATCH($X109,COA!$B:$B,0))</f>
        <v/>
      </c>
    </row>
    <row r="110" ht="15.75" customHeight="1" s="52">
      <c r="B110" s="17" t="n">
        <v>46165</v>
      </c>
      <c r="C110" s="18" t="inlineStr">
        <is>
          <t>Chipotle Mexican Grill MASTERCARD-544015XXXXXX2505-Frederick Simpson</t>
        </is>
      </c>
      <c r="D110" s="18" t="inlineStr">
        <is>
          <t>Chipotle</t>
        </is>
      </c>
      <c r="E110" s="18" t="inlineStr">
        <is>
          <t>61240 Sales &amp; Marketing:Sales &amp; Marketing- Travel Expenses:Meals &amp; Entertainment</t>
        </is>
      </c>
      <c r="F110" s="19" t="n">
        <v>27.71</v>
      </c>
      <c r="H110" s="10" t="n"/>
      <c r="I110" s="9" t="n"/>
      <c r="J110" s="9" t="n"/>
      <c r="K110" s="9" t="n"/>
      <c r="L110" s="9" t="n"/>
      <c r="M110" s="9" t="n"/>
      <c r="N110" s="20" t="n"/>
      <c r="O110" s="20">
        <f>IF(C110="", "", TRIM(RIGHT(C110, LEN(C110) - FIND("@@", SUBSTITUTE(C110, "-", "@@", LEN(C110) - LEN(SUBSTITUTE(C110, "-", "")))))))</f>
        <v/>
      </c>
      <c r="P110" s="20">
        <f t="array" ref="P110">IFERROR(XLOOKUP(O110,'Department Listing'!$O$1:$O$395,'Department Listing'!$A$1:$A$395),IFERROR(XLOOKUP(O110,'Name Aliases'!$A$2:$A$1000,'Name Aliases'!$B$2:$B$1000),""))</f>
        <v/>
      </c>
      <c r="Q110" s="21">
        <f>IF(ISBLANK($C110),"",$B110)</f>
        <v/>
      </c>
      <c r="R110" s="20">
        <f>IF(ISBLANK($C110),"",IF(ISBLANK($I110),$D110,$I110))</f>
        <v/>
      </c>
      <c r="S110" s="22">
        <f>IF(ISBLANK($C110),"",$F110 - $G110)</f>
        <v/>
      </c>
      <c r="T110" s="20">
        <f>IF(ISBLANK($C110),"",C110)</f>
        <v/>
      </c>
      <c r="U110" s="20">
        <f>IF(ISBLANK($C110),"",$D$1)</f>
        <v/>
      </c>
      <c r="V110" s="22">
        <f t="array" ref="V110">IF(ISBLANK($B110),"",IF(ISBLANK($K110),IF(XLOOKUP($W110,'Category Mapping'!$C:$C,'Category Mapping'!$B:$B)="Travel",XLOOKUP($P110,'Department Listing'!$A:$A,'Department Listing'!$M:$M),XLOOKUP($W110,'Category Mapping'!$C:$C,'Category Mapping'!$D:$D)),$K110))</f>
        <v/>
      </c>
      <c r="W110" s="22">
        <f>IF(ISBLANK($B110),"",IF(ISBLANK($L110),RIGHT($E110,LEN($E110) - FIND("^",SUBSTITUTE($E110,":","^",LEN($E110) - LEN(SUBSTITUTE($E110,":",""))))),$L110))</f>
        <v/>
      </c>
      <c r="X110" s="22">
        <f>IF(ISBLANK($J110),$V110&amp;$W110,$J110)</f>
        <v/>
      </c>
      <c r="Y110" s="23">
        <f t="array" ref="Y110">IF(ISBLANK($M110),IFERROR(XLOOKUP($P110,'Department Listing'!$A:$A,'Department Listing'!$L:$L),""),$M110)</f>
        <v/>
      </c>
      <c r="Z110" s="11">
        <f>IF(ISBLANK($B110),"",MATCH($X110,COA!$B:$B,0))</f>
        <v/>
      </c>
    </row>
    <row r="111" ht="15.75" customHeight="1" s="52">
      <c r="B111" s="17" t="n">
        <v>46164</v>
      </c>
      <c r="C111" s="18" t="inlineStr">
        <is>
          <t>WEISSGERBER S GOLDEN M MASTERCARD-544015XXXXXX2553-Ryan Hale</t>
        </is>
      </c>
      <c r="E111" s="18" t="inlineStr">
        <is>
          <t>61240 Sales &amp; Marketing:Sales &amp; Marketing- Travel Expenses:Meals &amp; Entertainment</t>
        </is>
      </c>
      <c r="F111" s="19" t="n">
        <v>25.09</v>
      </c>
      <c r="H111" s="10" t="n"/>
      <c r="I111" s="9" t="inlineStr">
        <is>
          <t>Food Vendor</t>
        </is>
      </c>
      <c r="J111" s="9" t="n"/>
      <c r="K111" s="9" t="n"/>
      <c r="L111" s="9" t="n"/>
      <c r="M111" s="9" t="n"/>
      <c r="N111" s="20" t="n"/>
      <c r="O111" s="20">
        <f>IF(C111="", "", TRIM(RIGHT(C111, LEN(C111) - FIND("@@", SUBSTITUTE(C111, "-", "@@", LEN(C111) - LEN(SUBSTITUTE(C111, "-", "")))))))</f>
        <v/>
      </c>
      <c r="P111" s="20">
        <f t="array" ref="P111">IFERROR(XLOOKUP(O111,'Department Listing'!$O$1:$O$395,'Department Listing'!$A$1:$A$395),IFERROR(XLOOKUP(O111,'Name Aliases'!$A$2:$A$1000,'Name Aliases'!$B$2:$B$1000),""))</f>
        <v/>
      </c>
      <c r="Q111" s="21">
        <f>IF(ISBLANK($C111),"",$B111)</f>
        <v/>
      </c>
      <c r="R111" s="20">
        <f>IF(ISBLANK($C111),"",IF(ISBLANK($I111),$D111,$I111))</f>
        <v/>
      </c>
      <c r="S111" s="22">
        <f>IF(ISBLANK($C111),"",$F111 - $G111)</f>
        <v/>
      </c>
      <c r="T111" s="20">
        <f>IF(ISBLANK($C111),"",C111)</f>
        <v/>
      </c>
      <c r="U111" s="20">
        <f>IF(ISBLANK($C111),"",$D$1)</f>
        <v/>
      </c>
      <c r="V111" s="22">
        <f t="array" ref="V111">IF(ISBLANK($B111),"",IF(ISBLANK($K111),IF(XLOOKUP($W111,'Category Mapping'!$C:$C,'Category Mapping'!$B:$B)="Travel",XLOOKUP($P111,'Department Listing'!$A:$A,'Department Listing'!$M:$M),XLOOKUP($W111,'Category Mapping'!$C:$C,'Category Mapping'!$D:$D)),$K111))</f>
        <v/>
      </c>
      <c r="W111" s="22">
        <f>IF(ISBLANK($B111),"",IF(ISBLANK($L111),RIGHT($E111,LEN($E111) - FIND("^",SUBSTITUTE($E111,":","^",LEN($E111) - LEN(SUBSTITUTE($E111,":",""))))),$L111))</f>
        <v/>
      </c>
      <c r="X111" s="22">
        <f>IF(ISBLANK($J111),$V111&amp;$W111,$J111)</f>
        <v/>
      </c>
      <c r="Y111" s="23">
        <f t="array" ref="Y111">IF(ISBLANK($M111),IFERROR(XLOOKUP($P111,'Department Listing'!$A:$A,'Department Listing'!$L:$L),""),$M111)</f>
        <v/>
      </c>
      <c r="Z111" s="11">
        <f>IF(ISBLANK($B111),"",MATCH($X111,COA!$B:$B,0))</f>
        <v/>
      </c>
    </row>
    <row r="112" ht="15" customHeight="1" s="52">
      <c r="B112" s="17" t="n">
        <v>46165</v>
      </c>
      <c r="C112" s="18" t="inlineStr">
        <is>
          <t>American MASTERCARD-544015XXXXXX2900-Chloe Brant</t>
        </is>
      </c>
      <c r="D112" s="18" t="inlineStr">
        <is>
          <t>American Airlines</t>
        </is>
      </c>
      <c r="E112" s="18" t="inlineStr">
        <is>
          <t>61210 Sales &amp; Marketing:Sales &amp; Marketing- Travel Expenses:Airfare</t>
        </is>
      </c>
      <c r="F112" s="19" t="n">
        <v>25</v>
      </c>
      <c r="H112" s="10" t="n"/>
      <c r="I112" s="9" t="n"/>
      <c r="J112" s="9" t="n"/>
      <c r="K112" s="9" t="n"/>
      <c r="L112" s="9" t="n"/>
      <c r="M112" s="9" t="n"/>
      <c r="N112" s="20" t="n"/>
      <c r="O112" s="20">
        <f>IF(C112="", "", TRIM(RIGHT(C112, LEN(C112) - FIND("@@", SUBSTITUTE(C112, "-", "@@", LEN(C112) - LEN(SUBSTITUTE(C112, "-", "")))))))</f>
        <v/>
      </c>
      <c r="P112" s="20">
        <f t="array" ref="P112">IFERROR(XLOOKUP(O112,'Department Listing'!$O$1:$O$395,'Department Listing'!$A$1:$A$395),IFERROR(XLOOKUP(O112,'Name Aliases'!$A$2:$A$1000,'Name Aliases'!$B$2:$B$1000),""))</f>
        <v/>
      </c>
      <c r="Q112" s="21">
        <f>IF(ISBLANK($C112),"",$B112)</f>
        <v/>
      </c>
      <c r="R112" s="20">
        <f>IF(ISBLANK($C112),"",IF(ISBLANK($I112),$D112,$I112))</f>
        <v/>
      </c>
      <c r="S112" s="22">
        <f>IF(ISBLANK($C112),"",$F112 - $G112)</f>
        <v/>
      </c>
      <c r="T112" s="20">
        <f>IF(ISBLANK($C112),"",C112)</f>
        <v/>
      </c>
      <c r="U112" s="20">
        <f>IF(ISBLANK($C112),"",$D$1)</f>
        <v/>
      </c>
      <c r="V112" s="22">
        <f t="array" ref="V112">IF(ISBLANK($B112),"",IF(ISBLANK($K112),IF(XLOOKUP($W112,'Category Mapping'!$C:$C,'Category Mapping'!$B:$B)="Travel",XLOOKUP($P112,'Department Listing'!$A:$A,'Department Listing'!$M:$M),XLOOKUP($W112,'Category Mapping'!$C:$C,'Category Mapping'!$D:$D)),$K112))</f>
        <v/>
      </c>
      <c r="W112" s="22">
        <f>IF(ISBLANK($B112),"",IF(ISBLANK($L112),RIGHT($E112,LEN($E112) - FIND("^",SUBSTITUTE($E112,":","^",LEN($E112) - LEN(SUBSTITUTE($E112,":",""))))),$L112))</f>
        <v/>
      </c>
      <c r="X112" s="22">
        <f>IF(ISBLANK($J112),$V112&amp;$W112,$J112)</f>
        <v/>
      </c>
      <c r="Y112" s="23">
        <f t="array" ref="Y112">IF(ISBLANK($M112),IFERROR(XLOOKUP($P112,'Department Listing'!$A:$A,'Department Listing'!$L:$L),""),$M112)</f>
        <v/>
      </c>
      <c r="Z112" s="11">
        <f>IF(ISBLANK($B112),"",MATCH($X112,COA!$B:$B,0))</f>
        <v/>
      </c>
    </row>
    <row r="113" ht="15.75" customHeight="1" s="52">
      <c r="B113" s="17" t="n">
        <v>46165</v>
      </c>
      <c r="C113" s="18" t="inlineStr">
        <is>
          <t>Uber HQ MASTERCARD-544015XXXXXX8601-Heidebritta Frank</t>
        </is>
      </c>
      <c r="D113" s="18" t="inlineStr">
        <is>
          <t>Uber</t>
        </is>
      </c>
      <c r="E113" s="18" t="inlineStr">
        <is>
          <t>61220 Sales &amp; Marketing:Sales &amp; Marketing- Travel Expenses:Ground Transportation</t>
        </is>
      </c>
      <c r="F113" s="19" t="n">
        <v>24.65</v>
      </c>
      <c r="H113" s="10" t="n"/>
      <c r="I113" s="9" t="n"/>
      <c r="J113" s="9" t="n"/>
      <c r="K113" s="9" t="n"/>
      <c r="L113" s="25" t="n"/>
      <c r="M113" s="25" t="n"/>
      <c r="N113" s="20" t="n"/>
      <c r="O113" s="20">
        <f>IF(C113="", "", TRIM(RIGHT(C113, LEN(C113) - FIND("@@", SUBSTITUTE(C113, "-", "@@", LEN(C113) - LEN(SUBSTITUTE(C113, "-", "")))))))</f>
        <v/>
      </c>
      <c r="P113" s="20">
        <f t="array" ref="P113">IFERROR(XLOOKUP(O113,'Department Listing'!$O$1:$O$395,'Department Listing'!$A$1:$A$395),IFERROR(XLOOKUP(O113,'Name Aliases'!$A$2:$A$1000,'Name Aliases'!$B$2:$B$1000),""))</f>
        <v/>
      </c>
      <c r="Q113" s="21">
        <f>IF(ISBLANK($C113),"",$B113)</f>
        <v/>
      </c>
      <c r="R113" s="20">
        <f>IF(ISBLANK($C113),"",IF(ISBLANK($I113),$D113,$I113))</f>
        <v/>
      </c>
      <c r="S113" s="22">
        <f>IF(ISBLANK($C113),"",$F113 - $G113)</f>
        <v/>
      </c>
      <c r="T113" s="20">
        <f>IF(ISBLANK($C113),"",C113)</f>
        <v/>
      </c>
      <c r="U113" s="20">
        <f>IF(ISBLANK($C113),"",$D$1)</f>
        <v/>
      </c>
      <c r="V113" s="22">
        <f t="array" ref="V113">IF(ISBLANK($B113),"",IF(ISBLANK($K113),IF(XLOOKUP($W113,'Category Mapping'!$C:$C,'Category Mapping'!$B:$B)="Travel",XLOOKUP($P113,'Department Listing'!$A:$A,'Department Listing'!$M:$M),XLOOKUP($W113,'Category Mapping'!$C:$C,'Category Mapping'!$D:$D)),$K113))</f>
        <v/>
      </c>
      <c r="W113" s="22">
        <f>IF(ISBLANK($B113),"",IF(ISBLANK($L113),RIGHT($E113,LEN($E113) - FIND("^",SUBSTITUTE($E113,":","^",LEN($E113) - LEN(SUBSTITUTE($E113,":",""))))),$L113))</f>
        <v/>
      </c>
      <c r="X113" s="22">
        <f>IF(ISBLANK($J113),$V113&amp;$W113,$J113)</f>
        <v/>
      </c>
      <c r="Y113" s="23">
        <f t="array" ref="Y113">IF(ISBLANK($M113),IFERROR(XLOOKUP($P113,'Department Listing'!$A:$A,'Department Listing'!$L:$L),""),$M113)</f>
        <v/>
      </c>
      <c r="Z113" s="11">
        <f>IF(ISBLANK($B113),"",MATCH($X113,COA!$B:$B,0))</f>
        <v/>
      </c>
    </row>
    <row r="114" ht="15.75" customHeight="1" s="52">
      <c r="B114" s="17" t="n">
        <v>46169</v>
      </c>
      <c r="C114" s="18" t="inlineStr">
        <is>
          <t>Greenleaf Kitchen &amp; Cocktails MASTERCARD-544015XXXXXX9350-Gary Passaglia</t>
        </is>
      </c>
      <c r="E114" s="18" t="inlineStr">
        <is>
          <t>61240 Sales &amp; Marketing:Sales &amp; Marketing- Travel Expenses:Meals &amp; Entertainment</t>
        </is>
      </c>
      <c r="F114" s="19" t="n">
        <v>24.12</v>
      </c>
      <c r="H114" s="10" t="n"/>
      <c r="I114" s="9" t="inlineStr">
        <is>
          <t>Food Vendor</t>
        </is>
      </c>
      <c r="J114" s="9" t="n"/>
      <c r="K114" s="9" t="n"/>
      <c r="L114" s="9" t="n"/>
      <c r="M114" s="9" t="n"/>
      <c r="N114" s="20" t="n"/>
      <c r="O114" s="20">
        <f>IF(C114="", "", TRIM(RIGHT(C114, LEN(C114) - FIND("@@", SUBSTITUTE(C114, "-", "@@", LEN(C114) - LEN(SUBSTITUTE(C114, "-", "")))))))</f>
        <v/>
      </c>
      <c r="P114" s="20">
        <f t="array" ref="P114">IFERROR(XLOOKUP(O114,'Department Listing'!$O$1:$O$395,'Department Listing'!$A$1:$A$395),IFERROR(XLOOKUP(O114,'Name Aliases'!$A$2:$A$1000,'Name Aliases'!$B$2:$B$1000),""))</f>
        <v/>
      </c>
      <c r="Q114" s="21">
        <f>IF(ISBLANK($C114),"",$B114)</f>
        <v/>
      </c>
      <c r="R114" s="20">
        <f>IF(ISBLANK($C114),"",IF(ISBLANK($I114),$D114,$I114))</f>
        <v/>
      </c>
      <c r="S114" s="22">
        <f>IF(ISBLANK($C114),"",$F114 - $G114)</f>
        <v/>
      </c>
      <c r="T114" s="20">
        <f>IF(ISBLANK($C114),"",C114)</f>
        <v/>
      </c>
      <c r="U114" s="20">
        <f>IF(ISBLANK($C114),"",$D$1)</f>
        <v/>
      </c>
      <c r="V114" s="22">
        <f t="array" ref="V114">IF(ISBLANK($B114),"",IF(ISBLANK($K114),IF(XLOOKUP($W114,'Category Mapping'!$C:$C,'Category Mapping'!$B:$B)="Travel",XLOOKUP($P114,'Department Listing'!$A:$A,'Department Listing'!$M:$M),XLOOKUP($W114,'Category Mapping'!$C:$C,'Category Mapping'!$D:$D)),$K114))</f>
        <v/>
      </c>
      <c r="W114" s="22">
        <f>IF(ISBLANK($B114),"",IF(ISBLANK($L114),RIGHT($E114,LEN($E114) - FIND("^",SUBSTITUTE($E114,":","^",LEN($E114) - LEN(SUBSTITUTE($E114,":",""))))),$L114))</f>
        <v/>
      </c>
      <c r="X114" s="22">
        <f>IF(ISBLANK($J114),$V114&amp;$W114,$J114)</f>
        <v/>
      </c>
      <c r="Y114" s="23">
        <f t="array" ref="Y114">IF(ISBLANK($M114),IFERROR(XLOOKUP($P114,'Department Listing'!$A:$A,'Department Listing'!$L:$L),""),$M114)</f>
        <v/>
      </c>
      <c r="Z114" s="11">
        <f>IF(ISBLANK($B114),"",MATCH($X114,COA!$B:$B,0))</f>
        <v/>
      </c>
    </row>
    <row r="115" ht="15.75" customHeight="1" s="52">
      <c r="B115" s="17" t="n">
        <v>46170</v>
      </c>
      <c r="C115" s="18" t="inlineStr">
        <is>
          <t>Amazon MASTERCARD-544015XXXXXX8091-Brooke Berg</t>
        </is>
      </c>
      <c r="D115" s="18" t="inlineStr">
        <is>
          <t>Amazon</t>
        </is>
      </c>
      <c r="E115" s="18" t="inlineStr">
        <is>
          <t>63410 General &amp; Administrative:Office Expenses:Office Supplies</t>
        </is>
      </c>
      <c r="F115" s="19" t="n">
        <v>23.78</v>
      </c>
      <c r="H115" s="10" t="n"/>
      <c r="I115" s="9" t="n"/>
      <c r="J115" s="9" t="n"/>
      <c r="K115" s="25" t="n"/>
      <c r="L115" s="25" t="n"/>
      <c r="M115" s="9" t="n"/>
      <c r="N115" s="20" t="n"/>
      <c r="O115" s="20">
        <f>IF(C115="", "", TRIM(RIGHT(C115, LEN(C115) - FIND("@@", SUBSTITUTE(C115, "-", "@@", LEN(C115) - LEN(SUBSTITUTE(C115, "-", "")))))))</f>
        <v/>
      </c>
      <c r="P115" s="20">
        <f t="array" ref="P115">IFERROR(XLOOKUP(O115,'Department Listing'!$O$1:$O$395,'Department Listing'!$A$1:$A$395),IFERROR(XLOOKUP(O115,'Name Aliases'!$A$2:$A$1000,'Name Aliases'!$B$2:$B$1000),""))</f>
        <v/>
      </c>
      <c r="Q115" s="21">
        <f>IF(ISBLANK($C115),"",$B115)</f>
        <v/>
      </c>
      <c r="R115" s="20">
        <f>IF(ISBLANK($C115),"",IF(ISBLANK($I115),$D115,$I115))</f>
        <v/>
      </c>
      <c r="S115" s="22">
        <f>IF(ISBLANK($C115),"",$F115 - $G115)</f>
        <v/>
      </c>
      <c r="T115" s="20">
        <f>IF(ISBLANK($C115),"",C115)</f>
        <v/>
      </c>
      <c r="U115" s="20">
        <f>IF(ISBLANK($C115),"",$D$1)</f>
        <v/>
      </c>
      <c r="V115" s="22">
        <f t="array" ref="V115">IF(ISBLANK($B115),"",IF(ISBLANK($K115),IF(XLOOKUP($W115,'Category Mapping'!$C:$C,'Category Mapping'!$B:$B)="Travel",XLOOKUP($P115,'Department Listing'!$A:$A,'Department Listing'!$M:$M),XLOOKUP($W115,'Category Mapping'!$C:$C,'Category Mapping'!$D:$D)),$K115))</f>
        <v/>
      </c>
      <c r="W115" s="22">
        <f>IF(ISBLANK($B115),"",IF(ISBLANK($L115),RIGHT($E115,LEN($E115) - FIND("^",SUBSTITUTE($E115,":","^",LEN($E115) - LEN(SUBSTITUTE($E115,":",""))))),$L115))</f>
        <v/>
      </c>
      <c r="X115" s="22">
        <f>IF(ISBLANK($J115),$V115&amp;$W115,$J115)</f>
        <v/>
      </c>
      <c r="Y115" s="23">
        <f t="array" ref="Y115">IF(ISBLANK($M115),IFERROR(XLOOKUP($P115,'Department Listing'!$A:$A,'Department Listing'!$L:$L),""),$M115)</f>
        <v/>
      </c>
      <c r="Z115" s="11">
        <f>IF(ISBLANK($B115),"",MATCH($X115,COA!$B:$B,0))</f>
        <v/>
      </c>
    </row>
    <row r="116" ht="15.75" customHeight="1" s="52">
      <c r="B116" s="17" t="n">
        <v>46170</v>
      </c>
      <c r="C116" s="18" t="inlineStr">
        <is>
          <t>Hudson Booksellers MASTERCARD-544015XXXXXX0424-Dwight Henderson</t>
        </is>
      </c>
      <c r="D116" s="18" t="inlineStr">
        <is>
          <t>Hudson News</t>
        </is>
      </c>
      <c r="E116" s="18" t="inlineStr">
        <is>
          <t>61240 Sales &amp; Marketing:Sales &amp; Marketing- Travel Expenses:Meals &amp; Entertainment</t>
        </is>
      </c>
      <c r="F116" s="19" t="n">
        <v>23.35</v>
      </c>
      <c r="H116" s="10" t="n"/>
      <c r="I116" s="9" t="n"/>
      <c r="J116" s="9" t="n"/>
      <c r="K116" s="25" t="n"/>
      <c r="L116" s="9" t="n"/>
      <c r="M116" s="9" t="n"/>
      <c r="N116" s="20" t="n"/>
      <c r="O116" s="20">
        <f>IF(C116="", "", TRIM(RIGHT(C116, LEN(C116) - FIND("@@", SUBSTITUTE(C116, "-", "@@", LEN(C116) - LEN(SUBSTITUTE(C116, "-", "")))))))</f>
        <v/>
      </c>
      <c r="P116" s="20">
        <f t="array" ref="P116">IFERROR(XLOOKUP(O116,'Department Listing'!$O$1:$O$395,'Department Listing'!$A$1:$A$395),IFERROR(XLOOKUP(O116,'Name Aliases'!$A$2:$A$1000,'Name Aliases'!$B$2:$B$1000),""))</f>
        <v/>
      </c>
      <c r="Q116" s="21">
        <f>IF(ISBLANK($C116),"",$B116)</f>
        <v/>
      </c>
      <c r="R116" s="20">
        <f>IF(ISBLANK($C116),"",IF(ISBLANK($I116),$D116,$I116))</f>
        <v/>
      </c>
      <c r="S116" s="22">
        <f>IF(ISBLANK($C116),"",$F116 - $G116)</f>
        <v/>
      </c>
      <c r="T116" s="20">
        <f>IF(ISBLANK($C116),"",C116)</f>
        <v/>
      </c>
      <c r="U116" s="20">
        <f>IF(ISBLANK($C116),"",$D$1)</f>
        <v/>
      </c>
      <c r="V116" s="22">
        <f t="array" ref="V116">IF(ISBLANK($B116),"",IF(ISBLANK($K116),IF(XLOOKUP($W116,'Category Mapping'!$C:$C,'Category Mapping'!$B:$B)="Travel",XLOOKUP($P116,'Department Listing'!$A:$A,'Department Listing'!$M:$M),XLOOKUP($W116,'Category Mapping'!$C:$C,'Category Mapping'!$D:$D)),$K116))</f>
        <v/>
      </c>
      <c r="W116" s="22">
        <f>IF(ISBLANK($B116),"",IF(ISBLANK($L116),RIGHT($E116,LEN($E116) - FIND("^",SUBSTITUTE($E116,":","^",LEN($E116) - LEN(SUBSTITUTE($E116,":",""))))),$L116))</f>
        <v/>
      </c>
      <c r="X116" s="22">
        <f>IF(ISBLANK($J116),$V116&amp;$W116,$J116)</f>
        <v/>
      </c>
      <c r="Y116" s="23">
        <f t="array" ref="Y116">IF(ISBLANK($M116),IFERROR(XLOOKUP($P116,'Department Listing'!$A:$A,'Department Listing'!$L:$L),""),$M116)</f>
        <v/>
      </c>
      <c r="Z116" s="11">
        <f>IF(ISBLANK($B116),"",MATCH($X116,COA!$B:$B,0))</f>
        <v/>
      </c>
    </row>
    <row r="117" ht="15.75" customHeight="1" s="52">
      <c r="B117" s="17" t="n">
        <v>46169</v>
      </c>
      <c r="C117" s="18" t="inlineStr">
        <is>
          <t>Uber Eats MASTERCARD-544015XXXXXX2900-Chloe Brant</t>
        </is>
      </c>
      <c r="D117" s="18" t="inlineStr">
        <is>
          <t>Uber Eats</t>
        </is>
      </c>
      <c r="E117" s="18" t="inlineStr">
        <is>
          <t>61240 Sales &amp; Marketing:Sales &amp; Marketing- Travel Expenses:Meals &amp; Entertainment</t>
        </is>
      </c>
      <c r="F117" s="19" t="n">
        <v>23.17</v>
      </c>
      <c r="H117" s="10" t="n"/>
      <c r="I117" s="9" t="n"/>
      <c r="J117" s="9" t="n"/>
      <c r="K117" s="25" t="n"/>
      <c r="L117" s="25" t="n"/>
      <c r="M117" s="25" t="n"/>
      <c r="N117" s="20" t="n"/>
      <c r="O117" s="20">
        <f>IF(C117="", "", TRIM(RIGHT(C117, LEN(C117) - FIND("@@", SUBSTITUTE(C117, "-", "@@", LEN(C117) - LEN(SUBSTITUTE(C117, "-", "")))))))</f>
        <v/>
      </c>
      <c r="P117" s="20">
        <f t="array" ref="P117">IFERROR(XLOOKUP(O117,'Department Listing'!$O$1:$O$395,'Department Listing'!$A$1:$A$395),IFERROR(XLOOKUP(O117,'Name Aliases'!$A$2:$A$1000,'Name Aliases'!$B$2:$B$1000),""))</f>
        <v/>
      </c>
      <c r="Q117" s="21">
        <f>IF(ISBLANK($C117),"",$B117)</f>
        <v/>
      </c>
      <c r="R117" s="20">
        <f>IF(ISBLANK($C117),"",IF(ISBLANK($I117),$D117,$I117))</f>
        <v/>
      </c>
      <c r="S117" s="22">
        <f>IF(ISBLANK($C117),"",$F117 - $G117)</f>
        <v/>
      </c>
      <c r="T117" s="20">
        <f>IF(ISBLANK($C117),"",C117)</f>
        <v/>
      </c>
      <c r="U117" s="20">
        <f>IF(ISBLANK($C117),"",$D$1)</f>
        <v/>
      </c>
      <c r="V117" s="22">
        <f t="array" ref="V117">IF(ISBLANK($B117),"",IF(ISBLANK($K117),IF(XLOOKUP($W117,'Category Mapping'!$C:$C,'Category Mapping'!$B:$B)="Travel",XLOOKUP($P117,'Department Listing'!$A:$A,'Department Listing'!$M:$M),XLOOKUP($W117,'Category Mapping'!$C:$C,'Category Mapping'!$D:$D)),$K117))</f>
        <v/>
      </c>
      <c r="W117" s="22">
        <f>IF(ISBLANK($B117),"",IF(ISBLANK($L117),RIGHT($E117,LEN($E117) - FIND("^",SUBSTITUTE($E117,":","^",LEN($E117) - LEN(SUBSTITUTE($E117,":",""))))),$L117))</f>
        <v/>
      </c>
      <c r="X117" s="22">
        <f>IF(ISBLANK($J117),$V117&amp;$W117,$J117)</f>
        <v/>
      </c>
      <c r="Y117" s="23">
        <f t="array" ref="Y117">IF(ISBLANK($M117),IFERROR(XLOOKUP($P117,'Department Listing'!$A:$A,'Department Listing'!$L:$L),""),$M117)</f>
        <v/>
      </c>
      <c r="Z117" s="11">
        <f>IF(ISBLANK($B117),"",MATCH($X117,COA!$B:$B,0))</f>
        <v/>
      </c>
    </row>
    <row r="118" ht="15.75" customHeight="1" s="52">
      <c r="B118" s="17" t="n">
        <v>46165</v>
      </c>
      <c r="C118" s="18" t="inlineStr">
        <is>
          <t>PKL Boston MASTERCARD-544015XXXXXX2562-Daniel Roy</t>
        </is>
      </c>
      <c r="D118" s="18" t="inlineStr">
        <is>
          <t>PKL Boston</t>
        </is>
      </c>
      <c r="E118" s="18" t="inlineStr">
        <is>
          <t>61240 Sales &amp; Marketing:Sales &amp; Marketing- Travel Expenses:Meals &amp; Entertainment</t>
        </is>
      </c>
      <c r="F118" s="19" t="n">
        <v>23.11</v>
      </c>
      <c r="H118" s="10" t="n"/>
      <c r="I118" s="9" t="n"/>
      <c r="J118" s="9" t="n"/>
      <c r="K118" s="25" t="n"/>
      <c r="L118" s="25" t="n"/>
      <c r="M118" s="9" t="n"/>
      <c r="N118" s="20" t="n"/>
      <c r="O118" s="20">
        <f>IF(C118="", "", TRIM(RIGHT(C118, LEN(C118) - FIND("@@", SUBSTITUTE(C118, "-", "@@", LEN(C118) - LEN(SUBSTITUTE(C118, "-", "")))))))</f>
        <v/>
      </c>
      <c r="P118" s="20">
        <f t="array" ref="P118">IFERROR(XLOOKUP(O118,'Department Listing'!$O$1:$O$395,'Department Listing'!$A$1:$A$395),IFERROR(XLOOKUP(O118,'Name Aliases'!$A$2:$A$1000,'Name Aliases'!$B$2:$B$1000),""))</f>
        <v/>
      </c>
      <c r="Q118" s="21">
        <f>IF(ISBLANK($C118),"",$B118)</f>
        <v/>
      </c>
      <c r="R118" s="20">
        <f>IF(ISBLANK($C118),"",IF(ISBLANK($I118),$D118,$I118))</f>
        <v/>
      </c>
      <c r="S118" s="22">
        <f>IF(ISBLANK($C118),"",$F118 - $G118)</f>
        <v/>
      </c>
      <c r="T118" s="20">
        <f>IF(ISBLANK($C118),"",C118)</f>
        <v/>
      </c>
      <c r="U118" s="20">
        <f>IF(ISBLANK($C118),"",$D$1)</f>
        <v/>
      </c>
      <c r="V118" s="22">
        <f t="array" ref="V118">IF(ISBLANK($B118),"",IF(ISBLANK($K118),IF(XLOOKUP($W118,'Category Mapping'!$C:$C,'Category Mapping'!$B:$B)="Travel",XLOOKUP($P118,'Department Listing'!$A:$A,'Department Listing'!$M:$M),XLOOKUP($W118,'Category Mapping'!$C:$C,'Category Mapping'!$D:$D)),$K118))</f>
        <v/>
      </c>
      <c r="W118" s="22">
        <f>IF(ISBLANK($B118),"",IF(ISBLANK($L118),RIGHT($E118,LEN($E118) - FIND("^",SUBSTITUTE($E118,":","^",LEN($E118) - LEN(SUBSTITUTE($E118,":",""))))),$L118))</f>
        <v/>
      </c>
      <c r="X118" s="22">
        <f>IF(ISBLANK($J118),$V118&amp;$W118,$J118)</f>
        <v/>
      </c>
      <c r="Y118" s="23">
        <f t="array" ref="Y118">IF(ISBLANK($M118),IFERROR(XLOOKUP($P118,'Department Listing'!$A:$A,'Department Listing'!$L:$L),""),$M118)</f>
        <v/>
      </c>
      <c r="Z118" s="11">
        <f>IF(ISBLANK($B118),"",MATCH($X118,COA!$B:$B,0))</f>
        <v/>
      </c>
    </row>
    <row r="119" ht="15.75" customHeight="1" s="52">
      <c r="B119" s="17" t="n">
        <v>46170</v>
      </c>
      <c r="C119" s="18" t="inlineStr">
        <is>
          <t>Massachusetts Bay Transportation Authority MASTERCARD-544015XXXXXX6881-Michael Button</t>
        </is>
      </c>
      <c r="E119" s="18" t="inlineStr">
        <is>
          <t>61220 Sales &amp; Marketing:Sales &amp; Marketing- Travel Expenses:Ground Transportation</t>
        </is>
      </c>
      <c r="F119" s="19" t="n">
        <v>22.5</v>
      </c>
      <c r="H119" s="10" t="n"/>
      <c r="I119" s="9" t="inlineStr">
        <is>
          <t>Mbta</t>
        </is>
      </c>
      <c r="J119" s="9" t="n"/>
      <c r="K119" s="25" t="n"/>
      <c r="L119" s="25" t="inlineStr">
        <is>
          <t>Ground Transportation</t>
        </is>
      </c>
      <c r="M119" s="25" t="n"/>
      <c r="N119" s="20" t="n"/>
      <c r="O119" s="20">
        <f>IF(C119="", "", TRIM(RIGHT(C119, LEN(C119) - FIND("@@", SUBSTITUTE(C119, "-", "@@", LEN(C119) - LEN(SUBSTITUTE(C119, "-", "")))))))</f>
        <v/>
      </c>
      <c r="P119" s="20">
        <f t="array" ref="P119">IFERROR(XLOOKUP(O119,'Department Listing'!$O$1:$O$395,'Department Listing'!$A$1:$A$395),IFERROR(XLOOKUP(O119,'Name Aliases'!$A$2:$A$1000,'Name Aliases'!$B$2:$B$1000),""))</f>
        <v/>
      </c>
      <c r="Q119" s="21">
        <f>IF(ISBLANK($C119),"",$B119)</f>
        <v/>
      </c>
      <c r="R119" s="20">
        <f>IF(ISBLANK($C119),"",IF(ISBLANK($I119),$D119,$I119))</f>
        <v/>
      </c>
      <c r="S119" s="22">
        <f>IF(ISBLANK($C119),"",$F119 - $G119)</f>
        <v/>
      </c>
      <c r="T119" s="20">
        <f>IF(ISBLANK($C119),"",C119)</f>
        <v/>
      </c>
      <c r="U119" s="20">
        <f>IF(ISBLANK($C119),"",$D$1)</f>
        <v/>
      </c>
      <c r="V119" s="22">
        <f t="array" ref="V119">IF(ISBLANK($B119),"",IF(ISBLANK($K119),IF(XLOOKUP($W119,'Category Mapping'!$C:$C,'Category Mapping'!$B:$B)="Travel",XLOOKUP($P119,'Department Listing'!$A:$A,'Department Listing'!$M:$M),XLOOKUP($W119,'Category Mapping'!$C:$C,'Category Mapping'!$D:$D)),$K119))</f>
        <v/>
      </c>
      <c r="W119" s="22">
        <f>IF(ISBLANK($B119),"",IF(ISBLANK($L119),RIGHT($E119,LEN($E119) - FIND("^",SUBSTITUTE($E119,":","^",LEN($E119) - LEN(SUBSTITUTE($E119,":",""))))),$L119))</f>
        <v/>
      </c>
      <c r="X119" s="22">
        <f>IF(ISBLANK($J119),$V119&amp;$W119,$J119)</f>
        <v/>
      </c>
      <c r="Y119" s="23">
        <f t="array" ref="Y119">IF(ISBLANK($M119),IFERROR(XLOOKUP($P119,'Department Listing'!$A:$A,'Department Listing'!$L:$L),""),$M119)</f>
        <v/>
      </c>
      <c r="Z119" s="11">
        <f>IF(ISBLANK($B119),"",MATCH($X119,COA!$B:$B,0))</f>
        <v/>
      </c>
    </row>
    <row r="120" ht="15.75" customHeight="1" s="52">
      <c r="B120" s="17" t="n">
        <v>46169</v>
      </c>
      <c r="C120" s="18" t="inlineStr">
        <is>
          <t>Uber HQ MASTERCARD-544015XXXXXX2900-Chloe Brant</t>
        </is>
      </c>
      <c r="D120" s="18" t="inlineStr">
        <is>
          <t>Uber</t>
        </is>
      </c>
      <c r="E120" s="18" t="inlineStr">
        <is>
          <t>61220 Sales &amp; Marketing:Sales &amp; Marketing- Travel Expenses:Ground Transportation</t>
        </is>
      </c>
      <c r="F120" s="19" t="n">
        <v>21.97</v>
      </c>
      <c r="H120" s="10" t="n"/>
      <c r="I120" s="9" t="n"/>
      <c r="J120" s="9" t="n"/>
      <c r="K120" s="9" t="n"/>
      <c r="L120" s="9" t="n"/>
      <c r="M120" s="9" t="n"/>
      <c r="N120" s="20" t="n"/>
      <c r="O120" s="20">
        <f>IF(C120="", "", TRIM(RIGHT(C120, LEN(C120) - FIND("@@", SUBSTITUTE(C120, "-", "@@", LEN(C120) - LEN(SUBSTITUTE(C120, "-", "")))))))</f>
        <v/>
      </c>
      <c r="P120" s="20">
        <f t="array" ref="P120">IFERROR(XLOOKUP(O120,'Department Listing'!$O$1:$O$395,'Department Listing'!$A$1:$A$395),IFERROR(XLOOKUP(O120,'Name Aliases'!$A$2:$A$1000,'Name Aliases'!$B$2:$B$1000),""))</f>
        <v/>
      </c>
      <c r="Q120" s="21">
        <f>IF(ISBLANK($C120),"",$B120)</f>
        <v/>
      </c>
      <c r="R120" s="20">
        <f>IF(ISBLANK($C120),"",IF(ISBLANK($I120),$D120,$I120))</f>
        <v/>
      </c>
      <c r="S120" s="22">
        <f>IF(ISBLANK($C120),"",$F120 - $G120)</f>
        <v/>
      </c>
      <c r="T120" s="20">
        <f>IF(ISBLANK($C120),"",C120)</f>
        <v/>
      </c>
      <c r="U120" s="20">
        <f>IF(ISBLANK($C120),"",$D$1)</f>
        <v/>
      </c>
      <c r="V120" s="22">
        <f t="array" ref="V120">IF(ISBLANK($B120),"",IF(ISBLANK($K120),IF(XLOOKUP($W120,'Category Mapping'!$C:$C,'Category Mapping'!$B:$B)="Travel",XLOOKUP($P120,'Department Listing'!$A:$A,'Department Listing'!$M:$M),XLOOKUP($W120,'Category Mapping'!$C:$C,'Category Mapping'!$D:$D)),$K120))</f>
        <v/>
      </c>
      <c r="W120" s="22">
        <f>IF(ISBLANK($B120),"",IF(ISBLANK($L120),RIGHT($E120,LEN($E120) - FIND("^",SUBSTITUTE($E120,":","^",LEN($E120) - LEN(SUBSTITUTE($E120,":",""))))),$L120))</f>
        <v/>
      </c>
      <c r="X120" s="22">
        <f>IF(ISBLANK($J120),$V120&amp;$W120,$J120)</f>
        <v/>
      </c>
      <c r="Y120" s="23">
        <f t="array" ref="Y120">IF(ISBLANK($M120),IFERROR(XLOOKUP($P120,'Department Listing'!$A:$A,'Department Listing'!$L:$L),""),$M120)</f>
        <v/>
      </c>
      <c r="Z120" s="11">
        <f>IF(ISBLANK($B120),"",MATCH($X120,COA!$B:$B,0))</f>
        <v/>
      </c>
    </row>
    <row r="121" ht="15.75" customHeight="1" s="52">
      <c r="B121" s="17" t="n">
        <v>46169</v>
      </c>
      <c r="C121" s="18" t="inlineStr">
        <is>
          <t>Uber Eats MASTERCARD-544015XXXXXX7759-Mickenzi Krpec</t>
        </is>
      </c>
      <c r="D121" s="18" t="inlineStr">
        <is>
          <t>Uber Eats</t>
        </is>
      </c>
      <c r="E121" s="18" t="inlineStr">
        <is>
          <t>61240 Sales &amp; Marketing:Sales &amp; Marketing- Travel Expenses:Meals &amp; Entertainment</t>
        </is>
      </c>
      <c r="F121" s="19" t="n">
        <v>21.75</v>
      </c>
      <c r="H121" s="10" t="n"/>
      <c r="I121" s="9" t="n"/>
      <c r="J121" s="9" t="n"/>
      <c r="K121" s="9" t="n"/>
      <c r="L121" s="9" t="n"/>
      <c r="M121" s="9" t="n"/>
      <c r="N121" s="20" t="n"/>
      <c r="O121" s="20">
        <f>IF(C121="", "", TRIM(RIGHT(C121, LEN(C121) - FIND("@@", SUBSTITUTE(C121, "-", "@@", LEN(C121) - LEN(SUBSTITUTE(C121, "-", "")))))))</f>
        <v/>
      </c>
      <c r="P121" s="20">
        <f t="array" ref="P121">IFERROR(XLOOKUP(O121,'Department Listing'!$O$1:$O$395,'Department Listing'!$A$1:$A$395),IFERROR(XLOOKUP(O121,'Name Aliases'!$A$2:$A$1000,'Name Aliases'!$B$2:$B$1000),""))</f>
        <v/>
      </c>
      <c r="Q121" s="21">
        <f>IF(ISBLANK($C121),"",$B121)</f>
        <v/>
      </c>
      <c r="R121" s="20">
        <f>IF(ISBLANK($C121),"",IF(ISBLANK($I121),$D121,$I121))</f>
        <v/>
      </c>
      <c r="S121" s="22">
        <f>IF(ISBLANK($C121),"",$F121 - $G121)</f>
        <v/>
      </c>
      <c r="T121" s="20">
        <f>IF(ISBLANK($C121),"",C121)</f>
        <v/>
      </c>
      <c r="U121" s="20">
        <f>IF(ISBLANK($C121),"",$D$1)</f>
        <v/>
      </c>
      <c r="V121" s="22">
        <f t="array" ref="V121">IF(ISBLANK($B121),"",IF(ISBLANK($K121),IF(XLOOKUP($W121,'Category Mapping'!$C:$C,'Category Mapping'!$B:$B)="Travel",XLOOKUP($P121,'Department Listing'!$A:$A,'Department Listing'!$M:$M),XLOOKUP($W121,'Category Mapping'!$C:$C,'Category Mapping'!$D:$D)),$K121))</f>
        <v/>
      </c>
      <c r="W121" s="22">
        <f>IF(ISBLANK($B121),"",IF(ISBLANK($L121),RIGHT($E121,LEN($E121) - FIND("^",SUBSTITUTE($E121,":","^",LEN($E121) - LEN(SUBSTITUTE($E121,":",""))))),$L121))</f>
        <v/>
      </c>
      <c r="X121" s="22">
        <f>IF(ISBLANK($J121),$V121&amp;$W121,$J121)</f>
        <v/>
      </c>
      <c r="Y121" s="23">
        <f t="array" ref="Y121">IF(ISBLANK($M121),IFERROR(XLOOKUP($P121,'Department Listing'!$A:$A,'Department Listing'!$L:$L),""),$M121)</f>
        <v/>
      </c>
      <c r="Z121" s="11">
        <f>IF(ISBLANK($B121),"",MATCH($X121,COA!$B:$B,0))</f>
        <v/>
      </c>
    </row>
    <row r="122" ht="15.75" customHeight="1" s="52">
      <c r="B122" s="17" t="n">
        <v>46170</v>
      </c>
      <c r="C122" s="18" t="inlineStr">
        <is>
          <t>Douzo Sushi MASTERCARD-544015XXXXXX5191-Samantha Purpura</t>
        </is>
      </c>
      <c r="E122" s="18" t="inlineStr">
        <is>
          <t>61240 Sales &amp; Marketing:Sales &amp; Marketing- Travel Expenses:Meals &amp; Entertainment</t>
        </is>
      </c>
      <c r="F122" s="19" t="n">
        <v>21.35</v>
      </c>
      <c r="H122" s="10" t="n"/>
      <c r="I122" s="9" t="inlineStr">
        <is>
          <t>Food Vendor</t>
        </is>
      </c>
      <c r="J122" s="9" t="n"/>
      <c r="K122" s="9" t="n"/>
      <c r="L122" s="9" t="n"/>
      <c r="M122" s="9" t="n"/>
      <c r="N122" s="20" t="n"/>
      <c r="O122" s="20">
        <f>IF(C122="", "", TRIM(RIGHT(C122, LEN(C122) - FIND("@@", SUBSTITUTE(C122, "-", "@@", LEN(C122) - LEN(SUBSTITUTE(C122, "-", "")))))))</f>
        <v/>
      </c>
      <c r="P122" s="20">
        <f t="array" ref="P122">IFERROR(XLOOKUP(O122,'Department Listing'!$O$1:$O$395,'Department Listing'!$A$1:$A$395),IFERROR(XLOOKUP(O122,'Name Aliases'!$A$2:$A$1000,'Name Aliases'!$B$2:$B$1000),""))</f>
        <v/>
      </c>
      <c r="Q122" s="21">
        <f>IF(ISBLANK($C122),"",$B122)</f>
        <v/>
      </c>
      <c r="R122" s="20">
        <f>IF(ISBLANK($C122),"",IF(ISBLANK($I122),$D122,$I122))</f>
        <v/>
      </c>
      <c r="S122" s="22">
        <f>IF(ISBLANK($C122),"",$F122 - $G122)</f>
        <v/>
      </c>
      <c r="T122" s="20">
        <f>IF(ISBLANK($C122),"",C122)</f>
        <v/>
      </c>
      <c r="U122" s="20">
        <f>IF(ISBLANK($C122),"",$D$1)</f>
        <v/>
      </c>
      <c r="V122" s="22">
        <f t="array" ref="V122">IF(ISBLANK($B122),"",IF(ISBLANK($K122),IF(XLOOKUP($W122,'Category Mapping'!$C:$C,'Category Mapping'!$B:$B)="Travel",XLOOKUP($P122,'Department Listing'!$A:$A,'Department Listing'!$M:$M),XLOOKUP($W122,'Category Mapping'!$C:$C,'Category Mapping'!$D:$D)),$K122))</f>
        <v/>
      </c>
      <c r="W122" s="22">
        <f>IF(ISBLANK($B122),"",IF(ISBLANK($L122),RIGHT($E122,LEN($E122) - FIND("^",SUBSTITUTE($E122,":","^",LEN($E122) - LEN(SUBSTITUTE($E122,":",""))))),$L122))</f>
        <v/>
      </c>
      <c r="X122" s="22">
        <f>IF(ISBLANK($J122),$V122&amp;$W122,$J122)</f>
        <v/>
      </c>
      <c r="Y122" s="23">
        <f t="array" ref="Y122">IF(ISBLANK($M122),IFERROR(XLOOKUP($P122,'Department Listing'!$A:$A,'Department Listing'!$L:$L),""),$M122)</f>
        <v/>
      </c>
      <c r="Z122" s="11">
        <f>IF(ISBLANK($B122),"",MATCH($X122,COA!$B:$B,0))</f>
        <v/>
      </c>
    </row>
    <row r="123" ht="15.75" customHeight="1" s="52">
      <c r="B123" s="17" t="n">
        <v>46165</v>
      </c>
      <c r="C123" s="18" t="inlineStr">
        <is>
          <t>Life Alive Organic Cafe MASTERCARD-544015XXXXXX4653-Karalyn Sims</t>
        </is>
      </c>
      <c r="D123" s="18" t="inlineStr">
        <is>
          <t>Life Alive</t>
        </is>
      </c>
      <c r="E123" s="18" t="inlineStr">
        <is>
          <t>61240 Sales &amp; Marketing:Sales &amp; Marketing- Travel Expenses:Meals &amp; Entertainment</t>
        </is>
      </c>
      <c r="F123" s="19" t="n">
        <v>21.29</v>
      </c>
      <c r="H123" s="10" t="n"/>
      <c r="I123" s="9" t="n"/>
      <c r="J123" s="9" t="n"/>
      <c r="K123" s="25" t="n"/>
      <c r="L123" s="9" t="n"/>
      <c r="M123" s="25" t="n"/>
      <c r="N123" s="20" t="n"/>
      <c r="O123" s="20">
        <f>IF(C123="", "", TRIM(RIGHT(C123, LEN(C123) - FIND("@@", SUBSTITUTE(C123, "-", "@@", LEN(C123) - LEN(SUBSTITUTE(C123, "-", "")))))))</f>
        <v/>
      </c>
      <c r="P123" s="20">
        <f t="array" ref="P123">IFERROR(XLOOKUP(O123,'Department Listing'!$O$1:$O$395,'Department Listing'!$A$1:$A$395),IFERROR(XLOOKUP(O123,'Name Aliases'!$A$2:$A$1000,'Name Aliases'!$B$2:$B$1000),""))</f>
        <v/>
      </c>
      <c r="Q123" s="21">
        <f>IF(ISBLANK($C123),"",$B123)</f>
        <v/>
      </c>
      <c r="R123" s="20">
        <f>IF(ISBLANK($C123),"",IF(ISBLANK($I123),$D123,$I123))</f>
        <v/>
      </c>
      <c r="S123" s="22">
        <f>IF(ISBLANK($C123),"",$F123 - $G123)</f>
        <v/>
      </c>
      <c r="T123" s="20">
        <f>IF(ISBLANK($C123),"",C123)</f>
        <v/>
      </c>
      <c r="U123" s="20">
        <f>IF(ISBLANK($C123),"",$D$1)</f>
        <v/>
      </c>
      <c r="V123" s="22">
        <f t="array" ref="V123">IF(ISBLANK($B123),"",IF(ISBLANK($K123),IF(XLOOKUP($W123,'Category Mapping'!$C:$C,'Category Mapping'!$B:$B)="Travel",XLOOKUP($P123,'Department Listing'!$A:$A,'Department Listing'!$M:$M),XLOOKUP($W123,'Category Mapping'!$C:$C,'Category Mapping'!$D:$D)),$K123))</f>
        <v/>
      </c>
      <c r="W123" s="22">
        <f>IF(ISBLANK($B123),"",IF(ISBLANK($L123),RIGHT($E123,LEN($E123) - FIND("^",SUBSTITUTE($E123,":","^",LEN($E123) - LEN(SUBSTITUTE($E123,":",""))))),$L123))</f>
        <v/>
      </c>
      <c r="X123" s="22">
        <f>IF(ISBLANK($J123),$V123&amp;$W123,$J123)</f>
        <v/>
      </c>
      <c r="Y123" s="23">
        <f t="array" ref="Y123">IF(ISBLANK($M123),IFERROR(XLOOKUP($P123,'Department Listing'!$A:$A,'Department Listing'!$L:$L),""),$M123)</f>
        <v/>
      </c>
      <c r="Z123" s="11">
        <f>IF(ISBLANK($B123),"",MATCH($X123,COA!$B:$B,0))</f>
        <v/>
      </c>
    </row>
    <row r="124" ht="15.75" customHeight="1" s="52">
      <c r="B124" s="17" t="n">
        <v>46170</v>
      </c>
      <c r="C124" s="18" t="inlineStr">
        <is>
          <t>Hudson News MASTERCARD-544015XXXXXX2900-Chloe Brant</t>
        </is>
      </c>
      <c r="D124" s="18" t="inlineStr">
        <is>
          <t>Hudson News</t>
        </is>
      </c>
      <c r="E124" s="18" t="inlineStr">
        <is>
          <t>61290 Sales &amp; Marketing:Sales &amp; Marketing- Travel Expenses:Other Travel Expenses</t>
        </is>
      </c>
      <c r="F124" s="19" t="n">
        <v>20.88</v>
      </c>
      <c r="H124" s="10" t="n"/>
      <c r="I124" s="9" t="n"/>
      <c r="J124" s="9" t="n"/>
      <c r="K124" s="9" t="n"/>
      <c r="L124" s="9" t="n"/>
      <c r="M124" s="9" t="n"/>
      <c r="N124" s="20" t="n"/>
      <c r="O124" s="20">
        <f>IF(C124="", "", TRIM(RIGHT(C124, LEN(C124) - FIND("@@", SUBSTITUTE(C124, "-", "@@", LEN(C124) - LEN(SUBSTITUTE(C124, "-", "")))))))</f>
        <v/>
      </c>
      <c r="P124" s="20">
        <f t="array" ref="P124">IFERROR(XLOOKUP(O124,'Department Listing'!$O$1:$O$395,'Department Listing'!$A$1:$A$395),IFERROR(XLOOKUP(O124,'Name Aliases'!$A$2:$A$1000,'Name Aliases'!$B$2:$B$1000),""))</f>
        <v/>
      </c>
      <c r="Q124" s="21">
        <f>IF(ISBLANK($C124),"",$B124)</f>
        <v/>
      </c>
      <c r="R124" s="20">
        <f>IF(ISBLANK($C124),"",IF(ISBLANK($I124),$D124,$I124))</f>
        <v/>
      </c>
      <c r="S124" s="22">
        <f>IF(ISBLANK($C124),"",$F124 - $G124)</f>
        <v/>
      </c>
      <c r="T124" s="20">
        <f>IF(ISBLANK($C124),"",C124)</f>
        <v/>
      </c>
      <c r="U124" s="20">
        <f>IF(ISBLANK($C124),"",$D$1)</f>
        <v/>
      </c>
      <c r="V124" s="22">
        <f t="array" ref="V124">IF(ISBLANK($B124),"",IF(ISBLANK($K124),IF(XLOOKUP($W124,'Category Mapping'!$C:$C,'Category Mapping'!$B:$B)="Travel",XLOOKUP($P124,'Department Listing'!$A:$A,'Department Listing'!$M:$M),XLOOKUP($W124,'Category Mapping'!$C:$C,'Category Mapping'!$D:$D)),$K124))</f>
        <v/>
      </c>
      <c r="W124" s="22">
        <f>IF(ISBLANK($B124),"",IF(ISBLANK($L124),RIGHT($E124,LEN($E124) - FIND("^",SUBSTITUTE($E124,":","^",LEN($E124) - LEN(SUBSTITUTE($E124,":",""))))),$L124))</f>
        <v/>
      </c>
      <c r="X124" s="22">
        <f>IF(ISBLANK($J124),$V124&amp;$W124,$J124)</f>
        <v/>
      </c>
      <c r="Y124" s="23">
        <f t="array" ref="Y124">IF(ISBLANK($M124),IFERROR(XLOOKUP($P124,'Department Listing'!$A:$A,'Department Listing'!$L:$L),""),$M124)</f>
        <v/>
      </c>
      <c r="Z124" s="11">
        <f>IF(ISBLANK($B124),"",MATCH($X124,COA!$B:$B,0))</f>
        <v/>
      </c>
    </row>
    <row r="125" ht="15.75" customHeight="1" s="52">
      <c r="B125" s="17" t="n">
        <v>46169</v>
      </c>
      <c r="C125" s="18" t="inlineStr">
        <is>
          <t>Amazon Marketplace US MASTERCARD-544015XXXXXX7759-Mickenzi Krpec</t>
        </is>
      </c>
      <c r="D125" s="18" t="inlineStr">
        <is>
          <t>Amazon</t>
        </is>
      </c>
      <c r="E125" s="18" t="inlineStr">
        <is>
          <t>63410 General &amp; Administrative:Office Expenses:Office Supplies</t>
        </is>
      </c>
      <c r="F125" s="19" t="n">
        <v>20</v>
      </c>
      <c r="H125" s="10" t="n"/>
      <c r="I125" s="9" t="n"/>
      <c r="J125" s="9" t="n"/>
      <c r="K125" s="9" t="n"/>
      <c r="L125" s="9" t="n"/>
      <c r="M125" s="9" t="n"/>
      <c r="N125" s="20" t="n"/>
      <c r="O125" s="20">
        <f>IF(C125="", "", TRIM(RIGHT(C125, LEN(C125) - FIND("@@", SUBSTITUTE(C125, "-", "@@", LEN(C125) - LEN(SUBSTITUTE(C125, "-", "")))))))</f>
        <v/>
      </c>
      <c r="P125" s="20">
        <f t="array" ref="P125">IFERROR(XLOOKUP(O125,'Department Listing'!$O$1:$O$395,'Department Listing'!$A$1:$A$395),IFERROR(XLOOKUP(O125,'Name Aliases'!$A$2:$A$1000,'Name Aliases'!$B$2:$B$1000),""))</f>
        <v/>
      </c>
      <c r="Q125" s="21">
        <f>IF(ISBLANK($C125),"",$B125)</f>
        <v/>
      </c>
      <c r="R125" s="20">
        <f>IF(ISBLANK($C125),"",IF(ISBLANK($I125),$D125,$I125))</f>
        <v/>
      </c>
      <c r="S125" s="22">
        <f>IF(ISBLANK($C125),"",$F125 - $G125)</f>
        <v/>
      </c>
      <c r="T125" s="20">
        <f>IF(ISBLANK($C125),"",C125)</f>
        <v/>
      </c>
      <c r="U125" s="20">
        <f>IF(ISBLANK($C125),"",$D$1)</f>
        <v/>
      </c>
      <c r="V125" s="22">
        <f t="array" ref="V125">IF(ISBLANK($B125),"",IF(ISBLANK($K125),IF(XLOOKUP($W125,'Category Mapping'!$C:$C,'Category Mapping'!$B:$B)="Travel",XLOOKUP($P125,'Department Listing'!$A:$A,'Department Listing'!$M:$M),XLOOKUP($W125,'Category Mapping'!$C:$C,'Category Mapping'!$D:$D)),$K125))</f>
        <v/>
      </c>
      <c r="W125" s="22">
        <f>IF(ISBLANK($B125),"",IF(ISBLANK($L125),RIGHT($E125,LEN($E125) - FIND("^",SUBSTITUTE($E125,":","^",LEN($E125) - LEN(SUBSTITUTE($E125,":",""))))),$L125))</f>
        <v/>
      </c>
      <c r="X125" s="22">
        <f>IF(ISBLANK($J125),$V125&amp;$W125,$J125)</f>
        <v/>
      </c>
      <c r="Y125" s="23">
        <f t="array" ref="Y125">IF(ISBLANK($M125),IFERROR(XLOOKUP($P125,'Department Listing'!$A:$A,'Department Listing'!$L:$L),""),$M125)</f>
        <v/>
      </c>
      <c r="Z125" s="11">
        <f>IF(ISBLANK($B125),"",MATCH($X125,COA!$B:$B,0))</f>
        <v/>
      </c>
    </row>
    <row r="126" ht="15.75" customHeight="1" s="52">
      <c r="B126" s="17" t="n">
        <v>46170</v>
      </c>
      <c r="C126" s="18" t="inlineStr">
        <is>
          <t>Ess-a-Bagel MASTERCARD-544015XXXXXX8678-John Taylor</t>
        </is>
      </c>
      <c r="E126" s="18" t="inlineStr">
        <is>
          <t>61240 Sales &amp; Marketing:Sales &amp; Marketing- Travel Expenses:Meals &amp; Entertainment</t>
        </is>
      </c>
      <c r="F126" s="19" t="n">
        <v>18.94</v>
      </c>
      <c r="H126" s="10" t="n"/>
      <c r="I126" s="9" t="inlineStr">
        <is>
          <t>Food Vendor</t>
        </is>
      </c>
      <c r="J126" s="9" t="n"/>
      <c r="K126" s="9" t="n"/>
      <c r="L126" s="9" t="n"/>
      <c r="M126" s="9" t="n"/>
      <c r="N126" s="20" t="n"/>
      <c r="O126" s="20">
        <f>IF(C126="", "", TRIM(RIGHT(C126, LEN(C126) - FIND("@@", SUBSTITUTE(C126, "-", "@@", LEN(C126) - LEN(SUBSTITUTE(C126, "-", "")))))))</f>
        <v/>
      </c>
      <c r="P126" s="20">
        <f t="array" ref="P126">IFERROR(XLOOKUP(O126,'Department Listing'!$O$1:$O$395,'Department Listing'!$A$1:$A$395),IFERROR(XLOOKUP(O126,'Name Aliases'!$A$2:$A$1000,'Name Aliases'!$B$2:$B$1000),""))</f>
        <v/>
      </c>
      <c r="Q126" s="21">
        <f>IF(ISBLANK($C126),"",$B126)</f>
        <v/>
      </c>
      <c r="R126" s="20">
        <f>IF(ISBLANK($C126),"",IF(ISBLANK($I126),$D126,$I126))</f>
        <v/>
      </c>
      <c r="S126" s="22">
        <f>IF(ISBLANK($C126),"",$F126 - $G126)</f>
        <v/>
      </c>
      <c r="T126" s="20">
        <f>IF(ISBLANK($C126),"",C126)</f>
        <v/>
      </c>
      <c r="U126" s="20">
        <f>IF(ISBLANK($C126),"",$D$1)</f>
        <v/>
      </c>
      <c r="V126" s="22">
        <f t="array" ref="V126">IF(ISBLANK($B126),"",IF(ISBLANK($K126),IF(XLOOKUP($W126,'Category Mapping'!$C:$C,'Category Mapping'!$B:$B)="Travel",XLOOKUP($P126,'Department Listing'!$A:$A,'Department Listing'!$M:$M),XLOOKUP($W126,'Category Mapping'!$C:$C,'Category Mapping'!$D:$D)),$K126))</f>
        <v/>
      </c>
      <c r="W126" s="22">
        <f>IF(ISBLANK($B126),"",IF(ISBLANK($L126),RIGHT($E126,LEN($E126) - FIND("^",SUBSTITUTE($E126,":","^",LEN($E126) - LEN(SUBSTITUTE($E126,":",""))))),$L126))</f>
        <v/>
      </c>
      <c r="X126" s="22">
        <f>IF(ISBLANK($J126),$V126&amp;$W126,$J126)</f>
        <v/>
      </c>
      <c r="Y126" s="23">
        <f t="array" ref="Y126">IF(ISBLANK($M126),IFERROR(XLOOKUP($P126,'Department Listing'!$A:$A,'Department Listing'!$L:$L),""),$M126)</f>
        <v/>
      </c>
      <c r="Z126" s="11">
        <f>IF(ISBLANK($B126),"",MATCH($X126,COA!$B:$B,0))</f>
        <v/>
      </c>
    </row>
    <row r="127" ht="15.75" customHeight="1" s="52">
      <c r="B127" s="17" t="n">
        <v>46164</v>
      </c>
      <c r="C127" s="18" t="inlineStr">
        <is>
          <t>Mellis Cafe MASTERCARD-544015XXXXXX2445-Tyler Grimshaw</t>
        </is>
      </c>
      <c r="E127" s="18" t="inlineStr">
        <is>
          <t>61240 Sales &amp; Marketing:Sales &amp; Marketing- Travel Expenses:Meals &amp; Entertainment</t>
        </is>
      </c>
      <c r="F127" s="19" t="n">
        <v>18.59</v>
      </c>
      <c r="H127" s="10" t="n"/>
      <c r="I127" s="9" t="inlineStr">
        <is>
          <t>Food Vendor</t>
        </is>
      </c>
      <c r="J127" s="9" t="n"/>
      <c r="K127" s="9" t="n"/>
      <c r="L127" s="9" t="n"/>
      <c r="M127" s="9" t="n"/>
      <c r="N127" s="20" t="n"/>
      <c r="O127" s="20">
        <f>IF(C127="", "", TRIM(RIGHT(C127, LEN(C127) - FIND("@@", SUBSTITUTE(C127, "-", "@@", LEN(C127) - LEN(SUBSTITUTE(C127, "-", "")))))))</f>
        <v/>
      </c>
      <c r="P127" s="20">
        <f t="array" ref="P127">IFERROR(XLOOKUP(O127,'Department Listing'!$O$1:$O$395,'Department Listing'!$A$1:$A$395),IFERROR(XLOOKUP(O127,'Name Aliases'!$A$2:$A$1000,'Name Aliases'!$B$2:$B$1000),""))</f>
        <v/>
      </c>
      <c r="Q127" s="21">
        <f>IF(ISBLANK($C127),"",$B127)</f>
        <v/>
      </c>
      <c r="R127" s="20">
        <f>IF(ISBLANK($C127),"",IF(ISBLANK($I127),$D127,$I127))</f>
        <v/>
      </c>
      <c r="S127" s="22">
        <f>IF(ISBLANK($C127),"",$F127 - $G127)</f>
        <v/>
      </c>
      <c r="T127" s="20">
        <f>IF(ISBLANK($C127),"",C127)</f>
        <v/>
      </c>
      <c r="U127" s="20">
        <f>IF(ISBLANK($C127),"",$D$1)</f>
        <v/>
      </c>
      <c r="V127" s="22">
        <f t="array" ref="V127">IF(ISBLANK($B127),"",IF(ISBLANK($K127),IF(XLOOKUP($W127,'Category Mapping'!$C:$C,'Category Mapping'!$B:$B)="Travel",XLOOKUP($P127,'Department Listing'!$A:$A,'Department Listing'!$M:$M),XLOOKUP($W127,'Category Mapping'!$C:$C,'Category Mapping'!$D:$D)),$K127))</f>
        <v/>
      </c>
      <c r="W127" s="22">
        <f>IF(ISBLANK($B127),"",IF(ISBLANK($L127),RIGHT($E127,LEN($E127) - FIND("^",SUBSTITUTE($E127,":","^",LEN($E127) - LEN(SUBSTITUTE($E127,":",""))))),$L127))</f>
        <v/>
      </c>
      <c r="X127" s="22">
        <f>IF(ISBLANK($J127),$V127&amp;$W127,$J127)</f>
        <v/>
      </c>
      <c r="Y127" s="23">
        <f t="array" ref="Y127">IF(ISBLANK($M127),IFERROR(XLOOKUP($P127,'Department Listing'!$A:$A,'Department Listing'!$L:$L),""),$M127)</f>
        <v/>
      </c>
      <c r="Z127" s="11">
        <f>IF(ISBLANK($B127),"",MATCH($X127,COA!$B:$B,0))</f>
        <v/>
      </c>
    </row>
    <row r="128" ht="15.75" customHeight="1" s="52">
      <c r="B128" s="17" t="n">
        <v>46165</v>
      </c>
      <c r="C128" s="18" t="inlineStr">
        <is>
          <t>Uber HQ MASTERCARD-544015XXXXXX9350-Gary Passaglia</t>
        </is>
      </c>
      <c r="D128" s="18" t="inlineStr">
        <is>
          <t>Uber</t>
        </is>
      </c>
      <c r="E128" s="18" t="inlineStr">
        <is>
          <t>61220 Sales &amp; Marketing:Sales &amp; Marketing- Travel Expenses:Ground Transportation</t>
        </is>
      </c>
      <c r="F128" s="19" t="n">
        <v>16.96</v>
      </c>
      <c r="H128" s="10" t="n"/>
      <c r="I128" s="9" t="n"/>
      <c r="J128" s="9" t="n"/>
      <c r="K128" s="25" t="n"/>
      <c r="L128" s="25" t="n"/>
      <c r="M128" s="9" t="n"/>
      <c r="N128" s="20" t="n"/>
      <c r="O128" s="20">
        <f>IF(C128="", "", TRIM(RIGHT(C128, LEN(C128) - FIND("@@", SUBSTITUTE(C128, "-", "@@", LEN(C128) - LEN(SUBSTITUTE(C128, "-", "")))))))</f>
        <v/>
      </c>
      <c r="P128" s="20">
        <f t="array" ref="P128">IFERROR(XLOOKUP(O128,'Department Listing'!$O$1:$O$395,'Department Listing'!$A$1:$A$395),IFERROR(XLOOKUP(O128,'Name Aliases'!$A$2:$A$1000,'Name Aliases'!$B$2:$B$1000),""))</f>
        <v/>
      </c>
      <c r="Q128" s="21">
        <f>IF(ISBLANK($C128),"",$B128)</f>
        <v/>
      </c>
      <c r="R128" s="20">
        <f>IF(ISBLANK($C128),"",IF(ISBLANK($I128),$D128,$I128))</f>
        <v/>
      </c>
      <c r="S128" s="22">
        <f>IF(ISBLANK($C128),"",$F128 - $G128)</f>
        <v/>
      </c>
      <c r="T128" s="20">
        <f>IF(ISBLANK($C128),"",C128)</f>
        <v/>
      </c>
      <c r="U128" s="20">
        <f>IF(ISBLANK($C128),"",$D$1)</f>
        <v/>
      </c>
      <c r="V128" s="22">
        <f t="array" ref="V128">IF(ISBLANK($B128),"",IF(ISBLANK($K128),IF(XLOOKUP($W128,'Category Mapping'!$C:$C,'Category Mapping'!$B:$B)="Travel",XLOOKUP($P128,'Department Listing'!$A:$A,'Department Listing'!$M:$M),XLOOKUP($W128,'Category Mapping'!$C:$C,'Category Mapping'!$D:$D)),$K128))</f>
        <v/>
      </c>
      <c r="W128" s="22">
        <f>IF(ISBLANK($B128),"",IF(ISBLANK($L128),RIGHT($E128,LEN($E128) - FIND("^",SUBSTITUTE($E128,":","^",LEN($E128) - LEN(SUBSTITUTE($E128,":",""))))),$L128))</f>
        <v/>
      </c>
      <c r="X128" s="22">
        <f>IF(ISBLANK($J128),$V128&amp;$W128,$J128)</f>
        <v/>
      </c>
      <c r="Y128" s="23">
        <f t="array" ref="Y128">IF(ISBLANK($M128),IFERROR(XLOOKUP($P128,'Department Listing'!$A:$A,'Department Listing'!$L:$L),""),$M128)</f>
        <v/>
      </c>
      <c r="Z128" s="11">
        <f>IF(ISBLANK($B128),"",MATCH($X128,COA!$B:$B,0))</f>
        <v/>
      </c>
    </row>
    <row r="129" ht="15.75" customHeight="1" s="52">
      <c r="B129" s="17" t="n">
        <v>46169</v>
      </c>
      <c r="C129" s="18" t="inlineStr">
        <is>
          <t>Tatte Bakery and Cafe MASTERCARD-544015XXXXXX7759-Mickenzi Krpec</t>
        </is>
      </c>
      <c r="D129" s="18" t="inlineStr">
        <is>
          <t>Tatte</t>
        </is>
      </c>
      <c r="E129" s="18" t="inlineStr">
        <is>
          <t>61240 Sales &amp; Marketing:Sales &amp; Marketing- Travel Expenses:Meals &amp; Entertainment</t>
        </is>
      </c>
      <c r="F129" s="19" t="n">
        <v>16.05</v>
      </c>
      <c r="H129" s="10" t="n"/>
      <c r="I129" s="9" t="n"/>
      <c r="J129" s="9" t="n"/>
      <c r="K129" s="9" t="n"/>
      <c r="L129" s="9" t="n"/>
      <c r="M129" s="9" t="n"/>
      <c r="N129" s="20" t="n"/>
      <c r="O129" s="20">
        <f>IF(C129="", "", TRIM(RIGHT(C129, LEN(C129) - FIND("@@", SUBSTITUTE(C129, "-", "@@", LEN(C129) - LEN(SUBSTITUTE(C129, "-", "")))))))</f>
        <v/>
      </c>
      <c r="P129" s="20">
        <f t="array" ref="P129">IFERROR(XLOOKUP(O129,'Department Listing'!$O$1:$O$395,'Department Listing'!$A$1:$A$395),IFERROR(XLOOKUP(O129,'Name Aliases'!$A$2:$A$1000,'Name Aliases'!$B$2:$B$1000),""))</f>
        <v/>
      </c>
      <c r="Q129" s="21">
        <f>IF(ISBLANK($C129),"",$B129)</f>
        <v/>
      </c>
      <c r="R129" s="20">
        <f>IF(ISBLANK($C129),"",IF(ISBLANK($I129),$D129,$I129))</f>
        <v/>
      </c>
      <c r="S129" s="22">
        <f>IF(ISBLANK($C129),"",$F129 - $G129)</f>
        <v/>
      </c>
      <c r="T129" s="20">
        <f>IF(ISBLANK($C129),"",C129)</f>
        <v/>
      </c>
      <c r="U129" s="20">
        <f>IF(ISBLANK($C129),"",$D$1)</f>
        <v/>
      </c>
      <c r="V129" s="22">
        <f t="array" ref="V129">IF(ISBLANK($B129),"",IF(ISBLANK($K129),IF(XLOOKUP($W129,'Category Mapping'!$C:$C,'Category Mapping'!$B:$B)="Travel",XLOOKUP($P129,'Department Listing'!$A:$A,'Department Listing'!$M:$M),XLOOKUP($W129,'Category Mapping'!$C:$C,'Category Mapping'!$D:$D)),$K129))</f>
        <v/>
      </c>
      <c r="W129" s="22">
        <f>IF(ISBLANK($B129),"",IF(ISBLANK($L129),RIGHT($E129,LEN($E129) - FIND("^",SUBSTITUTE($E129,":","^",LEN($E129) - LEN(SUBSTITUTE($E129,":",""))))),$L129))</f>
        <v/>
      </c>
      <c r="X129" s="22">
        <f>IF(ISBLANK($J129),$V129&amp;$W129,$J129)</f>
        <v/>
      </c>
      <c r="Y129" s="23">
        <f t="array" ref="Y129">IF(ISBLANK($M129),IFERROR(XLOOKUP($P129,'Department Listing'!$A:$A,'Department Listing'!$L:$L),""),$M129)</f>
        <v/>
      </c>
      <c r="Z129" s="11">
        <f>IF(ISBLANK($B129),"",MATCH($X129,COA!$B:$B,0))</f>
        <v/>
      </c>
    </row>
    <row r="130" ht="15.75" customHeight="1" s="52">
      <c r="B130" s="17" t="n">
        <v>46166</v>
      </c>
      <c r="C130" s="18" t="inlineStr">
        <is>
          <t>Linktree MASTERCARD-544015XXXXXX5072-Maile Call</t>
        </is>
      </c>
      <c r="E130" s="18" t="inlineStr">
        <is>
          <t>63420 General &amp; Administrative:Office Expenses:Dues &amp; Subscriptions</t>
        </is>
      </c>
      <c r="F130" s="19" t="n">
        <v>15.94</v>
      </c>
      <c r="H130" s="10" t="n"/>
      <c r="I130" s="9" t="inlineStr">
        <is>
          <t>Office Vendor</t>
        </is>
      </c>
      <c r="J130" s="9" t="n"/>
      <c r="K130" s="9" t="n"/>
      <c r="L130" s="9" t="inlineStr">
        <is>
          <t>Dues &amp; Subscriptions</t>
        </is>
      </c>
      <c r="M130" s="9" t="n"/>
      <c r="N130" s="20" t="n"/>
      <c r="O130" s="20">
        <f>IF(C130="", "", TRIM(RIGHT(C130, LEN(C130) - FIND("@@", SUBSTITUTE(C130, "-", "@@", LEN(C130) - LEN(SUBSTITUTE(C130, "-", "")))))))</f>
        <v/>
      </c>
      <c r="P130" s="20">
        <f t="array" ref="P130">IFERROR(XLOOKUP(O130,'Department Listing'!$O$1:$O$395,'Department Listing'!$A$1:$A$395),IFERROR(XLOOKUP(O130,'Name Aliases'!$A$2:$A$1000,'Name Aliases'!$B$2:$B$1000),""))</f>
        <v/>
      </c>
      <c r="Q130" s="21">
        <f>IF(ISBLANK($C130),"",$B130)</f>
        <v/>
      </c>
      <c r="R130" s="20">
        <f>IF(ISBLANK($C130),"",IF(ISBLANK($I130),$D130,$I130))</f>
        <v/>
      </c>
      <c r="S130" s="22">
        <f>IF(ISBLANK($C130),"",$F130 - $G130)</f>
        <v/>
      </c>
      <c r="T130" s="20">
        <f>IF(ISBLANK($C130),"",C130)</f>
        <v/>
      </c>
      <c r="U130" s="20">
        <f>IF(ISBLANK($C130),"",$D$1)</f>
        <v/>
      </c>
      <c r="V130" s="22">
        <f t="array" ref="V130">IF(ISBLANK($B130),"",IF(ISBLANK($K130),IF(XLOOKUP($W130,'Category Mapping'!$C:$C,'Category Mapping'!$B:$B)="Travel",XLOOKUP($P130,'Department Listing'!$A:$A,'Department Listing'!$M:$M),XLOOKUP($W130,'Category Mapping'!$C:$C,'Category Mapping'!$D:$D)),$K130))</f>
        <v/>
      </c>
      <c r="W130" s="22">
        <f>IF(ISBLANK($B130),"",IF(ISBLANK($L130),RIGHT($E130,LEN($E130) - FIND("^",SUBSTITUTE($E130,":","^",LEN($E130) - LEN(SUBSTITUTE($E130,":",""))))),$L130))</f>
        <v/>
      </c>
      <c r="X130" s="22">
        <f>IF(ISBLANK($J130),$V130&amp;$W130,$J130)</f>
        <v/>
      </c>
      <c r="Y130" s="23">
        <f t="array" ref="Y130">IF(ISBLANK($M130),IFERROR(XLOOKUP($P130,'Department Listing'!$A:$A,'Department Listing'!$L:$L),""),$M130)</f>
        <v/>
      </c>
      <c r="Z130" s="11">
        <f>IF(ISBLANK($B130),"",MATCH($X130,COA!$B:$B,0))</f>
        <v/>
      </c>
    </row>
    <row r="131" ht="15.75" customHeight="1" s="52">
      <c r="B131" s="17" t="n">
        <v>46170</v>
      </c>
      <c r="C131" s="18" t="inlineStr">
        <is>
          <t>Duane Reade MASTERCARD-544015XXXXXX9350-Gary Passaglia</t>
        </is>
      </c>
      <c r="E131" s="18" t="inlineStr">
        <is>
          <t>63410 General &amp; Administrative:Office Expenses:Office Supplies</t>
        </is>
      </c>
      <c r="F131" s="19" t="n">
        <v>15.75</v>
      </c>
      <c r="H131" s="10" t="n"/>
      <c r="I131" s="9" t="inlineStr">
        <is>
          <t>Food Vendor</t>
        </is>
      </c>
      <c r="J131" s="9" t="n"/>
      <c r="K131" s="9" t="n"/>
      <c r="L131" s="9" t="inlineStr">
        <is>
          <t>Meals &amp; Entertainment</t>
        </is>
      </c>
      <c r="M131" s="9" t="n"/>
      <c r="N131" s="20" t="n"/>
      <c r="O131" s="20">
        <f>IF(C131="", "", TRIM(RIGHT(C131, LEN(C131) - FIND("@@", SUBSTITUTE(C131, "-", "@@", LEN(C131) - LEN(SUBSTITUTE(C131, "-", "")))))))</f>
        <v/>
      </c>
      <c r="P131" s="20">
        <f t="array" ref="P131">IFERROR(XLOOKUP(O131,'Department Listing'!$O$1:$O$395,'Department Listing'!$A$1:$A$395),IFERROR(XLOOKUP(O131,'Name Aliases'!$A$2:$A$1000,'Name Aliases'!$B$2:$B$1000),""))</f>
        <v/>
      </c>
      <c r="Q131" s="21">
        <f>IF(ISBLANK($C131),"",$B131)</f>
        <v/>
      </c>
      <c r="R131" s="20">
        <f>IF(ISBLANK($C131),"",IF(ISBLANK($I131),$D131,$I131))</f>
        <v/>
      </c>
      <c r="S131" s="22">
        <f>IF(ISBLANK($C131),"",$F131 - $G131)</f>
        <v/>
      </c>
      <c r="T131" s="20">
        <f>IF(ISBLANK($C131),"",C131)</f>
        <v/>
      </c>
      <c r="U131" s="20">
        <f>IF(ISBLANK($C131),"",$D$1)</f>
        <v/>
      </c>
      <c r="V131" s="22">
        <f t="array" ref="V131">IF(ISBLANK($B131),"",IF(ISBLANK($K131),IF(XLOOKUP($W131,'Category Mapping'!$C:$C,'Category Mapping'!$B:$B)="Travel",XLOOKUP($P131,'Department Listing'!$A:$A,'Department Listing'!$M:$M),XLOOKUP($W131,'Category Mapping'!$C:$C,'Category Mapping'!$D:$D)),$K131))</f>
        <v/>
      </c>
      <c r="W131" s="22">
        <f>IF(ISBLANK($B131),"",IF(ISBLANK($L131),RIGHT($E131,LEN($E131) - FIND("^",SUBSTITUTE($E131,":","^",LEN($E131) - LEN(SUBSTITUTE($E131,":",""))))),$L131))</f>
        <v/>
      </c>
      <c r="X131" s="22">
        <f>IF(ISBLANK($J131),$V131&amp;$W131,$J131)</f>
        <v/>
      </c>
      <c r="Y131" s="23">
        <f t="array" ref="Y131">IF(ISBLANK($M131),IFERROR(XLOOKUP($P131,'Department Listing'!$A:$A,'Department Listing'!$L:$L),""),$M131)</f>
        <v/>
      </c>
      <c r="Z131" s="11">
        <f>IF(ISBLANK($B131),"",MATCH($X131,COA!$B:$B,0))</f>
        <v/>
      </c>
    </row>
    <row r="132" ht="15.75" customHeight="1" s="52">
      <c r="B132" s="17" t="n">
        <v>46168</v>
      </c>
      <c r="C132" s="18" t="inlineStr">
        <is>
          <t>Robertsons Pharmacy MASTERCARD-544015XXXXXX2884-Ayla Hourani</t>
        </is>
      </c>
      <c r="E132" s="18" t="inlineStr">
        <is>
          <t>61240 Sales &amp; Marketing:Sales &amp; Marketing- Travel Expenses:Meals &amp; Entertainment</t>
        </is>
      </c>
      <c r="F132" s="19" t="n">
        <v>15.65</v>
      </c>
      <c r="H132" s="10" t="n"/>
      <c r="I132" s="9" t="inlineStr">
        <is>
          <t>Travel Vendor</t>
        </is>
      </c>
      <c r="J132" s="9" t="n"/>
      <c r="K132" s="9" t="n"/>
      <c r="L132" s="9" t="inlineStr">
        <is>
          <t>Other Travel Expenses</t>
        </is>
      </c>
      <c r="M132" s="9" t="n"/>
      <c r="N132" s="20" t="n"/>
      <c r="O132" s="20">
        <f>IF(C132="", "", TRIM(RIGHT(C132, LEN(C132) - FIND("@@", SUBSTITUTE(C132, "-", "@@", LEN(C132) - LEN(SUBSTITUTE(C132, "-", "")))))))</f>
        <v/>
      </c>
      <c r="P132" s="20">
        <f t="array" ref="P132">IFERROR(XLOOKUP(O132,'Department Listing'!$O$1:$O$395,'Department Listing'!$A$1:$A$395),IFERROR(XLOOKUP(O132,'Name Aliases'!$A$2:$A$1000,'Name Aliases'!$B$2:$B$1000),""))</f>
        <v/>
      </c>
      <c r="Q132" s="21">
        <f>IF(ISBLANK($C132),"",$B132)</f>
        <v/>
      </c>
      <c r="R132" s="20">
        <f>IF(ISBLANK($C132),"",IF(ISBLANK($I132),$D132,$I132))</f>
        <v/>
      </c>
      <c r="S132" s="22">
        <f>IF(ISBLANK($C132),"",$F132 - $G132)</f>
        <v/>
      </c>
      <c r="T132" s="20">
        <f>IF(ISBLANK($C132),"",C132)</f>
        <v/>
      </c>
      <c r="U132" s="20">
        <f>IF(ISBLANK($C132),"",$D$1)</f>
        <v/>
      </c>
      <c r="V132" s="22">
        <f t="array" ref="V132">IF(ISBLANK($B132),"",IF(ISBLANK($K132),IF(XLOOKUP($W132,'Category Mapping'!$C:$C,'Category Mapping'!$B:$B)="Travel",XLOOKUP($P132,'Department Listing'!$A:$A,'Department Listing'!$M:$M),XLOOKUP($W132,'Category Mapping'!$C:$C,'Category Mapping'!$D:$D)),$K132))</f>
        <v/>
      </c>
      <c r="W132" s="22">
        <f>IF(ISBLANK($B132),"",IF(ISBLANK($L132),RIGHT($E132,LEN($E132) - FIND("^",SUBSTITUTE($E132,":","^",LEN($E132) - LEN(SUBSTITUTE($E132,":",""))))),$L132))</f>
        <v/>
      </c>
      <c r="X132" s="22">
        <f>IF(ISBLANK($J132),$V132&amp;$W132,$J132)</f>
        <v/>
      </c>
      <c r="Y132" s="23">
        <f t="array" ref="Y132">IF(ISBLANK($M132),IFERROR(XLOOKUP($P132,'Department Listing'!$A:$A,'Department Listing'!$L:$L),""),$M132)</f>
        <v/>
      </c>
      <c r="Z132" s="11">
        <f>IF(ISBLANK($B132),"",MATCH($X132,COA!$B:$B,0))</f>
        <v/>
      </c>
    </row>
    <row r="133" ht="15.75" customHeight="1" s="52">
      <c r="B133" s="17" t="n">
        <v>46169</v>
      </c>
      <c r="C133" s="18" t="inlineStr">
        <is>
          <t>Chick-fil-A MASTERCARD-544015XXXXXX7349-William Watson</t>
        </is>
      </c>
      <c r="D133" s="18" t="inlineStr">
        <is>
          <t>Chick-Fil-A</t>
        </is>
      </c>
      <c r="E133" s="18" t="inlineStr">
        <is>
          <t>61240 Sales &amp; Marketing:Sales &amp; Marketing- Travel Expenses:Meals &amp; Entertainment</t>
        </is>
      </c>
      <c r="F133" s="19" t="n">
        <v>15.57</v>
      </c>
      <c r="H133" s="10" t="n"/>
      <c r="I133" s="9" t="n"/>
      <c r="J133" s="9" t="n"/>
      <c r="K133" s="9" t="n"/>
      <c r="L133" s="9" t="n"/>
      <c r="M133" s="9" t="n"/>
      <c r="N133" s="20" t="n"/>
      <c r="O133" s="20">
        <f>IF(C133="", "", TRIM(RIGHT(C133, LEN(C133) - FIND("@@", SUBSTITUTE(C133, "-", "@@", LEN(C133) - LEN(SUBSTITUTE(C133, "-", "")))))))</f>
        <v/>
      </c>
      <c r="P133" s="20">
        <f t="array" ref="P133">IFERROR(XLOOKUP(O133,'Department Listing'!$O$1:$O$395,'Department Listing'!$A$1:$A$395),IFERROR(XLOOKUP(O133,'Name Aliases'!$A$2:$A$1000,'Name Aliases'!$B$2:$B$1000),""))</f>
        <v/>
      </c>
      <c r="Q133" s="21">
        <f>IF(ISBLANK($C133),"",$B133)</f>
        <v/>
      </c>
      <c r="R133" s="20">
        <f>IF(ISBLANK($C133),"",IF(ISBLANK($I133),$D133,$I133))</f>
        <v/>
      </c>
      <c r="S133" s="22">
        <f>IF(ISBLANK($C133),"",$F133 - $G133)</f>
        <v/>
      </c>
      <c r="T133" s="20">
        <f>IF(ISBLANK($C133),"",C133)</f>
        <v/>
      </c>
      <c r="U133" s="20">
        <f>IF(ISBLANK($C133),"",$D$1)</f>
        <v/>
      </c>
      <c r="V133" s="22">
        <f t="array" ref="V133">IF(ISBLANK($B133),"",IF(ISBLANK($K133),IF(XLOOKUP($W133,'Category Mapping'!$C:$C,'Category Mapping'!$B:$B)="Travel",XLOOKUP($P133,'Department Listing'!$A:$A,'Department Listing'!$M:$M),XLOOKUP($W133,'Category Mapping'!$C:$C,'Category Mapping'!$D:$D)),$K133))</f>
        <v/>
      </c>
      <c r="W133" s="22">
        <f>IF(ISBLANK($B133),"",IF(ISBLANK($L133),RIGHT($E133,LEN($E133) - FIND("^",SUBSTITUTE($E133,":","^",LEN($E133) - LEN(SUBSTITUTE($E133,":",""))))),$L133))</f>
        <v/>
      </c>
      <c r="X133" s="22">
        <f>IF(ISBLANK($J133),$V133&amp;$W133,$J133)</f>
        <v/>
      </c>
      <c r="Y133" s="23">
        <f t="array" ref="Y133">IF(ISBLANK($M133),IFERROR(XLOOKUP($P133,'Department Listing'!$A:$A,'Department Listing'!$L:$L),""),$M133)</f>
        <v/>
      </c>
      <c r="Z133" s="11">
        <f>IF(ISBLANK($B133),"",MATCH($X133,COA!$B:$B,0))</f>
        <v/>
      </c>
    </row>
    <row r="134" ht="15.75" customHeight="1" s="52">
      <c r="B134" s="17" t="n">
        <v>46165</v>
      </c>
      <c r="C134" s="18" t="inlineStr">
        <is>
          <t>500 Boylston MASTERCARD-544015XXXXXX4950-Jacy Hennawy</t>
        </is>
      </c>
      <c r="E134" s="18" t="inlineStr">
        <is>
          <t>61240 Sales &amp; Marketing:Sales &amp; Marketing- Travel Expenses:Meals &amp; Entertainment</t>
        </is>
      </c>
      <c r="F134" s="19" t="n">
        <v>15.25</v>
      </c>
      <c r="H134" s="10" t="n"/>
      <c r="I134" s="9" t="inlineStr">
        <is>
          <t>Travel Vendor</t>
        </is>
      </c>
      <c r="J134" s="9" t="n"/>
      <c r="K134" s="9" t="n"/>
      <c r="L134" s="9" t="inlineStr">
        <is>
          <t>Other Travel Expenses</t>
        </is>
      </c>
      <c r="M134" s="9" t="n"/>
      <c r="N134" s="20" t="n"/>
      <c r="O134" s="20">
        <f>IF(C134="", "", TRIM(RIGHT(C134, LEN(C134) - FIND("@@", SUBSTITUTE(C134, "-", "@@", LEN(C134) - LEN(SUBSTITUTE(C134, "-", "")))))))</f>
        <v/>
      </c>
      <c r="P134" s="20">
        <f t="array" ref="P134">IFERROR(XLOOKUP(O134,'Department Listing'!$O$1:$O$395,'Department Listing'!$A$1:$A$395),IFERROR(XLOOKUP(O134,'Name Aliases'!$A$2:$A$1000,'Name Aliases'!$B$2:$B$1000),""))</f>
        <v/>
      </c>
      <c r="Q134" s="21">
        <f>IF(ISBLANK($C134),"",$B134)</f>
        <v/>
      </c>
      <c r="R134" s="20">
        <f>IF(ISBLANK($C134),"",IF(ISBLANK($I134),$D134,$I134))</f>
        <v/>
      </c>
      <c r="S134" s="22">
        <f>IF(ISBLANK($C134),"",$F134 - $G134)</f>
        <v/>
      </c>
      <c r="T134" s="20">
        <f>IF(ISBLANK($C134),"",C134)</f>
        <v/>
      </c>
      <c r="U134" s="20">
        <f>IF(ISBLANK($C134),"",$D$1)</f>
        <v/>
      </c>
      <c r="V134" s="22">
        <f t="array" ref="V134">IF(ISBLANK($B134),"",IF(ISBLANK($K134),IF(XLOOKUP($W134,'Category Mapping'!$C:$C,'Category Mapping'!$B:$B)="Travel",XLOOKUP($P134,'Department Listing'!$A:$A,'Department Listing'!$M:$M),XLOOKUP($W134,'Category Mapping'!$C:$C,'Category Mapping'!$D:$D)),$K134))</f>
        <v/>
      </c>
      <c r="W134" s="22">
        <f>IF(ISBLANK($B134),"",IF(ISBLANK($L134),RIGHT($E134,LEN($E134) - FIND("^",SUBSTITUTE($E134,":","^",LEN($E134) - LEN(SUBSTITUTE($E134,":",""))))),$L134))</f>
        <v/>
      </c>
      <c r="X134" s="22">
        <f>IF(ISBLANK($J134),$V134&amp;$W134,$J134)</f>
        <v/>
      </c>
      <c r="Y134" s="23">
        <f t="array" ref="Y134">IF(ISBLANK($M134),IFERROR(XLOOKUP($P134,'Department Listing'!$A:$A,'Department Listing'!$L:$L),""),$M134)</f>
        <v/>
      </c>
      <c r="Z134" s="11">
        <f>IF(ISBLANK($B134),"",MATCH($X134,COA!$B:$B,0))</f>
        <v/>
      </c>
    </row>
    <row r="135" ht="15.75" customHeight="1" s="52">
      <c r="B135" s="17" t="n">
        <v>46168</v>
      </c>
      <c r="C135" s="18" t="inlineStr">
        <is>
          <t>Sweetgreen MASTERCARD-544015XXXXXX2539-Shane Burgoon</t>
        </is>
      </c>
      <c r="D135" s="18" t="inlineStr">
        <is>
          <t>Sweetgreen</t>
        </is>
      </c>
      <c r="E135" s="18" t="inlineStr">
        <is>
          <t>64234 General &amp; Administrative:G&amp;A- Travel Expenses:Meals &amp; Entertainment</t>
        </is>
      </c>
      <c r="F135" s="19" t="n">
        <v>14.93</v>
      </c>
      <c r="H135" s="10" t="n"/>
      <c r="I135" s="9" t="n"/>
      <c r="J135" s="9" t="n"/>
      <c r="K135" s="9" t="n"/>
      <c r="L135" s="9" t="n"/>
      <c r="M135" s="9" t="n"/>
      <c r="N135" s="20" t="n"/>
      <c r="O135" s="20">
        <f>IF(C135="", "", TRIM(RIGHT(C135, LEN(C135) - FIND("@@", SUBSTITUTE(C135, "-", "@@", LEN(C135) - LEN(SUBSTITUTE(C135, "-", "")))))))</f>
        <v/>
      </c>
      <c r="P135" s="20">
        <f t="array" ref="P135">IFERROR(XLOOKUP(O135,'Department Listing'!$O$1:$O$395,'Department Listing'!$A$1:$A$395),IFERROR(XLOOKUP(O135,'Name Aliases'!$A$2:$A$1000,'Name Aliases'!$B$2:$B$1000),""))</f>
        <v/>
      </c>
      <c r="Q135" s="21">
        <f>IF(ISBLANK($C135),"",$B135)</f>
        <v/>
      </c>
      <c r="R135" s="20">
        <f>IF(ISBLANK($C135),"",IF(ISBLANK($I135),$D135,$I135))</f>
        <v/>
      </c>
      <c r="S135" s="22">
        <f>IF(ISBLANK($C135),"",$F135 - $G135)</f>
        <v/>
      </c>
      <c r="T135" s="20">
        <f>IF(ISBLANK($C135),"",C135)</f>
        <v/>
      </c>
      <c r="U135" s="20">
        <f>IF(ISBLANK($C135),"",$D$1)</f>
        <v/>
      </c>
      <c r="V135" s="22">
        <f t="array" ref="V135">IF(ISBLANK($B135),"",IF(ISBLANK($K135),IF(XLOOKUP($W135,'Category Mapping'!$C:$C,'Category Mapping'!$B:$B)="Travel",XLOOKUP($P135,'Department Listing'!$A:$A,'Department Listing'!$M:$M),XLOOKUP($W135,'Category Mapping'!$C:$C,'Category Mapping'!$D:$D)),$K135))</f>
        <v/>
      </c>
      <c r="W135" s="22">
        <f>IF(ISBLANK($B135),"",IF(ISBLANK($L135),RIGHT($E135,LEN($E135) - FIND("^",SUBSTITUTE($E135,":","^",LEN($E135) - LEN(SUBSTITUTE($E135,":",""))))),$L135))</f>
        <v/>
      </c>
      <c r="X135" s="22">
        <f>IF(ISBLANK($J135),$V135&amp;$W135,$J135)</f>
        <v/>
      </c>
      <c r="Y135" s="23">
        <f t="array" ref="Y135">IF(ISBLANK($M135),IFERROR(XLOOKUP($P135,'Department Listing'!$A:$A,'Department Listing'!$L:$L),""),$M135)</f>
        <v/>
      </c>
      <c r="Z135" s="11">
        <f>IF(ISBLANK($B135),"",MATCH($X135,COA!$B:$B,0))</f>
        <v/>
      </c>
    </row>
    <row r="136" ht="15.75" customHeight="1" s="52">
      <c r="B136" s="17" t="n">
        <v>46168</v>
      </c>
      <c r="C136" s="18" t="inlineStr">
        <is>
          <t>Sweetgreen MASTERCARD-544015XXXXXX0374-Vincent Planz</t>
        </is>
      </c>
      <c r="D136" s="18" t="inlineStr">
        <is>
          <t>Sweetgreen</t>
        </is>
      </c>
      <c r="E136" s="18" t="inlineStr">
        <is>
          <t>64234 General &amp; Administrative:G&amp;A- Travel Expenses:Meals &amp; Entertainment</t>
        </is>
      </c>
      <c r="F136" s="19" t="n">
        <v>14.93</v>
      </c>
      <c r="H136" s="10" t="n"/>
      <c r="I136" s="9" t="n"/>
      <c r="J136" s="9" t="n"/>
      <c r="K136" s="9" t="n"/>
      <c r="L136" s="9" t="n"/>
      <c r="M136" s="9" t="n"/>
      <c r="N136" s="20" t="n"/>
      <c r="O136" s="20">
        <f>IF(C136="", "", TRIM(RIGHT(C136, LEN(C136) - FIND("@@", SUBSTITUTE(C136, "-", "@@", LEN(C136) - LEN(SUBSTITUTE(C136, "-", "")))))))</f>
        <v/>
      </c>
      <c r="P136" s="20">
        <f t="array" ref="P136">IFERROR(XLOOKUP(O136,'Department Listing'!$O$1:$O$395,'Department Listing'!$A$1:$A$395),IFERROR(XLOOKUP(O136,'Name Aliases'!$A$2:$A$1000,'Name Aliases'!$B$2:$B$1000),""))</f>
        <v/>
      </c>
      <c r="Q136" s="21">
        <f>IF(ISBLANK($C136),"",$B136)</f>
        <v/>
      </c>
      <c r="R136" s="20">
        <f>IF(ISBLANK($C136),"",IF(ISBLANK($I136),$D136,$I136))</f>
        <v/>
      </c>
      <c r="S136" s="22">
        <f>IF(ISBLANK($C136),"",$F136 - $G136)</f>
        <v/>
      </c>
      <c r="T136" s="20">
        <f>IF(ISBLANK($C136),"",C136)</f>
        <v/>
      </c>
      <c r="U136" s="20">
        <f>IF(ISBLANK($C136),"",$D$1)</f>
        <v/>
      </c>
      <c r="V136" s="22">
        <f t="array" ref="V136">IF(ISBLANK($B136),"",IF(ISBLANK($K136),IF(XLOOKUP($W136,'Category Mapping'!$C:$C,'Category Mapping'!$B:$B)="Travel",XLOOKUP($P136,'Department Listing'!$A:$A,'Department Listing'!$M:$M),XLOOKUP($W136,'Category Mapping'!$C:$C,'Category Mapping'!$D:$D)),$K136))</f>
        <v/>
      </c>
      <c r="W136" s="22">
        <f>IF(ISBLANK($B136),"",IF(ISBLANK($L136),RIGHT($E136,LEN($E136) - FIND("^",SUBSTITUTE($E136,":","^",LEN($E136) - LEN(SUBSTITUTE($E136,":",""))))),$L136))</f>
        <v/>
      </c>
      <c r="X136" s="22">
        <f>IF(ISBLANK($J136),$V136&amp;$W136,$J136)</f>
        <v/>
      </c>
      <c r="Y136" s="23">
        <f t="array" ref="Y136">IF(ISBLANK($M136),IFERROR(XLOOKUP($P136,'Department Listing'!$A:$A,'Department Listing'!$L:$L),""),$M136)</f>
        <v/>
      </c>
      <c r="Z136" s="11">
        <f>IF(ISBLANK($B136),"",MATCH($X136,COA!$B:$B,0))</f>
        <v/>
      </c>
    </row>
    <row r="137" ht="15.75" customHeight="1" s="52">
      <c r="B137" s="17" t="n">
        <v>46168</v>
      </c>
      <c r="C137" s="18" t="inlineStr">
        <is>
          <t>Sweetgreen MASTERCARD-544015XXXXXX3435-Meghan Murray</t>
        </is>
      </c>
      <c r="D137" s="18" t="inlineStr">
        <is>
          <t>Sweetgreen</t>
        </is>
      </c>
      <c r="E137" s="18" t="inlineStr">
        <is>
          <t>64234 General &amp; Administrative:G&amp;A- Travel Expenses:Meals &amp; Entertainment</t>
        </is>
      </c>
      <c r="F137" s="19" t="n">
        <v>14.71</v>
      </c>
      <c r="H137" s="10" t="n"/>
      <c r="I137" s="9" t="n"/>
      <c r="J137" s="9" t="n"/>
      <c r="K137" s="9" t="n"/>
      <c r="L137" s="9" t="n"/>
      <c r="M137" s="9" t="n"/>
      <c r="N137" s="20" t="n"/>
      <c r="O137" s="20">
        <f>IF(C137="", "", TRIM(RIGHT(C137, LEN(C137) - FIND("@@", SUBSTITUTE(C137, "-", "@@", LEN(C137) - LEN(SUBSTITUTE(C137, "-", "")))))))</f>
        <v/>
      </c>
      <c r="P137" s="20">
        <f t="array" ref="P137">IFERROR(XLOOKUP(O137,'Department Listing'!$O$1:$O$395,'Department Listing'!$A$1:$A$395),IFERROR(XLOOKUP(O137,'Name Aliases'!$A$2:$A$1000,'Name Aliases'!$B$2:$B$1000),""))</f>
        <v/>
      </c>
      <c r="Q137" s="21">
        <f>IF(ISBLANK($C137),"",$B137)</f>
        <v/>
      </c>
      <c r="R137" s="20">
        <f>IF(ISBLANK($C137),"",IF(ISBLANK($I137),$D137,$I137))</f>
        <v/>
      </c>
      <c r="S137" s="22">
        <f>IF(ISBLANK($C137),"",$F137 - $G137)</f>
        <v/>
      </c>
      <c r="T137" s="20">
        <f>IF(ISBLANK($C137),"",C137)</f>
        <v/>
      </c>
      <c r="U137" s="20">
        <f>IF(ISBLANK($C137),"",$D$1)</f>
        <v/>
      </c>
      <c r="V137" s="22">
        <f t="array" ref="V137">IF(ISBLANK($B137),"",IF(ISBLANK($K137),IF(XLOOKUP($W137,'Category Mapping'!$C:$C,'Category Mapping'!$B:$B)="Travel",XLOOKUP($P137,'Department Listing'!$A:$A,'Department Listing'!$M:$M),XLOOKUP($W137,'Category Mapping'!$C:$C,'Category Mapping'!$D:$D)),$K137))</f>
        <v/>
      </c>
      <c r="W137" s="22">
        <f>IF(ISBLANK($B137),"",IF(ISBLANK($L137),RIGHT($E137,LEN($E137) - FIND("^",SUBSTITUTE($E137,":","^",LEN($E137) - LEN(SUBSTITUTE($E137,":",""))))),$L137))</f>
        <v/>
      </c>
      <c r="X137" s="22">
        <f>IF(ISBLANK($J137),$V137&amp;$W137,$J137)</f>
        <v/>
      </c>
      <c r="Y137" s="23">
        <f t="array" ref="Y137">IF(ISBLANK($M137),IFERROR(XLOOKUP($P137,'Department Listing'!$A:$A,'Department Listing'!$L:$L),""),$M137)</f>
        <v/>
      </c>
      <c r="Z137" s="11">
        <f>IF(ISBLANK($B137),"",MATCH($X137,COA!$B:$B,0))</f>
        <v/>
      </c>
    </row>
    <row r="138" ht="15.75" customHeight="1" s="52">
      <c r="B138" s="17" t="n">
        <v>46164</v>
      </c>
      <c r="C138" s="18" t="inlineStr">
        <is>
          <t>Hingham Launch MASTERCARD-544015XXXXXX5446-Eric Rabkin</t>
        </is>
      </c>
      <c r="E138" s="18" t="inlineStr">
        <is>
          <t>61240 Sales &amp; Marketing:Sales &amp; Marketing- Travel Expenses:Meals &amp; Entertainment</t>
        </is>
      </c>
      <c r="F138" s="19" t="n">
        <v>14.34</v>
      </c>
      <c r="H138" s="10" t="n"/>
      <c r="I138" s="9" t="inlineStr">
        <is>
          <t>Travel Vendor</t>
        </is>
      </c>
      <c r="J138" s="9" t="n"/>
      <c r="K138" s="9" t="n"/>
      <c r="L138" s="9" t="inlineStr">
        <is>
          <t>Other Travel Expenses</t>
        </is>
      </c>
      <c r="M138" s="9" t="n"/>
      <c r="N138" s="20" t="n"/>
      <c r="O138" s="20">
        <f>IF(C138="", "", TRIM(RIGHT(C138, LEN(C138) - FIND("@@", SUBSTITUTE(C138, "-", "@@", LEN(C138) - LEN(SUBSTITUTE(C138, "-", "")))))))</f>
        <v/>
      </c>
      <c r="P138" s="20">
        <f t="array" ref="P138">IFERROR(XLOOKUP(O138,'Department Listing'!$O$1:$O$395,'Department Listing'!$A$1:$A$395),IFERROR(XLOOKUP(O138,'Name Aliases'!$A$2:$A$1000,'Name Aliases'!$B$2:$B$1000),""))</f>
        <v/>
      </c>
      <c r="Q138" s="21">
        <f>IF(ISBLANK($C138),"",$B138)</f>
        <v/>
      </c>
      <c r="R138" s="20">
        <f>IF(ISBLANK($C138),"",IF(ISBLANK($I138),$D138,$I138))</f>
        <v/>
      </c>
      <c r="S138" s="22">
        <f>IF(ISBLANK($C138),"",$F138 - $G138)</f>
        <v/>
      </c>
      <c r="T138" s="20">
        <f>IF(ISBLANK($C138),"",C138)</f>
        <v/>
      </c>
      <c r="U138" s="20">
        <f>IF(ISBLANK($C138),"",$D$1)</f>
        <v/>
      </c>
      <c r="V138" s="22">
        <f t="array" ref="V138">IF(ISBLANK($B138),"",IF(ISBLANK($K138),IF(XLOOKUP($W138,'Category Mapping'!$C:$C,'Category Mapping'!$B:$B)="Travel",XLOOKUP($P138,'Department Listing'!$A:$A,'Department Listing'!$M:$M),XLOOKUP($W138,'Category Mapping'!$C:$C,'Category Mapping'!$D:$D)),$K138))</f>
        <v/>
      </c>
      <c r="W138" s="22">
        <f>IF(ISBLANK($B138),"",IF(ISBLANK($L138),RIGHT($E138,LEN($E138) - FIND("^",SUBSTITUTE($E138,":","^",LEN($E138) - LEN(SUBSTITUTE($E138,":",""))))),$L138))</f>
        <v/>
      </c>
      <c r="X138" s="22">
        <f>IF(ISBLANK($J138),$V138&amp;$W138,$J138)</f>
        <v/>
      </c>
      <c r="Y138" s="23">
        <f t="array" ref="Y138">IF(ISBLANK($M138),IFERROR(XLOOKUP($P138,'Department Listing'!$A:$A,'Department Listing'!$L:$L),""),$M138)</f>
        <v/>
      </c>
      <c r="Z138" s="11">
        <f>IF(ISBLANK($B138),"",MATCH($X138,COA!$B:$B,0))</f>
        <v/>
      </c>
    </row>
    <row r="139" ht="15.75" customHeight="1" s="52">
      <c r="B139" s="17" t="n">
        <v>46165</v>
      </c>
      <c r="C139" s="18" t="inlineStr">
        <is>
          <t>500 Boylston MASTERCARD-544015XXXXXX0037-Shawn Roche</t>
        </is>
      </c>
      <c r="E139" s="18" t="inlineStr">
        <is>
          <t>61240 Sales &amp; Marketing:Sales &amp; Marketing- Travel Expenses:Meals &amp; Entertainment</t>
        </is>
      </c>
      <c r="F139" s="19" t="n">
        <v>14.18</v>
      </c>
      <c r="H139" s="10" t="n"/>
      <c r="I139" s="9" t="inlineStr">
        <is>
          <t>Travel Vendor</t>
        </is>
      </c>
      <c r="J139" s="9" t="n"/>
      <c r="K139" s="25" t="n"/>
      <c r="L139" s="9" t="inlineStr">
        <is>
          <t>Other Travel Expenses</t>
        </is>
      </c>
      <c r="M139" s="25" t="n"/>
      <c r="N139" s="20" t="n"/>
      <c r="O139" s="20">
        <f>IF(C139="", "", TRIM(RIGHT(C139, LEN(C139) - FIND("@@", SUBSTITUTE(C139, "-", "@@", LEN(C139) - LEN(SUBSTITUTE(C139, "-", "")))))))</f>
        <v/>
      </c>
      <c r="P139" s="20">
        <f t="array" ref="P139">IFERROR(XLOOKUP(O139,'Department Listing'!$O$1:$O$395,'Department Listing'!$A$1:$A$395),IFERROR(XLOOKUP(O139,'Name Aliases'!$A$2:$A$1000,'Name Aliases'!$B$2:$B$1000),""))</f>
        <v/>
      </c>
      <c r="Q139" s="21">
        <f>IF(ISBLANK($C139),"",$B139)</f>
        <v/>
      </c>
      <c r="R139" s="20">
        <f>IF(ISBLANK($C139),"",IF(ISBLANK($I139),$D139,$I139))</f>
        <v/>
      </c>
      <c r="S139" s="22">
        <f>IF(ISBLANK($C139),"",$F139 - $G139)</f>
        <v/>
      </c>
      <c r="T139" s="20">
        <f>IF(ISBLANK($C139),"",C139)</f>
        <v/>
      </c>
      <c r="U139" s="20">
        <f>IF(ISBLANK($C139),"",$D$1)</f>
        <v/>
      </c>
      <c r="V139" s="22">
        <f t="array" ref="V139">IF(ISBLANK($B139),"",IF(ISBLANK($K139),IF(XLOOKUP($W139,'Category Mapping'!$C:$C,'Category Mapping'!$B:$B)="Travel",XLOOKUP($P139,'Department Listing'!$A:$A,'Department Listing'!$M:$M),XLOOKUP($W139,'Category Mapping'!$C:$C,'Category Mapping'!$D:$D)),$K139))</f>
        <v/>
      </c>
      <c r="W139" s="22">
        <f>IF(ISBLANK($B139),"",IF(ISBLANK($L139),RIGHT($E139,LEN($E139) - FIND("^",SUBSTITUTE($E139,":","^",LEN($E139) - LEN(SUBSTITUTE($E139,":",""))))),$L139))</f>
        <v/>
      </c>
      <c r="X139" s="22">
        <f>IF(ISBLANK($J139),$V139&amp;$W139,$J139)</f>
        <v/>
      </c>
      <c r="Y139" s="23">
        <f t="array" ref="Y139">IF(ISBLANK($M139),IFERROR(XLOOKUP($P139,'Department Listing'!$A:$A,'Department Listing'!$L:$L),""),$M139)</f>
        <v/>
      </c>
      <c r="Z139" s="11">
        <f>IF(ISBLANK($B139),"",MATCH($X139,COA!$B:$B,0))</f>
        <v/>
      </c>
    </row>
    <row r="140" ht="15.75" customHeight="1" s="52">
      <c r="B140" s="17" t="n">
        <v>46165</v>
      </c>
      <c r="C140" s="18" t="inlineStr">
        <is>
          <t>500 Boylston MASTERCARD-544015XXXXXX0144-Vivian Wu</t>
        </is>
      </c>
      <c r="E140" s="18" t="inlineStr">
        <is>
          <t>61220 Sales &amp; Marketing:Sales &amp; Marketing- Travel Expenses:Ground Transportation</t>
        </is>
      </c>
      <c r="F140" s="19" t="n">
        <v>14.18</v>
      </c>
      <c r="H140" s="10" t="n"/>
      <c r="I140" s="9" t="inlineStr">
        <is>
          <t>Travel Vendor</t>
        </is>
      </c>
      <c r="J140" s="9" t="n"/>
      <c r="K140" s="25" t="n"/>
      <c r="L140" s="25" t="inlineStr">
        <is>
          <t>Other Travel Expenses</t>
        </is>
      </c>
      <c r="M140" s="9" t="n"/>
      <c r="N140" s="20" t="n"/>
      <c r="O140" s="20">
        <f>IF(C140="", "", TRIM(RIGHT(C140, LEN(C140) - FIND("@@", SUBSTITUTE(C140, "-", "@@", LEN(C140) - LEN(SUBSTITUTE(C140, "-", "")))))))</f>
        <v/>
      </c>
      <c r="P140" s="20">
        <f t="array" ref="P140">IFERROR(XLOOKUP(O140,'Department Listing'!$O$1:$O$395,'Department Listing'!$A$1:$A$395),IFERROR(XLOOKUP(O140,'Name Aliases'!$A$2:$A$1000,'Name Aliases'!$B$2:$B$1000),""))</f>
        <v/>
      </c>
      <c r="Q140" s="21">
        <f>IF(ISBLANK($C140),"",$B140)</f>
        <v/>
      </c>
      <c r="R140" s="20">
        <f>IF(ISBLANK($C140),"",IF(ISBLANK($I140),$D140,$I140))</f>
        <v/>
      </c>
      <c r="S140" s="22">
        <f>IF(ISBLANK($C140),"",$F140 - $G140)</f>
        <v/>
      </c>
      <c r="T140" s="20">
        <f>IF(ISBLANK($C140),"",C140)</f>
        <v/>
      </c>
      <c r="U140" s="20">
        <f>IF(ISBLANK($C140),"",$D$1)</f>
        <v/>
      </c>
      <c r="V140" s="22">
        <f t="array" ref="V140">IF(ISBLANK($B140),"",IF(ISBLANK($K140),IF(XLOOKUP($W140,'Category Mapping'!$C:$C,'Category Mapping'!$B:$B)="Travel",XLOOKUP($P140,'Department Listing'!$A:$A,'Department Listing'!$M:$M),XLOOKUP($W140,'Category Mapping'!$C:$C,'Category Mapping'!$D:$D)),$K140))</f>
        <v/>
      </c>
      <c r="W140" s="22">
        <f>IF(ISBLANK($B140),"",IF(ISBLANK($L140),RIGHT($E140,LEN($E140) - FIND("^",SUBSTITUTE($E140,":","^",LEN($E140) - LEN(SUBSTITUTE($E140,":",""))))),$L140))</f>
        <v/>
      </c>
      <c r="X140" s="22">
        <f>IF(ISBLANK($J140),$V140&amp;$W140,$J140)</f>
        <v/>
      </c>
      <c r="Y140" s="23">
        <f t="array" ref="Y140">IF(ISBLANK($M140),IFERROR(XLOOKUP($P140,'Department Listing'!$A:$A,'Department Listing'!$L:$L),""),$M140)</f>
        <v/>
      </c>
      <c r="Z140" s="11">
        <f>IF(ISBLANK($B140),"",MATCH($X140,COA!$B:$B,0))</f>
        <v/>
      </c>
    </row>
    <row r="141" ht="15.75" customHeight="1" s="52">
      <c r="B141" s="17" t="n">
        <v>46168</v>
      </c>
      <c r="C141" s="18" t="inlineStr">
        <is>
          <t>500 Boylston MASTERCARD-544015XXXXXX9720-Owen Walsh</t>
        </is>
      </c>
      <c r="E141" s="18" t="inlineStr">
        <is>
          <t>61240 Sales &amp; Marketing:Sales &amp; Marketing- Travel Expenses:Meals &amp; Entertainment</t>
        </is>
      </c>
      <c r="F141" s="19" t="n">
        <v>14.18</v>
      </c>
      <c r="H141" s="10" t="n"/>
      <c r="I141" s="9" t="inlineStr">
        <is>
          <t>Travel Vendor</t>
        </is>
      </c>
      <c r="J141" s="9" t="n"/>
      <c r="K141" s="9" t="n"/>
      <c r="L141" s="9" t="inlineStr">
        <is>
          <t>Other Travel Expenses</t>
        </is>
      </c>
      <c r="M141" s="9" t="n"/>
      <c r="N141" s="20" t="n"/>
      <c r="O141" s="20">
        <f>IF(C141="", "", TRIM(RIGHT(C141, LEN(C141) - FIND("@@", SUBSTITUTE(C141, "-", "@@", LEN(C141) - LEN(SUBSTITUTE(C141, "-", "")))))))</f>
        <v/>
      </c>
      <c r="P141" s="20">
        <f t="array" ref="P141">IFERROR(XLOOKUP(O141,'Department Listing'!$O$1:$O$395,'Department Listing'!$A$1:$A$395),IFERROR(XLOOKUP(O141,'Name Aliases'!$A$2:$A$1000,'Name Aliases'!$B$2:$B$1000),""))</f>
        <v/>
      </c>
      <c r="Q141" s="21">
        <f>IF(ISBLANK($C141),"",$B141)</f>
        <v/>
      </c>
      <c r="R141" s="20">
        <f>IF(ISBLANK($C141),"",IF(ISBLANK($I141),$D141,$I141))</f>
        <v/>
      </c>
      <c r="S141" s="22">
        <f>IF(ISBLANK($C141),"",$F141 - $G141)</f>
        <v/>
      </c>
      <c r="T141" s="20">
        <f>IF(ISBLANK($C141),"",C141)</f>
        <v/>
      </c>
      <c r="U141" s="20">
        <f>IF(ISBLANK($C141),"",$D$1)</f>
        <v/>
      </c>
      <c r="V141" s="22">
        <f t="array" ref="V141">IF(ISBLANK($B141),"",IF(ISBLANK($K141),IF(XLOOKUP($W141,'Category Mapping'!$C:$C,'Category Mapping'!$B:$B)="Travel",XLOOKUP($P141,'Department Listing'!$A:$A,'Department Listing'!$M:$M),XLOOKUP($W141,'Category Mapping'!$C:$C,'Category Mapping'!$D:$D)),$K141))</f>
        <v/>
      </c>
      <c r="W141" s="22">
        <f>IF(ISBLANK($B141),"",IF(ISBLANK($L141),RIGHT($E141,LEN($E141) - FIND("^",SUBSTITUTE($E141,":","^",LEN($E141) - LEN(SUBSTITUTE($E141,":",""))))),$L141))</f>
        <v/>
      </c>
      <c r="X141" s="22">
        <f>IF(ISBLANK($J141),$V141&amp;$W141,$J141)</f>
        <v/>
      </c>
      <c r="Y141" s="23">
        <f t="array" ref="Y141">IF(ISBLANK($M141),IFERROR(XLOOKUP($P141,'Department Listing'!$A:$A,'Department Listing'!$L:$L),""),$M141)</f>
        <v/>
      </c>
      <c r="Z141" s="11">
        <f>IF(ISBLANK($B141),"",MATCH($X141,COA!$B:$B,0))</f>
        <v/>
      </c>
    </row>
    <row r="142" ht="15.75" customHeight="1" s="52">
      <c r="B142" s="17" t="n">
        <v>46169</v>
      </c>
      <c r="C142" s="18" t="inlineStr">
        <is>
          <t>Chipotle Mexican Grill MASTERCARD-544015XXXXXX5560-Hannah Farley</t>
        </is>
      </c>
      <c r="D142" s="18" t="inlineStr">
        <is>
          <t>Chipotle</t>
        </is>
      </c>
      <c r="E142" s="18" t="inlineStr">
        <is>
          <t>61240 Sales &amp; Marketing:Sales &amp; Marketing- Travel Expenses:Meals &amp; Entertainment</t>
        </is>
      </c>
      <c r="F142" s="19" t="n">
        <v>13.48</v>
      </c>
      <c r="H142" s="10" t="n"/>
      <c r="I142" s="9" t="n"/>
      <c r="J142" s="9" t="n"/>
      <c r="K142" s="25" t="n"/>
      <c r="L142" s="9" t="n"/>
      <c r="M142" s="25" t="n"/>
      <c r="N142" s="20" t="n"/>
      <c r="O142" s="20">
        <f>IF(C142="", "", TRIM(RIGHT(C142, LEN(C142) - FIND("@@", SUBSTITUTE(C142, "-", "@@", LEN(C142) - LEN(SUBSTITUTE(C142, "-", "")))))))</f>
        <v/>
      </c>
      <c r="P142" s="20">
        <f t="array" ref="P142">IFERROR(XLOOKUP(O142,'Department Listing'!$O$1:$O$395,'Department Listing'!$A$1:$A$395),IFERROR(XLOOKUP(O142,'Name Aliases'!$A$2:$A$1000,'Name Aliases'!$B$2:$B$1000),""))</f>
        <v/>
      </c>
      <c r="Q142" s="21">
        <f>IF(ISBLANK($C142),"",$B142)</f>
        <v/>
      </c>
      <c r="R142" s="20">
        <f>IF(ISBLANK($C142),"",IF(ISBLANK($I142),$D142,$I142))</f>
        <v/>
      </c>
      <c r="S142" s="22">
        <f>IF(ISBLANK($C142),"",$F142 - $G142)</f>
        <v/>
      </c>
      <c r="T142" s="20">
        <f>IF(ISBLANK($C142),"",C142)</f>
        <v/>
      </c>
      <c r="U142" s="20">
        <f>IF(ISBLANK($C142),"",$D$1)</f>
        <v/>
      </c>
      <c r="V142" s="22">
        <f t="array" ref="V142">IF(ISBLANK($B142),"",IF(ISBLANK($K142),IF(XLOOKUP($W142,'Category Mapping'!$C:$C,'Category Mapping'!$B:$B)="Travel",XLOOKUP($P142,'Department Listing'!$A:$A,'Department Listing'!$M:$M),XLOOKUP($W142,'Category Mapping'!$C:$C,'Category Mapping'!$D:$D)),$K142))</f>
        <v/>
      </c>
      <c r="W142" s="22">
        <f>IF(ISBLANK($B142),"",IF(ISBLANK($L142),RIGHT($E142,LEN($E142) - FIND("^",SUBSTITUTE($E142,":","^",LEN($E142) - LEN(SUBSTITUTE($E142,":",""))))),$L142))</f>
        <v/>
      </c>
      <c r="X142" s="22">
        <f>IF(ISBLANK($J142),$V142&amp;$W142,$J142)</f>
        <v/>
      </c>
      <c r="Y142" s="23">
        <f t="array" ref="Y142">IF(ISBLANK($M142),IFERROR(XLOOKUP($P142,'Department Listing'!$A:$A,'Department Listing'!$L:$L),""),$M142)</f>
        <v/>
      </c>
      <c r="Z142" s="11">
        <f>IF(ISBLANK($B142),"",MATCH($X142,COA!$B:$B,0))</f>
        <v/>
      </c>
    </row>
    <row r="143" ht="15.75" customHeight="1" s="52">
      <c r="B143" s="17" t="n">
        <v>46165</v>
      </c>
      <c r="C143" s="18" t="inlineStr">
        <is>
          <t>Chick-fil-A MASTERCARD-544015XXXXXX6881-Michael Button</t>
        </is>
      </c>
      <c r="D143" s="18" t="inlineStr">
        <is>
          <t>Chick-Fil-A</t>
        </is>
      </c>
      <c r="E143" s="18" t="inlineStr">
        <is>
          <t>61240 Sales &amp; Marketing:Sales &amp; Marketing- Travel Expenses:Meals &amp; Entertainment</t>
        </is>
      </c>
      <c r="F143" s="19" t="n">
        <v>13.04</v>
      </c>
      <c r="H143" s="10" t="n"/>
      <c r="I143" s="9" t="n"/>
      <c r="J143" s="9" t="n"/>
      <c r="K143" s="9" t="n"/>
      <c r="L143" s="9" t="n"/>
      <c r="M143" s="9" t="n"/>
      <c r="N143" s="20" t="n"/>
      <c r="O143" s="20">
        <f>IF(C143="", "", TRIM(RIGHT(C143, LEN(C143) - FIND("@@", SUBSTITUTE(C143, "-", "@@", LEN(C143) - LEN(SUBSTITUTE(C143, "-", "")))))))</f>
        <v/>
      </c>
      <c r="P143" s="20">
        <f t="array" ref="P143">IFERROR(XLOOKUP(O143,'Department Listing'!$O$1:$O$395,'Department Listing'!$A$1:$A$395),IFERROR(XLOOKUP(O143,'Name Aliases'!$A$2:$A$1000,'Name Aliases'!$B$2:$B$1000),""))</f>
        <v/>
      </c>
      <c r="Q143" s="21">
        <f>IF(ISBLANK($C143),"",$B143)</f>
        <v/>
      </c>
      <c r="R143" s="20">
        <f>IF(ISBLANK($C143),"",IF(ISBLANK($I143),$D143,$I143))</f>
        <v/>
      </c>
      <c r="S143" s="22">
        <f>IF(ISBLANK($C143),"",$F143 - $G143)</f>
        <v/>
      </c>
      <c r="T143" s="20">
        <f>IF(ISBLANK($C143),"",C143)</f>
        <v/>
      </c>
      <c r="U143" s="20">
        <f>IF(ISBLANK($C143),"",$D$1)</f>
        <v/>
      </c>
      <c r="V143" s="22">
        <f t="array" ref="V143">IF(ISBLANK($B143),"",IF(ISBLANK($K143),IF(XLOOKUP($W143,'Category Mapping'!$C:$C,'Category Mapping'!$B:$B)="Travel",XLOOKUP($P143,'Department Listing'!$A:$A,'Department Listing'!$M:$M),XLOOKUP($W143,'Category Mapping'!$C:$C,'Category Mapping'!$D:$D)),$K143))</f>
        <v/>
      </c>
      <c r="W143" s="22">
        <f>IF(ISBLANK($B143),"",IF(ISBLANK($L143),RIGHT($E143,LEN($E143) - FIND("^",SUBSTITUTE($E143,":","^",LEN($E143) - LEN(SUBSTITUTE($E143,":",""))))),$L143))</f>
        <v/>
      </c>
      <c r="X143" s="22">
        <f>IF(ISBLANK($J143),$V143&amp;$W143,$J143)</f>
        <v/>
      </c>
      <c r="Y143" s="23">
        <f t="array" ref="Y143">IF(ISBLANK($M143),IFERROR(XLOOKUP($P143,'Department Listing'!$A:$A,'Department Listing'!$L:$L),""),$M143)</f>
        <v/>
      </c>
      <c r="Z143" s="11">
        <f>IF(ISBLANK($B143),"",MATCH($X143,COA!$B:$B,0))</f>
        <v/>
      </c>
    </row>
    <row r="144" ht="15.75" customHeight="1" s="52">
      <c r="B144" s="17" t="n">
        <v>46164</v>
      </c>
      <c r="C144" s="18" t="inlineStr">
        <is>
          <t>Uber HQ MASTERCARD-555671XXXXXX1123-Tomas Cespedes</t>
        </is>
      </c>
      <c r="D144" s="18" t="inlineStr">
        <is>
          <t>Uber</t>
        </is>
      </c>
      <c r="E144" s="18" t="inlineStr">
        <is>
          <t>61220 Sales &amp; Marketing:Sales &amp; Marketing- Travel Expenses:Ground Transportation</t>
        </is>
      </c>
      <c r="F144" s="19" t="n">
        <v>12.97</v>
      </c>
      <c r="H144" s="10" t="n"/>
      <c r="I144" s="9" t="n"/>
      <c r="J144" s="9" t="n"/>
      <c r="K144" s="9" t="n"/>
      <c r="L144" s="9" t="n"/>
      <c r="M144" s="9" t="n"/>
      <c r="N144" s="20" t="n"/>
      <c r="O144" s="20">
        <f>IF(C144="", "", TRIM(RIGHT(C144, LEN(C144) - FIND("@@", SUBSTITUTE(C144, "-", "@@", LEN(C144) - LEN(SUBSTITUTE(C144, "-", "")))))))</f>
        <v/>
      </c>
      <c r="P144" s="20">
        <f t="array" ref="P144">IFERROR(XLOOKUP(O144,'Department Listing'!$O$1:$O$395,'Department Listing'!$A$1:$A$395),IFERROR(XLOOKUP(O144,'Name Aliases'!$A$2:$A$1000,'Name Aliases'!$B$2:$B$1000),""))</f>
        <v/>
      </c>
      <c r="Q144" s="21">
        <f>IF(ISBLANK($C144),"",$B144)</f>
        <v/>
      </c>
      <c r="R144" s="20">
        <f>IF(ISBLANK($C144),"",IF(ISBLANK($I144),$D144,$I144))</f>
        <v/>
      </c>
      <c r="S144" s="22">
        <f>IF(ISBLANK($C144),"",$F144 - $G144)</f>
        <v/>
      </c>
      <c r="T144" s="20">
        <f>IF(ISBLANK($C144),"",C144)</f>
        <v/>
      </c>
      <c r="U144" s="20">
        <f>IF(ISBLANK($C144),"",$D$1)</f>
        <v/>
      </c>
      <c r="V144" s="22">
        <f t="array" ref="V144">IF(ISBLANK($B144),"",IF(ISBLANK($K144),IF(XLOOKUP($W144,'Category Mapping'!$C:$C,'Category Mapping'!$B:$B)="Travel",XLOOKUP($P144,'Department Listing'!$A:$A,'Department Listing'!$M:$M),XLOOKUP($W144,'Category Mapping'!$C:$C,'Category Mapping'!$D:$D)),$K144))</f>
        <v/>
      </c>
      <c r="W144" s="22">
        <f>IF(ISBLANK($B144),"",IF(ISBLANK($L144),RIGHT($E144,LEN($E144) - FIND("^",SUBSTITUTE($E144,":","^",LEN($E144) - LEN(SUBSTITUTE($E144,":",""))))),$L144))</f>
        <v/>
      </c>
      <c r="X144" s="22">
        <f>IF(ISBLANK($J144),$V144&amp;$W144,$J144)</f>
        <v/>
      </c>
      <c r="Y144" s="23">
        <f t="array" ref="Y144">IF(ISBLANK($M144),IFERROR(XLOOKUP($P144,'Department Listing'!$A:$A,'Department Listing'!$L:$L),""),$M144)</f>
        <v/>
      </c>
      <c r="Z144" s="11">
        <f>IF(ISBLANK($B144),"",MATCH($X144,COA!$B:$B,0))</f>
        <v/>
      </c>
    </row>
    <row r="145" ht="15.75" customHeight="1" s="52">
      <c r="B145" s="17" t="n">
        <v>46169</v>
      </c>
      <c r="C145" s="18" t="inlineStr">
        <is>
          <t>Life Alive Organic Cafe MASTERCARD-544015XXXXXX6713-Michael Scalia</t>
        </is>
      </c>
      <c r="D145" s="18" t="inlineStr">
        <is>
          <t>Life Alive</t>
        </is>
      </c>
      <c r="E145" s="18" t="inlineStr">
        <is>
          <t>61240 Sales &amp; Marketing:Sales &amp; Marketing- Travel Expenses:Meals &amp; Entertainment</t>
        </is>
      </c>
      <c r="F145" s="19" t="n">
        <v>12.57</v>
      </c>
      <c r="H145" s="10" t="n"/>
      <c r="I145" s="9" t="n"/>
      <c r="J145" s="9" t="n"/>
      <c r="K145" s="9" t="n"/>
      <c r="L145" s="9" t="n"/>
      <c r="M145" s="9" t="n"/>
      <c r="N145" s="20" t="n"/>
      <c r="O145" s="20">
        <f>IF(C145="", "", TRIM(RIGHT(C145, LEN(C145) - FIND("@@", SUBSTITUTE(C145, "-", "@@", LEN(C145) - LEN(SUBSTITUTE(C145, "-", "")))))))</f>
        <v/>
      </c>
      <c r="P145" s="20">
        <f t="array" ref="P145">IFERROR(XLOOKUP(O145,'Department Listing'!$O$1:$O$395,'Department Listing'!$A$1:$A$395),IFERROR(XLOOKUP(O145,'Name Aliases'!$A$2:$A$1000,'Name Aliases'!$B$2:$B$1000),""))</f>
        <v/>
      </c>
      <c r="Q145" s="21">
        <f>IF(ISBLANK($C145),"",$B145)</f>
        <v/>
      </c>
      <c r="R145" s="20">
        <f>IF(ISBLANK($C145),"",IF(ISBLANK($I145),$D145,$I145))</f>
        <v/>
      </c>
      <c r="S145" s="22">
        <f>IF(ISBLANK($C145),"",$F145 - $G145)</f>
        <v/>
      </c>
      <c r="T145" s="20">
        <f>IF(ISBLANK($C145),"",C145)</f>
        <v/>
      </c>
      <c r="U145" s="20">
        <f>IF(ISBLANK($C145),"",$D$1)</f>
        <v/>
      </c>
      <c r="V145" s="22">
        <f t="array" ref="V145">IF(ISBLANK($B145),"",IF(ISBLANK($K145),IF(XLOOKUP($W145,'Category Mapping'!$C:$C,'Category Mapping'!$B:$B)="Travel",XLOOKUP($P145,'Department Listing'!$A:$A,'Department Listing'!$M:$M),XLOOKUP($W145,'Category Mapping'!$C:$C,'Category Mapping'!$D:$D)),$K145))</f>
        <v/>
      </c>
      <c r="W145" s="22">
        <f>IF(ISBLANK($B145),"",IF(ISBLANK($L145),RIGHT($E145,LEN($E145) - FIND("^",SUBSTITUTE($E145,":","^",LEN($E145) - LEN(SUBSTITUTE($E145,":",""))))),$L145))</f>
        <v/>
      </c>
      <c r="X145" s="22">
        <f>IF(ISBLANK($J145),$V145&amp;$W145,$J145)</f>
        <v/>
      </c>
      <c r="Y145" s="23">
        <f t="array" ref="Y145">IF(ISBLANK($M145),IFERROR(XLOOKUP($P145,'Department Listing'!$A:$A,'Department Listing'!$L:$L),""),$M145)</f>
        <v/>
      </c>
      <c r="Z145" s="11">
        <f>IF(ISBLANK($B145),"",MATCH($X145,COA!$B:$B,0))</f>
        <v/>
      </c>
    </row>
    <row r="146" ht="15.75" customHeight="1" s="52">
      <c r="B146" s="17" t="n">
        <v>46169</v>
      </c>
      <c r="C146" s="18" t="inlineStr">
        <is>
          <t>DoorDash MASTERCARD-544015XXXXXX4950-Jacy Hennawy</t>
        </is>
      </c>
      <c r="D146" s="18" t="inlineStr">
        <is>
          <t>Door Dash</t>
        </is>
      </c>
      <c r="E146" s="18" t="inlineStr">
        <is>
          <t>61240 Sales &amp; Marketing:Sales &amp; Marketing- Travel Expenses:Meals &amp; Entertainment</t>
        </is>
      </c>
      <c r="F146" s="19" t="n">
        <v>11.88</v>
      </c>
      <c r="H146" s="10" t="n"/>
      <c r="I146" s="9" t="n"/>
      <c r="J146" s="9" t="n"/>
      <c r="K146" s="9" t="n"/>
      <c r="L146" s="9" t="n"/>
      <c r="M146" s="9" t="n"/>
      <c r="N146" s="20" t="n"/>
      <c r="O146" s="20">
        <f>IF(C146="", "", TRIM(RIGHT(C146, LEN(C146) - FIND("@@", SUBSTITUTE(C146, "-", "@@", LEN(C146) - LEN(SUBSTITUTE(C146, "-", "")))))))</f>
        <v/>
      </c>
      <c r="P146" s="20">
        <f t="array" ref="P146">IFERROR(XLOOKUP(O146,'Department Listing'!$O$1:$O$395,'Department Listing'!$A$1:$A$395),IFERROR(XLOOKUP(O146,'Name Aliases'!$A$2:$A$1000,'Name Aliases'!$B$2:$B$1000),""))</f>
        <v/>
      </c>
      <c r="Q146" s="21">
        <f>IF(ISBLANK($C146),"",$B146)</f>
        <v/>
      </c>
      <c r="R146" s="20">
        <f>IF(ISBLANK($C146),"",IF(ISBLANK($I146),$D146,$I146))</f>
        <v/>
      </c>
      <c r="S146" s="22">
        <f>IF(ISBLANK($C146),"",$F146 - $G146)</f>
        <v/>
      </c>
      <c r="T146" s="20">
        <f>IF(ISBLANK($C146),"",C146)</f>
        <v/>
      </c>
      <c r="U146" s="20">
        <f>IF(ISBLANK($C146),"",$D$1)</f>
        <v/>
      </c>
      <c r="V146" s="22">
        <f t="array" ref="V146">IF(ISBLANK($B146),"",IF(ISBLANK($K146),IF(XLOOKUP($W146,'Category Mapping'!$C:$C,'Category Mapping'!$B:$B)="Travel",XLOOKUP($P146,'Department Listing'!$A:$A,'Department Listing'!$M:$M),XLOOKUP($W146,'Category Mapping'!$C:$C,'Category Mapping'!$D:$D)),$K146))</f>
        <v/>
      </c>
      <c r="W146" s="22">
        <f>IF(ISBLANK($B146),"",IF(ISBLANK($L146),RIGHT($E146,LEN($E146) - FIND("^",SUBSTITUTE($E146,":","^",LEN($E146) - LEN(SUBSTITUTE($E146,":",""))))),$L146))</f>
        <v/>
      </c>
      <c r="X146" s="22">
        <f>IF(ISBLANK($J146),$V146&amp;$W146,$J146)</f>
        <v/>
      </c>
      <c r="Y146" s="23">
        <f t="array" ref="Y146">IF(ISBLANK($M146),IFERROR(XLOOKUP($P146,'Department Listing'!$A:$A,'Department Listing'!$L:$L),""),$M146)</f>
        <v/>
      </c>
      <c r="Z146" s="11">
        <f>IF(ISBLANK($B146),"",MATCH($X146,COA!$B:$B,0))</f>
        <v/>
      </c>
    </row>
    <row r="147" ht="15.75" customHeight="1" s="52">
      <c r="B147" s="17" t="n">
        <v>46165</v>
      </c>
      <c r="C147" s="18" t="inlineStr">
        <is>
          <t>Southwest Airlines MASTERCARD-544015XXXXXX5072-Maile Call</t>
        </is>
      </c>
      <c r="D147" s="18" t="inlineStr">
        <is>
          <t>Southwest Air</t>
        </is>
      </c>
      <c r="E147" s="18" t="inlineStr">
        <is>
          <t>61210 Sales &amp; Marketing:Sales &amp; Marketing- Travel Expenses:Airfare</t>
        </is>
      </c>
      <c r="F147" s="19" t="n">
        <v>11.2</v>
      </c>
      <c r="H147" s="10" t="n"/>
      <c r="I147" s="9" t="n"/>
      <c r="J147" s="9" t="n"/>
      <c r="K147" s="9" t="n"/>
      <c r="L147" s="9" t="n"/>
      <c r="M147" s="9" t="n"/>
      <c r="N147" s="20" t="n"/>
      <c r="O147" s="20">
        <f>IF(C147="", "", TRIM(RIGHT(C147, LEN(C147) - FIND("@@", SUBSTITUTE(C147, "-", "@@", LEN(C147) - LEN(SUBSTITUTE(C147, "-", "")))))))</f>
        <v/>
      </c>
      <c r="P147" s="20">
        <f t="array" ref="P147">IFERROR(XLOOKUP(O147,'Department Listing'!$O$1:$O$395,'Department Listing'!$A$1:$A$395),IFERROR(XLOOKUP(O147,'Name Aliases'!$A$2:$A$1000,'Name Aliases'!$B$2:$B$1000),""))</f>
        <v/>
      </c>
      <c r="Q147" s="21">
        <f>IF(ISBLANK($C147),"",$B147)</f>
        <v/>
      </c>
      <c r="R147" s="20">
        <f>IF(ISBLANK($C147),"",IF(ISBLANK($I147),$D147,$I147))</f>
        <v/>
      </c>
      <c r="S147" s="22">
        <f>IF(ISBLANK($C147),"",$F147 - $G147)</f>
        <v/>
      </c>
      <c r="T147" s="20">
        <f>IF(ISBLANK($C147),"",C147)</f>
        <v/>
      </c>
      <c r="U147" s="20">
        <f>IF(ISBLANK($C147),"",$D$1)</f>
        <v/>
      </c>
      <c r="V147" s="22">
        <f t="array" ref="V147">IF(ISBLANK($B147),"",IF(ISBLANK($K147),IF(XLOOKUP($W147,'Category Mapping'!$C:$C,'Category Mapping'!$B:$B)="Travel",XLOOKUP($P147,'Department Listing'!$A:$A,'Department Listing'!$M:$M),XLOOKUP($W147,'Category Mapping'!$C:$C,'Category Mapping'!$D:$D)),$K147))</f>
        <v/>
      </c>
      <c r="W147" s="22">
        <f>IF(ISBLANK($B147),"",IF(ISBLANK($L147),RIGHT($E147,LEN($E147) - FIND("^",SUBSTITUTE($E147,":","^",LEN($E147) - LEN(SUBSTITUTE($E147,":",""))))),$L147))</f>
        <v/>
      </c>
      <c r="X147" s="22">
        <f>IF(ISBLANK($J147),$V147&amp;$W147,$J147)</f>
        <v/>
      </c>
      <c r="Y147" s="23">
        <f t="array" ref="Y147">IF(ISBLANK($M147),IFERROR(XLOOKUP($P147,'Department Listing'!$A:$A,'Department Listing'!$L:$L),""),$M147)</f>
        <v/>
      </c>
      <c r="Z147" s="11">
        <f>IF(ISBLANK($B147),"",MATCH($X147,COA!$B:$B,0))</f>
        <v/>
      </c>
    </row>
    <row r="148" ht="15.75" customHeight="1" s="52">
      <c r="B148" s="17" t="n">
        <v>46169</v>
      </c>
      <c r="C148" s="18" t="inlineStr">
        <is>
          <t>Amazon Marketplace US MASTERCARD-555671XXXXXX5138-Elias Kapetanopoulos</t>
        </is>
      </c>
      <c r="D148" s="18" t="inlineStr">
        <is>
          <t>Amazon</t>
        </is>
      </c>
      <c r="E148" s="18" t="inlineStr">
        <is>
          <t>63410 General &amp; Administrative:Office Expenses:Office Supplies</t>
        </is>
      </c>
      <c r="F148" s="19" t="n">
        <v>10.61</v>
      </c>
      <c r="H148" s="10" t="n"/>
      <c r="I148" s="9" t="n"/>
      <c r="J148" s="9" t="n"/>
      <c r="K148" s="9" t="n"/>
      <c r="L148" s="9" t="n"/>
      <c r="M148" s="25" t="n"/>
      <c r="N148" s="20" t="n"/>
      <c r="O148" s="20">
        <f>IF(C148="", "", TRIM(RIGHT(C148, LEN(C148) - FIND("@@", SUBSTITUTE(C148, "-", "@@", LEN(C148) - LEN(SUBSTITUTE(C148, "-", "")))))))</f>
        <v/>
      </c>
      <c r="P148" s="20">
        <f t="array" ref="P148">IFERROR(XLOOKUP(O148,'Department Listing'!$O$1:$O$395,'Department Listing'!$A$1:$A$395),IFERROR(XLOOKUP(O148,'Name Aliases'!$A$2:$A$1000,'Name Aliases'!$B$2:$B$1000),""))</f>
        <v/>
      </c>
      <c r="Q148" s="21">
        <f>IF(ISBLANK($C148),"",$B148)</f>
        <v/>
      </c>
      <c r="R148" s="20">
        <f>IF(ISBLANK($C148),"",IF(ISBLANK($I148),$D148,$I148))</f>
        <v/>
      </c>
      <c r="S148" s="22">
        <f>IF(ISBLANK($C148),"",$F148 - $G148)</f>
        <v/>
      </c>
      <c r="T148" s="20">
        <f>IF(ISBLANK($C148),"",C148)</f>
        <v/>
      </c>
      <c r="U148" s="20">
        <f>IF(ISBLANK($C148),"",$D$1)</f>
        <v/>
      </c>
      <c r="V148" s="22">
        <f t="array" ref="V148">IF(ISBLANK($B148),"",IF(ISBLANK($K148),IF(XLOOKUP($W148,'Category Mapping'!$C:$C,'Category Mapping'!$B:$B)="Travel",XLOOKUP($P148,'Department Listing'!$A:$A,'Department Listing'!$M:$M),XLOOKUP($W148,'Category Mapping'!$C:$C,'Category Mapping'!$D:$D)),$K148))</f>
        <v/>
      </c>
      <c r="W148" s="22">
        <f>IF(ISBLANK($B148),"",IF(ISBLANK($L148),RIGHT($E148,LEN($E148) - FIND("^",SUBSTITUTE($E148,":","^",LEN($E148) - LEN(SUBSTITUTE($E148,":",""))))),$L148))</f>
        <v/>
      </c>
      <c r="X148" s="22">
        <f>IF(ISBLANK($J148),$V148&amp;$W148,$J148)</f>
        <v/>
      </c>
      <c r="Y148" s="23">
        <f t="array" ref="Y148">IF(ISBLANK($M148),IFERROR(XLOOKUP($P148,'Department Listing'!$A:$A,'Department Listing'!$L:$L),""),$M148)</f>
        <v/>
      </c>
      <c r="Z148" s="11">
        <f>IF(ISBLANK($B148),"",MATCH($X148,COA!$B:$B,0))</f>
        <v/>
      </c>
    </row>
    <row r="149" ht="15.75" customHeight="1" s="52">
      <c r="B149" s="17" t="n">
        <v>46169</v>
      </c>
      <c r="C149" s="18" t="inlineStr">
        <is>
          <t>Cielo Concessions MASTERCARD-544015XXXXXX8678-John Taylor</t>
        </is>
      </c>
      <c r="E149" s="18" t="inlineStr">
        <is>
          <t>61240 Sales &amp; Marketing:Sales &amp; Marketing- Travel Expenses:Meals &amp; Entertainment</t>
        </is>
      </c>
      <c r="F149" s="19" t="n">
        <v>10.34</v>
      </c>
      <c r="H149" s="10" t="n"/>
      <c r="I149" s="9" t="inlineStr">
        <is>
          <t>Food Vendor</t>
        </is>
      </c>
      <c r="J149" s="9" t="n"/>
      <c r="K149" s="9" t="n"/>
      <c r="L149" s="9" t="n"/>
      <c r="M149" s="9" t="n"/>
      <c r="N149" s="20" t="n"/>
      <c r="O149" s="20">
        <f>IF(C149="", "", TRIM(RIGHT(C149, LEN(C149) - FIND("@@", SUBSTITUTE(C149, "-", "@@", LEN(C149) - LEN(SUBSTITUTE(C149, "-", "")))))))</f>
        <v/>
      </c>
      <c r="P149" s="20">
        <f t="array" ref="P149">IFERROR(XLOOKUP(O149,'Department Listing'!$O$1:$O$395,'Department Listing'!$A$1:$A$395),IFERROR(XLOOKUP(O149,'Name Aliases'!$A$2:$A$1000,'Name Aliases'!$B$2:$B$1000),""))</f>
        <v/>
      </c>
      <c r="Q149" s="21">
        <f>IF(ISBLANK($C149),"",$B149)</f>
        <v/>
      </c>
      <c r="R149" s="20">
        <f>IF(ISBLANK($C149),"",IF(ISBLANK($I149),$D149,$I149))</f>
        <v/>
      </c>
      <c r="S149" s="22">
        <f>IF(ISBLANK($C149),"",$F149 - $G149)</f>
        <v/>
      </c>
      <c r="T149" s="20">
        <f>IF(ISBLANK($C149),"",C149)</f>
        <v/>
      </c>
      <c r="U149" s="20">
        <f>IF(ISBLANK($C149),"",$D$1)</f>
        <v/>
      </c>
      <c r="V149" s="22">
        <f t="array" ref="V149">IF(ISBLANK($B149),"",IF(ISBLANK($K149),IF(XLOOKUP($W149,'Category Mapping'!$C:$C,'Category Mapping'!$B:$B)="Travel",XLOOKUP($P149,'Department Listing'!$A:$A,'Department Listing'!$M:$M),XLOOKUP($W149,'Category Mapping'!$C:$C,'Category Mapping'!$D:$D)),$K149))</f>
        <v/>
      </c>
      <c r="W149" s="22">
        <f>IF(ISBLANK($B149),"",IF(ISBLANK($L149),RIGHT($E149,LEN($E149) - FIND("^",SUBSTITUTE($E149,":","^",LEN($E149) - LEN(SUBSTITUTE($E149,":",""))))),$L149))</f>
        <v/>
      </c>
      <c r="X149" s="22">
        <f>IF(ISBLANK($J149),$V149&amp;$W149,$J149)</f>
        <v/>
      </c>
      <c r="Y149" s="23">
        <f t="array" ref="Y149">IF(ISBLANK($M149),IFERROR(XLOOKUP($P149,'Department Listing'!$A:$A,'Department Listing'!$L:$L),""),$M149)</f>
        <v/>
      </c>
      <c r="Z149" s="11">
        <f>IF(ISBLANK($B149),"",MATCH($X149,COA!$B:$B,0))</f>
        <v/>
      </c>
    </row>
    <row r="150" ht="15.75" customHeight="1" s="52">
      <c r="B150" s="17" t="n">
        <v>46169</v>
      </c>
      <c r="C150" s="18" t="inlineStr">
        <is>
          <t>SQ *VAQUERO CAFE MASTERCARD-544015XXXXXX9350-Gary Passaglia</t>
        </is>
      </c>
      <c r="E150" s="18" t="inlineStr">
        <is>
          <t>61240 Sales &amp; Marketing:Sales &amp; Marketing- Travel Expenses:Meals &amp; Entertainment</t>
        </is>
      </c>
      <c r="F150" s="19" t="n">
        <v>10.05</v>
      </c>
      <c r="H150" s="10" t="n"/>
      <c r="I150" s="9" t="inlineStr">
        <is>
          <t>Food Vendor</t>
        </is>
      </c>
      <c r="J150" s="9" t="n"/>
      <c r="K150" s="9" t="n"/>
      <c r="L150" s="9" t="n"/>
      <c r="M150" s="9" t="n"/>
      <c r="N150" s="20" t="n"/>
      <c r="O150" s="20">
        <f>IF(C150="", "", TRIM(RIGHT(C150, LEN(C150) - FIND("@@", SUBSTITUTE(C150, "-", "@@", LEN(C150) - LEN(SUBSTITUTE(C150, "-", "")))))))</f>
        <v/>
      </c>
      <c r="P150" s="20">
        <f t="array" ref="P150">IFERROR(XLOOKUP(O150,'Department Listing'!$O$1:$O$395,'Department Listing'!$A$1:$A$395),IFERROR(XLOOKUP(O150,'Name Aliases'!$A$2:$A$1000,'Name Aliases'!$B$2:$B$1000),""))</f>
        <v/>
      </c>
      <c r="Q150" s="21">
        <f>IF(ISBLANK($C150),"",$B150)</f>
        <v/>
      </c>
      <c r="R150" s="20">
        <f>IF(ISBLANK($C150),"",IF(ISBLANK($I150),$D150,$I150))</f>
        <v/>
      </c>
      <c r="S150" s="22">
        <f>IF(ISBLANK($C150),"",$F150 - $G150)</f>
        <v/>
      </c>
      <c r="T150" s="20">
        <f>IF(ISBLANK($C150),"",C150)</f>
        <v/>
      </c>
      <c r="U150" s="20">
        <f>IF(ISBLANK($C150),"",$D$1)</f>
        <v/>
      </c>
      <c r="V150" s="22">
        <f t="array" ref="V150">IF(ISBLANK($B150),"",IF(ISBLANK($K150),IF(XLOOKUP($W150,'Category Mapping'!$C:$C,'Category Mapping'!$B:$B)="Travel",XLOOKUP($P150,'Department Listing'!$A:$A,'Department Listing'!$M:$M),XLOOKUP($W150,'Category Mapping'!$C:$C,'Category Mapping'!$D:$D)),$K150))</f>
        <v/>
      </c>
      <c r="W150" s="22">
        <f>IF(ISBLANK($B150),"",IF(ISBLANK($L150),RIGHT($E150,LEN($E150) - FIND("^",SUBSTITUTE($E150,":","^",LEN($E150) - LEN(SUBSTITUTE($E150,":",""))))),$L150))</f>
        <v/>
      </c>
      <c r="X150" s="22">
        <f>IF(ISBLANK($J150),$V150&amp;$W150,$J150)</f>
        <v/>
      </c>
      <c r="Y150" s="23">
        <f t="array" ref="Y150">IF(ISBLANK($M150),IFERROR(XLOOKUP($P150,'Department Listing'!$A:$A,'Department Listing'!$L:$L),""),$M150)</f>
        <v/>
      </c>
      <c r="Z150" s="11">
        <f>IF(ISBLANK($B150),"",MATCH($X150,COA!$B:$B,0))</f>
        <v/>
      </c>
    </row>
    <row r="151" ht="15.75" customHeight="1" s="52">
      <c r="B151" s="17" t="n">
        <v>46169</v>
      </c>
      <c r="C151" s="18" t="inlineStr">
        <is>
          <t>Starbucks MASTERCARD-555671XXXXXX5379-Ashley Karpel</t>
        </is>
      </c>
      <c r="D151" s="18" t="inlineStr">
        <is>
          <t>Starbucks</t>
        </is>
      </c>
      <c r="E151" s="18" t="inlineStr">
        <is>
          <t>61240 Sales &amp; Marketing:Sales &amp; Marketing- Travel Expenses:Meals &amp; Entertainment</t>
        </is>
      </c>
      <c r="F151" s="19" t="n">
        <v>10</v>
      </c>
      <c r="H151" s="10" t="n"/>
      <c r="I151" s="9" t="n"/>
      <c r="J151" s="9" t="n"/>
      <c r="K151" s="9" t="n"/>
      <c r="L151" s="9" t="n"/>
      <c r="M151" s="9" t="n"/>
      <c r="N151" s="20" t="n"/>
      <c r="O151" s="20">
        <f>IF(C151="", "", TRIM(RIGHT(C151, LEN(C151) - FIND("@@", SUBSTITUTE(C151, "-", "@@", LEN(C151) - LEN(SUBSTITUTE(C151, "-", "")))))))</f>
        <v/>
      </c>
      <c r="P151" s="20">
        <f t="array" ref="P151">IFERROR(XLOOKUP(O151,'Department Listing'!$O$1:$O$395,'Department Listing'!$A$1:$A$395),IFERROR(XLOOKUP(O151,'Name Aliases'!$A$2:$A$1000,'Name Aliases'!$B$2:$B$1000),""))</f>
        <v/>
      </c>
      <c r="Q151" s="21">
        <f>IF(ISBLANK($C151),"",$B151)</f>
        <v/>
      </c>
      <c r="R151" s="20">
        <f>IF(ISBLANK($C151),"",IF(ISBLANK($I151),$D151,$I151))</f>
        <v/>
      </c>
      <c r="S151" s="22">
        <f>IF(ISBLANK($C151),"",$F151 - $G151)</f>
        <v/>
      </c>
      <c r="T151" s="20">
        <f>IF(ISBLANK($C151),"",C151)</f>
        <v/>
      </c>
      <c r="U151" s="20">
        <f>IF(ISBLANK($C151),"",$D$1)</f>
        <v/>
      </c>
      <c r="V151" s="22">
        <f t="array" ref="V151">IF(ISBLANK($B151),"",IF(ISBLANK($K151),IF(XLOOKUP($W151,'Category Mapping'!$C:$C,'Category Mapping'!$B:$B)="Travel",XLOOKUP($P151,'Department Listing'!$A:$A,'Department Listing'!$M:$M),XLOOKUP($W151,'Category Mapping'!$C:$C,'Category Mapping'!$D:$D)),$K151))</f>
        <v/>
      </c>
      <c r="W151" s="22">
        <f>IF(ISBLANK($B151),"",IF(ISBLANK($L151),RIGHT($E151,LEN($E151) - FIND("^",SUBSTITUTE($E151,":","^",LEN($E151) - LEN(SUBSTITUTE($E151,":",""))))),$L151))</f>
        <v/>
      </c>
      <c r="X151" s="22">
        <f>IF(ISBLANK($J151),$V151&amp;$W151,$J151)</f>
        <v/>
      </c>
      <c r="Y151" s="23">
        <f t="array" ref="Y151">IF(ISBLANK($M151),IFERROR(XLOOKUP($P151,'Department Listing'!$A:$A,'Department Listing'!$L:$L),""),$M151)</f>
        <v/>
      </c>
      <c r="Z151" s="11">
        <f>IF(ISBLANK($B151),"",MATCH($X151,COA!$B:$B,0))</f>
        <v/>
      </c>
    </row>
    <row r="152" ht="15.75" customHeight="1" s="52">
      <c r="B152" s="17" t="n">
        <v>46168</v>
      </c>
      <c r="C152" s="18" t="inlineStr">
        <is>
          <t>Wegmans MASTERCARD-544015XXXXXX7759-Mickenzi Krpec</t>
        </is>
      </c>
      <c r="E152" s="18" t="inlineStr">
        <is>
          <t>61240 Sales &amp; Marketing:Sales &amp; Marketing- Travel Expenses:Meals &amp; Entertainment</t>
        </is>
      </c>
      <c r="F152" s="19" t="n">
        <v>9.99</v>
      </c>
      <c r="H152" s="10" t="n"/>
      <c r="I152" s="9" t="inlineStr">
        <is>
          <t>Food Vendor</t>
        </is>
      </c>
      <c r="J152" s="9" t="n"/>
      <c r="K152" s="9" t="n"/>
      <c r="L152" s="9" t="n"/>
      <c r="M152" s="9" t="n"/>
      <c r="N152" s="20" t="n"/>
      <c r="O152" s="20">
        <f>IF(C152="", "", TRIM(RIGHT(C152, LEN(C152) - FIND("@@", SUBSTITUTE(C152, "-", "@@", LEN(C152) - LEN(SUBSTITUTE(C152, "-", "")))))))</f>
        <v/>
      </c>
      <c r="P152" s="20">
        <f t="array" ref="P152">IFERROR(XLOOKUP(O152,'Department Listing'!$O$1:$O$395,'Department Listing'!$A$1:$A$395),IFERROR(XLOOKUP(O152,'Name Aliases'!$A$2:$A$1000,'Name Aliases'!$B$2:$B$1000),""))</f>
        <v/>
      </c>
      <c r="Q152" s="21">
        <f>IF(ISBLANK($C152),"",$B152)</f>
        <v/>
      </c>
      <c r="R152" s="20">
        <f>IF(ISBLANK($C152),"",IF(ISBLANK($I152),$D152,$I152))</f>
        <v/>
      </c>
      <c r="S152" s="22">
        <f>IF(ISBLANK($C152),"",$F152 - $G152)</f>
        <v/>
      </c>
      <c r="T152" s="20">
        <f>IF(ISBLANK($C152),"",C152)</f>
        <v/>
      </c>
      <c r="U152" s="20">
        <f>IF(ISBLANK($C152),"",$D$1)</f>
        <v/>
      </c>
      <c r="V152" s="22">
        <f t="array" ref="V152">IF(ISBLANK($B152),"",IF(ISBLANK($K152),IF(XLOOKUP($W152,'Category Mapping'!$C:$C,'Category Mapping'!$B:$B)="Travel",XLOOKUP($P152,'Department Listing'!$A:$A,'Department Listing'!$M:$M),XLOOKUP($W152,'Category Mapping'!$C:$C,'Category Mapping'!$D:$D)),$K152))</f>
        <v/>
      </c>
      <c r="W152" s="22">
        <f>IF(ISBLANK($B152),"",IF(ISBLANK($L152),RIGHT($E152,LEN($E152) - FIND("^",SUBSTITUTE($E152,":","^",LEN($E152) - LEN(SUBSTITUTE($E152,":",""))))),$L152))</f>
        <v/>
      </c>
      <c r="X152" s="22">
        <f>IF(ISBLANK($J152),$V152&amp;$W152,$J152)</f>
        <v/>
      </c>
      <c r="Y152" s="23">
        <f t="array" ref="Y152">IF(ISBLANK($M152),IFERROR(XLOOKUP($P152,'Department Listing'!$A:$A,'Department Listing'!$L:$L),""),$M152)</f>
        <v/>
      </c>
      <c r="Z152" s="11">
        <f>IF(ISBLANK($B152),"",MATCH($X152,COA!$B:$B,0))</f>
        <v/>
      </c>
    </row>
    <row r="153" ht="15" customHeight="1" s="52">
      <c r="B153" s="17" t="n">
        <v>46169</v>
      </c>
      <c r="C153" s="18" t="inlineStr">
        <is>
          <t>Uber HQ MASTERCARD-544015XXXXXX8678-John Taylor</t>
        </is>
      </c>
      <c r="D153" s="18" t="inlineStr">
        <is>
          <t>Uber</t>
        </is>
      </c>
      <c r="E153" s="18" t="inlineStr">
        <is>
          <t>61220 Sales &amp; Marketing:Sales &amp; Marketing- Travel Expenses:Ground Transportation</t>
        </is>
      </c>
      <c r="F153" s="19" t="n">
        <v>9.99</v>
      </c>
      <c r="H153" s="10" t="n"/>
      <c r="I153" s="9" t="n"/>
      <c r="J153" s="9" t="n"/>
      <c r="K153" s="9" t="n"/>
      <c r="L153" s="9" t="n"/>
      <c r="M153" s="9" t="n"/>
      <c r="N153" s="20" t="n"/>
      <c r="O153" s="20">
        <f>IF(C153="", "", TRIM(RIGHT(C153, LEN(C153) - FIND("@@", SUBSTITUTE(C153, "-", "@@", LEN(C153) - LEN(SUBSTITUTE(C153, "-", "")))))))</f>
        <v/>
      </c>
      <c r="P153" s="20">
        <f t="array" ref="P153">IFERROR(XLOOKUP(O153,'Department Listing'!$O$1:$O$395,'Department Listing'!$A$1:$A$395),IFERROR(XLOOKUP(O153,'Name Aliases'!$A$2:$A$1000,'Name Aliases'!$B$2:$B$1000),""))</f>
        <v/>
      </c>
      <c r="Q153" s="21">
        <f>IF(ISBLANK($C153),"",$B153)</f>
        <v/>
      </c>
      <c r="R153" s="20">
        <f>IF(ISBLANK($C153),"",IF(ISBLANK($I153),$D153,$I153))</f>
        <v/>
      </c>
      <c r="S153" s="22">
        <f>IF(ISBLANK($C153),"",$F153 - $G153)</f>
        <v/>
      </c>
      <c r="T153" s="20">
        <f>IF(ISBLANK($C153),"",C153)</f>
        <v/>
      </c>
      <c r="U153" s="20">
        <f>IF(ISBLANK($C153),"",$D$1)</f>
        <v/>
      </c>
      <c r="V153" s="22">
        <f t="array" ref="V153">IF(ISBLANK($B153),"",IF(ISBLANK($K153),IF(XLOOKUP($W153,'Category Mapping'!$C:$C,'Category Mapping'!$B:$B)="Travel",XLOOKUP($P153,'Department Listing'!$A:$A,'Department Listing'!$M:$M),XLOOKUP($W153,'Category Mapping'!$C:$C,'Category Mapping'!$D:$D)),$K153))</f>
        <v/>
      </c>
      <c r="W153" s="22">
        <f>IF(ISBLANK($B153),"",IF(ISBLANK($L153),RIGHT($E153,LEN($E153) - FIND("^",SUBSTITUTE($E153,":","^",LEN($E153) - LEN(SUBSTITUTE($E153,":",""))))),$L153))</f>
        <v/>
      </c>
      <c r="X153" s="22">
        <f>IF(ISBLANK($J153),$V153&amp;$W153,$J153)</f>
        <v/>
      </c>
      <c r="Y153" s="23">
        <f t="array" ref="Y153">IF(ISBLANK($M153),IFERROR(XLOOKUP($P153,'Department Listing'!$A:$A,'Department Listing'!$L:$L),""),$M153)</f>
        <v/>
      </c>
      <c r="Z153" s="11">
        <f>IF(ISBLANK($B153),"",MATCH($X153,COA!$B:$B,0))</f>
        <v/>
      </c>
    </row>
    <row r="154" ht="15.75" customHeight="1" s="52">
      <c r="B154" s="17" t="n">
        <v>46170</v>
      </c>
      <c r="C154" s="18" t="inlineStr">
        <is>
          <t>Lyft MASTERCARD-544015XXXXXX0424-Dwight Henderson</t>
        </is>
      </c>
      <c r="D154" s="18" t="inlineStr">
        <is>
          <t>Lyft</t>
        </is>
      </c>
      <c r="E154" s="18" t="inlineStr">
        <is>
          <t>61220 Sales &amp; Marketing:Sales &amp; Marketing- Travel Expenses:Ground Transportation</t>
        </is>
      </c>
      <c r="F154" s="19" t="n">
        <v>9.92</v>
      </c>
      <c r="H154" s="10" t="n"/>
      <c r="I154" s="9" t="n"/>
      <c r="J154" s="9" t="n"/>
      <c r="K154" s="9" t="n"/>
      <c r="L154" s="9" t="n"/>
      <c r="M154" s="9" t="n"/>
      <c r="N154" s="20" t="n"/>
      <c r="O154" s="20">
        <f>IF(C154="", "", TRIM(RIGHT(C154, LEN(C154) - FIND("@@", SUBSTITUTE(C154, "-", "@@", LEN(C154) - LEN(SUBSTITUTE(C154, "-", "")))))))</f>
        <v/>
      </c>
      <c r="P154" s="20">
        <f t="array" ref="P154">IFERROR(XLOOKUP(O154,'Department Listing'!$O$1:$O$395,'Department Listing'!$A$1:$A$395),IFERROR(XLOOKUP(O154,'Name Aliases'!$A$2:$A$1000,'Name Aliases'!$B$2:$B$1000),""))</f>
        <v/>
      </c>
      <c r="Q154" s="21">
        <f>IF(ISBLANK($C154),"",$B154)</f>
        <v/>
      </c>
      <c r="R154" s="20">
        <f>IF(ISBLANK($C154),"",IF(ISBLANK($I154),$D154,$I154))</f>
        <v/>
      </c>
      <c r="S154" s="22">
        <f>IF(ISBLANK($C154),"",$F154 - $G154)</f>
        <v/>
      </c>
      <c r="T154" s="20">
        <f>IF(ISBLANK($C154),"",C154)</f>
        <v/>
      </c>
      <c r="U154" s="20">
        <f>IF(ISBLANK($C154),"",$D$1)</f>
        <v/>
      </c>
      <c r="V154" s="22">
        <f t="array" ref="V154">IF(ISBLANK($B154),"",IF(ISBLANK($K154),IF(XLOOKUP($W154,'Category Mapping'!$C:$C,'Category Mapping'!$B:$B)="Travel",XLOOKUP($P154,'Department Listing'!$A:$A,'Department Listing'!$M:$M),XLOOKUP($W154,'Category Mapping'!$C:$C,'Category Mapping'!$D:$D)),$K154))</f>
        <v/>
      </c>
      <c r="W154" s="22">
        <f>IF(ISBLANK($B154),"",IF(ISBLANK($L154),RIGHT($E154,LEN($E154) - FIND("^",SUBSTITUTE($E154,":","^",LEN($E154) - LEN(SUBSTITUTE($E154,":",""))))),$L154))</f>
        <v/>
      </c>
      <c r="X154" s="22">
        <f>IF(ISBLANK($J154),$V154&amp;$W154,$J154)</f>
        <v/>
      </c>
      <c r="Y154" s="23">
        <f t="array" ref="Y154">IF(ISBLANK($M154),IFERROR(XLOOKUP($P154,'Department Listing'!$A:$A,'Department Listing'!$L:$L),""),$M154)</f>
        <v/>
      </c>
      <c r="Z154" s="11">
        <f>IF(ISBLANK($B154),"",MATCH($X154,COA!$B:$B,0))</f>
        <v/>
      </c>
    </row>
    <row r="155" ht="15.75" customHeight="1" s="52">
      <c r="B155" s="17" t="n">
        <v>46168</v>
      </c>
      <c r="C155" s="18" t="inlineStr">
        <is>
          <t>Safe Harbor Exchange, Inc. MASTERCARD-544015XXXXXX9350-Gary Passaglia</t>
        </is>
      </c>
      <c r="E155" s="18" t="inlineStr">
        <is>
          <t>61240 Sales &amp; Marketing:Sales &amp; Marketing- Travel Expenses:Meals &amp; Entertainment</t>
        </is>
      </c>
      <c r="F155" s="19" t="n">
        <v>9.880000000000001</v>
      </c>
      <c r="H155" s="10" t="n"/>
      <c r="I155" s="9" t="inlineStr">
        <is>
          <t>Food Vendor</t>
        </is>
      </c>
      <c r="J155" s="9" t="n"/>
      <c r="K155" s="9" t="n"/>
      <c r="L155" s="9" t="n"/>
      <c r="M155" s="9" t="n"/>
      <c r="N155" s="20" t="n"/>
      <c r="O155" s="20">
        <f>IF(C155="", "", TRIM(RIGHT(C155, LEN(C155) - FIND("@@", SUBSTITUTE(C155, "-", "@@", LEN(C155) - LEN(SUBSTITUTE(C155, "-", "")))))))</f>
        <v/>
      </c>
      <c r="P155" s="20">
        <f t="array" ref="P155">IFERROR(XLOOKUP(O155,'Department Listing'!$O$1:$O$395,'Department Listing'!$A$1:$A$395),IFERROR(XLOOKUP(O155,'Name Aliases'!$A$2:$A$1000,'Name Aliases'!$B$2:$B$1000),""))</f>
        <v/>
      </c>
      <c r="Q155" s="21">
        <f>IF(ISBLANK($C155),"",$B155)</f>
        <v/>
      </c>
      <c r="R155" s="20">
        <f>IF(ISBLANK($C155),"",IF(ISBLANK($I155),$D155,$I155))</f>
        <v/>
      </c>
      <c r="S155" s="22">
        <f>IF(ISBLANK($C155),"",$F155 - $G155)</f>
        <v/>
      </c>
      <c r="T155" s="20">
        <f>IF(ISBLANK($C155),"",C155)</f>
        <v/>
      </c>
      <c r="U155" s="20">
        <f>IF(ISBLANK($C155),"",$D$1)</f>
        <v/>
      </c>
      <c r="V155" s="22">
        <f t="array" ref="V155">IF(ISBLANK($B155),"",IF(ISBLANK($K155),IF(XLOOKUP($W155,'Category Mapping'!$C:$C,'Category Mapping'!$B:$B)="Travel",XLOOKUP($P155,'Department Listing'!$A:$A,'Department Listing'!$M:$M),XLOOKUP($W155,'Category Mapping'!$C:$C,'Category Mapping'!$D:$D)),$K155))</f>
        <v/>
      </c>
      <c r="W155" s="22">
        <f>IF(ISBLANK($B155),"",IF(ISBLANK($L155),RIGHT($E155,LEN($E155) - FIND("^",SUBSTITUTE($E155,":","^",LEN($E155) - LEN(SUBSTITUTE($E155,":",""))))),$L155))</f>
        <v/>
      </c>
      <c r="X155" s="22">
        <f>IF(ISBLANK($J155),$V155&amp;$W155,$J155)</f>
        <v/>
      </c>
      <c r="Y155" s="23">
        <f t="array" ref="Y155">IF(ISBLANK($M155),IFERROR(XLOOKUP($P155,'Department Listing'!$A:$A,'Department Listing'!$L:$L),""),$M155)</f>
        <v/>
      </c>
      <c r="Z155" s="11">
        <f>IF(ISBLANK($B155),"",MATCH($X155,COA!$B:$B,0))</f>
        <v/>
      </c>
    </row>
    <row r="156" ht="15.75" customHeight="1" s="52">
      <c r="B156" s="17" t="n">
        <v>46170</v>
      </c>
      <c r="C156" s="18" t="inlineStr">
        <is>
          <t>Amazon Marketplace US MASTERCARD-544015XXXXXX8091-Brooke Berg</t>
        </is>
      </c>
      <c r="D156" s="18" t="inlineStr">
        <is>
          <t>Amazon</t>
        </is>
      </c>
      <c r="E156" s="18" t="inlineStr">
        <is>
          <t>63410 General &amp; Administrative:Office Expenses:Office Supplies</t>
        </is>
      </c>
      <c r="F156" s="19" t="n">
        <v>8.99</v>
      </c>
      <c r="H156" s="10" t="n"/>
      <c r="I156" s="9" t="n"/>
      <c r="J156" s="9" t="n"/>
      <c r="K156" s="25" t="n"/>
      <c r="L156" s="25" t="n"/>
      <c r="M156" s="25" t="n"/>
      <c r="N156" s="20" t="n"/>
      <c r="O156" s="20">
        <f>IF(C156="", "", TRIM(RIGHT(C156, LEN(C156) - FIND("@@", SUBSTITUTE(C156, "-", "@@", LEN(C156) - LEN(SUBSTITUTE(C156, "-", "")))))))</f>
        <v/>
      </c>
      <c r="P156" s="20">
        <f t="array" ref="P156">IFERROR(XLOOKUP(O156,'Department Listing'!$O$1:$O$395,'Department Listing'!$A$1:$A$395),IFERROR(XLOOKUP(O156,'Name Aliases'!$A$2:$A$1000,'Name Aliases'!$B$2:$B$1000),""))</f>
        <v/>
      </c>
      <c r="Q156" s="21">
        <f>IF(ISBLANK($C156),"",$B156)</f>
        <v/>
      </c>
      <c r="R156" s="20">
        <f>IF(ISBLANK($C156),"",IF(ISBLANK($I156),$D156,$I156))</f>
        <v/>
      </c>
      <c r="S156" s="22">
        <f>IF(ISBLANK($C156),"",$F156 - $G156)</f>
        <v/>
      </c>
      <c r="T156" s="20">
        <f>IF(ISBLANK($C156),"",C156)</f>
        <v/>
      </c>
      <c r="U156" s="20">
        <f>IF(ISBLANK($C156),"",$D$1)</f>
        <v/>
      </c>
      <c r="V156" s="22">
        <f t="array" ref="V156">IF(ISBLANK($B156),"",IF(ISBLANK($K156),IF(XLOOKUP($W156,'Category Mapping'!$C:$C,'Category Mapping'!$B:$B)="Travel",XLOOKUP($P156,'Department Listing'!$A:$A,'Department Listing'!$M:$M),XLOOKUP($W156,'Category Mapping'!$C:$C,'Category Mapping'!$D:$D)),$K156))</f>
        <v/>
      </c>
      <c r="W156" s="22">
        <f>IF(ISBLANK($B156),"",IF(ISBLANK($L156),RIGHT($E156,LEN($E156) - FIND("^",SUBSTITUTE($E156,":","^",LEN($E156) - LEN(SUBSTITUTE($E156,":",""))))),$L156))</f>
        <v/>
      </c>
      <c r="X156" s="22">
        <f>IF(ISBLANK($J156),$V156&amp;$W156,$J156)</f>
        <v/>
      </c>
      <c r="Y156" s="23">
        <f t="array" ref="Y156">IF(ISBLANK($M156),IFERROR(XLOOKUP($P156,'Department Listing'!$A:$A,'Department Listing'!$L:$L),""),$M156)</f>
        <v/>
      </c>
      <c r="Z156" s="11">
        <f>IF(ISBLANK($B156),"",MATCH($X156,COA!$B:$B,0))</f>
        <v/>
      </c>
    </row>
    <row r="157" ht="15.75" customHeight="1" s="52">
      <c r="B157" s="17" t="n">
        <v>46166</v>
      </c>
      <c r="C157" s="18" t="inlineStr">
        <is>
          <t>H And M Service Statio MASTERCARD-544015XXXXXX2884-Ayla Hourani</t>
        </is>
      </c>
      <c r="E157" s="18" t="inlineStr">
        <is>
          <t>61290 Sales &amp; Marketing:Sales &amp; Marketing- Travel Expenses:Other Travel Expenses</t>
        </is>
      </c>
      <c r="F157" s="19" t="n">
        <v>8.199999999999999</v>
      </c>
      <c r="H157" s="10" t="n"/>
      <c r="I157" s="9" t="inlineStr">
        <is>
          <t>Food Vendor</t>
        </is>
      </c>
      <c r="J157" s="9" t="n"/>
      <c r="K157" s="9" t="n"/>
      <c r="L157" s="9" t="inlineStr">
        <is>
          <t>Meals &amp; Entertainment</t>
        </is>
      </c>
      <c r="M157" s="9" t="n"/>
      <c r="N157" s="20" t="n"/>
      <c r="O157" s="20">
        <f>IF(C157="", "", TRIM(RIGHT(C157, LEN(C157) - FIND("@@", SUBSTITUTE(C157, "-", "@@", LEN(C157) - LEN(SUBSTITUTE(C157, "-", "")))))))</f>
        <v/>
      </c>
      <c r="P157" s="20">
        <f t="array" ref="P157">IFERROR(XLOOKUP(O157,'Department Listing'!$O$1:$O$395,'Department Listing'!$A$1:$A$395),IFERROR(XLOOKUP(O157,'Name Aliases'!$A$2:$A$1000,'Name Aliases'!$B$2:$B$1000),""))</f>
        <v/>
      </c>
      <c r="Q157" s="21">
        <f>IF(ISBLANK($C157),"",$B157)</f>
        <v/>
      </c>
      <c r="R157" s="20">
        <f>IF(ISBLANK($C157),"",IF(ISBLANK($I157),$D157,$I157))</f>
        <v/>
      </c>
      <c r="S157" s="22">
        <f>IF(ISBLANK($C157),"",$F157 - $G157)</f>
        <v/>
      </c>
      <c r="T157" s="20">
        <f>IF(ISBLANK($C157),"",C157)</f>
        <v/>
      </c>
      <c r="U157" s="20">
        <f>IF(ISBLANK($C157),"",$D$1)</f>
        <v/>
      </c>
      <c r="V157" s="22">
        <f t="array" ref="V157">IF(ISBLANK($B157),"",IF(ISBLANK($K157),IF(XLOOKUP($W157,'Category Mapping'!$C:$C,'Category Mapping'!$B:$B)="Travel",XLOOKUP($P157,'Department Listing'!$A:$A,'Department Listing'!$M:$M),XLOOKUP($W157,'Category Mapping'!$C:$C,'Category Mapping'!$D:$D)),$K157))</f>
        <v/>
      </c>
      <c r="W157" s="22">
        <f>IF(ISBLANK($B157),"",IF(ISBLANK($L157),RIGHT($E157,LEN($E157) - FIND("^",SUBSTITUTE($E157,":","^",LEN($E157) - LEN(SUBSTITUTE($E157,":",""))))),$L157))</f>
        <v/>
      </c>
      <c r="X157" s="22">
        <f>IF(ISBLANK($J157),$V157&amp;$W157,$J157)</f>
        <v/>
      </c>
      <c r="Y157" s="23">
        <f t="array" ref="Y157">IF(ISBLANK($M157),IFERROR(XLOOKUP($P157,'Department Listing'!$A:$A,'Department Listing'!$L:$L),""),$M157)</f>
        <v/>
      </c>
      <c r="Z157" s="11">
        <f>IF(ISBLANK($B157),"",MATCH($X157,COA!$B:$B,0))</f>
        <v/>
      </c>
    </row>
    <row r="158" ht="15.75" customHeight="1" s="52">
      <c r="B158" s="17" t="n">
        <v>46168</v>
      </c>
      <c r="C158" s="18" t="inlineStr">
        <is>
          <t>Uber HQ MASTERCARD-544015XXXXXX2900-Chloe Brant</t>
        </is>
      </c>
      <c r="D158" s="18" t="inlineStr">
        <is>
          <t>Uber</t>
        </is>
      </c>
      <c r="E158" s="18" t="inlineStr">
        <is>
          <t>61220 Sales &amp; Marketing:Sales &amp; Marketing- Travel Expenses:Ground Transportation</t>
        </is>
      </c>
      <c r="F158" s="19" t="n">
        <v>8.1</v>
      </c>
      <c r="H158" s="10" t="n"/>
      <c r="I158" s="9" t="n"/>
      <c r="J158" s="9" t="n"/>
      <c r="K158" s="9" t="n"/>
      <c r="L158" s="9" t="n"/>
      <c r="M158" s="9" t="n"/>
      <c r="N158" s="20" t="n"/>
      <c r="O158" s="20">
        <f>IF(C158="", "", TRIM(RIGHT(C158, LEN(C158) - FIND("@@", SUBSTITUTE(C158, "-", "@@", LEN(C158) - LEN(SUBSTITUTE(C158, "-", "")))))))</f>
        <v/>
      </c>
      <c r="P158" s="20">
        <f t="array" ref="P158">IFERROR(XLOOKUP(O158,'Department Listing'!$O$1:$O$395,'Department Listing'!$A$1:$A$395),IFERROR(XLOOKUP(O158,'Name Aliases'!$A$2:$A$1000,'Name Aliases'!$B$2:$B$1000),""))</f>
        <v/>
      </c>
      <c r="Q158" s="21">
        <f>IF(ISBLANK($C158),"",$B158)</f>
        <v/>
      </c>
      <c r="R158" s="20">
        <f>IF(ISBLANK($C158),"",IF(ISBLANK($I158),$D158,$I158))</f>
        <v/>
      </c>
      <c r="S158" s="22">
        <f>IF(ISBLANK($C158),"",$F158 - $G158)</f>
        <v/>
      </c>
      <c r="T158" s="20">
        <f>IF(ISBLANK($C158),"",C158)</f>
        <v/>
      </c>
      <c r="U158" s="20">
        <f>IF(ISBLANK($C158),"",$D$1)</f>
        <v/>
      </c>
      <c r="V158" s="22">
        <f t="array" ref="V158">IF(ISBLANK($B158),"",IF(ISBLANK($K158),IF(XLOOKUP($W158,'Category Mapping'!$C:$C,'Category Mapping'!$B:$B)="Travel",XLOOKUP($P158,'Department Listing'!$A:$A,'Department Listing'!$M:$M),XLOOKUP($W158,'Category Mapping'!$C:$C,'Category Mapping'!$D:$D)),$K158))</f>
        <v/>
      </c>
      <c r="W158" s="22">
        <f>IF(ISBLANK($B158),"",IF(ISBLANK($L158),RIGHT($E158,LEN($E158) - FIND("^",SUBSTITUTE($E158,":","^",LEN($E158) - LEN(SUBSTITUTE($E158,":",""))))),$L158))</f>
        <v/>
      </c>
      <c r="X158" s="22">
        <f>IF(ISBLANK($J158),$V158&amp;$W158,$J158)</f>
        <v/>
      </c>
      <c r="Y158" s="23">
        <f t="array" ref="Y158">IF(ISBLANK($M158),IFERROR(XLOOKUP($P158,'Department Listing'!$A:$A,'Department Listing'!$L:$L),""),$M158)</f>
        <v/>
      </c>
      <c r="Z158" s="11">
        <f>IF(ISBLANK($B158),"",MATCH($X158,COA!$B:$B,0))</f>
        <v/>
      </c>
    </row>
    <row r="159" ht="15.75" customHeight="1" s="52">
      <c r="B159" s="17" t="n">
        <v>46164</v>
      </c>
      <c r="C159" s="18" t="inlineStr">
        <is>
          <t>United InFlight Purchase MASTERCARD-544015XXXXXX2445-Tyler Grimshaw</t>
        </is>
      </c>
      <c r="D159" s="18" t="inlineStr">
        <is>
          <t>United Airlines</t>
        </is>
      </c>
      <c r="E159" s="18" t="inlineStr">
        <is>
          <t>61210 Sales &amp; Marketing:Sales &amp; Marketing- Travel Expenses:Airfare</t>
        </is>
      </c>
      <c r="F159" s="19" t="n">
        <v>8</v>
      </c>
      <c r="H159" s="10" t="n"/>
      <c r="I159" s="9" t="n"/>
      <c r="J159" s="9" t="n"/>
      <c r="K159" s="9" t="n"/>
      <c r="L159" s="25" t="n"/>
      <c r="M159" s="9" t="n"/>
      <c r="N159" s="20" t="n"/>
      <c r="O159" s="20">
        <f>IF(C159="", "", TRIM(RIGHT(C159, LEN(C159) - FIND("@@", SUBSTITUTE(C159, "-", "@@", LEN(C159) - LEN(SUBSTITUTE(C159, "-", "")))))))</f>
        <v/>
      </c>
      <c r="P159" s="20">
        <f t="array" ref="P159">IFERROR(XLOOKUP(O159,'Department Listing'!$O$1:$O$395,'Department Listing'!$A$1:$A$395),IFERROR(XLOOKUP(O159,'Name Aliases'!$A$2:$A$1000,'Name Aliases'!$B$2:$B$1000),""))</f>
        <v/>
      </c>
      <c r="Q159" s="21">
        <f>IF(ISBLANK($C159),"",$B159)</f>
        <v/>
      </c>
      <c r="R159" s="20">
        <f>IF(ISBLANK($C159),"",IF(ISBLANK($I159),$D159,$I159))</f>
        <v/>
      </c>
      <c r="S159" s="22">
        <f>IF(ISBLANK($C159),"",$F159 - $G159)</f>
        <v/>
      </c>
      <c r="T159" s="20">
        <f>IF(ISBLANK($C159),"",C159)</f>
        <v/>
      </c>
      <c r="U159" s="20">
        <f>IF(ISBLANK($C159),"",$D$1)</f>
        <v/>
      </c>
      <c r="V159" s="22">
        <f t="array" ref="V159">IF(ISBLANK($B159),"",IF(ISBLANK($K159),IF(XLOOKUP($W159,'Category Mapping'!$C:$C,'Category Mapping'!$B:$B)="Travel",XLOOKUP($P159,'Department Listing'!$A:$A,'Department Listing'!$M:$M),XLOOKUP($W159,'Category Mapping'!$C:$C,'Category Mapping'!$D:$D)),$K159))</f>
        <v/>
      </c>
      <c r="W159" s="22">
        <f>IF(ISBLANK($B159),"",IF(ISBLANK($L159),RIGHT($E159,LEN($E159) - FIND("^",SUBSTITUTE($E159,":","^",LEN($E159) - LEN(SUBSTITUTE($E159,":",""))))),$L159))</f>
        <v/>
      </c>
      <c r="X159" s="22">
        <f>IF(ISBLANK($J159),$V159&amp;$W159,$J159)</f>
        <v/>
      </c>
      <c r="Y159" s="23">
        <f t="array" ref="Y159">IF(ISBLANK($M159),IFERROR(XLOOKUP($P159,'Department Listing'!$A:$A,'Department Listing'!$L:$L),""),$M159)</f>
        <v/>
      </c>
      <c r="Z159" s="11">
        <f>IF(ISBLANK($B159),"",MATCH($X159,COA!$B:$B,0))</f>
        <v/>
      </c>
    </row>
    <row r="160" ht="15.75" customHeight="1" s="52">
      <c r="B160" s="17" t="n">
        <v>46168</v>
      </c>
      <c r="C160" s="18" t="inlineStr">
        <is>
          <t>Amazon MASTERCARD-544015XXXXXX7759-Mickenzi Krpec</t>
        </is>
      </c>
      <c r="D160" s="18" t="inlineStr">
        <is>
          <t>Amazon</t>
        </is>
      </c>
      <c r="E160" s="18" t="inlineStr">
        <is>
          <t>63410 General &amp; Administrative:Office Expenses:Office Supplies</t>
        </is>
      </c>
      <c r="F160" s="19" t="n">
        <v>7.99</v>
      </c>
      <c r="H160" s="10" t="n"/>
      <c r="I160" s="9" t="n"/>
      <c r="J160" s="9" t="n"/>
      <c r="K160" s="9" t="n"/>
      <c r="L160" s="9" t="n"/>
      <c r="M160" s="9" t="n"/>
      <c r="N160" s="20" t="n"/>
      <c r="O160" s="20">
        <f>IF(C160="", "", TRIM(RIGHT(C160, LEN(C160) - FIND("@@", SUBSTITUTE(C160, "-", "@@", LEN(C160) - LEN(SUBSTITUTE(C160, "-", "")))))))</f>
        <v/>
      </c>
      <c r="P160" s="20">
        <f t="array" ref="P160">IFERROR(XLOOKUP(O160,'Department Listing'!$O$1:$O$395,'Department Listing'!$A$1:$A$395),IFERROR(XLOOKUP(O160,'Name Aliases'!$A$2:$A$1000,'Name Aliases'!$B$2:$B$1000),""))</f>
        <v/>
      </c>
      <c r="Q160" s="21">
        <f>IF(ISBLANK($C160),"",$B160)</f>
        <v/>
      </c>
      <c r="R160" s="20">
        <f>IF(ISBLANK($C160),"",IF(ISBLANK($I160),$D160,$I160))</f>
        <v/>
      </c>
      <c r="S160" s="22">
        <f>IF(ISBLANK($C160),"",$F160 - $G160)</f>
        <v/>
      </c>
      <c r="T160" s="20">
        <f>IF(ISBLANK($C160),"",C160)</f>
        <v/>
      </c>
      <c r="U160" s="20">
        <f>IF(ISBLANK($C160),"",$D$1)</f>
        <v/>
      </c>
      <c r="V160" s="22">
        <f t="array" ref="V160">IF(ISBLANK($B160),"",IF(ISBLANK($K160),IF(XLOOKUP($W160,'Category Mapping'!$C:$C,'Category Mapping'!$B:$B)="Travel",XLOOKUP($P160,'Department Listing'!$A:$A,'Department Listing'!$M:$M),XLOOKUP($W160,'Category Mapping'!$C:$C,'Category Mapping'!$D:$D)),$K160))</f>
        <v/>
      </c>
      <c r="W160" s="22">
        <f>IF(ISBLANK($B160),"",IF(ISBLANK($L160),RIGHT($E160,LEN($E160) - FIND("^",SUBSTITUTE($E160,":","^",LEN($E160) - LEN(SUBSTITUTE($E160,":",""))))),$L160))</f>
        <v/>
      </c>
      <c r="X160" s="22">
        <f>IF(ISBLANK($J160),$V160&amp;$W160,$J160)</f>
        <v/>
      </c>
      <c r="Y160" s="23">
        <f t="array" ref="Y160">IF(ISBLANK($M160),IFERROR(XLOOKUP($P160,'Department Listing'!$A:$A,'Department Listing'!$L:$L),""),$M160)</f>
        <v/>
      </c>
      <c r="Z160" s="11">
        <f>IF(ISBLANK($B160),"",MATCH($X160,COA!$B:$B,0))</f>
        <v/>
      </c>
    </row>
    <row r="161" ht="15.75" customHeight="1" s="52">
      <c r="B161" s="17" t="n">
        <v>46169</v>
      </c>
      <c r="C161" s="18" t="inlineStr">
        <is>
          <t>McDonald's MASTERCARD-544015XXXXXX9350-Gary Passaglia</t>
        </is>
      </c>
      <c r="D161" s="18" t="inlineStr">
        <is>
          <t>McDonald's</t>
        </is>
      </c>
      <c r="E161" s="18" t="inlineStr">
        <is>
          <t>61240 Sales &amp; Marketing:Sales &amp; Marketing- Travel Expenses:Meals &amp; Entertainment</t>
        </is>
      </c>
      <c r="F161" s="19" t="n">
        <v>7.52</v>
      </c>
      <c r="H161" s="10" t="n"/>
      <c r="I161" s="9" t="n"/>
      <c r="J161" s="9" t="n"/>
      <c r="K161" s="25" t="n"/>
      <c r="L161" s="9" t="n"/>
      <c r="M161" s="25" t="n"/>
      <c r="N161" s="20" t="n"/>
      <c r="O161" s="20">
        <f>IF(C161="", "", TRIM(RIGHT(C161, LEN(C161) - FIND("@@", SUBSTITUTE(C161, "-", "@@", LEN(C161) - LEN(SUBSTITUTE(C161, "-", "")))))))</f>
        <v/>
      </c>
      <c r="P161" s="20">
        <f t="array" ref="P161">IFERROR(XLOOKUP(O161,'Department Listing'!$O$1:$O$395,'Department Listing'!$A$1:$A$395),IFERROR(XLOOKUP(O161,'Name Aliases'!$A$2:$A$1000,'Name Aliases'!$B$2:$B$1000),""))</f>
        <v/>
      </c>
      <c r="Q161" s="21">
        <f>IF(ISBLANK($C161),"",$B161)</f>
        <v/>
      </c>
      <c r="R161" s="20">
        <f>IF(ISBLANK($C161),"",IF(ISBLANK($I161),$D161,$I161))</f>
        <v/>
      </c>
      <c r="S161" s="22">
        <f>IF(ISBLANK($C161),"",$F161 - $G161)</f>
        <v/>
      </c>
      <c r="T161" s="20">
        <f>IF(ISBLANK($C161),"",C161)</f>
        <v/>
      </c>
      <c r="U161" s="20">
        <f>IF(ISBLANK($C161),"",$D$1)</f>
        <v/>
      </c>
      <c r="V161" s="22">
        <f t="array" ref="V161">IF(ISBLANK($B161),"",IF(ISBLANK($K161),IF(XLOOKUP($W161,'Category Mapping'!$C:$C,'Category Mapping'!$B:$B)="Travel",XLOOKUP($P161,'Department Listing'!$A:$A,'Department Listing'!$M:$M),XLOOKUP($W161,'Category Mapping'!$C:$C,'Category Mapping'!$D:$D)),$K161))</f>
        <v/>
      </c>
      <c r="W161" s="22">
        <f>IF(ISBLANK($B161),"",IF(ISBLANK($L161),RIGHT($E161,LEN($E161) - FIND("^",SUBSTITUTE($E161,":","^",LEN($E161) - LEN(SUBSTITUTE($E161,":",""))))),$L161))</f>
        <v/>
      </c>
      <c r="X161" s="22">
        <f>IF(ISBLANK($J161),$V161&amp;$W161,$J161)</f>
        <v/>
      </c>
      <c r="Y161" s="23">
        <f t="array" ref="Y161">IF(ISBLANK($M161),IFERROR(XLOOKUP($P161,'Department Listing'!$A:$A,'Department Listing'!$L:$L),""),$M161)</f>
        <v/>
      </c>
      <c r="Z161" s="11">
        <f>IF(ISBLANK($B161),"",MATCH($X161,COA!$B:$B,0))</f>
        <v/>
      </c>
    </row>
    <row r="162" ht="15.75" customHeight="1" s="52">
      <c r="B162" s="17" t="n">
        <v>46170</v>
      </c>
      <c r="C162" s="18" t="inlineStr">
        <is>
          <t>SOHO Coffee Co. MASTERCARD-555671XXXXXX4106-Daniel Mooney</t>
        </is>
      </c>
      <c r="E162" s="18" t="inlineStr">
        <is>
          <t>61240 Sales &amp; Marketing:Sales &amp; Marketing- Travel Expenses:Meals &amp; Entertainment</t>
        </is>
      </c>
      <c r="F162" s="19" t="n">
        <v>6.93</v>
      </c>
      <c r="H162" s="10" t="n"/>
      <c r="I162" s="9" t="inlineStr">
        <is>
          <t>Food Vendor</t>
        </is>
      </c>
      <c r="J162" s="9" t="n"/>
      <c r="K162" s="25" t="n"/>
      <c r="L162" s="9" t="n"/>
      <c r="M162" s="9" t="n"/>
      <c r="N162" s="20" t="n"/>
      <c r="O162" s="20">
        <f>IF(C162="", "", TRIM(RIGHT(C162, LEN(C162) - FIND("@@", SUBSTITUTE(C162, "-", "@@", LEN(C162) - LEN(SUBSTITUTE(C162, "-", "")))))))</f>
        <v/>
      </c>
      <c r="P162" s="20">
        <f t="array" ref="P162">IFERROR(XLOOKUP(O162,'Department Listing'!$O$1:$O$395,'Department Listing'!$A$1:$A$395),IFERROR(XLOOKUP(O162,'Name Aliases'!$A$2:$A$1000,'Name Aliases'!$B$2:$B$1000),""))</f>
        <v/>
      </c>
      <c r="Q162" s="21">
        <f>IF(ISBLANK($C162),"",$B162)</f>
        <v/>
      </c>
      <c r="R162" s="20">
        <f>IF(ISBLANK($C162),"",IF(ISBLANK($I162),$D162,$I162))</f>
        <v/>
      </c>
      <c r="S162" s="22">
        <f>IF(ISBLANK($C162),"",$F162 - $G162)</f>
        <v/>
      </c>
      <c r="T162" s="20">
        <f>IF(ISBLANK($C162),"",C162)</f>
        <v/>
      </c>
      <c r="U162" s="20">
        <f>IF(ISBLANK($C162),"",$D$1)</f>
        <v/>
      </c>
      <c r="V162" s="22">
        <f t="array" ref="V162">IF(ISBLANK($B162),"",IF(ISBLANK($K162),IF(XLOOKUP($W162,'Category Mapping'!$C:$C,'Category Mapping'!$B:$B)="Travel",XLOOKUP($P162,'Department Listing'!$A:$A,'Department Listing'!$M:$M),XLOOKUP($W162,'Category Mapping'!$C:$C,'Category Mapping'!$D:$D)),$K162))</f>
        <v/>
      </c>
      <c r="W162" s="22">
        <f>IF(ISBLANK($B162),"",IF(ISBLANK($L162),RIGHT($E162,LEN($E162) - FIND("^",SUBSTITUTE($E162,":","^",LEN($E162) - LEN(SUBSTITUTE($E162,":",""))))),$L162))</f>
        <v/>
      </c>
      <c r="X162" s="22">
        <f>IF(ISBLANK($J162),$V162&amp;$W162,$J162)</f>
        <v/>
      </c>
      <c r="Y162" s="23">
        <f t="array" ref="Y162">IF(ISBLANK($M162),IFERROR(XLOOKUP($P162,'Department Listing'!$A:$A,'Department Listing'!$L:$L),""),$M162)</f>
        <v/>
      </c>
      <c r="Z162" s="11">
        <f>IF(ISBLANK($B162),"",MATCH($X162,COA!$B:$B,0))</f>
        <v/>
      </c>
    </row>
    <row r="163" ht="15.75" customHeight="1" s="52">
      <c r="B163" s="17" t="n">
        <v>46170</v>
      </c>
      <c r="C163" s="18" t="inlineStr">
        <is>
          <t>SOHO Coffee Co. MASTERCARD-555671XXXXXX4106-Daniel Mooney</t>
        </is>
      </c>
      <c r="E163" s="18" t="inlineStr">
        <is>
          <t>61240 Sales &amp; Marketing:Sales &amp; Marketing- Travel Expenses:Meals &amp; Entertainment</t>
        </is>
      </c>
      <c r="F163" s="19" t="n">
        <v>6.93</v>
      </c>
      <c r="H163" s="10" t="n"/>
      <c r="I163" s="9" t="inlineStr">
        <is>
          <t>Food Vendor</t>
        </is>
      </c>
      <c r="J163" s="9" t="n"/>
      <c r="K163" s="25" t="n"/>
      <c r="L163" s="9" t="n"/>
      <c r="M163" s="9" t="n"/>
      <c r="N163" s="20" t="n"/>
      <c r="O163" s="20">
        <f>IF(C163="", "", TRIM(RIGHT(C163, LEN(C163) - FIND("@@", SUBSTITUTE(C163, "-", "@@", LEN(C163) - LEN(SUBSTITUTE(C163, "-", "")))))))</f>
        <v/>
      </c>
      <c r="P163" s="20">
        <f t="array" ref="P163">IFERROR(XLOOKUP(O163,'Department Listing'!$O$1:$O$395,'Department Listing'!$A$1:$A$395),IFERROR(XLOOKUP(O163,'Name Aliases'!$A$2:$A$1000,'Name Aliases'!$B$2:$B$1000),""))</f>
        <v/>
      </c>
      <c r="Q163" s="21">
        <f>IF(ISBLANK($C163),"",$B163)</f>
        <v/>
      </c>
      <c r="R163" s="20">
        <f>IF(ISBLANK($C163),"",IF(ISBLANK($I163),$D163,$I163))</f>
        <v/>
      </c>
      <c r="S163" s="22">
        <f>IF(ISBLANK($C163),"",$F163 - $G163)</f>
        <v/>
      </c>
      <c r="T163" s="20">
        <f>IF(ISBLANK($C163),"",C163)</f>
        <v/>
      </c>
      <c r="U163" s="20">
        <f>IF(ISBLANK($C163),"",$D$1)</f>
        <v/>
      </c>
      <c r="V163" s="22">
        <f t="array" ref="V163">IF(ISBLANK($B163),"",IF(ISBLANK($K163),IF(XLOOKUP($W163,'Category Mapping'!$C:$C,'Category Mapping'!$B:$B)="Travel",XLOOKUP($P163,'Department Listing'!$A:$A,'Department Listing'!$M:$M),XLOOKUP($W163,'Category Mapping'!$C:$C,'Category Mapping'!$D:$D)),$K163))</f>
        <v/>
      </c>
      <c r="W163" s="22">
        <f>IF(ISBLANK($B163),"",IF(ISBLANK($L163),RIGHT($E163,LEN($E163) - FIND("^",SUBSTITUTE($E163,":","^",LEN($E163) - LEN(SUBSTITUTE($E163,":",""))))),$L163))</f>
        <v/>
      </c>
      <c r="X163" s="22">
        <f>IF(ISBLANK($J163),$V163&amp;$W163,$J163)</f>
        <v/>
      </c>
      <c r="Y163" s="23">
        <f t="array" ref="Y163">IF(ISBLANK($M163),IFERROR(XLOOKUP($P163,'Department Listing'!$A:$A,'Department Listing'!$L:$L),""),$M163)</f>
        <v/>
      </c>
      <c r="Z163" s="11">
        <f>IF(ISBLANK($B163),"",MATCH($X163,COA!$B:$B,0))</f>
        <v/>
      </c>
    </row>
    <row r="164" ht="15.75" customHeight="1" s="52">
      <c r="B164" s="17" t="n">
        <v>46169</v>
      </c>
      <c r="C164" s="18" t="inlineStr">
        <is>
          <t>Southwest Airlines MASTERCARD-544015XXXXXX5072-Maile Call</t>
        </is>
      </c>
      <c r="D164" s="18" t="inlineStr">
        <is>
          <t>Southwest Air</t>
        </is>
      </c>
      <c r="E164" s="18" t="inlineStr">
        <is>
          <t>61210 Sales &amp; Marketing:Sales &amp; Marketing- Travel Expenses:Airfare</t>
        </is>
      </c>
      <c r="F164" s="19" t="n">
        <v>5.6</v>
      </c>
      <c r="H164" s="10" t="n"/>
      <c r="I164" s="9" t="n"/>
      <c r="J164" s="9" t="n"/>
      <c r="K164" s="25" t="n"/>
      <c r="L164" s="9" t="n"/>
      <c r="M164" s="9" t="n"/>
      <c r="N164" s="20" t="n"/>
      <c r="O164" s="20">
        <f>IF(C164="", "", TRIM(RIGHT(C164, LEN(C164) - FIND("@@", SUBSTITUTE(C164, "-", "@@", LEN(C164) - LEN(SUBSTITUTE(C164, "-", "")))))))</f>
        <v/>
      </c>
      <c r="P164" s="20">
        <f t="array" ref="P164">IFERROR(XLOOKUP(O164,'Department Listing'!$O$1:$O$395,'Department Listing'!$A$1:$A$395),IFERROR(XLOOKUP(O164,'Name Aliases'!$A$2:$A$1000,'Name Aliases'!$B$2:$B$1000),""))</f>
        <v/>
      </c>
      <c r="Q164" s="21">
        <f>IF(ISBLANK($C164),"",$B164)</f>
        <v/>
      </c>
      <c r="R164" s="20">
        <f>IF(ISBLANK($C164),"",IF(ISBLANK($I164),$D164,$I164))</f>
        <v/>
      </c>
      <c r="S164" s="22">
        <f>IF(ISBLANK($C164),"",$F164 - $G164)</f>
        <v/>
      </c>
      <c r="T164" s="20">
        <f>IF(ISBLANK($C164),"",C164)</f>
        <v/>
      </c>
      <c r="U164" s="20">
        <f>IF(ISBLANK($C164),"",$D$1)</f>
        <v/>
      </c>
      <c r="V164" s="22">
        <f t="array" ref="V164">IF(ISBLANK($B164),"",IF(ISBLANK($K164),IF(XLOOKUP($W164,'Category Mapping'!$C:$C,'Category Mapping'!$B:$B)="Travel",XLOOKUP($P164,'Department Listing'!$A:$A,'Department Listing'!$M:$M),XLOOKUP($W164,'Category Mapping'!$C:$C,'Category Mapping'!$D:$D)),$K164))</f>
        <v/>
      </c>
      <c r="W164" s="22">
        <f>IF(ISBLANK($B164),"",IF(ISBLANK($L164),RIGHT($E164,LEN($E164) - FIND("^",SUBSTITUTE($E164,":","^",LEN($E164) - LEN(SUBSTITUTE($E164,":",""))))),$L164))</f>
        <v/>
      </c>
      <c r="X164" s="22">
        <f>IF(ISBLANK($J164),$V164&amp;$W164,$J164)</f>
        <v/>
      </c>
      <c r="Y164" s="23">
        <f t="array" ref="Y164">IF(ISBLANK($M164),IFERROR(XLOOKUP($P164,'Department Listing'!$A:$A,'Department Listing'!$L:$L),""),$M164)</f>
        <v/>
      </c>
      <c r="Z164" s="11">
        <f>IF(ISBLANK($B164),"",MATCH($X164,COA!$B:$B,0))</f>
        <v/>
      </c>
    </row>
    <row r="165" ht="15.75" customHeight="1" s="52">
      <c r="B165" s="17" t="n">
        <v>46170</v>
      </c>
      <c r="C165" s="18" t="inlineStr">
        <is>
          <t>McDonald's MASTERCARD-544015XXXXXX9350-Gary Passaglia</t>
        </is>
      </c>
      <c r="D165" s="18" t="inlineStr">
        <is>
          <t>McDonald's</t>
        </is>
      </c>
      <c r="E165" s="18" t="inlineStr">
        <is>
          <t>61240 Sales &amp; Marketing:Sales &amp; Marketing- Travel Expenses:Meals &amp; Entertainment</t>
        </is>
      </c>
      <c r="F165" s="19" t="n">
        <v>5</v>
      </c>
      <c r="H165" s="10" t="n"/>
      <c r="I165" s="9" t="n"/>
      <c r="J165" s="9" t="n"/>
      <c r="K165" s="25" t="n"/>
      <c r="L165" s="9" t="n"/>
      <c r="M165" s="9" t="n"/>
      <c r="N165" s="20" t="n"/>
      <c r="O165" s="20">
        <f>IF(C165="", "", TRIM(RIGHT(C165, LEN(C165) - FIND("@@", SUBSTITUTE(C165, "-", "@@", LEN(C165) - LEN(SUBSTITUTE(C165, "-", "")))))))</f>
        <v/>
      </c>
      <c r="P165" s="20">
        <f t="array" ref="P165">IFERROR(XLOOKUP(O165,'Department Listing'!$O$1:$O$395,'Department Listing'!$A$1:$A$395),IFERROR(XLOOKUP(O165,'Name Aliases'!$A$2:$A$1000,'Name Aliases'!$B$2:$B$1000),""))</f>
        <v/>
      </c>
      <c r="Q165" s="21">
        <f>IF(ISBLANK($C165),"",$B165)</f>
        <v/>
      </c>
      <c r="R165" s="20">
        <f>IF(ISBLANK($C165),"",IF(ISBLANK($I165),$D165,$I165))</f>
        <v/>
      </c>
      <c r="S165" s="22">
        <f>IF(ISBLANK($C165),"",$F165 - $G165)</f>
        <v/>
      </c>
      <c r="T165" s="20">
        <f>IF(ISBLANK($C165),"",C165)</f>
        <v/>
      </c>
      <c r="U165" s="20">
        <f>IF(ISBLANK($C165),"",$D$1)</f>
        <v/>
      </c>
      <c r="V165" s="22">
        <f t="array" ref="V165">IF(ISBLANK($B165),"",IF(ISBLANK($K165),IF(XLOOKUP($W165,'Category Mapping'!$C:$C,'Category Mapping'!$B:$B)="Travel",XLOOKUP($P165,'Department Listing'!$A:$A,'Department Listing'!$M:$M),XLOOKUP($W165,'Category Mapping'!$C:$C,'Category Mapping'!$D:$D)),$K165))</f>
        <v/>
      </c>
      <c r="W165" s="22">
        <f>IF(ISBLANK($B165),"",IF(ISBLANK($L165),RIGHT($E165,LEN($E165) - FIND("^",SUBSTITUTE($E165,":","^",LEN($E165) - LEN(SUBSTITUTE($E165,":",""))))),$L165))</f>
        <v/>
      </c>
      <c r="X165" s="22">
        <f>IF(ISBLANK($J165),$V165&amp;$W165,$J165)</f>
        <v/>
      </c>
      <c r="Y165" s="23">
        <f t="array" ref="Y165">IF(ISBLANK($M165),IFERROR(XLOOKUP($P165,'Department Listing'!$A:$A,'Department Listing'!$L:$L),""),$M165)</f>
        <v/>
      </c>
      <c r="Z165" s="11">
        <f>IF(ISBLANK($B165),"",MATCH($X165,COA!$B:$B,0))</f>
        <v/>
      </c>
    </row>
    <row r="166" ht="15.75" customHeight="1" s="52">
      <c r="B166" s="17" t="n">
        <v>46164</v>
      </c>
      <c r="C166" s="18" t="inlineStr">
        <is>
          <t>Somers Supermart MASTERCARD-544015XXXXXX2884-Ayla Hourani</t>
        </is>
      </c>
      <c r="E166" s="18" t="inlineStr">
        <is>
          <t>61240 Sales &amp; Marketing:Sales &amp; Marketing- Travel Expenses:Meals &amp; Entertainment</t>
        </is>
      </c>
      <c r="F166" s="19" t="n">
        <v>3.55</v>
      </c>
      <c r="H166" s="10" t="n"/>
      <c r="I166" s="9" t="inlineStr">
        <is>
          <t>Food Vendor</t>
        </is>
      </c>
      <c r="J166" s="9" t="n"/>
      <c r="K166" s="9" t="n"/>
      <c r="L166" s="9" t="n"/>
      <c r="M166" s="9" t="n"/>
      <c r="N166" s="20" t="n"/>
      <c r="O166" s="20">
        <f>IF(C166="", "", TRIM(RIGHT(C166, LEN(C166) - FIND("@@", SUBSTITUTE(C166, "-", "@@", LEN(C166) - LEN(SUBSTITUTE(C166, "-", "")))))))</f>
        <v/>
      </c>
      <c r="P166" s="20">
        <f t="array" ref="P166">IFERROR(XLOOKUP(O166,'Department Listing'!$O$1:$O$395,'Department Listing'!$A$1:$A$395),IFERROR(XLOOKUP(O166,'Name Aliases'!$A$2:$A$1000,'Name Aliases'!$B$2:$B$1000),""))</f>
        <v/>
      </c>
      <c r="Q166" s="21">
        <f>IF(ISBLANK($C166),"",$B166)</f>
        <v/>
      </c>
      <c r="R166" s="20">
        <f>IF(ISBLANK($C166),"",IF(ISBLANK($I166),$D166,$I166))</f>
        <v/>
      </c>
      <c r="S166" s="22">
        <f>IF(ISBLANK($C166),"",$F166 - $G166)</f>
        <v/>
      </c>
      <c r="T166" s="20">
        <f>IF(ISBLANK($C166),"",C166)</f>
        <v/>
      </c>
      <c r="U166" s="20">
        <f>IF(ISBLANK($C166),"",$D$1)</f>
        <v/>
      </c>
      <c r="V166" s="22">
        <f t="array" ref="V166">IF(ISBLANK($B166),"",IF(ISBLANK($K166),IF(XLOOKUP($W166,'Category Mapping'!$C:$C,'Category Mapping'!$B:$B)="Travel",XLOOKUP($P166,'Department Listing'!$A:$A,'Department Listing'!$M:$M),XLOOKUP($W166,'Category Mapping'!$C:$C,'Category Mapping'!$D:$D)),$K166))</f>
        <v/>
      </c>
      <c r="W166" s="22">
        <f>IF(ISBLANK($B166),"",IF(ISBLANK($L166),RIGHT($E166,LEN($E166) - FIND("^",SUBSTITUTE($E166,":","^",LEN($E166) - LEN(SUBSTITUTE($E166,":",""))))),$L166))</f>
        <v/>
      </c>
      <c r="X166" s="22">
        <f>IF(ISBLANK($J166),$V166&amp;$W166,$J166)</f>
        <v/>
      </c>
      <c r="Y166" s="23">
        <f t="array" ref="Y166">IF(ISBLANK($M166),IFERROR(XLOOKUP($P166,'Department Listing'!$A:$A,'Department Listing'!$L:$L),""),$M166)</f>
        <v/>
      </c>
      <c r="Z166" s="11">
        <f>IF(ISBLANK($B166),"",MATCH($X166,COA!$B:$B,0))</f>
        <v/>
      </c>
    </row>
    <row r="167" ht="15.75" customHeight="1" s="52">
      <c r="B167" s="17" t="n">
        <v>46165</v>
      </c>
      <c r="C167" s="18" t="inlineStr">
        <is>
          <t>Microsoft MASTERCARD-555671XXXXXX5364-Erik Williams</t>
        </is>
      </c>
      <c r="D167" s="18" t="inlineStr">
        <is>
          <t>Microsoft</t>
        </is>
      </c>
      <c r="E167" s="18" t="inlineStr">
        <is>
          <t>63310 General &amp; Administrative:Software Licenses</t>
        </is>
      </c>
      <c r="F167" s="19" t="n">
        <v>1.86</v>
      </c>
      <c r="H167" s="10" t="n"/>
      <c r="I167" s="9" t="n"/>
      <c r="J167" s="9" t="n"/>
      <c r="K167" s="9" t="n"/>
      <c r="L167" s="9" t="n"/>
      <c r="M167" s="9" t="n"/>
      <c r="N167" s="20" t="n"/>
      <c r="O167" s="20">
        <f>IF(C167="", "", TRIM(RIGHT(C167, LEN(C167) - FIND("@@", SUBSTITUTE(C167, "-", "@@", LEN(C167) - LEN(SUBSTITUTE(C167, "-", "")))))))</f>
        <v/>
      </c>
      <c r="P167" s="20">
        <f t="array" ref="P167">IFERROR(XLOOKUP(O167,'Department Listing'!$O$1:$O$395,'Department Listing'!$A$1:$A$395),IFERROR(XLOOKUP(O167,'Name Aliases'!$A$2:$A$1000,'Name Aliases'!$B$2:$B$1000),""))</f>
        <v/>
      </c>
      <c r="Q167" s="21">
        <f>IF(ISBLANK($C167),"",$B167)</f>
        <v/>
      </c>
      <c r="R167" s="20">
        <f>IF(ISBLANK($C167),"",IF(ISBLANK($I167),$D167,$I167))</f>
        <v/>
      </c>
      <c r="S167" s="22">
        <f>IF(ISBLANK($C167),"",$F167 - $G167)</f>
        <v/>
      </c>
      <c r="T167" s="20">
        <f>IF(ISBLANK($C167),"",C167)</f>
        <v/>
      </c>
      <c r="U167" s="20">
        <f>IF(ISBLANK($C167),"",$D$1)</f>
        <v/>
      </c>
      <c r="V167" s="22">
        <f t="array" ref="V167">IF(ISBLANK($B167),"",IF(ISBLANK($K167),IF(XLOOKUP($W167,'Category Mapping'!$C:$C,'Category Mapping'!$B:$B)="Travel",XLOOKUP($P167,'Department Listing'!$A:$A,'Department Listing'!$M:$M),XLOOKUP($W167,'Category Mapping'!$C:$C,'Category Mapping'!$D:$D)),$K167))</f>
        <v/>
      </c>
      <c r="W167" s="22">
        <f>IF(ISBLANK($B167),"",IF(ISBLANK($L167),RIGHT($E167,LEN($E167) - FIND("^",SUBSTITUTE($E167,":","^",LEN($E167) - LEN(SUBSTITUTE($E167,":",""))))),$L167))</f>
        <v/>
      </c>
      <c r="X167" s="22">
        <f>IF(ISBLANK($J167),$V167&amp;$W167,$J167)</f>
        <v/>
      </c>
      <c r="Y167" s="23">
        <f t="array" ref="Y167">IF(ISBLANK($M167),IFERROR(XLOOKUP($P167,'Department Listing'!$A:$A,'Department Listing'!$L:$L),""),$M167)</f>
        <v/>
      </c>
      <c r="Z167" s="11">
        <f>IF(ISBLANK($B167),"",MATCH($X167,COA!$B:$B,0))</f>
        <v/>
      </c>
    </row>
    <row r="168" ht="15.75" customHeight="1" s="52">
      <c r="B168" s="17" t="n">
        <v>46169</v>
      </c>
      <c r="C168" s="18" t="inlineStr">
        <is>
          <t>Residence Inn New York Manhattan/Times Square MASTERCARD-544015XXXXXX8678-John Taylor</t>
        </is>
      </c>
      <c r="D168" s="18" t="inlineStr">
        <is>
          <t>Residence Inn by Marriot</t>
        </is>
      </c>
      <c r="E168" s="18" t="inlineStr">
        <is>
          <t>61230 Sales &amp; Marketing:Sales &amp; Marketing- Travel Expenses:Lodging</t>
        </is>
      </c>
      <c r="F168" s="19" t="n">
        <v>1</v>
      </c>
      <c r="H168" s="10" t="n"/>
      <c r="I168" s="9" t="n"/>
      <c r="J168" s="9" t="n"/>
      <c r="K168" s="9" t="n"/>
      <c r="L168" s="9" t="n"/>
      <c r="M168" s="9" t="n"/>
      <c r="N168" s="20" t="n"/>
      <c r="O168" s="20">
        <f>IF(C168="", "", TRIM(RIGHT(C168, LEN(C168) - FIND("@@", SUBSTITUTE(C168, "-", "@@", LEN(C168) - LEN(SUBSTITUTE(C168, "-", "")))))))</f>
        <v/>
      </c>
      <c r="P168" s="20">
        <f t="array" ref="P168">IFERROR(XLOOKUP(O168,'Department Listing'!$O$1:$O$395,'Department Listing'!$A$1:$A$395),IFERROR(XLOOKUP(O168,'Name Aliases'!$A$2:$A$1000,'Name Aliases'!$B$2:$B$1000),""))</f>
        <v/>
      </c>
      <c r="Q168" s="21">
        <f>IF(ISBLANK($C168),"",$B168)</f>
        <v/>
      </c>
      <c r="R168" s="20">
        <f>IF(ISBLANK($C168),"",IF(ISBLANK($I168),$D168,$I168))</f>
        <v/>
      </c>
      <c r="S168" s="22">
        <f>IF(ISBLANK($C168),"",$F168 - $G168)</f>
        <v/>
      </c>
      <c r="T168" s="20">
        <f>IF(ISBLANK($C168),"",C168)</f>
        <v/>
      </c>
      <c r="U168" s="20">
        <f>IF(ISBLANK($C168),"",$D$1)</f>
        <v/>
      </c>
      <c r="V168" s="22">
        <f t="array" ref="V168">IF(ISBLANK($B168),"",IF(ISBLANK($K168),IF(XLOOKUP($W168,'Category Mapping'!$C:$C,'Category Mapping'!$B:$B)="Travel",XLOOKUP($P168,'Department Listing'!$A:$A,'Department Listing'!$M:$M),XLOOKUP($W168,'Category Mapping'!$C:$C,'Category Mapping'!$D:$D)),$K168))</f>
        <v/>
      </c>
      <c r="W168" s="22">
        <f>IF(ISBLANK($B168),"",IF(ISBLANK($L168),RIGHT($E168,LEN($E168) - FIND("^",SUBSTITUTE($E168,":","^",LEN($E168) - LEN(SUBSTITUTE($E168,":",""))))),$L168))</f>
        <v/>
      </c>
      <c r="X168" s="22">
        <f>IF(ISBLANK($J168),$V168&amp;$W168,$J168)</f>
        <v/>
      </c>
      <c r="Y168" s="23">
        <f t="array" ref="Y168">IF(ISBLANK($M168),IFERROR(XLOOKUP($P168,'Department Listing'!$A:$A,'Department Listing'!$L:$L),""),$M168)</f>
        <v/>
      </c>
      <c r="Z168" s="11">
        <f>IF(ISBLANK($B168),"",MATCH($X168,COA!$B:$B,0))</f>
        <v/>
      </c>
    </row>
    <row r="169" ht="15.75" customHeight="1" s="52">
      <c r="B169" s="17" t="n"/>
      <c r="E169" s="26" t="n"/>
      <c r="F169" s="19" t="n"/>
      <c r="H169" s="10" t="n"/>
      <c r="I169" s="9" t="n"/>
      <c r="J169" s="9" t="n"/>
      <c r="K169" s="25" t="n"/>
      <c r="L169" s="9" t="n"/>
      <c r="M169" s="25" t="n"/>
      <c r="N169" s="20" t="n"/>
      <c r="O169" s="20">
        <f>IF(C169="", "", TRIM(RIGHT(C169, LEN(C169) - FIND("@@", SUBSTITUTE(C169, "-", "@@", LEN(C169) - LEN(SUBSTITUTE(C169, "-", "")))))))</f>
        <v/>
      </c>
      <c r="P169" s="20">
        <f t="array" ref="P169">IFERROR(XLOOKUP(O169,'Department Listing'!$O$1:$O$395,'Department Listing'!$A$1:$A$395),IFERROR(XLOOKUP(O169,'Name Aliases'!$A$2:$A$1000,'Name Aliases'!$B$2:$B$1000),""))</f>
        <v/>
      </c>
      <c r="Q169" s="21">
        <f>IF(ISBLANK($C169),"",$B169)</f>
        <v/>
      </c>
      <c r="R169" s="20">
        <f>IF(ISBLANK($C169),"",IF(ISBLANK($I169),$D169,$I169))</f>
        <v/>
      </c>
      <c r="S169" s="22">
        <f>IF(ISBLANK($C169),"",$F169 - $G169)</f>
        <v/>
      </c>
      <c r="T169" s="20">
        <f>IF(ISBLANK($C169),"",C169)</f>
        <v/>
      </c>
      <c r="U169" s="20">
        <f>IF(ISBLANK($C169),"",$D$1)</f>
        <v/>
      </c>
      <c r="V169" s="22">
        <f t="array" ref="V169">IF(ISBLANK($B169),"",IF(ISBLANK($K169),IF(XLOOKUP($W169,'Category Mapping'!$C:$C,'Category Mapping'!$B:$B)="Travel",XLOOKUP($P169,'Department Listing'!$A:$A,'Department Listing'!$M:$M),XLOOKUP($W169,'Category Mapping'!$C:$C,'Category Mapping'!$D:$D)),$K169))</f>
        <v/>
      </c>
      <c r="W169" s="22">
        <f>IF(ISBLANK($B169),"",IF(ISBLANK($L169),RIGHT($E169,LEN($E169) - FIND("^",SUBSTITUTE($E169,":","^",LEN($E169) - LEN(SUBSTITUTE($E169,":",""))))),$L169))</f>
        <v/>
      </c>
      <c r="X169" s="22">
        <f>IF(ISBLANK($J169),$V169&amp;$W169,$J169)</f>
        <v/>
      </c>
      <c r="Y169" s="23">
        <f t="array" ref="Y169">IF(ISBLANK($M169),IFERROR(XLOOKUP($P169,'Department Listing'!$A:$A,'Department Listing'!$L:$L),""),$M169)</f>
        <v/>
      </c>
      <c r="Z169" s="11">
        <f>IF(ISBLANK($B169),"",MATCH($X169,COA!$B:$B,0))</f>
        <v/>
      </c>
    </row>
    <row r="170" ht="15.75" customHeight="1" s="52">
      <c r="B170" s="17" t="n"/>
      <c r="E170" s="26" t="n"/>
      <c r="F170" s="19" t="n"/>
      <c r="H170" s="10" t="n"/>
      <c r="I170" s="9" t="n"/>
      <c r="J170" s="9" t="n"/>
      <c r="K170" s="9" t="n"/>
      <c r="L170" s="9" t="n"/>
      <c r="M170" s="9" t="n"/>
      <c r="N170" s="20" t="n"/>
      <c r="O170" s="20">
        <f>IF(C170="", "", TRIM(RIGHT(C170, LEN(C170) - FIND("@@", SUBSTITUTE(C170, "-", "@@", LEN(C170) - LEN(SUBSTITUTE(C170, "-", "")))))))</f>
        <v/>
      </c>
      <c r="P170" s="20">
        <f t="array" ref="P170">IFERROR(XLOOKUP(O170,'Department Listing'!$O$1:$O$395,'Department Listing'!$A$1:$A$395),IFERROR(XLOOKUP(O170,'Name Aliases'!$A$2:$A$1000,'Name Aliases'!$B$2:$B$1000),""))</f>
        <v/>
      </c>
      <c r="Q170" s="21">
        <f>IF(ISBLANK($C170),"",$B170)</f>
        <v/>
      </c>
      <c r="R170" s="20">
        <f>IF(ISBLANK($C170),"",IF(ISBLANK($I170),$D170,$I170))</f>
        <v/>
      </c>
      <c r="S170" s="22">
        <f>IF(ISBLANK($C170),"",$F170 - $G170)</f>
        <v/>
      </c>
      <c r="T170" s="20">
        <f>IF(ISBLANK($C170),"",C170)</f>
        <v/>
      </c>
      <c r="U170" s="20">
        <f>IF(ISBLANK($C170),"",$D$1)</f>
        <v/>
      </c>
      <c r="V170" s="22">
        <f t="array" ref="V170">IF(ISBLANK($B170),"",IF(ISBLANK($K170),IF(XLOOKUP($W170,'Category Mapping'!$C:$C,'Category Mapping'!$B:$B)="Travel",XLOOKUP($P170,'Department Listing'!$A:$A,'Department Listing'!$M:$M),XLOOKUP($W170,'Category Mapping'!$C:$C,'Category Mapping'!$D:$D)),$K170))</f>
        <v/>
      </c>
      <c r="W170" s="22">
        <f>IF(ISBLANK($B170),"",IF(ISBLANK($L170),RIGHT($E170,LEN($E170) - FIND("^",SUBSTITUTE($E170,":","^",LEN($E170) - LEN(SUBSTITUTE($E170,":",""))))),$L170))</f>
        <v/>
      </c>
      <c r="X170" s="22">
        <f>IF(ISBLANK($J170),$V170&amp;$W170,$J170)</f>
        <v/>
      </c>
      <c r="Y170" s="23">
        <f t="array" ref="Y170">IF(ISBLANK($M170),IFERROR(XLOOKUP($P170,'Department Listing'!$A:$A,'Department Listing'!$L:$L),""),$M170)</f>
        <v/>
      </c>
      <c r="Z170" s="11">
        <f>IF(ISBLANK($B170),"",MATCH($X170,COA!$B:$B,0))</f>
        <v/>
      </c>
    </row>
    <row r="171" ht="15.75" customHeight="1" s="52">
      <c r="B171" s="17" t="n"/>
      <c r="E171" s="26" t="n"/>
      <c r="F171" s="19" t="n"/>
      <c r="H171" s="10" t="n"/>
      <c r="I171" s="9" t="n"/>
      <c r="J171" s="9" t="n"/>
      <c r="K171" s="9" t="n"/>
      <c r="L171" s="9" t="n"/>
      <c r="M171" s="9" t="n"/>
      <c r="N171" s="20" t="n"/>
      <c r="O171" s="20">
        <f>IF(C171="", "", TRIM(RIGHT(C171, LEN(C171) - FIND("@@", SUBSTITUTE(C171, "-", "@@", LEN(C171) - LEN(SUBSTITUTE(C171, "-", "")))))))</f>
        <v/>
      </c>
      <c r="P171" s="20">
        <f t="array" ref="P171">IFERROR(XLOOKUP(O171,'Department Listing'!$O$1:$O$395,'Department Listing'!$A$1:$A$395),IFERROR(XLOOKUP(O171,'Name Aliases'!$A$2:$A$1000,'Name Aliases'!$B$2:$B$1000),""))</f>
        <v/>
      </c>
      <c r="Q171" s="21">
        <f>IF(ISBLANK($C171),"",$B171)</f>
        <v/>
      </c>
      <c r="R171" s="20">
        <f>IF(ISBLANK($C171),"",IF(ISBLANK($I171),$D171,$I171))</f>
        <v/>
      </c>
      <c r="S171" s="22">
        <f>IF(ISBLANK($C171),"",$F171 - $G171)</f>
        <v/>
      </c>
      <c r="T171" s="20">
        <f>IF(ISBLANK($C171),"",C171)</f>
        <v/>
      </c>
      <c r="U171" s="20">
        <f>IF(ISBLANK($C171),"",$D$1)</f>
        <v/>
      </c>
      <c r="V171" s="22">
        <f t="array" ref="V171">IF(ISBLANK($B171),"",IF(ISBLANK($K171),IF(XLOOKUP($W171,'Category Mapping'!$C:$C,'Category Mapping'!$B:$B)="Travel",XLOOKUP($P171,'Department Listing'!$A:$A,'Department Listing'!$M:$M),XLOOKUP($W171,'Category Mapping'!$C:$C,'Category Mapping'!$D:$D)),$K171))</f>
        <v/>
      </c>
      <c r="W171" s="22">
        <f>IF(ISBLANK($B171),"",IF(ISBLANK($L171),RIGHT($E171,LEN($E171) - FIND("^",SUBSTITUTE($E171,":","^",LEN($E171) - LEN(SUBSTITUTE($E171,":",""))))),$L171))</f>
        <v/>
      </c>
      <c r="X171" s="22">
        <f>IF(ISBLANK($J171),$V171&amp;$W171,$J171)</f>
        <v/>
      </c>
      <c r="Y171" s="23">
        <f t="array" ref="Y171">IF(ISBLANK($M171),IFERROR(XLOOKUP($P171,'Department Listing'!$A:$A,'Department Listing'!$L:$L),""),$M171)</f>
        <v/>
      </c>
      <c r="Z171" s="11">
        <f>IF(ISBLANK($B171),"",MATCH($X171,COA!$B:$B,0))</f>
        <v/>
      </c>
    </row>
    <row r="172" ht="15.75" customHeight="1" s="52">
      <c r="B172" s="17" t="n"/>
      <c r="E172" s="26" t="n"/>
      <c r="F172" s="19" t="n"/>
      <c r="H172" s="10" t="n"/>
      <c r="I172" s="9" t="n"/>
      <c r="J172" s="9" t="n"/>
      <c r="K172" s="9" t="n"/>
      <c r="L172" s="9" t="n"/>
      <c r="M172" s="9" t="n"/>
      <c r="N172" s="20" t="n"/>
      <c r="O172" s="20">
        <f>IF(C172="", "", TRIM(RIGHT(C172, LEN(C172) - FIND("@@", SUBSTITUTE(C172, "-", "@@", LEN(C172) - LEN(SUBSTITUTE(C172, "-", "")))))))</f>
        <v/>
      </c>
      <c r="P172" s="20">
        <f t="array" ref="P172">IFERROR(XLOOKUP(O172,'Department Listing'!$O$1:$O$395,'Department Listing'!$A$1:$A$395),IFERROR(XLOOKUP(O172,'Name Aliases'!$A$2:$A$1000,'Name Aliases'!$B$2:$B$1000),""))</f>
        <v/>
      </c>
      <c r="Q172" s="21">
        <f>IF(ISBLANK($C172),"",$B172)</f>
        <v/>
      </c>
      <c r="R172" s="20">
        <f>IF(ISBLANK($C172),"",IF(ISBLANK($I172),$D172,$I172))</f>
        <v/>
      </c>
      <c r="S172" s="22">
        <f>IF(ISBLANK($C172),"",$F172 - $G172)</f>
        <v/>
      </c>
      <c r="T172" s="20">
        <f>IF(ISBLANK($C172),"",C172)</f>
        <v/>
      </c>
      <c r="U172" s="20">
        <f>IF(ISBLANK($C172),"",$D$1)</f>
        <v/>
      </c>
      <c r="V172" s="22">
        <f t="array" ref="V172">IF(ISBLANK($B172),"",IF(ISBLANK($K172),IF(XLOOKUP($W172,'Category Mapping'!$C:$C,'Category Mapping'!$B:$B)="Travel",XLOOKUP($P172,'Department Listing'!$A:$A,'Department Listing'!$M:$M),XLOOKUP($W172,'Category Mapping'!$C:$C,'Category Mapping'!$D:$D)),$K172))</f>
        <v/>
      </c>
      <c r="W172" s="22">
        <f>IF(ISBLANK($B172),"",IF(ISBLANK($L172),RIGHT($E172,LEN($E172) - FIND("^",SUBSTITUTE($E172,":","^",LEN($E172) - LEN(SUBSTITUTE($E172,":",""))))),$L172))</f>
        <v/>
      </c>
      <c r="X172" s="22">
        <f>IF(ISBLANK($J172),$V172&amp;$W172,$J172)</f>
        <v/>
      </c>
      <c r="Y172" s="23">
        <f t="array" ref="Y172">IF(ISBLANK($M172),IFERROR(XLOOKUP($P172,'Department Listing'!$A:$A,'Department Listing'!$L:$L),""),$M172)</f>
        <v/>
      </c>
      <c r="Z172" s="11">
        <f>IF(ISBLANK($B172),"",MATCH($X172,COA!$B:$B,0))</f>
        <v/>
      </c>
    </row>
    <row r="173" ht="15.75" customHeight="1" s="52">
      <c r="B173" s="17" t="n"/>
      <c r="E173" s="26" t="n"/>
      <c r="F173" s="19" t="n"/>
      <c r="H173" s="10" t="n"/>
      <c r="I173" s="9" t="n"/>
      <c r="J173" s="9" t="n"/>
      <c r="K173" s="9" t="n"/>
      <c r="L173" s="9" t="n"/>
      <c r="M173" s="9" t="n"/>
      <c r="N173" s="20" t="n"/>
      <c r="O173" s="20">
        <f>IF(C173="", "", TRIM(RIGHT(C173, LEN(C173) - FIND("@@", SUBSTITUTE(C173, "-", "@@", LEN(C173) - LEN(SUBSTITUTE(C173, "-", "")))))))</f>
        <v/>
      </c>
      <c r="P173" s="20">
        <f t="array" ref="P173">IFERROR(XLOOKUP(O173,'Department Listing'!$O$1:$O$395,'Department Listing'!$A$1:$A$395),IFERROR(XLOOKUP(O173,'Name Aliases'!$A$2:$A$1000,'Name Aliases'!$B$2:$B$1000),""))</f>
        <v/>
      </c>
      <c r="Q173" s="21">
        <f>IF(ISBLANK($C173),"",$B173)</f>
        <v/>
      </c>
      <c r="R173" s="20">
        <f>IF(ISBLANK($C173),"",IF(ISBLANK($I173),$D173,$I173))</f>
        <v/>
      </c>
      <c r="S173" s="22">
        <f>IF(ISBLANK($C173),"",$F173 - $G173)</f>
        <v/>
      </c>
      <c r="T173" s="20">
        <f>IF(ISBLANK($C173),"",C173)</f>
        <v/>
      </c>
      <c r="U173" s="20">
        <f>IF(ISBLANK($C173),"",$D$1)</f>
        <v/>
      </c>
      <c r="V173" s="22">
        <f t="array" ref="V173">IF(ISBLANK($B173),"",IF(ISBLANK($K173),IF(XLOOKUP($W173,'Category Mapping'!$C:$C,'Category Mapping'!$B:$B)="Travel",XLOOKUP($P173,'Department Listing'!$A:$A,'Department Listing'!$M:$M),XLOOKUP($W173,'Category Mapping'!$C:$C,'Category Mapping'!$D:$D)),$K173))</f>
        <v/>
      </c>
      <c r="W173" s="22">
        <f>IF(ISBLANK($B173),"",IF(ISBLANK($L173),RIGHT($E173,LEN($E173) - FIND("^",SUBSTITUTE($E173,":","^",LEN($E173) - LEN(SUBSTITUTE($E173,":",""))))),$L173))</f>
        <v/>
      </c>
      <c r="X173" s="22">
        <f>IF(ISBLANK($J173),$V173&amp;$W173,$J173)</f>
        <v/>
      </c>
      <c r="Y173" s="23">
        <f t="array" ref="Y173">IF(ISBLANK($M173),IFERROR(XLOOKUP($P173,'Department Listing'!$A:$A,'Department Listing'!$L:$L),""),$M173)</f>
        <v/>
      </c>
      <c r="Z173" s="11">
        <f>IF(ISBLANK($B173),"",MATCH($X173,COA!$B:$B,0))</f>
        <v/>
      </c>
    </row>
    <row r="174" ht="15.75" customHeight="1" s="52">
      <c r="B174" s="17" t="n"/>
      <c r="E174" s="26" t="n"/>
      <c r="F174" s="19" t="n"/>
      <c r="H174" s="10" t="n"/>
      <c r="I174" s="9" t="n"/>
      <c r="J174" s="9" t="n"/>
      <c r="K174" s="9" t="n"/>
      <c r="L174" s="9" t="n"/>
      <c r="M174" s="9" t="n"/>
      <c r="N174" s="20" t="n"/>
      <c r="O174" s="20">
        <f>IF(C174="", "", TRIM(RIGHT(C174, LEN(C174) - FIND("@@", SUBSTITUTE(C174, "-", "@@", LEN(C174) - LEN(SUBSTITUTE(C174, "-", "")))))))</f>
        <v/>
      </c>
      <c r="P174" s="20">
        <f t="array" ref="P174">IFERROR(XLOOKUP(O174,'Department Listing'!$O$1:$O$395,'Department Listing'!$A$1:$A$395),IFERROR(XLOOKUP(O174,'Name Aliases'!$A$2:$A$1000,'Name Aliases'!$B$2:$B$1000),""))</f>
        <v/>
      </c>
      <c r="Q174" s="21">
        <f>IF(ISBLANK($C174),"",$B174)</f>
        <v/>
      </c>
      <c r="R174" s="20">
        <f>IF(ISBLANK($C174),"",IF(ISBLANK($I174),$D174,$I174))</f>
        <v/>
      </c>
      <c r="S174" s="22">
        <f>IF(ISBLANK($C174),"",$F174 - $G174)</f>
        <v/>
      </c>
      <c r="T174" s="20">
        <f>IF(ISBLANK($C174),"",C174)</f>
        <v/>
      </c>
      <c r="U174" s="20">
        <f>IF(ISBLANK($C174),"",$D$1)</f>
        <v/>
      </c>
      <c r="V174" s="22">
        <f t="array" ref="V174">IF(ISBLANK($B174),"",IF(ISBLANK($K174),IF(XLOOKUP($W174,'Category Mapping'!$C:$C,'Category Mapping'!$B:$B)="Travel",XLOOKUP($P174,'Department Listing'!$A:$A,'Department Listing'!$M:$M),XLOOKUP($W174,'Category Mapping'!$C:$C,'Category Mapping'!$D:$D)),$K174))</f>
        <v/>
      </c>
      <c r="W174" s="22">
        <f>IF(ISBLANK($B174),"",IF(ISBLANK($L174),RIGHT($E174,LEN($E174) - FIND("^",SUBSTITUTE($E174,":","^",LEN($E174) - LEN(SUBSTITUTE($E174,":",""))))),$L174))</f>
        <v/>
      </c>
      <c r="X174" s="22">
        <f>IF(ISBLANK($J174),$V174&amp;$W174,$J174)</f>
        <v/>
      </c>
      <c r="Y174" s="23">
        <f t="array" ref="Y174">IF(ISBLANK($M174),IFERROR(XLOOKUP($P174,'Department Listing'!$A:$A,'Department Listing'!$L:$L),""),$M174)</f>
        <v/>
      </c>
      <c r="Z174" s="11">
        <f>IF(ISBLANK($B174),"",MATCH($X174,COA!$B:$B,0))</f>
        <v/>
      </c>
    </row>
    <row r="175" ht="15.75" customHeight="1" s="52">
      <c r="B175" s="17" t="n"/>
      <c r="E175" s="26" t="n"/>
      <c r="F175" s="19" t="n"/>
      <c r="H175" s="10" t="n"/>
      <c r="I175" s="9" t="n"/>
      <c r="J175" s="9" t="n"/>
      <c r="K175" s="9" t="n"/>
      <c r="L175" s="9" t="n"/>
      <c r="M175" s="9" t="n"/>
      <c r="N175" s="20" t="n"/>
      <c r="O175" s="20">
        <f>IF(C175="", "", TRIM(RIGHT(C175, LEN(C175) - FIND("@@", SUBSTITUTE(C175, "-", "@@", LEN(C175) - LEN(SUBSTITUTE(C175, "-", "")))))))</f>
        <v/>
      </c>
      <c r="P175" s="20">
        <f t="array" ref="P175">IFERROR(XLOOKUP(O175,'Department Listing'!$O$1:$O$395,'Department Listing'!$A$1:$A$395),IFERROR(XLOOKUP(O175,'Name Aliases'!$A$2:$A$1000,'Name Aliases'!$B$2:$B$1000),""))</f>
        <v/>
      </c>
      <c r="Q175" s="21">
        <f>IF(ISBLANK($C175),"",$B175)</f>
        <v/>
      </c>
      <c r="R175" s="20">
        <f>IF(ISBLANK($C175),"",IF(ISBLANK($I175),$D175,$I175))</f>
        <v/>
      </c>
      <c r="S175" s="22">
        <f>IF(ISBLANK($C175),"",$F175 - $G175)</f>
        <v/>
      </c>
      <c r="T175" s="20">
        <f>IF(ISBLANK($C175),"",C175)</f>
        <v/>
      </c>
      <c r="U175" s="20">
        <f>IF(ISBLANK($C175),"",$D$1)</f>
        <v/>
      </c>
      <c r="V175" s="22">
        <f t="array" ref="V175">IF(ISBLANK($B175),"",IF(ISBLANK($K175),IF(XLOOKUP($W175,'Category Mapping'!$C:$C,'Category Mapping'!$B:$B)="Travel",XLOOKUP($P175,'Department Listing'!$A:$A,'Department Listing'!$M:$M),XLOOKUP($W175,'Category Mapping'!$C:$C,'Category Mapping'!$D:$D)),$K175))</f>
        <v/>
      </c>
      <c r="W175" s="22">
        <f>IF(ISBLANK($B175),"",IF(ISBLANK($L175),RIGHT($E175,LEN($E175) - FIND("^",SUBSTITUTE($E175,":","^",LEN($E175) - LEN(SUBSTITUTE($E175,":",""))))),$L175))</f>
        <v/>
      </c>
      <c r="X175" s="22">
        <f>IF(ISBLANK($J175),$V175&amp;$W175,$J175)</f>
        <v/>
      </c>
      <c r="Y175" s="23">
        <f t="array" ref="Y175">IF(ISBLANK($M175),IFERROR(XLOOKUP($P175,'Department Listing'!$A:$A,'Department Listing'!$L:$L),""),$M175)</f>
        <v/>
      </c>
      <c r="Z175" s="11">
        <f>IF(ISBLANK($B175),"",MATCH($X175,COA!$B:$B,0))</f>
        <v/>
      </c>
    </row>
    <row r="176" ht="15.75" customHeight="1" s="52">
      <c r="B176" s="17" t="n"/>
      <c r="E176" s="26" t="n"/>
      <c r="F176" s="19" t="n"/>
      <c r="H176" s="10" t="n"/>
      <c r="I176" s="9" t="n"/>
      <c r="J176" s="9" t="n"/>
      <c r="K176" s="9" t="n"/>
      <c r="L176" s="9" t="n"/>
      <c r="M176" s="9" t="n"/>
      <c r="N176" s="20" t="n"/>
      <c r="O176" s="20">
        <f>IF(C176="", "", TRIM(RIGHT(C176, LEN(C176) - FIND("@@", SUBSTITUTE(C176, "-", "@@", LEN(C176) - LEN(SUBSTITUTE(C176, "-", "")))))))</f>
        <v/>
      </c>
      <c r="P176" s="20">
        <f t="array" ref="P176">IFERROR(XLOOKUP(O176,'Department Listing'!$O$1:$O$395,'Department Listing'!$A$1:$A$395),IFERROR(XLOOKUP(O176,'Name Aliases'!$A$2:$A$1000,'Name Aliases'!$B$2:$B$1000),""))</f>
        <v/>
      </c>
      <c r="Q176" s="21">
        <f>IF(ISBLANK($C176),"",$B176)</f>
        <v/>
      </c>
      <c r="R176" s="20">
        <f>IF(ISBLANK($C176),"",IF(ISBLANK($I176),$D176,$I176))</f>
        <v/>
      </c>
      <c r="S176" s="22">
        <f>IF(ISBLANK($C176),"",$F176 - $G176)</f>
        <v/>
      </c>
      <c r="T176" s="20">
        <f>IF(ISBLANK($C176),"",C176)</f>
        <v/>
      </c>
      <c r="U176" s="20">
        <f>IF(ISBLANK($C176),"",$D$1)</f>
        <v/>
      </c>
      <c r="V176" s="22">
        <f t="array" ref="V176">IF(ISBLANK($B176),"",IF(ISBLANK($K176),IF(XLOOKUP($W176,'Category Mapping'!$C:$C,'Category Mapping'!$B:$B)="Travel",XLOOKUP($P176,'Department Listing'!$A:$A,'Department Listing'!$M:$M),XLOOKUP($W176,'Category Mapping'!$C:$C,'Category Mapping'!$D:$D)),$K176))</f>
        <v/>
      </c>
      <c r="W176" s="22">
        <f>IF(ISBLANK($B176),"",IF(ISBLANK($L176),RIGHT($E176,LEN($E176) - FIND("^",SUBSTITUTE($E176,":","^",LEN($E176) - LEN(SUBSTITUTE($E176,":",""))))),$L176))</f>
        <v/>
      </c>
      <c r="X176" s="22">
        <f>IF(ISBLANK($J176),$V176&amp;$W176,$J176)</f>
        <v/>
      </c>
      <c r="Y176" s="23">
        <f t="array" ref="Y176">IF(ISBLANK($M176),IFERROR(XLOOKUP($P176,'Department Listing'!$A:$A,'Department Listing'!$L:$L),""),$M176)</f>
        <v/>
      </c>
      <c r="Z176" s="11">
        <f>IF(ISBLANK($B176),"",MATCH($X176,COA!$B:$B,0))</f>
        <v/>
      </c>
    </row>
    <row r="177" ht="15.75" customHeight="1" s="52">
      <c r="B177" s="17" t="n"/>
      <c r="E177" s="26" t="n"/>
      <c r="F177" s="19" t="n"/>
      <c r="H177" s="10" t="n"/>
      <c r="I177" s="9" t="n"/>
      <c r="J177" s="9" t="n"/>
      <c r="K177" s="9" t="n"/>
      <c r="L177" s="9" t="n"/>
      <c r="M177" s="9" t="n"/>
      <c r="N177" s="20" t="n"/>
      <c r="O177" s="20">
        <f>IF(C177="", "", TRIM(RIGHT(C177, LEN(C177) - FIND("@@", SUBSTITUTE(C177, "-", "@@", LEN(C177) - LEN(SUBSTITUTE(C177, "-", "")))))))</f>
        <v/>
      </c>
      <c r="P177" s="20">
        <f t="array" ref="P177">IFERROR(XLOOKUP(O177,'Department Listing'!$O$1:$O$395,'Department Listing'!$A$1:$A$395),IFERROR(XLOOKUP(O177,'Name Aliases'!$A$2:$A$1000,'Name Aliases'!$B$2:$B$1000),""))</f>
        <v/>
      </c>
      <c r="Q177" s="21">
        <f>IF(ISBLANK($C177),"",$B177)</f>
        <v/>
      </c>
      <c r="R177" s="20">
        <f>IF(ISBLANK($C177),"",IF(ISBLANK($I177),$D177,$I177))</f>
        <v/>
      </c>
      <c r="S177" s="22">
        <f>IF(ISBLANK($C177),"",$F177 - $G177)</f>
        <v/>
      </c>
      <c r="T177" s="20">
        <f>IF(ISBLANK($C177),"",C177)</f>
        <v/>
      </c>
      <c r="U177" s="20">
        <f>IF(ISBLANK($C177),"",$D$1)</f>
        <v/>
      </c>
      <c r="V177" s="22">
        <f t="array" ref="V177">IF(ISBLANK($B177),"",IF(ISBLANK($K177),IF(XLOOKUP($W177,'Category Mapping'!$C:$C,'Category Mapping'!$B:$B)="Travel",XLOOKUP($P177,'Department Listing'!$A:$A,'Department Listing'!$M:$M),XLOOKUP($W177,'Category Mapping'!$C:$C,'Category Mapping'!$D:$D)),$K177))</f>
        <v/>
      </c>
      <c r="W177" s="22">
        <f>IF(ISBLANK($B177),"",IF(ISBLANK($L177),RIGHT($E177,LEN($E177) - FIND("^",SUBSTITUTE($E177,":","^",LEN($E177) - LEN(SUBSTITUTE($E177,":",""))))),$L177))</f>
        <v/>
      </c>
      <c r="X177" s="22">
        <f>IF(ISBLANK($J177),$V177&amp;$W177,$J177)</f>
        <v/>
      </c>
      <c r="Y177" s="23">
        <f t="array" ref="Y177">IF(ISBLANK($M177),IFERROR(XLOOKUP($P177,'Department Listing'!$A:$A,'Department Listing'!$L:$L),""),$M177)</f>
        <v/>
      </c>
      <c r="Z177" s="11">
        <f>IF(ISBLANK($B177),"",MATCH($X177,COA!$B:$B,0))</f>
        <v/>
      </c>
    </row>
    <row r="178" ht="15.75" customHeight="1" s="52">
      <c r="B178" s="17" t="n"/>
      <c r="E178" s="26" t="n"/>
      <c r="F178" s="19" t="n"/>
      <c r="H178" s="10" t="n"/>
      <c r="I178" s="9" t="n"/>
      <c r="J178" s="9" t="n"/>
      <c r="K178" s="9" t="n"/>
      <c r="L178" s="9" t="n"/>
      <c r="M178" s="9" t="n"/>
      <c r="N178" s="20" t="n"/>
      <c r="O178" s="20">
        <f>IF(C178="", "", TRIM(RIGHT(C178, LEN(C178) - FIND("@@", SUBSTITUTE(C178, "-", "@@", LEN(C178) - LEN(SUBSTITUTE(C178, "-", "")))))))</f>
        <v/>
      </c>
      <c r="P178" s="20">
        <f t="array" ref="P178">IFERROR(XLOOKUP(O178,'Department Listing'!$O$1:$O$395,'Department Listing'!$A$1:$A$395),IFERROR(XLOOKUP(O178,'Name Aliases'!$A$2:$A$1000,'Name Aliases'!$B$2:$B$1000),""))</f>
        <v/>
      </c>
      <c r="Q178" s="21">
        <f>IF(ISBLANK($C178),"",$B178)</f>
        <v/>
      </c>
      <c r="R178" s="20">
        <f>IF(ISBLANK($C178),"",IF(ISBLANK($I178),$D178,$I178))</f>
        <v/>
      </c>
      <c r="S178" s="22">
        <f>IF(ISBLANK($C178),"",$F178 - $G178)</f>
        <v/>
      </c>
      <c r="T178" s="20">
        <f>IF(ISBLANK($C178),"",C178)</f>
        <v/>
      </c>
      <c r="U178" s="20">
        <f>IF(ISBLANK($C178),"",$D$1)</f>
        <v/>
      </c>
      <c r="V178" s="22">
        <f t="array" ref="V178">IF(ISBLANK($B178),"",IF(ISBLANK($K178),IF(XLOOKUP($W178,'Category Mapping'!$C:$C,'Category Mapping'!$B:$B)="Travel",XLOOKUP($P178,'Department Listing'!$A:$A,'Department Listing'!$M:$M),XLOOKUP($W178,'Category Mapping'!$C:$C,'Category Mapping'!$D:$D)),$K178))</f>
        <v/>
      </c>
      <c r="W178" s="22">
        <f>IF(ISBLANK($B178),"",IF(ISBLANK($L178),RIGHT($E178,LEN($E178) - FIND("^",SUBSTITUTE($E178,":","^",LEN($E178) - LEN(SUBSTITUTE($E178,":",""))))),$L178))</f>
        <v/>
      </c>
      <c r="X178" s="22">
        <f>IF(ISBLANK($J178),$V178&amp;$W178,$J178)</f>
        <v/>
      </c>
      <c r="Y178" s="23">
        <f t="array" ref="Y178">IF(ISBLANK($M178),IFERROR(XLOOKUP($P178,'Department Listing'!$A:$A,'Department Listing'!$L:$L),""),$M178)</f>
        <v/>
      </c>
      <c r="Z178" s="11">
        <f>IF(ISBLANK($B178),"",MATCH($X178,COA!$B:$B,0))</f>
        <v/>
      </c>
    </row>
    <row r="179" ht="15.75" customHeight="1" s="52">
      <c r="B179" s="17" t="n"/>
      <c r="E179" s="26" t="n"/>
      <c r="F179" s="19" t="n"/>
      <c r="H179" s="10" t="n"/>
      <c r="I179" s="9" t="n"/>
      <c r="J179" s="9" t="n"/>
      <c r="K179" s="9" t="n"/>
      <c r="L179" s="9" t="n"/>
      <c r="M179" s="9" t="n"/>
      <c r="N179" s="20" t="n"/>
      <c r="O179" s="20">
        <f>IF(C179="", "", TRIM(RIGHT(C179, LEN(C179) - FIND("@@", SUBSTITUTE(C179, "-", "@@", LEN(C179) - LEN(SUBSTITUTE(C179, "-", "")))))))</f>
        <v/>
      </c>
      <c r="P179" s="20">
        <f t="array" ref="P179">IFERROR(XLOOKUP(O179,'Department Listing'!$O$1:$O$395,'Department Listing'!$A$1:$A$395),IFERROR(XLOOKUP(O179,'Name Aliases'!$A$2:$A$1000,'Name Aliases'!$B$2:$B$1000),""))</f>
        <v/>
      </c>
      <c r="Q179" s="21">
        <f>IF(ISBLANK($C179),"",$B179)</f>
        <v/>
      </c>
      <c r="R179" s="20">
        <f>IF(ISBLANK($C179),"",IF(ISBLANK($I179),$D179,$I179))</f>
        <v/>
      </c>
      <c r="S179" s="22">
        <f>IF(ISBLANK($C179),"",$F179 - $G179)</f>
        <v/>
      </c>
      <c r="T179" s="20">
        <f>IF(ISBLANK($C179),"",C179)</f>
        <v/>
      </c>
      <c r="U179" s="20">
        <f>IF(ISBLANK($C179),"",$D$1)</f>
        <v/>
      </c>
      <c r="V179" s="22">
        <f t="array" ref="V179">IF(ISBLANK($B179),"",IF(ISBLANK($K179),IF(XLOOKUP($W179,'Category Mapping'!$C:$C,'Category Mapping'!$B:$B)="Travel",XLOOKUP($P179,'Department Listing'!$A:$A,'Department Listing'!$M:$M),XLOOKUP($W179,'Category Mapping'!$C:$C,'Category Mapping'!$D:$D)),$K179))</f>
        <v/>
      </c>
      <c r="W179" s="22">
        <f>IF(ISBLANK($B179),"",IF(ISBLANK($L179),RIGHT($E179,LEN($E179) - FIND("^",SUBSTITUTE($E179,":","^",LEN($E179) - LEN(SUBSTITUTE($E179,":",""))))),$L179))</f>
        <v/>
      </c>
      <c r="X179" s="22">
        <f>IF(ISBLANK($J179),$V179&amp;$W179,$J179)</f>
        <v/>
      </c>
      <c r="Y179" s="23">
        <f t="array" ref="Y179">IF(ISBLANK($M179),IFERROR(XLOOKUP($P179,'Department Listing'!$A:$A,'Department Listing'!$L:$L),""),$M179)</f>
        <v/>
      </c>
      <c r="Z179" s="11">
        <f>IF(ISBLANK($B179),"",MATCH($X179,COA!$B:$B,0))</f>
        <v/>
      </c>
    </row>
    <row r="180" ht="15.75" customHeight="1" s="52">
      <c r="B180" s="17" t="n"/>
      <c r="E180" s="26" t="n"/>
      <c r="F180" s="19" t="n"/>
      <c r="H180" s="10" t="n"/>
      <c r="I180" s="9" t="n"/>
      <c r="J180" s="9" t="n"/>
      <c r="K180" s="9" t="n"/>
      <c r="L180" s="9" t="n"/>
      <c r="M180" s="9" t="n"/>
      <c r="N180" s="20" t="n"/>
      <c r="O180" s="20">
        <f>IF(C180="", "", TRIM(RIGHT(C180, LEN(C180) - FIND("@@", SUBSTITUTE(C180, "-", "@@", LEN(C180) - LEN(SUBSTITUTE(C180, "-", "")))))))</f>
        <v/>
      </c>
      <c r="P180" s="20">
        <f t="array" ref="P180">IFERROR(XLOOKUP(O180,'Department Listing'!$O$1:$O$395,'Department Listing'!$A$1:$A$395),IFERROR(XLOOKUP(O180,'Name Aliases'!$A$2:$A$1000,'Name Aliases'!$B$2:$B$1000),""))</f>
        <v/>
      </c>
      <c r="Q180" s="21">
        <f>IF(ISBLANK($C180),"",$B180)</f>
        <v/>
      </c>
      <c r="R180" s="20">
        <f>IF(ISBLANK($C180),"",IF(ISBLANK($I180),$D180,$I180))</f>
        <v/>
      </c>
      <c r="S180" s="22">
        <f>IF(ISBLANK($C180),"",$F180 - $G180)</f>
        <v/>
      </c>
      <c r="T180" s="20">
        <f>IF(ISBLANK($C180),"",C180)</f>
        <v/>
      </c>
      <c r="U180" s="20">
        <f>IF(ISBLANK($C180),"",$D$1)</f>
        <v/>
      </c>
      <c r="V180" s="22">
        <f t="array" ref="V180">IF(ISBLANK($B180),"",IF(ISBLANK($K180),IF(XLOOKUP($W180,'Category Mapping'!$C:$C,'Category Mapping'!$B:$B)="Travel",XLOOKUP($P180,'Department Listing'!$A:$A,'Department Listing'!$M:$M),XLOOKUP($W180,'Category Mapping'!$C:$C,'Category Mapping'!$D:$D)),$K180))</f>
        <v/>
      </c>
      <c r="W180" s="22">
        <f>IF(ISBLANK($B180),"",IF(ISBLANK($L180),RIGHT($E180,LEN($E180) - FIND("^",SUBSTITUTE($E180,":","^",LEN($E180) - LEN(SUBSTITUTE($E180,":",""))))),$L180))</f>
        <v/>
      </c>
      <c r="X180" s="22">
        <f>IF(ISBLANK($J180),$V180&amp;$W180,$J180)</f>
        <v/>
      </c>
      <c r="Y180" s="23">
        <f t="array" ref="Y180">IF(ISBLANK($M180),IFERROR(XLOOKUP($P180,'Department Listing'!$A:$A,'Department Listing'!$L:$L),""),$M180)</f>
        <v/>
      </c>
      <c r="Z180" s="11">
        <f>IF(ISBLANK($B180),"",MATCH($X180,COA!$B:$B,0))</f>
        <v/>
      </c>
    </row>
    <row r="181" ht="15.75" customHeight="1" s="52">
      <c r="B181" s="17" t="n"/>
      <c r="E181" s="26" t="n"/>
      <c r="F181" s="19" t="n"/>
      <c r="H181" s="10" t="n"/>
      <c r="I181" s="9" t="n"/>
      <c r="J181" s="9" t="n"/>
      <c r="K181" s="9" t="n"/>
      <c r="L181" s="9" t="n"/>
      <c r="M181" s="9" t="n"/>
      <c r="N181" s="20" t="n"/>
      <c r="O181" s="20">
        <f>IF(C181="", "", TRIM(RIGHT(C181, LEN(C181) - FIND("@@", SUBSTITUTE(C181, "-", "@@", LEN(C181) - LEN(SUBSTITUTE(C181, "-", "")))))))</f>
        <v/>
      </c>
      <c r="P181" s="20">
        <f t="array" ref="P181">IFERROR(XLOOKUP(O181,'Department Listing'!$O$1:$O$395,'Department Listing'!$A$1:$A$395),IFERROR(XLOOKUP(O181,'Name Aliases'!$A$2:$A$1000,'Name Aliases'!$B$2:$B$1000),""))</f>
        <v/>
      </c>
      <c r="Q181" s="21">
        <f>IF(ISBLANK($C181),"",$B181)</f>
        <v/>
      </c>
      <c r="R181" s="20">
        <f>IF(ISBLANK($C181),"",IF(ISBLANK($I181),$D181,$I181))</f>
        <v/>
      </c>
      <c r="S181" s="22">
        <f>IF(ISBLANK($C181),"",$F181 - $G181)</f>
        <v/>
      </c>
      <c r="T181" s="20">
        <f>IF(ISBLANK($C181),"",C181)</f>
        <v/>
      </c>
      <c r="U181" s="20">
        <f>IF(ISBLANK($C181),"",$D$1)</f>
        <v/>
      </c>
      <c r="V181" s="22">
        <f t="array" ref="V181">IF(ISBLANK($B181),"",IF(ISBLANK($K181),IF(XLOOKUP($W181,'Category Mapping'!$C:$C,'Category Mapping'!$B:$B)="Travel",XLOOKUP($P181,'Department Listing'!$A:$A,'Department Listing'!$M:$M),XLOOKUP($W181,'Category Mapping'!$C:$C,'Category Mapping'!$D:$D)),$K181))</f>
        <v/>
      </c>
      <c r="W181" s="22">
        <f>IF(ISBLANK($B181),"",IF(ISBLANK($L181),RIGHT($E181,LEN($E181) - FIND("^",SUBSTITUTE($E181,":","^",LEN($E181) - LEN(SUBSTITUTE($E181,":",""))))),$L181))</f>
        <v/>
      </c>
      <c r="X181" s="22">
        <f>IF(ISBLANK($J181),$V181&amp;$W181,$J181)</f>
        <v/>
      </c>
      <c r="Y181" s="23">
        <f t="array" ref="Y181">IF(ISBLANK($M181),IFERROR(XLOOKUP($P181,'Department Listing'!$A:$A,'Department Listing'!$L:$L),""),$M181)</f>
        <v/>
      </c>
      <c r="Z181" s="11">
        <f>IF(ISBLANK($B181),"",MATCH($X181,COA!$B:$B,0))</f>
        <v/>
      </c>
    </row>
    <row r="182" ht="15.75" customHeight="1" s="52">
      <c r="B182" s="17" t="n"/>
      <c r="E182" s="26" t="n"/>
      <c r="F182" s="19" t="n"/>
      <c r="H182" s="10" t="n"/>
      <c r="I182" s="9" t="n"/>
      <c r="J182" s="9" t="n"/>
      <c r="K182" s="9" t="n"/>
      <c r="L182" s="9" t="n"/>
      <c r="M182" s="9" t="n"/>
      <c r="N182" s="20" t="n"/>
      <c r="O182" s="20">
        <f>IF(C182="", "", TRIM(RIGHT(C182, LEN(C182) - FIND("@@", SUBSTITUTE(C182, "-", "@@", LEN(C182) - LEN(SUBSTITUTE(C182, "-", "")))))))</f>
        <v/>
      </c>
      <c r="P182" s="20">
        <f t="array" ref="P182">IFERROR(XLOOKUP(O182,'Department Listing'!$O$1:$O$395,'Department Listing'!$A$1:$A$395),IFERROR(XLOOKUP(O182,'Name Aliases'!$A$2:$A$1000,'Name Aliases'!$B$2:$B$1000),""))</f>
        <v/>
      </c>
      <c r="Q182" s="21">
        <f>IF(ISBLANK($C182),"",$B182)</f>
        <v/>
      </c>
      <c r="R182" s="20">
        <f>IF(ISBLANK($C182),"",IF(ISBLANK($I182),$D182,$I182))</f>
        <v/>
      </c>
      <c r="S182" s="22">
        <f>IF(ISBLANK($C182),"",$F182 - $G182)</f>
        <v/>
      </c>
      <c r="T182" s="20">
        <f>IF(ISBLANK($C182),"",C182)</f>
        <v/>
      </c>
      <c r="U182" s="20">
        <f>IF(ISBLANK($C182),"",$D$1)</f>
        <v/>
      </c>
      <c r="V182" s="22">
        <f t="array" ref="V182">IF(ISBLANK($B182),"",IF(ISBLANK($K182),IF(XLOOKUP($W182,'Category Mapping'!$C:$C,'Category Mapping'!$B:$B)="Travel",XLOOKUP($P182,'Department Listing'!$A:$A,'Department Listing'!$M:$M),XLOOKUP($W182,'Category Mapping'!$C:$C,'Category Mapping'!$D:$D)),$K182))</f>
        <v/>
      </c>
      <c r="W182" s="22">
        <f>IF(ISBLANK($B182),"",IF(ISBLANK($L182),RIGHT($E182,LEN($E182) - FIND("^",SUBSTITUTE($E182,":","^",LEN($E182) - LEN(SUBSTITUTE($E182,":",""))))),$L182))</f>
        <v/>
      </c>
      <c r="X182" s="22">
        <f>IF(ISBLANK($J182),$V182&amp;$W182,$J182)</f>
        <v/>
      </c>
      <c r="Y182" s="23">
        <f t="array" ref="Y182">IF(ISBLANK($M182),IFERROR(XLOOKUP($P182,'Department Listing'!$A:$A,'Department Listing'!$L:$L),""),$M182)</f>
        <v/>
      </c>
      <c r="Z182" s="11">
        <f>IF(ISBLANK($B182),"",MATCH($X182,COA!$B:$B,0))</f>
        <v/>
      </c>
    </row>
    <row r="183" ht="15.75" customHeight="1" s="52">
      <c r="B183" s="17" t="n"/>
      <c r="E183" s="26" t="n"/>
      <c r="F183" s="19" t="n"/>
      <c r="H183" s="10" t="n"/>
      <c r="I183" s="9" t="n"/>
      <c r="J183" s="9" t="n"/>
      <c r="K183" s="9" t="n"/>
      <c r="L183" s="9" t="n"/>
      <c r="M183" s="9" t="n"/>
      <c r="N183" s="20" t="n"/>
      <c r="O183" s="20">
        <f>IF(C183="", "", TRIM(RIGHT(C183, LEN(C183) - FIND("@@", SUBSTITUTE(C183, "-", "@@", LEN(C183) - LEN(SUBSTITUTE(C183, "-", "")))))))</f>
        <v/>
      </c>
      <c r="P183" s="20">
        <f t="array" ref="P183">IFERROR(XLOOKUP(O183,'Department Listing'!$O$1:$O$395,'Department Listing'!$A$1:$A$395),IFERROR(XLOOKUP(O183,'Name Aliases'!$A$2:$A$1000,'Name Aliases'!$B$2:$B$1000),""))</f>
        <v/>
      </c>
      <c r="Q183" s="21">
        <f>IF(ISBLANK($C183),"",$B183)</f>
        <v/>
      </c>
      <c r="R183" s="20">
        <f>IF(ISBLANK($C183),"",IF(ISBLANK($I183),$D183,$I183))</f>
        <v/>
      </c>
      <c r="S183" s="22">
        <f>IF(ISBLANK($C183),"",$F183 - $G183)</f>
        <v/>
      </c>
      <c r="T183" s="20">
        <f>IF(ISBLANK($C183),"",C183)</f>
        <v/>
      </c>
      <c r="U183" s="20">
        <f>IF(ISBLANK($C183),"",$D$1)</f>
        <v/>
      </c>
      <c r="V183" s="22">
        <f t="array" ref="V183">IF(ISBLANK($B183),"",IF(ISBLANK($K183),IF(XLOOKUP($W183,'Category Mapping'!$C:$C,'Category Mapping'!$B:$B)="Travel",XLOOKUP($P183,'Department Listing'!$A:$A,'Department Listing'!$M:$M),XLOOKUP($W183,'Category Mapping'!$C:$C,'Category Mapping'!$D:$D)),$K183))</f>
        <v/>
      </c>
      <c r="W183" s="22">
        <f>IF(ISBLANK($B183),"",IF(ISBLANK($L183),RIGHT($E183,LEN($E183) - FIND("^",SUBSTITUTE($E183,":","^",LEN($E183) - LEN(SUBSTITUTE($E183,":",""))))),$L183))</f>
        <v/>
      </c>
      <c r="X183" s="22">
        <f>IF(ISBLANK($J183),$V183&amp;$W183,$J183)</f>
        <v/>
      </c>
      <c r="Y183" s="23">
        <f t="array" ref="Y183">IF(ISBLANK($M183),IFERROR(XLOOKUP($P183,'Department Listing'!$A:$A,'Department Listing'!$L:$L),""),$M183)</f>
        <v/>
      </c>
      <c r="Z183" s="11">
        <f>IF(ISBLANK($B183),"",MATCH($X183,COA!$B:$B,0))</f>
        <v/>
      </c>
    </row>
    <row r="184" ht="15.75" customHeight="1" s="52">
      <c r="B184" s="17" t="n"/>
      <c r="E184" s="26" t="n"/>
      <c r="F184" s="19" t="n"/>
      <c r="H184" s="10" t="n"/>
      <c r="I184" s="9" t="n"/>
      <c r="J184" s="9" t="n"/>
      <c r="K184" s="9" t="n"/>
      <c r="L184" s="9" t="n"/>
      <c r="M184" s="9" t="n"/>
      <c r="N184" s="20" t="n"/>
      <c r="O184" s="20">
        <f>IF(C184="", "", TRIM(RIGHT(C184, LEN(C184) - FIND("@@", SUBSTITUTE(C184, "-", "@@", LEN(C184) - LEN(SUBSTITUTE(C184, "-", "")))))))</f>
        <v/>
      </c>
      <c r="P184" s="20">
        <f t="array" ref="P184">IFERROR(XLOOKUP(O184,'Department Listing'!$O$1:$O$395,'Department Listing'!$A$1:$A$395),IFERROR(XLOOKUP(O184,'Name Aliases'!$A$2:$A$1000,'Name Aliases'!$B$2:$B$1000),""))</f>
        <v/>
      </c>
      <c r="Q184" s="21">
        <f>IF(ISBLANK($C184),"",$B184)</f>
        <v/>
      </c>
      <c r="R184" s="20">
        <f>IF(ISBLANK($C184),"",IF(ISBLANK($I184),$D184,$I184))</f>
        <v/>
      </c>
      <c r="S184" s="22">
        <f>IF(ISBLANK($C184),"",$F184 - $G184)</f>
        <v/>
      </c>
      <c r="T184" s="20">
        <f>IF(ISBLANK($C184),"",C184)</f>
        <v/>
      </c>
      <c r="U184" s="20">
        <f>IF(ISBLANK($C184),"",$D$1)</f>
        <v/>
      </c>
      <c r="V184" s="22">
        <f t="array" ref="V184">IF(ISBLANK($B184),"",IF(ISBLANK($K184),IF(XLOOKUP($W184,'Category Mapping'!$C:$C,'Category Mapping'!$B:$B)="Travel",XLOOKUP($P184,'Department Listing'!$A:$A,'Department Listing'!$M:$M),XLOOKUP($W184,'Category Mapping'!$C:$C,'Category Mapping'!$D:$D)),$K184))</f>
        <v/>
      </c>
      <c r="W184" s="22">
        <f>IF(ISBLANK($B184),"",IF(ISBLANK($L184),RIGHT($E184,LEN($E184) - FIND("^",SUBSTITUTE($E184,":","^",LEN($E184) - LEN(SUBSTITUTE($E184,":",""))))),$L184))</f>
        <v/>
      </c>
      <c r="X184" s="22">
        <f>IF(ISBLANK($J184),$V184&amp;$W184,$J184)</f>
        <v/>
      </c>
      <c r="Y184" s="23">
        <f t="array" ref="Y184">IF(ISBLANK($M184),IFERROR(XLOOKUP($P184,'Department Listing'!$A:$A,'Department Listing'!$L:$L),""),$M184)</f>
        <v/>
      </c>
      <c r="Z184" s="11">
        <f>IF(ISBLANK($B184),"",MATCH($X184,COA!$B:$B,0))</f>
        <v/>
      </c>
    </row>
    <row r="185" ht="15.75" customHeight="1" s="52">
      <c r="B185" s="17" t="n"/>
      <c r="E185" s="26" t="n"/>
      <c r="F185" s="19" t="n"/>
      <c r="H185" s="10" t="n"/>
      <c r="I185" s="9" t="n"/>
      <c r="J185" s="9" t="n"/>
      <c r="K185" s="9" t="n"/>
      <c r="L185" s="9" t="n"/>
      <c r="M185" s="9" t="n"/>
      <c r="N185" s="20" t="n"/>
      <c r="O185" s="20">
        <f>IF(C185="", "", TRIM(RIGHT(C185, LEN(C185) - FIND("@@", SUBSTITUTE(C185, "-", "@@", LEN(C185) - LEN(SUBSTITUTE(C185, "-", "")))))))</f>
        <v/>
      </c>
      <c r="P185" s="20">
        <f t="array" ref="P185">IFERROR(XLOOKUP(O185,'Department Listing'!$O$1:$O$395,'Department Listing'!$A$1:$A$395),IFERROR(XLOOKUP(O185,'Name Aliases'!$A$2:$A$1000,'Name Aliases'!$B$2:$B$1000),""))</f>
        <v/>
      </c>
      <c r="Q185" s="21">
        <f>IF(ISBLANK($C185),"",$B185)</f>
        <v/>
      </c>
      <c r="R185" s="20">
        <f>IF(ISBLANK($C185),"",IF(ISBLANK($I185),$D185,$I185))</f>
        <v/>
      </c>
      <c r="S185" s="22">
        <f>IF(ISBLANK($C185),"",$F185 - $G185)</f>
        <v/>
      </c>
      <c r="T185" s="20">
        <f>IF(ISBLANK($C185),"",C185)</f>
        <v/>
      </c>
      <c r="U185" s="20">
        <f>IF(ISBLANK($C185),"",$D$1)</f>
        <v/>
      </c>
      <c r="V185" s="22">
        <f t="array" ref="V185">IF(ISBLANK($B185),"",IF(ISBLANK($K185),IF(XLOOKUP($W185,'Category Mapping'!$C:$C,'Category Mapping'!$B:$B)="Travel",XLOOKUP($P185,'Department Listing'!$A:$A,'Department Listing'!$M:$M),XLOOKUP($W185,'Category Mapping'!$C:$C,'Category Mapping'!$D:$D)),$K185))</f>
        <v/>
      </c>
      <c r="W185" s="22">
        <f>IF(ISBLANK($B185),"",IF(ISBLANK($L185),RIGHT($E185,LEN($E185) - FIND("^",SUBSTITUTE($E185,":","^",LEN($E185) - LEN(SUBSTITUTE($E185,":",""))))),$L185))</f>
        <v/>
      </c>
      <c r="X185" s="22">
        <f>IF(ISBLANK($J185),$V185&amp;$W185,$J185)</f>
        <v/>
      </c>
      <c r="Y185" s="23">
        <f t="array" ref="Y185">IF(ISBLANK($M185),IFERROR(XLOOKUP($P185,'Department Listing'!$A:$A,'Department Listing'!$L:$L),""),$M185)</f>
        <v/>
      </c>
      <c r="Z185" s="11">
        <f>IF(ISBLANK($B185),"",MATCH($X185,COA!$B:$B,0))</f>
        <v/>
      </c>
    </row>
    <row r="186" ht="15.75" customHeight="1" s="52">
      <c r="B186" s="17" t="n"/>
      <c r="E186" s="26" t="n"/>
      <c r="F186" s="19" t="n"/>
      <c r="H186" s="10" t="n"/>
      <c r="I186" s="9" t="n"/>
      <c r="J186" s="9" t="n"/>
      <c r="K186" s="9" t="n"/>
      <c r="L186" s="9" t="n"/>
      <c r="M186" s="9" t="n"/>
      <c r="N186" s="20" t="n"/>
      <c r="O186" s="20">
        <f>IF(C186="", "", TRIM(RIGHT(C186, LEN(C186) - FIND("@@", SUBSTITUTE(C186, "-", "@@", LEN(C186) - LEN(SUBSTITUTE(C186, "-", "")))))))</f>
        <v/>
      </c>
      <c r="P186" s="20">
        <f t="array" ref="P186">IFERROR(XLOOKUP(O186,'Department Listing'!$O$1:$O$395,'Department Listing'!$A$1:$A$395),IFERROR(XLOOKUP(O186,'Name Aliases'!$A$2:$A$1000,'Name Aliases'!$B$2:$B$1000),""))</f>
        <v/>
      </c>
      <c r="Q186" s="21">
        <f>IF(ISBLANK($C186),"",$B186)</f>
        <v/>
      </c>
      <c r="R186" s="20">
        <f>IF(ISBLANK($C186),"",IF(ISBLANK($I186),$D186,$I186))</f>
        <v/>
      </c>
      <c r="S186" s="22">
        <f>IF(ISBLANK($C186),"",$F186 - $G186)</f>
        <v/>
      </c>
      <c r="T186" s="20">
        <f>IF(ISBLANK($C186),"",C186)</f>
        <v/>
      </c>
      <c r="U186" s="20">
        <f>IF(ISBLANK($C186),"",$D$1)</f>
        <v/>
      </c>
      <c r="V186" s="22">
        <f t="array" ref="V186">IF(ISBLANK($B186),"",IF(ISBLANK($K186),IF(XLOOKUP($W186,'Category Mapping'!$C:$C,'Category Mapping'!$B:$B)="Travel",XLOOKUP($P186,'Department Listing'!$A:$A,'Department Listing'!$M:$M),XLOOKUP($W186,'Category Mapping'!$C:$C,'Category Mapping'!$D:$D)),$K186))</f>
        <v/>
      </c>
      <c r="W186" s="22">
        <f>IF(ISBLANK($B186),"",IF(ISBLANK($L186),RIGHT($E186,LEN($E186) - FIND("^",SUBSTITUTE($E186,":","^",LEN($E186) - LEN(SUBSTITUTE($E186,":",""))))),$L186))</f>
        <v/>
      </c>
      <c r="X186" s="22">
        <f>IF(ISBLANK($J186),$V186&amp;$W186,$J186)</f>
        <v/>
      </c>
      <c r="Y186" s="23">
        <f t="array" ref="Y186">IF(ISBLANK($M186),IFERROR(XLOOKUP($P186,'Department Listing'!$A:$A,'Department Listing'!$L:$L),""),$M186)</f>
        <v/>
      </c>
      <c r="Z186" s="11">
        <f>IF(ISBLANK($B186),"",MATCH($X186,COA!$B:$B,0))</f>
        <v/>
      </c>
    </row>
    <row r="187" ht="15.75" customHeight="1" s="52">
      <c r="B187" s="17" t="n"/>
      <c r="E187" s="26" t="n"/>
      <c r="F187" s="19" t="n"/>
      <c r="H187" s="10" t="n"/>
      <c r="I187" s="9" t="n"/>
      <c r="J187" s="9" t="n"/>
      <c r="K187" s="9" t="n"/>
      <c r="L187" s="9" t="n"/>
      <c r="M187" s="9" t="n"/>
      <c r="N187" s="20" t="n"/>
      <c r="O187" s="20">
        <f>IF(C187="", "", TRIM(RIGHT(C187, LEN(C187) - FIND("@@", SUBSTITUTE(C187, "-", "@@", LEN(C187) - LEN(SUBSTITUTE(C187, "-", "")))))))</f>
        <v/>
      </c>
      <c r="P187" s="20">
        <f t="array" ref="P187">IFERROR(XLOOKUP(O187,'Department Listing'!$O$1:$O$395,'Department Listing'!$A$1:$A$395),IFERROR(XLOOKUP(O187,'Name Aliases'!$A$2:$A$1000,'Name Aliases'!$B$2:$B$1000),""))</f>
        <v/>
      </c>
      <c r="Q187" s="21">
        <f>IF(ISBLANK($C187),"",$B187)</f>
        <v/>
      </c>
      <c r="R187" s="20">
        <f>IF(ISBLANK($C187),"",IF(ISBLANK($I187),$D187,$I187))</f>
        <v/>
      </c>
      <c r="S187" s="22">
        <f>IF(ISBLANK($C187),"",$F187 - $G187)</f>
        <v/>
      </c>
      <c r="T187" s="20">
        <f>IF(ISBLANK($C187),"",C187)</f>
        <v/>
      </c>
      <c r="U187" s="20">
        <f>IF(ISBLANK($C187),"",$D$1)</f>
        <v/>
      </c>
      <c r="V187" s="22">
        <f t="array" ref="V187">IF(ISBLANK($B187),"",IF(ISBLANK($K187),IF(XLOOKUP($W187,'Category Mapping'!$C:$C,'Category Mapping'!$B:$B)="Travel",XLOOKUP($P187,'Department Listing'!$A:$A,'Department Listing'!$M:$M),XLOOKUP($W187,'Category Mapping'!$C:$C,'Category Mapping'!$D:$D)),$K187))</f>
        <v/>
      </c>
      <c r="W187" s="22">
        <f>IF(ISBLANK($B187),"",IF(ISBLANK($L187),RIGHT($E187,LEN($E187) - FIND("^",SUBSTITUTE($E187,":","^",LEN($E187) - LEN(SUBSTITUTE($E187,":",""))))),$L187))</f>
        <v/>
      </c>
      <c r="X187" s="22">
        <f>IF(ISBLANK($J187),$V187&amp;$W187,$J187)</f>
        <v/>
      </c>
      <c r="Y187" s="23">
        <f t="array" ref="Y187">IF(ISBLANK($M187),IFERROR(XLOOKUP($P187,'Department Listing'!$A:$A,'Department Listing'!$L:$L),""),$M187)</f>
        <v/>
      </c>
      <c r="Z187" s="11">
        <f>IF(ISBLANK($B187),"",MATCH($X187,COA!$B:$B,0))</f>
        <v/>
      </c>
    </row>
    <row r="188" ht="15.75" customHeight="1" s="52">
      <c r="B188" s="17" t="n"/>
      <c r="E188" s="26" t="n"/>
      <c r="F188" s="19" t="n"/>
      <c r="H188" s="10" t="n"/>
      <c r="I188" s="9" t="n"/>
      <c r="J188" s="9" t="n"/>
      <c r="K188" s="9" t="n"/>
      <c r="L188" s="9" t="n"/>
      <c r="M188" s="9" t="n"/>
      <c r="N188" s="20" t="n"/>
      <c r="O188" s="20">
        <f>IF(C188="", "", TRIM(RIGHT(C188, LEN(C188) - FIND("@@", SUBSTITUTE(C188, "-", "@@", LEN(C188) - LEN(SUBSTITUTE(C188, "-", "")))))))</f>
        <v/>
      </c>
      <c r="P188" s="20">
        <f t="array" ref="P188">IFERROR(XLOOKUP(O188,'Department Listing'!$O$1:$O$395,'Department Listing'!$A$1:$A$395),IFERROR(XLOOKUP(O188,'Name Aliases'!$A$2:$A$1000,'Name Aliases'!$B$2:$B$1000),""))</f>
        <v/>
      </c>
      <c r="Q188" s="21">
        <f>IF(ISBLANK($C188),"",$B188)</f>
        <v/>
      </c>
      <c r="R188" s="20">
        <f>IF(ISBLANK($C188),"",IF(ISBLANK($I188),$D188,$I188))</f>
        <v/>
      </c>
      <c r="S188" s="22">
        <f>IF(ISBLANK($C188),"",$F188 - $G188)</f>
        <v/>
      </c>
      <c r="T188" s="20">
        <f>IF(ISBLANK($C188),"",C188)</f>
        <v/>
      </c>
      <c r="U188" s="20">
        <f>IF(ISBLANK($C188),"",$D$1)</f>
        <v/>
      </c>
      <c r="V188" s="22">
        <f t="array" ref="V188">IF(ISBLANK($B188),"",IF(ISBLANK($K188),IF(XLOOKUP($W188,'Category Mapping'!$C:$C,'Category Mapping'!$B:$B)="Travel",XLOOKUP($P188,'Department Listing'!$A:$A,'Department Listing'!$M:$M),XLOOKUP($W188,'Category Mapping'!$C:$C,'Category Mapping'!$D:$D)),$K188))</f>
        <v/>
      </c>
      <c r="W188" s="22">
        <f>IF(ISBLANK($B188),"",IF(ISBLANK($L188),RIGHT($E188,LEN($E188) - FIND("^",SUBSTITUTE($E188,":","^",LEN($E188) - LEN(SUBSTITUTE($E188,":",""))))),$L188))</f>
        <v/>
      </c>
      <c r="X188" s="22">
        <f>IF(ISBLANK($J188),$V188&amp;$W188,$J188)</f>
        <v/>
      </c>
      <c r="Y188" s="23">
        <f t="array" ref="Y188">IF(ISBLANK($M188),IFERROR(XLOOKUP($P188,'Department Listing'!$A:$A,'Department Listing'!$L:$L),""),$M188)</f>
        <v/>
      </c>
      <c r="Z188" s="11">
        <f>IF(ISBLANK($B188),"",MATCH($X188,COA!$B:$B,0))</f>
        <v/>
      </c>
    </row>
    <row r="189" ht="15.75" customHeight="1" s="52">
      <c r="B189" s="17" t="n"/>
      <c r="E189" s="26" t="n"/>
      <c r="F189" s="19" t="n"/>
      <c r="H189" s="10" t="n"/>
      <c r="I189" s="9" t="n"/>
      <c r="J189" s="9" t="n"/>
      <c r="K189" s="9" t="n"/>
      <c r="L189" s="9" t="n"/>
      <c r="M189" s="9" t="n"/>
      <c r="N189" s="20" t="n"/>
      <c r="O189" s="20">
        <f>IF(C189="", "", TRIM(RIGHT(C189, LEN(C189) - FIND("@@", SUBSTITUTE(C189, "-", "@@", LEN(C189) - LEN(SUBSTITUTE(C189, "-", "")))))))</f>
        <v/>
      </c>
      <c r="P189" s="20">
        <f t="array" ref="P189">IFERROR(XLOOKUP(O189,'Department Listing'!$O$1:$O$395,'Department Listing'!$A$1:$A$395),IFERROR(XLOOKUP(O189,'Name Aliases'!$A$2:$A$1000,'Name Aliases'!$B$2:$B$1000),""))</f>
        <v/>
      </c>
      <c r="Q189" s="21">
        <f>IF(ISBLANK($C189),"",$B189)</f>
        <v/>
      </c>
      <c r="R189" s="20">
        <f>IF(ISBLANK($C189),"",IF(ISBLANK($I189),$D189,$I189))</f>
        <v/>
      </c>
      <c r="S189" s="22">
        <f>IF(ISBLANK($C189),"",$F189 - $G189)</f>
        <v/>
      </c>
      <c r="T189" s="20">
        <f>IF(ISBLANK($C189),"",C189)</f>
        <v/>
      </c>
      <c r="U189" s="20">
        <f>IF(ISBLANK($C189),"",$D$1)</f>
        <v/>
      </c>
      <c r="V189" s="22">
        <f t="array" ref="V189">IF(ISBLANK($B189),"",IF(ISBLANK($K189),IF(XLOOKUP($W189,'Category Mapping'!$C:$C,'Category Mapping'!$B:$B)="Travel",XLOOKUP($P189,'Department Listing'!$A:$A,'Department Listing'!$M:$M),XLOOKUP($W189,'Category Mapping'!$C:$C,'Category Mapping'!$D:$D)),$K189))</f>
        <v/>
      </c>
      <c r="W189" s="22">
        <f>IF(ISBLANK($B189),"",IF(ISBLANK($L189),RIGHT($E189,LEN($E189) - FIND("^",SUBSTITUTE($E189,":","^",LEN($E189) - LEN(SUBSTITUTE($E189,":",""))))),$L189))</f>
        <v/>
      </c>
      <c r="X189" s="22">
        <f>IF(ISBLANK($J189),$V189&amp;$W189,$J189)</f>
        <v/>
      </c>
      <c r="Y189" s="23">
        <f t="array" ref="Y189">IF(ISBLANK($M189),IFERROR(XLOOKUP($P189,'Department Listing'!$A:$A,'Department Listing'!$L:$L),""),$M189)</f>
        <v/>
      </c>
      <c r="Z189" s="11">
        <f>IF(ISBLANK($B189),"",MATCH($X189,COA!$B:$B,0))</f>
        <v/>
      </c>
    </row>
    <row r="190" ht="15.75" customHeight="1" s="52">
      <c r="B190" s="17" t="n"/>
      <c r="E190" s="26" t="n"/>
      <c r="F190" s="19" t="n"/>
      <c r="H190" s="10" t="n"/>
      <c r="I190" s="9" t="n"/>
      <c r="J190" s="9" t="n"/>
      <c r="K190" s="9" t="n"/>
      <c r="L190" s="9" t="n"/>
      <c r="M190" s="9" t="n"/>
      <c r="N190" s="20" t="n"/>
      <c r="O190" s="20">
        <f>IF(C190="", "", TRIM(RIGHT(C190, LEN(C190) - FIND("@@", SUBSTITUTE(C190, "-", "@@", LEN(C190) - LEN(SUBSTITUTE(C190, "-", "")))))))</f>
        <v/>
      </c>
      <c r="P190" s="20">
        <f t="array" ref="P190">IFERROR(XLOOKUP(O190,'Department Listing'!$O$1:$O$395,'Department Listing'!$A$1:$A$395),IFERROR(XLOOKUP(O190,'Name Aliases'!$A$2:$A$1000,'Name Aliases'!$B$2:$B$1000),""))</f>
        <v/>
      </c>
      <c r="Q190" s="21">
        <f>IF(ISBLANK($C190),"",$B190)</f>
        <v/>
      </c>
      <c r="R190" s="20">
        <f>IF(ISBLANK($C190),"",IF(ISBLANK($I190),$D190,$I190))</f>
        <v/>
      </c>
      <c r="S190" s="22">
        <f>IF(ISBLANK($C190),"",$F190 - $G190)</f>
        <v/>
      </c>
      <c r="T190" s="20">
        <f>IF(ISBLANK($C190),"",C190)</f>
        <v/>
      </c>
      <c r="U190" s="20">
        <f>IF(ISBLANK($C190),"",$D$1)</f>
        <v/>
      </c>
      <c r="V190" s="22">
        <f t="array" ref="V190">IF(ISBLANK($B190),"",IF(ISBLANK($K190),IF(XLOOKUP($W190,'Category Mapping'!$C:$C,'Category Mapping'!$B:$B)="Travel",XLOOKUP($P190,'Department Listing'!$A:$A,'Department Listing'!$M:$M),XLOOKUP($W190,'Category Mapping'!$C:$C,'Category Mapping'!$D:$D)),$K190))</f>
        <v/>
      </c>
      <c r="W190" s="22">
        <f>IF(ISBLANK($B190),"",IF(ISBLANK($L190),RIGHT($E190,LEN($E190) - FIND("^",SUBSTITUTE($E190,":","^",LEN($E190) - LEN(SUBSTITUTE($E190,":",""))))),$L190))</f>
        <v/>
      </c>
      <c r="X190" s="22">
        <f>IF(ISBLANK($J190),$V190&amp;$W190,$J190)</f>
        <v/>
      </c>
      <c r="Y190" s="23">
        <f t="array" ref="Y190">IF(ISBLANK($M190),IFERROR(XLOOKUP($P190,'Department Listing'!$A:$A,'Department Listing'!$L:$L),""),$M190)</f>
        <v/>
      </c>
      <c r="Z190" s="11">
        <f>IF(ISBLANK($B190),"",MATCH($X190,COA!$B:$B,0))</f>
        <v/>
      </c>
    </row>
    <row r="191" ht="15.75" customHeight="1" s="52">
      <c r="B191" s="17" t="n"/>
      <c r="E191" s="26" t="n"/>
      <c r="F191" s="19" t="n"/>
      <c r="H191" s="10" t="n"/>
      <c r="I191" s="9" t="n"/>
      <c r="J191" s="9" t="n"/>
      <c r="K191" s="9" t="n"/>
      <c r="L191" s="9" t="n"/>
      <c r="M191" s="9" t="n"/>
      <c r="N191" s="20" t="n"/>
      <c r="O191" s="20">
        <f>IF(C191="", "", TRIM(RIGHT(C191, LEN(C191) - FIND("@@", SUBSTITUTE(C191, "-", "@@", LEN(C191) - LEN(SUBSTITUTE(C191, "-", "")))))))</f>
        <v/>
      </c>
      <c r="P191" s="20">
        <f t="array" ref="P191">IFERROR(XLOOKUP(O191,'Department Listing'!$O$1:$O$395,'Department Listing'!$A$1:$A$395),IFERROR(XLOOKUP(O191,'Name Aliases'!$A$2:$A$1000,'Name Aliases'!$B$2:$B$1000),""))</f>
        <v/>
      </c>
      <c r="Q191" s="21">
        <f>IF(ISBLANK($C191),"",$B191)</f>
        <v/>
      </c>
      <c r="R191" s="20">
        <f>IF(ISBLANK($C191),"",IF(ISBLANK($I191),$D191,$I191))</f>
        <v/>
      </c>
      <c r="S191" s="22">
        <f>IF(ISBLANK($C191),"",$F191 - $G191)</f>
        <v/>
      </c>
      <c r="T191" s="20">
        <f>IF(ISBLANK($C191),"",C191)</f>
        <v/>
      </c>
      <c r="U191" s="20">
        <f>IF(ISBLANK($C191),"",$D$1)</f>
        <v/>
      </c>
      <c r="V191" s="22">
        <f t="array" ref="V191">IF(ISBLANK($B191),"",IF(ISBLANK($K191),IF(XLOOKUP($W191,'Category Mapping'!$C:$C,'Category Mapping'!$B:$B)="Travel",XLOOKUP($P191,'Department Listing'!$A:$A,'Department Listing'!$M:$M),XLOOKUP($W191,'Category Mapping'!$C:$C,'Category Mapping'!$D:$D)),$K191))</f>
        <v/>
      </c>
      <c r="W191" s="22">
        <f>IF(ISBLANK($B191),"",IF(ISBLANK($L191),RIGHT($E191,LEN($E191) - FIND("^",SUBSTITUTE($E191,":","^",LEN($E191) - LEN(SUBSTITUTE($E191,":",""))))),$L191))</f>
        <v/>
      </c>
      <c r="X191" s="22">
        <f>IF(ISBLANK($J191),$V191&amp;$W191,$J191)</f>
        <v/>
      </c>
      <c r="Y191" s="23">
        <f t="array" ref="Y191">IF(ISBLANK($M191),IFERROR(XLOOKUP($P191,'Department Listing'!$A:$A,'Department Listing'!$L:$L),""),$M191)</f>
        <v/>
      </c>
      <c r="Z191" s="11">
        <f>IF(ISBLANK($B191),"",MATCH($X191,COA!$B:$B,0))</f>
        <v/>
      </c>
    </row>
    <row r="192" ht="15.75" customHeight="1" s="52">
      <c r="B192" s="17" t="n"/>
      <c r="E192" s="26" t="n"/>
      <c r="F192" s="19" t="n"/>
      <c r="H192" s="10" t="n"/>
      <c r="I192" s="9" t="n"/>
      <c r="J192" s="9" t="n"/>
      <c r="K192" s="9" t="n"/>
      <c r="L192" s="9" t="n"/>
      <c r="M192" s="9" t="n"/>
      <c r="N192" s="20" t="n"/>
      <c r="O192" s="20">
        <f>IF(C192="", "", TRIM(RIGHT(C192, LEN(C192) - FIND("@@", SUBSTITUTE(C192, "-", "@@", LEN(C192) - LEN(SUBSTITUTE(C192, "-", "")))))))</f>
        <v/>
      </c>
      <c r="P192" s="20">
        <f t="array" ref="P192">IFERROR(XLOOKUP(O192,'Department Listing'!$O$1:$O$395,'Department Listing'!$A$1:$A$395),IFERROR(XLOOKUP(O192,'Name Aliases'!$A$2:$A$1000,'Name Aliases'!$B$2:$B$1000),""))</f>
        <v/>
      </c>
      <c r="Q192" s="21">
        <f>IF(ISBLANK($C192),"",$B192)</f>
        <v/>
      </c>
      <c r="R192" s="20">
        <f>IF(ISBLANK($C192),"",IF(ISBLANK($I192),$D192,$I192))</f>
        <v/>
      </c>
      <c r="S192" s="22">
        <f>IF(ISBLANK($C192),"",$F192 - $G192)</f>
        <v/>
      </c>
      <c r="T192" s="20">
        <f>IF(ISBLANK($C192),"",C192)</f>
        <v/>
      </c>
      <c r="U192" s="20">
        <f>IF(ISBLANK($C192),"",$D$1)</f>
        <v/>
      </c>
      <c r="V192" s="22">
        <f t="array" ref="V192">IF(ISBLANK($B192),"",IF(ISBLANK($K192),IF(XLOOKUP($W192,'Category Mapping'!$C:$C,'Category Mapping'!$B:$B)="Travel",XLOOKUP($P192,'Department Listing'!$A:$A,'Department Listing'!$M:$M),XLOOKUP($W192,'Category Mapping'!$C:$C,'Category Mapping'!$D:$D)),$K192))</f>
        <v/>
      </c>
      <c r="W192" s="22">
        <f>IF(ISBLANK($B192),"",IF(ISBLANK($L192),RIGHT($E192,LEN($E192) - FIND("^",SUBSTITUTE($E192,":","^",LEN($E192) - LEN(SUBSTITUTE($E192,":",""))))),$L192))</f>
        <v/>
      </c>
      <c r="X192" s="22">
        <f>IF(ISBLANK($J192),$V192&amp;$W192,$J192)</f>
        <v/>
      </c>
      <c r="Y192" s="23">
        <f t="array" ref="Y192">IF(ISBLANK($M192),IFERROR(XLOOKUP($P192,'Department Listing'!$A:$A,'Department Listing'!$L:$L),""),$M192)</f>
        <v/>
      </c>
      <c r="Z192" s="11">
        <f>IF(ISBLANK($B192),"",MATCH($X192,COA!$B:$B,0))</f>
        <v/>
      </c>
    </row>
    <row r="193" ht="15.75" customHeight="1" s="52">
      <c r="B193" s="17" t="n"/>
      <c r="E193" s="26" t="n"/>
      <c r="F193" s="19" t="n"/>
      <c r="H193" s="10" t="n"/>
      <c r="I193" s="9" t="n"/>
      <c r="J193" s="9" t="n"/>
      <c r="K193" s="25" t="n"/>
      <c r="L193" s="9" t="n"/>
      <c r="M193" s="25" t="n"/>
      <c r="N193" s="20" t="n"/>
      <c r="O193" s="20">
        <f>IF(C193="", "", TRIM(RIGHT(C193, LEN(C193) - FIND("@@", SUBSTITUTE(C193, "-", "@@", LEN(C193) - LEN(SUBSTITUTE(C193, "-", "")))))))</f>
        <v/>
      </c>
      <c r="P193" s="20">
        <f t="array" ref="P193">IFERROR(XLOOKUP(O193,'Department Listing'!$O$1:$O$395,'Department Listing'!$A$1:$A$395),IFERROR(XLOOKUP(O193,'Name Aliases'!$A$2:$A$1000,'Name Aliases'!$B$2:$B$1000),""))</f>
        <v/>
      </c>
      <c r="Q193" s="21">
        <f>IF(ISBLANK($C193),"",$B193)</f>
        <v/>
      </c>
      <c r="R193" s="20">
        <f>IF(ISBLANK($C193),"",IF(ISBLANK($I193),$D193,$I193))</f>
        <v/>
      </c>
      <c r="S193" s="22">
        <f>IF(ISBLANK($C193),"",$F193 - $G193)</f>
        <v/>
      </c>
      <c r="T193" s="20">
        <f>IF(ISBLANK($C193),"",C193)</f>
        <v/>
      </c>
      <c r="U193" s="20">
        <f>IF(ISBLANK($C193),"",$D$1)</f>
        <v/>
      </c>
      <c r="V193" s="22">
        <f t="array" ref="V193">IF(ISBLANK($B193),"",IF(ISBLANK($K193),IF(XLOOKUP($W193,'Category Mapping'!$C:$C,'Category Mapping'!$B:$B)="Travel",XLOOKUP($P193,'Department Listing'!$A:$A,'Department Listing'!$M:$M),XLOOKUP($W193,'Category Mapping'!$C:$C,'Category Mapping'!$D:$D)),$K193))</f>
        <v/>
      </c>
      <c r="W193" s="22">
        <f>IF(ISBLANK($B193),"",IF(ISBLANK($L193),RIGHT($E193,LEN($E193) - FIND("^",SUBSTITUTE($E193,":","^",LEN($E193) - LEN(SUBSTITUTE($E193,":",""))))),$L193))</f>
        <v/>
      </c>
      <c r="X193" s="22">
        <f>IF(ISBLANK($J193),$V193&amp;$W193,$J193)</f>
        <v/>
      </c>
      <c r="Y193" s="23">
        <f t="array" ref="Y193">IF(ISBLANK($M193),IFERROR(XLOOKUP($P193,'Department Listing'!$A:$A,'Department Listing'!$L:$L),""),$M193)</f>
        <v/>
      </c>
      <c r="Z193" s="11">
        <f>IF(ISBLANK($B193),"",MATCH($X193,COA!$B:$B,0))</f>
        <v/>
      </c>
    </row>
    <row r="194" ht="15.75" customHeight="1" s="52">
      <c r="B194" s="17" t="n"/>
      <c r="E194" s="26" t="n"/>
      <c r="F194" s="19" t="n"/>
      <c r="H194" s="10" t="n"/>
      <c r="I194" s="9" t="n"/>
      <c r="J194" s="9" t="n"/>
      <c r="K194" s="9" t="n"/>
      <c r="L194" s="25" t="n"/>
      <c r="M194" s="25" t="n"/>
      <c r="N194" s="20" t="n"/>
      <c r="O194" s="20">
        <f>IF(C194="", "", TRIM(RIGHT(C194, LEN(C194) - FIND("@@", SUBSTITUTE(C194, "-", "@@", LEN(C194) - LEN(SUBSTITUTE(C194, "-", "")))))))</f>
        <v/>
      </c>
      <c r="P194" s="20">
        <f t="array" ref="P194">IFERROR(XLOOKUP(O194,'Department Listing'!$O$1:$O$395,'Department Listing'!$A$1:$A$395),IFERROR(XLOOKUP(O194,'Name Aliases'!$A$2:$A$1000,'Name Aliases'!$B$2:$B$1000),""))</f>
        <v/>
      </c>
      <c r="Q194" s="21">
        <f>IF(ISBLANK($C194),"",$B194)</f>
        <v/>
      </c>
      <c r="R194" s="20">
        <f>IF(ISBLANK($C194),"",IF(ISBLANK($I194),$D194,$I194))</f>
        <v/>
      </c>
      <c r="S194" s="22">
        <f>IF(ISBLANK($C194),"",$F194 - $G194)</f>
        <v/>
      </c>
      <c r="T194" s="20">
        <f>IF(ISBLANK($C194),"",C194)</f>
        <v/>
      </c>
      <c r="U194" s="20">
        <f>IF(ISBLANK($C194),"",$D$1)</f>
        <v/>
      </c>
      <c r="V194" s="22">
        <f t="array" ref="V194">IF(ISBLANK($B194),"",IF(ISBLANK($K194),IF(XLOOKUP($W194,'Category Mapping'!$C:$C,'Category Mapping'!$B:$B)="Travel",XLOOKUP($P194,'Department Listing'!$A:$A,'Department Listing'!$M:$M),XLOOKUP($W194,'Category Mapping'!$C:$C,'Category Mapping'!$D:$D)),$K194))</f>
        <v/>
      </c>
      <c r="W194" s="22">
        <f>IF(ISBLANK($B194),"",IF(ISBLANK($L194),RIGHT($E194,LEN($E194) - FIND("^",SUBSTITUTE($E194,":","^",LEN($E194) - LEN(SUBSTITUTE($E194,":",""))))),$L194))</f>
        <v/>
      </c>
      <c r="X194" s="22">
        <f>IF(ISBLANK($J194),$V194&amp;$W194,$J194)</f>
        <v/>
      </c>
      <c r="Y194" s="23">
        <f t="array" ref="Y194">IF(ISBLANK($M194),IFERROR(XLOOKUP($P194,'Department Listing'!$A:$A,'Department Listing'!$L:$L),""),$M194)</f>
        <v/>
      </c>
      <c r="Z194" s="11">
        <f>IF(ISBLANK($B194),"",MATCH($X194,COA!$B:$B,0))</f>
        <v/>
      </c>
    </row>
    <row r="195" ht="15.75" customHeight="1" s="52">
      <c r="B195" s="17" t="n"/>
      <c r="E195" s="26" t="n"/>
      <c r="F195" s="19" t="n"/>
      <c r="H195" s="10" t="n"/>
      <c r="I195" s="9" t="n"/>
      <c r="J195" s="9" t="n"/>
      <c r="K195" s="9" t="n"/>
      <c r="L195" s="9" t="n"/>
      <c r="M195" s="9" t="n"/>
      <c r="N195" s="20" t="n"/>
      <c r="O195" s="20">
        <f>IF(C195="", "", TRIM(RIGHT(C195, LEN(C195) - FIND("@@", SUBSTITUTE(C195, "-", "@@", LEN(C195) - LEN(SUBSTITUTE(C195, "-", "")))))))</f>
        <v/>
      </c>
      <c r="P195" s="20">
        <f t="array" ref="P195">IFERROR(XLOOKUP(O195,'Department Listing'!$O$1:$O$395,'Department Listing'!$A$1:$A$395),IFERROR(XLOOKUP(O195,'Name Aliases'!$A$2:$A$1000,'Name Aliases'!$B$2:$B$1000),""))</f>
        <v/>
      </c>
      <c r="Q195" s="21">
        <f>IF(ISBLANK($C195),"",$B195)</f>
        <v/>
      </c>
      <c r="R195" s="20">
        <f>IF(ISBLANK($C195),"",IF(ISBLANK($I195),$D195,$I195))</f>
        <v/>
      </c>
      <c r="S195" s="22">
        <f>IF(ISBLANK($C195),"",$F195 - $G195)</f>
        <v/>
      </c>
      <c r="T195" s="20">
        <f>IF(ISBLANK($C195),"",C195)</f>
        <v/>
      </c>
      <c r="U195" s="20">
        <f>IF(ISBLANK($C195),"",$D$1)</f>
        <v/>
      </c>
      <c r="V195" s="22">
        <f t="array" ref="V195">IF(ISBLANK($B195),"",IF(ISBLANK($K195),IF(XLOOKUP($W195,'Category Mapping'!$C:$C,'Category Mapping'!$B:$B)="Travel",XLOOKUP($P195,'Department Listing'!$A:$A,'Department Listing'!$M:$M),XLOOKUP($W195,'Category Mapping'!$C:$C,'Category Mapping'!$D:$D)),$K195))</f>
        <v/>
      </c>
      <c r="W195" s="22">
        <f>IF(ISBLANK($B195),"",IF(ISBLANK($L195),RIGHT($E195,LEN($E195) - FIND("^",SUBSTITUTE($E195,":","^",LEN($E195) - LEN(SUBSTITUTE($E195,":",""))))),$L195))</f>
        <v/>
      </c>
      <c r="X195" s="22">
        <f>IF(ISBLANK($J195),$V195&amp;$W195,$J195)</f>
        <v/>
      </c>
      <c r="Y195" s="23">
        <f t="array" ref="Y195">IF(ISBLANK($M195),IFERROR(XLOOKUP($P195,'Department Listing'!$A:$A,'Department Listing'!$L:$L),""),$M195)</f>
        <v/>
      </c>
      <c r="Z195" s="11">
        <f>IF(ISBLANK($B195),"",MATCH($X195,COA!$B:$B,0))</f>
        <v/>
      </c>
    </row>
    <row r="196" ht="15.75" customHeight="1" s="52">
      <c r="B196" s="17" t="n"/>
      <c r="E196" s="26" t="n"/>
      <c r="F196" s="19" t="n"/>
      <c r="H196" s="10" t="n"/>
      <c r="I196" s="9" t="n"/>
      <c r="J196" s="9" t="n"/>
      <c r="K196" s="9" t="n"/>
      <c r="L196" s="9" t="n"/>
      <c r="M196" s="9" t="n"/>
      <c r="N196" s="20" t="n"/>
      <c r="O196" s="20">
        <f>IF(C196="", "", TRIM(RIGHT(C196, LEN(C196) - FIND("@@", SUBSTITUTE(C196, "-", "@@", LEN(C196) - LEN(SUBSTITUTE(C196, "-", "")))))))</f>
        <v/>
      </c>
      <c r="P196" s="20">
        <f t="array" ref="P196">IFERROR(XLOOKUP(O196,'Department Listing'!$O$1:$O$395,'Department Listing'!$A$1:$A$395),IFERROR(XLOOKUP(O196,'Name Aliases'!$A$2:$A$1000,'Name Aliases'!$B$2:$B$1000),""))</f>
        <v/>
      </c>
      <c r="Q196" s="21">
        <f>IF(ISBLANK($C196),"",$B196)</f>
        <v/>
      </c>
      <c r="R196" s="20">
        <f>IF(ISBLANK($C196),"",IF(ISBLANK($I196),$D196,$I196))</f>
        <v/>
      </c>
      <c r="S196" s="22">
        <f>IF(ISBLANK($C196),"",$F196 - $G196)</f>
        <v/>
      </c>
      <c r="T196" s="20">
        <f>IF(ISBLANK($C196),"",C196)</f>
        <v/>
      </c>
      <c r="U196" s="20">
        <f>IF(ISBLANK($C196),"",$D$1)</f>
        <v/>
      </c>
      <c r="V196" s="22">
        <f t="array" ref="V196">IF(ISBLANK($B196),"",IF(ISBLANK($K196),IF(XLOOKUP($W196,'Category Mapping'!$C:$C,'Category Mapping'!$B:$B)="Travel",XLOOKUP($P196,'Department Listing'!$A:$A,'Department Listing'!$M:$M),XLOOKUP($W196,'Category Mapping'!$C:$C,'Category Mapping'!$D:$D)),$K196))</f>
        <v/>
      </c>
      <c r="W196" s="22">
        <f>IF(ISBLANK($B196),"",IF(ISBLANK($L196),RIGHT($E196,LEN($E196) - FIND("^",SUBSTITUTE($E196,":","^",LEN($E196) - LEN(SUBSTITUTE($E196,":",""))))),$L196))</f>
        <v/>
      </c>
      <c r="X196" s="22">
        <f>IF(ISBLANK($J196),$V196&amp;$W196,$J196)</f>
        <v/>
      </c>
      <c r="Y196" s="23">
        <f t="array" ref="Y196">IF(ISBLANK($M196),IFERROR(XLOOKUP($P196,'Department Listing'!$A:$A,'Department Listing'!$L:$L),""),$M196)</f>
        <v/>
      </c>
      <c r="Z196" s="11">
        <f>IF(ISBLANK($B196),"",MATCH($X196,COA!$B:$B,0))</f>
        <v/>
      </c>
    </row>
    <row r="197" ht="15.75" customHeight="1" s="52">
      <c r="B197" s="17" t="n"/>
      <c r="E197" s="26" t="n"/>
      <c r="F197" s="19" t="n"/>
      <c r="H197" s="10" t="n"/>
      <c r="I197" s="9" t="n"/>
      <c r="J197" s="9" t="n"/>
      <c r="K197" s="9" t="n"/>
      <c r="L197" s="9" t="n"/>
      <c r="M197" s="9" t="n"/>
      <c r="N197" s="20" t="n"/>
      <c r="O197" s="20">
        <f>IF(C197="", "", TRIM(RIGHT(C197, LEN(C197) - FIND("@@", SUBSTITUTE(C197, "-", "@@", LEN(C197) - LEN(SUBSTITUTE(C197, "-", "")))))))</f>
        <v/>
      </c>
      <c r="P197" s="20">
        <f t="array" ref="P197">IFERROR(XLOOKUP(O197,'Department Listing'!$O$1:$O$395,'Department Listing'!$A$1:$A$395),IFERROR(XLOOKUP(O197,'Name Aliases'!$A$2:$A$1000,'Name Aliases'!$B$2:$B$1000),""))</f>
        <v/>
      </c>
      <c r="Q197" s="21">
        <f>IF(ISBLANK($C197),"",$B197)</f>
        <v/>
      </c>
      <c r="R197" s="20">
        <f>IF(ISBLANK($C197),"",IF(ISBLANK($I197),$D197,$I197))</f>
        <v/>
      </c>
      <c r="S197" s="22">
        <f>IF(ISBLANK($C197),"",$F197 - $G197)</f>
        <v/>
      </c>
      <c r="T197" s="20">
        <f>IF(ISBLANK($C197),"",C197)</f>
        <v/>
      </c>
      <c r="U197" s="20">
        <f>IF(ISBLANK($C197),"",$D$1)</f>
        <v/>
      </c>
      <c r="V197" s="22">
        <f t="array" ref="V197">IF(ISBLANK($B197),"",IF(ISBLANK($K197),IF(XLOOKUP($W197,'Category Mapping'!$C:$C,'Category Mapping'!$B:$B)="Travel",XLOOKUP($P197,'Department Listing'!$A:$A,'Department Listing'!$M:$M),XLOOKUP($W197,'Category Mapping'!$C:$C,'Category Mapping'!$D:$D)),$K197))</f>
        <v/>
      </c>
      <c r="W197" s="22">
        <f>IF(ISBLANK($B197),"",IF(ISBLANK($L197),RIGHT($E197,LEN($E197) - FIND("^",SUBSTITUTE($E197,":","^",LEN($E197) - LEN(SUBSTITUTE($E197,":",""))))),$L197))</f>
        <v/>
      </c>
      <c r="X197" s="22">
        <f>IF(ISBLANK($J197),$V197&amp;$W197,$J197)</f>
        <v/>
      </c>
      <c r="Y197" s="23">
        <f t="array" ref="Y197">IF(ISBLANK($M197),IFERROR(XLOOKUP($P197,'Department Listing'!$A:$A,'Department Listing'!$L:$L),""),$M197)</f>
        <v/>
      </c>
      <c r="Z197" s="11">
        <f>IF(ISBLANK($B197),"",MATCH($X197,COA!$B:$B,0))</f>
        <v/>
      </c>
    </row>
    <row r="198" ht="15.75" customHeight="1" s="52">
      <c r="B198" s="17" t="n"/>
      <c r="E198" s="26" t="n"/>
      <c r="F198" s="19" t="n"/>
      <c r="H198" s="10" t="n"/>
      <c r="I198" s="9" t="n"/>
      <c r="J198" s="9" t="n"/>
      <c r="K198" s="9" t="n"/>
      <c r="L198" s="9" t="n"/>
      <c r="M198" s="9" t="n"/>
      <c r="N198" s="20" t="n"/>
      <c r="O198" s="20">
        <f>IF(C198="", "", TRIM(RIGHT(C198, LEN(C198) - FIND("@@", SUBSTITUTE(C198, "-", "@@", LEN(C198) - LEN(SUBSTITUTE(C198, "-", "")))))))</f>
        <v/>
      </c>
      <c r="P198" s="20">
        <f t="array" ref="P198">IFERROR(XLOOKUP(O198,'Department Listing'!$O$1:$O$395,'Department Listing'!$A$1:$A$395),IFERROR(XLOOKUP(O198,'Name Aliases'!$A$2:$A$1000,'Name Aliases'!$B$2:$B$1000),""))</f>
        <v/>
      </c>
      <c r="Q198" s="21">
        <f>IF(ISBLANK($C198),"",$B198)</f>
        <v/>
      </c>
      <c r="R198" s="20">
        <f>IF(ISBLANK($C198),"",IF(ISBLANK($I198),$D198,$I198))</f>
        <v/>
      </c>
      <c r="S198" s="22">
        <f>IF(ISBLANK($C198),"",$F198 - $G198)</f>
        <v/>
      </c>
      <c r="T198" s="20">
        <f>IF(ISBLANK($C198),"",C198)</f>
        <v/>
      </c>
      <c r="U198" s="20">
        <f>IF(ISBLANK($C198),"",$D$1)</f>
        <v/>
      </c>
      <c r="V198" s="22">
        <f t="array" ref="V198">IF(ISBLANK($B198),"",IF(ISBLANK($K198),IF(XLOOKUP($W198,'Category Mapping'!$C:$C,'Category Mapping'!$B:$B)="Travel",XLOOKUP($P198,'Department Listing'!$A:$A,'Department Listing'!$M:$M),XLOOKUP($W198,'Category Mapping'!$C:$C,'Category Mapping'!$D:$D)),$K198))</f>
        <v/>
      </c>
      <c r="W198" s="22">
        <f>IF(ISBLANK($B198),"",IF(ISBLANK($L198),RIGHT($E198,LEN($E198) - FIND("^",SUBSTITUTE($E198,":","^",LEN($E198) - LEN(SUBSTITUTE($E198,":",""))))),$L198))</f>
        <v/>
      </c>
      <c r="X198" s="22">
        <f>IF(ISBLANK($J198),$V198&amp;$W198,$J198)</f>
        <v/>
      </c>
      <c r="Y198" s="23">
        <f t="array" ref="Y198">IF(ISBLANK($M198),IFERROR(XLOOKUP($P198,'Department Listing'!$A:$A,'Department Listing'!$L:$L),""),$M198)</f>
        <v/>
      </c>
      <c r="Z198" s="11">
        <f>IF(ISBLANK($B198),"",MATCH($X198,COA!$B:$B,0))</f>
        <v/>
      </c>
    </row>
    <row r="199" ht="15.75" customHeight="1" s="52">
      <c r="B199" s="17" t="n"/>
      <c r="E199" s="26" t="n"/>
      <c r="F199" s="19" t="n"/>
      <c r="H199" s="10" t="n"/>
      <c r="I199" s="9" t="n"/>
      <c r="J199" s="9" t="n"/>
      <c r="K199" s="9" t="n"/>
      <c r="L199" s="9" t="n"/>
      <c r="M199" s="9" t="n"/>
      <c r="N199" s="20" t="n"/>
      <c r="O199" s="20">
        <f>IF(C199="", "", TRIM(RIGHT(C199, LEN(C199) - FIND("@@", SUBSTITUTE(C199, "-", "@@", LEN(C199) - LEN(SUBSTITUTE(C199, "-", "")))))))</f>
        <v/>
      </c>
      <c r="P199" s="20">
        <f t="array" ref="P199">IFERROR(XLOOKUP(O199,'Department Listing'!$O$1:$O$395,'Department Listing'!$A$1:$A$395),IFERROR(XLOOKUP(O199,'Name Aliases'!$A$2:$A$1000,'Name Aliases'!$B$2:$B$1000),""))</f>
        <v/>
      </c>
      <c r="Q199" s="21">
        <f>IF(ISBLANK($C199),"",$B199)</f>
        <v/>
      </c>
      <c r="R199" s="20">
        <f>IF(ISBLANK($C199),"",IF(ISBLANK($I199),$D199,$I199))</f>
        <v/>
      </c>
      <c r="S199" s="22">
        <f>IF(ISBLANK($C199),"",$F199 - $G199)</f>
        <v/>
      </c>
      <c r="T199" s="20">
        <f>IF(ISBLANK($C199),"",C199)</f>
        <v/>
      </c>
      <c r="U199" s="20">
        <f>IF(ISBLANK($C199),"",$D$1)</f>
        <v/>
      </c>
      <c r="V199" s="22">
        <f t="array" ref="V199">IF(ISBLANK($B199),"",IF(ISBLANK($K199),IF(XLOOKUP($W199,'Category Mapping'!$C:$C,'Category Mapping'!$B:$B)="Travel",XLOOKUP($P199,'Department Listing'!$A:$A,'Department Listing'!$M:$M),XLOOKUP($W199,'Category Mapping'!$C:$C,'Category Mapping'!$D:$D)),$K199))</f>
        <v/>
      </c>
      <c r="W199" s="22">
        <f>IF(ISBLANK($B199),"",IF(ISBLANK($L199),RIGHT($E199,LEN($E199) - FIND("^",SUBSTITUTE($E199,":","^",LEN($E199) - LEN(SUBSTITUTE($E199,":",""))))),$L199))</f>
        <v/>
      </c>
      <c r="X199" s="22">
        <f>IF(ISBLANK($J199),$V199&amp;$W199,$J199)</f>
        <v/>
      </c>
      <c r="Y199" s="23">
        <f t="array" ref="Y199">IF(ISBLANK($M199),IFERROR(XLOOKUP($P199,'Department Listing'!$A:$A,'Department Listing'!$L:$L),""),$M199)</f>
        <v/>
      </c>
      <c r="Z199" s="11">
        <f>IF(ISBLANK($B199),"",MATCH($X199,COA!$B:$B,0))</f>
        <v/>
      </c>
    </row>
    <row r="200" ht="15.75" customHeight="1" s="52">
      <c r="B200" s="17" t="n"/>
      <c r="E200" s="26" t="n"/>
      <c r="F200" s="19" t="n"/>
      <c r="G200" s="10" t="n"/>
      <c r="H200" s="10" t="n"/>
      <c r="I200" s="9" t="n"/>
      <c r="J200" s="9" t="n"/>
      <c r="K200" s="9" t="n"/>
      <c r="L200" s="9" t="n"/>
      <c r="M200" s="9" t="n"/>
      <c r="N200" s="20" t="n"/>
      <c r="O200" s="20">
        <f>IF(C200="", "", TRIM(RIGHT(C200, LEN(C200) - FIND("@@", SUBSTITUTE(C200, "-", "@@", LEN(C200) - LEN(SUBSTITUTE(C200, "-", "")))))))</f>
        <v/>
      </c>
      <c r="P200" s="20">
        <f t="array" ref="P200">IFERROR(XLOOKUP(O200,'Department Listing'!$O$1:$O$395,'Department Listing'!$A$1:$A$395),IFERROR(XLOOKUP(O200,'Name Aliases'!$A$2:$A$1000,'Name Aliases'!$B$2:$B$1000),""))</f>
        <v/>
      </c>
      <c r="Q200" s="21">
        <f>IF(ISBLANK($C200),"",$B200)</f>
        <v/>
      </c>
      <c r="R200" s="20">
        <f>IF(ISBLANK($C200),"",IF(ISBLANK($I200),$D200,$I200))</f>
        <v/>
      </c>
      <c r="S200" s="22">
        <f>IF(ISBLANK($C200),"",$F200 - $G200)</f>
        <v/>
      </c>
      <c r="T200" s="20">
        <f>IF(ISBLANK($C200),"",C200)</f>
        <v/>
      </c>
      <c r="U200" s="20">
        <f>IF(ISBLANK($C200),"",$D$1)</f>
        <v/>
      </c>
      <c r="V200" s="22">
        <f t="array" ref="V200">IF(ISBLANK($B200),"",IF(ISBLANK($K200),IF(XLOOKUP($W200,'Category Mapping'!$C:$C,'Category Mapping'!$B:$B)="Travel",XLOOKUP($P200,'Department Listing'!$A:$A,'Department Listing'!$M:$M),XLOOKUP($W200,'Category Mapping'!$C:$C,'Category Mapping'!$D:$D)),$K200))</f>
        <v/>
      </c>
      <c r="W200" s="22">
        <f>IF(ISBLANK($B200),"",IF(ISBLANK($L200),RIGHT($E200,LEN($E200) - FIND("^",SUBSTITUTE($E200,":","^",LEN($E200) - LEN(SUBSTITUTE($E200,":",""))))),$L200))</f>
        <v/>
      </c>
      <c r="X200" s="22">
        <f>IF(ISBLANK($J200),$V200&amp;$W200,$J200)</f>
        <v/>
      </c>
      <c r="Y200" s="23">
        <f t="array" ref="Y200">IF(ISBLANK($M200),IFERROR(XLOOKUP($P200,'Department Listing'!$A:$A,'Department Listing'!$L:$L),""),$M200)</f>
        <v/>
      </c>
      <c r="Z200" s="11">
        <f>IF(ISBLANK($B200),"",MATCH($X200,COA!$B:$B,0))</f>
        <v/>
      </c>
    </row>
    <row r="201" ht="15.75" customHeight="1" s="52">
      <c r="B201" s="17" t="n"/>
      <c r="E201" s="26" t="n"/>
      <c r="F201" s="19" t="n"/>
      <c r="G201" s="10" t="n"/>
      <c r="H201" s="10" t="n"/>
      <c r="I201" s="9" t="n"/>
      <c r="J201" s="9" t="n"/>
      <c r="K201" s="9" t="n"/>
      <c r="L201" s="9" t="n"/>
      <c r="M201" s="9" t="n"/>
      <c r="N201" s="20" t="n"/>
      <c r="O201" s="20">
        <f>IF(C201="", "", TRIM(RIGHT(C201, LEN(C201) - FIND("@@", SUBSTITUTE(C201, "-", "@@", LEN(C201) - LEN(SUBSTITUTE(C201, "-", "")))))))</f>
        <v/>
      </c>
      <c r="P201" s="20">
        <f t="array" ref="P201">IFERROR(XLOOKUP(O201,'Department Listing'!$O$1:$O$395,'Department Listing'!$A$1:$A$395),IFERROR(XLOOKUP(O201,'Name Aliases'!$A$2:$A$1000,'Name Aliases'!$B$2:$B$1000),""))</f>
        <v/>
      </c>
      <c r="Q201" s="21">
        <f>IF(ISBLANK($C201),"",$B201)</f>
        <v/>
      </c>
      <c r="R201" s="20">
        <f>IF(ISBLANK($C201),"",IF(ISBLANK($I201),$D201,$I201))</f>
        <v/>
      </c>
      <c r="S201" s="22">
        <f>IF(ISBLANK($C201),"",$F201 - $G201)</f>
        <v/>
      </c>
      <c r="T201" s="20">
        <f>IF(ISBLANK($C201),"",C201)</f>
        <v/>
      </c>
      <c r="U201" s="20">
        <f>IF(ISBLANK($C201),"",$D$1)</f>
        <v/>
      </c>
      <c r="V201" s="22">
        <f t="array" ref="V201">IF(ISBLANK($B201),"",IF(ISBLANK($K201),IF(XLOOKUP($W201,'Category Mapping'!$C:$C,'Category Mapping'!$B:$B)="Travel",XLOOKUP($P201,'Department Listing'!$A:$A,'Department Listing'!$M:$M),XLOOKUP($W201,'Category Mapping'!$C:$C,'Category Mapping'!$D:$D)),$K201))</f>
        <v/>
      </c>
      <c r="W201" s="22">
        <f>IF(ISBLANK($B201),"",IF(ISBLANK($L201),RIGHT($E201,LEN($E201) - FIND("^",SUBSTITUTE($E201,":","^",LEN($E201) - LEN(SUBSTITUTE($E201,":",""))))),$L201))</f>
        <v/>
      </c>
      <c r="X201" s="22">
        <f>IF(ISBLANK($J201),$V201&amp;$W201,$J201)</f>
        <v/>
      </c>
      <c r="Y201" s="23">
        <f t="array" ref="Y201">IF(ISBLANK($M201),IFERROR(XLOOKUP($P201,'Department Listing'!$A:$A,'Department Listing'!$L:$L),""),$M201)</f>
        <v/>
      </c>
      <c r="Z201" s="11">
        <f>IF(ISBLANK($B201),"",MATCH($X201,COA!$B:$B,0))</f>
        <v/>
      </c>
    </row>
    <row r="202" ht="15.75" customHeight="1" s="52">
      <c r="B202" s="17" t="n"/>
      <c r="E202" s="26" t="n"/>
      <c r="F202" s="19" t="n"/>
      <c r="G202" s="10" t="n"/>
      <c r="H202" s="10" t="n"/>
      <c r="I202" s="9" t="n"/>
      <c r="J202" s="9" t="n"/>
      <c r="K202" s="9" t="n"/>
      <c r="L202" s="9" t="n"/>
      <c r="M202" s="9" t="n"/>
      <c r="N202" s="20" t="n"/>
      <c r="O202" s="20">
        <f>IF(C202="", "", TRIM(RIGHT(C202, LEN(C202) - FIND("@@", SUBSTITUTE(C202, "-", "@@", LEN(C202) - LEN(SUBSTITUTE(C202, "-", "")))))))</f>
        <v/>
      </c>
      <c r="P202" s="20">
        <f t="array" ref="P202">IFERROR(XLOOKUP(O202,'Department Listing'!$O$1:$O$395,'Department Listing'!$A$1:$A$395),IFERROR(XLOOKUP(O202,'Name Aliases'!$A$2:$A$1000,'Name Aliases'!$B$2:$B$1000),""))</f>
        <v/>
      </c>
      <c r="Q202" s="21">
        <f>IF(ISBLANK($C202),"",$B202)</f>
        <v/>
      </c>
      <c r="R202" s="20">
        <f>IF(ISBLANK($C202),"",IF(ISBLANK($I202),$D202,$I202))</f>
        <v/>
      </c>
      <c r="S202" s="22">
        <f>IF(ISBLANK($C202),"",$F202 - $G202)</f>
        <v/>
      </c>
      <c r="T202" s="20">
        <f>IF(ISBLANK($C202),"",C202)</f>
        <v/>
      </c>
      <c r="U202" s="20">
        <f>IF(ISBLANK($C202),"",$D$1)</f>
        <v/>
      </c>
      <c r="V202" s="22">
        <f t="array" ref="V202">IF(ISBLANK($B202),"",IF(ISBLANK($K202),IF(XLOOKUP($W202,'Category Mapping'!$C:$C,'Category Mapping'!$B:$B)="Travel",XLOOKUP($P202,'Department Listing'!$A:$A,'Department Listing'!$M:$M),XLOOKUP($W202,'Category Mapping'!$C:$C,'Category Mapping'!$D:$D)),$K202))</f>
        <v/>
      </c>
      <c r="W202" s="22">
        <f>IF(ISBLANK($B202),"",IF(ISBLANK($L202),RIGHT($E202,LEN($E202) - FIND("^",SUBSTITUTE($E202,":","^",LEN($E202) - LEN(SUBSTITUTE($E202,":",""))))),$L202))</f>
        <v/>
      </c>
      <c r="X202" s="22">
        <f>IF(ISBLANK($J202),$V202&amp;$W202,$J202)</f>
        <v/>
      </c>
      <c r="Y202" s="23">
        <f t="array" ref="Y202">IF(ISBLANK($M202),IFERROR(XLOOKUP($P202,'Department Listing'!$A:$A,'Department Listing'!$L:$L),""),$M202)</f>
        <v/>
      </c>
      <c r="Z202" s="11">
        <f>IF(ISBLANK($B202),"",MATCH($X202,COA!$B:$B,0))</f>
        <v/>
      </c>
    </row>
    <row r="203" ht="15.75" customHeight="1" s="52">
      <c r="B203" s="17" t="n"/>
      <c r="E203" s="26" t="n"/>
      <c r="F203" s="19" t="n"/>
      <c r="G203" s="10" t="n"/>
      <c r="H203" s="10" t="n"/>
      <c r="I203" s="9" t="n"/>
      <c r="J203" s="9" t="n"/>
      <c r="K203" s="9" t="n"/>
      <c r="L203" s="9" t="n"/>
      <c r="M203" s="9" t="n"/>
      <c r="N203" s="20" t="n"/>
      <c r="O203" s="20">
        <f>IF(C203="", "", TRIM(RIGHT(C203, LEN(C203) - FIND("@@", SUBSTITUTE(C203, "-", "@@", LEN(C203) - LEN(SUBSTITUTE(C203, "-", "")))))))</f>
        <v/>
      </c>
      <c r="P203" s="20">
        <f t="array" ref="P203">IFERROR(XLOOKUP(O203,'Department Listing'!$O$1:$O$395,'Department Listing'!$A$1:$A$395),IFERROR(XLOOKUP(O203,'Name Aliases'!$A$2:$A$1000,'Name Aliases'!$B$2:$B$1000),""))</f>
        <v/>
      </c>
      <c r="Q203" s="21">
        <f>IF(ISBLANK($C203),"",$B203)</f>
        <v/>
      </c>
      <c r="R203" s="20">
        <f>IF(ISBLANK($C203),"",IF(ISBLANK($I203),$D203,$I203))</f>
        <v/>
      </c>
      <c r="S203" s="22">
        <f>IF(ISBLANK($C203),"",$F203 - $G203)</f>
        <v/>
      </c>
      <c r="T203" s="20">
        <f>IF(ISBLANK($C203),"",C203)</f>
        <v/>
      </c>
      <c r="U203" s="20">
        <f>IF(ISBLANK($C203),"",$D$1)</f>
        <v/>
      </c>
      <c r="V203" s="22">
        <f t="array" ref="V203">IF(ISBLANK($B203),"",IF(ISBLANK($K203),IF(XLOOKUP($W203,'Category Mapping'!$C:$C,'Category Mapping'!$B:$B)="Travel",XLOOKUP($P203,'Department Listing'!$A:$A,'Department Listing'!$M:$M),XLOOKUP($W203,'Category Mapping'!$C:$C,'Category Mapping'!$D:$D)),$K203))</f>
        <v/>
      </c>
      <c r="W203" s="22">
        <f>IF(ISBLANK($B203),"",IF(ISBLANK($L203),RIGHT($E203,LEN($E203) - FIND("^",SUBSTITUTE($E203,":","^",LEN($E203) - LEN(SUBSTITUTE($E203,":",""))))),$L203))</f>
        <v/>
      </c>
      <c r="X203" s="22">
        <f>IF(ISBLANK($J203),$V203&amp;$W203,$J203)</f>
        <v/>
      </c>
      <c r="Y203" s="23">
        <f t="array" ref="Y203">IF(ISBLANK($M203),IFERROR(XLOOKUP($P203,'Department Listing'!$A:$A,'Department Listing'!$L:$L),""),$M203)</f>
        <v/>
      </c>
      <c r="Z203" s="11">
        <f>IF(ISBLANK($B203),"",MATCH($X203,COA!$B:$B,0))</f>
        <v/>
      </c>
    </row>
    <row r="204" ht="15.75" customHeight="1" s="52">
      <c r="B204" s="17" t="n"/>
      <c r="E204" s="26" t="n"/>
      <c r="F204" s="19" t="n"/>
      <c r="G204" s="10" t="n"/>
      <c r="H204" s="10" t="n"/>
      <c r="I204" s="9" t="n"/>
      <c r="J204" s="9" t="n"/>
      <c r="K204" s="9" t="n"/>
      <c r="L204" s="9" t="n"/>
      <c r="M204" s="9" t="n"/>
      <c r="N204" s="20" t="n"/>
      <c r="O204" s="20">
        <f>IF(C204="", "", TRIM(RIGHT(C204, LEN(C204) - FIND("@@", SUBSTITUTE(C204, "-", "@@", LEN(C204) - LEN(SUBSTITUTE(C204, "-", "")))))))</f>
        <v/>
      </c>
      <c r="P204" s="20">
        <f t="array" ref="P204">IFERROR(XLOOKUP(O204,'Department Listing'!$O$1:$O$395,'Department Listing'!$A$1:$A$395),IFERROR(XLOOKUP(O204,'Name Aliases'!$A$2:$A$1000,'Name Aliases'!$B$2:$B$1000),""))</f>
        <v/>
      </c>
      <c r="Q204" s="21">
        <f>IF(ISBLANK($C204),"",$B204)</f>
        <v/>
      </c>
      <c r="R204" s="20">
        <f>IF(ISBLANK($C204),"",IF(ISBLANK($I204),$D204,$I204))</f>
        <v/>
      </c>
      <c r="S204" s="22">
        <f>IF(ISBLANK($C204),"",$F204 - $G204)</f>
        <v/>
      </c>
      <c r="T204" s="20">
        <f>IF(ISBLANK($C204),"",C204)</f>
        <v/>
      </c>
      <c r="U204" s="20">
        <f>IF(ISBLANK($C204),"",$D$1)</f>
        <v/>
      </c>
      <c r="V204" s="22">
        <f t="array" ref="V204">IF(ISBLANK($B204),"",IF(ISBLANK($K204),IF(XLOOKUP($W204,'Category Mapping'!$C:$C,'Category Mapping'!$B:$B)="Travel",XLOOKUP($P204,'Department Listing'!$A:$A,'Department Listing'!$M:$M),XLOOKUP($W204,'Category Mapping'!$C:$C,'Category Mapping'!$D:$D)),$K204))</f>
        <v/>
      </c>
      <c r="W204" s="22">
        <f>IF(ISBLANK($B204),"",IF(ISBLANK($L204),RIGHT($E204,LEN($E204) - FIND("^",SUBSTITUTE($E204,":","^",LEN($E204) - LEN(SUBSTITUTE($E204,":",""))))),$L204))</f>
        <v/>
      </c>
      <c r="X204" s="22">
        <f>IF(ISBLANK($J204),$V204&amp;$W204,$J204)</f>
        <v/>
      </c>
      <c r="Y204" s="23">
        <f t="array" ref="Y204">IF(ISBLANK($M204),IFERROR(XLOOKUP($P204,'Department Listing'!$A:$A,'Department Listing'!$L:$L),""),$M204)</f>
        <v/>
      </c>
      <c r="Z204" s="11">
        <f>IF(ISBLANK($B204),"",MATCH($X204,COA!$B:$B,0))</f>
        <v/>
      </c>
    </row>
    <row r="205" ht="15.75" customHeight="1" s="52">
      <c r="B205" s="17" t="n"/>
      <c r="E205" s="26" t="n"/>
      <c r="F205" s="19" t="n"/>
      <c r="G205" s="10" t="n"/>
      <c r="H205" s="10" t="n"/>
      <c r="I205" s="9" t="n"/>
      <c r="J205" s="9" t="n"/>
      <c r="K205" s="9" t="n"/>
      <c r="L205" s="9" t="n"/>
      <c r="M205" s="9" t="n"/>
      <c r="N205" s="20" t="n"/>
      <c r="O205" s="20">
        <f>IF(C205="", "", TRIM(RIGHT(C205, LEN(C205) - FIND("@@", SUBSTITUTE(C205, "-", "@@", LEN(C205) - LEN(SUBSTITUTE(C205, "-", "")))))))</f>
        <v/>
      </c>
      <c r="P205" s="20">
        <f t="array" ref="P205">IFERROR(XLOOKUP(O205,'Department Listing'!$O$1:$O$395,'Department Listing'!$A$1:$A$395),IFERROR(XLOOKUP(O205,'Name Aliases'!$A$2:$A$1000,'Name Aliases'!$B$2:$B$1000),""))</f>
        <v/>
      </c>
      <c r="Q205" s="21">
        <f>IF(ISBLANK($C205),"",$B205)</f>
        <v/>
      </c>
      <c r="R205" s="20">
        <f>IF(ISBLANK($C205),"",IF(ISBLANK($I205),$D205,$I205))</f>
        <v/>
      </c>
      <c r="S205" s="22">
        <f>IF(ISBLANK($C205),"",$F205 - $G205)</f>
        <v/>
      </c>
      <c r="T205" s="20">
        <f>IF(ISBLANK($C205),"",C205)</f>
        <v/>
      </c>
      <c r="U205" s="20">
        <f>IF(ISBLANK($C205),"",$D$1)</f>
        <v/>
      </c>
      <c r="V205" s="22">
        <f t="array" ref="V205">IF(ISBLANK($B205),"",IF(ISBLANK($K205),IF(XLOOKUP($W205,'Category Mapping'!$C:$C,'Category Mapping'!$B:$B)="Travel",XLOOKUP($P205,'Department Listing'!$A:$A,'Department Listing'!$M:$M),XLOOKUP($W205,'Category Mapping'!$C:$C,'Category Mapping'!$D:$D)),$K205))</f>
        <v/>
      </c>
      <c r="W205" s="22">
        <f>IF(ISBLANK($B205),"",IF(ISBLANK($L205),RIGHT($E205,LEN($E205) - FIND("^",SUBSTITUTE($E205,":","^",LEN($E205) - LEN(SUBSTITUTE($E205,":",""))))),$L205))</f>
        <v/>
      </c>
      <c r="X205" s="22">
        <f>IF(ISBLANK($J205),$V205&amp;$W205,$J205)</f>
        <v/>
      </c>
      <c r="Y205" s="23">
        <f t="array" ref="Y205">IF(ISBLANK($M205),IFERROR(XLOOKUP($P205,'Department Listing'!$A:$A,'Department Listing'!$L:$L),""),$M205)</f>
        <v/>
      </c>
      <c r="Z205" s="11">
        <f>IF(ISBLANK($B205),"",MATCH($X205,COA!$B:$B,0))</f>
        <v/>
      </c>
    </row>
    <row r="206" ht="15.75" customHeight="1" s="52">
      <c r="B206" s="17" t="n"/>
      <c r="E206" s="26" t="n"/>
      <c r="F206" s="19" t="n"/>
      <c r="G206" s="10" t="n"/>
      <c r="H206" s="10" t="n"/>
      <c r="I206" s="9" t="n"/>
      <c r="J206" s="9" t="n"/>
      <c r="K206" s="9" t="n"/>
      <c r="L206" s="9" t="n"/>
      <c r="M206" s="9" t="n"/>
      <c r="N206" s="20" t="n"/>
      <c r="O206" s="20">
        <f>IF(C206="", "", TRIM(RIGHT(C206, LEN(C206) - FIND("@@", SUBSTITUTE(C206, "-", "@@", LEN(C206) - LEN(SUBSTITUTE(C206, "-", "")))))))</f>
        <v/>
      </c>
      <c r="P206" s="20">
        <f t="array" ref="P206">IFERROR(XLOOKUP(O206,'Department Listing'!$O$1:$O$395,'Department Listing'!$A$1:$A$395),IFERROR(XLOOKUP(O206,'Name Aliases'!$A$2:$A$1000,'Name Aliases'!$B$2:$B$1000),""))</f>
        <v/>
      </c>
      <c r="Q206" s="21">
        <f>IF(ISBLANK($C206),"",$B206)</f>
        <v/>
      </c>
      <c r="R206" s="20">
        <f>IF(ISBLANK($C206),"",IF(ISBLANK($I206),$D206,$I206))</f>
        <v/>
      </c>
      <c r="S206" s="22">
        <f>IF(ISBLANK($C206),"",$F206 - $G206)</f>
        <v/>
      </c>
      <c r="T206" s="20">
        <f>IF(ISBLANK($C206),"",C206)</f>
        <v/>
      </c>
      <c r="U206" s="20">
        <f>IF(ISBLANK($C206),"",$D$1)</f>
        <v/>
      </c>
      <c r="V206" s="22">
        <f t="array" ref="V206">IF(ISBLANK($B206),"",IF(ISBLANK($K206),IF(XLOOKUP($W206,'Category Mapping'!$C:$C,'Category Mapping'!$B:$B)="Travel",XLOOKUP($P206,'Department Listing'!$A:$A,'Department Listing'!$M:$M),XLOOKUP($W206,'Category Mapping'!$C:$C,'Category Mapping'!$D:$D)),$K206))</f>
        <v/>
      </c>
      <c r="W206" s="22">
        <f>IF(ISBLANK($B206),"",IF(ISBLANK($L206),RIGHT($E206,LEN($E206) - FIND("^",SUBSTITUTE($E206,":","^",LEN($E206) - LEN(SUBSTITUTE($E206,":",""))))),$L206))</f>
        <v/>
      </c>
      <c r="X206" s="22">
        <f>IF(ISBLANK($J206),$V206&amp;$W206,$J206)</f>
        <v/>
      </c>
      <c r="Y206" s="23">
        <f t="array" ref="Y206">IF(ISBLANK($M206),IFERROR(XLOOKUP($P206,'Department Listing'!$A:$A,'Department Listing'!$L:$L),""),$M206)</f>
        <v/>
      </c>
      <c r="Z206" s="11">
        <f>IF(ISBLANK($B206),"",MATCH($X206,COA!$B:$B,0))</f>
        <v/>
      </c>
    </row>
    <row r="207" ht="15.75" customHeight="1" s="52">
      <c r="B207" s="17" t="n"/>
      <c r="E207" s="26" t="n"/>
      <c r="F207" s="19" t="n"/>
      <c r="G207" s="10" t="n"/>
      <c r="H207" s="10" t="n"/>
      <c r="I207" s="9" t="n"/>
      <c r="J207" s="9" t="n"/>
      <c r="K207" s="9" t="n"/>
      <c r="L207" s="9" t="n"/>
      <c r="M207" s="9" t="n"/>
      <c r="N207" s="20" t="n"/>
      <c r="O207" s="20">
        <f>IF(C207="", "", TRIM(RIGHT(C207, LEN(C207) - FIND("@@", SUBSTITUTE(C207, "-", "@@", LEN(C207) - LEN(SUBSTITUTE(C207, "-", "")))))))</f>
        <v/>
      </c>
      <c r="P207" s="20">
        <f t="array" ref="P207">IFERROR(XLOOKUP(O207,'Department Listing'!$O$1:$O$395,'Department Listing'!$A$1:$A$395),IFERROR(XLOOKUP(O207,'Name Aliases'!$A$2:$A$1000,'Name Aliases'!$B$2:$B$1000),""))</f>
        <v/>
      </c>
      <c r="Q207" s="21">
        <f>IF(ISBLANK($C207),"",$B207)</f>
        <v/>
      </c>
      <c r="R207" s="20">
        <f>IF(ISBLANK($C207),"",IF(ISBLANK($I207),$D207,$I207))</f>
        <v/>
      </c>
      <c r="S207" s="22">
        <f>IF(ISBLANK($C207),"",$F207 - $G207)</f>
        <v/>
      </c>
      <c r="T207" s="20">
        <f>IF(ISBLANK($C207),"",C207)</f>
        <v/>
      </c>
      <c r="U207" s="20">
        <f>IF(ISBLANK($C207),"",$D$1)</f>
        <v/>
      </c>
      <c r="V207" s="22">
        <f t="array" ref="V207">IF(ISBLANK($B207),"",IF(ISBLANK($K207),IF(XLOOKUP($W207,'Category Mapping'!$C:$C,'Category Mapping'!$B:$B)="Travel",XLOOKUP($P207,'Department Listing'!$A:$A,'Department Listing'!$M:$M),XLOOKUP($W207,'Category Mapping'!$C:$C,'Category Mapping'!$D:$D)),$K207))</f>
        <v/>
      </c>
      <c r="W207" s="22">
        <f>IF(ISBLANK($B207),"",IF(ISBLANK($L207),RIGHT($E207,LEN($E207) - FIND("^",SUBSTITUTE($E207,":","^",LEN($E207) - LEN(SUBSTITUTE($E207,":",""))))),$L207))</f>
        <v/>
      </c>
      <c r="X207" s="22">
        <f>IF(ISBLANK($J207),$V207&amp;$W207,$J207)</f>
        <v/>
      </c>
      <c r="Y207" s="23">
        <f t="array" ref="Y207">IF(ISBLANK($M207),IFERROR(XLOOKUP($P207,'Department Listing'!$A:$A,'Department Listing'!$L:$L),""),$M207)</f>
        <v/>
      </c>
      <c r="Z207" s="11">
        <f>IF(ISBLANK($B207),"",MATCH($X207,COA!$B:$B,0))</f>
        <v/>
      </c>
    </row>
    <row r="208" ht="15.75" customHeight="1" s="52">
      <c r="B208" s="17" t="n"/>
      <c r="E208" s="26" t="n"/>
      <c r="F208" s="19" t="n"/>
      <c r="G208" s="10" t="n"/>
      <c r="H208" s="10" t="n"/>
      <c r="I208" s="9" t="n"/>
      <c r="J208" s="9" t="n"/>
      <c r="K208" s="9" t="n"/>
      <c r="L208" s="9" t="n"/>
      <c r="M208" s="9" t="n"/>
      <c r="N208" s="20" t="n"/>
      <c r="O208" s="20">
        <f>IF(C208="", "", TRIM(RIGHT(C208, LEN(C208) - FIND("@@", SUBSTITUTE(C208, "-", "@@", LEN(C208) - LEN(SUBSTITUTE(C208, "-", "")))))))</f>
        <v/>
      </c>
      <c r="P208" s="20">
        <f t="array" ref="P208">IFERROR(XLOOKUP(O208,'Department Listing'!$O$1:$O$395,'Department Listing'!$A$1:$A$395),IFERROR(XLOOKUP(O208,'Name Aliases'!$A$2:$A$1000,'Name Aliases'!$B$2:$B$1000),""))</f>
        <v/>
      </c>
      <c r="Q208" s="21">
        <f>IF(ISBLANK($C208),"",$B208)</f>
        <v/>
      </c>
      <c r="R208" s="20">
        <f>IF(ISBLANK($C208),"",IF(ISBLANK($I208),$D208,$I208))</f>
        <v/>
      </c>
      <c r="S208" s="22">
        <f>IF(ISBLANK($C208),"",$F208 - $G208)</f>
        <v/>
      </c>
      <c r="T208" s="20">
        <f>IF(ISBLANK($C208),"",C208)</f>
        <v/>
      </c>
      <c r="U208" s="20">
        <f>IF(ISBLANK($C208),"",$D$1)</f>
        <v/>
      </c>
      <c r="V208" s="22">
        <f t="array" ref="V208">IF(ISBLANK($B208),"",IF(ISBLANK($K208),IF(XLOOKUP($W208,'Category Mapping'!$C:$C,'Category Mapping'!$B:$B)="Travel",XLOOKUP($P208,'Department Listing'!$A:$A,'Department Listing'!$M:$M),XLOOKUP($W208,'Category Mapping'!$C:$C,'Category Mapping'!$D:$D)),$K208))</f>
        <v/>
      </c>
      <c r="W208" s="22">
        <f>IF(ISBLANK($B208),"",IF(ISBLANK($L208),RIGHT($E208,LEN($E208) - FIND("^",SUBSTITUTE($E208,":","^",LEN($E208) - LEN(SUBSTITUTE($E208,":",""))))),$L208))</f>
        <v/>
      </c>
      <c r="X208" s="22">
        <f>IF(ISBLANK($J208),$V208&amp;$W208,$J208)</f>
        <v/>
      </c>
      <c r="Y208" s="23">
        <f t="array" ref="Y208">IF(ISBLANK($M208),IFERROR(XLOOKUP($P208,'Department Listing'!$A:$A,'Department Listing'!$L:$L),""),$M208)</f>
        <v/>
      </c>
      <c r="Z208" s="11">
        <f>IF(ISBLANK($B208),"",MATCH($X208,COA!$B:$B,0))</f>
        <v/>
      </c>
    </row>
    <row r="209" ht="15.75" customHeight="1" s="52">
      <c r="B209" s="17" t="n"/>
      <c r="E209" s="26" t="n"/>
      <c r="F209" s="19" t="n"/>
      <c r="G209" s="10" t="n"/>
      <c r="H209" s="10" t="n"/>
      <c r="I209" s="9" t="n"/>
      <c r="J209" s="9" t="n"/>
      <c r="K209" s="9" t="n"/>
      <c r="L209" s="9" t="n"/>
      <c r="M209" s="9" t="n"/>
      <c r="N209" s="20" t="n"/>
      <c r="O209" s="20">
        <f>IF(C209="", "", TRIM(RIGHT(C209, LEN(C209) - FIND("@@", SUBSTITUTE(C209, "-", "@@", LEN(C209) - LEN(SUBSTITUTE(C209, "-", "")))))))</f>
        <v/>
      </c>
      <c r="P209" s="20">
        <f t="array" ref="P209">IFERROR(XLOOKUP(O209,'Department Listing'!$O$1:$O$395,'Department Listing'!$A$1:$A$395),IFERROR(XLOOKUP(O209,'Name Aliases'!$A$2:$A$1000,'Name Aliases'!$B$2:$B$1000),""))</f>
        <v/>
      </c>
      <c r="Q209" s="21">
        <f>IF(ISBLANK($C209),"",$B209)</f>
        <v/>
      </c>
      <c r="R209" s="20">
        <f>IF(ISBLANK($C209),"",IF(ISBLANK($I209),$D209,$I209))</f>
        <v/>
      </c>
      <c r="S209" s="22">
        <f>IF(ISBLANK($C209),"",$F209 - $G209)</f>
        <v/>
      </c>
      <c r="T209" s="20">
        <f>IF(ISBLANK($C209),"",C209)</f>
        <v/>
      </c>
      <c r="U209" s="20">
        <f>IF(ISBLANK($C209),"",$D$1)</f>
        <v/>
      </c>
      <c r="V209" s="22">
        <f t="array" ref="V209">IF(ISBLANK($B209),"",IF(ISBLANK($K209),IF(XLOOKUP($W209,'Category Mapping'!$C:$C,'Category Mapping'!$B:$B)="Travel",XLOOKUP($P209,'Department Listing'!$A:$A,'Department Listing'!$M:$M),XLOOKUP($W209,'Category Mapping'!$C:$C,'Category Mapping'!$D:$D)),$K209))</f>
        <v/>
      </c>
      <c r="W209" s="22">
        <f>IF(ISBLANK($B209),"",IF(ISBLANK($L209),RIGHT($E209,LEN($E209) - FIND("^",SUBSTITUTE($E209,":","^",LEN($E209) - LEN(SUBSTITUTE($E209,":",""))))),$L209))</f>
        <v/>
      </c>
      <c r="X209" s="22">
        <f>IF(ISBLANK($J209),$V209&amp;$W209,$J209)</f>
        <v/>
      </c>
      <c r="Y209" s="23">
        <f t="array" ref="Y209">IF(ISBLANK($M209),IFERROR(XLOOKUP($P209,'Department Listing'!$A:$A,'Department Listing'!$L:$L),""),$M209)</f>
        <v/>
      </c>
      <c r="Z209" s="11">
        <f>IF(ISBLANK($B209),"",MATCH($X209,COA!$B:$B,0))</f>
        <v/>
      </c>
    </row>
    <row r="210" ht="15.75" customHeight="1" s="52">
      <c r="B210" s="17" t="n"/>
      <c r="E210" s="26" t="n"/>
      <c r="F210" s="19" t="n"/>
      <c r="G210" s="10" t="n"/>
      <c r="H210" s="10" t="n"/>
      <c r="I210" s="9" t="n"/>
      <c r="J210" s="9" t="n"/>
      <c r="K210" s="9" t="n"/>
      <c r="L210" s="9" t="n"/>
      <c r="M210" s="9" t="n"/>
      <c r="N210" s="20" t="n"/>
      <c r="O210" s="20">
        <f>IF(C210="", "", TRIM(RIGHT(C210, LEN(C210) - FIND("@@", SUBSTITUTE(C210, "-", "@@", LEN(C210) - LEN(SUBSTITUTE(C210, "-", "")))))))</f>
        <v/>
      </c>
      <c r="P210" s="20">
        <f t="array" ref="P210">IFERROR(XLOOKUP(O210,'Department Listing'!$O$1:$O$395,'Department Listing'!$A$1:$A$395),IFERROR(XLOOKUP(O210,'Name Aliases'!$A$2:$A$1000,'Name Aliases'!$B$2:$B$1000),""))</f>
        <v/>
      </c>
      <c r="Q210" s="21">
        <f>IF(ISBLANK($C210),"",$B210)</f>
        <v/>
      </c>
      <c r="R210" s="20">
        <f>IF(ISBLANK($C210),"",IF(ISBLANK($I210),$D210,$I210))</f>
        <v/>
      </c>
      <c r="S210" s="22">
        <f>IF(ISBLANK($C210),"",$F210 - $G210)</f>
        <v/>
      </c>
      <c r="T210" s="20">
        <f>IF(ISBLANK($C210),"",C210)</f>
        <v/>
      </c>
      <c r="U210" s="20">
        <f>IF(ISBLANK($C210),"",$D$1)</f>
        <v/>
      </c>
      <c r="V210" s="22">
        <f t="array" ref="V210">IF(ISBLANK($B210),"",IF(ISBLANK($K210),IF(XLOOKUP($W210,'Category Mapping'!$C:$C,'Category Mapping'!$B:$B)="Travel",XLOOKUP($P210,'Department Listing'!$A:$A,'Department Listing'!$M:$M),XLOOKUP($W210,'Category Mapping'!$C:$C,'Category Mapping'!$D:$D)),$K210))</f>
        <v/>
      </c>
      <c r="W210" s="22">
        <f>IF(ISBLANK($B210),"",IF(ISBLANK($L210),RIGHT($E210,LEN($E210) - FIND("^",SUBSTITUTE($E210,":","^",LEN($E210) - LEN(SUBSTITUTE($E210,":",""))))),$L210))</f>
        <v/>
      </c>
      <c r="X210" s="22">
        <f>IF(ISBLANK($J210),$V210&amp;$W210,$J210)</f>
        <v/>
      </c>
      <c r="Y210" s="23">
        <f t="array" ref="Y210">IF(ISBLANK($M210),IFERROR(XLOOKUP($P210,'Department Listing'!$A:$A,'Department Listing'!$L:$L),""),$M210)</f>
        <v/>
      </c>
      <c r="Z210" s="11">
        <f>IF(ISBLANK($B210),"",MATCH($X210,COA!$B:$B,0))</f>
        <v/>
      </c>
    </row>
    <row r="211" ht="15.75" customHeight="1" s="52">
      <c r="B211" s="17" t="n"/>
      <c r="E211" s="26" t="n"/>
      <c r="F211" s="19" t="n"/>
      <c r="G211" s="10" t="n"/>
      <c r="H211" s="10" t="n"/>
      <c r="I211" s="9" t="n"/>
      <c r="J211" s="9" t="n"/>
      <c r="K211" s="9" t="n"/>
      <c r="L211" s="9" t="n"/>
      <c r="M211" s="9" t="n"/>
      <c r="N211" s="20" t="n"/>
      <c r="O211" s="20">
        <f>IF(C211="", "", TRIM(RIGHT(C211, LEN(C211) - FIND("@@", SUBSTITUTE(C211, "-", "@@", LEN(C211) - LEN(SUBSTITUTE(C211, "-", "")))))))</f>
        <v/>
      </c>
      <c r="P211" s="20">
        <f t="array" ref="P211">IFERROR(XLOOKUP(O211,'Department Listing'!$O$1:$O$395,'Department Listing'!$A$1:$A$395),IFERROR(XLOOKUP(O211,'Name Aliases'!$A$2:$A$1000,'Name Aliases'!$B$2:$B$1000),""))</f>
        <v/>
      </c>
      <c r="Q211" s="21">
        <f>IF(ISBLANK($C211),"",$B211)</f>
        <v/>
      </c>
      <c r="R211" s="20">
        <f>IF(ISBLANK($C211),"",IF(ISBLANK($I211),$D211,$I211))</f>
        <v/>
      </c>
      <c r="S211" s="22">
        <f>IF(ISBLANK($C211),"",$F211 - $G211)</f>
        <v/>
      </c>
      <c r="T211" s="20">
        <f>IF(ISBLANK($C211),"",C211)</f>
        <v/>
      </c>
      <c r="U211" s="20">
        <f>IF(ISBLANK($C211),"",$D$1)</f>
        <v/>
      </c>
      <c r="V211" s="22">
        <f t="array" ref="V211">IF(ISBLANK($B211),"",IF(ISBLANK($K211),IF(XLOOKUP($W211,'Category Mapping'!$C:$C,'Category Mapping'!$B:$B)="Travel",XLOOKUP($P211,'Department Listing'!$A:$A,'Department Listing'!$M:$M),XLOOKUP($W211,'Category Mapping'!$C:$C,'Category Mapping'!$D:$D)),$K211))</f>
        <v/>
      </c>
      <c r="W211" s="22">
        <f>IF(ISBLANK($B211),"",IF(ISBLANK($L211),RIGHT($E211,LEN($E211) - FIND("^",SUBSTITUTE($E211,":","^",LEN($E211) - LEN(SUBSTITUTE($E211,":",""))))),$L211))</f>
        <v/>
      </c>
      <c r="X211" s="22">
        <f>IF(ISBLANK($J211),$V211&amp;$W211,$J211)</f>
        <v/>
      </c>
      <c r="Y211" s="23">
        <f t="array" ref="Y211">IF(ISBLANK($M211),IFERROR(XLOOKUP($P211,'Department Listing'!$A:$A,'Department Listing'!$L:$L),""),$M211)</f>
        <v/>
      </c>
      <c r="Z211" s="11">
        <f>IF(ISBLANK($B211),"",MATCH($X211,COA!$B:$B,0))</f>
        <v/>
      </c>
    </row>
    <row r="212" ht="15.75" customHeight="1" s="52">
      <c r="B212" s="17" t="n"/>
      <c r="E212" s="26" t="n"/>
      <c r="F212" s="19" t="n"/>
      <c r="G212" s="10" t="n"/>
      <c r="H212" s="10" t="n"/>
      <c r="I212" s="9" t="n"/>
      <c r="J212" s="9" t="n"/>
      <c r="K212" s="9" t="n"/>
      <c r="L212" s="9" t="n"/>
      <c r="M212" s="9" t="n"/>
      <c r="N212" s="20" t="n"/>
      <c r="O212" s="20">
        <f>IF(C212="", "", TRIM(RIGHT(C212, LEN(C212) - FIND("@@", SUBSTITUTE(C212, "-", "@@", LEN(C212) - LEN(SUBSTITUTE(C212, "-", "")))))))</f>
        <v/>
      </c>
      <c r="P212" s="20">
        <f t="array" ref="P212">IFERROR(XLOOKUP(O212,'Department Listing'!$O$1:$O$395,'Department Listing'!$A$1:$A$395),IFERROR(XLOOKUP(O212,'Name Aliases'!$A$2:$A$1000,'Name Aliases'!$B$2:$B$1000),""))</f>
        <v/>
      </c>
      <c r="Q212" s="21">
        <f>IF(ISBLANK($C212),"",$B212)</f>
        <v/>
      </c>
      <c r="R212" s="20">
        <f>IF(ISBLANK($C212),"",IF(ISBLANK($I212),$D212,$I212))</f>
        <v/>
      </c>
      <c r="S212" s="22">
        <f>IF(ISBLANK($C212),"",$F212 - $G212)</f>
        <v/>
      </c>
      <c r="T212" s="20">
        <f>IF(ISBLANK($C212),"",C212)</f>
        <v/>
      </c>
      <c r="U212" s="20">
        <f>IF(ISBLANK($C212),"",$D$1)</f>
        <v/>
      </c>
      <c r="V212" s="22">
        <f t="array" ref="V212">IF(ISBLANK($B212),"",IF(ISBLANK($K212),IF(XLOOKUP($W212,'Category Mapping'!$C:$C,'Category Mapping'!$B:$B)="Travel",XLOOKUP($P212,'Department Listing'!$A:$A,'Department Listing'!$M:$M),XLOOKUP($W212,'Category Mapping'!$C:$C,'Category Mapping'!$D:$D)),$K212))</f>
        <v/>
      </c>
      <c r="W212" s="22">
        <f>IF(ISBLANK($B212),"",IF(ISBLANK($L212),RIGHT($E212,LEN($E212) - FIND("^",SUBSTITUTE($E212,":","^",LEN($E212) - LEN(SUBSTITUTE($E212,":",""))))),$L212))</f>
        <v/>
      </c>
      <c r="X212" s="22">
        <f>IF(ISBLANK($J212),$V212&amp;$W212,$J212)</f>
        <v/>
      </c>
      <c r="Y212" s="23">
        <f t="array" ref="Y212">IF(ISBLANK($M212),IFERROR(XLOOKUP($P212,'Department Listing'!$A:$A,'Department Listing'!$L:$L),""),$M212)</f>
        <v/>
      </c>
      <c r="Z212" s="11">
        <f>IF(ISBLANK($B212),"",MATCH($X212,COA!$B:$B,0))</f>
        <v/>
      </c>
    </row>
    <row r="213" ht="15.75" customHeight="1" s="52">
      <c r="B213" s="17" t="n"/>
      <c r="E213" s="26" t="n"/>
      <c r="F213" s="19" t="n"/>
      <c r="G213" s="10" t="n"/>
      <c r="H213" s="10" t="n"/>
      <c r="I213" s="9" t="n"/>
      <c r="J213" s="9" t="n"/>
      <c r="K213" s="9" t="n"/>
      <c r="L213" s="9" t="n"/>
      <c r="M213" s="9" t="n"/>
      <c r="N213" s="20" t="n"/>
      <c r="O213" s="20">
        <f>IF(C213="", "", TRIM(RIGHT(C213, LEN(C213) - FIND("@@", SUBSTITUTE(C213, "-", "@@", LEN(C213) - LEN(SUBSTITUTE(C213, "-", "")))))))</f>
        <v/>
      </c>
      <c r="P213" s="20">
        <f t="array" ref="P213">IFERROR(XLOOKUP(O213,'Department Listing'!$O$1:$O$395,'Department Listing'!$A$1:$A$395),IFERROR(XLOOKUP(O213,'Name Aliases'!$A$2:$A$1000,'Name Aliases'!$B$2:$B$1000),""))</f>
        <v/>
      </c>
      <c r="Q213" s="21">
        <f>IF(ISBLANK($C213),"",$B213)</f>
        <v/>
      </c>
      <c r="R213" s="20">
        <f>IF(ISBLANK($C213),"",IF(ISBLANK($I213),$D213,$I213))</f>
        <v/>
      </c>
      <c r="S213" s="22">
        <f>IF(ISBLANK($C213),"",$F213 - $G213)</f>
        <v/>
      </c>
      <c r="T213" s="20">
        <f>IF(ISBLANK($C213),"",C213)</f>
        <v/>
      </c>
      <c r="U213" s="20">
        <f>IF(ISBLANK($C213),"",$D$1)</f>
        <v/>
      </c>
      <c r="V213" s="22">
        <f t="array" ref="V213">IF(ISBLANK($B213),"",IF(ISBLANK($K213),IF(XLOOKUP($W213,'Category Mapping'!$C:$C,'Category Mapping'!$B:$B)="Travel",XLOOKUP($P213,'Department Listing'!$A:$A,'Department Listing'!$M:$M),XLOOKUP($W213,'Category Mapping'!$C:$C,'Category Mapping'!$D:$D)),$K213))</f>
        <v/>
      </c>
      <c r="W213" s="22">
        <f>IF(ISBLANK($B213),"",IF(ISBLANK($L213),RIGHT($E213,LEN($E213) - FIND("^",SUBSTITUTE($E213,":","^",LEN($E213) - LEN(SUBSTITUTE($E213,":",""))))),$L213))</f>
        <v/>
      </c>
      <c r="X213" s="22">
        <f>IF(ISBLANK($J213),$V213&amp;$W213,$J213)</f>
        <v/>
      </c>
      <c r="Y213" s="23">
        <f t="array" ref="Y213">IF(ISBLANK($M213),IFERROR(XLOOKUP($P213,'Department Listing'!$A:$A,'Department Listing'!$L:$L),""),$M213)</f>
        <v/>
      </c>
      <c r="Z213" s="11">
        <f>IF(ISBLANK($B213),"",MATCH($X213,COA!$B:$B,0))</f>
        <v/>
      </c>
    </row>
    <row r="214" ht="15.75" customHeight="1" s="52">
      <c r="B214" s="17" t="n"/>
      <c r="E214" s="26" t="n"/>
      <c r="F214" s="19" t="n"/>
      <c r="G214" s="10" t="n"/>
      <c r="H214" s="10" t="n"/>
      <c r="I214" s="9" t="n"/>
      <c r="J214" s="9" t="n"/>
      <c r="K214" s="9" t="n"/>
      <c r="L214" s="9" t="n"/>
      <c r="M214" s="9" t="n"/>
      <c r="N214" s="20" t="n"/>
      <c r="O214" s="20">
        <f>IF(C214="", "", TRIM(RIGHT(C214, LEN(C214) - FIND("@@", SUBSTITUTE(C214, "-", "@@", LEN(C214) - LEN(SUBSTITUTE(C214, "-", "")))))))</f>
        <v/>
      </c>
      <c r="P214" s="20">
        <f t="array" ref="P214">IFERROR(XLOOKUP(O214,'Department Listing'!$O$1:$O$395,'Department Listing'!$A$1:$A$395),IFERROR(XLOOKUP(O214,'Name Aliases'!$A$2:$A$1000,'Name Aliases'!$B$2:$B$1000),""))</f>
        <v/>
      </c>
      <c r="Q214" s="21">
        <f>IF(ISBLANK($C214),"",$B214)</f>
        <v/>
      </c>
      <c r="R214" s="20">
        <f>IF(ISBLANK($C214),"",IF(ISBLANK($I214),$D214,$I214))</f>
        <v/>
      </c>
      <c r="S214" s="22">
        <f>IF(ISBLANK($C214),"",$F214 - $G214)</f>
        <v/>
      </c>
      <c r="T214" s="20">
        <f>IF(ISBLANK($C214),"",C214)</f>
        <v/>
      </c>
      <c r="U214" s="20">
        <f>IF(ISBLANK($C214),"",$D$1)</f>
        <v/>
      </c>
      <c r="V214" s="22">
        <f t="array" ref="V214">IF(ISBLANK($B214),"",IF(ISBLANK($K214),IF(XLOOKUP($W214,'Category Mapping'!$C:$C,'Category Mapping'!$B:$B)="Travel",XLOOKUP($P214,'Department Listing'!$A:$A,'Department Listing'!$M:$M),XLOOKUP($W214,'Category Mapping'!$C:$C,'Category Mapping'!$D:$D)),$K214))</f>
        <v/>
      </c>
      <c r="W214" s="22">
        <f>IF(ISBLANK($B214),"",IF(ISBLANK($L214),RIGHT($E214,LEN($E214) - FIND("^",SUBSTITUTE($E214,":","^",LEN($E214) - LEN(SUBSTITUTE($E214,":",""))))),$L214))</f>
        <v/>
      </c>
      <c r="X214" s="22">
        <f>IF(ISBLANK($J214),$V214&amp;$W214,$J214)</f>
        <v/>
      </c>
      <c r="Y214" s="23">
        <f t="array" ref="Y214">IF(ISBLANK($M214),IFERROR(XLOOKUP($P214,'Department Listing'!$A:$A,'Department Listing'!$L:$L),""),$M214)</f>
        <v/>
      </c>
      <c r="Z214" s="11">
        <f>IF(ISBLANK($B214),"",MATCH($X214,COA!$B:$B,0))</f>
        <v/>
      </c>
    </row>
    <row r="215" ht="15.75" customHeight="1" s="52">
      <c r="B215" s="17" t="n"/>
      <c r="E215" s="26" t="n"/>
      <c r="F215" s="19" t="n"/>
      <c r="G215" s="10" t="n"/>
      <c r="H215" s="10" t="n"/>
      <c r="I215" s="9" t="n"/>
      <c r="J215" s="9" t="n"/>
      <c r="K215" s="9" t="n"/>
      <c r="L215" s="9" t="n"/>
      <c r="M215" s="9" t="n"/>
      <c r="N215" s="20" t="n"/>
      <c r="O215" s="20">
        <f>IF(C215="", "", TRIM(RIGHT(C215, LEN(C215) - FIND("@@", SUBSTITUTE(C215, "-", "@@", LEN(C215) - LEN(SUBSTITUTE(C215, "-", "")))))))</f>
        <v/>
      </c>
      <c r="P215" s="20">
        <f t="array" ref="P215">IFERROR(XLOOKUP(O215,'Department Listing'!$O$1:$O$395,'Department Listing'!$A$1:$A$395),IFERROR(XLOOKUP(O215,'Name Aliases'!$A$2:$A$1000,'Name Aliases'!$B$2:$B$1000),""))</f>
        <v/>
      </c>
      <c r="Q215" s="21">
        <f>IF(ISBLANK($C215),"",$B215)</f>
        <v/>
      </c>
      <c r="R215" s="20">
        <f>IF(ISBLANK($C215),"",IF(ISBLANK($I215),$D215,$I215))</f>
        <v/>
      </c>
      <c r="S215" s="22">
        <f>IF(ISBLANK($C215),"",$F215 - $G215)</f>
        <v/>
      </c>
      <c r="T215" s="20">
        <f>IF(ISBLANK($C215),"",C215)</f>
        <v/>
      </c>
      <c r="U215" s="20">
        <f>IF(ISBLANK($C215),"",$D$1)</f>
        <v/>
      </c>
      <c r="V215" s="22">
        <f t="array" ref="V215">IF(ISBLANK($B215),"",IF(ISBLANK($K215),IF(XLOOKUP($W215,'Category Mapping'!$C:$C,'Category Mapping'!$B:$B)="Travel",XLOOKUP($P215,'Department Listing'!$A:$A,'Department Listing'!$M:$M),XLOOKUP($W215,'Category Mapping'!$C:$C,'Category Mapping'!$D:$D)),$K215))</f>
        <v/>
      </c>
      <c r="W215" s="22">
        <f>IF(ISBLANK($B215),"",IF(ISBLANK($L215),RIGHT($E215,LEN($E215) - FIND("^",SUBSTITUTE($E215,":","^",LEN($E215) - LEN(SUBSTITUTE($E215,":",""))))),$L215))</f>
        <v/>
      </c>
      <c r="X215" s="22">
        <f>IF(ISBLANK($J215),$V215&amp;$W215,$J215)</f>
        <v/>
      </c>
      <c r="Y215" s="23">
        <f t="array" ref="Y215">IF(ISBLANK($M215),IFERROR(XLOOKUP($P215,'Department Listing'!$A:$A,'Department Listing'!$L:$L),""),$M215)</f>
        <v/>
      </c>
      <c r="Z215" s="11">
        <f>IF(ISBLANK($B215),"",MATCH($X215,COA!$B:$B,0))</f>
        <v/>
      </c>
    </row>
    <row r="216" ht="15.75" customHeight="1" s="52">
      <c r="B216" s="17" t="n"/>
      <c r="E216" s="26" t="n"/>
      <c r="F216" s="19" t="n"/>
      <c r="G216" s="10" t="n"/>
      <c r="H216" s="10" t="n"/>
      <c r="I216" s="9" t="n"/>
      <c r="J216" s="9" t="n"/>
      <c r="K216" s="9" t="n"/>
      <c r="L216" s="9" t="n"/>
      <c r="M216" s="9" t="n"/>
      <c r="N216" s="20" t="n"/>
      <c r="O216" s="20">
        <f>IF(C216="", "", TRIM(RIGHT(C216, LEN(C216) - FIND("@@", SUBSTITUTE(C216, "-", "@@", LEN(C216) - LEN(SUBSTITUTE(C216, "-", "")))))))</f>
        <v/>
      </c>
      <c r="P216" s="20">
        <f t="array" ref="P216">IFERROR(XLOOKUP(O216,'Department Listing'!$O$1:$O$395,'Department Listing'!$A$1:$A$395),IFERROR(XLOOKUP(O216,'Name Aliases'!$A$2:$A$1000,'Name Aliases'!$B$2:$B$1000),""))</f>
        <v/>
      </c>
      <c r="Q216" s="21">
        <f>IF(ISBLANK($C216),"",$B216)</f>
        <v/>
      </c>
      <c r="R216" s="20">
        <f>IF(ISBLANK($C216),"",IF(ISBLANK($I216),$D216,$I216))</f>
        <v/>
      </c>
      <c r="S216" s="22">
        <f>IF(ISBLANK($C216),"",$F216 - $G216)</f>
        <v/>
      </c>
      <c r="T216" s="20">
        <f>IF(ISBLANK($C216),"",C216)</f>
        <v/>
      </c>
      <c r="U216" s="20">
        <f>IF(ISBLANK($C216),"",$D$1)</f>
        <v/>
      </c>
      <c r="V216" s="22">
        <f t="array" ref="V216">IF(ISBLANK($B216),"",IF(ISBLANK($K216),IF(XLOOKUP($W216,'Category Mapping'!$C:$C,'Category Mapping'!$B:$B)="Travel",XLOOKUP($P216,'Department Listing'!$A:$A,'Department Listing'!$M:$M),XLOOKUP($W216,'Category Mapping'!$C:$C,'Category Mapping'!$D:$D)),$K216))</f>
        <v/>
      </c>
      <c r="W216" s="22">
        <f>IF(ISBLANK($B216),"",IF(ISBLANK($L216),RIGHT($E216,LEN($E216) - FIND("^",SUBSTITUTE($E216,":","^",LEN($E216) - LEN(SUBSTITUTE($E216,":",""))))),$L216))</f>
        <v/>
      </c>
      <c r="X216" s="22">
        <f>IF(ISBLANK($J216),$V216&amp;$W216,$J216)</f>
        <v/>
      </c>
      <c r="Y216" s="23">
        <f t="array" ref="Y216">IF(ISBLANK($M216),IFERROR(XLOOKUP($P216,'Department Listing'!$A:$A,'Department Listing'!$L:$L),""),$M216)</f>
        <v/>
      </c>
      <c r="Z216" s="11">
        <f>IF(ISBLANK($B216),"",MATCH($X216,COA!$B:$B,0))</f>
        <v/>
      </c>
    </row>
    <row r="217" ht="15.75" customHeight="1" s="52">
      <c r="B217" s="17" t="n"/>
      <c r="E217" s="26" t="n"/>
      <c r="F217" s="19" t="n"/>
      <c r="G217" s="10" t="n"/>
      <c r="H217" s="10" t="n"/>
      <c r="I217" s="9" t="n"/>
      <c r="J217" s="9" t="n"/>
      <c r="K217" s="9" t="n"/>
      <c r="L217" s="9" t="n"/>
      <c r="M217" s="9" t="n"/>
      <c r="N217" s="20" t="n"/>
      <c r="O217" s="20">
        <f>IF(C217="", "", TRIM(RIGHT(C217, LEN(C217) - FIND("@@", SUBSTITUTE(C217, "-", "@@", LEN(C217) - LEN(SUBSTITUTE(C217, "-", "")))))))</f>
        <v/>
      </c>
      <c r="P217" s="20">
        <f t="array" ref="P217">IFERROR(XLOOKUP(O217,'Department Listing'!$O$1:$O$395,'Department Listing'!$A$1:$A$395),IFERROR(XLOOKUP(O217,'Name Aliases'!$A$2:$A$1000,'Name Aliases'!$B$2:$B$1000),""))</f>
        <v/>
      </c>
      <c r="Q217" s="21">
        <f>IF(ISBLANK($C217),"",$B217)</f>
        <v/>
      </c>
      <c r="R217" s="20">
        <f>IF(ISBLANK($C217),"",IF(ISBLANK($I217),$D217,$I217))</f>
        <v/>
      </c>
      <c r="S217" s="22">
        <f>IF(ISBLANK($C217),"",$F217 - $G217)</f>
        <v/>
      </c>
      <c r="T217" s="20">
        <f>IF(ISBLANK($C217),"",C217)</f>
        <v/>
      </c>
      <c r="U217" s="20">
        <f>IF(ISBLANK($C217),"",$D$1)</f>
        <v/>
      </c>
      <c r="V217" s="22">
        <f t="array" ref="V217">IF(ISBLANK($B217),"",IF(ISBLANK($K217),IF(XLOOKUP($W217,'Category Mapping'!$C:$C,'Category Mapping'!$B:$B)="Travel",XLOOKUP($P217,'Department Listing'!$A:$A,'Department Listing'!$M:$M),XLOOKUP($W217,'Category Mapping'!$C:$C,'Category Mapping'!$D:$D)),$K217))</f>
        <v/>
      </c>
      <c r="W217" s="22">
        <f>IF(ISBLANK($B217),"",IF(ISBLANK($L217),RIGHT($E217,LEN($E217) - FIND("^",SUBSTITUTE($E217,":","^",LEN($E217) - LEN(SUBSTITUTE($E217,":",""))))),$L217))</f>
        <v/>
      </c>
      <c r="X217" s="22">
        <f>IF(ISBLANK($J217),$V217&amp;$W217,$J217)</f>
        <v/>
      </c>
      <c r="Y217" s="23">
        <f t="array" ref="Y217">IF(ISBLANK($M217),IFERROR(XLOOKUP($P217,'Department Listing'!$A:$A,'Department Listing'!$L:$L),""),$M217)</f>
        <v/>
      </c>
      <c r="Z217" s="11">
        <f>IF(ISBLANK($B217),"",MATCH($X217,COA!$B:$B,0))</f>
        <v/>
      </c>
    </row>
    <row r="218" ht="15.75" customHeight="1" s="52">
      <c r="B218" s="17" t="n"/>
      <c r="E218" s="26" t="n"/>
      <c r="F218" s="19" t="n"/>
      <c r="G218" s="10" t="n"/>
      <c r="H218" s="10" t="n"/>
      <c r="I218" s="9" t="n"/>
      <c r="J218" s="9" t="n"/>
      <c r="K218" s="9" t="n"/>
      <c r="L218" s="9" t="n"/>
      <c r="M218" s="9" t="n"/>
      <c r="N218" s="20" t="n"/>
      <c r="O218" s="20">
        <f>IF(C218="", "", TRIM(RIGHT(C218, LEN(C218) - FIND("@@", SUBSTITUTE(C218, "-", "@@", LEN(C218) - LEN(SUBSTITUTE(C218, "-", "")))))))</f>
        <v/>
      </c>
      <c r="P218" s="20">
        <f t="array" ref="P218">IFERROR(XLOOKUP(O218,'Department Listing'!$O$1:$O$395,'Department Listing'!$A$1:$A$395),IFERROR(XLOOKUP(O218,'Name Aliases'!$A$2:$A$1000,'Name Aliases'!$B$2:$B$1000),""))</f>
        <v/>
      </c>
      <c r="Q218" s="21">
        <f>IF(ISBLANK($C218),"",$B218)</f>
        <v/>
      </c>
      <c r="R218" s="20">
        <f>IF(ISBLANK($C218),"",IF(ISBLANK($I218),$D218,$I218))</f>
        <v/>
      </c>
      <c r="S218" s="22">
        <f>IF(ISBLANK($C218),"",$F218 - $G218)</f>
        <v/>
      </c>
      <c r="T218" s="20">
        <f>IF(ISBLANK($C218),"",C218)</f>
        <v/>
      </c>
      <c r="U218" s="20">
        <f>IF(ISBLANK($C218),"",$D$1)</f>
        <v/>
      </c>
      <c r="V218" s="22">
        <f t="array" ref="V218">IF(ISBLANK($B218),"",IF(ISBLANK($K218),IF(XLOOKUP($W218,'Category Mapping'!$C:$C,'Category Mapping'!$B:$B)="Travel",XLOOKUP($P218,'Department Listing'!$A:$A,'Department Listing'!$M:$M),XLOOKUP($W218,'Category Mapping'!$C:$C,'Category Mapping'!$D:$D)),$K218))</f>
        <v/>
      </c>
      <c r="W218" s="22">
        <f>IF(ISBLANK($B218),"",IF(ISBLANK($L218),RIGHT($E218,LEN($E218) - FIND("^",SUBSTITUTE($E218,":","^",LEN($E218) - LEN(SUBSTITUTE($E218,":",""))))),$L218))</f>
        <v/>
      </c>
      <c r="X218" s="22">
        <f>IF(ISBLANK($J218),$V218&amp;$W218,$J218)</f>
        <v/>
      </c>
      <c r="Y218" s="23">
        <f t="array" ref="Y218">IF(ISBLANK($M218),IFERROR(XLOOKUP($P218,'Department Listing'!$A:$A,'Department Listing'!$L:$L),""),$M218)</f>
        <v/>
      </c>
      <c r="Z218" s="11">
        <f>IF(ISBLANK($B218),"",MATCH($X218,COA!$B:$B,0))</f>
        <v/>
      </c>
    </row>
    <row r="219" ht="15.75" customHeight="1" s="52">
      <c r="B219" s="17" t="n"/>
      <c r="E219" s="26" t="n"/>
      <c r="F219" s="19" t="n"/>
      <c r="G219" s="10" t="n"/>
      <c r="H219" s="10" t="n"/>
      <c r="I219" s="9" t="n"/>
      <c r="J219" s="9" t="n"/>
      <c r="K219" s="9" t="n"/>
      <c r="L219" s="9" t="n"/>
      <c r="M219" s="9" t="n"/>
      <c r="N219" s="20" t="n"/>
      <c r="O219" s="20">
        <f>IF(C219="", "", TRIM(RIGHT(C219, LEN(C219) - FIND("@@", SUBSTITUTE(C219, "-", "@@", LEN(C219) - LEN(SUBSTITUTE(C219, "-", "")))))))</f>
        <v/>
      </c>
      <c r="P219" s="20">
        <f t="array" ref="P219">IFERROR(XLOOKUP(O219,'Department Listing'!$O$1:$O$395,'Department Listing'!$A$1:$A$395),IFERROR(XLOOKUP(O219,'Name Aliases'!$A$2:$A$1000,'Name Aliases'!$B$2:$B$1000),""))</f>
        <v/>
      </c>
      <c r="Q219" s="21">
        <f>IF(ISBLANK($C219),"",$B219)</f>
        <v/>
      </c>
      <c r="R219" s="20">
        <f>IF(ISBLANK($C219),"",IF(ISBLANK($I219),$D219,$I219))</f>
        <v/>
      </c>
      <c r="S219" s="22">
        <f>IF(ISBLANK($C219),"",$F219 - $G219)</f>
        <v/>
      </c>
      <c r="T219" s="20">
        <f>IF(ISBLANK($C219),"",C219)</f>
        <v/>
      </c>
      <c r="U219" s="20">
        <f>IF(ISBLANK($C219),"",$D$1)</f>
        <v/>
      </c>
      <c r="V219" s="22">
        <f t="array" ref="V219">IF(ISBLANK($B219),"",IF(ISBLANK($K219),IF(XLOOKUP($W219,'Category Mapping'!$C:$C,'Category Mapping'!$B:$B)="Travel",XLOOKUP($P219,'Department Listing'!$A:$A,'Department Listing'!$M:$M),XLOOKUP($W219,'Category Mapping'!$C:$C,'Category Mapping'!$D:$D)),$K219))</f>
        <v/>
      </c>
      <c r="W219" s="22">
        <f>IF(ISBLANK($B219),"",IF(ISBLANK($L219),RIGHT($E219,LEN($E219) - FIND("^",SUBSTITUTE($E219,":","^",LEN($E219) - LEN(SUBSTITUTE($E219,":",""))))),$L219))</f>
        <v/>
      </c>
      <c r="X219" s="22">
        <f>IF(ISBLANK($J219),$V219&amp;$W219,$J219)</f>
        <v/>
      </c>
      <c r="Y219" s="23">
        <f t="array" ref="Y219">IF(ISBLANK($M219),IFERROR(XLOOKUP($P219,'Department Listing'!$A:$A,'Department Listing'!$L:$L),""),$M219)</f>
        <v/>
      </c>
      <c r="Z219" s="11">
        <f>IF(ISBLANK($B219),"",MATCH($X219,COA!$B:$B,0))</f>
        <v/>
      </c>
    </row>
    <row r="220" ht="15.75" customHeight="1" s="52">
      <c r="B220" s="17" t="n"/>
      <c r="E220" s="26" t="n"/>
      <c r="F220" s="19" t="n"/>
      <c r="G220" s="10" t="n"/>
      <c r="H220" s="10" t="n"/>
      <c r="I220" s="9" t="n"/>
      <c r="J220" s="9" t="n"/>
      <c r="K220" s="9" t="n"/>
      <c r="L220" s="9" t="n"/>
      <c r="M220" s="9" t="n"/>
      <c r="N220" s="20" t="n"/>
      <c r="O220" s="20">
        <f>IF(C220="", "", TRIM(RIGHT(C220, LEN(C220) - FIND("@@", SUBSTITUTE(C220, "-", "@@", LEN(C220) - LEN(SUBSTITUTE(C220, "-", "")))))))</f>
        <v/>
      </c>
      <c r="P220" s="20">
        <f t="array" ref="P220">IFERROR(XLOOKUP(O220,'Department Listing'!$O$1:$O$395,'Department Listing'!$A$1:$A$395),IFERROR(XLOOKUP(O220,'Name Aliases'!$A$2:$A$1000,'Name Aliases'!$B$2:$B$1000),""))</f>
        <v/>
      </c>
      <c r="Q220" s="21">
        <f>IF(ISBLANK($C220),"",$B220)</f>
        <v/>
      </c>
      <c r="R220" s="20">
        <f>IF(ISBLANK($C220),"",IF(ISBLANK($I220),$D220,$I220))</f>
        <v/>
      </c>
      <c r="S220" s="22">
        <f>IF(ISBLANK($C220),"",$F220 - $G220)</f>
        <v/>
      </c>
      <c r="T220" s="20">
        <f>IF(ISBLANK($C220),"",C220)</f>
        <v/>
      </c>
      <c r="U220" s="20">
        <f>IF(ISBLANK($C220),"",$D$1)</f>
        <v/>
      </c>
      <c r="V220" s="22">
        <f t="array" ref="V220">IF(ISBLANK($B220),"",IF(ISBLANK($K220),IF(XLOOKUP($W220,'Category Mapping'!$C:$C,'Category Mapping'!$B:$B)="Travel",XLOOKUP($P220,'Department Listing'!$A:$A,'Department Listing'!$M:$M),XLOOKUP($W220,'Category Mapping'!$C:$C,'Category Mapping'!$D:$D)),$K220))</f>
        <v/>
      </c>
      <c r="W220" s="22">
        <f>IF(ISBLANK($B220),"",IF(ISBLANK($L220),RIGHT($E220,LEN($E220) - FIND("^",SUBSTITUTE($E220,":","^",LEN($E220) - LEN(SUBSTITUTE($E220,":",""))))),$L220))</f>
        <v/>
      </c>
      <c r="X220" s="22">
        <f>IF(ISBLANK($J220),$V220&amp;$W220,$J220)</f>
        <v/>
      </c>
      <c r="Y220" s="23">
        <f t="array" ref="Y220">IF(ISBLANK($M220),IFERROR(XLOOKUP($P220,'Department Listing'!$A:$A,'Department Listing'!$L:$L),""),$M220)</f>
        <v/>
      </c>
      <c r="Z220" s="11">
        <f>IF(ISBLANK($B220),"",MATCH($X220,COA!$B:$B,0))</f>
        <v/>
      </c>
    </row>
    <row r="221" ht="15.75" customHeight="1" s="52">
      <c r="B221" s="17" t="n"/>
      <c r="E221" s="26" t="n"/>
      <c r="F221" s="19" t="n"/>
      <c r="G221" s="10" t="n"/>
      <c r="H221" s="10" t="n"/>
      <c r="I221" s="9" t="n"/>
      <c r="J221" s="9" t="n"/>
      <c r="K221" s="9" t="n"/>
      <c r="L221" s="9" t="n"/>
      <c r="M221" s="9" t="n"/>
      <c r="N221" s="20" t="n"/>
      <c r="O221" s="20">
        <f>IF(C221="", "", TRIM(RIGHT(C221, LEN(C221) - FIND("@@", SUBSTITUTE(C221, "-", "@@", LEN(C221) - LEN(SUBSTITUTE(C221, "-", "")))))))</f>
        <v/>
      </c>
      <c r="P221" s="20">
        <f t="array" ref="P221">IFERROR(XLOOKUP(O221,'Department Listing'!$O$1:$O$395,'Department Listing'!$A$1:$A$395),IFERROR(XLOOKUP(O221,'Name Aliases'!$A$2:$A$1000,'Name Aliases'!$B$2:$B$1000),""))</f>
        <v/>
      </c>
      <c r="Q221" s="21">
        <f>IF(ISBLANK($C221),"",$B221)</f>
        <v/>
      </c>
      <c r="R221" s="20">
        <f>IF(ISBLANK($C221),"",IF(ISBLANK($I221),$D221,$I221))</f>
        <v/>
      </c>
      <c r="S221" s="22">
        <f>IF(ISBLANK($C221),"",$F221 - $G221)</f>
        <v/>
      </c>
      <c r="T221" s="20">
        <f>IF(ISBLANK($C221),"",C221)</f>
        <v/>
      </c>
      <c r="U221" s="20">
        <f>IF(ISBLANK($C221),"",$D$1)</f>
        <v/>
      </c>
      <c r="V221" s="22">
        <f t="array" ref="V221">IF(ISBLANK($B221),"",IF(ISBLANK($K221),IF(XLOOKUP($W221,'Category Mapping'!$C:$C,'Category Mapping'!$B:$B)="Travel",XLOOKUP($P221,'Department Listing'!$A:$A,'Department Listing'!$M:$M),XLOOKUP($W221,'Category Mapping'!$C:$C,'Category Mapping'!$D:$D)),$K221))</f>
        <v/>
      </c>
      <c r="W221" s="22">
        <f>IF(ISBLANK($B221),"",IF(ISBLANK($L221),RIGHT($E221,LEN($E221) - FIND("^",SUBSTITUTE($E221,":","^",LEN($E221) - LEN(SUBSTITUTE($E221,":",""))))),$L221))</f>
        <v/>
      </c>
      <c r="X221" s="22">
        <f>IF(ISBLANK($J221),$V221&amp;$W221,$J221)</f>
        <v/>
      </c>
      <c r="Y221" s="23">
        <f t="array" ref="Y221">IF(ISBLANK($M221),IFERROR(XLOOKUP($P221,'Department Listing'!$A:$A,'Department Listing'!$L:$L),""),$M221)</f>
        <v/>
      </c>
      <c r="Z221" s="11">
        <f>IF(ISBLANK($B221),"",MATCH($X221,COA!$B:$B,0))</f>
        <v/>
      </c>
    </row>
    <row r="222" ht="15.75" customHeight="1" s="52">
      <c r="B222" s="17" t="n"/>
      <c r="E222" s="26" t="n"/>
      <c r="F222" s="19" t="n"/>
      <c r="G222" s="10" t="n"/>
      <c r="H222" s="10" t="n"/>
      <c r="I222" s="9" t="n"/>
      <c r="J222" s="9" t="n"/>
      <c r="K222" s="9" t="n"/>
      <c r="L222" s="9" t="n"/>
      <c r="M222" s="9" t="n"/>
      <c r="N222" s="20" t="n"/>
      <c r="O222" s="20">
        <f>IF(C222="", "", TRIM(RIGHT(C222, LEN(C222) - FIND("@@", SUBSTITUTE(C222, "-", "@@", LEN(C222) - LEN(SUBSTITUTE(C222, "-", "")))))))</f>
        <v/>
      </c>
      <c r="P222" s="20">
        <f t="array" ref="P222">IFERROR(XLOOKUP(O222,'Department Listing'!$O$1:$O$395,'Department Listing'!$A$1:$A$395),IFERROR(XLOOKUP(O222,'Name Aliases'!$A$2:$A$1000,'Name Aliases'!$B$2:$B$1000),""))</f>
        <v/>
      </c>
      <c r="Q222" s="21">
        <f>IF(ISBLANK($C222),"",$B222)</f>
        <v/>
      </c>
      <c r="R222" s="20">
        <f>IF(ISBLANK($C222),"",IF(ISBLANK($I222),$D222,$I222))</f>
        <v/>
      </c>
      <c r="S222" s="22">
        <f>IF(ISBLANK($C222),"",$F222 - $G222)</f>
        <v/>
      </c>
      <c r="T222" s="20">
        <f>IF(ISBLANK($C222),"",C222)</f>
        <v/>
      </c>
      <c r="U222" s="20">
        <f>IF(ISBLANK($C222),"",$D$1)</f>
        <v/>
      </c>
      <c r="V222" s="22">
        <f t="array" ref="V222">IF(ISBLANK($B222),"",IF(ISBLANK($K222),IF(XLOOKUP($W222,'Category Mapping'!$C:$C,'Category Mapping'!$B:$B)="Travel",XLOOKUP($P222,'Department Listing'!$A:$A,'Department Listing'!$M:$M),XLOOKUP($W222,'Category Mapping'!$C:$C,'Category Mapping'!$D:$D)),$K222))</f>
        <v/>
      </c>
      <c r="W222" s="22">
        <f>IF(ISBLANK($B222),"",IF(ISBLANK($L222),RIGHT($E222,LEN($E222) - FIND("^",SUBSTITUTE($E222,":","^",LEN($E222) - LEN(SUBSTITUTE($E222,":",""))))),$L222))</f>
        <v/>
      </c>
      <c r="X222" s="22">
        <f>IF(ISBLANK($J222),$V222&amp;$W222,$J222)</f>
        <v/>
      </c>
      <c r="Y222" s="23">
        <f t="array" ref="Y222">IF(ISBLANK($M222),IFERROR(XLOOKUP($P222,'Department Listing'!$A:$A,'Department Listing'!$L:$L),""),$M222)</f>
        <v/>
      </c>
      <c r="Z222" s="11">
        <f>IF(ISBLANK($B222),"",MATCH($X222,COA!$B:$B,0))</f>
        <v/>
      </c>
    </row>
    <row r="223" ht="15.75" customHeight="1" s="52">
      <c r="B223" s="17" t="n"/>
      <c r="E223" s="26" t="n"/>
      <c r="F223" s="19" t="n"/>
      <c r="G223" s="10" t="n"/>
      <c r="H223" s="10" t="n"/>
      <c r="I223" s="9" t="n"/>
      <c r="J223" s="9" t="n"/>
      <c r="K223" s="9" t="n"/>
      <c r="L223" s="9" t="n"/>
      <c r="M223" s="9" t="n"/>
      <c r="N223" s="20" t="n"/>
      <c r="O223" s="20">
        <f>IF(C223="", "", TRIM(RIGHT(C223, LEN(C223) - FIND("@@", SUBSTITUTE(C223, "-", "@@", LEN(C223) - LEN(SUBSTITUTE(C223, "-", "")))))))</f>
        <v/>
      </c>
      <c r="P223" s="20">
        <f t="array" ref="P223">IFERROR(XLOOKUP(O223,'Department Listing'!$O$1:$O$395,'Department Listing'!$A$1:$A$395),IFERROR(XLOOKUP(O223,'Name Aliases'!$A$2:$A$1000,'Name Aliases'!$B$2:$B$1000),""))</f>
        <v/>
      </c>
      <c r="Q223" s="21">
        <f>IF(ISBLANK($C223),"",$B223)</f>
        <v/>
      </c>
      <c r="R223" s="20">
        <f>IF(ISBLANK($C223),"",IF(ISBLANK($I223),$D223,$I223))</f>
        <v/>
      </c>
      <c r="S223" s="22">
        <f>IF(ISBLANK($C223),"",$F223 - $G223)</f>
        <v/>
      </c>
      <c r="T223" s="20">
        <f>IF(ISBLANK($C223),"",C223)</f>
        <v/>
      </c>
      <c r="U223" s="20">
        <f>IF(ISBLANK($C223),"",$D$1)</f>
        <v/>
      </c>
      <c r="V223" s="22">
        <f t="array" ref="V223">IF(ISBLANK($B223),"",IF(ISBLANK($K223),IF(XLOOKUP($W223,'Category Mapping'!$C:$C,'Category Mapping'!$B:$B)="Travel",XLOOKUP($P223,'Department Listing'!$A:$A,'Department Listing'!$M:$M),XLOOKUP($W223,'Category Mapping'!$C:$C,'Category Mapping'!$D:$D)),$K223))</f>
        <v/>
      </c>
      <c r="W223" s="22">
        <f>IF(ISBLANK($B223),"",IF(ISBLANK($L223),RIGHT($E223,LEN($E223) - FIND("^",SUBSTITUTE($E223,":","^",LEN($E223) - LEN(SUBSTITUTE($E223,":",""))))),$L223))</f>
        <v/>
      </c>
      <c r="X223" s="22">
        <f>IF(ISBLANK($J223),$V223&amp;$W223,$J223)</f>
        <v/>
      </c>
      <c r="Y223" s="23">
        <f t="array" ref="Y223">IF(ISBLANK($M223),IFERROR(XLOOKUP($P223,'Department Listing'!$A:$A,'Department Listing'!$L:$L),""),$M223)</f>
        <v/>
      </c>
      <c r="Z223" s="11">
        <f>IF(ISBLANK($B223),"",MATCH($X223,COA!$B:$B,0))</f>
        <v/>
      </c>
    </row>
    <row r="224" ht="15.75" customHeight="1" s="52">
      <c r="B224" s="17" t="n"/>
      <c r="E224" s="26" t="n"/>
      <c r="F224" s="19" t="n"/>
      <c r="G224" s="10" t="n"/>
      <c r="H224" s="10" t="n"/>
      <c r="I224" s="9" t="n"/>
      <c r="J224" s="9" t="n"/>
      <c r="K224" s="9" t="n"/>
      <c r="L224" s="9" t="n"/>
      <c r="M224" s="9" t="n"/>
      <c r="N224" s="20" t="n"/>
      <c r="O224" s="20">
        <f>IF(C224="", "", TRIM(RIGHT(C224, LEN(C224) - FIND("@@", SUBSTITUTE(C224, "-", "@@", LEN(C224) - LEN(SUBSTITUTE(C224, "-", "")))))))</f>
        <v/>
      </c>
      <c r="P224" s="20">
        <f t="array" ref="P224">IFERROR(XLOOKUP(O224,'Department Listing'!$O$1:$O$395,'Department Listing'!$A$1:$A$395),IFERROR(XLOOKUP(O224,'Name Aliases'!$A$2:$A$1000,'Name Aliases'!$B$2:$B$1000),""))</f>
        <v/>
      </c>
      <c r="Q224" s="21">
        <f>IF(ISBLANK($C224),"",$B224)</f>
        <v/>
      </c>
      <c r="R224" s="20">
        <f>IF(ISBLANK($C224),"",IF(ISBLANK($I224),$D224,$I224))</f>
        <v/>
      </c>
      <c r="S224" s="22">
        <f>IF(ISBLANK($C224),"",$F224 - $G224)</f>
        <v/>
      </c>
      <c r="T224" s="20">
        <f>IF(ISBLANK($C224),"",C224)</f>
        <v/>
      </c>
      <c r="U224" s="20">
        <f>IF(ISBLANK($C224),"",$D$1)</f>
        <v/>
      </c>
      <c r="V224" s="22">
        <f t="array" ref="V224">IF(ISBLANK($B224),"",IF(ISBLANK($K224),IF(XLOOKUP($W224,'Category Mapping'!$C:$C,'Category Mapping'!$B:$B)="Travel",XLOOKUP($P224,'Department Listing'!$A:$A,'Department Listing'!$M:$M),XLOOKUP($W224,'Category Mapping'!$C:$C,'Category Mapping'!$D:$D)),$K224))</f>
        <v/>
      </c>
      <c r="W224" s="22">
        <f>IF(ISBLANK($B224),"",IF(ISBLANK($L224),RIGHT($E224,LEN($E224) - FIND("^",SUBSTITUTE($E224,":","^",LEN($E224) - LEN(SUBSTITUTE($E224,":",""))))),$L224))</f>
        <v/>
      </c>
      <c r="X224" s="22">
        <f>IF(ISBLANK($J224),$V224&amp;$W224,$J224)</f>
        <v/>
      </c>
      <c r="Y224" s="23">
        <f t="array" ref="Y224">IF(ISBLANK($M224),IFERROR(XLOOKUP($P224,'Department Listing'!$A:$A,'Department Listing'!$L:$L),""),$M224)</f>
        <v/>
      </c>
      <c r="Z224" s="11">
        <f>IF(ISBLANK($B224),"",MATCH($X224,COA!$B:$B,0))</f>
        <v/>
      </c>
    </row>
    <row r="225" ht="15.75" customHeight="1" s="52">
      <c r="B225" s="17" t="n"/>
      <c r="E225" s="26" t="n"/>
      <c r="F225" s="19" t="n"/>
      <c r="G225" s="10" t="n"/>
      <c r="H225" s="10" t="n"/>
      <c r="I225" s="9" t="n"/>
      <c r="J225" s="9" t="n"/>
      <c r="K225" s="9" t="n"/>
      <c r="L225" s="9" t="n"/>
      <c r="M225" s="9" t="n"/>
      <c r="N225" s="20" t="n"/>
      <c r="O225" s="20">
        <f>IF(C225="", "", TRIM(RIGHT(C225, LEN(C225) - FIND("@@", SUBSTITUTE(C225, "-", "@@", LEN(C225) - LEN(SUBSTITUTE(C225, "-", "")))))))</f>
        <v/>
      </c>
      <c r="P225" s="20">
        <f t="array" ref="P225">IFERROR(XLOOKUP(O225,'Department Listing'!$O$1:$O$395,'Department Listing'!$A$1:$A$395),IFERROR(XLOOKUP(O225,'Name Aliases'!$A$2:$A$1000,'Name Aliases'!$B$2:$B$1000),""))</f>
        <v/>
      </c>
      <c r="Q225" s="21">
        <f>IF(ISBLANK($C225),"",$B225)</f>
        <v/>
      </c>
      <c r="R225" s="20">
        <f>IF(ISBLANK($C225),"",IF(ISBLANK($I225),$D225,$I225))</f>
        <v/>
      </c>
      <c r="S225" s="22">
        <f>IF(ISBLANK($C225),"",$F225 - $G225)</f>
        <v/>
      </c>
      <c r="T225" s="20">
        <f>IF(ISBLANK($C225),"",C225)</f>
        <v/>
      </c>
      <c r="U225" s="20">
        <f>IF(ISBLANK($C225),"",$D$1)</f>
        <v/>
      </c>
      <c r="V225" s="22">
        <f t="array" ref="V225">IF(ISBLANK($B225),"",IF(ISBLANK($K225),IF(XLOOKUP($W225,'Category Mapping'!$C:$C,'Category Mapping'!$B:$B)="Travel",XLOOKUP($P225,'Department Listing'!$A:$A,'Department Listing'!$M:$M),XLOOKUP($W225,'Category Mapping'!$C:$C,'Category Mapping'!$D:$D)),$K225))</f>
        <v/>
      </c>
      <c r="W225" s="22">
        <f>IF(ISBLANK($B225),"",IF(ISBLANK($L225),RIGHT($E225,LEN($E225) - FIND("^",SUBSTITUTE($E225,":","^",LEN($E225) - LEN(SUBSTITUTE($E225,":",""))))),$L225))</f>
        <v/>
      </c>
      <c r="X225" s="22">
        <f>IF(ISBLANK($J225),$V225&amp;$W225,$J225)</f>
        <v/>
      </c>
      <c r="Y225" s="23">
        <f t="array" ref="Y225">IF(ISBLANK($M225),IFERROR(XLOOKUP($P225,'Department Listing'!$A:$A,'Department Listing'!$L:$L),""),$M225)</f>
        <v/>
      </c>
      <c r="Z225" s="11">
        <f>IF(ISBLANK($B225),"",MATCH($X225,COA!$B:$B,0))</f>
        <v/>
      </c>
    </row>
    <row r="226" ht="15.75" customHeight="1" s="52">
      <c r="B226" s="17" t="n"/>
      <c r="E226" s="26" t="n"/>
      <c r="F226" s="19" t="n"/>
      <c r="G226" s="10" t="n"/>
      <c r="H226" s="10" t="n"/>
      <c r="I226" s="9" t="n"/>
      <c r="J226" s="9" t="n"/>
      <c r="K226" s="9" t="n"/>
      <c r="L226" s="9" t="n"/>
      <c r="M226" s="9" t="n"/>
      <c r="N226" s="20" t="n"/>
      <c r="O226" s="20">
        <f>IF(C226="", "", TRIM(RIGHT(C226, LEN(C226) - FIND("@@", SUBSTITUTE(C226, "-", "@@", LEN(C226) - LEN(SUBSTITUTE(C226, "-", "")))))))</f>
        <v/>
      </c>
      <c r="P226" s="20">
        <f t="array" ref="P226">IFERROR(XLOOKUP(O226,'Department Listing'!$O$1:$O$395,'Department Listing'!$A$1:$A$395),IFERROR(XLOOKUP(O226,'Name Aliases'!$A$2:$A$1000,'Name Aliases'!$B$2:$B$1000),""))</f>
        <v/>
      </c>
      <c r="Q226" s="21">
        <f>IF(ISBLANK($C226),"",$B226)</f>
        <v/>
      </c>
      <c r="R226" s="20">
        <f>IF(ISBLANK($C226),"",IF(ISBLANK($I226),$D226,$I226))</f>
        <v/>
      </c>
      <c r="S226" s="22">
        <f>IF(ISBLANK($C226),"",$F226 - $G226)</f>
        <v/>
      </c>
      <c r="T226" s="20">
        <f>IF(ISBLANK($C226),"",C226)</f>
        <v/>
      </c>
      <c r="U226" s="20">
        <f>IF(ISBLANK($C226),"",$D$1)</f>
        <v/>
      </c>
      <c r="V226" s="22">
        <f t="array" ref="V226">IF(ISBLANK($B226),"",IF(ISBLANK($K226),IF(XLOOKUP($W226,'Category Mapping'!$C:$C,'Category Mapping'!$B:$B)="Travel",XLOOKUP($P226,'Department Listing'!$A:$A,'Department Listing'!$M:$M),XLOOKUP($W226,'Category Mapping'!$C:$C,'Category Mapping'!$D:$D)),$K226))</f>
        <v/>
      </c>
      <c r="W226" s="22">
        <f>IF(ISBLANK($B226),"",IF(ISBLANK($L226),RIGHT($E226,LEN($E226) - FIND("^",SUBSTITUTE($E226,":","^",LEN($E226) - LEN(SUBSTITUTE($E226,":",""))))),$L226))</f>
        <v/>
      </c>
      <c r="X226" s="22">
        <f>IF(ISBLANK($J226),$V226&amp;$W226,$J226)</f>
        <v/>
      </c>
      <c r="Y226" s="23">
        <f t="array" ref="Y226">IF(ISBLANK($M226),IFERROR(XLOOKUP($P226,'Department Listing'!$A:$A,'Department Listing'!$L:$L),""),$M226)</f>
        <v/>
      </c>
      <c r="Z226" s="11">
        <f>IF(ISBLANK($B226),"",MATCH($X226,COA!$B:$B,0))</f>
        <v/>
      </c>
    </row>
    <row r="227" ht="15.75" customHeight="1" s="52">
      <c r="B227" s="17" t="n"/>
      <c r="E227" s="26" t="n"/>
      <c r="F227" s="19" t="n"/>
      <c r="G227" s="10" t="n"/>
      <c r="H227" s="10" t="n"/>
      <c r="I227" s="9" t="n"/>
      <c r="J227" s="9" t="n"/>
      <c r="K227" s="9" t="n"/>
      <c r="L227" s="9" t="n"/>
      <c r="M227" s="9" t="n"/>
      <c r="N227" s="20" t="n"/>
      <c r="O227" s="20">
        <f>IF(C227="", "", TRIM(RIGHT(C227, LEN(C227) - FIND("@@", SUBSTITUTE(C227, "-", "@@", LEN(C227) - LEN(SUBSTITUTE(C227, "-", "")))))))</f>
        <v/>
      </c>
      <c r="P227" s="20">
        <f t="array" ref="P227">IFERROR(XLOOKUP(O227,'Department Listing'!$O$1:$O$395,'Department Listing'!$A$1:$A$395),IFERROR(XLOOKUP(O227,'Name Aliases'!$A$2:$A$1000,'Name Aliases'!$B$2:$B$1000),""))</f>
        <v/>
      </c>
      <c r="Q227" s="21">
        <f>IF(ISBLANK($C227),"",$B227)</f>
        <v/>
      </c>
      <c r="R227" s="20">
        <f>IF(ISBLANK($C227),"",IF(ISBLANK($I227),$D227,$I227))</f>
        <v/>
      </c>
      <c r="S227" s="22">
        <f>IF(ISBLANK($C227),"",$F227 - $G227)</f>
        <v/>
      </c>
      <c r="T227" s="20">
        <f>IF(ISBLANK($C227),"",C227)</f>
        <v/>
      </c>
      <c r="U227" s="20">
        <f>IF(ISBLANK($C227),"",$D$1)</f>
        <v/>
      </c>
      <c r="V227" s="22">
        <f t="array" ref="V227">IF(ISBLANK($B227),"",IF(ISBLANK($K227),IF(XLOOKUP($W227,'Category Mapping'!$C:$C,'Category Mapping'!$B:$B)="Travel",XLOOKUP($P227,'Department Listing'!$A:$A,'Department Listing'!$M:$M),XLOOKUP($W227,'Category Mapping'!$C:$C,'Category Mapping'!$D:$D)),$K227))</f>
        <v/>
      </c>
      <c r="W227" s="22">
        <f>IF(ISBLANK($B227),"",IF(ISBLANK($L227),RIGHT($E227,LEN($E227) - FIND("^",SUBSTITUTE($E227,":","^",LEN($E227) - LEN(SUBSTITUTE($E227,":",""))))),$L227))</f>
        <v/>
      </c>
      <c r="X227" s="22">
        <f>IF(ISBLANK($J227),$V227&amp;$W227,$J227)</f>
        <v/>
      </c>
      <c r="Y227" s="23">
        <f t="array" ref="Y227">IF(ISBLANK($M227),IFERROR(XLOOKUP($P227,'Department Listing'!$A:$A,'Department Listing'!$L:$L),""),$M227)</f>
        <v/>
      </c>
      <c r="Z227" s="11">
        <f>IF(ISBLANK($B227),"",MATCH($X227,COA!$B:$B,0))</f>
        <v/>
      </c>
    </row>
    <row r="228" ht="15.75" customHeight="1" s="52">
      <c r="B228" s="17" t="n"/>
      <c r="E228" s="26" t="n"/>
      <c r="F228" s="19" t="n"/>
      <c r="G228" s="10" t="n"/>
      <c r="H228" s="10" t="n"/>
      <c r="I228" s="9" t="n"/>
      <c r="J228" s="9" t="n"/>
      <c r="K228" s="9" t="n"/>
      <c r="L228" s="9" t="n"/>
      <c r="M228" s="9" t="n"/>
      <c r="N228" s="20" t="n"/>
      <c r="O228" s="20">
        <f>IF(C228="", "", TRIM(RIGHT(C228, LEN(C228) - FIND("@@", SUBSTITUTE(C228, "-", "@@", LEN(C228) - LEN(SUBSTITUTE(C228, "-", "")))))))</f>
        <v/>
      </c>
      <c r="P228" s="20">
        <f t="array" ref="P228">IFERROR(XLOOKUP(O228,'Department Listing'!$O$1:$O$395,'Department Listing'!$A$1:$A$395),IFERROR(XLOOKUP(O228,'Name Aliases'!$A$2:$A$1000,'Name Aliases'!$B$2:$B$1000),""))</f>
        <v/>
      </c>
      <c r="Q228" s="21">
        <f>IF(ISBLANK($C228),"",$B228)</f>
        <v/>
      </c>
      <c r="R228" s="20">
        <f>IF(ISBLANK($C228),"",IF(ISBLANK($I228),$D228,$I228))</f>
        <v/>
      </c>
      <c r="S228" s="22">
        <f>IF(ISBLANK($C228),"",$F228 - $G228)</f>
        <v/>
      </c>
      <c r="T228" s="20">
        <f>IF(ISBLANK($C228),"",C228)</f>
        <v/>
      </c>
      <c r="U228" s="20">
        <f>IF(ISBLANK($C228),"",$D$1)</f>
        <v/>
      </c>
      <c r="V228" s="22">
        <f t="array" ref="V228">IF(ISBLANK($B228),"",IF(ISBLANK($K228),IF(XLOOKUP($W228,'Category Mapping'!$C:$C,'Category Mapping'!$B:$B)="Travel",XLOOKUP($P228,'Department Listing'!$A:$A,'Department Listing'!$M:$M),XLOOKUP($W228,'Category Mapping'!$C:$C,'Category Mapping'!$D:$D)),$K228))</f>
        <v/>
      </c>
      <c r="W228" s="22">
        <f>IF(ISBLANK($B228),"",IF(ISBLANK($L228),RIGHT($E228,LEN($E228) - FIND("^",SUBSTITUTE($E228,":","^",LEN($E228) - LEN(SUBSTITUTE($E228,":",""))))),$L228))</f>
        <v/>
      </c>
      <c r="X228" s="22">
        <f>IF(ISBLANK($J228),$V228&amp;$W228,$J228)</f>
        <v/>
      </c>
      <c r="Y228" s="23">
        <f t="array" ref="Y228">IF(ISBLANK($M228),IFERROR(XLOOKUP($P228,'Department Listing'!$A:$A,'Department Listing'!$L:$L),""),$M228)</f>
        <v/>
      </c>
      <c r="Z228" s="11">
        <f>IF(ISBLANK($B228),"",MATCH($X228,COA!$B:$B,0))</f>
        <v/>
      </c>
    </row>
    <row r="229" ht="15.75" customHeight="1" s="52">
      <c r="B229" s="17" t="n"/>
      <c r="E229" s="26" t="n"/>
      <c r="F229" s="19" t="n"/>
      <c r="G229" s="10" t="n"/>
      <c r="H229" s="10" t="n"/>
      <c r="I229" s="9" t="n"/>
      <c r="J229" s="9" t="n"/>
      <c r="K229" s="9" t="n"/>
      <c r="L229" s="9" t="n"/>
      <c r="M229" s="9" t="n"/>
      <c r="N229" s="20" t="n"/>
      <c r="O229" s="20">
        <f>IF(C229="", "", TRIM(RIGHT(C229, LEN(C229) - FIND("@@", SUBSTITUTE(C229, "-", "@@", LEN(C229) - LEN(SUBSTITUTE(C229, "-", "")))))))</f>
        <v/>
      </c>
      <c r="P229" s="20">
        <f t="array" ref="P229">IFERROR(XLOOKUP(O229,'Department Listing'!$O$1:$O$395,'Department Listing'!$A$1:$A$395),IFERROR(XLOOKUP(O229,'Name Aliases'!$A$2:$A$1000,'Name Aliases'!$B$2:$B$1000),""))</f>
        <v/>
      </c>
      <c r="Q229" s="21">
        <f>IF(ISBLANK($C229),"",$B229)</f>
        <v/>
      </c>
      <c r="R229" s="20">
        <f>IF(ISBLANK($C229),"",IF(ISBLANK($I229),$D229,$I229))</f>
        <v/>
      </c>
      <c r="S229" s="22">
        <f>IF(ISBLANK($C229),"",$F229 - $G229)</f>
        <v/>
      </c>
      <c r="T229" s="20">
        <f>IF(ISBLANK($C229),"",C229)</f>
        <v/>
      </c>
      <c r="U229" s="20">
        <f>IF(ISBLANK($C229),"",$D$1)</f>
        <v/>
      </c>
      <c r="V229" s="22">
        <f t="array" ref="V229">IF(ISBLANK($B229),"",IF(ISBLANK($K229),IF(XLOOKUP($W229,'Category Mapping'!$C:$C,'Category Mapping'!$B:$B)="Travel",XLOOKUP($P229,'Department Listing'!$A:$A,'Department Listing'!$M:$M),XLOOKUP($W229,'Category Mapping'!$C:$C,'Category Mapping'!$D:$D)),$K229))</f>
        <v/>
      </c>
      <c r="W229" s="22">
        <f>IF(ISBLANK($B229),"",IF(ISBLANK($L229),RIGHT($E229,LEN($E229) - FIND("^",SUBSTITUTE($E229,":","^",LEN($E229) - LEN(SUBSTITUTE($E229,":",""))))),$L229))</f>
        <v/>
      </c>
      <c r="X229" s="22">
        <f>IF(ISBLANK($J229),$V229&amp;$W229,$J229)</f>
        <v/>
      </c>
      <c r="Y229" s="23">
        <f t="array" ref="Y229">IF(ISBLANK($M229),IFERROR(XLOOKUP($P229,'Department Listing'!$A:$A,'Department Listing'!$L:$L),""),$M229)</f>
        <v/>
      </c>
      <c r="Z229" s="11">
        <f>IF(ISBLANK($B229),"",MATCH($X229,COA!$B:$B,0))</f>
        <v/>
      </c>
    </row>
    <row r="230" ht="15.75" customHeight="1" s="52">
      <c r="B230" s="17" t="n"/>
      <c r="E230" s="26" t="n"/>
      <c r="F230" s="19" t="n"/>
      <c r="G230" s="10" t="n"/>
      <c r="H230" s="10" t="n"/>
      <c r="I230" s="9" t="n"/>
      <c r="J230" s="9" t="n"/>
      <c r="K230" s="9" t="n"/>
      <c r="L230" s="9" t="n"/>
      <c r="M230" s="9" t="n"/>
      <c r="N230" s="20" t="n"/>
      <c r="O230" s="20">
        <f>IF(C230="", "", TRIM(RIGHT(C230, LEN(C230) - FIND("@@", SUBSTITUTE(C230, "-", "@@", LEN(C230) - LEN(SUBSTITUTE(C230, "-", "")))))))</f>
        <v/>
      </c>
      <c r="P230" s="20">
        <f t="array" ref="P230">IFERROR(XLOOKUP(O230,'Department Listing'!$O$1:$O$395,'Department Listing'!$A$1:$A$395),IFERROR(XLOOKUP(O230,'Name Aliases'!$A$2:$A$1000,'Name Aliases'!$B$2:$B$1000),""))</f>
        <v/>
      </c>
      <c r="Q230" s="21">
        <f>IF(ISBLANK($C230),"",$B230)</f>
        <v/>
      </c>
      <c r="R230" s="20">
        <f>IF(ISBLANK($C230),"",IF(ISBLANK($I230),$D230,$I230))</f>
        <v/>
      </c>
      <c r="S230" s="22">
        <f>IF(ISBLANK($C230),"",$F230 - $G230)</f>
        <v/>
      </c>
      <c r="T230" s="20">
        <f>IF(ISBLANK($C230),"",C230)</f>
        <v/>
      </c>
      <c r="U230" s="20">
        <f>IF(ISBLANK($C230),"",$D$1)</f>
        <v/>
      </c>
      <c r="V230" s="22">
        <f t="array" ref="V230">IF(ISBLANK($B230),"",IF(ISBLANK($K230),IF(XLOOKUP($W230,'Category Mapping'!$C:$C,'Category Mapping'!$B:$B)="Travel",XLOOKUP($P230,'Department Listing'!$A:$A,'Department Listing'!$M:$M),XLOOKUP($W230,'Category Mapping'!$C:$C,'Category Mapping'!$D:$D)),$K230))</f>
        <v/>
      </c>
      <c r="W230" s="22">
        <f>IF(ISBLANK($B230),"",IF(ISBLANK($L230),RIGHT($E230,LEN($E230) - FIND("^",SUBSTITUTE($E230,":","^",LEN($E230) - LEN(SUBSTITUTE($E230,":",""))))),$L230))</f>
        <v/>
      </c>
      <c r="X230" s="22">
        <f>IF(ISBLANK($J230),$V230&amp;$W230,$J230)</f>
        <v/>
      </c>
      <c r="Y230" s="23">
        <f t="array" ref="Y230">IF(ISBLANK($M230),IFERROR(XLOOKUP($P230,'Department Listing'!$A:$A,'Department Listing'!$L:$L),""),$M230)</f>
        <v/>
      </c>
      <c r="Z230" s="11">
        <f>IF(ISBLANK($B230),"",MATCH($X230,COA!$B:$B,0))</f>
        <v/>
      </c>
    </row>
    <row r="231" ht="15.75" customHeight="1" s="52">
      <c r="B231" s="17" t="n"/>
      <c r="E231" s="26" t="n"/>
      <c r="F231" s="19" t="n"/>
      <c r="G231" s="10" t="n"/>
      <c r="H231" s="10" t="n"/>
      <c r="I231" s="9" t="n"/>
      <c r="J231" s="9" t="n"/>
      <c r="K231" s="9" t="n"/>
      <c r="L231" s="9" t="n"/>
      <c r="M231" s="9" t="n"/>
      <c r="N231" s="20" t="n"/>
      <c r="O231" s="20">
        <f>IF(C231="", "", TRIM(RIGHT(C231, LEN(C231) - FIND("@@", SUBSTITUTE(C231, "-", "@@", LEN(C231) - LEN(SUBSTITUTE(C231, "-", "")))))))</f>
        <v/>
      </c>
      <c r="P231" s="20">
        <f t="array" ref="P231">IFERROR(XLOOKUP(O231,'Department Listing'!$O$1:$O$395,'Department Listing'!$A$1:$A$395),IFERROR(XLOOKUP(O231,'Name Aliases'!$A$2:$A$1000,'Name Aliases'!$B$2:$B$1000),""))</f>
        <v/>
      </c>
      <c r="Q231" s="21">
        <f>IF(ISBLANK($C231),"",$B231)</f>
        <v/>
      </c>
      <c r="R231" s="20">
        <f>IF(ISBLANK($C231),"",IF(ISBLANK($I231),$D231,$I231))</f>
        <v/>
      </c>
      <c r="S231" s="22">
        <f>IF(ISBLANK($C231),"",$F231 - $G231)</f>
        <v/>
      </c>
      <c r="T231" s="20">
        <f>IF(ISBLANK($C231),"",C231)</f>
        <v/>
      </c>
      <c r="U231" s="20">
        <f>IF(ISBLANK($C231),"",$D$1)</f>
        <v/>
      </c>
      <c r="V231" s="22">
        <f t="array" ref="V231">IF(ISBLANK($B231),"",IF(ISBLANK($K231),IF(XLOOKUP($W231,'Category Mapping'!$C:$C,'Category Mapping'!$B:$B)="Travel",XLOOKUP($P231,'Department Listing'!$A:$A,'Department Listing'!$M:$M),XLOOKUP($W231,'Category Mapping'!$C:$C,'Category Mapping'!$D:$D)),$K231))</f>
        <v/>
      </c>
      <c r="W231" s="22">
        <f>IF(ISBLANK($B231),"",IF(ISBLANK($L231),RIGHT($E231,LEN($E231) - FIND("^",SUBSTITUTE($E231,":","^",LEN($E231) - LEN(SUBSTITUTE($E231,":",""))))),$L231))</f>
        <v/>
      </c>
      <c r="X231" s="22">
        <f>IF(ISBLANK($J231),$V231&amp;$W231,$J231)</f>
        <v/>
      </c>
      <c r="Y231" s="23">
        <f t="array" ref="Y231">IF(ISBLANK($M231),IFERROR(XLOOKUP($P231,'Department Listing'!$A:$A,'Department Listing'!$L:$L),""),$M231)</f>
        <v/>
      </c>
      <c r="Z231" s="11">
        <f>IF(ISBLANK($B231),"",MATCH($X231,COA!$B:$B,0))</f>
        <v/>
      </c>
    </row>
    <row r="232" ht="15.75" customHeight="1" s="52">
      <c r="B232" s="17" t="n"/>
      <c r="E232" s="26" t="n"/>
      <c r="F232" s="19" t="n"/>
      <c r="G232" s="10" t="n"/>
      <c r="H232" s="10" t="n"/>
      <c r="I232" s="9" t="n"/>
      <c r="J232" s="9" t="n"/>
      <c r="K232" s="9" t="n"/>
      <c r="L232" s="9" t="n"/>
      <c r="M232" s="9" t="n"/>
      <c r="N232" s="20" t="n"/>
      <c r="O232" s="20">
        <f>IF(C232="", "", TRIM(RIGHT(C232, LEN(C232) - FIND("@@", SUBSTITUTE(C232, "-", "@@", LEN(C232) - LEN(SUBSTITUTE(C232, "-", "")))))))</f>
        <v/>
      </c>
      <c r="P232" s="20">
        <f t="array" ref="P232">IFERROR(XLOOKUP(O232,'Department Listing'!$O$1:$O$395,'Department Listing'!$A$1:$A$395),IFERROR(XLOOKUP(O232,'Name Aliases'!$A$2:$A$1000,'Name Aliases'!$B$2:$B$1000),""))</f>
        <v/>
      </c>
      <c r="Q232" s="21">
        <f>IF(ISBLANK($C232),"",$B232)</f>
        <v/>
      </c>
      <c r="R232" s="20">
        <f>IF(ISBLANK($C232),"",IF(ISBLANK($I232),$D232,$I232))</f>
        <v/>
      </c>
      <c r="S232" s="22">
        <f>IF(ISBLANK($C232),"",$F232 - $G232)</f>
        <v/>
      </c>
      <c r="T232" s="20">
        <f>IF(ISBLANK($C232),"",C232)</f>
        <v/>
      </c>
      <c r="U232" s="20">
        <f>IF(ISBLANK($C232),"",$D$1)</f>
        <v/>
      </c>
      <c r="V232" s="22">
        <f t="array" ref="V232">IF(ISBLANK($B232),"",IF(ISBLANK($K232),IF(XLOOKUP($W232,'Category Mapping'!$C:$C,'Category Mapping'!$B:$B)="Travel",XLOOKUP($P232,'Department Listing'!$A:$A,'Department Listing'!$M:$M),XLOOKUP($W232,'Category Mapping'!$C:$C,'Category Mapping'!$D:$D)),$K232))</f>
        <v/>
      </c>
      <c r="W232" s="22">
        <f>IF(ISBLANK($B232),"",IF(ISBLANK($L232),RIGHT($E232,LEN($E232) - FIND("^",SUBSTITUTE($E232,":","^",LEN($E232) - LEN(SUBSTITUTE($E232,":",""))))),$L232))</f>
        <v/>
      </c>
      <c r="X232" s="22">
        <f>IF(ISBLANK($J232),$V232&amp;$W232,$J232)</f>
        <v/>
      </c>
      <c r="Y232" s="23">
        <f t="array" ref="Y232">IF(ISBLANK($M232),IFERROR(XLOOKUP($P232,'Department Listing'!$A:$A,'Department Listing'!$L:$L),""),$M232)</f>
        <v/>
      </c>
      <c r="Z232" s="11">
        <f>IF(ISBLANK($B232),"",MATCH($X232,COA!$B:$B,0))</f>
        <v/>
      </c>
    </row>
    <row r="233" ht="15.75" customHeight="1" s="52">
      <c r="B233" s="17" t="n"/>
      <c r="E233" s="26" t="n"/>
      <c r="F233" s="19" t="n"/>
      <c r="G233" s="10" t="n"/>
      <c r="H233" s="10" t="n"/>
      <c r="I233" s="9" t="n"/>
      <c r="J233" s="9" t="n"/>
      <c r="K233" s="9" t="n"/>
      <c r="L233" s="9" t="n"/>
      <c r="M233" s="9" t="n"/>
      <c r="N233" s="20" t="n"/>
      <c r="O233" s="20">
        <f>IF(C233="", "", TRIM(RIGHT(C233, LEN(C233) - FIND("@@", SUBSTITUTE(C233, "-", "@@", LEN(C233) - LEN(SUBSTITUTE(C233, "-", "")))))))</f>
        <v/>
      </c>
      <c r="P233" s="20">
        <f t="array" ref="P233">IFERROR(XLOOKUP(O233,'Department Listing'!$O$1:$O$395,'Department Listing'!$A$1:$A$395),IFERROR(XLOOKUP(O233,'Name Aliases'!$A$2:$A$1000,'Name Aliases'!$B$2:$B$1000),""))</f>
        <v/>
      </c>
      <c r="Q233" s="21">
        <f>IF(ISBLANK($C233),"",$B233)</f>
        <v/>
      </c>
      <c r="R233" s="20">
        <f>IF(ISBLANK($C233),"",IF(ISBLANK($I233),$D233,$I233))</f>
        <v/>
      </c>
      <c r="S233" s="22">
        <f>IF(ISBLANK($C233),"",$F233 - $G233)</f>
        <v/>
      </c>
      <c r="T233" s="20">
        <f>IF(ISBLANK($C233),"",C233)</f>
        <v/>
      </c>
      <c r="U233" s="20">
        <f>IF(ISBLANK($C233),"",$D$1)</f>
        <v/>
      </c>
      <c r="V233" s="22">
        <f t="array" ref="V233">IF(ISBLANK($B233),"",IF(ISBLANK($K233),IF(XLOOKUP($W233,'Category Mapping'!$C:$C,'Category Mapping'!$B:$B)="Travel",XLOOKUP($P233,'Department Listing'!$A:$A,'Department Listing'!$M:$M),XLOOKUP($W233,'Category Mapping'!$C:$C,'Category Mapping'!$D:$D)),$K233))</f>
        <v/>
      </c>
      <c r="W233" s="22">
        <f>IF(ISBLANK($B233),"",IF(ISBLANK($L233),RIGHT($E233,LEN($E233) - FIND("^",SUBSTITUTE($E233,":","^",LEN($E233) - LEN(SUBSTITUTE($E233,":",""))))),$L233))</f>
        <v/>
      </c>
      <c r="X233" s="22">
        <f>IF(ISBLANK($J233),$V233&amp;$W233,$J233)</f>
        <v/>
      </c>
      <c r="Y233" s="23">
        <f t="array" ref="Y233">IF(ISBLANK($M233),IFERROR(XLOOKUP($P233,'Department Listing'!$A:$A,'Department Listing'!$L:$L),""),$M233)</f>
        <v/>
      </c>
      <c r="Z233" s="11">
        <f>IF(ISBLANK($B233),"",MATCH($X233,COA!$B:$B,0))</f>
        <v/>
      </c>
    </row>
    <row r="234" ht="15.75" customHeight="1" s="52">
      <c r="B234" s="17" t="n"/>
      <c r="E234" s="26" t="n"/>
      <c r="F234" s="19" t="n"/>
      <c r="G234" s="10" t="n"/>
      <c r="H234" s="10" t="n"/>
      <c r="I234" s="9" t="n"/>
      <c r="J234" s="9" t="n"/>
      <c r="K234" s="9" t="n"/>
      <c r="L234" s="9" t="n"/>
      <c r="M234" s="9" t="n"/>
      <c r="N234" s="20" t="n"/>
      <c r="O234" s="20">
        <f>IF(C234="", "", TRIM(RIGHT(C234, LEN(C234) - FIND("@@", SUBSTITUTE(C234, "-", "@@", LEN(C234) - LEN(SUBSTITUTE(C234, "-", "")))))))</f>
        <v/>
      </c>
      <c r="P234" s="20">
        <f t="array" ref="P234">IFERROR(XLOOKUP(O234,'Department Listing'!$O$1:$O$395,'Department Listing'!$A$1:$A$395),IFERROR(XLOOKUP(O234,'Name Aliases'!$A$2:$A$1000,'Name Aliases'!$B$2:$B$1000),""))</f>
        <v/>
      </c>
      <c r="Q234" s="21">
        <f>IF(ISBLANK($C234),"",$B234)</f>
        <v/>
      </c>
      <c r="R234" s="20">
        <f>IF(ISBLANK($C234),"",IF(ISBLANK($I234),$D234,$I234))</f>
        <v/>
      </c>
      <c r="S234" s="22">
        <f>IF(ISBLANK($C234),"",$F234 - $G234)</f>
        <v/>
      </c>
      <c r="T234" s="20">
        <f>IF(ISBLANK($C234),"",C234)</f>
        <v/>
      </c>
      <c r="U234" s="20">
        <f>IF(ISBLANK($C234),"",$D$1)</f>
        <v/>
      </c>
      <c r="V234" s="22">
        <f t="array" ref="V234">IF(ISBLANK($B234),"",IF(ISBLANK($K234),IF(XLOOKUP($W234,'Category Mapping'!$C:$C,'Category Mapping'!$B:$B)="Travel",XLOOKUP($P234,'Department Listing'!$A:$A,'Department Listing'!$M:$M),XLOOKUP($W234,'Category Mapping'!$C:$C,'Category Mapping'!$D:$D)),$K234))</f>
        <v/>
      </c>
      <c r="W234" s="22">
        <f>IF(ISBLANK($B234),"",IF(ISBLANK($L234),RIGHT($E234,LEN($E234) - FIND("^",SUBSTITUTE($E234,":","^",LEN($E234) - LEN(SUBSTITUTE($E234,":",""))))),$L234))</f>
        <v/>
      </c>
      <c r="X234" s="22">
        <f>IF(ISBLANK($J234),$V234&amp;$W234,$J234)</f>
        <v/>
      </c>
      <c r="Y234" s="23">
        <f t="array" ref="Y234">IF(ISBLANK($M234),IFERROR(XLOOKUP($P234,'Department Listing'!$A:$A,'Department Listing'!$L:$L),""),$M234)</f>
        <v/>
      </c>
      <c r="Z234" s="11">
        <f>IF(ISBLANK($B234),"",MATCH($X234,COA!$B:$B,0))</f>
        <v/>
      </c>
    </row>
    <row r="235" ht="15.75" customHeight="1" s="52">
      <c r="B235" s="17" t="n"/>
      <c r="E235" s="26" t="n"/>
      <c r="F235" s="19" t="n"/>
      <c r="G235" s="10" t="n"/>
      <c r="H235" s="10" t="n"/>
      <c r="I235" s="9" t="n"/>
      <c r="J235" s="9" t="n"/>
      <c r="K235" s="9" t="n"/>
      <c r="L235" s="9" t="n"/>
      <c r="M235" s="9" t="n"/>
      <c r="N235" s="20" t="n"/>
      <c r="O235" s="20">
        <f>IF(C235="", "", TRIM(RIGHT(C235, LEN(C235) - FIND("@@", SUBSTITUTE(C235, "-", "@@", LEN(C235) - LEN(SUBSTITUTE(C235, "-", "")))))))</f>
        <v/>
      </c>
      <c r="P235" s="20">
        <f t="array" ref="P235">IFERROR(XLOOKUP(O235,'Department Listing'!$O$1:$O$395,'Department Listing'!$A$1:$A$395),IFERROR(XLOOKUP(O235,'Name Aliases'!$A$2:$A$1000,'Name Aliases'!$B$2:$B$1000),""))</f>
        <v/>
      </c>
      <c r="Q235" s="21">
        <f>IF(ISBLANK($C235),"",$B235)</f>
        <v/>
      </c>
      <c r="R235" s="20">
        <f>IF(ISBLANK($C235),"",IF(ISBLANK($I235),$D235,$I235))</f>
        <v/>
      </c>
      <c r="S235" s="22">
        <f>IF(ISBLANK($C235),"",$F235 - $G235)</f>
        <v/>
      </c>
      <c r="T235" s="20">
        <f>IF(ISBLANK($C235),"",C235)</f>
        <v/>
      </c>
      <c r="U235" s="20">
        <f>IF(ISBLANK($C235),"",$D$1)</f>
        <v/>
      </c>
      <c r="V235" s="22">
        <f t="array" ref="V235">IF(ISBLANK($B235),"",IF(ISBLANK($K235),IF(XLOOKUP($W235,'Category Mapping'!$C:$C,'Category Mapping'!$B:$B)="Travel",XLOOKUP($P235,'Department Listing'!$A:$A,'Department Listing'!$M:$M),XLOOKUP($W235,'Category Mapping'!$C:$C,'Category Mapping'!$D:$D)),$K235))</f>
        <v/>
      </c>
      <c r="W235" s="22">
        <f>IF(ISBLANK($B235),"",IF(ISBLANK($L235),RIGHT($E235,LEN($E235) - FIND("^",SUBSTITUTE($E235,":","^",LEN($E235) - LEN(SUBSTITUTE($E235,":",""))))),$L235))</f>
        <v/>
      </c>
      <c r="X235" s="22">
        <f>IF(ISBLANK($J235),$V235&amp;$W235,$J235)</f>
        <v/>
      </c>
      <c r="Y235" s="23">
        <f t="array" ref="Y235">IF(ISBLANK($M235),IFERROR(XLOOKUP($P235,'Department Listing'!$A:$A,'Department Listing'!$L:$L),""),$M235)</f>
        <v/>
      </c>
      <c r="Z235" s="11">
        <f>IF(ISBLANK($B235),"",MATCH($X235,COA!$B:$B,0))</f>
        <v/>
      </c>
    </row>
    <row r="236" ht="15.75" customHeight="1" s="52">
      <c r="B236" s="17" t="n"/>
      <c r="E236" s="26" t="n"/>
      <c r="F236" s="19" t="n"/>
      <c r="G236" s="10" t="n"/>
      <c r="H236" s="10" t="n"/>
      <c r="I236" s="9" t="n"/>
      <c r="J236" s="9" t="n"/>
      <c r="K236" s="9" t="n"/>
      <c r="L236" s="9" t="n"/>
      <c r="M236" s="9" t="n"/>
      <c r="N236" s="20" t="n"/>
      <c r="O236" s="20">
        <f>IF(C236="", "", TRIM(RIGHT(C236, LEN(C236) - FIND("@@", SUBSTITUTE(C236, "-", "@@", LEN(C236) - LEN(SUBSTITUTE(C236, "-", "")))))))</f>
        <v/>
      </c>
      <c r="P236" s="20">
        <f t="array" ref="P236">IFERROR(XLOOKUP(O236,'Department Listing'!$O$1:$O$395,'Department Listing'!$A$1:$A$395),IFERROR(XLOOKUP(O236,'Name Aliases'!$A$2:$A$1000,'Name Aliases'!$B$2:$B$1000),""))</f>
        <v/>
      </c>
      <c r="Q236" s="21">
        <f>IF(ISBLANK($C236),"",$B236)</f>
        <v/>
      </c>
      <c r="R236" s="20">
        <f>IF(ISBLANK($C236),"",IF(ISBLANK($I236),$D236,$I236))</f>
        <v/>
      </c>
      <c r="S236" s="22">
        <f>IF(ISBLANK($C236),"",$F236 - $G236)</f>
        <v/>
      </c>
      <c r="T236" s="20">
        <f>IF(ISBLANK($C236),"",C236)</f>
        <v/>
      </c>
      <c r="U236" s="20">
        <f>IF(ISBLANK($C236),"",$D$1)</f>
        <v/>
      </c>
      <c r="V236" s="22">
        <f t="array" ref="V236">IF(ISBLANK($B236),"",IF(ISBLANK($K236),IF(XLOOKUP($W236,'Category Mapping'!$C:$C,'Category Mapping'!$B:$B)="Travel",XLOOKUP($P236,'Department Listing'!$A:$A,'Department Listing'!$M:$M),XLOOKUP($W236,'Category Mapping'!$C:$C,'Category Mapping'!$D:$D)),$K236))</f>
        <v/>
      </c>
      <c r="W236" s="22">
        <f>IF(ISBLANK($B236),"",IF(ISBLANK($L236),RIGHT($E236,LEN($E236) - FIND("^",SUBSTITUTE($E236,":","^",LEN($E236) - LEN(SUBSTITUTE($E236,":",""))))),$L236))</f>
        <v/>
      </c>
      <c r="X236" s="22">
        <f>IF(ISBLANK($J236),$V236&amp;$W236,$J236)</f>
        <v/>
      </c>
      <c r="Y236" s="23">
        <f t="array" ref="Y236">IF(ISBLANK($M236),IFERROR(XLOOKUP($P236,'Department Listing'!$A:$A,'Department Listing'!$L:$L),""),$M236)</f>
        <v/>
      </c>
      <c r="Z236" s="11">
        <f>IF(ISBLANK($B236),"",MATCH($X236,COA!$B:$B,0))</f>
        <v/>
      </c>
    </row>
    <row r="237" ht="15.75" customHeight="1" s="52">
      <c r="B237" s="17" t="n"/>
      <c r="E237" s="26" t="n"/>
      <c r="F237" s="19" t="n"/>
      <c r="G237" s="10" t="n"/>
      <c r="H237" s="10" t="n"/>
      <c r="I237" s="9" t="n"/>
      <c r="J237" s="9" t="n"/>
      <c r="K237" s="9" t="n"/>
      <c r="L237" s="9" t="n"/>
      <c r="M237" s="9" t="n"/>
      <c r="N237" s="20" t="n"/>
      <c r="O237" s="20">
        <f>IF(C237="", "", TRIM(RIGHT(C237, LEN(C237) - FIND("@@", SUBSTITUTE(C237, "-", "@@", LEN(C237) - LEN(SUBSTITUTE(C237, "-", "")))))))</f>
        <v/>
      </c>
      <c r="P237" s="20">
        <f t="array" ref="P237">IFERROR(XLOOKUP(O237,'Department Listing'!$O$1:$O$395,'Department Listing'!$A$1:$A$395),IFERROR(XLOOKUP(O237,'Name Aliases'!$A$2:$A$1000,'Name Aliases'!$B$2:$B$1000),""))</f>
        <v/>
      </c>
      <c r="Q237" s="21">
        <f>IF(ISBLANK($C237),"",$B237)</f>
        <v/>
      </c>
      <c r="R237" s="20">
        <f>IF(ISBLANK($C237),"",IF(ISBLANK($I237),$D237,$I237))</f>
        <v/>
      </c>
      <c r="S237" s="22">
        <f>IF(ISBLANK($C237),"",$F237 - $G237)</f>
        <v/>
      </c>
      <c r="T237" s="20">
        <f>IF(ISBLANK($C237),"",C237)</f>
        <v/>
      </c>
      <c r="U237" s="20">
        <f>IF(ISBLANK($C237),"",$D$1)</f>
        <v/>
      </c>
      <c r="V237" s="22">
        <f t="array" ref="V237">IF(ISBLANK($B237),"",IF(ISBLANK($K237),IF(XLOOKUP($W237,'Category Mapping'!$C:$C,'Category Mapping'!$B:$B)="Travel",XLOOKUP($P237,'Department Listing'!$A:$A,'Department Listing'!$M:$M),XLOOKUP($W237,'Category Mapping'!$C:$C,'Category Mapping'!$D:$D)),$K237))</f>
        <v/>
      </c>
      <c r="W237" s="22">
        <f>IF(ISBLANK($B237),"",IF(ISBLANK($L237),RIGHT($E237,LEN($E237) - FIND("^",SUBSTITUTE($E237,":","^",LEN($E237) - LEN(SUBSTITUTE($E237,":",""))))),$L237))</f>
        <v/>
      </c>
      <c r="X237" s="22">
        <f>IF(ISBLANK($J237),$V237&amp;$W237,$J237)</f>
        <v/>
      </c>
      <c r="Y237" s="23">
        <f t="array" ref="Y237">IF(ISBLANK($M237),IFERROR(XLOOKUP($P237,'Department Listing'!$A:$A,'Department Listing'!$L:$L),""),$M237)</f>
        <v/>
      </c>
      <c r="Z237" s="11">
        <f>IF(ISBLANK($B237),"",MATCH($X237,COA!$B:$B,0))</f>
        <v/>
      </c>
    </row>
    <row r="238" ht="15.75" customHeight="1" s="52">
      <c r="B238" s="17" t="n"/>
      <c r="E238" s="26" t="n"/>
      <c r="F238" s="19" t="n"/>
      <c r="G238" s="10" t="n"/>
      <c r="H238" s="10" t="n"/>
      <c r="I238" s="9" t="n"/>
      <c r="J238" s="9" t="n"/>
      <c r="K238" s="9" t="n"/>
      <c r="L238" s="9" t="n"/>
      <c r="M238" s="9" t="n"/>
      <c r="N238" s="20" t="n"/>
      <c r="O238" s="20">
        <f>IF(C238="", "", TRIM(RIGHT(C238, LEN(C238) - FIND("@@", SUBSTITUTE(C238, "-", "@@", LEN(C238) - LEN(SUBSTITUTE(C238, "-", "")))))))</f>
        <v/>
      </c>
      <c r="P238" s="20">
        <f t="array" ref="P238">IFERROR(XLOOKUP(O238,'Department Listing'!$O$1:$O$395,'Department Listing'!$A$1:$A$395),IFERROR(XLOOKUP(O238,'Name Aliases'!$A$2:$A$1000,'Name Aliases'!$B$2:$B$1000),""))</f>
        <v/>
      </c>
      <c r="Q238" s="21">
        <f>IF(ISBLANK($C238),"",$B238)</f>
        <v/>
      </c>
      <c r="R238" s="20">
        <f>IF(ISBLANK($C238),"",IF(ISBLANK($I238),$D238,$I238))</f>
        <v/>
      </c>
      <c r="S238" s="22">
        <f>IF(ISBLANK($C238),"",$F238 - $G238)</f>
        <v/>
      </c>
      <c r="T238" s="20">
        <f>IF(ISBLANK($C238),"",C238)</f>
        <v/>
      </c>
      <c r="U238" s="20">
        <f>IF(ISBLANK($C238),"",$D$1)</f>
        <v/>
      </c>
      <c r="V238" s="22">
        <f t="array" ref="V238">IF(ISBLANK($B238),"",IF(ISBLANK($K238),IF(XLOOKUP($W238,'Category Mapping'!$C:$C,'Category Mapping'!$B:$B)="Travel",XLOOKUP($P238,'Department Listing'!$A:$A,'Department Listing'!$M:$M),XLOOKUP($W238,'Category Mapping'!$C:$C,'Category Mapping'!$D:$D)),$K238))</f>
        <v/>
      </c>
      <c r="W238" s="22">
        <f>IF(ISBLANK($B238),"",IF(ISBLANK($L238),RIGHT($E238,LEN($E238) - FIND("^",SUBSTITUTE($E238,":","^",LEN($E238) - LEN(SUBSTITUTE($E238,":",""))))),$L238))</f>
        <v/>
      </c>
      <c r="X238" s="22">
        <f>IF(ISBLANK($J238),$V238&amp;$W238,$J238)</f>
        <v/>
      </c>
      <c r="Y238" s="23">
        <f t="array" ref="Y238">IF(ISBLANK($M238),IFERROR(XLOOKUP($P238,'Department Listing'!$A:$A,'Department Listing'!$L:$L),""),$M238)</f>
        <v/>
      </c>
      <c r="Z238" s="11">
        <f>IF(ISBLANK($B238),"",MATCH($X238,COA!$B:$B,0))</f>
        <v/>
      </c>
    </row>
    <row r="239" ht="15.75" customHeight="1" s="52">
      <c r="B239" s="17" t="n"/>
      <c r="E239" s="26" t="n"/>
      <c r="F239" s="19" t="n"/>
      <c r="G239" s="10" t="n"/>
      <c r="H239" s="10" t="n"/>
      <c r="I239" s="9" t="n"/>
      <c r="J239" s="9" t="n"/>
      <c r="K239" s="9" t="n"/>
      <c r="L239" s="9" t="n"/>
      <c r="M239" s="9" t="n"/>
      <c r="N239" s="20" t="n"/>
      <c r="O239" s="20">
        <f>IF(C239="", "", TRIM(RIGHT(C239, LEN(C239) - FIND("@@", SUBSTITUTE(C239, "-", "@@", LEN(C239) - LEN(SUBSTITUTE(C239, "-", "")))))))</f>
        <v/>
      </c>
      <c r="P239" s="20">
        <f t="array" ref="P239">IFERROR(XLOOKUP(O239,'Department Listing'!$O$1:$O$395,'Department Listing'!$A$1:$A$395),IFERROR(XLOOKUP(O239,'Name Aliases'!$A$2:$A$1000,'Name Aliases'!$B$2:$B$1000),""))</f>
        <v/>
      </c>
      <c r="Q239" s="21">
        <f>IF(ISBLANK($C239),"",$B239)</f>
        <v/>
      </c>
      <c r="R239" s="20">
        <f>IF(ISBLANK($C239),"",IF(ISBLANK($I239),$D239,$I239))</f>
        <v/>
      </c>
      <c r="S239" s="22">
        <f>IF(ISBLANK($C239),"",$F239 - $G239)</f>
        <v/>
      </c>
      <c r="T239" s="20">
        <f>IF(ISBLANK($C239),"",C239)</f>
        <v/>
      </c>
      <c r="U239" s="20">
        <f>IF(ISBLANK($C239),"",$D$1)</f>
        <v/>
      </c>
      <c r="V239" s="22">
        <f t="array" ref="V239">IF(ISBLANK($B239),"",IF(ISBLANK($K239),IF(XLOOKUP($W239,'Category Mapping'!$C:$C,'Category Mapping'!$B:$B)="Travel",XLOOKUP($P239,'Department Listing'!$A:$A,'Department Listing'!$M:$M),XLOOKUP($W239,'Category Mapping'!$C:$C,'Category Mapping'!$D:$D)),$K239))</f>
        <v/>
      </c>
      <c r="W239" s="22">
        <f>IF(ISBLANK($B239),"",IF(ISBLANK($L239),RIGHT($E239,LEN($E239) - FIND("^",SUBSTITUTE($E239,":","^",LEN($E239) - LEN(SUBSTITUTE($E239,":",""))))),$L239))</f>
        <v/>
      </c>
      <c r="X239" s="22">
        <f>IF(ISBLANK($J239),$V239&amp;$W239,$J239)</f>
        <v/>
      </c>
      <c r="Y239" s="23">
        <f t="array" ref="Y239">IF(ISBLANK($M239),IFERROR(XLOOKUP($P239,'Department Listing'!$A:$A,'Department Listing'!$L:$L),""),$M239)</f>
        <v/>
      </c>
      <c r="Z239" s="11">
        <f>IF(ISBLANK($B239),"",MATCH($X239,COA!$B:$B,0))</f>
        <v/>
      </c>
    </row>
    <row r="240" ht="15.75" customHeight="1" s="52">
      <c r="B240" s="17" t="n"/>
      <c r="E240" s="26" t="n"/>
      <c r="F240" s="19" t="n"/>
      <c r="G240" s="10" t="n"/>
      <c r="H240" s="10" t="n"/>
      <c r="I240" s="9" t="n"/>
      <c r="J240" s="9" t="n"/>
      <c r="K240" s="9" t="n"/>
      <c r="L240" s="9" t="n"/>
      <c r="M240" s="9" t="n"/>
      <c r="N240" s="20" t="n"/>
      <c r="O240" s="20">
        <f>IF(C240="", "", TRIM(RIGHT(C240, LEN(C240) - FIND("@@", SUBSTITUTE(C240, "-", "@@", LEN(C240) - LEN(SUBSTITUTE(C240, "-", "")))))))</f>
        <v/>
      </c>
      <c r="P240" s="20">
        <f t="array" ref="P240">IFERROR(XLOOKUP(O240,'Department Listing'!$O$1:$O$395,'Department Listing'!$A$1:$A$395),IFERROR(XLOOKUP(O240,'Name Aliases'!$A$2:$A$1000,'Name Aliases'!$B$2:$B$1000),""))</f>
        <v/>
      </c>
      <c r="Q240" s="21">
        <f>IF(ISBLANK($C240),"",$B240)</f>
        <v/>
      </c>
      <c r="R240" s="20">
        <f>IF(ISBLANK($C240),"",IF(ISBLANK($I240),$D240,$I240))</f>
        <v/>
      </c>
      <c r="S240" s="22">
        <f>IF(ISBLANK($C240),"",$F240 - $G240)</f>
        <v/>
      </c>
      <c r="T240" s="20">
        <f>IF(ISBLANK($C240),"",C240)</f>
        <v/>
      </c>
      <c r="U240" s="20">
        <f>IF(ISBLANK($C240),"",$D$1)</f>
        <v/>
      </c>
      <c r="V240" s="22">
        <f t="array" ref="V240">IF(ISBLANK($B240),"",IF(ISBLANK($K240),IF(XLOOKUP($W240,'Category Mapping'!$C:$C,'Category Mapping'!$B:$B)="Travel",XLOOKUP($P240,'Department Listing'!$A:$A,'Department Listing'!$M:$M),XLOOKUP($W240,'Category Mapping'!$C:$C,'Category Mapping'!$D:$D)),$K240))</f>
        <v/>
      </c>
      <c r="W240" s="22">
        <f>IF(ISBLANK($B240),"",IF(ISBLANK($L240),RIGHT($E240,LEN($E240) - FIND("^",SUBSTITUTE($E240,":","^",LEN($E240) - LEN(SUBSTITUTE($E240,":",""))))),$L240))</f>
        <v/>
      </c>
      <c r="X240" s="22">
        <f>IF(ISBLANK($J240),$V240&amp;$W240,$J240)</f>
        <v/>
      </c>
      <c r="Y240" s="23">
        <f t="array" ref="Y240">IF(ISBLANK($M240),IFERROR(XLOOKUP($P240,'Department Listing'!$A:$A,'Department Listing'!$L:$L),""),$M240)</f>
        <v/>
      </c>
      <c r="Z240" s="11">
        <f>IF(ISBLANK($B240),"",MATCH($X240,COA!$B:$B,0))</f>
        <v/>
      </c>
    </row>
    <row r="241" ht="15.75" customHeight="1" s="52">
      <c r="B241" s="17" t="n"/>
      <c r="E241" s="26" t="n"/>
      <c r="F241" s="19" t="n"/>
      <c r="G241" s="10" t="n"/>
      <c r="H241" s="10" t="n"/>
      <c r="I241" s="9" t="n"/>
      <c r="J241" s="9" t="n"/>
      <c r="K241" s="9" t="n"/>
      <c r="L241" s="9" t="n"/>
      <c r="M241" s="9" t="n"/>
      <c r="N241" s="20" t="n"/>
      <c r="O241" s="20">
        <f>IF(C241="", "", TRIM(RIGHT(C241, LEN(C241) - FIND("@@", SUBSTITUTE(C241, "-", "@@", LEN(C241) - LEN(SUBSTITUTE(C241, "-", "")))))))</f>
        <v/>
      </c>
      <c r="P241" s="20">
        <f t="array" ref="P241">IFERROR(XLOOKUP(O241,'Department Listing'!$O$1:$O$395,'Department Listing'!$A$1:$A$395),IFERROR(XLOOKUP(O241,'Name Aliases'!$A$2:$A$1000,'Name Aliases'!$B$2:$B$1000),""))</f>
        <v/>
      </c>
      <c r="Q241" s="21">
        <f>IF(ISBLANK($C241),"",$B241)</f>
        <v/>
      </c>
      <c r="R241" s="20">
        <f>IF(ISBLANK($C241),"",IF(ISBLANK($I241),$D241,$I241))</f>
        <v/>
      </c>
      <c r="S241" s="22">
        <f>IF(ISBLANK($C241),"",$F241 - $G241)</f>
        <v/>
      </c>
      <c r="T241" s="20">
        <f>IF(ISBLANK($C241),"",C241)</f>
        <v/>
      </c>
      <c r="U241" s="20">
        <f>IF(ISBLANK($C241),"",$D$1)</f>
        <v/>
      </c>
      <c r="V241" s="22">
        <f t="array" ref="V241">IF(ISBLANK($B241),"",IF(ISBLANK($K241),IF(XLOOKUP($W241,'Category Mapping'!$C:$C,'Category Mapping'!$B:$B)="Travel",XLOOKUP($P241,'Department Listing'!$A:$A,'Department Listing'!$M:$M),XLOOKUP($W241,'Category Mapping'!$C:$C,'Category Mapping'!$D:$D)),$K241))</f>
        <v/>
      </c>
      <c r="W241" s="22">
        <f>IF(ISBLANK($B241),"",IF(ISBLANK($L241),RIGHT($E241,LEN($E241) - FIND("^",SUBSTITUTE($E241,":","^",LEN($E241) - LEN(SUBSTITUTE($E241,":",""))))),$L241))</f>
        <v/>
      </c>
      <c r="X241" s="22">
        <f>IF(ISBLANK($J241),$V241&amp;$W241,$J241)</f>
        <v/>
      </c>
      <c r="Y241" s="23">
        <f t="array" ref="Y241">IF(ISBLANK($M241),IFERROR(XLOOKUP($P241,'Department Listing'!$A:$A,'Department Listing'!$L:$L),""),$M241)</f>
        <v/>
      </c>
      <c r="Z241" s="11">
        <f>IF(ISBLANK($B241),"",MATCH($X241,COA!$B:$B,0))</f>
        <v/>
      </c>
    </row>
    <row r="242" ht="15.75" customHeight="1" s="52">
      <c r="B242" s="17" t="n"/>
      <c r="E242" s="26" t="n"/>
      <c r="F242" s="19" t="n"/>
      <c r="G242" s="10" t="n"/>
      <c r="H242" s="10" t="n"/>
      <c r="I242" s="9" t="n"/>
      <c r="J242" s="9" t="n"/>
      <c r="K242" s="9" t="n"/>
      <c r="L242" s="9" t="n"/>
      <c r="M242" s="9" t="n"/>
      <c r="N242" s="20" t="n"/>
      <c r="O242" s="20">
        <f>IF(C242="", "", TRIM(RIGHT(C242, LEN(C242) - FIND("@@", SUBSTITUTE(C242, "-", "@@", LEN(C242) - LEN(SUBSTITUTE(C242, "-", "")))))))</f>
        <v/>
      </c>
      <c r="P242" s="20">
        <f t="array" ref="P242">IFERROR(XLOOKUP(O242,'Department Listing'!$O$1:$O$395,'Department Listing'!$A$1:$A$395),IFERROR(XLOOKUP(O242,'Name Aliases'!$A$2:$A$1000,'Name Aliases'!$B$2:$B$1000),""))</f>
        <v/>
      </c>
      <c r="Q242" s="21">
        <f>IF(ISBLANK($C242),"",$B242)</f>
        <v/>
      </c>
      <c r="R242" s="20">
        <f>IF(ISBLANK($C242),"",IF(ISBLANK($I242),$D242,$I242))</f>
        <v/>
      </c>
      <c r="S242" s="22">
        <f>IF(ISBLANK($C242),"",$F242 - $G242)</f>
        <v/>
      </c>
      <c r="T242" s="20">
        <f>IF(ISBLANK($C242),"",C242)</f>
        <v/>
      </c>
      <c r="U242" s="20">
        <f>IF(ISBLANK($C242),"",$D$1)</f>
        <v/>
      </c>
      <c r="V242" s="22">
        <f t="array" ref="V242">IF(ISBLANK($B242),"",IF(ISBLANK($K242),IF(XLOOKUP($W242,'Category Mapping'!$C:$C,'Category Mapping'!$B:$B)="Travel",XLOOKUP($P242,'Department Listing'!$A:$A,'Department Listing'!$M:$M),XLOOKUP($W242,'Category Mapping'!$C:$C,'Category Mapping'!$D:$D)),$K242))</f>
        <v/>
      </c>
      <c r="W242" s="22">
        <f>IF(ISBLANK($B242),"",IF(ISBLANK($L242),RIGHT($E242,LEN($E242) - FIND("^",SUBSTITUTE($E242,":","^",LEN($E242) - LEN(SUBSTITUTE($E242,":",""))))),$L242))</f>
        <v/>
      </c>
      <c r="X242" s="22">
        <f>IF(ISBLANK($J242),$V242&amp;$W242,$J242)</f>
        <v/>
      </c>
      <c r="Y242" s="23">
        <f t="array" ref="Y242">IF(ISBLANK($M242),IFERROR(XLOOKUP($P242,'Department Listing'!$A:$A,'Department Listing'!$L:$L),""),$M242)</f>
        <v/>
      </c>
      <c r="Z242" s="11">
        <f>IF(ISBLANK($B242),"",MATCH($X242,COA!$B:$B,0))</f>
        <v/>
      </c>
    </row>
    <row r="243" ht="15.75" customHeight="1" s="52">
      <c r="B243" s="17" t="n"/>
      <c r="E243" s="26" t="n"/>
      <c r="F243" s="19" t="n"/>
      <c r="G243" s="10" t="n"/>
      <c r="H243" s="10" t="n"/>
      <c r="I243" s="9" t="n"/>
      <c r="J243" s="9" t="n"/>
      <c r="K243" s="9" t="n"/>
      <c r="L243" s="9" t="n"/>
      <c r="M243" s="9" t="n"/>
      <c r="N243" s="20" t="n"/>
      <c r="O243" s="20">
        <f>IF(C243="", "", TRIM(RIGHT(C243, LEN(C243) - FIND("@@", SUBSTITUTE(C243, "-", "@@", LEN(C243) - LEN(SUBSTITUTE(C243, "-", "")))))))</f>
        <v/>
      </c>
      <c r="P243" s="20">
        <f t="array" ref="P243">IFERROR(XLOOKUP(O243,'Department Listing'!$O$1:$O$395,'Department Listing'!$A$1:$A$395),IFERROR(XLOOKUP(O243,'Name Aliases'!$A$2:$A$1000,'Name Aliases'!$B$2:$B$1000),""))</f>
        <v/>
      </c>
      <c r="Q243" s="21">
        <f>IF(ISBLANK($C243),"",$B243)</f>
        <v/>
      </c>
      <c r="R243" s="20">
        <f>IF(ISBLANK($C243),"",IF(ISBLANK($I243),$D243,$I243))</f>
        <v/>
      </c>
      <c r="S243" s="22">
        <f>IF(ISBLANK($C243),"",$F243 - $G243)</f>
        <v/>
      </c>
      <c r="T243" s="20">
        <f>IF(ISBLANK($C243),"",C243)</f>
        <v/>
      </c>
      <c r="U243" s="20">
        <f>IF(ISBLANK($C243),"",$D$1)</f>
        <v/>
      </c>
      <c r="V243" s="22">
        <f t="array" ref="V243">IF(ISBLANK($B243),"",IF(ISBLANK($K243),IF(XLOOKUP($W243,'Category Mapping'!$C:$C,'Category Mapping'!$B:$B)="Travel",XLOOKUP($P243,'Department Listing'!$A:$A,'Department Listing'!$M:$M),XLOOKUP($W243,'Category Mapping'!$C:$C,'Category Mapping'!$D:$D)),$K243))</f>
        <v/>
      </c>
      <c r="W243" s="22">
        <f>IF(ISBLANK($B243),"",IF(ISBLANK($L243),RIGHT($E243,LEN($E243) - FIND("^",SUBSTITUTE($E243,":","^",LEN($E243) - LEN(SUBSTITUTE($E243,":",""))))),$L243))</f>
        <v/>
      </c>
      <c r="X243" s="22">
        <f>IF(ISBLANK($J243),$V243&amp;$W243,$J243)</f>
        <v/>
      </c>
      <c r="Y243" s="23">
        <f t="array" ref="Y243">IF(ISBLANK($M243),IFERROR(XLOOKUP($P243,'Department Listing'!$A:$A,'Department Listing'!$L:$L),""),$M243)</f>
        <v/>
      </c>
      <c r="Z243" s="11">
        <f>IF(ISBLANK($B243),"",MATCH($X243,COA!$B:$B,0))</f>
        <v/>
      </c>
    </row>
    <row r="244" ht="15.75" customHeight="1" s="52">
      <c r="B244" s="17" t="n"/>
      <c r="E244" s="26" t="n"/>
      <c r="F244" s="19" t="n"/>
      <c r="G244" s="10" t="n"/>
      <c r="H244" s="10" t="n"/>
      <c r="I244" s="9" t="n"/>
      <c r="J244" s="9" t="n"/>
      <c r="K244" s="9" t="n"/>
      <c r="L244" s="9" t="n"/>
      <c r="M244" s="9" t="n"/>
      <c r="N244" s="20" t="n"/>
      <c r="O244" s="20">
        <f>IF(C244="", "", TRIM(RIGHT(C244, LEN(C244) - FIND("@@", SUBSTITUTE(C244, "-", "@@", LEN(C244) - LEN(SUBSTITUTE(C244, "-", "")))))))</f>
        <v/>
      </c>
      <c r="P244" s="20">
        <f t="array" ref="P244">IFERROR(XLOOKUP(O244,'Department Listing'!$O$1:$O$395,'Department Listing'!$A$1:$A$395),IFERROR(XLOOKUP(O244,'Name Aliases'!$A$2:$A$1000,'Name Aliases'!$B$2:$B$1000),""))</f>
        <v/>
      </c>
      <c r="Q244" s="21">
        <f>IF(ISBLANK($C244),"",$B244)</f>
        <v/>
      </c>
      <c r="R244" s="20">
        <f>IF(ISBLANK($C244),"",IF(ISBLANK($I244),$D244,$I244))</f>
        <v/>
      </c>
      <c r="S244" s="22">
        <f>IF(ISBLANK($C244),"",$F244 - $G244)</f>
        <v/>
      </c>
      <c r="T244" s="20">
        <f>IF(ISBLANK($C244),"",C244)</f>
        <v/>
      </c>
      <c r="U244" s="20">
        <f>IF(ISBLANK($C244),"",$D$1)</f>
        <v/>
      </c>
      <c r="V244" s="22">
        <f t="array" ref="V244">IF(ISBLANK($B244),"",IF(ISBLANK($K244),IF(XLOOKUP($W244,'Category Mapping'!$C:$C,'Category Mapping'!$B:$B)="Travel",XLOOKUP($P244,'Department Listing'!$A:$A,'Department Listing'!$M:$M),XLOOKUP($W244,'Category Mapping'!$C:$C,'Category Mapping'!$D:$D)),$K244))</f>
        <v/>
      </c>
      <c r="W244" s="22">
        <f>IF(ISBLANK($B244),"",IF(ISBLANK($L244),RIGHT($E244,LEN($E244) - FIND("^",SUBSTITUTE($E244,":","^",LEN($E244) - LEN(SUBSTITUTE($E244,":",""))))),$L244))</f>
        <v/>
      </c>
      <c r="X244" s="22">
        <f>IF(ISBLANK($J244),$V244&amp;$W244,$J244)</f>
        <v/>
      </c>
      <c r="Y244" s="23">
        <f t="array" ref="Y244">IF(ISBLANK($M244),IFERROR(XLOOKUP($P244,'Department Listing'!$A:$A,'Department Listing'!$L:$L),""),$M244)</f>
        <v/>
      </c>
      <c r="Z244" s="11">
        <f>IF(ISBLANK($B244),"",MATCH($X244,COA!$B:$B,0))</f>
        <v/>
      </c>
    </row>
    <row r="245" ht="15.75" customHeight="1" s="52">
      <c r="B245" s="17" t="n"/>
      <c r="E245" s="26" t="n"/>
      <c r="F245" s="19" t="n"/>
      <c r="G245" s="10" t="n"/>
      <c r="H245" s="10" t="n"/>
      <c r="I245" s="9" t="n"/>
      <c r="J245" s="9" t="n"/>
      <c r="K245" s="9" t="n"/>
      <c r="L245" s="9" t="n"/>
      <c r="M245" s="9" t="n"/>
      <c r="N245" s="20" t="n"/>
      <c r="O245" s="20">
        <f>IF(C245="", "", TRIM(RIGHT(C245, LEN(C245) - FIND("@@", SUBSTITUTE(C245, "-", "@@", LEN(C245) - LEN(SUBSTITUTE(C245, "-", "")))))))</f>
        <v/>
      </c>
      <c r="P245" s="20">
        <f t="array" ref="P245">IFERROR(XLOOKUP(O245,'Department Listing'!$O$1:$O$395,'Department Listing'!$A$1:$A$395),IFERROR(XLOOKUP(O245,'Name Aliases'!$A$2:$A$1000,'Name Aliases'!$B$2:$B$1000),""))</f>
        <v/>
      </c>
      <c r="Q245" s="21">
        <f>IF(ISBLANK($C245),"",$B245)</f>
        <v/>
      </c>
      <c r="R245" s="20">
        <f>IF(ISBLANK($C245),"",IF(ISBLANK($I245),$D245,$I245))</f>
        <v/>
      </c>
      <c r="S245" s="22">
        <f>IF(ISBLANK($C245),"",$F245 - $G245)</f>
        <v/>
      </c>
      <c r="T245" s="20">
        <f>IF(ISBLANK($C245),"",C245)</f>
        <v/>
      </c>
      <c r="U245" s="20">
        <f>IF(ISBLANK($C245),"",$D$1)</f>
        <v/>
      </c>
      <c r="V245" s="22">
        <f t="array" ref="V245">IF(ISBLANK($B245),"",IF(ISBLANK($K245),IF(XLOOKUP($W245,'Category Mapping'!$C:$C,'Category Mapping'!$B:$B)="Travel",XLOOKUP($P245,'Department Listing'!$A:$A,'Department Listing'!$M:$M),XLOOKUP($W245,'Category Mapping'!$C:$C,'Category Mapping'!$D:$D)),$K245))</f>
        <v/>
      </c>
      <c r="W245" s="22">
        <f>IF(ISBLANK($B245),"",IF(ISBLANK($L245),RIGHT($E245,LEN($E245) - FIND("^",SUBSTITUTE($E245,":","^",LEN($E245) - LEN(SUBSTITUTE($E245,":",""))))),$L245))</f>
        <v/>
      </c>
      <c r="X245" s="22">
        <f>IF(ISBLANK($J245),$V245&amp;$W245,$J245)</f>
        <v/>
      </c>
      <c r="Y245" s="23">
        <f t="array" ref="Y245">IF(ISBLANK($M245),IFERROR(XLOOKUP($P245,'Department Listing'!$A:$A,'Department Listing'!$L:$L),""),$M245)</f>
        <v/>
      </c>
      <c r="Z245" s="11">
        <f>IF(ISBLANK($B245),"",MATCH($X245,COA!$B:$B,0))</f>
        <v/>
      </c>
    </row>
    <row r="246" ht="15.75" customHeight="1" s="52">
      <c r="B246" s="17" t="n"/>
      <c r="E246" s="26" t="n"/>
      <c r="F246" s="19" t="n"/>
      <c r="G246" s="10" t="n"/>
      <c r="H246" s="10" t="n"/>
      <c r="I246" s="9" t="n"/>
      <c r="J246" s="9" t="n"/>
      <c r="K246" s="9" t="n"/>
      <c r="L246" s="9" t="n"/>
      <c r="M246" s="9" t="n"/>
      <c r="N246" s="20" t="n"/>
      <c r="O246" s="20">
        <f>IF(C246="", "", TRIM(RIGHT(C246, LEN(C246) - FIND("@@", SUBSTITUTE(C246, "-", "@@", LEN(C246) - LEN(SUBSTITUTE(C246, "-", "")))))))</f>
        <v/>
      </c>
      <c r="P246" s="20">
        <f t="array" ref="P246">IFERROR(XLOOKUP(O246,'Department Listing'!$O$1:$O$395,'Department Listing'!$A$1:$A$395),IFERROR(XLOOKUP(O246,'Name Aliases'!$A$2:$A$1000,'Name Aliases'!$B$2:$B$1000),""))</f>
        <v/>
      </c>
      <c r="Q246" s="21">
        <f>IF(ISBLANK($C246),"",$B246)</f>
        <v/>
      </c>
      <c r="R246" s="20">
        <f>IF(ISBLANK($C246),"",IF(ISBLANK($I246),$D246,$I246))</f>
        <v/>
      </c>
      <c r="S246" s="22">
        <f>IF(ISBLANK($C246),"",$F246 - $G246)</f>
        <v/>
      </c>
      <c r="T246" s="20">
        <f>IF(ISBLANK($C246),"",C246)</f>
        <v/>
      </c>
      <c r="U246" s="20">
        <f>IF(ISBLANK($C246),"",$D$1)</f>
        <v/>
      </c>
      <c r="V246" s="22">
        <f t="array" ref="V246">IF(ISBLANK($B246),"",IF(ISBLANK($K246),IF(XLOOKUP($W246,'Category Mapping'!$C:$C,'Category Mapping'!$B:$B)="Travel",XLOOKUP($P246,'Department Listing'!$A:$A,'Department Listing'!$M:$M),XLOOKUP($W246,'Category Mapping'!$C:$C,'Category Mapping'!$D:$D)),$K246))</f>
        <v/>
      </c>
      <c r="W246" s="22">
        <f>IF(ISBLANK($B246),"",IF(ISBLANK($L246),RIGHT($E246,LEN($E246) - FIND("^",SUBSTITUTE($E246,":","^",LEN($E246) - LEN(SUBSTITUTE($E246,":",""))))),$L246))</f>
        <v/>
      </c>
      <c r="X246" s="22">
        <f>IF(ISBLANK($J246),$V246&amp;$W246,$J246)</f>
        <v/>
      </c>
      <c r="Y246" s="23">
        <f t="array" ref="Y246">IF(ISBLANK($M246),IFERROR(XLOOKUP($P246,'Department Listing'!$A:$A,'Department Listing'!$L:$L),""),$M246)</f>
        <v/>
      </c>
      <c r="Z246" s="11">
        <f>IF(ISBLANK($B246),"",MATCH($X246,COA!$B:$B,0))</f>
        <v/>
      </c>
    </row>
    <row r="247" ht="15.75" customHeight="1" s="52">
      <c r="B247" s="17" t="n"/>
      <c r="E247" s="26" t="n"/>
      <c r="F247" s="19" t="n"/>
      <c r="G247" s="10" t="n"/>
      <c r="H247" s="10" t="n"/>
      <c r="I247" s="9" t="n"/>
      <c r="J247" s="9" t="n"/>
      <c r="K247" s="9" t="n"/>
      <c r="L247" s="9" t="n"/>
      <c r="M247" s="9" t="n"/>
      <c r="N247" s="20" t="n"/>
      <c r="O247" s="20">
        <f>IF(C247="", "", TRIM(RIGHT(C247, LEN(C247) - FIND("@@", SUBSTITUTE(C247, "-", "@@", LEN(C247) - LEN(SUBSTITUTE(C247, "-", "")))))))</f>
        <v/>
      </c>
      <c r="P247" s="20">
        <f t="array" ref="P247">IFERROR(XLOOKUP(O247,'Department Listing'!$O$1:$O$395,'Department Listing'!$A$1:$A$395),IFERROR(XLOOKUP(O247,'Name Aliases'!$A$2:$A$1000,'Name Aliases'!$B$2:$B$1000),""))</f>
        <v/>
      </c>
      <c r="Q247" s="21">
        <f>IF(ISBLANK($C247),"",$B247)</f>
        <v/>
      </c>
      <c r="R247" s="20">
        <f>IF(ISBLANK($C247),"",IF(ISBLANK($I247),$D247,$I247))</f>
        <v/>
      </c>
      <c r="S247" s="22">
        <f>IF(ISBLANK($C247),"",$F247 - $G247)</f>
        <v/>
      </c>
      <c r="T247" s="20">
        <f>IF(ISBLANK($C247),"",C247)</f>
        <v/>
      </c>
      <c r="U247" s="20">
        <f>IF(ISBLANK($C247),"",$D$1)</f>
        <v/>
      </c>
      <c r="V247" s="22">
        <f t="array" ref="V247">IF(ISBLANK($B247),"",IF(ISBLANK($K247),IF(XLOOKUP($W247,'Category Mapping'!$C:$C,'Category Mapping'!$B:$B)="Travel",XLOOKUP($P247,'Department Listing'!$A:$A,'Department Listing'!$M:$M),XLOOKUP($W247,'Category Mapping'!$C:$C,'Category Mapping'!$D:$D)),$K247))</f>
        <v/>
      </c>
      <c r="W247" s="22">
        <f>IF(ISBLANK($B247),"",IF(ISBLANK($L247),RIGHT($E247,LEN($E247) - FIND("^",SUBSTITUTE($E247,":","^",LEN($E247) - LEN(SUBSTITUTE($E247,":",""))))),$L247))</f>
        <v/>
      </c>
      <c r="X247" s="22">
        <f>IF(ISBLANK($J247),$V247&amp;$W247,$J247)</f>
        <v/>
      </c>
      <c r="Y247" s="23">
        <f t="array" ref="Y247">IF(ISBLANK($M247),IFERROR(XLOOKUP($P247,'Department Listing'!$A:$A,'Department Listing'!$L:$L),""),$M247)</f>
        <v/>
      </c>
      <c r="Z247" s="11">
        <f>IF(ISBLANK($B247),"",MATCH($X247,COA!$B:$B,0))</f>
        <v/>
      </c>
    </row>
    <row r="248" ht="15.75" customHeight="1" s="52">
      <c r="B248" s="17" t="n"/>
      <c r="E248" s="26" t="n"/>
      <c r="F248" s="19" t="n"/>
      <c r="G248" s="10" t="n"/>
      <c r="H248" s="10" t="n"/>
      <c r="I248" s="9" t="n"/>
      <c r="J248" s="9" t="n"/>
      <c r="K248" s="9" t="n"/>
      <c r="L248" s="9" t="n"/>
      <c r="M248" s="9" t="n"/>
      <c r="N248" s="20" t="n"/>
      <c r="O248" s="20">
        <f>IF(C248="", "", TRIM(RIGHT(C248, LEN(C248) - FIND("@@", SUBSTITUTE(C248, "-", "@@", LEN(C248) - LEN(SUBSTITUTE(C248, "-", "")))))))</f>
        <v/>
      </c>
      <c r="P248" s="20">
        <f t="array" ref="P248">IFERROR(XLOOKUP(O248,'Department Listing'!$O$1:$O$395,'Department Listing'!$A$1:$A$395),IFERROR(XLOOKUP(O248,'Name Aliases'!$A$2:$A$1000,'Name Aliases'!$B$2:$B$1000),""))</f>
        <v/>
      </c>
      <c r="Q248" s="21">
        <f>IF(ISBLANK($C248),"",$B248)</f>
        <v/>
      </c>
      <c r="R248" s="20">
        <f>IF(ISBLANK($C248),"",IF(ISBLANK($I248),$D248,$I248))</f>
        <v/>
      </c>
      <c r="S248" s="22">
        <f>IF(ISBLANK($C248),"",$F248 - $G248)</f>
        <v/>
      </c>
      <c r="T248" s="20">
        <f>IF(ISBLANK($C248),"",C248)</f>
        <v/>
      </c>
      <c r="U248" s="20">
        <f>IF(ISBLANK($C248),"",$D$1)</f>
        <v/>
      </c>
      <c r="V248" s="22">
        <f t="array" ref="V248">IF(ISBLANK($B248),"",IF(ISBLANK($K248),IF(XLOOKUP($W248,'Category Mapping'!$C:$C,'Category Mapping'!$B:$B)="Travel",XLOOKUP($P248,'Department Listing'!$A:$A,'Department Listing'!$M:$M),XLOOKUP($W248,'Category Mapping'!$C:$C,'Category Mapping'!$D:$D)),$K248))</f>
        <v/>
      </c>
      <c r="W248" s="22">
        <f>IF(ISBLANK($B248),"",IF(ISBLANK($L248),RIGHT($E248,LEN($E248) - FIND("^",SUBSTITUTE($E248,":","^",LEN($E248) - LEN(SUBSTITUTE($E248,":",""))))),$L248))</f>
        <v/>
      </c>
      <c r="X248" s="22">
        <f>IF(ISBLANK($J248),$V248&amp;$W248,$J248)</f>
        <v/>
      </c>
      <c r="Y248" s="23">
        <f t="array" ref="Y248">IF(ISBLANK($M248),IFERROR(XLOOKUP($P248,'Department Listing'!$A:$A,'Department Listing'!$L:$L),""),$M248)</f>
        <v/>
      </c>
      <c r="Z248" s="11">
        <f>IF(ISBLANK($B248),"",MATCH($X248,COA!$B:$B,0))</f>
        <v/>
      </c>
    </row>
    <row r="249" ht="15.75" customHeight="1" s="52">
      <c r="B249" s="17" t="n"/>
      <c r="E249" s="26" t="n"/>
      <c r="F249" s="19" t="n"/>
      <c r="G249" s="10" t="n"/>
      <c r="H249" s="10" t="n"/>
      <c r="I249" s="9" t="n"/>
      <c r="J249" s="9" t="n"/>
      <c r="K249" s="9" t="n"/>
      <c r="L249" s="9" t="n"/>
      <c r="M249" s="9" t="n"/>
      <c r="N249" s="20" t="n"/>
      <c r="O249" s="20">
        <f>IF(C249="", "", TRIM(RIGHT(C249, LEN(C249) - FIND("@@", SUBSTITUTE(C249, "-", "@@", LEN(C249) - LEN(SUBSTITUTE(C249, "-", "")))))))</f>
        <v/>
      </c>
      <c r="P249" s="20">
        <f t="array" ref="P249">IFERROR(XLOOKUP(O249,'Department Listing'!$O$1:$O$395,'Department Listing'!$A$1:$A$395),IFERROR(XLOOKUP(O249,'Name Aliases'!$A$2:$A$1000,'Name Aliases'!$B$2:$B$1000),""))</f>
        <v/>
      </c>
      <c r="Q249" s="21">
        <f>IF(ISBLANK($C249),"",$B249)</f>
        <v/>
      </c>
      <c r="R249" s="20">
        <f>IF(ISBLANK($C249),"",IF(ISBLANK($I249),$D249,$I249))</f>
        <v/>
      </c>
      <c r="S249" s="22">
        <f>IF(ISBLANK($C249),"",$F249 - $G249)</f>
        <v/>
      </c>
      <c r="T249" s="20">
        <f>IF(ISBLANK($C249),"",C249)</f>
        <v/>
      </c>
      <c r="U249" s="20">
        <f>IF(ISBLANK($C249),"",$D$1)</f>
        <v/>
      </c>
      <c r="V249" s="22">
        <f t="array" ref="V249">IF(ISBLANK($B249),"",IF(ISBLANK($K249),IF(XLOOKUP($W249,'Category Mapping'!$C:$C,'Category Mapping'!$B:$B)="Travel",XLOOKUP($P249,'Department Listing'!$A:$A,'Department Listing'!$M:$M),XLOOKUP($W249,'Category Mapping'!$C:$C,'Category Mapping'!$D:$D)),$K249))</f>
        <v/>
      </c>
      <c r="W249" s="22">
        <f>IF(ISBLANK($B249),"",IF(ISBLANK($L249),RIGHT($E249,LEN($E249) - FIND("^",SUBSTITUTE($E249,":","^",LEN($E249) - LEN(SUBSTITUTE($E249,":",""))))),$L249))</f>
        <v/>
      </c>
      <c r="X249" s="22">
        <f>IF(ISBLANK($J249),$V249&amp;$W249,$J249)</f>
        <v/>
      </c>
      <c r="Y249" s="23">
        <f t="array" ref="Y249">IF(ISBLANK($M249),IFERROR(XLOOKUP($P249,'Department Listing'!$A:$A,'Department Listing'!$L:$L),""),$M249)</f>
        <v/>
      </c>
      <c r="Z249" s="11">
        <f>IF(ISBLANK($B249),"",MATCH($X249,COA!$B:$B,0))</f>
        <v/>
      </c>
    </row>
    <row r="250" ht="15.75" customHeight="1" s="52">
      <c r="B250" s="17" t="n"/>
      <c r="E250" s="26" t="n"/>
      <c r="F250" s="19" t="n"/>
      <c r="G250" s="10" t="n"/>
      <c r="H250" s="10" t="n"/>
      <c r="I250" s="9" t="n"/>
      <c r="J250" s="9" t="n"/>
      <c r="K250" s="9" t="n"/>
      <c r="L250" s="9" t="n"/>
      <c r="M250" s="9" t="n"/>
      <c r="N250" s="20" t="n"/>
      <c r="O250" s="20">
        <f>IF(C250="", "", TRIM(RIGHT(C250, LEN(C250) - FIND("@@", SUBSTITUTE(C250, "-", "@@", LEN(C250) - LEN(SUBSTITUTE(C250, "-", "")))))))</f>
        <v/>
      </c>
      <c r="P250" s="20">
        <f t="array" ref="P250">IFERROR(XLOOKUP(O250,'Department Listing'!$O$1:$O$395,'Department Listing'!$A$1:$A$395),IFERROR(XLOOKUP(O250,'Name Aliases'!$A$2:$A$1000,'Name Aliases'!$B$2:$B$1000),""))</f>
        <v/>
      </c>
      <c r="Q250" s="21">
        <f>IF(ISBLANK($C250),"",$B250)</f>
        <v/>
      </c>
      <c r="R250" s="20">
        <f>IF(ISBLANK($C250),"",IF(ISBLANK($I250),$D250,$I250))</f>
        <v/>
      </c>
      <c r="S250" s="22">
        <f>IF(ISBLANK($C250),"",$F250 - $G250)</f>
        <v/>
      </c>
      <c r="T250" s="20">
        <f>IF(ISBLANK($C250),"",C250)</f>
        <v/>
      </c>
      <c r="U250" s="20">
        <f>IF(ISBLANK($C250),"",$D$1)</f>
        <v/>
      </c>
      <c r="V250" s="22">
        <f t="array" ref="V250">IF(ISBLANK($B250),"",IF(ISBLANK($K250),IF(XLOOKUP($W250,'Category Mapping'!$C:$C,'Category Mapping'!$B:$B)="Travel",XLOOKUP($P250,'Department Listing'!$A:$A,'Department Listing'!$M:$M),XLOOKUP($W250,'Category Mapping'!$C:$C,'Category Mapping'!$D:$D)),$K250))</f>
        <v/>
      </c>
      <c r="W250" s="22">
        <f>IF(ISBLANK($B250),"",IF(ISBLANK($L250),RIGHT($E250,LEN($E250) - FIND("^",SUBSTITUTE($E250,":","^",LEN($E250) - LEN(SUBSTITUTE($E250,":",""))))),$L250))</f>
        <v/>
      </c>
      <c r="X250" s="22">
        <f>IF(ISBLANK($J250),$V250&amp;$W250,$J250)</f>
        <v/>
      </c>
      <c r="Y250" s="23">
        <f t="array" ref="Y250">IF(ISBLANK($M250),IFERROR(XLOOKUP($P250,'Department Listing'!$A:$A,'Department Listing'!$L:$L),""),$M250)</f>
        <v/>
      </c>
      <c r="Z250" s="11">
        <f>IF(ISBLANK($B250),"",MATCH($X250,COA!$B:$B,0))</f>
        <v/>
      </c>
    </row>
    <row r="251" ht="15.75" customHeight="1" s="52">
      <c r="B251" s="17" t="n"/>
      <c r="E251" s="26" t="n"/>
      <c r="F251" s="19" t="n"/>
      <c r="G251" s="10" t="n"/>
      <c r="H251" s="10" t="n"/>
      <c r="I251" s="9" t="n"/>
      <c r="J251" s="9" t="n"/>
      <c r="K251" s="9" t="n"/>
      <c r="L251" s="9" t="n"/>
      <c r="M251" s="9" t="n"/>
      <c r="N251" s="20" t="n"/>
      <c r="O251" s="20">
        <f>IF(C251="", "", TRIM(RIGHT(C251, LEN(C251) - FIND("@@", SUBSTITUTE(C251, "-", "@@", LEN(C251) - LEN(SUBSTITUTE(C251, "-", "")))))))</f>
        <v/>
      </c>
      <c r="P251" s="20">
        <f t="array" ref="P251">IFERROR(XLOOKUP(O251,'Department Listing'!$O$1:$O$395,'Department Listing'!$A$1:$A$395),IFERROR(XLOOKUP(O251,'Name Aliases'!$A$2:$A$1000,'Name Aliases'!$B$2:$B$1000),""))</f>
        <v/>
      </c>
      <c r="Q251" s="21">
        <f>IF(ISBLANK($C251),"",$B251)</f>
        <v/>
      </c>
      <c r="R251" s="20">
        <f>IF(ISBLANK($C251),"",IF(ISBLANK($I251),$D251,$I251))</f>
        <v/>
      </c>
      <c r="S251" s="22">
        <f>IF(ISBLANK($C251),"",$F251 - $G251)</f>
        <v/>
      </c>
      <c r="T251" s="20">
        <f>IF(ISBLANK($C251),"",C251)</f>
        <v/>
      </c>
      <c r="U251" s="20">
        <f>IF(ISBLANK($C251),"",$D$1)</f>
        <v/>
      </c>
      <c r="V251" s="22">
        <f t="array" ref="V251">IF(ISBLANK($B251),"",IF(ISBLANK($K251),IF(XLOOKUP($W251,'Category Mapping'!$C:$C,'Category Mapping'!$B:$B)="Travel",XLOOKUP($P251,'Department Listing'!$A:$A,'Department Listing'!$M:$M),XLOOKUP($W251,'Category Mapping'!$C:$C,'Category Mapping'!$D:$D)),$K251))</f>
        <v/>
      </c>
      <c r="W251" s="22">
        <f>IF(ISBLANK($B251),"",IF(ISBLANK($L251),RIGHT($E251,LEN($E251) - FIND("^",SUBSTITUTE($E251,":","^",LEN($E251) - LEN(SUBSTITUTE($E251,":",""))))),$L251))</f>
        <v/>
      </c>
      <c r="X251" s="22">
        <f>IF(ISBLANK($J251),$V251&amp;$W251,$J251)</f>
        <v/>
      </c>
      <c r="Y251" s="23">
        <f t="array" ref="Y251">IF(ISBLANK($M251),IFERROR(XLOOKUP($P251,'Department Listing'!$A:$A,'Department Listing'!$L:$L),""),$M251)</f>
        <v/>
      </c>
      <c r="Z251" s="11">
        <f>IF(ISBLANK($B251),"",MATCH($X251,COA!$B:$B,0))</f>
        <v/>
      </c>
    </row>
    <row r="252" ht="15.75" customHeight="1" s="52">
      <c r="B252" s="17" t="n"/>
      <c r="E252" s="26" t="n"/>
      <c r="F252" s="19" t="n"/>
      <c r="G252" s="10" t="n"/>
      <c r="H252" s="10" t="n"/>
      <c r="I252" s="9" t="n"/>
      <c r="J252" s="9" t="n"/>
      <c r="K252" s="9" t="n"/>
      <c r="L252" s="9" t="n"/>
      <c r="M252" s="9" t="n"/>
      <c r="N252" s="20" t="n"/>
      <c r="O252" s="20">
        <f>IF(C252="", "", TRIM(RIGHT(C252, LEN(C252) - FIND("@@", SUBSTITUTE(C252, "-", "@@", LEN(C252) - LEN(SUBSTITUTE(C252, "-", "")))))))</f>
        <v/>
      </c>
      <c r="P252" s="20">
        <f t="array" ref="P252">IFERROR(XLOOKUP(O252,'Department Listing'!$O$1:$O$395,'Department Listing'!$A$1:$A$395),IFERROR(XLOOKUP(O252,'Name Aliases'!$A$2:$A$1000,'Name Aliases'!$B$2:$B$1000),""))</f>
        <v/>
      </c>
      <c r="Q252" s="21">
        <f>IF(ISBLANK($C252),"",$B252)</f>
        <v/>
      </c>
      <c r="R252" s="20">
        <f>IF(ISBLANK($C252),"",IF(ISBLANK($I252),$D252,$I252))</f>
        <v/>
      </c>
      <c r="S252" s="22">
        <f>IF(ISBLANK($C252),"",$F252 - $G252)</f>
        <v/>
      </c>
      <c r="T252" s="20">
        <f>IF(ISBLANK($C252),"",C252)</f>
        <v/>
      </c>
      <c r="U252" s="20">
        <f>IF(ISBLANK($C252),"",$D$1)</f>
        <v/>
      </c>
      <c r="V252" s="22">
        <f t="array" ref="V252">IF(ISBLANK($B252),"",IF(ISBLANK($K252),IF(XLOOKUP($W252,'Category Mapping'!$C:$C,'Category Mapping'!$B:$B)="Travel",XLOOKUP($P252,'Department Listing'!$A:$A,'Department Listing'!$M:$M),XLOOKUP($W252,'Category Mapping'!$C:$C,'Category Mapping'!$D:$D)),$K252))</f>
        <v/>
      </c>
      <c r="W252" s="22">
        <f>IF(ISBLANK($B252),"",IF(ISBLANK($L252),RIGHT($E252,LEN($E252) - FIND("^",SUBSTITUTE($E252,":","^",LEN($E252) - LEN(SUBSTITUTE($E252,":",""))))),$L252))</f>
        <v/>
      </c>
      <c r="X252" s="22">
        <f>IF(ISBLANK($J252),$V252&amp;$W252,$J252)</f>
        <v/>
      </c>
      <c r="Y252" s="23">
        <f t="array" ref="Y252">IF(ISBLANK($M252),IFERROR(XLOOKUP($P252,'Department Listing'!$A:$A,'Department Listing'!$L:$L),""),$M252)</f>
        <v/>
      </c>
      <c r="Z252" s="11">
        <f>IF(ISBLANK($B252),"",MATCH($X252,COA!$B:$B,0))</f>
        <v/>
      </c>
    </row>
    <row r="253" ht="15.75" customHeight="1" s="52">
      <c r="B253" s="17" t="n"/>
      <c r="E253" s="26" t="n"/>
      <c r="F253" s="19" t="n"/>
      <c r="G253" s="10" t="n"/>
      <c r="H253" s="10" t="n"/>
      <c r="I253" s="9" t="n"/>
      <c r="J253" s="9" t="n"/>
      <c r="K253" s="9" t="n"/>
      <c r="L253" s="9" t="n"/>
      <c r="M253" s="9" t="n"/>
      <c r="N253" s="20" t="n"/>
      <c r="O253" s="20">
        <f>IF(C253="", "", TRIM(RIGHT(C253, LEN(C253) - FIND("@@", SUBSTITUTE(C253, "-", "@@", LEN(C253) - LEN(SUBSTITUTE(C253, "-", "")))))))</f>
        <v/>
      </c>
      <c r="P253" s="20">
        <f t="array" ref="P253">IFERROR(XLOOKUP(O253,'Department Listing'!$O$1:$O$395,'Department Listing'!$A$1:$A$395),IFERROR(XLOOKUP(O253,'Name Aliases'!$A$2:$A$1000,'Name Aliases'!$B$2:$B$1000),""))</f>
        <v/>
      </c>
      <c r="Q253" s="21">
        <f>IF(ISBLANK($C253),"",$B253)</f>
        <v/>
      </c>
      <c r="R253" s="20">
        <f>IF(ISBLANK($C253),"",IF(ISBLANK($I253),$D253,$I253))</f>
        <v/>
      </c>
      <c r="S253" s="22">
        <f>IF(ISBLANK($C253),"",$F253 - $G253)</f>
        <v/>
      </c>
      <c r="T253" s="20">
        <f>IF(ISBLANK($C253),"",C253)</f>
        <v/>
      </c>
      <c r="U253" s="20">
        <f>IF(ISBLANK($C253),"",$D$1)</f>
        <v/>
      </c>
      <c r="V253" s="22">
        <f t="array" ref="V253">IF(ISBLANK($B253),"",IF(ISBLANK($K253),IF(XLOOKUP($W253,'Category Mapping'!$C:$C,'Category Mapping'!$B:$B)="Travel",XLOOKUP($P253,'Department Listing'!$A:$A,'Department Listing'!$M:$M),XLOOKUP($W253,'Category Mapping'!$C:$C,'Category Mapping'!$D:$D)),$K253))</f>
        <v/>
      </c>
      <c r="W253" s="22">
        <f>IF(ISBLANK($B253),"",IF(ISBLANK($L253),RIGHT($E253,LEN($E253) - FIND("^",SUBSTITUTE($E253,":","^",LEN($E253) - LEN(SUBSTITUTE($E253,":",""))))),$L253))</f>
        <v/>
      </c>
      <c r="X253" s="22">
        <f>IF(ISBLANK($J253),$V253&amp;$W253,$J253)</f>
        <v/>
      </c>
      <c r="Y253" s="23">
        <f t="array" ref="Y253">IF(ISBLANK($M253),IFERROR(XLOOKUP($P253,'Department Listing'!$A:$A,'Department Listing'!$L:$L),""),$M253)</f>
        <v/>
      </c>
      <c r="Z253" s="11">
        <f>IF(ISBLANK($B253),"",MATCH($X253,COA!$B:$B,0))</f>
        <v/>
      </c>
    </row>
    <row r="254" ht="15.75" customHeight="1" s="52">
      <c r="B254" s="17" t="n"/>
      <c r="E254" s="26" t="n"/>
      <c r="F254" s="19" t="n"/>
      <c r="G254" s="10" t="n"/>
      <c r="H254" s="10" t="n"/>
      <c r="I254" s="9" t="n"/>
      <c r="J254" s="9" t="n"/>
      <c r="K254" s="9" t="n"/>
      <c r="L254" s="9" t="n"/>
      <c r="M254" s="9" t="n"/>
      <c r="N254" s="20" t="n"/>
      <c r="O254" s="20">
        <f>IF(C254="", "", TRIM(RIGHT(C254, LEN(C254) - FIND("@@", SUBSTITUTE(C254, "-", "@@", LEN(C254) - LEN(SUBSTITUTE(C254, "-", "")))))))</f>
        <v/>
      </c>
      <c r="P254" s="20">
        <f t="array" ref="P254">IFERROR(XLOOKUP(O254,'Department Listing'!$O$1:$O$395,'Department Listing'!$A$1:$A$395),IFERROR(XLOOKUP(O254,'Name Aliases'!$A$2:$A$1000,'Name Aliases'!$B$2:$B$1000),""))</f>
        <v/>
      </c>
      <c r="Q254" s="21">
        <f>IF(ISBLANK($C254),"",$B254)</f>
        <v/>
      </c>
      <c r="R254" s="20">
        <f>IF(ISBLANK($C254),"",IF(ISBLANK($I254),$D254,$I254))</f>
        <v/>
      </c>
      <c r="S254" s="22">
        <f>IF(ISBLANK($C254),"",$F254 - $G254)</f>
        <v/>
      </c>
      <c r="T254" s="20">
        <f>IF(ISBLANK($C254),"",C254)</f>
        <v/>
      </c>
      <c r="U254" s="20">
        <f>IF(ISBLANK($C254),"",$D$1)</f>
        <v/>
      </c>
      <c r="V254" s="22">
        <f t="array" ref="V254">IF(ISBLANK($B254),"",IF(ISBLANK($K254),IF(XLOOKUP($W254,'Category Mapping'!$C:$C,'Category Mapping'!$B:$B)="Travel",XLOOKUP($P254,'Department Listing'!$A:$A,'Department Listing'!$M:$M),XLOOKUP($W254,'Category Mapping'!$C:$C,'Category Mapping'!$D:$D)),$K254))</f>
        <v/>
      </c>
      <c r="W254" s="22">
        <f>IF(ISBLANK($B254),"",IF(ISBLANK($L254),RIGHT($E254,LEN($E254) - FIND("^",SUBSTITUTE($E254,":","^",LEN($E254) - LEN(SUBSTITUTE($E254,":",""))))),$L254))</f>
        <v/>
      </c>
      <c r="X254" s="22">
        <f>IF(ISBLANK($J254),$V254&amp;$W254,$J254)</f>
        <v/>
      </c>
      <c r="Y254" s="23">
        <f t="array" ref="Y254">IF(ISBLANK($M254),IFERROR(XLOOKUP($P254,'Department Listing'!$A:$A,'Department Listing'!$L:$L),""),$M254)</f>
        <v/>
      </c>
      <c r="Z254" s="11">
        <f>IF(ISBLANK($B254),"",MATCH($X254,COA!$B:$B,0))</f>
        <v/>
      </c>
    </row>
    <row r="255" ht="15.75" customHeight="1" s="52">
      <c r="B255" s="17" t="n"/>
      <c r="E255" s="26" t="n"/>
      <c r="F255" s="19" t="n"/>
      <c r="G255" s="10" t="n"/>
      <c r="H255" s="10" t="n"/>
      <c r="I255" s="9" t="n"/>
      <c r="J255" s="9" t="n"/>
      <c r="K255" s="9" t="n"/>
      <c r="L255" s="9" t="n"/>
      <c r="M255" s="9" t="n"/>
      <c r="N255" s="20" t="n"/>
      <c r="O255" s="20">
        <f>IF(C255="", "", TRIM(RIGHT(C255, LEN(C255) - FIND("@@", SUBSTITUTE(C255, "-", "@@", LEN(C255) - LEN(SUBSTITUTE(C255, "-", "")))))))</f>
        <v/>
      </c>
      <c r="P255" s="20">
        <f t="array" ref="P255">IFERROR(XLOOKUP(O255,'Department Listing'!$O$1:$O$395,'Department Listing'!$A$1:$A$395),IFERROR(XLOOKUP(O255,'Name Aliases'!$A$2:$A$1000,'Name Aliases'!$B$2:$B$1000),""))</f>
        <v/>
      </c>
      <c r="Q255" s="21">
        <f>IF(ISBLANK($C255),"",$B255)</f>
        <v/>
      </c>
      <c r="R255" s="20">
        <f>IF(ISBLANK($C255),"",IF(ISBLANK($I255),$D255,$I255))</f>
        <v/>
      </c>
      <c r="S255" s="22">
        <f>IF(ISBLANK($C255),"",$F255 - $G255)</f>
        <v/>
      </c>
      <c r="T255" s="20">
        <f>IF(ISBLANK($C255),"",C255)</f>
        <v/>
      </c>
      <c r="U255" s="20">
        <f>IF(ISBLANK($C255),"",$D$1)</f>
        <v/>
      </c>
      <c r="V255" s="22">
        <f t="array" ref="V255">IF(ISBLANK($B255),"",IF(ISBLANK($K255),IF(XLOOKUP($W255,'Category Mapping'!$C:$C,'Category Mapping'!$B:$B)="Travel",XLOOKUP($P255,'Department Listing'!$A:$A,'Department Listing'!$M:$M),XLOOKUP($W255,'Category Mapping'!$C:$C,'Category Mapping'!$D:$D)),$K255))</f>
        <v/>
      </c>
      <c r="W255" s="22">
        <f>IF(ISBLANK($B255),"",IF(ISBLANK($L255),RIGHT($E255,LEN($E255) - FIND("^",SUBSTITUTE($E255,":","^",LEN($E255) - LEN(SUBSTITUTE($E255,":",""))))),$L255))</f>
        <v/>
      </c>
      <c r="X255" s="22">
        <f>IF(ISBLANK($J255),$V255&amp;$W255,$J255)</f>
        <v/>
      </c>
      <c r="Y255" s="23">
        <f t="array" ref="Y255">IF(ISBLANK($M255),IFERROR(XLOOKUP($P255,'Department Listing'!$A:$A,'Department Listing'!$L:$L),""),$M255)</f>
        <v/>
      </c>
      <c r="Z255" s="11">
        <f>IF(ISBLANK($B255),"",MATCH($X255,COA!$B:$B,0))</f>
        <v/>
      </c>
    </row>
    <row r="256" ht="15.75" customHeight="1" s="52">
      <c r="B256" s="17" t="n"/>
      <c r="E256" s="26" t="n"/>
      <c r="F256" s="19" t="n"/>
      <c r="G256" s="10" t="n"/>
      <c r="H256" s="10" t="n"/>
      <c r="I256" s="9" t="n"/>
      <c r="J256" s="9" t="n"/>
      <c r="K256" s="9" t="n"/>
      <c r="L256" s="9" t="n"/>
      <c r="M256" s="9" t="n"/>
      <c r="N256" s="20" t="n"/>
      <c r="O256" s="20">
        <f>IF(C256="", "", TRIM(RIGHT(C256, LEN(C256) - FIND("@@", SUBSTITUTE(C256, "-", "@@", LEN(C256) - LEN(SUBSTITUTE(C256, "-", "")))))))</f>
        <v/>
      </c>
      <c r="P256" s="20">
        <f t="array" ref="P256">IFERROR(XLOOKUP(O256,'Department Listing'!$O$1:$O$395,'Department Listing'!$A$1:$A$395),IFERROR(XLOOKUP(O256,'Name Aliases'!$A$2:$A$1000,'Name Aliases'!$B$2:$B$1000),""))</f>
        <v/>
      </c>
      <c r="Q256" s="21">
        <f>IF(ISBLANK($C256),"",$B256)</f>
        <v/>
      </c>
      <c r="R256" s="20">
        <f>IF(ISBLANK($C256),"",IF(ISBLANK($I256),$D256,$I256))</f>
        <v/>
      </c>
      <c r="S256" s="22">
        <f>IF(ISBLANK($C256),"",$F256 - $G256)</f>
        <v/>
      </c>
      <c r="T256" s="20">
        <f>IF(ISBLANK($C256),"",C256)</f>
        <v/>
      </c>
      <c r="U256" s="20">
        <f>IF(ISBLANK($C256),"",$D$1)</f>
        <v/>
      </c>
      <c r="V256" s="22">
        <f t="array" ref="V256">IF(ISBLANK($B256),"",IF(ISBLANK($K256),IF(XLOOKUP($W256,'Category Mapping'!$C:$C,'Category Mapping'!$B:$B)="Travel",XLOOKUP($P256,'Department Listing'!$A:$A,'Department Listing'!$M:$M),XLOOKUP($W256,'Category Mapping'!$C:$C,'Category Mapping'!$D:$D)),$K256))</f>
        <v/>
      </c>
      <c r="W256" s="22">
        <f>IF(ISBLANK($B256),"",IF(ISBLANK($L256),RIGHT($E256,LEN($E256) - FIND("^",SUBSTITUTE($E256,":","^",LEN($E256) - LEN(SUBSTITUTE($E256,":",""))))),$L256))</f>
        <v/>
      </c>
      <c r="X256" s="22">
        <f>IF(ISBLANK($J256),$V256&amp;$W256,$J256)</f>
        <v/>
      </c>
      <c r="Y256" s="23">
        <f t="array" ref="Y256">IF(ISBLANK($M256),IFERROR(XLOOKUP($P256,'Department Listing'!$A:$A,'Department Listing'!$L:$L),""),$M256)</f>
        <v/>
      </c>
      <c r="Z256" s="11">
        <f>IF(ISBLANK($B256),"",MATCH($X256,COA!$B:$B,0))</f>
        <v/>
      </c>
    </row>
    <row r="257" ht="15.75" customHeight="1" s="52">
      <c r="B257" s="17" t="n"/>
      <c r="E257" s="26" t="n"/>
      <c r="F257" s="19" t="n"/>
      <c r="G257" s="10" t="n"/>
      <c r="H257" s="10" t="n"/>
      <c r="I257" s="9" t="n"/>
      <c r="J257" s="9" t="n"/>
      <c r="K257" s="9" t="n"/>
      <c r="L257" s="9" t="n"/>
      <c r="M257" s="9" t="n"/>
      <c r="N257" s="20" t="n"/>
      <c r="O257" s="20">
        <f>IF(C257="", "", TRIM(RIGHT(C257, LEN(C257) - FIND("@@", SUBSTITUTE(C257, "-", "@@", LEN(C257) - LEN(SUBSTITUTE(C257, "-", "")))))))</f>
        <v/>
      </c>
      <c r="P257" s="20">
        <f t="array" ref="P257">IFERROR(XLOOKUP(O257,'Department Listing'!$O$1:$O$395,'Department Listing'!$A$1:$A$395),IFERROR(XLOOKUP(O257,'Name Aliases'!$A$2:$A$1000,'Name Aliases'!$B$2:$B$1000),""))</f>
        <v/>
      </c>
      <c r="Q257" s="21">
        <f>IF(ISBLANK($C257),"",$B257)</f>
        <v/>
      </c>
      <c r="R257" s="20">
        <f>IF(ISBLANK($C257),"",IF(ISBLANK($I257),$D257,$I257))</f>
        <v/>
      </c>
      <c r="S257" s="22">
        <f>IF(ISBLANK($C257),"",$F257 - $G257)</f>
        <v/>
      </c>
      <c r="T257" s="20">
        <f>IF(ISBLANK($C257),"",C257)</f>
        <v/>
      </c>
      <c r="U257" s="20">
        <f>IF(ISBLANK($C257),"",$D$1)</f>
        <v/>
      </c>
      <c r="V257" s="22">
        <f t="array" ref="V257">IF(ISBLANK($B257),"",IF(ISBLANK($K257),IF(XLOOKUP($W257,'Category Mapping'!$C:$C,'Category Mapping'!$B:$B)="Travel",XLOOKUP($P257,'Department Listing'!$A:$A,'Department Listing'!$M:$M),XLOOKUP($W257,'Category Mapping'!$C:$C,'Category Mapping'!$D:$D)),$K257))</f>
        <v/>
      </c>
      <c r="W257" s="22">
        <f>IF(ISBLANK($B257),"",IF(ISBLANK($L257),RIGHT($E257,LEN($E257) - FIND("^",SUBSTITUTE($E257,":","^",LEN($E257) - LEN(SUBSTITUTE($E257,":",""))))),$L257))</f>
        <v/>
      </c>
      <c r="X257" s="22">
        <f>IF(ISBLANK($J257),$V257&amp;$W257,$J257)</f>
        <v/>
      </c>
      <c r="Y257" s="23">
        <f t="array" ref="Y257">IF(ISBLANK($M257),IFERROR(XLOOKUP($P257,'Department Listing'!$A:$A,'Department Listing'!$L:$L),""),$M257)</f>
        <v/>
      </c>
      <c r="Z257" s="11">
        <f>IF(ISBLANK($B257),"",MATCH($X257,COA!$B:$B,0))</f>
        <v/>
      </c>
    </row>
    <row r="258" ht="15.75" customHeight="1" s="52">
      <c r="B258" s="17" t="n"/>
      <c r="E258" s="26" t="n"/>
      <c r="F258" s="19" t="n"/>
      <c r="G258" s="10" t="n"/>
      <c r="H258" s="10" t="n"/>
      <c r="I258" s="9" t="n"/>
      <c r="J258" s="9" t="n"/>
      <c r="K258" s="9" t="n"/>
      <c r="L258" s="9" t="n"/>
      <c r="M258" s="9" t="n"/>
      <c r="N258" s="20" t="n"/>
      <c r="O258" s="20">
        <f>IF(C258="", "", TRIM(RIGHT(C258, LEN(C258) - FIND("@@", SUBSTITUTE(C258, "-", "@@", LEN(C258) - LEN(SUBSTITUTE(C258, "-", "")))))))</f>
        <v/>
      </c>
      <c r="P258" s="20">
        <f t="array" ref="P258">IFERROR(XLOOKUP(O258,'Department Listing'!$O$1:$O$395,'Department Listing'!$A$1:$A$395),IFERROR(XLOOKUP(O258,'Name Aliases'!$A$2:$A$1000,'Name Aliases'!$B$2:$B$1000),""))</f>
        <v/>
      </c>
      <c r="Q258" s="21">
        <f>IF(ISBLANK($C258),"",$B258)</f>
        <v/>
      </c>
      <c r="R258" s="20">
        <f>IF(ISBLANK($C258),"",IF(ISBLANK($I258),$D258,$I258))</f>
        <v/>
      </c>
      <c r="S258" s="22">
        <f>IF(ISBLANK($C258),"",$F258 - $G258)</f>
        <v/>
      </c>
      <c r="T258" s="20">
        <f>IF(ISBLANK($C258),"",C258)</f>
        <v/>
      </c>
      <c r="U258" s="20">
        <f>IF(ISBLANK($C258),"",$D$1)</f>
        <v/>
      </c>
      <c r="V258" s="22">
        <f t="array" ref="V258">IF(ISBLANK($B258),"",IF(ISBLANK($K258),IF(XLOOKUP($W258,'Category Mapping'!$C:$C,'Category Mapping'!$B:$B)="Travel",XLOOKUP($P258,'Department Listing'!$A:$A,'Department Listing'!$M:$M),XLOOKUP($W258,'Category Mapping'!$C:$C,'Category Mapping'!$D:$D)),$K258))</f>
        <v/>
      </c>
      <c r="W258" s="22">
        <f>IF(ISBLANK($B258),"",IF(ISBLANK($L258),RIGHT($E258,LEN($E258) - FIND("^",SUBSTITUTE($E258,":","^",LEN($E258) - LEN(SUBSTITUTE($E258,":",""))))),$L258))</f>
        <v/>
      </c>
      <c r="X258" s="22">
        <f>IF(ISBLANK($J258),$V258&amp;$W258,$J258)</f>
        <v/>
      </c>
      <c r="Y258" s="23">
        <f t="array" ref="Y258">IF(ISBLANK($M258),IFERROR(XLOOKUP($P258,'Department Listing'!$A:$A,'Department Listing'!$L:$L),""),$M258)</f>
        <v/>
      </c>
      <c r="Z258" s="11">
        <f>IF(ISBLANK($B258),"",MATCH($X258,COA!$B:$B,0))</f>
        <v/>
      </c>
    </row>
    <row r="259" ht="15.75" customHeight="1" s="52">
      <c r="B259" s="17" t="n"/>
      <c r="E259" s="26" t="n"/>
      <c r="F259" s="19" t="n"/>
      <c r="G259" s="10" t="n"/>
      <c r="H259" s="10" t="n"/>
      <c r="I259" s="9" t="n"/>
      <c r="J259" s="9" t="n"/>
      <c r="K259" s="9" t="n"/>
      <c r="L259" s="9" t="n"/>
      <c r="M259" s="9" t="n"/>
      <c r="N259" s="20" t="n"/>
      <c r="O259" s="20">
        <f>IF(C259="", "", TRIM(RIGHT(C259, LEN(C259) - FIND("@@", SUBSTITUTE(C259, "-", "@@", LEN(C259) - LEN(SUBSTITUTE(C259, "-", "")))))))</f>
        <v/>
      </c>
      <c r="P259" s="20">
        <f t="array" ref="P259">IFERROR(XLOOKUP(O259,'Department Listing'!$O$1:$O$395,'Department Listing'!$A$1:$A$395),IFERROR(XLOOKUP(O259,'Name Aliases'!$A$2:$A$1000,'Name Aliases'!$B$2:$B$1000),""))</f>
        <v/>
      </c>
      <c r="Q259" s="21">
        <f>IF(ISBLANK($C259),"",$B259)</f>
        <v/>
      </c>
      <c r="R259" s="20">
        <f>IF(ISBLANK($C259),"",IF(ISBLANK($I259),$D259,$I259))</f>
        <v/>
      </c>
      <c r="S259" s="22">
        <f>IF(ISBLANK($C259),"",$F259 - $G259)</f>
        <v/>
      </c>
      <c r="T259" s="20">
        <f>IF(ISBLANK($C259),"",C259)</f>
        <v/>
      </c>
      <c r="U259" s="20">
        <f>IF(ISBLANK($C259),"",$D$1)</f>
        <v/>
      </c>
      <c r="V259" s="22">
        <f t="array" ref="V259">IF(ISBLANK($B259),"",IF(ISBLANK($K259),IF(XLOOKUP($W259,'Category Mapping'!$C:$C,'Category Mapping'!$B:$B)="Travel",XLOOKUP($P259,'Department Listing'!$A:$A,'Department Listing'!$M:$M),XLOOKUP($W259,'Category Mapping'!$C:$C,'Category Mapping'!$D:$D)),$K259))</f>
        <v/>
      </c>
      <c r="W259" s="22">
        <f>IF(ISBLANK($B259),"",IF(ISBLANK($L259),RIGHT($E259,LEN($E259) - FIND("^",SUBSTITUTE($E259,":","^",LEN($E259) - LEN(SUBSTITUTE($E259,":",""))))),$L259))</f>
        <v/>
      </c>
      <c r="X259" s="22">
        <f>IF(ISBLANK($J259),$V259&amp;$W259,$J259)</f>
        <v/>
      </c>
      <c r="Y259" s="23">
        <f t="array" ref="Y259">IF(ISBLANK($M259),IFERROR(XLOOKUP($P259,'Department Listing'!$A:$A,'Department Listing'!$L:$L),""),$M259)</f>
        <v/>
      </c>
      <c r="Z259" s="11">
        <f>IF(ISBLANK($B259),"",MATCH($X259,COA!$B:$B,0))</f>
        <v/>
      </c>
    </row>
    <row r="260" ht="15.75" customHeight="1" s="52">
      <c r="B260" s="17" t="n"/>
      <c r="E260" s="26" t="n"/>
      <c r="F260" s="19" t="n"/>
      <c r="G260" s="10" t="n"/>
      <c r="H260" s="10" t="n"/>
      <c r="I260" s="9" t="n"/>
      <c r="J260" s="9" t="n"/>
      <c r="K260" s="9" t="n"/>
      <c r="L260" s="9" t="n"/>
      <c r="M260" s="9" t="n"/>
      <c r="N260" s="20" t="n"/>
      <c r="O260" s="20">
        <f>IF(C260="", "", TRIM(RIGHT(C260, LEN(C260) - FIND("@@", SUBSTITUTE(C260, "-", "@@", LEN(C260) - LEN(SUBSTITUTE(C260, "-", "")))))))</f>
        <v/>
      </c>
      <c r="P260" s="20">
        <f t="array" ref="P260">IFERROR(XLOOKUP(O260,'Department Listing'!$O$1:$O$395,'Department Listing'!$A$1:$A$395),IFERROR(XLOOKUP(O260,'Name Aliases'!$A$2:$A$1000,'Name Aliases'!$B$2:$B$1000),""))</f>
        <v/>
      </c>
      <c r="Q260" s="21">
        <f>IF(ISBLANK($C260),"",$B260)</f>
        <v/>
      </c>
      <c r="R260" s="20">
        <f>IF(ISBLANK($C260),"",IF(ISBLANK($I260),$D260,$I260))</f>
        <v/>
      </c>
      <c r="S260" s="22">
        <f>IF(ISBLANK($C260),"",$F260 - $G260)</f>
        <v/>
      </c>
      <c r="T260" s="20">
        <f>IF(ISBLANK($C260),"",C260)</f>
        <v/>
      </c>
      <c r="U260" s="20">
        <f>IF(ISBLANK($C260),"",$D$1)</f>
        <v/>
      </c>
      <c r="V260" s="22">
        <f t="array" ref="V260">IF(ISBLANK($B260),"",IF(ISBLANK($K260),IF(XLOOKUP($W260,'Category Mapping'!$C:$C,'Category Mapping'!$B:$B)="Travel",XLOOKUP($P260,'Department Listing'!$A:$A,'Department Listing'!$M:$M),XLOOKUP($W260,'Category Mapping'!$C:$C,'Category Mapping'!$D:$D)),$K260))</f>
        <v/>
      </c>
      <c r="W260" s="22">
        <f>IF(ISBLANK($B260),"",IF(ISBLANK($L260),RIGHT($E260,LEN($E260) - FIND("^",SUBSTITUTE($E260,":","^",LEN($E260) - LEN(SUBSTITUTE($E260,":",""))))),$L260))</f>
        <v/>
      </c>
      <c r="X260" s="22">
        <f>IF(ISBLANK($J260),$V260&amp;$W260,$J260)</f>
        <v/>
      </c>
      <c r="Y260" s="23">
        <f t="array" ref="Y260">IF(ISBLANK($M260),IFERROR(XLOOKUP($P260,'Department Listing'!$A:$A,'Department Listing'!$L:$L),""),$M260)</f>
        <v/>
      </c>
      <c r="Z260" s="11">
        <f>IF(ISBLANK($B260),"",MATCH($X260,COA!$B:$B,0))</f>
        <v/>
      </c>
    </row>
    <row r="261" ht="15.75" customHeight="1" s="52">
      <c r="B261" s="17" t="n"/>
      <c r="E261" s="26" t="n"/>
      <c r="F261" s="19" t="n"/>
      <c r="G261" s="10" t="n"/>
      <c r="H261" s="10" t="n"/>
      <c r="I261" s="9" t="n"/>
      <c r="J261" s="9" t="n"/>
      <c r="K261" s="9" t="n"/>
      <c r="L261" s="9" t="n"/>
      <c r="M261" s="9" t="n"/>
      <c r="N261" s="20" t="n"/>
      <c r="O261" s="20">
        <f>IF(C261="", "", TRIM(RIGHT(C261, LEN(C261) - FIND("@@", SUBSTITUTE(C261, "-", "@@", LEN(C261) - LEN(SUBSTITUTE(C261, "-", "")))))))</f>
        <v/>
      </c>
      <c r="P261" s="20">
        <f t="array" ref="P261">IFERROR(XLOOKUP(O261,'Department Listing'!$O$1:$O$395,'Department Listing'!$A$1:$A$395),IFERROR(XLOOKUP(O261,'Name Aliases'!$A$2:$A$1000,'Name Aliases'!$B$2:$B$1000),""))</f>
        <v/>
      </c>
      <c r="Q261" s="21">
        <f>IF(ISBLANK($C261),"",$B261)</f>
        <v/>
      </c>
      <c r="R261" s="20">
        <f>IF(ISBLANK($C261),"",IF(ISBLANK($I261),$D261,$I261))</f>
        <v/>
      </c>
      <c r="S261" s="22">
        <f>IF(ISBLANK($C261),"",$F261 - $G261)</f>
        <v/>
      </c>
      <c r="T261" s="20">
        <f>IF(ISBLANK($C261),"",C261)</f>
        <v/>
      </c>
      <c r="U261" s="20">
        <f>IF(ISBLANK($C261),"",$D$1)</f>
        <v/>
      </c>
      <c r="V261" s="22">
        <f t="array" ref="V261">IF(ISBLANK($B261),"",IF(ISBLANK($K261),IF(XLOOKUP($W261,'Category Mapping'!$C:$C,'Category Mapping'!$B:$B)="Travel",XLOOKUP($P261,'Department Listing'!$A:$A,'Department Listing'!$M:$M),XLOOKUP($W261,'Category Mapping'!$C:$C,'Category Mapping'!$D:$D)),$K261))</f>
        <v/>
      </c>
      <c r="W261" s="22">
        <f>IF(ISBLANK($B261),"",IF(ISBLANK($L261),RIGHT($E261,LEN($E261) - FIND("^",SUBSTITUTE($E261,":","^",LEN($E261) - LEN(SUBSTITUTE($E261,":",""))))),$L261))</f>
        <v/>
      </c>
      <c r="X261" s="22">
        <f>IF(ISBLANK($J261),$V261&amp;$W261,$J261)</f>
        <v/>
      </c>
      <c r="Y261" s="23">
        <f t="array" ref="Y261">IF(ISBLANK($M261),IFERROR(XLOOKUP($P261,'Department Listing'!$A:$A,'Department Listing'!$L:$L),""),$M261)</f>
        <v/>
      </c>
      <c r="Z261" s="11">
        <f>IF(ISBLANK($B261),"",MATCH($X261,COA!$B:$B,0))</f>
        <v/>
      </c>
    </row>
    <row r="262" ht="15.75" customHeight="1" s="52">
      <c r="B262" s="17" t="n"/>
      <c r="E262" s="26" t="n"/>
      <c r="F262" s="19" t="n"/>
      <c r="G262" s="10" t="n"/>
      <c r="H262" s="10" t="n"/>
      <c r="I262" s="9" t="n"/>
      <c r="J262" s="9" t="n"/>
      <c r="K262" s="9" t="n"/>
      <c r="L262" s="9" t="n"/>
      <c r="M262" s="9" t="n"/>
      <c r="N262" s="20" t="n"/>
      <c r="O262" s="20">
        <f>IF(C262="", "", TRIM(RIGHT(C262, LEN(C262) - FIND("@@", SUBSTITUTE(C262, "-", "@@", LEN(C262) - LEN(SUBSTITUTE(C262, "-", "")))))))</f>
        <v/>
      </c>
      <c r="P262" s="20">
        <f t="array" ref="P262">IFERROR(XLOOKUP(O262,'Department Listing'!$O$1:$O$395,'Department Listing'!$A$1:$A$395),IFERROR(XLOOKUP(O262,'Name Aliases'!$A$2:$A$1000,'Name Aliases'!$B$2:$B$1000),""))</f>
        <v/>
      </c>
      <c r="Q262" s="21">
        <f>IF(ISBLANK($C262),"",$B262)</f>
        <v/>
      </c>
      <c r="R262" s="20">
        <f>IF(ISBLANK($C262),"",IF(ISBLANK($I262),$D262,$I262))</f>
        <v/>
      </c>
      <c r="S262" s="22">
        <f>IF(ISBLANK($C262),"",$F262 - $G262)</f>
        <v/>
      </c>
      <c r="T262" s="20">
        <f>IF(ISBLANK($C262),"",C262)</f>
        <v/>
      </c>
      <c r="U262" s="20">
        <f>IF(ISBLANK($C262),"",$D$1)</f>
        <v/>
      </c>
      <c r="V262" s="22">
        <f t="array" ref="V262">IF(ISBLANK($B262),"",IF(ISBLANK($K262),IF(XLOOKUP($W262,'Category Mapping'!$C:$C,'Category Mapping'!$B:$B)="Travel",XLOOKUP($P262,'Department Listing'!$A:$A,'Department Listing'!$M:$M),XLOOKUP($W262,'Category Mapping'!$C:$C,'Category Mapping'!$D:$D)),$K262))</f>
        <v/>
      </c>
      <c r="W262" s="22">
        <f>IF(ISBLANK($B262),"",IF(ISBLANK($L262),RIGHT($E262,LEN($E262) - FIND("^",SUBSTITUTE($E262,":","^",LEN($E262) - LEN(SUBSTITUTE($E262,":",""))))),$L262))</f>
        <v/>
      </c>
      <c r="X262" s="22">
        <f>IF(ISBLANK($J262),$V262&amp;$W262,$J262)</f>
        <v/>
      </c>
      <c r="Y262" s="23">
        <f t="array" ref="Y262">IF(ISBLANK($M262),IFERROR(XLOOKUP($P262,'Department Listing'!$A:$A,'Department Listing'!$L:$L),""),$M262)</f>
        <v/>
      </c>
      <c r="Z262" s="11">
        <f>IF(ISBLANK($B262),"",MATCH($X262,COA!$B:$B,0))</f>
        <v/>
      </c>
    </row>
    <row r="263" ht="15.75" customHeight="1" s="52">
      <c r="B263" s="17" t="n"/>
      <c r="E263" s="26" t="n"/>
      <c r="F263" s="19" t="n"/>
      <c r="G263" s="10" t="n"/>
      <c r="H263" s="10" t="n"/>
      <c r="I263" s="9" t="n"/>
      <c r="J263" s="9" t="n"/>
      <c r="K263" s="9" t="n"/>
      <c r="L263" s="9" t="n"/>
      <c r="M263" s="9" t="n"/>
      <c r="N263" s="20" t="n"/>
      <c r="O263" s="20">
        <f>IF(C263="", "", TRIM(RIGHT(C263, LEN(C263) - FIND("@@", SUBSTITUTE(C263, "-", "@@", LEN(C263) - LEN(SUBSTITUTE(C263, "-", "")))))))</f>
        <v/>
      </c>
      <c r="P263" s="20">
        <f t="array" ref="P263">IFERROR(XLOOKUP(O263,'Department Listing'!$O$1:$O$395,'Department Listing'!$A$1:$A$395),IFERROR(XLOOKUP(O263,'Name Aliases'!$A$2:$A$1000,'Name Aliases'!$B$2:$B$1000),""))</f>
        <v/>
      </c>
      <c r="Q263" s="21">
        <f>IF(ISBLANK($C263),"",$B263)</f>
        <v/>
      </c>
      <c r="R263" s="20">
        <f>IF(ISBLANK($C263),"",IF(ISBLANK($I263),$D263,$I263))</f>
        <v/>
      </c>
      <c r="S263" s="22">
        <f>IF(ISBLANK($C263),"",$F263 - $G263)</f>
        <v/>
      </c>
      <c r="T263" s="20">
        <f>IF(ISBLANK($C263),"",C263)</f>
        <v/>
      </c>
      <c r="U263" s="20">
        <f>IF(ISBLANK($C263),"",$D$1)</f>
        <v/>
      </c>
      <c r="V263" s="22">
        <f t="array" ref="V263">IF(ISBLANK($B263),"",IF(ISBLANK($K263),IF(XLOOKUP($W263,'Category Mapping'!$C:$C,'Category Mapping'!$B:$B)="Travel",XLOOKUP($P263,'Department Listing'!$A:$A,'Department Listing'!$M:$M),XLOOKUP($W263,'Category Mapping'!$C:$C,'Category Mapping'!$D:$D)),$K263))</f>
        <v/>
      </c>
      <c r="W263" s="22">
        <f>IF(ISBLANK($B263),"",IF(ISBLANK($L263),RIGHT($E263,LEN($E263) - FIND("^",SUBSTITUTE($E263,":","^",LEN($E263) - LEN(SUBSTITUTE($E263,":",""))))),$L263))</f>
        <v/>
      </c>
      <c r="X263" s="22">
        <f>IF(ISBLANK($J263),$V263&amp;$W263,$J263)</f>
        <v/>
      </c>
      <c r="Y263" s="23">
        <f t="array" ref="Y263">IF(ISBLANK($M263),IFERROR(XLOOKUP($P263,'Department Listing'!$A:$A,'Department Listing'!$L:$L),""),$M263)</f>
        <v/>
      </c>
      <c r="Z263" s="11">
        <f>IF(ISBLANK($B263),"",MATCH($X263,COA!$B:$B,0))</f>
        <v/>
      </c>
    </row>
    <row r="264" ht="15.75" customHeight="1" s="52">
      <c r="B264" s="17" t="n"/>
      <c r="E264" s="26" t="n"/>
      <c r="F264" s="19" t="n"/>
      <c r="G264" s="10" t="n"/>
      <c r="H264" s="10" t="n"/>
      <c r="I264" s="9" t="n"/>
      <c r="J264" s="9" t="n"/>
      <c r="K264" s="9" t="n"/>
      <c r="L264" s="9" t="n"/>
      <c r="M264" s="9" t="n"/>
      <c r="N264" s="20" t="n"/>
      <c r="O264" s="20">
        <f>IF(C264="", "", TRIM(RIGHT(C264, LEN(C264) - FIND("@@", SUBSTITUTE(C264, "-", "@@", LEN(C264) - LEN(SUBSTITUTE(C264, "-", "")))))))</f>
        <v/>
      </c>
      <c r="P264" s="20">
        <f t="array" ref="P264">IFERROR(XLOOKUP(O264,'Department Listing'!$O$1:$O$395,'Department Listing'!$A$1:$A$395),IFERROR(XLOOKUP(O264,'Name Aliases'!$A$2:$A$1000,'Name Aliases'!$B$2:$B$1000),""))</f>
        <v/>
      </c>
      <c r="Q264" s="21">
        <f>IF(ISBLANK($C264),"",$B264)</f>
        <v/>
      </c>
      <c r="R264" s="20">
        <f>IF(ISBLANK($C264),"",IF(ISBLANK($I264),$D264,$I264))</f>
        <v/>
      </c>
      <c r="S264" s="22">
        <f>IF(ISBLANK($C264),"",$F264 - $G264)</f>
        <v/>
      </c>
      <c r="T264" s="20">
        <f>IF(ISBLANK($C264),"",C264)</f>
        <v/>
      </c>
      <c r="U264" s="20">
        <f>IF(ISBLANK($C264),"",$D$1)</f>
        <v/>
      </c>
      <c r="V264" s="22">
        <f t="array" ref="V264">IF(ISBLANK($B264),"",IF(ISBLANK($K264),IF(XLOOKUP($W264,'Category Mapping'!$C:$C,'Category Mapping'!$B:$B)="Travel",XLOOKUP($P264,'Department Listing'!$A:$A,'Department Listing'!$M:$M),XLOOKUP($W264,'Category Mapping'!$C:$C,'Category Mapping'!$D:$D)),$K264))</f>
        <v/>
      </c>
      <c r="W264" s="22">
        <f>IF(ISBLANK($B264),"",IF(ISBLANK($L264),RIGHT($E264,LEN($E264) - FIND("^",SUBSTITUTE($E264,":","^",LEN($E264) - LEN(SUBSTITUTE($E264,":",""))))),$L264))</f>
        <v/>
      </c>
      <c r="X264" s="22">
        <f>IF(ISBLANK($J264),$V264&amp;$W264,$J264)</f>
        <v/>
      </c>
      <c r="Y264" s="23">
        <f t="array" ref="Y264">IF(ISBLANK($M264),IFERROR(XLOOKUP($P264,'Department Listing'!$A:$A,'Department Listing'!$L:$L),""),$M264)</f>
        <v/>
      </c>
      <c r="Z264" s="11">
        <f>IF(ISBLANK($B264),"",MATCH($X264,COA!$B:$B,0))</f>
        <v/>
      </c>
    </row>
    <row r="265" ht="15.75" customHeight="1" s="52">
      <c r="B265" s="17" t="n"/>
      <c r="E265" s="26" t="n"/>
      <c r="F265" s="19" t="n"/>
      <c r="G265" s="10" t="n"/>
      <c r="H265" s="10" t="n"/>
      <c r="I265" s="9" t="n"/>
      <c r="J265" s="9" t="n"/>
      <c r="K265" s="9" t="n"/>
      <c r="L265" s="9" t="n"/>
      <c r="M265" s="9" t="n"/>
      <c r="N265" s="20" t="n"/>
      <c r="O265" s="20">
        <f>IF(C265="", "", TRIM(RIGHT(C265, LEN(C265) - FIND("@@", SUBSTITUTE(C265, "-", "@@", LEN(C265) - LEN(SUBSTITUTE(C265, "-", "")))))))</f>
        <v/>
      </c>
      <c r="P265" s="20">
        <f t="array" ref="P265">IFERROR(XLOOKUP(O265,'Department Listing'!$O$1:$O$395,'Department Listing'!$A$1:$A$395),IFERROR(XLOOKUP(O265,'Name Aliases'!$A$2:$A$1000,'Name Aliases'!$B$2:$B$1000),""))</f>
        <v/>
      </c>
      <c r="Q265" s="21">
        <f>IF(ISBLANK($C265),"",$B265)</f>
        <v/>
      </c>
      <c r="R265" s="20">
        <f>IF(ISBLANK($C265),"",IF(ISBLANK($I265),$D265,$I265))</f>
        <v/>
      </c>
      <c r="S265" s="22">
        <f>IF(ISBLANK($C265),"",$F265 - $G265)</f>
        <v/>
      </c>
      <c r="T265" s="20">
        <f>IF(ISBLANK($C265),"",C265)</f>
        <v/>
      </c>
      <c r="U265" s="20">
        <f>IF(ISBLANK($C265),"",$D$1)</f>
        <v/>
      </c>
      <c r="V265" s="22">
        <f t="array" ref="V265">IF(ISBLANK($B265),"",IF(ISBLANK($K265),IF(XLOOKUP($W265,'Category Mapping'!$C:$C,'Category Mapping'!$B:$B)="Travel",XLOOKUP($P265,'Department Listing'!$A:$A,'Department Listing'!$M:$M),XLOOKUP($W265,'Category Mapping'!$C:$C,'Category Mapping'!$D:$D)),$K265))</f>
        <v/>
      </c>
      <c r="W265" s="22">
        <f>IF(ISBLANK($B265),"",IF(ISBLANK($L265),RIGHT($E265,LEN($E265) - FIND("^",SUBSTITUTE($E265,":","^",LEN($E265) - LEN(SUBSTITUTE($E265,":",""))))),$L265))</f>
        <v/>
      </c>
      <c r="X265" s="22">
        <f>IF(ISBLANK($J265),$V265&amp;$W265,$J265)</f>
        <v/>
      </c>
      <c r="Y265" s="23">
        <f t="array" ref="Y265">IF(ISBLANK($M265),IFERROR(XLOOKUP($P265,'Department Listing'!$A:$A,'Department Listing'!$L:$L),""),$M265)</f>
        <v/>
      </c>
      <c r="Z265" s="11">
        <f>IF(ISBLANK($B265),"",MATCH($X265,COA!$B:$B,0))</f>
        <v/>
      </c>
    </row>
    <row r="266" ht="15.75" customHeight="1" s="52">
      <c r="B266" s="17" t="n"/>
      <c r="E266" s="26" t="n"/>
      <c r="F266" s="19" t="n"/>
      <c r="G266" s="10" t="n"/>
      <c r="H266" s="10" t="n"/>
      <c r="I266" s="9" t="n"/>
      <c r="J266" s="9" t="n"/>
      <c r="K266" s="9" t="n"/>
      <c r="L266" s="9" t="n"/>
      <c r="M266" s="9" t="n"/>
      <c r="N266" s="20" t="n"/>
      <c r="O266" s="20">
        <f>IF(C266="", "", TRIM(RIGHT(C266, LEN(C266) - FIND("@@", SUBSTITUTE(C266, "-", "@@", LEN(C266) - LEN(SUBSTITUTE(C266, "-", "")))))))</f>
        <v/>
      </c>
      <c r="P266" s="20">
        <f t="array" ref="P266">IFERROR(XLOOKUP(O266,'Department Listing'!$O$1:$O$395,'Department Listing'!$A$1:$A$395),IFERROR(XLOOKUP(O266,'Name Aliases'!$A$2:$A$1000,'Name Aliases'!$B$2:$B$1000),""))</f>
        <v/>
      </c>
      <c r="Q266" s="21">
        <f>IF(ISBLANK($C266),"",$B266)</f>
        <v/>
      </c>
      <c r="R266" s="20">
        <f>IF(ISBLANK($C266),"",IF(ISBLANK($I266),$D266,$I266))</f>
        <v/>
      </c>
      <c r="S266" s="22">
        <f>IF(ISBLANK($C266),"",$F266 - $G266)</f>
        <v/>
      </c>
      <c r="T266" s="20">
        <f>IF(ISBLANK($C266),"",C266)</f>
        <v/>
      </c>
      <c r="U266" s="20">
        <f>IF(ISBLANK($C266),"",$D$1)</f>
        <v/>
      </c>
      <c r="V266" s="22">
        <f t="array" ref="V266">IF(ISBLANK($B266),"",IF(ISBLANK($K266),IF(XLOOKUP($W266,'Category Mapping'!$C:$C,'Category Mapping'!$B:$B)="Travel",XLOOKUP($P266,'Department Listing'!$A:$A,'Department Listing'!$M:$M),XLOOKUP($W266,'Category Mapping'!$C:$C,'Category Mapping'!$D:$D)),$K266))</f>
        <v/>
      </c>
      <c r="W266" s="22">
        <f>IF(ISBLANK($B266),"",IF(ISBLANK($L266),RIGHT($E266,LEN($E266) - FIND("^",SUBSTITUTE($E266,":","^",LEN($E266) - LEN(SUBSTITUTE($E266,":",""))))),$L266))</f>
        <v/>
      </c>
      <c r="X266" s="22">
        <f>IF(ISBLANK($J266),$V266&amp;$W266,$J266)</f>
        <v/>
      </c>
      <c r="Y266" s="23">
        <f t="array" ref="Y266">IF(ISBLANK($M266),IFERROR(XLOOKUP($P266,'Department Listing'!$A:$A,'Department Listing'!$L:$L),""),$M266)</f>
        <v/>
      </c>
      <c r="Z266" s="11">
        <f>IF(ISBLANK($B266),"",MATCH($X266,COA!$B:$B,0))</f>
        <v/>
      </c>
    </row>
    <row r="267" ht="15.75" customHeight="1" s="52">
      <c r="B267" s="17" t="n"/>
      <c r="E267" s="26" t="n"/>
      <c r="F267" s="19" t="n"/>
      <c r="G267" s="10" t="n"/>
      <c r="H267" s="10" t="n"/>
      <c r="I267" s="9" t="n"/>
      <c r="J267" s="9" t="n"/>
      <c r="K267" s="9" t="n"/>
      <c r="L267" s="9" t="n"/>
      <c r="M267" s="9" t="n"/>
      <c r="N267" s="20" t="n"/>
      <c r="O267" s="20">
        <f>IF(C267="", "", TRIM(RIGHT(C267, LEN(C267) - FIND("@@", SUBSTITUTE(C267, "-", "@@", LEN(C267) - LEN(SUBSTITUTE(C267, "-", "")))))))</f>
        <v/>
      </c>
      <c r="P267" s="20">
        <f t="array" ref="P267">IFERROR(XLOOKUP(O267,'Department Listing'!$O$1:$O$395,'Department Listing'!$A$1:$A$395),IFERROR(XLOOKUP(O267,'Name Aliases'!$A$2:$A$1000,'Name Aliases'!$B$2:$B$1000),""))</f>
        <v/>
      </c>
      <c r="Q267" s="21">
        <f>IF(ISBLANK($C267),"",$B267)</f>
        <v/>
      </c>
      <c r="R267" s="20">
        <f>IF(ISBLANK($C267),"",IF(ISBLANK($I267),$D267,$I267))</f>
        <v/>
      </c>
      <c r="S267" s="22">
        <f>IF(ISBLANK($C267),"",$F267 - $G267)</f>
        <v/>
      </c>
      <c r="T267" s="20">
        <f>IF(ISBLANK($C267),"",C267)</f>
        <v/>
      </c>
      <c r="U267" s="20">
        <f>IF(ISBLANK($C267),"",$D$1)</f>
        <v/>
      </c>
      <c r="V267" s="22">
        <f t="array" ref="V267">IF(ISBLANK($B267),"",IF(ISBLANK($K267),IF(XLOOKUP($W267,'Category Mapping'!$C:$C,'Category Mapping'!$B:$B)="Travel",XLOOKUP($P267,'Department Listing'!$A:$A,'Department Listing'!$M:$M),XLOOKUP($W267,'Category Mapping'!$C:$C,'Category Mapping'!$D:$D)),$K267))</f>
        <v/>
      </c>
      <c r="W267" s="22">
        <f>IF(ISBLANK($B267),"",IF(ISBLANK($L267),RIGHT($E267,LEN($E267) - FIND("^",SUBSTITUTE($E267,":","^",LEN($E267) - LEN(SUBSTITUTE($E267,":",""))))),$L267))</f>
        <v/>
      </c>
      <c r="X267" s="22">
        <f>IF(ISBLANK($J267),$V267&amp;$W267,$J267)</f>
        <v/>
      </c>
      <c r="Y267" s="23">
        <f t="array" ref="Y267">IF(ISBLANK($M267),IFERROR(XLOOKUP($P267,'Department Listing'!$A:$A,'Department Listing'!$L:$L),""),$M267)</f>
        <v/>
      </c>
      <c r="Z267" s="11">
        <f>IF(ISBLANK($B267),"",MATCH($X267,COA!$B:$B,0))</f>
        <v/>
      </c>
    </row>
    <row r="268" ht="15.75" customHeight="1" s="52">
      <c r="B268" s="17" t="n"/>
      <c r="E268" s="26" t="n"/>
      <c r="F268" s="19" t="n"/>
      <c r="G268" s="10" t="n"/>
      <c r="H268" s="10" t="n"/>
      <c r="I268" s="9" t="n"/>
      <c r="J268" s="9" t="n"/>
      <c r="K268" s="9" t="n"/>
      <c r="L268" s="9" t="n"/>
      <c r="M268" s="9" t="n"/>
      <c r="N268" s="20" t="n"/>
      <c r="O268" s="20">
        <f>IF(C268="", "", TRIM(RIGHT(C268, LEN(C268) - FIND("@@", SUBSTITUTE(C268, "-", "@@", LEN(C268) - LEN(SUBSTITUTE(C268, "-", "")))))))</f>
        <v/>
      </c>
      <c r="P268" s="20">
        <f t="array" ref="P268">IFERROR(XLOOKUP(O268,'Department Listing'!$O$1:$O$395,'Department Listing'!$A$1:$A$395),IFERROR(XLOOKUP(O268,'Name Aliases'!$A$2:$A$1000,'Name Aliases'!$B$2:$B$1000),""))</f>
        <v/>
      </c>
      <c r="Q268" s="21">
        <f>IF(ISBLANK($C268),"",$B268)</f>
        <v/>
      </c>
      <c r="R268" s="20">
        <f>IF(ISBLANK($C268),"",IF(ISBLANK($I268),$D268,$I268))</f>
        <v/>
      </c>
      <c r="S268" s="22">
        <f>IF(ISBLANK($C268),"",$F268 - $G268)</f>
        <v/>
      </c>
      <c r="T268" s="20">
        <f>IF(ISBLANK($C268),"",C268)</f>
        <v/>
      </c>
      <c r="U268" s="20">
        <f>IF(ISBLANK($C268),"",$D$1)</f>
        <v/>
      </c>
      <c r="V268" s="22">
        <f t="array" ref="V268">IF(ISBLANK($B268),"",IF(ISBLANK($K268),IF(XLOOKUP($W268,'Category Mapping'!$C:$C,'Category Mapping'!$B:$B)="Travel",XLOOKUP($P268,'Department Listing'!$A:$A,'Department Listing'!$M:$M),XLOOKUP($W268,'Category Mapping'!$C:$C,'Category Mapping'!$D:$D)),$K268))</f>
        <v/>
      </c>
      <c r="W268" s="22">
        <f>IF(ISBLANK($B268),"",IF(ISBLANK($L268),RIGHT($E268,LEN($E268) - FIND("^",SUBSTITUTE($E268,":","^",LEN($E268) - LEN(SUBSTITUTE($E268,":",""))))),$L268))</f>
        <v/>
      </c>
      <c r="X268" s="22">
        <f>IF(ISBLANK($J268),$V268&amp;$W268,$J268)</f>
        <v/>
      </c>
      <c r="Y268" s="23">
        <f t="array" ref="Y268">IF(ISBLANK($M268),IFERROR(XLOOKUP($P268,'Department Listing'!$A:$A,'Department Listing'!$L:$L),""),$M268)</f>
        <v/>
      </c>
      <c r="Z268" s="11">
        <f>IF(ISBLANK($B268),"",MATCH($X268,COA!$B:$B,0))</f>
        <v/>
      </c>
    </row>
    <row r="269" ht="15.75" customHeight="1" s="52">
      <c r="B269" s="17" t="n"/>
      <c r="E269" s="26" t="n"/>
      <c r="F269" s="19" t="n"/>
      <c r="G269" s="10" t="n"/>
      <c r="H269" s="10" t="n"/>
      <c r="I269" s="9" t="n"/>
      <c r="J269" s="9" t="n"/>
      <c r="K269" s="9" t="n"/>
      <c r="L269" s="9" t="n"/>
      <c r="M269" s="9" t="n"/>
      <c r="N269" s="20" t="n"/>
      <c r="O269" s="20">
        <f>IF(C269="", "", TRIM(RIGHT(C269, LEN(C269) - FIND("@@", SUBSTITUTE(C269, "-", "@@", LEN(C269) - LEN(SUBSTITUTE(C269, "-", "")))))))</f>
        <v/>
      </c>
      <c r="P269" s="20">
        <f t="array" ref="P269">IFERROR(XLOOKUP(O269,'Department Listing'!$O$1:$O$395,'Department Listing'!$A$1:$A$395),IFERROR(XLOOKUP(O269,'Name Aliases'!$A$2:$A$1000,'Name Aliases'!$B$2:$B$1000),""))</f>
        <v/>
      </c>
      <c r="Q269" s="21">
        <f>IF(ISBLANK($C269),"",$B269)</f>
        <v/>
      </c>
      <c r="R269" s="20">
        <f>IF(ISBLANK($C269),"",IF(ISBLANK($I269),$D269,$I269))</f>
        <v/>
      </c>
      <c r="S269" s="22">
        <f>IF(ISBLANK($C269),"",$F269 - $G269)</f>
        <v/>
      </c>
      <c r="T269" s="20">
        <f>IF(ISBLANK($C269),"",C269)</f>
        <v/>
      </c>
      <c r="U269" s="20">
        <f>IF(ISBLANK($C269),"",$D$1)</f>
        <v/>
      </c>
      <c r="V269" s="22">
        <f t="array" ref="V269">IF(ISBLANK($B269),"",IF(ISBLANK($K269),IF(XLOOKUP($W269,'Category Mapping'!$C:$C,'Category Mapping'!$B:$B)="Travel",XLOOKUP($P269,'Department Listing'!$A:$A,'Department Listing'!$M:$M),XLOOKUP($W269,'Category Mapping'!$C:$C,'Category Mapping'!$D:$D)),$K269))</f>
        <v/>
      </c>
      <c r="W269" s="22">
        <f>IF(ISBLANK($B269),"",IF(ISBLANK($L269),RIGHT($E269,LEN($E269) - FIND("^",SUBSTITUTE($E269,":","^",LEN($E269) - LEN(SUBSTITUTE($E269,":",""))))),$L269))</f>
        <v/>
      </c>
      <c r="X269" s="22">
        <f>IF(ISBLANK($J269),$V269&amp;$W269,$J269)</f>
        <v/>
      </c>
      <c r="Y269" s="23">
        <f t="array" ref="Y269">IF(ISBLANK($M269),IFERROR(XLOOKUP($P269,'Department Listing'!$A:$A,'Department Listing'!$L:$L),""),$M269)</f>
        <v/>
      </c>
      <c r="Z269" s="11">
        <f>IF(ISBLANK($B269),"",MATCH($X269,COA!$B:$B,0))</f>
        <v/>
      </c>
    </row>
    <row r="270" ht="15.75" customHeight="1" s="52">
      <c r="B270" s="17" t="n"/>
      <c r="E270" s="26" t="n"/>
      <c r="F270" s="19" t="n"/>
      <c r="G270" s="10" t="n"/>
      <c r="H270" s="10" t="n"/>
      <c r="I270" s="9" t="n"/>
      <c r="J270" s="9" t="n"/>
      <c r="K270" s="9" t="n"/>
      <c r="L270" s="9" t="n"/>
      <c r="M270" s="9" t="n"/>
      <c r="N270" s="20" t="n"/>
      <c r="O270" s="20">
        <f>IF(C270="", "", TRIM(RIGHT(C270, LEN(C270) - FIND("@@", SUBSTITUTE(C270, "-", "@@", LEN(C270) - LEN(SUBSTITUTE(C270, "-", "")))))))</f>
        <v/>
      </c>
      <c r="P270" s="20">
        <f t="array" ref="P270">IFERROR(XLOOKUP(O270,'Department Listing'!$O$1:$O$395,'Department Listing'!$A$1:$A$395),IFERROR(XLOOKUP(O270,'Name Aliases'!$A$2:$A$1000,'Name Aliases'!$B$2:$B$1000),""))</f>
        <v/>
      </c>
      <c r="Q270" s="21">
        <f>IF(ISBLANK($C270),"",$B270)</f>
        <v/>
      </c>
      <c r="R270" s="20">
        <f>IF(ISBLANK($C270),"",IF(ISBLANK($I270),$D270,$I270))</f>
        <v/>
      </c>
      <c r="S270" s="22">
        <f>IF(ISBLANK($C270),"",$F270 - $G270)</f>
        <v/>
      </c>
      <c r="T270" s="20">
        <f>IF(ISBLANK($C270),"",C270)</f>
        <v/>
      </c>
      <c r="U270" s="20">
        <f>IF(ISBLANK($C270),"",$D$1)</f>
        <v/>
      </c>
      <c r="V270" s="22">
        <f t="array" ref="V270">IF(ISBLANK($B270),"",IF(ISBLANK($K270),IF(XLOOKUP($W270,'Category Mapping'!$C:$C,'Category Mapping'!$B:$B)="Travel",XLOOKUP($P270,'Department Listing'!$A:$A,'Department Listing'!$M:$M),XLOOKUP($W270,'Category Mapping'!$C:$C,'Category Mapping'!$D:$D)),$K270))</f>
        <v/>
      </c>
      <c r="W270" s="22">
        <f>IF(ISBLANK($B270),"",IF(ISBLANK($L270),RIGHT($E270,LEN($E270) - FIND("^",SUBSTITUTE($E270,":","^",LEN($E270) - LEN(SUBSTITUTE($E270,":",""))))),$L270))</f>
        <v/>
      </c>
      <c r="X270" s="22">
        <f>IF(ISBLANK($J270),$V270&amp;$W270,$J270)</f>
        <v/>
      </c>
      <c r="Y270" s="23">
        <f t="array" ref="Y270">IF(ISBLANK($M270),IFERROR(XLOOKUP($P270,'Department Listing'!$A:$A,'Department Listing'!$L:$L),""),$M270)</f>
        <v/>
      </c>
      <c r="Z270" s="11">
        <f>IF(ISBLANK($B270),"",MATCH($X270,COA!$B:$B,0))</f>
        <v/>
      </c>
    </row>
    <row r="271" ht="15.75" customHeight="1" s="52">
      <c r="B271" s="17" t="n"/>
      <c r="E271" s="26" t="n"/>
      <c r="F271" s="19" t="n"/>
      <c r="G271" s="10" t="n"/>
      <c r="H271" s="10" t="n"/>
      <c r="I271" s="9" t="n"/>
      <c r="J271" s="9" t="n"/>
      <c r="K271" s="9" t="n"/>
      <c r="L271" s="9" t="n"/>
      <c r="M271" s="9" t="n"/>
      <c r="N271" s="20" t="n"/>
      <c r="O271" s="20">
        <f>IF(C271="", "", TRIM(RIGHT(C271, LEN(C271) - FIND("@@", SUBSTITUTE(C271, "-", "@@", LEN(C271) - LEN(SUBSTITUTE(C271, "-", "")))))))</f>
        <v/>
      </c>
      <c r="P271" s="20">
        <f t="array" ref="P271">IFERROR(XLOOKUP(O271,'Department Listing'!$O$1:$O$395,'Department Listing'!$A$1:$A$395),IFERROR(XLOOKUP(O271,'Name Aliases'!$A$2:$A$1000,'Name Aliases'!$B$2:$B$1000),""))</f>
        <v/>
      </c>
      <c r="Q271" s="21">
        <f>IF(ISBLANK($C271),"",$B271)</f>
        <v/>
      </c>
      <c r="R271" s="20">
        <f>IF(ISBLANK($C271),"",IF(ISBLANK($I271),$D271,$I271))</f>
        <v/>
      </c>
      <c r="S271" s="22">
        <f>IF(ISBLANK($C271),"",$F271 - $G271)</f>
        <v/>
      </c>
      <c r="T271" s="20">
        <f>IF(ISBLANK($C271),"",C271)</f>
        <v/>
      </c>
      <c r="U271" s="20">
        <f>IF(ISBLANK($C271),"",$D$1)</f>
        <v/>
      </c>
      <c r="V271" s="22">
        <f t="array" ref="V271">IF(ISBLANK($B271),"",IF(ISBLANK($K271),IF(XLOOKUP($W271,'Category Mapping'!$C:$C,'Category Mapping'!$B:$B)="Travel",XLOOKUP($P271,'Department Listing'!$A:$A,'Department Listing'!$M:$M),XLOOKUP($W271,'Category Mapping'!$C:$C,'Category Mapping'!$D:$D)),$K271))</f>
        <v/>
      </c>
      <c r="W271" s="22">
        <f>IF(ISBLANK($B271),"",IF(ISBLANK($L271),RIGHT($E271,LEN($E271) - FIND("^",SUBSTITUTE($E271,":","^",LEN($E271) - LEN(SUBSTITUTE($E271,":",""))))),$L271))</f>
        <v/>
      </c>
      <c r="X271" s="22">
        <f>IF(ISBLANK($J271),$V271&amp;$W271,$J271)</f>
        <v/>
      </c>
      <c r="Y271" s="23">
        <f t="array" ref="Y271">IF(ISBLANK($M271),IFERROR(XLOOKUP($P271,'Department Listing'!$A:$A,'Department Listing'!$L:$L),""),$M271)</f>
        <v/>
      </c>
      <c r="Z271" s="11">
        <f>IF(ISBLANK($B271),"",MATCH($X271,COA!$B:$B,0))</f>
        <v/>
      </c>
    </row>
    <row r="272" ht="15.75" customHeight="1" s="52">
      <c r="B272" s="17" t="n"/>
      <c r="E272" s="26" t="n"/>
      <c r="F272" s="19" t="n"/>
      <c r="G272" s="10" t="n"/>
      <c r="H272" s="10" t="n"/>
      <c r="I272" s="9" t="n"/>
      <c r="J272" s="9" t="n"/>
      <c r="K272" s="9" t="n"/>
      <c r="L272" s="9" t="n"/>
      <c r="M272" s="9" t="n"/>
      <c r="N272" s="20" t="n"/>
      <c r="O272" s="20">
        <f>IF(C272="", "", TRIM(RIGHT(C272, LEN(C272) - FIND("@@", SUBSTITUTE(C272, "-", "@@", LEN(C272) - LEN(SUBSTITUTE(C272, "-", "")))))))</f>
        <v/>
      </c>
      <c r="P272" s="20">
        <f t="array" ref="P272">IFERROR(XLOOKUP(O272,'Department Listing'!$O$1:$O$395,'Department Listing'!$A$1:$A$395),IFERROR(XLOOKUP(O272,'Name Aliases'!$A$2:$A$1000,'Name Aliases'!$B$2:$B$1000),""))</f>
        <v/>
      </c>
      <c r="Q272" s="21">
        <f>IF(ISBLANK($C272),"",$B272)</f>
        <v/>
      </c>
      <c r="R272" s="20">
        <f>IF(ISBLANK($C272),"",IF(ISBLANK($I272),$D272,$I272))</f>
        <v/>
      </c>
      <c r="S272" s="22">
        <f>IF(ISBLANK($C272),"",$F272 - $G272)</f>
        <v/>
      </c>
      <c r="T272" s="20">
        <f>IF(ISBLANK($C272),"",C272)</f>
        <v/>
      </c>
      <c r="U272" s="20">
        <f>IF(ISBLANK($C272),"",$D$1)</f>
        <v/>
      </c>
      <c r="V272" s="22">
        <f t="array" ref="V272">IF(ISBLANK($B272),"",IF(ISBLANK($K272),IF(XLOOKUP($W272,'Category Mapping'!$C:$C,'Category Mapping'!$B:$B)="Travel",XLOOKUP($P272,'Department Listing'!$A:$A,'Department Listing'!$M:$M),XLOOKUP($W272,'Category Mapping'!$C:$C,'Category Mapping'!$D:$D)),$K272))</f>
        <v/>
      </c>
      <c r="W272" s="22">
        <f>IF(ISBLANK($B272),"",IF(ISBLANK($L272),RIGHT($E272,LEN($E272) - FIND("^",SUBSTITUTE($E272,":","^",LEN($E272) - LEN(SUBSTITUTE($E272,":",""))))),$L272))</f>
        <v/>
      </c>
      <c r="X272" s="22">
        <f>IF(ISBLANK($J272),$V272&amp;$W272,$J272)</f>
        <v/>
      </c>
      <c r="Y272" s="23">
        <f t="array" ref="Y272">IF(ISBLANK($M272),IFERROR(XLOOKUP($P272,'Department Listing'!$A:$A,'Department Listing'!$L:$L),""),$M272)</f>
        <v/>
      </c>
      <c r="Z272" s="11">
        <f>IF(ISBLANK($B272),"",MATCH($X272,COA!$B:$B,0))</f>
        <v/>
      </c>
    </row>
    <row r="273" ht="15.75" customHeight="1" s="52">
      <c r="B273" s="17" t="n"/>
      <c r="E273" s="26" t="n"/>
      <c r="F273" s="19" t="n"/>
      <c r="G273" s="10" t="n"/>
      <c r="H273" s="10" t="n"/>
      <c r="I273" s="9" t="n"/>
      <c r="J273" s="9" t="n"/>
      <c r="K273" s="9" t="n"/>
      <c r="L273" s="9" t="n"/>
      <c r="M273" s="9" t="n"/>
      <c r="N273" s="20" t="n"/>
      <c r="O273" s="20">
        <f>IF(C273="", "", TRIM(RIGHT(C273, LEN(C273) - FIND("@@", SUBSTITUTE(C273, "-", "@@", LEN(C273) - LEN(SUBSTITUTE(C273, "-", "")))))))</f>
        <v/>
      </c>
      <c r="P273" s="20">
        <f t="array" ref="P273">IFERROR(XLOOKUP(O273,'Department Listing'!$O$1:$O$395,'Department Listing'!$A$1:$A$395),IFERROR(XLOOKUP(O273,'Name Aliases'!$A$2:$A$1000,'Name Aliases'!$B$2:$B$1000),""))</f>
        <v/>
      </c>
      <c r="Q273" s="21">
        <f>IF(ISBLANK($C273),"",$B273)</f>
        <v/>
      </c>
      <c r="R273" s="20">
        <f>IF(ISBLANK($C273),"",IF(ISBLANK($I273),$D273,$I273))</f>
        <v/>
      </c>
      <c r="S273" s="22">
        <f>IF(ISBLANK($C273),"",$F273 - $G273)</f>
        <v/>
      </c>
      <c r="T273" s="20">
        <f>IF(ISBLANK($C273),"",C273)</f>
        <v/>
      </c>
      <c r="U273" s="20">
        <f>IF(ISBLANK($C273),"",$D$1)</f>
        <v/>
      </c>
      <c r="V273" s="22">
        <f t="array" ref="V273">IF(ISBLANK($B273),"",IF(ISBLANK($K273),IF(XLOOKUP($W273,'Category Mapping'!$C:$C,'Category Mapping'!$B:$B)="Travel",XLOOKUP($P273,'Department Listing'!$A:$A,'Department Listing'!$M:$M),XLOOKUP($W273,'Category Mapping'!$C:$C,'Category Mapping'!$D:$D)),$K273))</f>
        <v/>
      </c>
      <c r="W273" s="22">
        <f>IF(ISBLANK($B273),"",IF(ISBLANK($L273),RIGHT($E273,LEN($E273) - FIND("^",SUBSTITUTE($E273,":","^",LEN($E273) - LEN(SUBSTITUTE($E273,":",""))))),$L273))</f>
        <v/>
      </c>
      <c r="X273" s="22">
        <f>IF(ISBLANK($J273),$V273&amp;$W273,$J273)</f>
        <v/>
      </c>
      <c r="Y273" s="23">
        <f t="array" ref="Y273">IF(ISBLANK($M273),IFERROR(XLOOKUP($P273,'Department Listing'!$A:$A,'Department Listing'!$L:$L),""),$M273)</f>
        <v/>
      </c>
      <c r="Z273" s="11">
        <f>IF(ISBLANK($B273),"",MATCH($X273,COA!$B:$B,0))</f>
        <v/>
      </c>
    </row>
    <row r="274" ht="15.75" customHeight="1" s="52">
      <c r="B274" s="17" t="n"/>
      <c r="E274" s="26" t="n"/>
      <c r="F274" s="19" t="n"/>
      <c r="G274" s="10" t="n"/>
      <c r="H274" s="10" t="n"/>
      <c r="I274" s="9" t="n"/>
      <c r="J274" s="9" t="n"/>
      <c r="K274" s="9" t="n"/>
      <c r="L274" s="9" t="n"/>
      <c r="M274" s="9" t="n"/>
      <c r="N274" s="20" t="n"/>
      <c r="O274" s="20">
        <f>IF(C274="", "", TRIM(RIGHT(C274, LEN(C274) - FIND("@@", SUBSTITUTE(C274, "-", "@@", LEN(C274) - LEN(SUBSTITUTE(C274, "-", "")))))))</f>
        <v/>
      </c>
      <c r="P274" s="20">
        <f t="array" ref="P274">IFERROR(XLOOKUP(O274,'Department Listing'!$O$1:$O$395,'Department Listing'!$A$1:$A$395),IFERROR(XLOOKUP(O274,'Name Aliases'!$A$2:$A$1000,'Name Aliases'!$B$2:$B$1000),""))</f>
        <v/>
      </c>
      <c r="Q274" s="21">
        <f>IF(ISBLANK($C274),"",$B274)</f>
        <v/>
      </c>
      <c r="R274" s="20">
        <f>IF(ISBLANK($C274),"",IF(ISBLANK($I274),$D274,$I274))</f>
        <v/>
      </c>
      <c r="S274" s="22">
        <f>IF(ISBLANK($C274),"",$F274 - $G274)</f>
        <v/>
      </c>
      <c r="T274" s="20">
        <f>IF(ISBLANK($C274),"",C274)</f>
        <v/>
      </c>
      <c r="U274" s="20">
        <f>IF(ISBLANK($C274),"",$D$1)</f>
        <v/>
      </c>
      <c r="V274" s="22">
        <f t="array" ref="V274">IF(ISBLANK($B274),"",IF(ISBLANK($K274),IF(XLOOKUP($W274,'Category Mapping'!$C:$C,'Category Mapping'!$B:$B)="Travel",XLOOKUP($P274,'Department Listing'!$A:$A,'Department Listing'!$M:$M),XLOOKUP($W274,'Category Mapping'!$C:$C,'Category Mapping'!$D:$D)),$K274))</f>
        <v/>
      </c>
      <c r="W274" s="22">
        <f>IF(ISBLANK($B274),"",IF(ISBLANK($L274),RIGHT($E274,LEN($E274) - FIND("^",SUBSTITUTE($E274,":","^",LEN($E274) - LEN(SUBSTITUTE($E274,":",""))))),$L274))</f>
        <v/>
      </c>
      <c r="X274" s="22">
        <f>IF(ISBLANK($J274),$V274&amp;$W274,$J274)</f>
        <v/>
      </c>
      <c r="Y274" s="23">
        <f t="array" ref="Y274">IF(ISBLANK($M274),IFERROR(XLOOKUP($P274,'Department Listing'!$A:$A,'Department Listing'!$L:$L),""),$M274)</f>
        <v/>
      </c>
      <c r="Z274" s="11">
        <f>IF(ISBLANK($B274),"",MATCH($X274,COA!$B:$B,0))</f>
        <v/>
      </c>
    </row>
    <row r="275" ht="15.75" customHeight="1" s="52">
      <c r="B275" s="17" t="n"/>
      <c r="E275" s="26" t="n"/>
      <c r="F275" s="19" t="n"/>
      <c r="G275" s="10" t="n"/>
      <c r="H275" s="10" t="n"/>
      <c r="I275" s="9" t="n"/>
      <c r="J275" s="9" t="n"/>
      <c r="K275" s="9" t="n"/>
      <c r="L275" s="9" t="n"/>
      <c r="M275" s="9" t="n"/>
      <c r="N275" s="20" t="n"/>
      <c r="O275" s="20">
        <f>IF(C275="", "", TRIM(RIGHT(C275, LEN(C275) - FIND("@@", SUBSTITUTE(C275, "-", "@@", LEN(C275) - LEN(SUBSTITUTE(C275, "-", "")))))))</f>
        <v/>
      </c>
      <c r="P275" s="20">
        <f t="array" ref="P275">IFERROR(XLOOKUP(O275,'Department Listing'!$O$1:$O$395,'Department Listing'!$A$1:$A$395),IFERROR(XLOOKUP(O275,'Name Aliases'!$A$2:$A$1000,'Name Aliases'!$B$2:$B$1000),""))</f>
        <v/>
      </c>
      <c r="Q275" s="21">
        <f>IF(ISBLANK($C275),"",$B275)</f>
        <v/>
      </c>
      <c r="R275" s="20">
        <f>IF(ISBLANK($C275),"",IF(ISBLANK($I275),$D275,$I275))</f>
        <v/>
      </c>
      <c r="S275" s="22">
        <f>IF(ISBLANK($C275),"",$F275 - $G275)</f>
        <v/>
      </c>
      <c r="T275" s="20">
        <f>IF(ISBLANK($C275),"",C275)</f>
        <v/>
      </c>
      <c r="U275" s="20">
        <f>IF(ISBLANK($C275),"",$D$1)</f>
        <v/>
      </c>
      <c r="V275" s="22">
        <f t="array" ref="V275">IF(ISBLANK($B275),"",IF(ISBLANK($K275),IF(XLOOKUP($W275,'Category Mapping'!$C:$C,'Category Mapping'!$B:$B)="Travel",XLOOKUP($P275,'Department Listing'!$A:$A,'Department Listing'!$M:$M),XLOOKUP($W275,'Category Mapping'!$C:$C,'Category Mapping'!$D:$D)),$K275))</f>
        <v/>
      </c>
      <c r="W275" s="22">
        <f>IF(ISBLANK($B275),"",IF(ISBLANK($L275),RIGHT($E275,LEN($E275) - FIND("^",SUBSTITUTE($E275,":","^",LEN($E275) - LEN(SUBSTITUTE($E275,":",""))))),$L275))</f>
        <v/>
      </c>
      <c r="X275" s="22">
        <f>IF(ISBLANK($J275),$V275&amp;$W275,$J275)</f>
        <v/>
      </c>
      <c r="Y275" s="23">
        <f t="array" ref="Y275">IF(ISBLANK($M275),IFERROR(XLOOKUP($P275,'Department Listing'!$A:$A,'Department Listing'!$L:$L),""),$M275)</f>
        <v/>
      </c>
      <c r="Z275" s="11">
        <f>IF(ISBLANK($B275),"",MATCH($X275,COA!$B:$B,0))</f>
        <v/>
      </c>
    </row>
    <row r="276" ht="15.75" customHeight="1" s="52">
      <c r="B276" s="17" t="n"/>
      <c r="E276" s="26" t="n"/>
      <c r="F276" s="19" t="n"/>
      <c r="G276" s="10" t="n"/>
      <c r="H276" s="10" t="n"/>
      <c r="I276" s="9" t="n"/>
      <c r="J276" s="9" t="n"/>
      <c r="K276" s="9" t="n"/>
      <c r="L276" s="9" t="n"/>
      <c r="M276" s="9" t="n"/>
      <c r="N276" s="20" t="n"/>
      <c r="O276" s="20">
        <f>IF(C276="", "", TRIM(RIGHT(C276, LEN(C276) - FIND("@@", SUBSTITUTE(C276, "-", "@@", LEN(C276) - LEN(SUBSTITUTE(C276, "-", "")))))))</f>
        <v/>
      </c>
      <c r="P276" s="20">
        <f t="array" ref="P276">IFERROR(XLOOKUP(O276,'Department Listing'!$O$1:$O$395,'Department Listing'!$A$1:$A$395),IFERROR(XLOOKUP(O276,'Name Aliases'!$A$2:$A$1000,'Name Aliases'!$B$2:$B$1000),""))</f>
        <v/>
      </c>
      <c r="Q276" s="21">
        <f>IF(ISBLANK($C276),"",$B276)</f>
        <v/>
      </c>
      <c r="R276" s="20">
        <f>IF(ISBLANK($C276),"",IF(ISBLANK($I276),$D276,$I276))</f>
        <v/>
      </c>
      <c r="S276" s="22">
        <f>IF(ISBLANK($C276),"",$F276 - $G276)</f>
        <v/>
      </c>
      <c r="T276" s="20">
        <f>IF(ISBLANK($C276),"",C276)</f>
        <v/>
      </c>
      <c r="U276" s="20">
        <f>IF(ISBLANK($C276),"",$D$1)</f>
        <v/>
      </c>
      <c r="V276" s="22">
        <f t="array" ref="V276">IF(ISBLANK($B276),"",IF(ISBLANK($K276),IF(XLOOKUP($W276,'Category Mapping'!$C:$C,'Category Mapping'!$B:$B)="Travel",XLOOKUP($P276,'Department Listing'!$A:$A,'Department Listing'!$M:$M),XLOOKUP($W276,'Category Mapping'!$C:$C,'Category Mapping'!$D:$D)),$K276))</f>
        <v/>
      </c>
      <c r="W276" s="22">
        <f>IF(ISBLANK($B276),"",IF(ISBLANK($L276),RIGHT($E276,LEN($E276) - FIND("^",SUBSTITUTE($E276,":","^",LEN($E276) - LEN(SUBSTITUTE($E276,":",""))))),$L276))</f>
        <v/>
      </c>
      <c r="X276" s="22">
        <f>IF(ISBLANK($J276),$V276&amp;$W276,$J276)</f>
        <v/>
      </c>
      <c r="Y276" s="23">
        <f t="array" ref="Y276">IF(ISBLANK($M276),IFERROR(XLOOKUP($P276,'Department Listing'!$A:$A,'Department Listing'!$L:$L),""),$M276)</f>
        <v/>
      </c>
      <c r="Z276" s="11">
        <f>IF(ISBLANK($B276),"",MATCH($X276,COA!$B:$B,0))</f>
        <v/>
      </c>
    </row>
    <row r="277" ht="15.75" customHeight="1" s="52">
      <c r="B277" s="17" t="n"/>
      <c r="E277" s="26" t="n"/>
      <c r="F277" s="19" t="n"/>
      <c r="G277" s="10" t="n"/>
      <c r="H277" s="10" t="n"/>
      <c r="I277" s="9" t="n"/>
      <c r="J277" s="9" t="n"/>
      <c r="K277" s="9" t="n"/>
      <c r="L277" s="9" t="n"/>
      <c r="M277" s="9" t="n"/>
      <c r="N277" s="20" t="n"/>
      <c r="O277" s="20">
        <f>IF(C277="", "", TRIM(RIGHT(C277, LEN(C277) - FIND("@@", SUBSTITUTE(C277, "-", "@@", LEN(C277) - LEN(SUBSTITUTE(C277, "-", "")))))))</f>
        <v/>
      </c>
      <c r="P277" s="20">
        <f t="array" ref="P277">IFERROR(XLOOKUP(O277,'Department Listing'!$O$1:$O$395,'Department Listing'!$A$1:$A$395),IFERROR(XLOOKUP(O277,'Name Aliases'!$A$2:$A$1000,'Name Aliases'!$B$2:$B$1000),""))</f>
        <v/>
      </c>
      <c r="Q277" s="21">
        <f>IF(ISBLANK($C277),"",$B277)</f>
        <v/>
      </c>
      <c r="R277" s="20">
        <f>IF(ISBLANK($C277),"",IF(ISBLANK($I277),$D277,$I277))</f>
        <v/>
      </c>
      <c r="S277" s="22">
        <f>IF(ISBLANK($C277),"",$F277 - $G277)</f>
        <v/>
      </c>
      <c r="T277" s="20">
        <f>IF(ISBLANK($C277),"",C277)</f>
        <v/>
      </c>
      <c r="U277" s="20">
        <f>IF(ISBLANK($C277),"",$D$1)</f>
        <v/>
      </c>
      <c r="V277" s="22">
        <f t="array" ref="V277">IF(ISBLANK($B277),"",IF(ISBLANK($K277),IF(XLOOKUP($W277,'Category Mapping'!$C:$C,'Category Mapping'!$B:$B)="Travel",XLOOKUP($P277,'Department Listing'!$A:$A,'Department Listing'!$M:$M),XLOOKUP($W277,'Category Mapping'!$C:$C,'Category Mapping'!$D:$D)),$K277))</f>
        <v/>
      </c>
      <c r="W277" s="22">
        <f>IF(ISBLANK($B277),"",IF(ISBLANK($L277),RIGHT($E277,LEN($E277) - FIND("^",SUBSTITUTE($E277,":","^",LEN($E277) - LEN(SUBSTITUTE($E277,":",""))))),$L277))</f>
        <v/>
      </c>
      <c r="X277" s="22">
        <f>IF(ISBLANK($J277),$V277&amp;$W277,$J277)</f>
        <v/>
      </c>
      <c r="Y277" s="23">
        <f t="array" ref="Y277">IF(ISBLANK($M277),IFERROR(XLOOKUP($P277,'Department Listing'!$A:$A,'Department Listing'!$L:$L),""),$M277)</f>
        <v/>
      </c>
      <c r="Z277" s="11">
        <f>IF(ISBLANK($B277),"",MATCH($X277,COA!$B:$B,0))</f>
        <v/>
      </c>
    </row>
    <row r="278" ht="15.75" customHeight="1" s="52">
      <c r="B278" s="17" t="n"/>
      <c r="E278" s="26" t="n"/>
      <c r="F278" s="19" t="n"/>
      <c r="G278" s="10" t="n"/>
      <c r="H278" s="10" t="n"/>
      <c r="I278" s="9" t="n"/>
      <c r="J278" s="9" t="n"/>
      <c r="K278" s="9" t="n"/>
      <c r="L278" s="9" t="n"/>
      <c r="M278" s="9" t="n"/>
      <c r="N278" s="20" t="n"/>
      <c r="O278" s="20">
        <f>IF(C278="", "", TRIM(RIGHT(C278, LEN(C278) - FIND("@@", SUBSTITUTE(C278, "-", "@@", LEN(C278) - LEN(SUBSTITUTE(C278, "-", "")))))))</f>
        <v/>
      </c>
      <c r="P278" s="20">
        <f t="array" ref="P278">IFERROR(XLOOKUP(O278,'Department Listing'!$O$1:$O$395,'Department Listing'!$A$1:$A$395),IFERROR(XLOOKUP(O278,'Name Aliases'!$A$2:$A$1000,'Name Aliases'!$B$2:$B$1000),""))</f>
        <v/>
      </c>
      <c r="Q278" s="21">
        <f>IF(ISBLANK($C278),"",$B278)</f>
        <v/>
      </c>
      <c r="R278" s="20">
        <f>IF(ISBLANK($C278),"",IF(ISBLANK($I278),$D278,$I278))</f>
        <v/>
      </c>
      <c r="S278" s="22">
        <f>IF(ISBLANK($C278),"",$F278 - $G278)</f>
        <v/>
      </c>
      <c r="T278" s="20">
        <f>IF(ISBLANK($C278),"",C278)</f>
        <v/>
      </c>
      <c r="U278" s="20">
        <f>IF(ISBLANK($C278),"",$D$1)</f>
        <v/>
      </c>
      <c r="V278" s="22">
        <f t="array" ref="V278">IF(ISBLANK($B278),"",IF(ISBLANK($K278),IF(XLOOKUP($W278,'Category Mapping'!$C:$C,'Category Mapping'!$B:$B)="Travel",XLOOKUP($P278,'Department Listing'!$A:$A,'Department Listing'!$M:$M),XLOOKUP($W278,'Category Mapping'!$C:$C,'Category Mapping'!$D:$D)),$K278))</f>
        <v/>
      </c>
      <c r="W278" s="22">
        <f>IF(ISBLANK($B278),"",IF(ISBLANK($L278),RIGHT($E278,LEN($E278) - FIND("^",SUBSTITUTE($E278,":","^",LEN($E278) - LEN(SUBSTITUTE($E278,":",""))))),$L278))</f>
        <v/>
      </c>
      <c r="X278" s="22">
        <f>IF(ISBLANK($J278),$V278&amp;$W278,$J278)</f>
        <v/>
      </c>
      <c r="Y278" s="23">
        <f t="array" ref="Y278">IF(ISBLANK($M278),IFERROR(XLOOKUP($P278,'Department Listing'!$A:$A,'Department Listing'!$L:$L),""),$M278)</f>
        <v/>
      </c>
      <c r="Z278" s="11">
        <f>IF(ISBLANK($B278),"",MATCH($X278,COA!$B:$B,0))</f>
        <v/>
      </c>
    </row>
    <row r="279" ht="15.75" customHeight="1" s="52">
      <c r="B279" s="17" t="n"/>
      <c r="E279" s="26" t="n"/>
      <c r="F279" s="19" t="n"/>
      <c r="G279" s="10" t="n"/>
      <c r="H279" s="10" t="n"/>
      <c r="I279" s="9" t="n"/>
      <c r="J279" s="9" t="n"/>
      <c r="K279" s="9" t="n"/>
      <c r="L279" s="9" t="n"/>
      <c r="M279" s="9" t="n"/>
      <c r="N279" s="20" t="n"/>
      <c r="O279" s="20">
        <f>IF(C279="", "", TRIM(RIGHT(C279, LEN(C279) - FIND("@@", SUBSTITUTE(C279, "-", "@@", LEN(C279) - LEN(SUBSTITUTE(C279, "-", "")))))))</f>
        <v/>
      </c>
      <c r="P279" s="20">
        <f t="array" ref="P279">IFERROR(XLOOKUP(O279,'Department Listing'!$O$1:$O$395,'Department Listing'!$A$1:$A$395),IFERROR(XLOOKUP(O279,'Name Aliases'!$A$2:$A$1000,'Name Aliases'!$B$2:$B$1000),""))</f>
        <v/>
      </c>
      <c r="Q279" s="21">
        <f>IF(ISBLANK($C279),"",$B279)</f>
        <v/>
      </c>
      <c r="R279" s="20">
        <f>IF(ISBLANK($C279),"",IF(ISBLANK($I279),$D279,$I279))</f>
        <v/>
      </c>
      <c r="S279" s="22">
        <f>IF(ISBLANK($C279),"",$F279 - $G279)</f>
        <v/>
      </c>
      <c r="T279" s="20">
        <f>IF(ISBLANK($C279),"",C279)</f>
        <v/>
      </c>
      <c r="U279" s="20">
        <f>IF(ISBLANK($C279),"",$D$1)</f>
        <v/>
      </c>
      <c r="V279" s="22">
        <f t="array" ref="V279">IF(ISBLANK($B279),"",IF(ISBLANK($K279),IF(XLOOKUP($W279,'Category Mapping'!$C:$C,'Category Mapping'!$B:$B)="Travel",XLOOKUP($P279,'Department Listing'!$A:$A,'Department Listing'!$M:$M),XLOOKUP($W279,'Category Mapping'!$C:$C,'Category Mapping'!$D:$D)),$K279))</f>
        <v/>
      </c>
      <c r="W279" s="22">
        <f>IF(ISBLANK($B279),"",IF(ISBLANK($L279),RIGHT($E279,LEN($E279) - FIND("^",SUBSTITUTE($E279,":","^",LEN($E279) - LEN(SUBSTITUTE($E279,":",""))))),$L279))</f>
        <v/>
      </c>
      <c r="X279" s="22">
        <f>IF(ISBLANK($J279),$V279&amp;$W279,$J279)</f>
        <v/>
      </c>
      <c r="Y279" s="23">
        <f t="array" ref="Y279">IF(ISBLANK($M279),IFERROR(XLOOKUP($P279,'Department Listing'!$A:$A,'Department Listing'!$L:$L),""),$M279)</f>
        <v/>
      </c>
      <c r="Z279" s="11">
        <f>IF(ISBLANK($B279),"",MATCH($X279,COA!$B:$B,0))</f>
        <v/>
      </c>
    </row>
    <row r="280" ht="15.75" customHeight="1" s="52">
      <c r="B280" s="17" t="n"/>
      <c r="E280" s="26" t="n"/>
      <c r="F280" s="19" t="n"/>
      <c r="G280" s="10" t="n"/>
      <c r="H280" s="10" t="n"/>
      <c r="I280" s="9" t="n"/>
      <c r="J280" s="9" t="n"/>
      <c r="K280" s="9" t="n"/>
      <c r="L280" s="9" t="n"/>
      <c r="M280" s="9" t="n"/>
      <c r="N280" s="20" t="n"/>
      <c r="O280" s="20">
        <f>IF(C280="", "", TRIM(RIGHT(C280, LEN(C280) - FIND("@@", SUBSTITUTE(C280, "-", "@@", LEN(C280) - LEN(SUBSTITUTE(C280, "-", "")))))))</f>
        <v/>
      </c>
      <c r="P280" s="20">
        <f t="array" ref="P280">IFERROR(XLOOKUP(O280,'Department Listing'!$O$1:$O$395,'Department Listing'!$A$1:$A$395),IFERROR(XLOOKUP(O280,'Name Aliases'!$A$2:$A$1000,'Name Aliases'!$B$2:$B$1000),""))</f>
        <v/>
      </c>
      <c r="Q280" s="21">
        <f>IF(ISBLANK($C280),"",$B280)</f>
        <v/>
      </c>
      <c r="R280" s="20">
        <f>IF(ISBLANK($C280),"",IF(ISBLANK($I280),$D280,$I280))</f>
        <v/>
      </c>
      <c r="S280" s="22">
        <f>IF(ISBLANK($C280),"",$F280 - $G280)</f>
        <v/>
      </c>
      <c r="T280" s="20">
        <f>IF(ISBLANK($C280),"",C280)</f>
        <v/>
      </c>
      <c r="U280" s="20">
        <f>IF(ISBLANK($C280),"",$D$1)</f>
        <v/>
      </c>
      <c r="V280" s="22">
        <f t="array" ref="V280">IF(ISBLANK($B280),"",IF(ISBLANK($K280),IF(XLOOKUP($W280,'Category Mapping'!$C:$C,'Category Mapping'!$B:$B)="Travel",XLOOKUP($P280,'Department Listing'!$A:$A,'Department Listing'!$M:$M),XLOOKUP($W280,'Category Mapping'!$C:$C,'Category Mapping'!$D:$D)),$K280))</f>
        <v/>
      </c>
      <c r="W280" s="22">
        <f>IF(ISBLANK($B280),"",IF(ISBLANK($L280),RIGHT($E280,LEN($E280) - FIND("^",SUBSTITUTE($E280,":","^",LEN($E280) - LEN(SUBSTITUTE($E280,":",""))))),$L280))</f>
        <v/>
      </c>
      <c r="X280" s="22">
        <f>IF(ISBLANK($J280),$V280&amp;$W280,$J280)</f>
        <v/>
      </c>
      <c r="Y280" s="23">
        <f t="array" ref="Y280">IF(ISBLANK($M280),IFERROR(XLOOKUP($P280,'Department Listing'!$A:$A,'Department Listing'!$L:$L),""),$M280)</f>
        <v/>
      </c>
      <c r="Z280" s="11">
        <f>IF(ISBLANK($B280),"",MATCH($X280,COA!$B:$B,0))</f>
        <v/>
      </c>
    </row>
    <row r="281" ht="15.75" customHeight="1" s="52">
      <c r="B281" s="17" t="n"/>
      <c r="E281" s="26" t="n"/>
      <c r="F281" s="19" t="n"/>
      <c r="G281" s="10" t="n"/>
      <c r="H281" s="10" t="n"/>
      <c r="I281" s="9" t="n"/>
      <c r="J281" s="9" t="n"/>
      <c r="K281" s="9" t="n"/>
      <c r="L281" s="9" t="n"/>
      <c r="M281" s="9" t="n"/>
      <c r="N281" s="20" t="n"/>
      <c r="O281" s="20">
        <f>IF(C281="", "", TRIM(RIGHT(C281, LEN(C281) - FIND("@@", SUBSTITUTE(C281, "-", "@@", LEN(C281) - LEN(SUBSTITUTE(C281, "-", "")))))))</f>
        <v/>
      </c>
      <c r="P281" s="20">
        <f t="array" ref="P281">IFERROR(XLOOKUP(O281,'Department Listing'!$O$1:$O$395,'Department Listing'!$A$1:$A$395),IFERROR(XLOOKUP(O281,'Name Aliases'!$A$2:$A$1000,'Name Aliases'!$B$2:$B$1000),""))</f>
        <v/>
      </c>
      <c r="Q281" s="21">
        <f>IF(ISBLANK($C281),"",$B281)</f>
        <v/>
      </c>
      <c r="R281" s="20">
        <f>IF(ISBLANK($C281),"",IF(ISBLANK($I281),$D281,$I281))</f>
        <v/>
      </c>
      <c r="S281" s="22">
        <f>IF(ISBLANK($C281),"",$F281 - $G281)</f>
        <v/>
      </c>
      <c r="T281" s="20">
        <f>IF(ISBLANK($C281),"",C281)</f>
        <v/>
      </c>
      <c r="U281" s="20">
        <f>IF(ISBLANK($C281),"",$D$1)</f>
        <v/>
      </c>
      <c r="V281" s="22">
        <f t="array" ref="V281">IF(ISBLANK($B281),"",IF(ISBLANK($K281),IF(XLOOKUP($W281,'Category Mapping'!$C:$C,'Category Mapping'!$B:$B)="Travel",XLOOKUP($P281,'Department Listing'!$A:$A,'Department Listing'!$M:$M),XLOOKUP($W281,'Category Mapping'!$C:$C,'Category Mapping'!$D:$D)),$K281))</f>
        <v/>
      </c>
      <c r="W281" s="22">
        <f>IF(ISBLANK($B281),"",IF(ISBLANK($L281),RIGHT($E281,LEN($E281) - FIND("^",SUBSTITUTE($E281,":","^",LEN($E281) - LEN(SUBSTITUTE($E281,":",""))))),$L281))</f>
        <v/>
      </c>
      <c r="X281" s="22">
        <f>IF(ISBLANK($J281),$V281&amp;$W281,$J281)</f>
        <v/>
      </c>
      <c r="Y281" s="23">
        <f t="array" ref="Y281">IF(ISBLANK($M281),IFERROR(XLOOKUP($P281,'Department Listing'!$A:$A,'Department Listing'!$L:$L),""),$M281)</f>
        <v/>
      </c>
      <c r="Z281" s="11">
        <f>IF(ISBLANK($B281),"",MATCH($X281,COA!$B:$B,0))</f>
        <v/>
      </c>
    </row>
    <row r="282" ht="15.75" customHeight="1" s="52">
      <c r="B282" s="17" t="n"/>
      <c r="E282" s="26" t="n"/>
      <c r="F282" s="19" t="n"/>
      <c r="G282" s="10" t="n"/>
      <c r="H282" s="10" t="n"/>
      <c r="I282" s="9" t="n"/>
      <c r="J282" s="9" t="n"/>
      <c r="K282" s="9" t="n"/>
      <c r="L282" s="9" t="n"/>
      <c r="M282" s="9" t="n"/>
      <c r="N282" s="20" t="n"/>
      <c r="O282" s="20">
        <f>IF(C282="", "", TRIM(RIGHT(C282, LEN(C282) - FIND("@@", SUBSTITUTE(C282, "-", "@@", LEN(C282) - LEN(SUBSTITUTE(C282, "-", "")))))))</f>
        <v/>
      </c>
      <c r="P282" s="20">
        <f t="array" ref="P282">IFERROR(XLOOKUP(O282,'Department Listing'!$O$1:$O$395,'Department Listing'!$A$1:$A$395),IFERROR(XLOOKUP(O282,'Name Aliases'!$A$2:$A$1000,'Name Aliases'!$B$2:$B$1000),""))</f>
        <v/>
      </c>
      <c r="Q282" s="21">
        <f>IF(ISBLANK($C282),"",$B282)</f>
        <v/>
      </c>
      <c r="R282" s="20">
        <f>IF(ISBLANK($C282),"",IF(ISBLANK($I282),$D282,$I282))</f>
        <v/>
      </c>
      <c r="S282" s="22">
        <f>IF(ISBLANK($C282),"",$F282 - $G282)</f>
        <v/>
      </c>
      <c r="T282" s="20">
        <f>IF(ISBLANK($C282),"",C282)</f>
        <v/>
      </c>
      <c r="U282" s="20">
        <f>IF(ISBLANK($C282),"",$D$1)</f>
        <v/>
      </c>
      <c r="V282" s="22">
        <f t="array" ref="V282">IF(ISBLANK($B282),"",IF(ISBLANK($K282),IF(XLOOKUP($W282,'Category Mapping'!$C:$C,'Category Mapping'!$B:$B)="Travel",XLOOKUP($P282,'Department Listing'!$A:$A,'Department Listing'!$M:$M),XLOOKUP($W282,'Category Mapping'!$C:$C,'Category Mapping'!$D:$D)),$K282))</f>
        <v/>
      </c>
      <c r="W282" s="22">
        <f>IF(ISBLANK($B282),"",IF(ISBLANK($L282),RIGHT($E282,LEN($E282) - FIND("^",SUBSTITUTE($E282,":","^",LEN($E282) - LEN(SUBSTITUTE($E282,":",""))))),$L282))</f>
        <v/>
      </c>
      <c r="X282" s="22">
        <f>IF(ISBLANK($J282),$V282&amp;$W282,$J282)</f>
        <v/>
      </c>
      <c r="Y282" s="23">
        <f t="array" ref="Y282">IF(ISBLANK($M282),IFERROR(XLOOKUP($P282,'Department Listing'!$A:$A,'Department Listing'!$L:$L),""),$M282)</f>
        <v/>
      </c>
      <c r="Z282" s="11">
        <f>IF(ISBLANK($B282),"",MATCH($X282,COA!$B:$B,0))</f>
        <v/>
      </c>
    </row>
    <row r="283" ht="15.75" customHeight="1" s="52">
      <c r="B283" s="17" t="n"/>
      <c r="E283" s="26" t="n"/>
      <c r="F283" s="19" t="n"/>
      <c r="G283" s="10" t="n"/>
      <c r="H283" s="10" t="n"/>
      <c r="I283" s="9" t="n"/>
      <c r="J283" s="9" t="n"/>
      <c r="K283" s="9" t="n"/>
      <c r="L283" s="9" t="n"/>
      <c r="M283" s="9" t="n"/>
      <c r="N283" s="20" t="n"/>
      <c r="O283" s="20">
        <f>IF(C283="", "", TRIM(RIGHT(C283, LEN(C283) - FIND("@@", SUBSTITUTE(C283, "-", "@@", LEN(C283) - LEN(SUBSTITUTE(C283, "-", "")))))))</f>
        <v/>
      </c>
      <c r="P283" s="20">
        <f t="array" ref="P283">IFERROR(XLOOKUP(O283,'Department Listing'!$O$1:$O$395,'Department Listing'!$A$1:$A$395),IFERROR(XLOOKUP(O283,'Name Aliases'!$A$2:$A$1000,'Name Aliases'!$B$2:$B$1000),""))</f>
        <v/>
      </c>
      <c r="Q283" s="21">
        <f>IF(ISBLANK($C283),"",$B283)</f>
        <v/>
      </c>
      <c r="R283" s="20">
        <f>IF(ISBLANK($C283),"",IF(ISBLANK($I283),$D283,$I283))</f>
        <v/>
      </c>
      <c r="S283" s="22">
        <f>IF(ISBLANK($C283),"",$F283 - $G283)</f>
        <v/>
      </c>
      <c r="T283" s="20">
        <f>IF(ISBLANK($C283),"",C283)</f>
        <v/>
      </c>
      <c r="U283" s="20">
        <f>IF(ISBLANK($C283),"",$D$1)</f>
        <v/>
      </c>
      <c r="V283" s="22">
        <f t="array" ref="V283">IF(ISBLANK($B283),"",IF(ISBLANK($K283),IF(XLOOKUP($W283,'Category Mapping'!$C:$C,'Category Mapping'!$B:$B)="Travel",XLOOKUP($P283,'Department Listing'!$A:$A,'Department Listing'!$M:$M),XLOOKUP($W283,'Category Mapping'!$C:$C,'Category Mapping'!$D:$D)),$K283))</f>
        <v/>
      </c>
      <c r="W283" s="22">
        <f>IF(ISBLANK($B283),"",IF(ISBLANK($L283),RIGHT($E283,LEN($E283) - FIND("^",SUBSTITUTE($E283,":","^",LEN($E283) - LEN(SUBSTITUTE($E283,":",""))))),$L283))</f>
        <v/>
      </c>
      <c r="X283" s="22">
        <f>IF(ISBLANK($J283),$V283&amp;$W283,$J283)</f>
        <v/>
      </c>
      <c r="Y283" s="23">
        <f t="array" ref="Y283">IF(ISBLANK($M283),IFERROR(XLOOKUP($P283,'Department Listing'!$A:$A,'Department Listing'!$L:$L),""),$M283)</f>
        <v/>
      </c>
      <c r="Z283" s="11">
        <f>IF(ISBLANK($B283),"",MATCH($X283,COA!$B:$B,0))</f>
        <v/>
      </c>
    </row>
    <row r="284" ht="15.75" customHeight="1" s="52">
      <c r="B284" s="17" t="n"/>
      <c r="E284" s="26" t="n"/>
      <c r="F284" s="19" t="n"/>
      <c r="G284" s="10" t="n"/>
      <c r="H284" s="10" t="n"/>
      <c r="I284" s="9" t="n"/>
      <c r="J284" s="9" t="n"/>
      <c r="K284" s="9" t="n"/>
      <c r="L284" s="9" t="n"/>
      <c r="M284" s="9" t="n"/>
      <c r="N284" s="20" t="n"/>
      <c r="O284" s="20">
        <f>IF(C284="", "", TRIM(RIGHT(C284, LEN(C284) - FIND("@@", SUBSTITUTE(C284, "-", "@@", LEN(C284) - LEN(SUBSTITUTE(C284, "-", "")))))))</f>
        <v/>
      </c>
      <c r="P284" s="20">
        <f t="array" ref="P284">IFERROR(XLOOKUP(O284,'Department Listing'!$O$1:$O$395,'Department Listing'!$A$1:$A$395),IFERROR(XLOOKUP(O284,'Name Aliases'!$A$2:$A$1000,'Name Aliases'!$B$2:$B$1000),""))</f>
        <v/>
      </c>
      <c r="Q284" s="21">
        <f>IF(ISBLANK($C284),"",$B284)</f>
        <v/>
      </c>
      <c r="R284" s="20">
        <f>IF(ISBLANK($C284),"",IF(ISBLANK($I284),$D284,$I284))</f>
        <v/>
      </c>
      <c r="S284" s="22">
        <f>IF(ISBLANK($C284),"",$F284 - $G284)</f>
        <v/>
      </c>
      <c r="T284" s="20">
        <f>IF(ISBLANK($C284),"",C284)</f>
        <v/>
      </c>
      <c r="U284" s="20">
        <f>IF(ISBLANK($C284),"",$D$1)</f>
        <v/>
      </c>
      <c r="V284" s="22">
        <f t="array" ref="V284">IF(ISBLANK($B284),"",IF(ISBLANK($K284),IF(XLOOKUP($W284,'Category Mapping'!$C:$C,'Category Mapping'!$B:$B)="Travel",XLOOKUP($P284,'Department Listing'!$A:$A,'Department Listing'!$M:$M),XLOOKUP($W284,'Category Mapping'!$C:$C,'Category Mapping'!$D:$D)),$K284))</f>
        <v/>
      </c>
      <c r="W284" s="22">
        <f>IF(ISBLANK($B284),"",IF(ISBLANK($L284),RIGHT($E284,LEN($E284) - FIND("^",SUBSTITUTE($E284,":","^",LEN($E284) - LEN(SUBSTITUTE($E284,":",""))))),$L284))</f>
        <v/>
      </c>
      <c r="X284" s="22">
        <f>IF(ISBLANK($J284),$V284&amp;$W284,$J284)</f>
        <v/>
      </c>
      <c r="Y284" s="23">
        <f t="array" ref="Y284">IF(ISBLANK($M284),IFERROR(XLOOKUP($P284,'Department Listing'!$A:$A,'Department Listing'!$L:$L),""),$M284)</f>
        <v/>
      </c>
      <c r="Z284" s="11">
        <f>IF(ISBLANK($B284),"",MATCH($X284,COA!$B:$B,0))</f>
        <v/>
      </c>
    </row>
    <row r="285" ht="15.75" customHeight="1" s="52">
      <c r="B285" s="17" t="n"/>
      <c r="E285" s="26" t="n"/>
      <c r="F285" s="19" t="n"/>
      <c r="G285" s="10" t="n"/>
      <c r="H285" s="10" t="n"/>
      <c r="I285" s="9" t="n"/>
      <c r="J285" s="9" t="n"/>
      <c r="K285" s="9" t="n"/>
      <c r="L285" s="9" t="n"/>
      <c r="M285" s="9" t="n"/>
      <c r="N285" s="20" t="n"/>
      <c r="O285" s="20">
        <f>IF(C285="", "", TRIM(RIGHT(C285, LEN(C285) - FIND("@@", SUBSTITUTE(C285, "-", "@@", LEN(C285) - LEN(SUBSTITUTE(C285, "-", "")))))))</f>
        <v/>
      </c>
      <c r="P285" s="20">
        <f t="array" ref="P285">IFERROR(XLOOKUP(O285,'Department Listing'!$O$1:$O$395,'Department Listing'!$A$1:$A$395),IFERROR(XLOOKUP(O285,'Name Aliases'!$A$2:$A$1000,'Name Aliases'!$B$2:$B$1000),""))</f>
        <v/>
      </c>
      <c r="Q285" s="21">
        <f>IF(ISBLANK($C285),"",$B285)</f>
        <v/>
      </c>
      <c r="R285" s="20">
        <f>IF(ISBLANK($C285),"",IF(ISBLANK($I285),$D285,$I285))</f>
        <v/>
      </c>
      <c r="S285" s="22">
        <f>IF(ISBLANK($C285),"",$F285 - $G285)</f>
        <v/>
      </c>
      <c r="T285" s="20">
        <f>IF(ISBLANK($C285),"",C285)</f>
        <v/>
      </c>
      <c r="U285" s="20">
        <f>IF(ISBLANK($C285),"",$D$1)</f>
        <v/>
      </c>
      <c r="V285" s="22">
        <f t="array" ref="V285">IF(ISBLANK($B285),"",IF(ISBLANK($K285),IF(XLOOKUP($W285,'Category Mapping'!$C:$C,'Category Mapping'!$B:$B)="Travel",XLOOKUP($P285,'Department Listing'!$A:$A,'Department Listing'!$M:$M),XLOOKUP($W285,'Category Mapping'!$C:$C,'Category Mapping'!$D:$D)),$K285))</f>
        <v/>
      </c>
      <c r="W285" s="22">
        <f>IF(ISBLANK($B285),"",IF(ISBLANK($L285),RIGHT($E285,LEN($E285) - FIND("^",SUBSTITUTE($E285,":","^",LEN($E285) - LEN(SUBSTITUTE($E285,":",""))))),$L285))</f>
        <v/>
      </c>
      <c r="X285" s="22">
        <f>IF(ISBLANK($J285),$V285&amp;$W285,$J285)</f>
        <v/>
      </c>
      <c r="Y285" s="23">
        <f t="array" ref="Y285">IF(ISBLANK($M285),IFERROR(XLOOKUP($P285,'Department Listing'!$A:$A,'Department Listing'!$L:$L),""),$M285)</f>
        <v/>
      </c>
      <c r="Z285" s="11">
        <f>IF(ISBLANK($B285),"",MATCH($X285,COA!$B:$B,0))</f>
        <v/>
      </c>
    </row>
    <row r="286" ht="15.75" customHeight="1" s="52">
      <c r="B286" s="17" t="n"/>
      <c r="E286" s="26" t="n"/>
      <c r="F286" s="19" t="n"/>
      <c r="G286" s="10" t="n"/>
      <c r="H286" s="10" t="n"/>
      <c r="I286" s="9" t="n"/>
      <c r="J286" s="9" t="n"/>
      <c r="K286" s="9" t="n"/>
      <c r="L286" s="9" t="n"/>
      <c r="M286" s="9" t="n"/>
      <c r="N286" s="20" t="n"/>
      <c r="O286" s="20">
        <f>IF(C286="", "", TRIM(RIGHT(C286, LEN(C286) - FIND("@@", SUBSTITUTE(C286, "-", "@@", LEN(C286) - LEN(SUBSTITUTE(C286, "-", "")))))))</f>
        <v/>
      </c>
      <c r="P286" s="20">
        <f t="array" ref="P286">IFERROR(XLOOKUP(O286,'Department Listing'!$O$1:$O$395,'Department Listing'!$A$1:$A$395),IFERROR(XLOOKUP(O286,'Name Aliases'!$A$2:$A$1000,'Name Aliases'!$B$2:$B$1000),""))</f>
        <v/>
      </c>
      <c r="Q286" s="21">
        <f>IF(ISBLANK($C286),"",$B286)</f>
        <v/>
      </c>
      <c r="R286" s="20">
        <f>IF(ISBLANK($C286),"",IF(ISBLANK($I286),$D286,$I286))</f>
        <v/>
      </c>
      <c r="S286" s="22">
        <f>IF(ISBLANK($C286),"",$F286 - $G286)</f>
        <v/>
      </c>
      <c r="T286" s="20">
        <f>IF(ISBLANK($C286),"",C286)</f>
        <v/>
      </c>
      <c r="U286" s="20">
        <f>IF(ISBLANK($C286),"",$D$1)</f>
        <v/>
      </c>
      <c r="V286" s="22">
        <f t="array" ref="V286">IF(ISBLANK($B286),"",IF(ISBLANK($K286),IF(XLOOKUP($W286,'Category Mapping'!$C:$C,'Category Mapping'!$B:$B)="Travel",XLOOKUP($P286,'Department Listing'!$A:$A,'Department Listing'!$M:$M),XLOOKUP($W286,'Category Mapping'!$C:$C,'Category Mapping'!$D:$D)),$K286))</f>
        <v/>
      </c>
      <c r="W286" s="22">
        <f>IF(ISBLANK($B286),"",IF(ISBLANK($L286),RIGHT($E286,LEN($E286) - FIND("^",SUBSTITUTE($E286,":","^",LEN($E286) - LEN(SUBSTITUTE($E286,":",""))))),$L286))</f>
        <v/>
      </c>
      <c r="X286" s="22">
        <f>IF(ISBLANK($J286),$V286&amp;$W286,$J286)</f>
        <v/>
      </c>
      <c r="Y286" s="23">
        <f t="array" ref="Y286">IF(ISBLANK($M286),IFERROR(XLOOKUP($P286,'Department Listing'!$A:$A,'Department Listing'!$L:$L),""),$M286)</f>
        <v/>
      </c>
      <c r="Z286" s="11">
        <f>IF(ISBLANK($B286),"",MATCH($X286,COA!$B:$B,0))</f>
        <v/>
      </c>
    </row>
    <row r="287" ht="15.75" customHeight="1" s="52">
      <c r="B287" s="17" t="n"/>
      <c r="E287" s="26" t="n"/>
      <c r="F287" s="19" t="n"/>
      <c r="G287" s="10" t="n"/>
      <c r="H287" s="10" t="n"/>
      <c r="I287" s="9" t="n"/>
      <c r="J287" s="9" t="n"/>
      <c r="K287" s="9" t="n"/>
      <c r="L287" s="9" t="n"/>
      <c r="M287" s="9" t="n"/>
      <c r="N287" s="20" t="n"/>
      <c r="O287" s="20">
        <f>IF(C287="", "", TRIM(RIGHT(C287, LEN(C287) - FIND("@@", SUBSTITUTE(C287, "-", "@@", LEN(C287) - LEN(SUBSTITUTE(C287, "-", "")))))))</f>
        <v/>
      </c>
      <c r="P287" s="20">
        <f t="array" ref="P287">IFERROR(XLOOKUP(O287,'Department Listing'!$O$1:$O$395,'Department Listing'!$A$1:$A$395),IFERROR(XLOOKUP(O287,'Name Aliases'!$A$2:$A$1000,'Name Aliases'!$B$2:$B$1000),""))</f>
        <v/>
      </c>
      <c r="Q287" s="21">
        <f>IF(ISBLANK($C287),"",$B287)</f>
        <v/>
      </c>
      <c r="R287" s="20">
        <f>IF(ISBLANK($C287),"",IF(ISBLANK($I287),$D287,$I287))</f>
        <v/>
      </c>
      <c r="S287" s="22">
        <f>IF(ISBLANK($C287),"",$F287 - $G287)</f>
        <v/>
      </c>
      <c r="T287" s="20">
        <f>IF(ISBLANK($C287),"",C287)</f>
        <v/>
      </c>
      <c r="U287" s="20">
        <f>IF(ISBLANK($C287),"",$D$1)</f>
        <v/>
      </c>
      <c r="V287" s="22">
        <f t="array" ref="V287">IF(ISBLANK($B287),"",IF(ISBLANK($K287),IF(XLOOKUP($W287,'Category Mapping'!$C:$C,'Category Mapping'!$B:$B)="Travel",XLOOKUP($P287,'Department Listing'!$A:$A,'Department Listing'!$M:$M),XLOOKUP($W287,'Category Mapping'!$C:$C,'Category Mapping'!$D:$D)),$K287))</f>
        <v/>
      </c>
      <c r="W287" s="22">
        <f>IF(ISBLANK($B287),"",IF(ISBLANK($L287),RIGHT($E287,LEN($E287) - FIND("^",SUBSTITUTE($E287,":","^",LEN($E287) - LEN(SUBSTITUTE($E287,":",""))))),$L287))</f>
        <v/>
      </c>
      <c r="X287" s="22">
        <f>IF(ISBLANK($J287),$V287&amp;$W287,$J287)</f>
        <v/>
      </c>
      <c r="Y287" s="23">
        <f t="array" ref="Y287">IF(ISBLANK($M287),IFERROR(XLOOKUP($P287,'Department Listing'!$A:$A,'Department Listing'!$L:$L),""),$M287)</f>
        <v/>
      </c>
      <c r="Z287" s="11">
        <f>IF(ISBLANK($B287),"",MATCH($X287,COA!$B:$B,0))</f>
        <v/>
      </c>
    </row>
    <row r="288" ht="15.75" customHeight="1" s="52">
      <c r="B288" s="17" t="n"/>
      <c r="E288" s="26" t="n"/>
      <c r="F288" s="19" t="n"/>
      <c r="G288" s="10" t="n"/>
      <c r="H288" s="10" t="n"/>
      <c r="I288" s="9" t="n"/>
      <c r="J288" s="9" t="n"/>
      <c r="K288" s="9" t="n"/>
      <c r="L288" s="9" t="n"/>
      <c r="M288" s="9" t="n"/>
      <c r="N288" s="20" t="n"/>
      <c r="O288" s="20">
        <f>IF(C288="", "", TRIM(RIGHT(C288, LEN(C288) - FIND("@@", SUBSTITUTE(C288, "-", "@@", LEN(C288) - LEN(SUBSTITUTE(C288, "-", "")))))))</f>
        <v/>
      </c>
      <c r="P288" s="20">
        <f t="array" ref="P288">IFERROR(XLOOKUP(O288,'Department Listing'!$O$1:$O$395,'Department Listing'!$A$1:$A$395),IFERROR(XLOOKUP(O288,'Name Aliases'!$A$2:$A$1000,'Name Aliases'!$B$2:$B$1000),""))</f>
        <v/>
      </c>
      <c r="Q288" s="21">
        <f>IF(ISBLANK($C288),"",$B288)</f>
        <v/>
      </c>
      <c r="R288" s="20">
        <f>IF(ISBLANK($C288),"",IF(ISBLANK($I288),$D288,$I288))</f>
        <v/>
      </c>
      <c r="S288" s="22">
        <f>IF(ISBLANK($C288),"",$F288 - $G288)</f>
        <v/>
      </c>
      <c r="T288" s="20">
        <f>IF(ISBLANK($C288),"",C288)</f>
        <v/>
      </c>
      <c r="U288" s="20">
        <f>IF(ISBLANK($C288),"",$D$1)</f>
        <v/>
      </c>
      <c r="V288" s="22">
        <f t="array" ref="V288">IF(ISBLANK($B288),"",IF(ISBLANK($K288),IF(XLOOKUP($W288,'Category Mapping'!$C:$C,'Category Mapping'!$B:$B)="Travel",XLOOKUP($P288,'Department Listing'!$A:$A,'Department Listing'!$M:$M),XLOOKUP($W288,'Category Mapping'!$C:$C,'Category Mapping'!$D:$D)),$K288))</f>
        <v/>
      </c>
      <c r="W288" s="22">
        <f>IF(ISBLANK($B288),"",IF(ISBLANK($L288),RIGHT($E288,LEN($E288) - FIND("^",SUBSTITUTE($E288,":","^",LEN($E288) - LEN(SUBSTITUTE($E288,":",""))))),$L288))</f>
        <v/>
      </c>
      <c r="X288" s="22">
        <f>IF(ISBLANK($J288),$V288&amp;$W288,$J288)</f>
        <v/>
      </c>
      <c r="Y288" s="23">
        <f t="array" ref="Y288">IF(ISBLANK($M288),IFERROR(XLOOKUP($P288,'Department Listing'!$A:$A,'Department Listing'!$L:$L),""),$M288)</f>
        <v/>
      </c>
      <c r="Z288" s="11">
        <f>IF(ISBLANK($B288),"",MATCH($X288,COA!$B:$B,0))</f>
        <v/>
      </c>
    </row>
    <row r="289" ht="15.75" customHeight="1" s="52">
      <c r="B289" s="17" t="n"/>
      <c r="E289" s="26" t="n"/>
      <c r="F289" s="19" t="n"/>
      <c r="G289" s="10" t="n"/>
      <c r="H289" s="10" t="n"/>
      <c r="I289" s="9" t="n"/>
      <c r="J289" s="9" t="n"/>
      <c r="K289" s="9" t="n"/>
      <c r="L289" s="9" t="n"/>
      <c r="M289" s="9" t="n"/>
      <c r="N289" s="20" t="n"/>
      <c r="O289" s="20">
        <f>IF(C289="", "", TRIM(RIGHT(C289, LEN(C289) - FIND("@@", SUBSTITUTE(C289, "-", "@@", LEN(C289) - LEN(SUBSTITUTE(C289, "-", "")))))))</f>
        <v/>
      </c>
      <c r="P289" s="20">
        <f t="array" ref="P289">IFERROR(XLOOKUP(O289,'Department Listing'!$O$1:$O$395,'Department Listing'!$A$1:$A$395),IFERROR(XLOOKUP(O289,'Name Aliases'!$A$2:$A$1000,'Name Aliases'!$B$2:$B$1000),""))</f>
        <v/>
      </c>
      <c r="Q289" s="21">
        <f>IF(ISBLANK($C289),"",$B289)</f>
        <v/>
      </c>
      <c r="R289" s="20">
        <f>IF(ISBLANK($C289),"",IF(ISBLANK($I289),$D289,$I289))</f>
        <v/>
      </c>
      <c r="S289" s="22">
        <f>IF(ISBLANK($C289),"",$F289 - $G289)</f>
        <v/>
      </c>
      <c r="T289" s="20">
        <f>IF(ISBLANK($C289),"",C289)</f>
        <v/>
      </c>
      <c r="U289" s="20">
        <f>IF(ISBLANK($C289),"",$D$1)</f>
        <v/>
      </c>
      <c r="V289" s="22">
        <f t="array" ref="V289">IF(ISBLANK($B289),"",IF(ISBLANK($K289),IF(XLOOKUP($W289,'Category Mapping'!$C:$C,'Category Mapping'!$B:$B)="Travel",XLOOKUP($P289,'Department Listing'!$A:$A,'Department Listing'!$M:$M),XLOOKUP($W289,'Category Mapping'!$C:$C,'Category Mapping'!$D:$D)),$K289))</f>
        <v/>
      </c>
      <c r="W289" s="22">
        <f>IF(ISBLANK($B289),"",IF(ISBLANK($L289),RIGHT($E289,LEN($E289) - FIND("^",SUBSTITUTE($E289,":","^",LEN($E289) - LEN(SUBSTITUTE($E289,":",""))))),$L289))</f>
        <v/>
      </c>
      <c r="X289" s="22">
        <f>IF(ISBLANK($J289),$V289&amp;$W289,$J289)</f>
        <v/>
      </c>
      <c r="Y289" s="23">
        <f t="array" ref="Y289">IF(ISBLANK($M289),IFERROR(XLOOKUP($P289,'Department Listing'!$A:$A,'Department Listing'!$L:$L),""),$M289)</f>
        <v/>
      </c>
      <c r="Z289" s="11">
        <f>IF(ISBLANK($B289),"",MATCH($X289,COA!$B:$B,0))</f>
        <v/>
      </c>
    </row>
    <row r="290" ht="15.75" customHeight="1" s="52">
      <c r="B290" s="17" t="n"/>
      <c r="E290" s="26" t="n"/>
      <c r="F290" s="19" t="n"/>
      <c r="G290" s="10" t="n"/>
      <c r="H290" s="10" t="n"/>
      <c r="I290" s="9" t="n"/>
      <c r="J290" s="9" t="n"/>
      <c r="K290" s="9" t="n"/>
      <c r="L290" s="9" t="n"/>
      <c r="M290" s="9" t="n"/>
      <c r="N290" s="20" t="n"/>
      <c r="O290" s="20">
        <f>IF(C290="", "", TRIM(RIGHT(C290, LEN(C290) - FIND("@@", SUBSTITUTE(C290, "-", "@@", LEN(C290) - LEN(SUBSTITUTE(C290, "-", "")))))))</f>
        <v/>
      </c>
      <c r="P290" s="20">
        <f t="array" ref="P290">IFERROR(XLOOKUP(O290,'Department Listing'!$O$1:$O$395,'Department Listing'!$A$1:$A$395),IFERROR(XLOOKUP(O290,'Name Aliases'!$A$2:$A$1000,'Name Aliases'!$B$2:$B$1000),""))</f>
        <v/>
      </c>
      <c r="Q290" s="21">
        <f>IF(ISBLANK($C290),"",$B290)</f>
        <v/>
      </c>
      <c r="R290" s="20">
        <f>IF(ISBLANK($C290),"",IF(ISBLANK($I290),$D290,$I290))</f>
        <v/>
      </c>
      <c r="S290" s="22">
        <f>IF(ISBLANK($C290),"",$F290 - $G290)</f>
        <v/>
      </c>
      <c r="T290" s="20">
        <f>IF(ISBLANK($C290),"",C290)</f>
        <v/>
      </c>
      <c r="U290" s="20">
        <f>IF(ISBLANK($C290),"",$D$1)</f>
        <v/>
      </c>
      <c r="V290" s="22">
        <f t="array" ref="V290">IF(ISBLANK($B290),"",IF(ISBLANK($K290),IF(XLOOKUP($W290,'Category Mapping'!$C:$C,'Category Mapping'!$B:$B)="Travel",XLOOKUP($P290,'Department Listing'!$A:$A,'Department Listing'!$M:$M),XLOOKUP($W290,'Category Mapping'!$C:$C,'Category Mapping'!$D:$D)),$K290))</f>
        <v/>
      </c>
      <c r="W290" s="22">
        <f>IF(ISBLANK($B290),"",IF(ISBLANK($L290),RIGHT($E290,LEN($E290) - FIND("^",SUBSTITUTE($E290,":","^",LEN($E290) - LEN(SUBSTITUTE($E290,":",""))))),$L290))</f>
        <v/>
      </c>
      <c r="X290" s="22">
        <f>IF(ISBLANK($J290),$V290&amp;$W290,$J290)</f>
        <v/>
      </c>
      <c r="Y290" s="23">
        <f t="array" ref="Y290">IF(ISBLANK($M290),IFERROR(XLOOKUP($P290,'Department Listing'!$A:$A,'Department Listing'!$L:$L),""),$M290)</f>
        <v/>
      </c>
      <c r="Z290" s="11">
        <f>IF(ISBLANK($B290),"",MATCH($X290,COA!$B:$B,0))</f>
        <v/>
      </c>
    </row>
    <row r="291" ht="15.75" customHeight="1" s="52">
      <c r="B291" s="17" t="n"/>
      <c r="E291" s="26" t="n"/>
      <c r="F291" s="19" t="n"/>
      <c r="G291" s="10" t="n"/>
      <c r="H291" s="10" t="n"/>
      <c r="I291" s="9" t="n"/>
      <c r="J291" s="9" t="n"/>
      <c r="K291" s="9" t="n"/>
      <c r="L291" s="9" t="n"/>
      <c r="M291" s="9" t="n"/>
      <c r="N291" s="20" t="n"/>
      <c r="O291" s="20">
        <f>IF(C291="", "", TRIM(RIGHT(C291, LEN(C291) - FIND("@@", SUBSTITUTE(C291, "-", "@@", LEN(C291) - LEN(SUBSTITUTE(C291, "-", "")))))))</f>
        <v/>
      </c>
      <c r="P291" s="20">
        <f t="array" ref="P291">IFERROR(XLOOKUP(O291,'Department Listing'!$O$1:$O$395,'Department Listing'!$A$1:$A$395),IFERROR(XLOOKUP(O291,'Name Aliases'!$A$2:$A$1000,'Name Aliases'!$B$2:$B$1000),""))</f>
        <v/>
      </c>
      <c r="Q291" s="21">
        <f>IF(ISBLANK($C291),"",$B291)</f>
        <v/>
      </c>
      <c r="R291" s="20">
        <f>IF(ISBLANK($C291),"",IF(ISBLANK($I291),$D291,$I291))</f>
        <v/>
      </c>
      <c r="S291" s="22">
        <f>IF(ISBLANK($C291),"",$F291 - $G291)</f>
        <v/>
      </c>
      <c r="T291" s="20">
        <f>IF(ISBLANK($C291),"",C291)</f>
        <v/>
      </c>
      <c r="U291" s="20">
        <f>IF(ISBLANK($C291),"",$D$1)</f>
        <v/>
      </c>
      <c r="V291" s="22">
        <f t="array" ref="V291">IF(ISBLANK($B291),"",IF(ISBLANK($K291),IF(XLOOKUP($W291,'Category Mapping'!$C:$C,'Category Mapping'!$B:$B)="Travel",XLOOKUP($P291,'Department Listing'!$A:$A,'Department Listing'!$M:$M),XLOOKUP($W291,'Category Mapping'!$C:$C,'Category Mapping'!$D:$D)),$K291))</f>
        <v/>
      </c>
      <c r="W291" s="22">
        <f>IF(ISBLANK($B291),"",IF(ISBLANK($L291),RIGHT($E291,LEN($E291) - FIND("^",SUBSTITUTE($E291,":","^",LEN($E291) - LEN(SUBSTITUTE($E291,":",""))))),$L291))</f>
        <v/>
      </c>
      <c r="X291" s="22">
        <f>IF(ISBLANK($J291),$V291&amp;$W291,$J291)</f>
        <v/>
      </c>
      <c r="Y291" s="23">
        <f t="array" ref="Y291">IF(ISBLANK($M291),IFERROR(XLOOKUP($P291,'Department Listing'!$A:$A,'Department Listing'!$L:$L),""),$M291)</f>
        <v/>
      </c>
      <c r="Z291" s="11">
        <f>IF(ISBLANK($B291),"",MATCH($X291,COA!$B:$B,0))</f>
        <v/>
      </c>
    </row>
    <row r="292" ht="15.75" customHeight="1" s="52">
      <c r="B292" s="17" t="n"/>
      <c r="E292" s="26" t="n"/>
      <c r="F292" s="19" t="n"/>
      <c r="G292" s="10" t="n"/>
      <c r="H292" s="10" t="n"/>
      <c r="I292" s="9" t="n"/>
      <c r="J292" s="9" t="n"/>
      <c r="K292" s="9" t="n"/>
      <c r="L292" s="9" t="n"/>
      <c r="M292" s="9" t="n"/>
      <c r="N292" s="20" t="n"/>
      <c r="O292" s="20">
        <f>IF(C292="", "", TRIM(RIGHT(C292, LEN(C292) - FIND("@@", SUBSTITUTE(C292, "-", "@@", LEN(C292) - LEN(SUBSTITUTE(C292, "-", "")))))))</f>
        <v/>
      </c>
      <c r="P292" s="20">
        <f t="array" ref="P292">IFERROR(XLOOKUP(O292,'Department Listing'!$O$1:$O$395,'Department Listing'!$A$1:$A$395),IFERROR(XLOOKUP(O292,'Name Aliases'!$A$2:$A$1000,'Name Aliases'!$B$2:$B$1000),""))</f>
        <v/>
      </c>
      <c r="Q292" s="21">
        <f>IF(ISBLANK($C292),"",$B292)</f>
        <v/>
      </c>
      <c r="R292" s="20">
        <f>IF(ISBLANK($C292),"",IF(ISBLANK($I292),$D292,$I292))</f>
        <v/>
      </c>
      <c r="S292" s="22">
        <f>IF(ISBLANK($C292),"",$F292 - $G292)</f>
        <v/>
      </c>
      <c r="T292" s="20">
        <f>IF(ISBLANK($C292),"",C292)</f>
        <v/>
      </c>
      <c r="U292" s="20">
        <f>IF(ISBLANK($C292),"",$D$1)</f>
        <v/>
      </c>
      <c r="V292" s="22">
        <f t="array" ref="V292">IF(ISBLANK($B292),"",IF(ISBLANK($K292),IF(XLOOKUP($W292,'Category Mapping'!$C:$C,'Category Mapping'!$B:$B)="Travel",XLOOKUP($P292,'Department Listing'!$A:$A,'Department Listing'!$M:$M),XLOOKUP($W292,'Category Mapping'!$C:$C,'Category Mapping'!$D:$D)),$K292))</f>
        <v/>
      </c>
      <c r="W292" s="22">
        <f>IF(ISBLANK($B292),"",IF(ISBLANK($L292),RIGHT($E292,LEN($E292) - FIND("^",SUBSTITUTE($E292,":","^",LEN($E292) - LEN(SUBSTITUTE($E292,":",""))))),$L292))</f>
        <v/>
      </c>
      <c r="X292" s="22">
        <f>IF(ISBLANK($J292),$V292&amp;$W292,$J292)</f>
        <v/>
      </c>
      <c r="Y292" s="23">
        <f t="array" ref="Y292">IF(ISBLANK($M292),IFERROR(XLOOKUP($P292,'Department Listing'!$A:$A,'Department Listing'!$L:$L),""),$M292)</f>
        <v/>
      </c>
      <c r="Z292" s="11">
        <f>IF(ISBLANK($B292),"",MATCH($X292,COA!$B:$B,0))</f>
        <v/>
      </c>
    </row>
    <row r="293" ht="15.75" customHeight="1" s="52">
      <c r="B293" s="17" t="n"/>
      <c r="E293" s="26" t="n"/>
      <c r="F293" s="19" t="n"/>
      <c r="G293" s="10" t="n"/>
      <c r="H293" s="10" t="n"/>
      <c r="I293" s="9" t="n"/>
      <c r="J293" s="9" t="n"/>
      <c r="K293" s="9" t="n"/>
      <c r="L293" s="9" t="n"/>
      <c r="M293" s="9" t="n"/>
      <c r="N293" s="20" t="n"/>
      <c r="O293" s="20">
        <f>IF(C293="", "", TRIM(RIGHT(C293, LEN(C293) - FIND("@@", SUBSTITUTE(C293, "-", "@@", LEN(C293) - LEN(SUBSTITUTE(C293, "-", "")))))))</f>
        <v/>
      </c>
      <c r="P293" s="20">
        <f t="array" ref="P293">IFERROR(XLOOKUP(O293,'Department Listing'!$O$1:$O$395,'Department Listing'!$A$1:$A$395),IFERROR(XLOOKUP(O293,'Name Aliases'!$A$2:$A$1000,'Name Aliases'!$B$2:$B$1000),""))</f>
        <v/>
      </c>
      <c r="Q293" s="21">
        <f>IF(ISBLANK($C293),"",$B293)</f>
        <v/>
      </c>
      <c r="R293" s="20">
        <f>IF(ISBLANK($C293),"",IF(ISBLANK($I293),$D293,$I293))</f>
        <v/>
      </c>
      <c r="S293" s="22">
        <f>IF(ISBLANK($C293),"",$F293 - $G293)</f>
        <v/>
      </c>
      <c r="T293" s="20">
        <f>IF(ISBLANK($C293),"",C293)</f>
        <v/>
      </c>
      <c r="U293" s="20">
        <f>IF(ISBLANK($C293),"",$D$1)</f>
        <v/>
      </c>
      <c r="V293" s="22">
        <f t="array" ref="V293">IF(ISBLANK($B293),"",IF(ISBLANK($K293),IF(XLOOKUP($W293,'Category Mapping'!$C:$C,'Category Mapping'!$B:$B)="Travel",XLOOKUP($P293,'Department Listing'!$A:$A,'Department Listing'!$M:$M),XLOOKUP($W293,'Category Mapping'!$C:$C,'Category Mapping'!$D:$D)),$K293))</f>
        <v/>
      </c>
      <c r="W293" s="22">
        <f>IF(ISBLANK($B293),"",IF(ISBLANK($L293),RIGHT($E293,LEN($E293) - FIND("^",SUBSTITUTE($E293,":","^",LEN($E293) - LEN(SUBSTITUTE($E293,":",""))))),$L293))</f>
        <v/>
      </c>
      <c r="X293" s="22">
        <f>IF(ISBLANK($J293),$V293&amp;$W293,$J293)</f>
        <v/>
      </c>
      <c r="Y293" s="23">
        <f t="array" ref="Y293">IF(ISBLANK($M293),IFERROR(XLOOKUP($P293,'Department Listing'!$A:$A,'Department Listing'!$L:$L),""),$M293)</f>
        <v/>
      </c>
      <c r="Z293" s="11">
        <f>IF(ISBLANK($B293),"",MATCH($X293,COA!$B:$B,0))</f>
        <v/>
      </c>
    </row>
    <row r="294" ht="15.75" customHeight="1" s="52">
      <c r="B294" s="17" t="n"/>
      <c r="E294" s="26" t="n"/>
      <c r="F294" s="19" t="n"/>
      <c r="G294" s="10" t="n"/>
      <c r="H294" s="10" t="n"/>
      <c r="I294" s="9" t="n"/>
      <c r="J294" s="9" t="n"/>
      <c r="K294" s="9" t="n"/>
      <c r="L294" s="9" t="n"/>
      <c r="M294" s="9" t="n"/>
      <c r="N294" s="20" t="n"/>
      <c r="O294" s="20">
        <f>IF(C294="", "", TRIM(RIGHT(C294, LEN(C294) - FIND("@@", SUBSTITUTE(C294, "-", "@@", LEN(C294) - LEN(SUBSTITUTE(C294, "-", "")))))))</f>
        <v/>
      </c>
      <c r="P294" s="20">
        <f t="array" ref="P294">IFERROR(XLOOKUP(O294,'Department Listing'!$O$1:$O$395,'Department Listing'!$A$1:$A$395),IFERROR(XLOOKUP(O294,'Name Aliases'!$A$2:$A$1000,'Name Aliases'!$B$2:$B$1000),""))</f>
        <v/>
      </c>
      <c r="Q294" s="21">
        <f>IF(ISBLANK($C294),"",$B294)</f>
        <v/>
      </c>
      <c r="R294" s="20">
        <f>IF(ISBLANK($C294),"",IF(ISBLANK($I294),$D294,$I294))</f>
        <v/>
      </c>
      <c r="S294" s="22">
        <f>IF(ISBLANK($C294),"",$F294 - $G294)</f>
        <v/>
      </c>
      <c r="T294" s="20">
        <f>IF(ISBLANK($C294),"",C294)</f>
        <v/>
      </c>
      <c r="U294" s="20">
        <f>IF(ISBLANK($C294),"",$D$1)</f>
        <v/>
      </c>
      <c r="V294" s="22">
        <f t="array" ref="V294">IF(ISBLANK($B294),"",IF(ISBLANK($K294),IF(XLOOKUP($W294,'Category Mapping'!$C:$C,'Category Mapping'!$B:$B)="Travel",XLOOKUP($P294,'Department Listing'!$A:$A,'Department Listing'!$M:$M),XLOOKUP($W294,'Category Mapping'!$C:$C,'Category Mapping'!$D:$D)),$K294))</f>
        <v/>
      </c>
      <c r="W294" s="22">
        <f>IF(ISBLANK($B294),"",IF(ISBLANK($L294),RIGHT($E294,LEN($E294) - FIND("^",SUBSTITUTE($E294,":","^",LEN($E294) - LEN(SUBSTITUTE($E294,":",""))))),$L294))</f>
        <v/>
      </c>
      <c r="X294" s="22">
        <f>IF(ISBLANK($J294),$V294&amp;$W294,$J294)</f>
        <v/>
      </c>
      <c r="Y294" s="23">
        <f t="array" ref="Y294">IF(ISBLANK($M294),IFERROR(XLOOKUP($P294,'Department Listing'!$A:$A,'Department Listing'!$L:$L),""),$M294)</f>
        <v/>
      </c>
      <c r="Z294" s="11">
        <f>IF(ISBLANK($B294),"",MATCH($X294,COA!$B:$B,0))</f>
        <v/>
      </c>
    </row>
    <row r="295" ht="15.75" customHeight="1" s="52">
      <c r="B295" s="17" t="n"/>
      <c r="E295" s="26" t="n"/>
      <c r="F295" s="19" t="n"/>
      <c r="G295" s="10" t="n"/>
      <c r="H295" s="10" t="n"/>
      <c r="I295" s="9" t="n"/>
      <c r="J295" s="9" t="n"/>
      <c r="K295" s="9" t="n"/>
      <c r="L295" s="9" t="n"/>
      <c r="M295" s="9" t="n"/>
      <c r="N295" s="20" t="n"/>
      <c r="O295" s="20">
        <f>IF(C295="", "", TRIM(RIGHT(C295, LEN(C295) - FIND("@@", SUBSTITUTE(C295, "-", "@@", LEN(C295) - LEN(SUBSTITUTE(C295, "-", "")))))))</f>
        <v/>
      </c>
      <c r="P295" s="20">
        <f t="array" ref="P295">IFERROR(XLOOKUP(O295,'Department Listing'!$O$1:$O$395,'Department Listing'!$A$1:$A$395),IFERROR(XLOOKUP(O295,'Name Aliases'!$A$2:$A$1000,'Name Aliases'!$B$2:$B$1000),""))</f>
        <v/>
      </c>
      <c r="Q295" s="21">
        <f>IF(ISBLANK($C295),"",$B295)</f>
        <v/>
      </c>
      <c r="R295" s="20">
        <f>IF(ISBLANK($C295),"",IF(ISBLANK($I295),$D295,$I295))</f>
        <v/>
      </c>
      <c r="S295" s="22">
        <f>IF(ISBLANK($C295),"",$F295 - $G295)</f>
        <v/>
      </c>
      <c r="T295" s="20">
        <f>IF(ISBLANK($C295),"",C295)</f>
        <v/>
      </c>
      <c r="U295" s="20">
        <f>IF(ISBLANK($C295),"",$D$1)</f>
        <v/>
      </c>
      <c r="V295" s="22">
        <f t="array" ref="V295">IF(ISBLANK($B295),"",IF(ISBLANK($K295),IF(XLOOKUP($W295,'Category Mapping'!$C:$C,'Category Mapping'!$B:$B)="Travel",XLOOKUP($P295,'Department Listing'!$A:$A,'Department Listing'!$M:$M),XLOOKUP($W295,'Category Mapping'!$C:$C,'Category Mapping'!$D:$D)),$K295))</f>
        <v/>
      </c>
      <c r="W295" s="22">
        <f>IF(ISBLANK($B295),"",IF(ISBLANK($L295),RIGHT($E295,LEN($E295) - FIND("^",SUBSTITUTE($E295,":","^",LEN($E295) - LEN(SUBSTITUTE($E295,":",""))))),$L295))</f>
        <v/>
      </c>
      <c r="X295" s="22">
        <f>IF(ISBLANK($J295),$V295&amp;$W295,$J295)</f>
        <v/>
      </c>
      <c r="Y295" s="23">
        <f t="array" ref="Y295">IF(ISBLANK($M295),IFERROR(XLOOKUP($P295,'Department Listing'!$A:$A,'Department Listing'!$L:$L),""),$M295)</f>
        <v/>
      </c>
      <c r="Z295" s="11">
        <f>IF(ISBLANK($B295),"",MATCH($X295,COA!$B:$B,0))</f>
        <v/>
      </c>
    </row>
    <row r="296" ht="15.75" customHeight="1" s="52">
      <c r="B296" s="17" t="n"/>
      <c r="E296" s="26" t="n"/>
      <c r="F296" s="19" t="n"/>
      <c r="G296" s="10" t="n"/>
      <c r="H296" s="10" t="n"/>
      <c r="I296" s="9" t="n"/>
      <c r="J296" s="9" t="n"/>
      <c r="K296" s="9" t="n"/>
      <c r="L296" s="9" t="n"/>
      <c r="M296" s="9" t="n"/>
      <c r="N296" s="20" t="n"/>
      <c r="O296" s="20">
        <f>IF(C296="", "", TRIM(RIGHT(C296, LEN(C296) - FIND("@@", SUBSTITUTE(C296, "-", "@@", LEN(C296) - LEN(SUBSTITUTE(C296, "-", "")))))))</f>
        <v/>
      </c>
      <c r="P296" s="20">
        <f t="array" ref="P296">IFERROR(XLOOKUP(O296,'Department Listing'!$O$1:$O$395,'Department Listing'!$A$1:$A$395),IFERROR(XLOOKUP(O296,'Name Aliases'!$A$2:$A$1000,'Name Aliases'!$B$2:$B$1000),""))</f>
        <v/>
      </c>
      <c r="Q296" s="21">
        <f>IF(ISBLANK($C296),"",$B296)</f>
        <v/>
      </c>
      <c r="R296" s="20">
        <f>IF(ISBLANK($C296),"",IF(ISBLANK($I296),$D296,$I296))</f>
        <v/>
      </c>
      <c r="S296" s="22">
        <f>IF(ISBLANK($C296),"",$F296 - $G296)</f>
        <v/>
      </c>
      <c r="T296" s="20">
        <f>IF(ISBLANK($C296),"",C296)</f>
        <v/>
      </c>
      <c r="U296" s="20">
        <f>IF(ISBLANK($C296),"",$D$1)</f>
        <v/>
      </c>
      <c r="V296" s="22">
        <f t="array" ref="V296">IF(ISBLANK($B296),"",IF(ISBLANK($K296),IF(XLOOKUP($W296,'Category Mapping'!$C:$C,'Category Mapping'!$B:$B)="Travel",XLOOKUP($P296,'Department Listing'!$A:$A,'Department Listing'!$M:$M),XLOOKUP($W296,'Category Mapping'!$C:$C,'Category Mapping'!$D:$D)),$K296))</f>
        <v/>
      </c>
      <c r="W296" s="22">
        <f>IF(ISBLANK($B296),"",IF(ISBLANK($L296),RIGHT($E296,LEN($E296) - FIND("^",SUBSTITUTE($E296,":","^",LEN($E296) - LEN(SUBSTITUTE($E296,":",""))))),$L296))</f>
        <v/>
      </c>
      <c r="X296" s="22">
        <f>IF(ISBLANK($J296),$V296&amp;$W296,$J296)</f>
        <v/>
      </c>
      <c r="Y296" s="23">
        <f t="array" ref="Y296">IF(ISBLANK($M296),IFERROR(XLOOKUP($P296,'Department Listing'!$A:$A,'Department Listing'!$L:$L),""),$M296)</f>
        <v/>
      </c>
      <c r="Z296" s="11">
        <f>IF(ISBLANK($B296),"",MATCH($X296,COA!$B:$B,0))</f>
        <v/>
      </c>
    </row>
    <row r="297" ht="15.75" customHeight="1" s="52">
      <c r="B297" s="17" t="n"/>
      <c r="E297" s="26" t="n"/>
      <c r="F297" s="19" t="n"/>
      <c r="G297" s="10" t="n"/>
      <c r="H297" s="10" t="n"/>
      <c r="I297" s="9" t="n"/>
      <c r="J297" s="9" t="n"/>
      <c r="K297" s="9" t="n"/>
      <c r="L297" s="9" t="n"/>
      <c r="M297" s="9" t="n"/>
      <c r="N297" s="20" t="n"/>
      <c r="O297" s="20">
        <f>IF(C297="", "", TRIM(RIGHT(C297, LEN(C297) - FIND("@@", SUBSTITUTE(C297, "-", "@@", LEN(C297) - LEN(SUBSTITUTE(C297, "-", "")))))))</f>
        <v/>
      </c>
      <c r="P297" s="20">
        <f t="array" ref="P297">IFERROR(XLOOKUP(O297,'Department Listing'!$O$1:$O$395,'Department Listing'!$A$1:$A$395),IFERROR(XLOOKUP(O297,'Name Aliases'!$A$2:$A$1000,'Name Aliases'!$B$2:$B$1000),""))</f>
        <v/>
      </c>
      <c r="Q297" s="21">
        <f>IF(ISBLANK($C297),"",$B297)</f>
        <v/>
      </c>
      <c r="R297" s="20">
        <f>IF(ISBLANK($C297),"",IF(ISBLANK($I297),$D297,$I297))</f>
        <v/>
      </c>
      <c r="S297" s="22">
        <f>IF(ISBLANK($C297),"",$F297 - $G297)</f>
        <v/>
      </c>
      <c r="T297" s="20">
        <f>IF(ISBLANK($C297),"",C297)</f>
        <v/>
      </c>
      <c r="U297" s="20">
        <f>IF(ISBLANK($C297),"",$D$1)</f>
        <v/>
      </c>
      <c r="V297" s="22">
        <f t="array" ref="V297">IF(ISBLANK($B297),"",IF(ISBLANK($K297),IF(XLOOKUP($W297,'Category Mapping'!$C:$C,'Category Mapping'!$B:$B)="Travel",XLOOKUP($P297,'Department Listing'!$A:$A,'Department Listing'!$M:$M),XLOOKUP($W297,'Category Mapping'!$C:$C,'Category Mapping'!$D:$D)),$K297))</f>
        <v/>
      </c>
      <c r="W297" s="22">
        <f>IF(ISBLANK($B297),"",IF(ISBLANK($L297),RIGHT($E297,LEN($E297) - FIND("^",SUBSTITUTE($E297,":","^",LEN($E297) - LEN(SUBSTITUTE($E297,":",""))))),$L297))</f>
        <v/>
      </c>
      <c r="X297" s="22">
        <f>IF(ISBLANK($J297),$V297&amp;$W297,$J297)</f>
        <v/>
      </c>
      <c r="Y297" s="23">
        <f t="array" ref="Y297">IF(ISBLANK($M297),IFERROR(XLOOKUP($P297,'Department Listing'!$A:$A,'Department Listing'!$L:$L),""),$M297)</f>
        <v/>
      </c>
      <c r="Z297" s="11">
        <f>IF(ISBLANK($B297),"",MATCH($X297,COA!$B:$B,0))</f>
        <v/>
      </c>
    </row>
    <row r="298" ht="15.75" customHeight="1" s="52">
      <c r="B298" s="17" t="n"/>
      <c r="E298" s="26" t="n"/>
      <c r="F298" s="19" t="n"/>
      <c r="G298" s="10" t="n"/>
      <c r="H298" s="10" t="n"/>
      <c r="I298" s="9" t="n"/>
      <c r="J298" s="9" t="n"/>
      <c r="K298" s="9" t="n"/>
      <c r="L298" s="9" t="n"/>
      <c r="M298" s="9" t="n"/>
      <c r="N298" s="20" t="n"/>
      <c r="O298" s="20">
        <f>IF(C298="", "", TRIM(RIGHT(C298, LEN(C298) - FIND("@@", SUBSTITUTE(C298, "-", "@@", LEN(C298) - LEN(SUBSTITUTE(C298, "-", "")))))))</f>
        <v/>
      </c>
      <c r="P298" s="20">
        <f t="array" ref="P298">IFERROR(XLOOKUP(O298,'Department Listing'!$O$1:$O$395,'Department Listing'!$A$1:$A$395),IFERROR(XLOOKUP(O298,'Name Aliases'!$A$2:$A$1000,'Name Aliases'!$B$2:$B$1000),""))</f>
        <v/>
      </c>
      <c r="Q298" s="21">
        <f>IF(ISBLANK($C298),"",$B298)</f>
        <v/>
      </c>
      <c r="R298" s="20">
        <f>IF(ISBLANK($C298),"",IF(ISBLANK($I298),$D298,$I298))</f>
        <v/>
      </c>
      <c r="S298" s="22">
        <f>IF(ISBLANK($C298),"",$F298 - $G298)</f>
        <v/>
      </c>
      <c r="T298" s="20">
        <f>IF(ISBLANK($C298),"",C298)</f>
        <v/>
      </c>
      <c r="U298" s="20">
        <f>IF(ISBLANK($C298),"",$D$1)</f>
        <v/>
      </c>
      <c r="V298" s="22">
        <f t="array" ref="V298">IF(ISBLANK($B298),"",IF(ISBLANK($K298),IF(XLOOKUP($W298,'Category Mapping'!$C:$C,'Category Mapping'!$B:$B)="Travel",XLOOKUP($P298,'Department Listing'!$A:$A,'Department Listing'!$M:$M),XLOOKUP($W298,'Category Mapping'!$C:$C,'Category Mapping'!$D:$D)),$K298))</f>
        <v/>
      </c>
      <c r="W298" s="22">
        <f>IF(ISBLANK($B298),"",IF(ISBLANK($L298),RIGHT($E298,LEN($E298) - FIND("^",SUBSTITUTE($E298,":","^",LEN($E298) - LEN(SUBSTITUTE($E298,":",""))))),$L298))</f>
        <v/>
      </c>
      <c r="X298" s="22">
        <f>IF(ISBLANK($J298),$V298&amp;$W298,$J298)</f>
        <v/>
      </c>
      <c r="Y298" s="23">
        <f t="array" ref="Y298">IF(ISBLANK($M298),IFERROR(XLOOKUP($P298,'Department Listing'!$A:$A,'Department Listing'!$L:$L),""),$M298)</f>
        <v/>
      </c>
      <c r="Z298" s="11">
        <f>IF(ISBLANK($B298),"",MATCH($X298,COA!$B:$B,0))</f>
        <v/>
      </c>
    </row>
    <row r="299" ht="15.75" customHeight="1" s="52">
      <c r="B299" s="17" t="n"/>
      <c r="E299" s="26" t="n"/>
      <c r="F299" s="19" t="n"/>
      <c r="G299" s="10" t="n"/>
      <c r="H299" s="10" t="n"/>
      <c r="I299" s="9" t="n"/>
      <c r="J299" s="9" t="n"/>
      <c r="K299" s="9" t="n"/>
      <c r="L299" s="9" t="n"/>
      <c r="M299" s="9" t="n"/>
      <c r="N299" s="20" t="n"/>
      <c r="O299" s="20">
        <f>IF(C299="", "", TRIM(RIGHT(C299, LEN(C299) - FIND("@@", SUBSTITUTE(C299, "-", "@@", LEN(C299) - LEN(SUBSTITUTE(C299, "-", "")))))))</f>
        <v/>
      </c>
      <c r="P299" s="20">
        <f t="array" ref="P299">IFERROR(XLOOKUP(O299,'Department Listing'!$O$1:$O$395,'Department Listing'!$A$1:$A$395),IFERROR(XLOOKUP(O299,'Name Aliases'!$A$2:$A$1000,'Name Aliases'!$B$2:$B$1000),""))</f>
        <v/>
      </c>
      <c r="Q299" s="21">
        <f>IF(ISBLANK($C299),"",$B299)</f>
        <v/>
      </c>
      <c r="R299" s="20">
        <f>IF(ISBLANK($C299),"",IF(ISBLANK($I299),$D299,$I299))</f>
        <v/>
      </c>
      <c r="S299" s="22">
        <f>IF(ISBLANK($C299),"",$F299 - $G299)</f>
        <v/>
      </c>
      <c r="T299" s="20">
        <f>IF(ISBLANK($C299),"",C299)</f>
        <v/>
      </c>
      <c r="U299" s="20">
        <f>IF(ISBLANK($C299),"",$D$1)</f>
        <v/>
      </c>
      <c r="V299" s="22">
        <f t="array" ref="V299">IF(ISBLANK($B299),"",IF(ISBLANK($K299),IF(XLOOKUP($W299,'Category Mapping'!$C:$C,'Category Mapping'!$B:$B)="Travel",XLOOKUP($P299,'Department Listing'!$A:$A,'Department Listing'!$M:$M),XLOOKUP($W299,'Category Mapping'!$C:$C,'Category Mapping'!$D:$D)),$K299))</f>
        <v/>
      </c>
      <c r="W299" s="22">
        <f>IF(ISBLANK($B299),"",IF(ISBLANK($L299),RIGHT($E299,LEN($E299) - FIND("^",SUBSTITUTE($E299,":","^",LEN($E299) - LEN(SUBSTITUTE($E299,":",""))))),$L299))</f>
        <v/>
      </c>
      <c r="X299" s="22">
        <f>IF(ISBLANK($J299),$V299&amp;$W299,$J299)</f>
        <v/>
      </c>
      <c r="Y299" s="23">
        <f t="array" ref="Y299">IF(ISBLANK($M299),IFERROR(XLOOKUP($P299,'Department Listing'!$A:$A,'Department Listing'!$L:$L),""),$M299)</f>
        <v/>
      </c>
      <c r="Z299" s="11">
        <f>IF(ISBLANK($B299),"",MATCH($X299,COA!$B:$B,0))</f>
        <v/>
      </c>
    </row>
    <row r="300" ht="15.75" customHeight="1" s="52">
      <c r="B300" s="17" t="n"/>
      <c r="E300" s="26" t="n"/>
      <c r="F300" s="19" t="n"/>
      <c r="G300" s="10" t="n"/>
      <c r="H300" s="10" t="n"/>
      <c r="I300" s="9" t="n"/>
      <c r="J300" s="9" t="n"/>
      <c r="K300" s="9" t="n"/>
      <c r="L300" s="9" t="n"/>
      <c r="M300" s="9" t="n"/>
      <c r="N300" s="20" t="n"/>
      <c r="O300" s="20">
        <f>IF(C300="", "", TRIM(RIGHT(C300, LEN(C300) - FIND("@@", SUBSTITUTE(C300, "-", "@@", LEN(C300) - LEN(SUBSTITUTE(C300, "-", "")))))))</f>
        <v/>
      </c>
      <c r="P300" s="20">
        <f t="array" ref="P300">IFERROR(XLOOKUP(O300,'Department Listing'!$O$1:$O$395,'Department Listing'!$A$1:$A$395),IFERROR(XLOOKUP(O300,'Name Aliases'!$A$2:$A$1000,'Name Aliases'!$B$2:$B$1000),""))</f>
        <v/>
      </c>
      <c r="Q300" s="21">
        <f>IF(ISBLANK($C300),"",$B300)</f>
        <v/>
      </c>
      <c r="R300" s="20">
        <f>IF(ISBLANK($C300),"",IF(ISBLANK($I300),$D300,$I300))</f>
        <v/>
      </c>
      <c r="S300" s="22">
        <f>IF(ISBLANK($C300),"",$F300 - $G300)</f>
        <v/>
      </c>
      <c r="T300" s="20">
        <f>IF(ISBLANK($C300),"",C300)</f>
        <v/>
      </c>
      <c r="U300" s="20">
        <f>IF(ISBLANK($C300),"",$D$1)</f>
        <v/>
      </c>
      <c r="V300" s="22">
        <f t="array" ref="V300">IF(ISBLANK($B300),"",IF(ISBLANK($K300),IF(XLOOKUP($W300,'Category Mapping'!$C:$C,'Category Mapping'!$B:$B)="Travel",XLOOKUP($P300,'Department Listing'!$A:$A,'Department Listing'!$M:$M),XLOOKUP($W300,'Category Mapping'!$C:$C,'Category Mapping'!$D:$D)),$K300))</f>
        <v/>
      </c>
      <c r="W300" s="22">
        <f>IF(ISBLANK($B300),"",IF(ISBLANK($L300),RIGHT($E300,LEN($E300) - FIND("^",SUBSTITUTE($E300,":","^",LEN($E300) - LEN(SUBSTITUTE($E300,":",""))))),$L300))</f>
        <v/>
      </c>
      <c r="X300" s="22">
        <f>IF(ISBLANK($J300),$V300&amp;$W300,$J300)</f>
        <v/>
      </c>
      <c r="Y300" s="23">
        <f t="array" ref="Y300">IF(ISBLANK($M300),IFERROR(XLOOKUP($P300,'Department Listing'!$A:$A,'Department Listing'!$L:$L),""),$M300)</f>
        <v/>
      </c>
      <c r="Z300" s="11">
        <f>IF(ISBLANK($B300),"",MATCH($X300,COA!$B:$B,0))</f>
        <v/>
      </c>
    </row>
    <row r="301" ht="15.75" customHeight="1" s="52">
      <c r="B301" s="17" t="n"/>
      <c r="E301" s="26" t="n"/>
      <c r="F301" s="19" t="n"/>
      <c r="G301" s="10" t="n"/>
      <c r="H301" s="10" t="n"/>
      <c r="I301" s="9" t="n"/>
      <c r="J301" s="9" t="n"/>
      <c r="K301" s="9" t="n"/>
      <c r="L301" s="9" t="n"/>
      <c r="M301" s="9" t="n"/>
      <c r="N301" s="20" t="n"/>
      <c r="O301" s="20">
        <f>IF(C301="", "", TRIM(RIGHT(C301, LEN(C301) - FIND("@@", SUBSTITUTE(C301, "-", "@@", LEN(C301) - LEN(SUBSTITUTE(C301, "-", "")))))))</f>
        <v/>
      </c>
      <c r="P301" s="20">
        <f t="array" ref="P301">IFERROR(XLOOKUP(O301,'Department Listing'!$O$1:$O$395,'Department Listing'!$A$1:$A$395),IFERROR(XLOOKUP(O301,'Name Aliases'!$A$2:$A$1000,'Name Aliases'!$B$2:$B$1000),""))</f>
        <v/>
      </c>
      <c r="Q301" s="21">
        <f>IF(ISBLANK($C301),"",$B301)</f>
        <v/>
      </c>
      <c r="R301" s="20">
        <f>IF(ISBLANK($C301),"",IF(ISBLANK($I301),$D301,$I301))</f>
        <v/>
      </c>
      <c r="S301" s="22">
        <f>IF(ISBLANK($C301),"",$F301 - $G301)</f>
        <v/>
      </c>
      <c r="T301" s="20">
        <f>IF(ISBLANK($C301),"",C301)</f>
        <v/>
      </c>
      <c r="U301" s="20">
        <f>IF(ISBLANK($C301),"",$D$1)</f>
        <v/>
      </c>
      <c r="V301" s="22">
        <f t="array" ref="V301">IF(ISBLANK($B301),"",IF(ISBLANK($K301),IF(XLOOKUP($W301,'Category Mapping'!$C:$C,'Category Mapping'!$B:$B)="Travel",XLOOKUP($P301,'Department Listing'!$A:$A,'Department Listing'!$M:$M),XLOOKUP($W301,'Category Mapping'!$C:$C,'Category Mapping'!$D:$D)),$K301))</f>
        <v/>
      </c>
      <c r="W301" s="22">
        <f>IF(ISBLANK($B301),"",IF(ISBLANK($L301),RIGHT($E301,LEN($E301) - FIND("^",SUBSTITUTE($E301,":","^",LEN($E301) - LEN(SUBSTITUTE($E301,":",""))))),$L301))</f>
        <v/>
      </c>
      <c r="X301" s="22">
        <f>IF(ISBLANK($J301),$V301&amp;$W301,$J301)</f>
        <v/>
      </c>
      <c r="Y301" s="23">
        <f t="array" ref="Y301">IF(ISBLANK($M301),IFERROR(XLOOKUP($P301,'Department Listing'!$A:$A,'Department Listing'!$L:$L),""),$M301)</f>
        <v/>
      </c>
      <c r="Z301" s="11">
        <f>IF(ISBLANK($B301),"",MATCH($X301,COA!$B:$B,0))</f>
        <v/>
      </c>
    </row>
    <row r="302" ht="15.75" customHeight="1" s="52">
      <c r="B302" s="17" t="n"/>
      <c r="E302" s="26" t="n"/>
      <c r="F302" s="19" t="n"/>
      <c r="G302" s="10" t="n"/>
      <c r="H302" s="10" t="n"/>
      <c r="I302" s="9" t="n"/>
      <c r="J302" s="9" t="n"/>
      <c r="K302" s="9" t="n"/>
      <c r="L302" s="9" t="n"/>
      <c r="M302" s="9" t="n"/>
      <c r="N302" s="20" t="n"/>
      <c r="O302" s="20">
        <f>IF(C302="", "", TRIM(RIGHT(C302, LEN(C302) - FIND("@@", SUBSTITUTE(C302, "-", "@@", LEN(C302) - LEN(SUBSTITUTE(C302, "-", "")))))))</f>
        <v/>
      </c>
      <c r="P302" s="20">
        <f t="array" ref="P302">IFERROR(XLOOKUP(O302,'Department Listing'!$O$1:$O$395,'Department Listing'!$A$1:$A$395),IFERROR(XLOOKUP(O302,'Name Aliases'!$A$2:$A$1000,'Name Aliases'!$B$2:$B$1000),""))</f>
        <v/>
      </c>
      <c r="Q302" s="21">
        <f>IF(ISBLANK($C302),"",$B302)</f>
        <v/>
      </c>
      <c r="R302" s="20">
        <f>IF(ISBLANK($C302),"",IF(ISBLANK($I302),$D302,$I302))</f>
        <v/>
      </c>
      <c r="S302" s="22">
        <f>IF(ISBLANK($C302),"",$F302 - $G302)</f>
        <v/>
      </c>
      <c r="T302" s="20">
        <f>IF(ISBLANK($C302),"",C302)</f>
        <v/>
      </c>
      <c r="U302" s="20">
        <f>IF(ISBLANK($C302),"",$D$1)</f>
        <v/>
      </c>
      <c r="V302" s="22">
        <f t="array" ref="V302">IF(ISBLANK($B302),"",IF(ISBLANK($K302),IF(XLOOKUP($W302,'Category Mapping'!$C:$C,'Category Mapping'!$B:$B)="Travel",XLOOKUP($P302,'Department Listing'!$A:$A,'Department Listing'!$M:$M),XLOOKUP($W302,'Category Mapping'!$C:$C,'Category Mapping'!$D:$D)),$K302))</f>
        <v/>
      </c>
      <c r="W302" s="22">
        <f>IF(ISBLANK($B302),"",IF(ISBLANK($L302),RIGHT($E302,LEN($E302) - FIND("^",SUBSTITUTE($E302,":","^",LEN($E302) - LEN(SUBSTITUTE($E302,":",""))))),$L302))</f>
        <v/>
      </c>
      <c r="X302" s="22">
        <f>IF(ISBLANK($J302),$V302&amp;$W302,$J302)</f>
        <v/>
      </c>
      <c r="Y302" s="23">
        <f t="array" ref="Y302">IF(ISBLANK($M302),IFERROR(XLOOKUP($P302,'Department Listing'!$A:$A,'Department Listing'!$L:$L),""),$M302)</f>
        <v/>
      </c>
      <c r="Z302" s="11">
        <f>IF(ISBLANK($B302),"",MATCH($X302,COA!$B:$B,0))</f>
        <v/>
      </c>
    </row>
    <row r="303" ht="15.75" customHeight="1" s="52">
      <c r="B303" s="17" t="n"/>
      <c r="E303" s="26" t="n"/>
      <c r="F303" s="19" t="n"/>
      <c r="G303" s="10" t="n"/>
      <c r="H303" s="10" t="n"/>
      <c r="I303" s="9" t="n"/>
      <c r="J303" s="9" t="n"/>
      <c r="K303" s="9" t="n"/>
      <c r="L303" s="9" t="n"/>
      <c r="M303" s="9" t="n"/>
      <c r="N303" s="20" t="n"/>
      <c r="O303" s="20">
        <f>IF(C303="", "", TRIM(RIGHT(C303, LEN(C303) - FIND("@@", SUBSTITUTE(C303, "-", "@@", LEN(C303) - LEN(SUBSTITUTE(C303, "-", "")))))))</f>
        <v/>
      </c>
      <c r="P303" s="20">
        <f t="array" ref="P303">IFERROR(XLOOKUP(O303,'Department Listing'!$O$1:$O$395,'Department Listing'!$A$1:$A$395),IFERROR(XLOOKUP(O303,'Name Aliases'!$A$2:$A$1000,'Name Aliases'!$B$2:$B$1000),""))</f>
        <v/>
      </c>
      <c r="Q303" s="21">
        <f>IF(ISBLANK($C303),"",$B303)</f>
        <v/>
      </c>
      <c r="R303" s="20">
        <f>IF(ISBLANK($C303),"",IF(ISBLANK($I303),$D303,$I303))</f>
        <v/>
      </c>
      <c r="S303" s="22">
        <f>IF(ISBLANK($C303),"",$F303 - $G303)</f>
        <v/>
      </c>
      <c r="T303" s="20">
        <f>IF(ISBLANK($C303),"",C303)</f>
        <v/>
      </c>
      <c r="U303" s="20">
        <f>IF(ISBLANK($C303),"",$D$1)</f>
        <v/>
      </c>
      <c r="V303" s="22">
        <f t="array" ref="V303">IF(ISBLANK($B303),"",IF(ISBLANK($K303),IF(XLOOKUP($W303,'Category Mapping'!$C:$C,'Category Mapping'!$B:$B)="Travel",XLOOKUP($P303,'Department Listing'!$A:$A,'Department Listing'!$M:$M),XLOOKUP($W303,'Category Mapping'!$C:$C,'Category Mapping'!$D:$D)),$K303))</f>
        <v/>
      </c>
      <c r="W303" s="22">
        <f>IF(ISBLANK($B303),"",IF(ISBLANK($L303),RIGHT($E303,LEN($E303) - FIND("^",SUBSTITUTE($E303,":","^",LEN($E303) - LEN(SUBSTITUTE($E303,":",""))))),$L303))</f>
        <v/>
      </c>
      <c r="X303" s="22">
        <f>IF(ISBLANK($J303),$V303&amp;$W303,$J303)</f>
        <v/>
      </c>
      <c r="Y303" s="23">
        <f t="array" ref="Y303">IF(ISBLANK($M303),IFERROR(XLOOKUP($P303,'Department Listing'!$A:$A,'Department Listing'!$L:$L),""),$M303)</f>
        <v/>
      </c>
      <c r="Z303" s="11">
        <f>IF(ISBLANK($B303),"",MATCH($X303,COA!$B:$B,0))</f>
        <v/>
      </c>
    </row>
    <row r="304" ht="15.75" customHeight="1" s="52">
      <c r="B304" s="17" t="n"/>
      <c r="E304" s="26" t="n"/>
      <c r="F304" s="19" t="n"/>
      <c r="G304" s="10" t="n"/>
      <c r="H304" s="10" t="n"/>
      <c r="I304" s="9" t="n"/>
      <c r="J304" s="9" t="n"/>
      <c r="K304" s="9" t="n"/>
      <c r="L304" s="9" t="n"/>
      <c r="M304" s="9" t="n"/>
      <c r="N304" s="20" t="n"/>
      <c r="O304" s="20">
        <f>IF(C304="", "", TRIM(RIGHT(C304, LEN(C304) - FIND("@@", SUBSTITUTE(C304, "-", "@@", LEN(C304) - LEN(SUBSTITUTE(C304, "-", "")))))))</f>
        <v/>
      </c>
      <c r="P304" s="20">
        <f t="array" ref="P304">IFERROR(XLOOKUP(O304,'Department Listing'!$O$1:$O$395,'Department Listing'!$A$1:$A$395),IFERROR(XLOOKUP(O304,'Name Aliases'!$A$2:$A$1000,'Name Aliases'!$B$2:$B$1000),""))</f>
        <v/>
      </c>
      <c r="Q304" s="21">
        <f>IF(ISBLANK($C304),"",$B304)</f>
        <v/>
      </c>
      <c r="R304" s="20">
        <f>IF(ISBLANK($C304),"",IF(ISBLANK($I304),$D304,$I304))</f>
        <v/>
      </c>
      <c r="S304" s="22">
        <f>IF(ISBLANK($C304),"",$F304 - $G304)</f>
        <v/>
      </c>
      <c r="T304" s="20">
        <f>IF(ISBLANK($C304),"",C304)</f>
        <v/>
      </c>
      <c r="U304" s="20">
        <f>IF(ISBLANK($C304),"",$D$1)</f>
        <v/>
      </c>
      <c r="V304" s="22">
        <f t="array" ref="V304">IF(ISBLANK($B304),"",IF(ISBLANK($K304),IF(XLOOKUP($W304,'Category Mapping'!$C:$C,'Category Mapping'!$B:$B)="Travel",XLOOKUP($P304,'Department Listing'!$A:$A,'Department Listing'!$M:$M),XLOOKUP($W304,'Category Mapping'!$C:$C,'Category Mapping'!$D:$D)),$K304))</f>
        <v/>
      </c>
      <c r="W304" s="22">
        <f>IF(ISBLANK($B304),"",IF(ISBLANK($L304),RIGHT($E304,LEN($E304) - FIND("^",SUBSTITUTE($E304,":","^",LEN($E304) - LEN(SUBSTITUTE($E304,":",""))))),$L304))</f>
        <v/>
      </c>
      <c r="X304" s="22">
        <f>IF(ISBLANK($J304),$V304&amp;$W304,$J304)</f>
        <v/>
      </c>
      <c r="Y304" s="23">
        <f t="array" ref="Y304">IF(ISBLANK($M304),IFERROR(XLOOKUP($P304,'Department Listing'!$A:$A,'Department Listing'!$L:$L),""),$M304)</f>
        <v/>
      </c>
      <c r="Z304" s="11">
        <f>IF(ISBLANK($B304),"",MATCH($X304,COA!$B:$B,0))</f>
        <v/>
      </c>
    </row>
    <row r="305" ht="15.75" customHeight="1" s="52">
      <c r="B305" s="17" t="n"/>
      <c r="E305" s="26" t="n"/>
      <c r="F305" s="19" t="n"/>
      <c r="G305" s="10" t="n"/>
      <c r="H305" s="10" t="n"/>
      <c r="I305" s="9" t="n"/>
      <c r="J305" s="9" t="n"/>
      <c r="K305" s="9" t="n"/>
      <c r="L305" s="9" t="n"/>
      <c r="M305" s="9" t="n"/>
      <c r="N305" s="20" t="n"/>
      <c r="O305" s="20">
        <f>IF(C305="", "", TRIM(RIGHT(C305, LEN(C305) - FIND("@@", SUBSTITUTE(C305, "-", "@@", LEN(C305) - LEN(SUBSTITUTE(C305, "-", "")))))))</f>
        <v/>
      </c>
      <c r="P305" s="20">
        <f t="array" ref="P305">IFERROR(XLOOKUP(O305,'Department Listing'!$O$1:$O$395,'Department Listing'!$A$1:$A$395),IFERROR(XLOOKUP(O305,'Name Aliases'!$A$2:$A$1000,'Name Aliases'!$B$2:$B$1000),""))</f>
        <v/>
      </c>
      <c r="Q305" s="21">
        <f>IF(ISBLANK($C305),"",$B305)</f>
        <v/>
      </c>
      <c r="R305" s="20">
        <f>IF(ISBLANK($C305),"",IF(ISBLANK($I305),$D305,$I305))</f>
        <v/>
      </c>
      <c r="S305" s="22">
        <f>IF(ISBLANK($C305),"",$F305 - $G305)</f>
        <v/>
      </c>
      <c r="T305" s="20">
        <f>IF(ISBLANK($C305),"",C305)</f>
        <v/>
      </c>
      <c r="U305" s="20">
        <f>IF(ISBLANK($C305),"",$D$1)</f>
        <v/>
      </c>
      <c r="V305" s="22">
        <f t="array" ref="V305">IF(ISBLANK($B305),"",IF(ISBLANK($K305),IF(XLOOKUP($W305,'Category Mapping'!$C:$C,'Category Mapping'!$B:$B)="Travel",XLOOKUP($P305,'Department Listing'!$A:$A,'Department Listing'!$M:$M),XLOOKUP($W305,'Category Mapping'!$C:$C,'Category Mapping'!$D:$D)),$K305))</f>
        <v/>
      </c>
      <c r="W305" s="22">
        <f>IF(ISBLANK($B305),"",IF(ISBLANK($L305),RIGHT($E305,LEN($E305) - FIND("^",SUBSTITUTE($E305,":","^",LEN($E305) - LEN(SUBSTITUTE($E305,":",""))))),$L305))</f>
        <v/>
      </c>
      <c r="X305" s="22">
        <f>IF(ISBLANK($J305),$V305&amp;$W305,$J305)</f>
        <v/>
      </c>
      <c r="Y305" s="23">
        <f t="array" ref="Y305">IF(ISBLANK($M305),IFERROR(XLOOKUP($P305,'Department Listing'!$A:$A,'Department Listing'!$L:$L),""),$M305)</f>
        <v/>
      </c>
      <c r="Z305" s="11">
        <f>IF(ISBLANK($B305),"",MATCH($X305,COA!$B:$B,0))</f>
        <v/>
      </c>
    </row>
    <row r="306" ht="15.75" customHeight="1" s="52">
      <c r="B306" s="17" t="n"/>
      <c r="E306" s="26" t="n"/>
      <c r="F306" s="19" t="n"/>
      <c r="G306" s="10" t="n"/>
      <c r="H306" s="10" t="n"/>
      <c r="I306" s="9" t="n"/>
      <c r="J306" s="9" t="n"/>
      <c r="K306" s="9" t="n"/>
      <c r="L306" s="9" t="n"/>
      <c r="M306" s="9" t="n"/>
      <c r="N306" s="20" t="n"/>
      <c r="O306" s="20">
        <f>IF(C306="", "", TRIM(RIGHT(C306, LEN(C306) - FIND("@@", SUBSTITUTE(C306, "-", "@@", LEN(C306) - LEN(SUBSTITUTE(C306, "-", "")))))))</f>
        <v/>
      </c>
      <c r="P306" s="20">
        <f t="array" ref="P306">IFERROR(XLOOKUP(O306,'Department Listing'!$O$1:$O$395,'Department Listing'!$A$1:$A$395),IFERROR(XLOOKUP(O306,'Name Aliases'!$A$2:$A$1000,'Name Aliases'!$B$2:$B$1000),""))</f>
        <v/>
      </c>
      <c r="Q306" s="21">
        <f>IF(ISBLANK($C306),"",$B306)</f>
        <v/>
      </c>
      <c r="R306" s="20">
        <f>IF(ISBLANK($C306),"",IF(ISBLANK($I306),$D306,$I306))</f>
        <v/>
      </c>
      <c r="S306" s="22">
        <f>IF(ISBLANK($C306),"",$F306 - $G306)</f>
        <v/>
      </c>
      <c r="T306" s="20">
        <f>IF(ISBLANK($C306),"",C306)</f>
        <v/>
      </c>
      <c r="U306" s="20">
        <f>IF(ISBLANK($C306),"",$D$1)</f>
        <v/>
      </c>
      <c r="V306" s="22">
        <f t="array" ref="V306">IF(ISBLANK($B306),"",IF(ISBLANK($K306),IF(XLOOKUP($W306,'Category Mapping'!$C:$C,'Category Mapping'!$B:$B)="Travel",XLOOKUP($P306,'Department Listing'!$A:$A,'Department Listing'!$M:$M),XLOOKUP($W306,'Category Mapping'!$C:$C,'Category Mapping'!$D:$D)),$K306))</f>
        <v/>
      </c>
      <c r="W306" s="22">
        <f>IF(ISBLANK($B306),"",IF(ISBLANK($L306),RIGHT($E306,LEN($E306) - FIND("^",SUBSTITUTE($E306,":","^",LEN($E306) - LEN(SUBSTITUTE($E306,":",""))))),$L306))</f>
        <v/>
      </c>
      <c r="X306" s="22">
        <f>IF(ISBLANK($J306),$V306&amp;$W306,$J306)</f>
        <v/>
      </c>
      <c r="Y306" s="23">
        <f t="array" ref="Y306">IF(ISBLANK($M306),IFERROR(XLOOKUP($P306,'Department Listing'!$A:$A,'Department Listing'!$L:$L),""),$M306)</f>
        <v/>
      </c>
      <c r="Z306" s="11">
        <f>IF(ISBLANK($B306),"",MATCH($X306,COA!$B:$B,0))</f>
        <v/>
      </c>
    </row>
    <row r="307" ht="15.75" customHeight="1" s="52">
      <c r="B307" s="17" t="n"/>
      <c r="E307" s="26" t="n"/>
      <c r="F307" s="19" t="n"/>
      <c r="G307" s="10" t="n"/>
      <c r="H307" s="10" t="n"/>
      <c r="I307" s="9" t="n"/>
      <c r="J307" s="9" t="n"/>
      <c r="K307" s="9" t="n"/>
      <c r="L307" s="9" t="n"/>
      <c r="M307" s="9" t="n"/>
      <c r="N307" s="20" t="n"/>
      <c r="O307" s="20">
        <f>IF(C307="", "", TRIM(RIGHT(C307, LEN(C307) - FIND("@@", SUBSTITUTE(C307, "-", "@@", LEN(C307) - LEN(SUBSTITUTE(C307, "-", "")))))))</f>
        <v/>
      </c>
      <c r="P307" s="20">
        <f t="array" ref="P307">IFERROR(XLOOKUP(O307,'Department Listing'!$O$1:$O$395,'Department Listing'!$A$1:$A$395),IFERROR(XLOOKUP(O307,'Name Aliases'!$A$2:$A$1000,'Name Aliases'!$B$2:$B$1000),""))</f>
        <v/>
      </c>
      <c r="Q307" s="21">
        <f>IF(ISBLANK($C307),"",$B307)</f>
        <v/>
      </c>
      <c r="R307" s="20">
        <f>IF(ISBLANK($C307),"",IF(ISBLANK($I307),$D307,$I307))</f>
        <v/>
      </c>
      <c r="S307" s="22">
        <f>IF(ISBLANK($C307),"",$F307 - $G307)</f>
        <v/>
      </c>
      <c r="T307" s="20">
        <f>IF(ISBLANK($C307),"",C307)</f>
        <v/>
      </c>
      <c r="U307" s="20">
        <f>IF(ISBLANK($C307),"",$D$1)</f>
        <v/>
      </c>
      <c r="V307" s="22">
        <f t="array" ref="V307">IF(ISBLANK($B307),"",IF(ISBLANK($K307),IF(XLOOKUP($W307,'Category Mapping'!$C:$C,'Category Mapping'!$B:$B)="Travel",XLOOKUP($P307,'Department Listing'!$A:$A,'Department Listing'!$M:$M),XLOOKUP($W307,'Category Mapping'!$C:$C,'Category Mapping'!$D:$D)),$K307))</f>
        <v/>
      </c>
      <c r="W307" s="22">
        <f>IF(ISBLANK($B307),"",IF(ISBLANK($L307),RIGHT($E307,LEN($E307) - FIND("^",SUBSTITUTE($E307,":","^",LEN($E307) - LEN(SUBSTITUTE($E307,":",""))))),$L307))</f>
        <v/>
      </c>
      <c r="X307" s="22">
        <f>IF(ISBLANK($J307),$V307&amp;$W307,$J307)</f>
        <v/>
      </c>
      <c r="Y307" s="23">
        <f t="array" ref="Y307">IF(ISBLANK($M307),IFERROR(XLOOKUP($P307,'Department Listing'!$A:$A,'Department Listing'!$L:$L),""),$M307)</f>
        <v/>
      </c>
      <c r="Z307" s="11">
        <f>IF(ISBLANK($B307),"",MATCH($X307,COA!$B:$B,0))</f>
        <v/>
      </c>
    </row>
    <row r="308" ht="15.75" customHeight="1" s="52">
      <c r="B308" s="17" t="n"/>
      <c r="E308" s="26" t="n"/>
      <c r="F308" s="19" t="n"/>
      <c r="G308" s="10" t="n"/>
      <c r="H308" s="10" t="n"/>
      <c r="I308" s="9" t="n"/>
      <c r="J308" s="9" t="n"/>
      <c r="K308" s="9" t="n"/>
      <c r="L308" s="9" t="n"/>
      <c r="M308" s="9" t="n"/>
      <c r="N308" s="20" t="n"/>
      <c r="O308" s="20">
        <f>IF(C308="", "", TRIM(RIGHT(C308, LEN(C308) - FIND("@@", SUBSTITUTE(C308, "-", "@@", LEN(C308) - LEN(SUBSTITUTE(C308, "-", "")))))))</f>
        <v/>
      </c>
      <c r="P308" s="20">
        <f t="array" ref="P308">IFERROR(XLOOKUP(O308,'Department Listing'!$O$1:$O$395,'Department Listing'!$A$1:$A$395),IFERROR(XLOOKUP(O308,'Name Aliases'!$A$2:$A$1000,'Name Aliases'!$B$2:$B$1000),""))</f>
        <v/>
      </c>
      <c r="Q308" s="21">
        <f>IF(ISBLANK($C308),"",$B308)</f>
        <v/>
      </c>
      <c r="R308" s="20">
        <f>IF(ISBLANK($C308),"",IF(ISBLANK($I308),$D308,$I308))</f>
        <v/>
      </c>
      <c r="S308" s="22">
        <f>IF(ISBLANK($C308),"",$F308 - $G308)</f>
        <v/>
      </c>
      <c r="T308" s="20">
        <f>IF(ISBLANK($C308),"",C308)</f>
        <v/>
      </c>
      <c r="U308" s="20">
        <f>IF(ISBLANK($C308),"",$D$1)</f>
        <v/>
      </c>
      <c r="V308" s="22">
        <f t="array" ref="V308">IF(ISBLANK($B308),"",IF(ISBLANK($K308),IF(XLOOKUP($W308,'Category Mapping'!$C:$C,'Category Mapping'!$B:$B)="Travel",XLOOKUP($P308,'Department Listing'!$A:$A,'Department Listing'!$M:$M),XLOOKUP($W308,'Category Mapping'!$C:$C,'Category Mapping'!$D:$D)),$K308))</f>
        <v/>
      </c>
      <c r="W308" s="22">
        <f>IF(ISBLANK($B308),"",IF(ISBLANK($L308),RIGHT($E308,LEN($E308) - FIND("^",SUBSTITUTE($E308,":","^",LEN($E308) - LEN(SUBSTITUTE($E308,":",""))))),$L308))</f>
        <v/>
      </c>
      <c r="X308" s="22">
        <f>IF(ISBLANK($J308),$V308&amp;$W308,$J308)</f>
        <v/>
      </c>
      <c r="Y308" s="23">
        <f t="array" ref="Y308">IF(ISBLANK($M308),IFERROR(XLOOKUP($P308,'Department Listing'!$A:$A,'Department Listing'!$L:$L),""),$M308)</f>
        <v/>
      </c>
      <c r="Z308" s="11">
        <f>IF(ISBLANK($B308),"",MATCH($X308,COA!$B:$B,0))</f>
        <v/>
      </c>
    </row>
    <row r="309" ht="15.75" customHeight="1" s="52">
      <c r="B309" s="17" t="n"/>
      <c r="E309" s="26" t="n"/>
      <c r="F309" s="19" t="n"/>
      <c r="G309" s="10" t="n"/>
      <c r="H309" s="10" t="n"/>
      <c r="I309" s="9" t="n"/>
      <c r="J309" s="9" t="n"/>
      <c r="K309" s="9" t="n"/>
      <c r="L309" s="9" t="n"/>
      <c r="M309" s="9" t="n"/>
      <c r="N309" s="20" t="n"/>
      <c r="O309" s="20">
        <f>IF(C309="", "", TRIM(RIGHT(C309, LEN(C309) - FIND("@@", SUBSTITUTE(C309, "-", "@@", LEN(C309) - LEN(SUBSTITUTE(C309, "-", "")))))))</f>
        <v/>
      </c>
      <c r="P309" s="20">
        <f t="array" ref="P309">IFERROR(XLOOKUP(O309,'Department Listing'!$O$1:$O$395,'Department Listing'!$A$1:$A$395),IFERROR(XLOOKUP(O309,'Name Aliases'!$A$2:$A$1000,'Name Aliases'!$B$2:$B$1000),""))</f>
        <v/>
      </c>
      <c r="Q309" s="21">
        <f>IF(ISBLANK($C309),"",$B309)</f>
        <v/>
      </c>
      <c r="R309" s="20">
        <f>IF(ISBLANK($C309),"",IF(ISBLANK($I309),$D309,$I309))</f>
        <v/>
      </c>
      <c r="S309" s="22">
        <f>IF(ISBLANK($C309),"",$F309 - $G309)</f>
        <v/>
      </c>
      <c r="T309" s="20">
        <f>IF(ISBLANK($C309),"",C309)</f>
        <v/>
      </c>
      <c r="U309" s="20">
        <f>IF(ISBLANK($C309),"",$D$1)</f>
        <v/>
      </c>
      <c r="V309" s="22">
        <f t="array" ref="V309">IF(ISBLANK($B309),"",IF(ISBLANK($K309),IF(XLOOKUP($W309,'Category Mapping'!$C:$C,'Category Mapping'!$B:$B)="Travel",XLOOKUP($P309,'Department Listing'!$A:$A,'Department Listing'!$M:$M),XLOOKUP($W309,'Category Mapping'!$C:$C,'Category Mapping'!$D:$D)),$K309))</f>
        <v/>
      </c>
      <c r="W309" s="22">
        <f>IF(ISBLANK($B309),"",IF(ISBLANK($L309),RIGHT($E309,LEN($E309) - FIND("^",SUBSTITUTE($E309,":","^",LEN($E309) - LEN(SUBSTITUTE($E309,":",""))))),$L309))</f>
        <v/>
      </c>
      <c r="X309" s="22">
        <f>IF(ISBLANK($J309),$V309&amp;$W309,$J309)</f>
        <v/>
      </c>
      <c r="Y309" s="23">
        <f t="array" ref="Y309">IF(ISBLANK($M309),IFERROR(XLOOKUP($P309,'Department Listing'!$A:$A,'Department Listing'!$L:$L),""),$M309)</f>
        <v/>
      </c>
      <c r="Z309" s="11">
        <f>IF(ISBLANK($B309),"",MATCH($X309,COA!$B:$B,0))</f>
        <v/>
      </c>
    </row>
    <row r="310" ht="15.75" customHeight="1" s="52">
      <c r="B310" s="17" t="n"/>
      <c r="E310" s="26" t="n"/>
      <c r="F310" s="19" t="n"/>
      <c r="G310" s="10" t="n"/>
      <c r="H310" s="10" t="n"/>
      <c r="I310" s="9" t="n"/>
      <c r="J310" s="9" t="n"/>
      <c r="K310" s="9" t="n"/>
      <c r="L310" s="9" t="n"/>
      <c r="M310" s="9" t="n"/>
      <c r="N310" s="20" t="n"/>
      <c r="O310" s="20">
        <f>IF(C310="", "", TRIM(RIGHT(C310, LEN(C310) - FIND("@@", SUBSTITUTE(C310, "-", "@@", LEN(C310) - LEN(SUBSTITUTE(C310, "-", "")))))))</f>
        <v/>
      </c>
      <c r="P310" s="20">
        <f t="array" ref="P310">IFERROR(XLOOKUP(O310,'Department Listing'!$O$1:$O$395,'Department Listing'!$A$1:$A$395),IFERROR(XLOOKUP(O310,'Name Aliases'!$A$2:$A$1000,'Name Aliases'!$B$2:$B$1000),""))</f>
        <v/>
      </c>
      <c r="Q310" s="21">
        <f>IF(ISBLANK($C310),"",$B310)</f>
        <v/>
      </c>
      <c r="R310" s="20">
        <f>IF(ISBLANK($C310),"",IF(ISBLANK($I310),$D310,$I310))</f>
        <v/>
      </c>
      <c r="S310" s="22">
        <f>IF(ISBLANK($C310),"",$F310 - $G310)</f>
        <v/>
      </c>
      <c r="T310" s="20">
        <f>IF(ISBLANK($C310),"",C310)</f>
        <v/>
      </c>
      <c r="U310" s="20">
        <f>IF(ISBLANK($C310),"",$D$1)</f>
        <v/>
      </c>
      <c r="V310" s="22">
        <f t="array" ref="V310">IF(ISBLANK($B310),"",IF(ISBLANK($K310),IF(XLOOKUP($W310,'Category Mapping'!$C:$C,'Category Mapping'!$B:$B)="Travel",XLOOKUP($P310,'Department Listing'!$A:$A,'Department Listing'!$M:$M),XLOOKUP($W310,'Category Mapping'!$C:$C,'Category Mapping'!$D:$D)),$K310))</f>
        <v/>
      </c>
      <c r="W310" s="22">
        <f>IF(ISBLANK($B310),"",IF(ISBLANK($L310),RIGHT($E310,LEN($E310) - FIND("^",SUBSTITUTE($E310,":","^",LEN($E310) - LEN(SUBSTITUTE($E310,":",""))))),$L310))</f>
        <v/>
      </c>
      <c r="X310" s="22">
        <f>IF(ISBLANK($J310),$V310&amp;$W310,$J310)</f>
        <v/>
      </c>
      <c r="Y310" s="23">
        <f t="array" ref="Y310">IF(ISBLANK($M310),IFERROR(XLOOKUP($P310,'Department Listing'!$A:$A,'Department Listing'!$L:$L),""),$M310)</f>
        <v/>
      </c>
      <c r="Z310" s="11">
        <f>IF(ISBLANK($B310),"",MATCH($X310,COA!$B:$B,0))</f>
        <v/>
      </c>
    </row>
    <row r="311" ht="15.75" customHeight="1" s="52">
      <c r="B311" s="17" t="n"/>
      <c r="E311" s="26" t="n"/>
      <c r="F311" s="19" t="n"/>
      <c r="G311" s="10" t="n"/>
      <c r="H311" s="10" t="n"/>
      <c r="I311" s="9" t="n"/>
      <c r="J311" s="9" t="n"/>
      <c r="K311" s="9" t="n"/>
      <c r="L311" s="9" t="n"/>
      <c r="M311" s="9" t="n"/>
      <c r="N311" s="20" t="n"/>
      <c r="O311" s="20">
        <f>IF(C311="", "", TRIM(RIGHT(C311, LEN(C311) - FIND("@@", SUBSTITUTE(C311, "-", "@@", LEN(C311) - LEN(SUBSTITUTE(C311, "-", "")))))))</f>
        <v/>
      </c>
      <c r="P311" s="20">
        <f t="array" ref="P311">IFERROR(XLOOKUP(O311,'Department Listing'!$O$1:$O$395,'Department Listing'!$A$1:$A$395),IFERROR(XLOOKUP(O311,'Name Aliases'!$A$2:$A$1000,'Name Aliases'!$B$2:$B$1000),""))</f>
        <v/>
      </c>
      <c r="Q311" s="21">
        <f>IF(ISBLANK($C311),"",$B311)</f>
        <v/>
      </c>
      <c r="R311" s="20">
        <f>IF(ISBLANK($C311),"",IF(ISBLANK($I311),$D311,$I311))</f>
        <v/>
      </c>
      <c r="S311" s="22">
        <f>IF(ISBLANK($C311),"",$F311 - $G311)</f>
        <v/>
      </c>
      <c r="T311" s="20">
        <f>IF(ISBLANK($C311),"",C311)</f>
        <v/>
      </c>
      <c r="U311" s="20">
        <f>IF(ISBLANK($C311),"",$D$1)</f>
        <v/>
      </c>
      <c r="V311" s="22">
        <f t="array" ref="V311">IF(ISBLANK($B311),"",IF(ISBLANK($K311),IF(XLOOKUP($W311,'Category Mapping'!$C:$C,'Category Mapping'!$B:$B)="Travel",XLOOKUP($P311,'Department Listing'!$A:$A,'Department Listing'!$M:$M),XLOOKUP($W311,'Category Mapping'!$C:$C,'Category Mapping'!$D:$D)),$K311))</f>
        <v/>
      </c>
      <c r="W311" s="22">
        <f>IF(ISBLANK($B311),"",IF(ISBLANK($L311),RIGHT($E311,LEN($E311) - FIND("^",SUBSTITUTE($E311,":","^",LEN($E311) - LEN(SUBSTITUTE($E311,":",""))))),$L311))</f>
        <v/>
      </c>
      <c r="X311" s="22">
        <f>IF(ISBLANK($J311),$V311&amp;$W311,$J311)</f>
        <v/>
      </c>
      <c r="Y311" s="23">
        <f t="array" ref="Y311">IF(ISBLANK($M311),IFERROR(XLOOKUP($P311,'Department Listing'!$A:$A,'Department Listing'!$L:$L),""),$M311)</f>
        <v/>
      </c>
      <c r="Z311" s="11">
        <f>IF(ISBLANK($B311),"",MATCH($X311,COA!$B:$B,0))</f>
        <v/>
      </c>
    </row>
    <row r="312" ht="15.75" customHeight="1" s="52">
      <c r="B312" s="17" t="n"/>
      <c r="E312" s="26" t="n"/>
      <c r="F312" s="19" t="n"/>
      <c r="G312" s="10" t="n"/>
      <c r="H312" s="10" t="n"/>
      <c r="I312" s="9" t="n"/>
      <c r="J312" s="9" t="n"/>
      <c r="K312" s="9" t="n"/>
      <c r="L312" s="9" t="n"/>
      <c r="M312" s="9" t="n"/>
      <c r="N312" s="20" t="n"/>
      <c r="O312" s="20">
        <f>IF(C312="", "", TRIM(RIGHT(C312, LEN(C312) - FIND("@@", SUBSTITUTE(C312, "-", "@@", LEN(C312) - LEN(SUBSTITUTE(C312, "-", "")))))))</f>
        <v/>
      </c>
      <c r="P312" s="20">
        <f t="array" ref="P312">IFERROR(XLOOKUP(O312,'Department Listing'!$O$1:$O$395,'Department Listing'!$A$1:$A$395),IFERROR(XLOOKUP(O312,'Name Aliases'!$A$2:$A$1000,'Name Aliases'!$B$2:$B$1000),""))</f>
        <v/>
      </c>
      <c r="Q312" s="21">
        <f>IF(ISBLANK($C312),"",$B312)</f>
        <v/>
      </c>
      <c r="R312" s="20">
        <f>IF(ISBLANK($C312),"",IF(ISBLANK($I312),$D312,$I312))</f>
        <v/>
      </c>
      <c r="S312" s="22">
        <f>IF(ISBLANK($C312),"",$F312 - $G312)</f>
        <v/>
      </c>
      <c r="T312" s="20">
        <f>IF(ISBLANK($C312),"",C312)</f>
        <v/>
      </c>
      <c r="U312" s="20">
        <f>IF(ISBLANK($C312),"",$D$1)</f>
        <v/>
      </c>
      <c r="V312" s="22">
        <f t="array" ref="V312">IF(ISBLANK($B312),"",IF(ISBLANK($K312),IF(XLOOKUP($W312,'Category Mapping'!$C:$C,'Category Mapping'!$B:$B)="Travel",XLOOKUP($P312,'Department Listing'!$A:$A,'Department Listing'!$M:$M),XLOOKUP($W312,'Category Mapping'!$C:$C,'Category Mapping'!$D:$D)),$K312))</f>
        <v/>
      </c>
      <c r="W312" s="22">
        <f>IF(ISBLANK($B312),"",IF(ISBLANK($L312),RIGHT($E312,LEN($E312) - FIND("^",SUBSTITUTE($E312,":","^",LEN($E312) - LEN(SUBSTITUTE($E312,":",""))))),$L312))</f>
        <v/>
      </c>
      <c r="X312" s="22">
        <f>IF(ISBLANK($J312),$V312&amp;$W312,$J312)</f>
        <v/>
      </c>
      <c r="Y312" s="23">
        <f t="array" ref="Y312">IF(ISBLANK($M312),IFERROR(XLOOKUP($P312,'Department Listing'!$A:$A,'Department Listing'!$L:$L),""),$M312)</f>
        <v/>
      </c>
      <c r="Z312" s="11">
        <f>IF(ISBLANK($B312),"",MATCH($X312,COA!$B:$B,0))</f>
        <v/>
      </c>
    </row>
    <row r="313" ht="15.75" customHeight="1" s="52">
      <c r="B313" s="17" t="n"/>
      <c r="E313" s="26" t="n"/>
      <c r="F313" s="19" t="n"/>
      <c r="G313" s="10" t="n"/>
      <c r="H313" s="10" t="n"/>
      <c r="I313" s="9" t="n"/>
      <c r="J313" s="9" t="n"/>
      <c r="K313" s="9" t="n"/>
      <c r="L313" s="9" t="n"/>
      <c r="M313" s="9" t="n"/>
      <c r="N313" s="20" t="n"/>
      <c r="O313" s="20">
        <f>IF(C313="", "", TRIM(RIGHT(C313, LEN(C313) - FIND("@@", SUBSTITUTE(C313, "-", "@@", LEN(C313) - LEN(SUBSTITUTE(C313, "-", "")))))))</f>
        <v/>
      </c>
      <c r="P313" s="20">
        <f t="array" ref="P313">IFERROR(XLOOKUP(O313,'Department Listing'!$O$1:$O$395,'Department Listing'!$A$1:$A$395),IFERROR(XLOOKUP(O313,'Name Aliases'!$A$2:$A$1000,'Name Aliases'!$B$2:$B$1000),""))</f>
        <v/>
      </c>
      <c r="Q313" s="21">
        <f>IF(ISBLANK($C313),"",$B313)</f>
        <v/>
      </c>
      <c r="R313" s="20">
        <f>IF(ISBLANK($C313),"",IF(ISBLANK($I313),$D313,$I313))</f>
        <v/>
      </c>
      <c r="S313" s="22">
        <f>IF(ISBLANK($C313),"",$F313 - $G313)</f>
        <v/>
      </c>
      <c r="T313" s="20">
        <f>IF(ISBLANK($C313),"",C313)</f>
        <v/>
      </c>
      <c r="U313" s="20">
        <f>IF(ISBLANK($C313),"",$D$1)</f>
        <v/>
      </c>
      <c r="V313" s="22">
        <f t="array" ref="V313">IF(ISBLANK($B313),"",IF(ISBLANK($K313),IF(XLOOKUP($W313,'Category Mapping'!$C:$C,'Category Mapping'!$B:$B)="Travel",XLOOKUP($P313,'Department Listing'!$A:$A,'Department Listing'!$M:$M),XLOOKUP($W313,'Category Mapping'!$C:$C,'Category Mapping'!$D:$D)),$K313))</f>
        <v/>
      </c>
      <c r="W313" s="22">
        <f>IF(ISBLANK($B313),"",IF(ISBLANK($L313),RIGHT($E313,LEN($E313) - FIND("^",SUBSTITUTE($E313,":","^",LEN($E313) - LEN(SUBSTITUTE($E313,":",""))))),$L313))</f>
        <v/>
      </c>
      <c r="X313" s="22">
        <f>IF(ISBLANK($J313),$V313&amp;$W313,$J313)</f>
        <v/>
      </c>
      <c r="Y313" s="23">
        <f t="array" ref="Y313">IF(ISBLANK($M313),IFERROR(XLOOKUP($P313,'Department Listing'!$A:$A,'Department Listing'!$L:$L),""),$M313)</f>
        <v/>
      </c>
      <c r="Z313" s="11">
        <f>IF(ISBLANK($B313),"",MATCH($X313,COA!$B:$B,0))</f>
        <v/>
      </c>
    </row>
    <row r="314" ht="15.75" customHeight="1" s="52">
      <c r="B314" s="17" t="n"/>
      <c r="E314" s="26" t="n"/>
      <c r="F314" s="19" t="n"/>
      <c r="G314" s="10" t="n"/>
      <c r="H314" s="10" t="n"/>
      <c r="I314" s="9" t="n"/>
      <c r="J314" s="9" t="n"/>
      <c r="K314" s="9" t="n"/>
      <c r="L314" s="9" t="n"/>
      <c r="M314" s="9" t="n"/>
      <c r="N314" s="20" t="n"/>
      <c r="O314" s="20">
        <f>IF(C314="", "", TRIM(RIGHT(C314, LEN(C314) - FIND("@@", SUBSTITUTE(C314, "-", "@@", LEN(C314) - LEN(SUBSTITUTE(C314, "-", "")))))))</f>
        <v/>
      </c>
      <c r="P314" s="20">
        <f t="array" ref="P314">IFERROR(XLOOKUP(O314,'Department Listing'!$O$1:$O$395,'Department Listing'!$A$1:$A$395),IFERROR(XLOOKUP(O314,'Name Aliases'!$A$2:$A$1000,'Name Aliases'!$B$2:$B$1000),""))</f>
        <v/>
      </c>
      <c r="Q314" s="21">
        <f>IF(ISBLANK($C314),"",$B314)</f>
        <v/>
      </c>
      <c r="R314" s="20">
        <f>IF(ISBLANK($C314),"",IF(ISBLANK($I314),$D314,$I314))</f>
        <v/>
      </c>
      <c r="S314" s="22">
        <f>IF(ISBLANK($C314),"",$F314 - $G314)</f>
        <v/>
      </c>
      <c r="T314" s="20">
        <f>IF(ISBLANK($C314),"",C314)</f>
        <v/>
      </c>
      <c r="U314" s="20">
        <f>IF(ISBLANK($C314),"",$D$1)</f>
        <v/>
      </c>
      <c r="V314" s="22">
        <f t="array" ref="V314">IF(ISBLANK($B314),"",IF(ISBLANK($K314),IF(XLOOKUP($W314,'Category Mapping'!$C:$C,'Category Mapping'!$B:$B)="Travel",XLOOKUP($P314,'Department Listing'!$A:$A,'Department Listing'!$M:$M),XLOOKUP($W314,'Category Mapping'!$C:$C,'Category Mapping'!$D:$D)),$K314))</f>
        <v/>
      </c>
      <c r="W314" s="22">
        <f>IF(ISBLANK($B314),"",IF(ISBLANK($L314),RIGHT($E314,LEN($E314) - FIND("^",SUBSTITUTE($E314,":","^",LEN($E314) - LEN(SUBSTITUTE($E314,":",""))))),$L314))</f>
        <v/>
      </c>
      <c r="X314" s="22">
        <f>IF(ISBLANK($J314),$V314&amp;$W314,$J314)</f>
        <v/>
      </c>
      <c r="Y314" s="23">
        <f t="array" ref="Y314">IF(ISBLANK($M314),IFERROR(XLOOKUP($P314,'Department Listing'!$A:$A,'Department Listing'!$L:$L),""),$M314)</f>
        <v/>
      </c>
      <c r="Z314" s="11">
        <f>IF(ISBLANK($B314),"",MATCH($X314,COA!$B:$B,0))</f>
        <v/>
      </c>
    </row>
    <row r="315" ht="15.75" customHeight="1" s="52">
      <c r="B315" s="17" t="n"/>
      <c r="E315" s="26" t="n"/>
      <c r="F315" s="19" t="n"/>
      <c r="G315" s="10" t="n"/>
      <c r="H315" s="10" t="n"/>
      <c r="I315" s="9" t="n"/>
      <c r="J315" s="9" t="n"/>
      <c r="K315" s="9" t="n"/>
      <c r="L315" s="9" t="n"/>
      <c r="M315" s="9" t="n"/>
      <c r="N315" s="20" t="n"/>
      <c r="O315" s="20">
        <f>IF(C315="", "", TRIM(RIGHT(C315, LEN(C315) - FIND("@@", SUBSTITUTE(C315, "-", "@@", LEN(C315) - LEN(SUBSTITUTE(C315, "-", "")))))))</f>
        <v/>
      </c>
      <c r="P315" s="20">
        <f t="array" ref="P315">IFERROR(XLOOKUP(O315,'Department Listing'!$O$1:$O$395,'Department Listing'!$A$1:$A$395),IFERROR(XLOOKUP(O315,'Name Aliases'!$A$2:$A$1000,'Name Aliases'!$B$2:$B$1000),""))</f>
        <v/>
      </c>
      <c r="Q315" s="21">
        <f>IF(ISBLANK($C315),"",$B315)</f>
        <v/>
      </c>
      <c r="R315" s="20">
        <f>IF(ISBLANK($C315),"",IF(ISBLANK($I315),$D315,$I315))</f>
        <v/>
      </c>
      <c r="S315" s="22">
        <f>IF(ISBLANK($C315),"",$F315 - $G315)</f>
        <v/>
      </c>
      <c r="T315" s="20">
        <f>IF(ISBLANK($C315),"",C315)</f>
        <v/>
      </c>
      <c r="U315" s="20">
        <f>IF(ISBLANK($C315),"",$D$1)</f>
        <v/>
      </c>
      <c r="V315" s="22">
        <f t="array" ref="V315">IF(ISBLANK($B315),"",IF(ISBLANK($K315),IF(XLOOKUP($W315,'Category Mapping'!$C:$C,'Category Mapping'!$B:$B)="Travel",XLOOKUP($P315,'Department Listing'!$A:$A,'Department Listing'!$M:$M),XLOOKUP($W315,'Category Mapping'!$C:$C,'Category Mapping'!$D:$D)),$K315))</f>
        <v/>
      </c>
      <c r="W315" s="22">
        <f>IF(ISBLANK($B315),"",IF(ISBLANK($L315),RIGHT($E315,LEN($E315) - FIND("^",SUBSTITUTE($E315,":","^",LEN($E315) - LEN(SUBSTITUTE($E315,":",""))))),$L315))</f>
        <v/>
      </c>
      <c r="X315" s="22">
        <f>IF(ISBLANK($J315),$V315&amp;$W315,$J315)</f>
        <v/>
      </c>
      <c r="Y315" s="23">
        <f t="array" ref="Y315">IF(ISBLANK($M315),IFERROR(XLOOKUP($P315,'Department Listing'!$A:$A,'Department Listing'!$L:$L),""),$M315)</f>
        <v/>
      </c>
      <c r="Z315" s="11">
        <f>IF(ISBLANK($B315),"",MATCH($X315,COA!$B:$B,0))</f>
        <v/>
      </c>
    </row>
    <row r="316" ht="15.75" customHeight="1" s="52">
      <c r="B316" s="17" t="n"/>
      <c r="E316" s="26" t="n"/>
      <c r="F316" s="19" t="n"/>
      <c r="G316" s="10" t="n"/>
      <c r="H316" s="10" t="n"/>
      <c r="I316" s="9" t="n"/>
      <c r="J316" s="9" t="n"/>
      <c r="K316" s="9" t="n"/>
      <c r="L316" s="9" t="n"/>
      <c r="M316" s="9" t="n"/>
      <c r="N316" s="20" t="n"/>
      <c r="O316" s="20">
        <f>IF(C316="", "", TRIM(RIGHT(C316, LEN(C316) - FIND("@@", SUBSTITUTE(C316, "-", "@@", LEN(C316) - LEN(SUBSTITUTE(C316, "-", "")))))))</f>
        <v/>
      </c>
      <c r="P316" s="20">
        <f t="array" ref="P316">IFERROR(XLOOKUP(O316,'Department Listing'!$O$1:$O$395,'Department Listing'!$A$1:$A$395),IFERROR(XLOOKUP(O316,'Name Aliases'!$A$2:$A$1000,'Name Aliases'!$B$2:$B$1000),""))</f>
        <v/>
      </c>
      <c r="Q316" s="21">
        <f>IF(ISBLANK($C316),"",$B316)</f>
        <v/>
      </c>
      <c r="R316" s="20">
        <f>IF(ISBLANK($C316),"",IF(ISBLANK($I316),$D316,$I316))</f>
        <v/>
      </c>
      <c r="S316" s="22">
        <f>IF(ISBLANK($C316),"",$F316 - $G316)</f>
        <v/>
      </c>
      <c r="T316" s="20">
        <f>IF(ISBLANK($C316),"",C316)</f>
        <v/>
      </c>
      <c r="U316" s="20">
        <f>IF(ISBLANK($C316),"",$D$1)</f>
        <v/>
      </c>
      <c r="V316" s="22">
        <f t="array" ref="V316">IF(ISBLANK($B316),"",IF(ISBLANK($K316),IF(XLOOKUP($W316,'Category Mapping'!$C:$C,'Category Mapping'!$B:$B)="Travel",XLOOKUP($P316,'Department Listing'!$A:$A,'Department Listing'!$M:$M),XLOOKUP($W316,'Category Mapping'!$C:$C,'Category Mapping'!$D:$D)),$K316))</f>
        <v/>
      </c>
      <c r="W316" s="22">
        <f>IF(ISBLANK($B316),"",IF(ISBLANK($L316),RIGHT($E316,LEN($E316) - FIND("^",SUBSTITUTE($E316,":","^",LEN($E316) - LEN(SUBSTITUTE($E316,":",""))))),$L316))</f>
        <v/>
      </c>
      <c r="X316" s="22">
        <f>IF(ISBLANK($J316),$V316&amp;$W316,$J316)</f>
        <v/>
      </c>
      <c r="Y316" s="23">
        <f t="array" ref="Y316">IF(ISBLANK($M316),IFERROR(XLOOKUP($P316,'Department Listing'!$A:$A,'Department Listing'!$L:$L),""),$M316)</f>
        <v/>
      </c>
      <c r="Z316" s="11">
        <f>IF(ISBLANK($B316),"",MATCH($X316,COA!$B:$B,0))</f>
        <v/>
      </c>
    </row>
    <row r="317" ht="15.75" customHeight="1" s="52">
      <c r="B317" s="17" t="n"/>
      <c r="E317" s="26" t="n"/>
      <c r="F317" s="19" t="n"/>
      <c r="G317" s="10" t="n"/>
      <c r="H317" s="10" t="n"/>
      <c r="I317" s="9" t="n"/>
      <c r="J317" s="9" t="n"/>
      <c r="K317" s="9" t="n"/>
      <c r="L317" s="9" t="n"/>
      <c r="M317" s="9" t="n"/>
      <c r="N317" s="20" t="n"/>
      <c r="O317" s="20">
        <f>IF(C317="", "", TRIM(RIGHT(C317, LEN(C317) - FIND("@@", SUBSTITUTE(C317, "-", "@@", LEN(C317) - LEN(SUBSTITUTE(C317, "-", "")))))))</f>
        <v/>
      </c>
      <c r="P317" s="20">
        <f t="array" ref="P317">IFERROR(XLOOKUP(O317,'Department Listing'!$O$1:$O$395,'Department Listing'!$A$1:$A$395),IFERROR(XLOOKUP(O317,'Name Aliases'!$A$2:$A$1000,'Name Aliases'!$B$2:$B$1000),""))</f>
        <v/>
      </c>
      <c r="Q317" s="21">
        <f>IF(ISBLANK($C317),"",$B317)</f>
        <v/>
      </c>
      <c r="R317" s="20">
        <f>IF(ISBLANK($C317),"",IF(ISBLANK($I317),$D317,$I317))</f>
        <v/>
      </c>
      <c r="S317" s="22">
        <f>IF(ISBLANK($C317),"",$F317 - $G317)</f>
        <v/>
      </c>
      <c r="T317" s="20">
        <f>IF(ISBLANK($C317),"",C317)</f>
        <v/>
      </c>
      <c r="U317" s="20">
        <f>IF(ISBLANK($C317),"",$D$1)</f>
        <v/>
      </c>
      <c r="V317" s="22">
        <f t="array" ref="V317">IF(ISBLANK($B317),"",IF(ISBLANK($K317),IF(XLOOKUP($W317,'Category Mapping'!$C:$C,'Category Mapping'!$B:$B)="Travel",XLOOKUP($P317,'Department Listing'!$A:$A,'Department Listing'!$M:$M),XLOOKUP($W317,'Category Mapping'!$C:$C,'Category Mapping'!$D:$D)),$K317))</f>
        <v/>
      </c>
      <c r="W317" s="22">
        <f>IF(ISBLANK($B317),"",IF(ISBLANK($L317),RIGHT($E317,LEN($E317) - FIND("^",SUBSTITUTE($E317,":","^",LEN($E317) - LEN(SUBSTITUTE($E317,":",""))))),$L317))</f>
        <v/>
      </c>
      <c r="X317" s="22">
        <f>IF(ISBLANK($J317),$V317&amp;$W317,$J317)</f>
        <v/>
      </c>
      <c r="Y317" s="23">
        <f t="array" ref="Y317">IF(ISBLANK($M317),IFERROR(XLOOKUP($P317,'Department Listing'!$A:$A,'Department Listing'!$L:$L),""),$M317)</f>
        <v/>
      </c>
      <c r="Z317" s="11">
        <f>IF(ISBLANK($B317),"",MATCH($X317,COA!$B:$B,0))</f>
        <v/>
      </c>
    </row>
    <row r="318" ht="15.75" customHeight="1" s="52">
      <c r="B318" s="17" t="n"/>
      <c r="E318" s="26" t="n"/>
      <c r="F318" s="19" t="n"/>
      <c r="G318" s="10" t="n"/>
      <c r="H318" s="10" t="n"/>
      <c r="I318" s="9" t="n"/>
      <c r="J318" s="9" t="n"/>
      <c r="K318" s="9" t="n"/>
      <c r="L318" s="9" t="n"/>
      <c r="M318" s="9" t="n"/>
      <c r="N318" s="20" t="n"/>
      <c r="O318" s="20">
        <f>IF(C318="", "", TRIM(RIGHT(C318, LEN(C318) - FIND("@@", SUBSTITUTE(C318, "-", "@@", LEN(C318) - LEN(SUBSTITUTE(C318, "-", "")))))))</f>
        <v/>
      </c>
      <c r="P318" s="20">
        <f t="array" ref="P318">IFERROR(XLOOKUP(O318,'Department Listing'!$O$1:$O$395,'Department Listing'!$A$1:$A$395),IFERROR(XLOOKUP(O318,'Name Aliases'!$A$2:$A$1000,'Name Aliases'!$B$2:$B$1000),""))</f>
        <v/>
      </c>
      <c r="Q318" s="21">
        <f>IF(ISBLANK($C318),"",$B318)</f>
        <v/>
      </c>
      <c r="R318" s="20">
        <f>IF(ISBLANK($C318),"",IF(ISBLANK($I318),$D318,$I318))</f>
        <v/>
      </c>
      <c r="S318" s="22">
        <f>IF(ISBLANK($C318),"",$F318 - $G318)</f>
        <v/>
      </c>
      <c r="T318" s="20">
        <f>IF(ISBLANK($C318),"",C318)</f>
        <v/>
      </c>
      <c r="U318" s="20">
        <f>IF(ISBLANK($C318),"",$D$1)</f>
        <v/>
      </c>
      <c r="V318" s="22">
        <f t="array" ref="V318">IF(ISBLANK($B318),"",IF(ISBLANK($K318),IF(XLOOKUP($W318,'Category Mapping'!$C:$C,'Category Mapping'!$B:$B)="Travel",XLOOKUP($P318,'Department Listing'!$A:$A,'Department Listing'!$M:$M),XLOOKUP($W318,'Category Mapping'!$C:$C,'Category Mapping'!$D:$D)),$K318))</f>
        <v/>
      </c>
      <c r="W318" s="22">
        <f>IF(ISBLANK($B318),"",IF(ISBLANK($L318),RIGHT($E318,LEN($E318) - FIND("^",SUBSTITUTE($E318,":","^",LEN($E318) - LEN(SUBSTITUTE($E318,":",""))))),$L318))</f>
        <v/>
      </c>
      <c r="X318" s="22">
        <f>IF(ISBLANK($J318),$V318&amp;$W318,$J318)</f>
        <v/>
      </c>
      <c r="Y318" s="23">
        <f t="array" ref="Y318">IF(ISBLANK($M318),IFERROR(XLOOKUP($P318,'Department Listing'!$A:$A,'Department Listing'!$L:$L),""),$M318)</f>
        <v/>
      </c>
      <c r="Z318" s="11">
        <f>IF(ISBLANK($B318),"",MATCH($X318,COA!$B:$B,0))</f>
        <v/>
      </c>
    </row>
    <row r="319" ht="15.75" customHeight="1" s="52">
      <c r="B319" s="17" t="n"/>
      <c r="E319" s="26" t="n"/>
      <c r="F319" s="19" t="n"/>
      <c r="G319" s="10" t="n"/>
      <c r="H319" s="10" t="n"/>
      <c r="I319" s="9" t="n"/>
      <c r="J319" s="9" t="n"/>
      <c r="K319" s="9" t="n"/>
      <c r="L319" s="9" t="n"/>
      <c r="M319" s="9" t="n"/>
      <c r="N319" s="20" t="n"/>
      <c r="O319" s="20">
        <f>IF(C319="", "", TRIM(RIGHT(C319, LEN(C319) - FIND("@@", SUBSTITUTE(C319, "-", "@@", LEN(C319) - LEN(SUBSTITUTE(C319, "-", "")))))))</f>
        <v/>
      </c>
      <c r="P319" s="20">
        <f t="array" ref="P319">IFERROR(XLOOKUP(O319,'Department Listing'!$O$1:$O$395,'Department Listing'!$A$1:$A$395),IFERROR(XLOOKUP(O319,'Name Aliases'!$A$2:$A$1000,'Name Aliases'!$B$2:$B$1000),""))</f>
        <v/>
      </c>
      <c r="Q319" s="21">
        <f>IF(ISBLANK($C319),"",$B319)</f>
        <v/>
      </c>
      <c r="R319" s="20">
        <f>IF(ISBLANK($C319),"",IF(ISBLANK($I319),$D319,$I319))</f>
        <v/>
      </c>
      <c r="S319" s="22">
        <f>IF(ISBLANK($C319),"",$F319 - $G319)</f>
        <v/>
      </c>
      <c r="T319" s="20">
        <f>IF(ISBLANK($C319),"",C319)</f>
        <v/>
      </c>
      <c r="U319" s="20">
        <f>IF(ISBLANK($C319),"",$D$1)</f>
        <v/>
      </c>
      <c r="V319" s="22">
        <f t="array" ref="V319">IF(ISBLANK($B319),"",IF(ISBLANK($K319),IF(XLOOKUP($W319,'Category Mapping'!$C:$C,'Category Mapping'!$B:$B)="Travel",XLOOKUP($P319,'Department Listing'!$A:$A,'Department Listing'!$M:$M),XLOOKUP($W319,'Category Mapping'!$C:$C,'Category Mapping'!$D:$D)),$K319))</f>
        <v/>
      </c>
      <c r="W319" s="22">
        <f>IF(ISBLANK($B319),"",IF(ISBLANK($L319),RIGHT($E319,LEN($E319) - FIND("^",SUBSTITUTE($E319,":","^",LEN($E319) - LEN(SUBSTITUTE($E319,":",""))))),$L319))</f>
        <v/>
      </c>
      <c r="X319" s="22">
        <f>IF(ISBLANK($J319),$V319&amp;$W319,$J319)</f>
        <v/>
      </c>
      <c r="Y319" s="23">
        <f t="array" ref="Y319">IF(ISBLANK($M319),IFERROR(XLOOKUP($P319,'Department Listing'!$A:$A,'Department Listing'!$L:$L),""),$M319)</f>
        <v/>
      </c>
      <c r="Z319" s="11">
        <f>IF(ISBLANK($B319),"",MATCH($X319,COA!$B:$B,0))</f>
        <v/>
      </c>
    </row>
    <row r="320" ht="15.75" customHeight="1" s="52">
      <c r="B320" s="17" t="n"/>
      <c r="E320" s="26" t="n"/>
      <c r="F320" s="19" t="n"/>
      <c r="G320" s="10" t="n"/>
      <c r="H320" s="10" t="n"/>
      <c r="I320" s="9" t="n"/>
      <c r="J320" s="9" t="n"/>
      <c r="K320" s="9" t="n"/>
      <c r="L320" s="9" t="n"/>
      <c r="M320" s="9" t="n"/>
      <c r="N320" s="20" t="n"/>
      <c r="O320" s="20">
        <f>IF(C320="", "", TRIM(RIGHT(C320, LEN(C320) - FIND("@@", SUBSTITUTE(C320, "-", "@@", LEN(C320) - LEN(SUBSTITUTE(C320, "-", "")))))))</f>
        <v/>
      </c>
      <c r="P320" s="20">
        <f t="array" ref="P320">IFERROR(XLOOKUP(O320,'Department Listing'!$O$1:$O$395,'Department Listing'!$A$1:$A$395),IFERROR(XLOOKUP(O320,'Name Aliases'!$A$2:$A$1000,'Name Aliases'!$B$2:$B$1000),""))</f>
        <v/>
      </c>
      <c r="Q320" s="21">
        <f>IF(ISBLANK($C320),"",$B320)</f>
        <v/>
      </c>
      <c r="R320" s="20">
        <f>IF(ISBLANK($C320),"",IF(ISBLANK($I320),$D320,$I320))</f>
        <v/>
      </c>
      <c r="S320" s="22">
        <f>IF(ISBLANK($C320),"",$F320 - $G320)</f>
        <v/>
      </c>
      <c r="T320" s="20">
        <f>IF(ISBLANK($C320),"",C320)</f>
        <v/>
      </c>
      <c r="U320" s="20">
        <f>IF(ISBLANK($C320),"",$D$1)</f>
        <v/>
      </c>
      <c r="V320" s="22">
        <f t="array" ref="V320">IF(ISBLANK($B320),"",IF(ISBLANK($K320),IF(XLOOKUP($W320,'Category Mapping'!$C:$C,'Category Mapping'!$B:$B)="Travel",XLOOKUP($P320,'Department Listing'!$A:$A,'Department Listing'!$M:$M),XLOOKUP($W320,'Category Mapping'!$C:$C,'Category Mapping'!$D:$D)),$K320))</f>
        <v/>
      </c>
      <c r="W320" s="22">
        <f>IF(ISBLANK($B320),"",IF(ISBLANK($L320),RIGHT($E320,LEN($E320) - FIND("^",SUBSTITUTE($E320,":","^",LEN($E320) - LEN(SUBSTITUTE($E320,":",""))))),$L320))</f>
        <v/>
      </c>
      <c r="X320" s="22">
        <f>IF(ISBLANK($J320),$V320&amp;$W320,$J320)</f>
        <v/>
      </c>
      <c r="Y320" s="23">
        <f t="array" ref="Y320">IF(ISBLANK($M320),IFERROR(XLOOKUP($P320,'Department Listing'!$A:$A,'Department Listing'!$L:$L),""),$M320)</f>
        <v/>
      </c>
      <c r="Z320" s="11">
        <f>IF(ISBLANK($B320),"",MATCH($X320,COA!$B:$B,0))</f>
        <v/>
      </c>
    </row>
    <row r="321" ht="15.75" customHeight="1" s="52">
      <c r="B321" s="17" t="n"/>
      <c r="E321" s="26" t="n"/>
      <c r="F321" s="19" t="n"/>
      <c r="G321" s="10" t="n"/>
      <c r="H321" s="10" t="n"/>
      <c r="I321" s="9" t="n"/>
      <c r="J321" s="9" t="n"/>
      <c r="K321" s="9" t="n"/>
      <c r="L321" s="9" t="n"/>
      <c r="M321" s="9" t="n"/>
      <c r="N321" s="20" t="n"/>
      <c r="O321" s="20">
        <f>IF(C321="", "", TRIM(RIGHT(C321, LEN(C321) - FIND("@@", SUBSTITUTE(C321, "-", "@@", LEN(C321) - LEN(SUBSTITUTE(C321, "-", "")))))))</f>
        <v/>
      </c>
      <c r="P321" s="20">
        <f t="array" ref="P321">IFERROR(XLOOKUP(O321,'Department Listing'!$O$1:$O$395,'Department Listing'!$A$1:$A$395),IFERROR(XLOOKUP(O321,'Name Aliases'!$A$2:$A$1000,'Name Aliases'!$B$2:$B$1000),""))</f>
        <v/>
      </c>
      <c r="Q321" s="21">
        <f>IF(ISBLANK($C321),"",$B321)</f>
        <v/>
      </c>
      <c r="R321" s="20">
        <f>IF(ISBLANK($C321),"",IF(ISBLANK($I321),$D321,$I321))</f>
        <v/>
      </c>
      <c r="S321" s="22">
        <f>IF(ISBLANK($C321),"",$F321 - $G321)</f>
        <v/>
      </c>
      <c r="T321" s="20">
        <f>IF(ISBLANK($C321),"",C321)</f>
        <v/>
      </c>
      <c r="U321" s="20">
        <f>IF(ISBLANK($C321),"",$D$1)</f>
        <v/>
      </c>
      <c r="V321" s="22">
        <f t="array" ref="V321">IF(ISBLANK($B321),"",IF(ISBLANK($K321),IF(XLOOKUP($W321,'Category Mapping'!$C:$C,'Category Mapping'!$B:$B)="Travel",XLOOKUP($P321,'Department Listing'!$A:$A,'Department Listing'!$M:$M),XLOOKUP($W321,'Category Mapping'!$C:$C,'Category Mapping'!$D:$D)),$K321))</f>
        <v/>
      </c>
      <c r="W321" s="22">
        <f>IF(ISBLANK($B321),"",IF(ISBLANK($L321),RIGHT($E321,LEN($E321) - FIND("^",SUBSTITUTE($E321,":","^",LEN($E321) - LEN(SUBSTITUTE($E321,":",""))))),$L321))</f>
        <v/>
      </c>
      <c r="X321" s="22">
        <f>IF(ISBLANK($J321),$V321&amp;$W321,$J321)</f>
        <v/>
      </c>
      <c r="Y321" s="23">
        <f t="array" ref="Y321">IF(ISBLANK($M321),IFERROR(XLOOKUP($P321,'Department Listing'!$A:$A,'Department Listing'!$L:$L),""),$M321)</f>
        <v/>
      </c>
      <c r="Z321" s="11">
        <f>IF(ISBLANK($B321),"",MATCH($X321,COA!$B:$B,0))</f>
        <v/>
      </c>
    </row>
    <row r="322" ht="15.75" customHeight="1" s="52">
      <c r="B322" s="17" t="n"/>
      <c r="E322" s="26" t="n"/>
      <c r="F322" s="19" t="n"/>
      <c r="G322" s="10" t="n"/>
      <c r="H322" s="10" t="n"/>
      <c r="I322" s="9" t="n"/>
      <c r="J322" s="9" t="n"/>
      <c r="K322" s="9" t="n"/>
      <c r="L322" s="9" t="n"/>
      <c r="M322" s="9" t="n"/>
      <c r="N322" s="20" t="n"/>
      <c r="O322" s="20">
        <f>IF(C322="", "", TRIM(RIGHT(C322, LEN(C322) - FIND("@@", SUBSTITUTE(C322, "-", "@@", LEN(C322) - LEN(SUBSTITUTE(C322, "-", "")))))))</f>
        <v/>
      </c>
      <c r="P322" s="20">
        <f t="array" ref="P322">IFERROR(XLOOKUP(O322,'Department Listing'!$O$1:$O$395,'Department Listing'!$A$1:$A$395),IFERROR(XLOOKUP(O322,'Name Aliases'!$A$2:$A$1000,'Name Aliases'!$B$2:$B$1000),""))</f>
        <v/>
      </c>
      <c r="Q322" s="21">
        <f>IF(ISBLANK($C322),"",$B322)</f>
        <v/>
      </c>
      <c r="R322" s="20">
        <f>IF(ISBLANK($C322),"",IF(ISBLANK($I322),$D322,$I322))</f>
        <v/>
      </c>
      <c r="S322" s="22">
        <f>IF(ISBLANK($C322),"",$F322 - $G322)</f>
        <v/>
      </c>
      <c r="T322" s="20">
        <f>IF(ISBLANK($C322),"",C322)</f>
        <v/>
      </c>
      <c r="U322" s="20">
        <f>IF(ISBLANK($C322),"",$D$1)</f>
        <v/>
      </c>
      <c r="V322" s="22">
        <f t="array" ref="V322">IF(ISBLANK($B322),"",IF(ISBLANK($K322),IF(XLOOKUP($W322,'Category Mapping'!$C:$C,'Category Mapping'!$B:$B)="Travel",XLOOKUP($P322,'Department Listing'!$A:$A,'Department Listing'!$M:$M),XLOOKUP($W322,'Category Mapping'!$C:$C,'Category Mapping'!$D:$D)),$K322))</f>
        <v/>
      </c>
      <c r="W322" s="22">
        <f>IF(ISBLANK($B322),"",IF(ISBLANK($L322),RIGHT($E322,LEN($E322) - FIND("^",SUBSTITUTE($E322,":","^",LEN($E322) - LEN(SUBSTITUTE($E322,":",""))))),$L322))</f>
        <v/>
      </c>
      <c r="X322" s="22">
        <f>IF(ISBLANK($J322),$V322&amp;$W322,$J322)</f>
        <v/>
      </c>
      <c r="Y322" s="23">
        <f t="array" ref="Y322">IF(ISBLANK($M322),IFERROR(XLOOKUP($P322,'Department Listing'!$A:$A,'Department Listing'!$L:$L),""),$M322)</f>
        <v/>
      </c>
      <c r="Z322" s="11">
        <f>IF(ISBLANK($B322),"",MATCH($X322,COA!$B:$B,0))</f>
        <v/>
      </c>
    </row>
    <row r="323" ht="15.75" customHeight="1" s="52">
      <c r="B323" s="17" t="n"/>
      <c r="E323" s="26" t="n"/>
      <c r="F323" s="19" t="n"/>
      <c r="G323" s="10" t="n"/>
      <c r="H323" s="10" t="n"/>
      <c r="I323" s="9" t="n"/>
      <c r="J323" s="9" t="n"/>
      <c r="K323" s="9" t="n"/>
      <c r="L323" s="9" t="n"/>
      <c r="M323" s="9" t="n"/>
      <c r="N323" s="20" t="n"/>
      <c r="O323" s="20">
        <f>IF(C323="", "", TRIM(RIGHT(C323, LEN(C323) - FIND("@@", SUBSTITUTE(C323, "-", "@@", LEN(C323) - LEN(SUBSTITUTE(C323, "-", "")))))))</f>
        <v/>
      </c>
      <c r="P323" s="20">
        <f t="array" ref="P323">IFERROR(XLOOKUP(O323,'Department Listing'!$O$1:$O$395,'Department Listing'!$A$1:$A$395),IFERROR(XLOOKUP(O323,'Name Aliases'!$A$2:$A$1000,'Name Aliases'!$B$2:$B$1000),""))</f>
        <v/>
      </c>
      <c r="Q323" s="21">
        <f>IF(ISBLANK($C323),"",$B323)</f>
        <v/>
      </c>
      <c r="R323" s="20">
        <f>IF(ISBLANK($C323),"",IF(ISBLANK($I323),$D323,$I323))</f>
        <v/>
      </c>
      <c r="S323" s="22">
        <f>IF(ISBLANK($C323),"",$F323 - $G323)</f>
        <v/>
      </c>
      <c r="T323" s="20">
        <f>IF(ISBLANK($C323),"",C323)</f>
        <v/>
      </c>
      <c r="U323" s="20">
        <f>IF(ISBLANK($C323),"",$D$1)</f>
        <v/>
      </c>
      <c r="V323" s="22">
        <f t="array" ref="V323">IF(ISBLANK($B323),"",IF(ISBLANK($K323),IF(XLOOKUP($W323,'Category Mapping'!$C:$C,'Category Mapping'!$B:$B)="Travel",XLOOKUP($P323,'Department Listing'!$A:$A,'Department Listing'!$M:$M),XLOOKUP($W323,'Category Mapping'!$C:$C,'Category Mapping'!$D:$D)),$K323))</f>
        <v/>
      </c>
      <c r="W323" s="22">
        <f>IF(ISBLANK($B323),"",IF(ISBLANK($L323),RIGHT($E323,LEN($E323) - FIND("^",SUBSTITUTE($E323,":","^",LEN($E323) - LEN(SUBSTITUTE($E323,":",""))))),$L323))</f>
        <v/>
      </c>
      <c r="X323" s="22">
        <f>IF(ISBLANK($J323),$V323&amp;$W323,$J323)</f>
        <v/>
      </c>
      <c r="Y323" s="23">
        <f t="array" ref="Y323">IF(ISBLANK($M323),IFERROR(XLOOKUP($P323,'Department Listing'!$A:$A,'Department Listing'!$L:$L),""),$M323)</f>
        <v/>
      </c>
      <c r="Z323" s="11">
        <f>IF(ISBLANK($B323),"",MATCH($X323,COA!$B:$B,0))</f>
        <v/>
      </c>
    </row>
    <row r="324" ht="15.75" customHeight="1" s="52">
      <c r="B324" s="17" t="n"/>
      <c r="E324" s="26" t="n"/>
      <c r="F324" s="19" t="n"/>
      <c r="G324" s="10" t="n"/>
      <c r="H324" s="10" t="n"/>
      <c r="I324" s="9" t="n"/>
      <c r="J324" s="9" t="n"/>
      <c r="K324" s="9" t="n"/>
      <c r="L324" s="9" t="n"/>
      <c r="M324" s="9" t="n"/>
      <c r="N324" s="20" t="n"/>
      <c r="O324" s="20">
        <f>IF(C324="", "", TRIM(RIGHT(C324, LEN(C324) - FIND("@@", SUBSTITUTE(C324, "-", "@@", LEN(C324) - LEN(SUBSTITUTE(C324, "-", "")))))))</f>
        <v/>
      </c>
      <c r="P324" s="20">
        <f t="array" ref="P324">IFERROR(XLOOKUP(O324,'Department Listing'!$O$1:$O$395,'Department Listing'!$A$1:$A$395),IFERROR(XLOOKUP(O324,'Name Aliases'!$A$2:$A$1000,'Name Aliases'!$B$2:$B$1000),""))</f>
        <v/>
      </c>
      <c r="Q324" s="21">
        <f>IF(ISBLANK($C324),"",$B324)</f>
        <v/>
      </c>
      <c r="R324" s="20">
        <f>IF(ISBLANK($C324),"",IF(ISBLANK($I324),$D324,$I324))</f>
        <v/>
      </c>
      <c r="S324" s="22">
        <f>IF(ISBLANK($C324),"",$F324 - $G324)</f>
        <v/>
      </c>
      <c r="T324" s="20">
        <f>IF(ISBLANK($C324),"",C324)</f>
        <v/>
      </c>
      <c r="U324" s="20">
        <f>IF(ISBLANK($C324),"",$D$1)</f>
        <v/>
      </c>
      <c r="V324" s="22">
        <f t="array" ref="V324">IF(ISBLANK($B324),"",IF(ISBLANK($K324),IF(XLOOKUP($W324,'Category Mapping'!$C:$C,'Category Mapping'!$B:$B)="Travel",XLOOKUP($P324,'Department Listing'!$A:$A,'Department Listing'!$M:$M),XLOOKUP($W324,'Category Mapping'!$C:$C,'Category Mapping'!$D:$D)),$K324))</f>
        <v/>
      </c>
      <c r="W324" s="22">
        <f>IF(ISBLANK($B324),"",IF(ISBLANK($L324),RIGHT($E324,LEN($E324) - FIND("^",SUBSTITUTE($E324,":","^",LEN($E324) - LEN(SUBSTITUTE($E324,":",""))))),$L324))</f>
        <v/>
      </c>
      <c r="X324" s="22">
        <f>IF(ISBLANK($J324),$V324&amp;$W324,$J324)</f>
        <v/>
      </c>
      <c r="Y324" s="23">
        <f t="array" ref="Y324">IF(ISBLANK($M324),IFERROR(XLOOKUP($P324,'Department Listing'!$A:$A,'Department Listing'!$L:$L),""),$M324)</f>
        <v/>
      </c>
      <c r="Z324" s="11">
        <f>IF(ISBLANK($B324),"",MATCH($X324,COA!$B:$B,0))</f>
        <v/>
      </c>
    </row>
    <row r="325" ht="15.75" customHeight="1" s="52">
      <c r="B325" s="17" t="n"/>
      <c r="E325" s="26" t="n"/>
      <c r="F325" s="19" t="n"/>
      <c r="G325" s="10" t="n"/>
      <c r="H325" s="10" t="n"/>
      <c r="I325" s="9" t="n"/>
      <c r="J325" s="9" t="n"/>
      <c r="K325" s="9" t="n"/>
      <c r="L325" s="9" t="n"/>
      <c r="M325" s="9" t="n"/>
      <c r="N325" s="20" t="n"/>
      <c r="O325" s="20">
        <f>IF(C325="", "", TRIM(RIGHT(C325, LEN(C325) - FIND("@@", SUBSTITUTE(C325, "-", "@@", LEN(C325) - LEN(SUBSTITUTE(C325, "-", "")))))))</f>
        <v/>
      </c>
      <c r="P325" s="20">
        <f t="array" ref="P325">IFERROR(XLOOKUP(O325,'Department Listing'!$O$1:$O$395,'Department Listing'!$A$1:$A$395),IFERROR(XLOOKUP(O325,'Name Aliases'!$A$2:$A$1000,'Name Aliases'!$B$2:$B$1000),""))</f>
        <v/>
      </c>
      <c r="Q325" s="21">
        <f>IF(ISBLANK($C325),"",$B325)</f>
        <v/>
      </c>
      <c r="R325" s="20">
        <f>IF(ISBLANK($C325),"",IF(ISBLANK($I325),$D325,$I325))</f>
        <v/>
      </c>
      <c r="S325" s="22">
        <f>IF(ISBLANK($C325),"",$F325 - $G325)</f>
        <v/>
      </c>
      <c r="T325" s="20">
        <f>IF(ISBLANK($C325),"",C325)</f>
        <v/>
      </c>
      <c r="U325" s="20">
        <f>IF(ISBLANK($C325),"",$D$1)</f>
        <v/>
      </c>
      <c r="V325" s="22">
        <f t="array" ref="V325">IF(ISBLANK($B325),"",IF(ISBLANK($K325),IF(XLOOKUP($W325,'Category Mapping'!$C:$C,'Category Mapping'!$B:$B)="Travel",XLOOKUP($P325,'Department Listing'!$A:$A,'Department Listing'!$M:$M),XLOOKUP($W325,'Category Mapping'!$C:$C,'Category Mapping'!$D:$D)),$K325))</f>
        <v/>
      </c>
      <c r="W325" s="22">
        <f>IF(ISBLANK($B325),"",IF(ISBLANK($L325),RIGHT($E325,LEN($E325) - FIND("^",SUBSTITUTE($E325,":","^",LEN($E325) - LEN(SUBSTITUTE($E325,":",""))))),$L325))</f>
        <v/>
      </c>
      <c r="X325" s="22">
        <f>IF(ISBLANK($J325),$V325&amp;$W325,$J325)</f>
        <v/>
      </c>
      <c r="Y325" s="23">
        <f t="array" ref="Y325">IF(ISBLANK($M325),IFERROR(XLOOKUP($P325,'Department Listing'!$A:$A,'Department Listing'!$L:$L),""),$M325)</f>
        <v/>
      </c>
      <c r="Z325" s="11">
        <f>IF(ISBLANK($B325),"",MATCH($X325,COA!$B:$B,0))</f>
        <v/>
      </c>
    </row>
    <row r="326" ht="15.75" customHeight="1" s="52">
      <c r="B326" s="17" t="n"/>
      <c r="E326" s="26" t="n"/>
      <c r="F326" s="19" t="n"/>
      <c r="G326" s="10" t="n"/>
      <c r="H326" s="10" t="n"/>
      <c r="I326" s="9" t="n"/>
      <c r="J326" s="9" t="n"/>
      <c r="K326" s="9" t="n"/>
      <c r="L326" s="9" t="n"/>
      <c r="M326" s="9" t="n"/>
      <c r="N326" s="20" t="n"/>
      <c r="O326" s="20">
        <f>IF(C326="", "", TRIM(RIGHT(C326, LEN(C326) - FIND("@@", SUBSTITUTE(C326, "-", "@@", LEN(C326) - LEN(SUBSTITUTE(C326, "-", "")))))))</f>
        <v/>
      </c>
      <c r="P326" s="20">
        <f t="array" ref="P326">IFERROR(XLOOKUP(O326,'Department Listing'!$O$1:$O$395,'Department Listing'!$A$1:$A$395),IFERROR(XLOOKUP(O326,'Name Aliases'!$A$2:$A$1000,'Name Aliases'!$B$2:$B$1000),""))</f>
        <v/>
      </c>
      <c r="Q326" s="21">
        <f>IF(ISBLANK($C326),"",$B326)</f>
        <v/>
      </c>
      <c r="R326" s="20">
        <f>IF(ISBLANK($C326),"",IF(ISBLANK($I326),$D326,$I326))</f>
        <v/>
      </c>
      <c r="S326" s="22">
        <f>IF(ISBLANK($C326),"",$F326 - $G326)</f>
        <v/>
      </c>
      <c r="T326" s="20">
        <f>IF(ISBLANK($C326),"",C326)</f>
        <v/>
      </c>
      <c r="U326" s="20">
        <f>IF(ISBLANK($C326),"",$D$1)</f>
        <v/>
      </c>
      <c r="V326" s="22">
        <f t="array" ref="V326">IF(ISBLANK($B326),"",IF(ISBLANK($K326),IF(XLOOKUP($W326,'Category Mapping'!$C:$C,'Category Mapping'!$B:$B)="Travel",XLOOKUP($P326,'Department Listing'!$A:$A,'Department Listing'!$M:$M),XLOOKUP($W326,'Category Mapping'!$C:$C,'Category Mapping'!$D:$D)),$K326))</f>
        <v/>
      </c>
      <c r="W326" s="22">
        <f>IF(ISBLANK($B326),"",IF(ISBLANK($L326),RIGHT($E326,LEN($E326) - FIND("^",SUBSTITUTE($E326,":","^",LEN($E326) - LEN(SUBSTITUTE($E326,":",""))))),$L326))</f>
        <v/>
      </c>
      <c r="X326" s="22">
        <f>IF(ISBLANK($J326),$V326&amp;$W326,$J326)</f>
        <v/>
      </c>
      <c r="Y326" s="23">
        <f t="array" ref="Y326">IF(ISBLANK($M326),IFERROR(XLOOKUP($P326,'Department Listing'!$A:$A,'Department Listing'!$L:$L),""),$M326)</f>
        <v/>
      </c>
      <c r="Z326" s="11">
        <f>IF(ISBLANK($B326),"",MATCH($X326,COA!$B:$B,0))</f>
        <v/>
      </c>
    </row>
    <row r="327" ht="15.75" customHeight="1" s="52">
      <c r="B327" s="17" t="n"/>
      <c r="E327" s="26" t="n"/>
      <c r="F327" s="19" t="n"/>
      <c r="G327" s="10" t="n"/>
      <c r="H327" s="10" t="n"/>
      <c r="I327" s="9" t="n"/>
      <c r="J327" s="9" t="n"/>
      <c r="K327" s="9" t="n"/>
      <c r="L327" s="9" t="n"/>
      <c r="M327" s="9" t="n"/>
      <c r="N327" s="20" t="n"/>
      <c r="O327" s="20">
        <f>IF(C327="", "", TRIM(RIGHT(C327, LEN(C327) - FIND("@@", SUBSTITUTE(C327, "-", "@@", LEN(C327) - LEN(SUBSTITUTE(C327, "-", "")))))))</f>
        <v/>
      </c>
      <c r="P327" s="20">
        <f t="array" ref="P327">IFERROR(XLOOKUP(O327,'Department Listing'!$O$1:$O$395,'Department Listing'!$A$1:$A$395),IFERROR(XLOOKUP(O327,'Name Aliases'!$A$2:$A$1000,'Name Aliases'!$B$2:$B$1000),""))</f>
        <v/>
      </c>
      <c r="Q327" s="21">
        <f>IF(ISBLANK($C327),"",$B327)</f>
        <v/>
      </c>
      <c r="R327" s="20">
        <f>IF(ISBLANK($C327),"",IF(ISBLANK($I327),$D327,$I327))</f>
        <v/>
      </c>
      <c r="S327" s="22">
        <f>IF(ISBLANK($C327),"",$F327 - $G327)</f>
        <v/>
      </c>
      <c r="T327" s="20">
        <f>IF(ISBLANK($C327),"",C327)</f>
        <v/>
      </c>
      <c r="U327" s="20">
        <f>IF(ISBLANK($C327),"",$D$1)</f>
        <v/>
      </c>
      <c r="V327" s="22">
        <f t="array" ref="V327">IF(ISBLANK($B327),"",IF(ISBLANK($K327),IF(XLOOKUP($W327,'Category Mapping'!$C:$C,'Category Mapping'!$B:$B)="Travel",XLOOKUP($P327,'Department Listing'!$A:$A,'Department Listing'!$M:$M),XLOOKUP($W327,'Category Mapping'!$C:$C,'Category Mapping'!$D:$D)),$K327))</f>
        <v/>
      </c>
      <c r="W327" s="22">
        <f>IF(ISBLANK($B327),"",IF(ISBLANK($L327),RIGHT($E327,LEN($E327) - FIND("^",SUBSTITUTE($E327,":","^",LEN($E327) - LEN(SUBSTITUTE($E327,":",""))))),$L327))</f>
        <v/>
      </c>
      <c r="X327" s="22">
        <f>IF(ISBLANK($J327),$V327&amp;$W327,$J327)</f>
        <v/>
      </c>
      <c r="Y327" s="23">
        <f t="array" ref="Y327">IF(ISBLANK($M327),IFERROR(XLOOKUP($P327,'Department Listing'!$A:$A,'Department Listing'!$L:$L),""),$M327)</f>
        <v/>
      </c>
      <c r="Z327" s="11">
        <f>IF(ISBLANK($B327),"",MATCH($X327,COA!$B:$B,0))</f>
        <v/>
      </c>
    </row>
    <row r="328" ht="15.75" customHeight="1" s="52">
      <c r="B328" s="17" t="n"/>
      <c r="E328" s="26" t="n"/>
      <c r="F328" s="19" t="n"/>
      <c r="G328" s="10" t="n"/>
      <c r="H328" s="10" t="n"/>
      <c r="I328" s="9" t="n"/>
      <c r="J328" s="9" t="n"/>
      <c r="K328" s="9" t="n"/>
      <c r="L328" s="9" t="n"/>
      <c r="M328" s="9" t="n"/>
      <c r="N328" s="20" t="n"/>
      <c r="O328" s="20">
        <f>IF(C328="", "", TRIM(RIGHT(C328, LEN(C328) - FIND("@@", SUBSTITUTE(C328, "-", "@@", LEN(C328) - LEN(SUBSTITUTE(C328, "-", "")))))))</f>
        <v/>
      </c>
      <c r="P328" s="20">
        <f t="array" ref="P328">IFERROR(XLOOKUP(O328,'Department Listing'!$O$1:$O$395,'Department Listing'!$A$1:$A$395),IFERROR(XLOOKUP(O328,'Name Aliases'!$A$2:$A$1000,'Name Aliases'!$B$2:$B$1000),""))</f>
        <v/>
      </c>
      <c r="Q328" s="21">
        <f>IF(ISBLANK($C328),"",$B328)</f>
        <v/>
      </c>
      <c r="R328" s="20">
        <f>IF(ISBLANK($C328),"",IF(ISBLANK($I328),$D328,$I328))</f>
        <v/>
      </c>
      <c r="S328" s="22">
        <f>IF(ISBLANK($C328),"",$F328 - $G328)</f>
        <v/>
      </c>
      <c r="T328" s="20">
        <f>IF(ISBLANK($C328),"",C328)</f>
        <v/>
      </c>
      <c r="U328" s="20">
        <f>IF(ISBLANK($C328),"",$D$1)</f>
        <v/>
      </c>
      <c r="V328" s="22">
        <f t="array" ref="V328">IF(ISBLANK($B328),"",IF(ISBLANK($K328),IF(XLOOKUP($W328,'Category Mapping'!$C:$C,'Category Mapping'!$B:$B)="Travel",XLOOKUP($P328,'Department Listing'!$A:$A,'Department Listing'!$M:$M),XLOOKUP($W328,'Category Mapping'!$C:$C,'Category Mapping'!$D:$D)),$K328))</f>
        <v/>
      </c>
      <c r="W328" s="22">
        <f>IF(ISBLANK($B328),"",IF(ISBLANK($L328),RIGHT($E328,LEN($E328) - FIND("^",SUBSTITUTE($E328,":","^",LEN($E328) - LEN(SUBSTITUTE($E328,":",""))))),$L328))</f>
        <v/>
      </c>
      <c r="X328" s="22">
        <f>IF(ISBLANK($J328),$V328&amp;$W328,$J328)</f>
        <v/>
      </c>
      <c r="Y328" s="23">
        <f t="array" ref="Y328">IF(ISBLANK($M328),IFERROR(XLOOKUP($P328,'Department Listing'!$A:$A,'Department Listing'!$L:$L),""),$M328)</f>
        <v/>
      </c>
      <c r="Z328" s="11">
        <f>IF(ISBLANK($B328),"",MATCH($X328,COA!$B:$B,0))</f>
        <v/>
      </c>
    </row>
    <row r="329" ht="15.75" customHeight="1" s="52">
      <c r="B329" s="17" t="n"/>
      <c r="E329" s="26" t="n"/>
      <c r="F329" s="19" t="n"/>
      <c r="G329" s="10" t="n"/>
      <c r="H329" s="10" t="n"/>
      <c r="I329" s="9" t="n"/>
      <c r="J329" s="9" t="n"/>
      <c r="K329" s="9" t="n"/>
      <c r="L329" s="9" t="n"/>
      <c r="M329" s="9" t="n"/>
      <c r="N329" s="20" t="n"/>
      <c r="O329" s="20">
        <f>IF(C329="", "", TRIM(RIGHT(C329, LEN(C329) - FIND("@@", SUBSTITUTE(C329, "-", "@@", LEN(C329) - LEN(SUBSTITUTE(C329, "-", "")))))))</f>
        <v/>
      </c>
      <c r="P329" s="20">
        <f t="array" ref="P329">IFERROR(XLOOKUP(O329,'Department Listing'!$O$1:$O$395,'Department Listing'!$A$1:$A$395),IFERROR(XLOOKUP(O329,'Name Aliases'!$A$2:$A$1000,'Name Aliases'!$B$2:$B$1000),""))</f>
        <v/>
      </c>
      <c r="Q329" s="21">
        <f>IF(ISBLANK($C329),"",$B329)</f>
        <v/>
      </c>
      <c r="R329" s="20">
        <f>IF(ISBLANK($C329),"",IF(ISBLANK($I329),$D329,$I329))</f>
        <v/>
      </c>
      <c r="S329" s="22">
        <f>IF(ISBLANK($C329),"",$F329 - $G329)</f>
        <v/>
      </c>
      <c r="T329" s="20">
        <f>IF(ISBLANK($C329),"",C329)</f>
        <v/>
      </c>
      <c r="U329" s="20">
        <f>IF(ISBLANK($C329),"",$D$1)</f>
        <v/>
      </c>
      <c r="V329" s="22">
        <f t="array" ref="V329">IF(ISBLANK($B329),"",IF(ISBLANK($K329),IF(XLOOKUP($W329,'Category Mapping'!$C:$C,'Category Mapping'!$B:$B)="Travel",XLOOKUP($P329,'Department Listing'!$A:$A,'Department Listing'!$M:$M),XLOOKUP($W329,'Category Mapping'!$C:$C,'Category Mapping'!$D:$D)),$K329))</f>
        <v/>
      </c>
      <c r="W329" s="22">
        <f>IF(ISBLANK($B329),"",IF(ISBLANK($L329),RIGHT($E329,LEN($E329) - FIND("^",SUBSTITUTE($E329,":","^",LEN($E329) - LEN(SUBSTITUTE($E329,":",""))))),$L329))</f>
        <v/>
      </c>
      <c r="X329" s="22">
        <f>IF(ISBLANK($J329),$V329&amp;$W329,$J329)</f>
        <v/>
      </c>
      <c r="Y329" s="23">
        <f t="array" ref="Y329">IF(ISBLANK($M329),IFERROR(XLOOKUP($P329,'Department Listing'!$A:$A,'Department Listing'!$L:$L),""),$M329)</f>
        <v/>
      </c>
      <c r="Z329" s="11">
        <f>IF(ISBLANK($B329),"",MATCH($X329,COA!$B:$B,0))</f>
        <v/>
      </c>
    </row>
    <row r="330" ht="15.75" customHeight="1" s="52">
      <c r="B330" s="17" t="n"/>
      <c r="E330" s="26" t="n"/>
      <c r="F330" s="19" t="n"/>
      <c r="G330" s="10" t="n"/>
      <c r="H330" s="10" t="n"/>
      <c r="I330" s="9" t="n"/>
      <c r="J330" s="9" t="n"/>
      <c r="K330" s="9" t="n"/>
      <c r="L330" s="9" t="n"/>
      <c r="M330" s="9" t="n"/>
      <c r="N330" s="20" t="n"/>
      <c r="O330" s="20">
        <f>IF(C330="", "", TRIM(RIGHT(C330, LEN(C330) - FIND("@@", SUBSTITUTE(C330, "-", "@@", LEN(C330) - LEN(SUBSTITUTE(C330, "-", "")))))))</f>
        <v/>
      </c>
      <c r="P330" s="20">
        <f t="array" ref="P330">IFERROR(XLOOKUP(O330,'Department Listing'!$O$1:$O$395,'Department Listing'!$A$1:$A$395),IFERROR(XLOOKUP(O330,'Name Aliases'!$A$2:$A$1000,'Name Aliases'!$B$2:$B$1000),""))</f>
        <v/>
      </c>
      <c r="Q330" s="21">
        <f>IF(ISBLANK($C330),"",$B330)</f>
        <v/>
      </c>
      <c r="R330" s="20">
        <f>IF(ISBLANK($C330),"",IF(ISBLANK($I330),$D330,$I330))</f>
        <v/>
      </c>
      <c r="S330" s="22">
        <f>IF(ISBLANK($C330),"",$F330 - $G330)</f>
        <v/>
      </c>
      <c r="T330" s="20">
        <f>IF(ISBLANK($C330),"",C330)</f>
        <v/>
      </c>
      <c r="U330" s="20">
        <f>IF(ISBLANK($C330),"",$D$1)</f>
        <v/>
      </c>
      <c r="V330" s="22">
        <f t="array" ref="V330">IF(ISBLANK($B330),"",IF(ISBLANK($K330),IF(XLOOKUP($W330,'Category Mapping'!$C:$C,'Category Mapping'!$B:$B)="Travel",XLOOKUP($P330,'Department Listing'!$A:$A,'Department Listing'!$M:$M),XLOOKUP($W330,'Category Mapping'!$C:$C,'Category Mapping'!$D:$D)),$K330))</f>
        <v/>
      </c>
      <c r="W330" s="22">
        <f>IF(ISBLANK($B330),"",IF(ISBLANK($L330),RIGHT($E330,LEN($E330) - FIND("^",SUBSTITUTE($E330,":","^",LEN($E330) - LEN(SUBSTITUTE($E330,":",""))))),$L330))</f>
        <v/>
      </c>
      <c r="X330" s="22">
        <f>IF(ISBLANK($J330),$V330&amp;$W330,$J330)</f>
        <v/>
      </c>
      <c r="Y330" s="23">
        <f t="array" ref="Y330">IF(ISBLANK($M330),IFERROR(XLOOKUP($P330,'Department Listing'!$A:$A,'Department Listing'!$L:$L),""),$M330)</f>
        <v/>
      </c>
      <c r="Z330" s="11">
        <f>IF(ISBLANK($B330),"",MATCH($X330,COA!$B:$B,0))</f>
        <v/>
      </c>
    </row>
    <row r="331" ht="15.75" customHeight="1" s="52">
      <c r="B331" s="17" t="n"/>
      <c r="E331" s="26" t="n"/>
      <c r="F331" s="19" t="n"/>
      <c r="G331" s="10" t="n"/>
      <c r="H331" s="10" t="n"/>
      <c r="I331" s="9" t="n"/>
      <c r="J331" s="9" t="n"/>
      <c r="K331" s="9" t="n"/>
      <c r="L331" s="9" t="n"/>
      <c r="M331" s="9" t="n"/>
      <c r="N331" s="20" t="n"/>
      <c r="O331" s="20">
        <f>IF(C331="", "", TRIM(RIGHT(C331, LEN(C331) - FIND("@@", SUBSTITUTE(C331, "-", "@@", LEN(C331) - LEN(SUBSTITUTE(C331, "-", "")))))))</f>
        <v/>
      </c>
      <c r="P331" s="20">
        <f t="array" ref="P331">IFERROR(XLOOKUP(O331,'Department Listing'!$O$1:$O$395,'Department Listing'!$A$1:$A$395),IFERROR(XLOOKUP(O331,'Name Aliases'!$A$2:$A$1000,'Name Aliases'!$B$2:$B$1000),""))</f>
        <v/>
      </c>
      <c r="Q331" s="21">
        <f>IF(ISBLANK($C331),"",$B331)</f>
        <v/>
      </c>
      <c r="R331" s="20">
        <f>IF(ISBLANK($C331),"",IF(ISBLANK($I331),$D331,$I331))</f>
        <v/>
      </c>
      <c r="S331" s="22">
        <f>IF(ISBLANK($C331),"",$F331 - $G331)</f>
        <v/>
      </c>
      <c r="T331" s="20">
        <f>IF(ISBLANK($C331),"",C331)</f>
        <v/>
      </c>
      <c r="U331" s="20">
        <f>IF(ISBLANK($C331),"",$D$1)</f>
        <v/>
      </c>
      <c r="V331" s="22">
        <f t="array" ref="V331">IF(ISBLANK($B331),"",IF(ISBLANK($K331),IF(XLOOKUP($W331,'Category Mapping'!$C:$C,'Category Mapping'!$B:$B)="Travel",XLOOKUP($P331,'Department Listing'!$A:$A,'Department Listing'!$M:$M),XLOOKUP($W331,'Category Mapping'!$C:$C,'Category Mapping'!$D:$D)),$K331))</f>
        <v/>
      </c>
      <c r="W331" s="22">
        <f>IF(ISBLANK($B331),"",IF(ISBLANK($L331),RIGHT($E331,LEN($E331) - FIND("^",SUBSTITUTE($E331,":","^",LEN($E331) - LEN(SUBSTITUTE($E331,":",""))))),$L331))</f>
        <v/>
      </c>
      <c r="X331" s="22">
        <f>IF(ISBLANK($J331),$V331&amp;$W331,$J331)</f>
        <v/>
      </c>
      <c r="Y331" s="23">
        <f t="array" ref="Y331">IF(ISBLANK($M331),IFERROR(XLOOKUP($P331,'Department Listing'!$A:$A,'Department Listing'!$L:$L),""),$M331)</f>
        <v/>
      </c>
      <c r="Z331" s="11">
        <f>IF(ISBLANK($B331),"",MATCH($X331,COA!$B:$B,0))</f>
        <v/>
      </c>
    </row>
    <row r="332" ht="15.75" customHeight="1" s="52">
      <c r="B332" s="17" t="n"/>
      <c r="E332" s="26" t="n"/>
      <c r="F332" s="19" t="n"/>
      <c r="G332" s="10" t="n"/>
      <c r="H332" s="10" t="n"/>
      <c r="I332" s="9" t="n"/>
      <c r="J332" s="9" t="n"/>
      <c r="K332" s="9" t="n"/>
      <c r="L332" s="9" t="n"/>
      <c r="M332" s="9" t="n"/>
      <c r="N332" s="20" t="n"/>
      <c r="O332" s="20">
        <f>IF(C332="", "", TRIM(RIGHT(C332, LEN(C332) - FIND("@@", SUBSTITUTE(C332, "-", "@@", LEN(C332) - LEN(SUBSTITUTE(C332, "-", "")))))))</f>
        <v/>
      </c>
      <c r="P332" s="20">
        <f t="array" ref="P332">IFERROR(XLOOKUP(O332,'Department Listing'!$O$1:$O$395,'Department Listing'!$A$1:$A$395),IFERROR(XLOOKUP(O332,'Name Aliases'!$A$2:$A$1000,'Name Aliases'!$B$2:$B$1000),""))</f>
        <v/>
      </c>
      <c r="Q332" s="21">
        <f>IF(ISBLANK($C332),"",$B332)</f>
        <v/>
      </c>
      <c r="R332" s="20">
        <f>IF(ISBLANK($C332),"",IF(ISBLANK($I332),$D332,$I332))</f>
        <v/>
      </c>
      <c r="S332" s="22">
        <f>IF(ISBLANK($C332),"",$F332 - $G332)</f>
        <v/>
      </c>
      <c r="T332" s="20">
        <f>IF(ISBLANK($C332),"",C332)</f>
        <v/>
      </c>
      <c r="U332" s="20">
        <f>IF(ISBLANK($C332),"",$D$1)</f>
        <v/>
      </c>
      <c r="V332" s="22">
        <f t="array" ref="V332">IF(ISBLANK($B332),"",IF(ISBLANK($K332),IF(XLOOKUP($W332,'Category Mapping'!$C:$C,'Category Mapping'!$B:$B)="Travel",XLOOKUP($P332,'Department Listing'!$A:$A,'Department Listing'!$M:$M),XLOOKUP($W332,'Category Mapping'!$C:$C,'Category Mapping'!$D:$D)),$K332))</f>
        <v/>
      </c>
      <c r="W332" s="22">
        <f>IF(ISBLANK($B332),"",IF(ISBLANK($L332),RIGHT($E332,LEN($E332) - FIND("^",SUBSTITUTE($E332,":","^",LEN($E332) - LEN(SUBSTITUTE($E332,":",""))))),$L332))</f>
        <v/>
      </c>
      <c r="X332" s="22">
        <f>IF(ISBLANK($J332),$V332&amp;$W332,$J332)</f>
        <v/>
      </c>
      <c r="Y332" s="23">
        <f t="array" ref="Y332">IF(ISBLANK($M332),IFERROR(XLOOKUP($P332,'Department Listing'!$A:$A,'Department Listing'!$L:$L),""),$M332)</f>
        <v/>
      </c>
      <c r="Z332" s="11">
        <f>IF(ISBLANK($B332),"",MATCH($X332,COA!$B:$B,0))</f>
        <v/>
      </c>
    </row>
    <row r="333" ht="15.75" customHeight="1" s="52">
      <c r="B333" s="17" t="n"/>
      <c r="E333" s="26" t="n"/>
      <c r="F333" s="19" t="n"/>
      <c r="G333" s="10" t="n"/>
      <c r="H333" s="10" t="n"/>
      <c r="I333" s="9" t="n"/>
      <c r="J333" s="9" t="n"/>
      <c r="K333" s="9" t="n"/>
      <c r="L333" s="9" t="n"/>
      <c r="M333" s="9" t="n"/>
      <c r="N333" s="20" t="n"/>
      <c r="O333" s="20">
        <f>IF(C333="", "", TRIM(RIGHT(C333, LEN(C333) - FIND("@@", SUBSTITUTE(C333, "-", "@@", LEN(C333) - LEN(SUBSTITUTE(C333, "-", "")))))))</f>
        <v/>
      </c>
      <c r="P333" s="20">
        <f t="array" ref="P333">IFERROR(XLOOKUP(O333,'Department Listing'!$O$1:$O$395,'Department Listing'!$A$1:$A$395),IFERROR(XLOOKUP(O333,'Name Aliases'!$A$2:$A$1000,'Name Aliases'!$B$2:$B$1000),""))</f>
        <v/>
      </c>
      <c r="Q333" s="21">
        <f>IF(ISBLANK($C333),"",$B333)</f>
        <v/>
      </c>
      <c r="R333" s="20">
        <f>IF(ISBLANK($C333),"",IF(ISBLANK($I333),$D333,$I333))</f>
        <v/>
      </c>
      <c r="S333" s="22">
        <f>IF(ISBLANK($C333),"",$F333 - $G333)</f>
        <v/>
      </c>
      <c r="T333" s="20">
        <f>IF(ISBLANK($C333),"",C333)</f>
        <v/>
      </c>
      <c r="U333" s="20">
        <f>IF(ISBLANK($C333),"",$D$1)</f>
        <v/>
      </c>
      <c r="V333" s="22">
        <f t="array" ref="V333">IF(ISBLANK($B333),"",IF(ISBLANK($K333),IF(XLOOKUP($W333,'Category Mapping'!$C:$C,'Category Mapping'!$B:$B)="Travel",XLOOKUP($P333,'Department Listing'!$A:$A,'Department Listing'!$M:$M),XLOOKUP($W333,'Category Mapping'!$C:$C,'Category Mapping'!$D:$D)),$K333))</f>
        <v/>
      </c>
      <c r="W333" s="22">
        <f>IF(ISBLANK($B333),"",IF(ISBLANK($L333),RIGHT($E333,LEN($E333) - FIND("^",SUBSTITUTE($E333,":","^",LEN($E333) - LEN(SUBSTITUTE($E333,":",""))))),$L333))</f>
        <v/>
      </c>
      <c r="X333" s="22">
        <f>IF(ISBLANK($J333),$V333&amp;$W333,$J333)</f>
        <v/>
      </c>
      <c r="Y333" s="23">
        <f t="array" ref="Y333">IF(ISBLANK($M333),IFERROR(XLOOKUP($P333,'Department Listing'!$A:$A,'Department Listing'!$L:$L),""),$M333)</f>
        <v/>
      </c>
      <c r="Z333" s="11">
        <f>IF(ISBLANK($B333),"",MATCH($X333,COA!$B:$B,0))</f>
        <v/>
      </c>
    </row>
    <row r="334" ht="15.75" customHeight="1" s="52">
      <c r="B334" s="17" t="n"/>
      <c r="E334" s="26" t="n"/>
      <c r="F334" s="19" t="n"/>
      <c r="G334" s="10" t="n"/>
      <c r="H334" s="10" t="n"/>
      <c r="I334" s="9" t="n"/>
      <c r="J334" s="9" t="n"/>
      <c r="K334" s="9" t="n"/>
      <c r="L334" s="9" t="n"/>
      <c r="M334" s="9" t="n"/>
      <c r="N334" s="20" t="n"/>
      <c r="O334" s="20">
        <f>IF(C334="", "", TRIM(RIGHT(C334, LEN(C334) - FIND("@@", SUBSTITUTE(C334, "-", "@@", LEN(C334) - LEN(SUBSTITUTE(C334, "-", "")))))))</f>
        <v/>
      </c>
      <c r="P334" s="20">
        <f t="array" ref="P334">IFERROR(XLOOKUP(O334,'Department Listing'!$O$1:$O$395,'Department Listing'!$A$1:$A$395),IFERROR(XLOOKUP(O334,'Name Aliases'!$A$2:$A$1000,'Name Aliases'!$B$2:$B$1000),""))</f>
        <v/>
      </c>
      <c r="Q334" s="21">
        <f>IF(ISBLANK($C334),"",$B334)</f>
        <v/>
      </c>
      <c r="R334" s="20">
        <f>IF(ISBLANK($C334),"",IF(ISBLANK($I334),$D334,$I334))</f>
        <v/>
      </c>
      <c r="S334" s="22">
        <f>IF(ISBLANK($C334),"",$F334 - $G334)</f>
        <v/>
      </c>
      <c r="T334" s="20">
        <f>IF(ISBLANK($C334),"",C334)</f>
        <v/>
      </c>
      <c r="U334" s="20">
        <f>IF(ISBLANK($C334),"",$D$1)</f>
        <v/>
      </c>
      <c r="V334" s="22">
        <f t="array" ref="V334">IF(ISBLANK($B334),"",IF(ISBLANK($K334),IF(XLOOKUP($W334,'Category Mapping'!$C:$C,'Category Mapping'!$B:$B)="Travel",XLOOKUP($P334,'Department Listing'!$A:$A,'Department Listing'!$M:$M),XLOOKUP($W334,'Category Mapping'!$C:$C,'Category Mapping'!$D:$D)),$K334))</f>
        <v/>
      </c>
      <c r="W334" s="22">
        <f>IF(ISBLANK($B334),"",IF(ISBLANK($L334),RIGHT($E334,LEN($E334) - FIND("^",SUBSTITUTE($E334,":","^",LEN($E334) - LEN(SUBSTITUTE($E334,":",""))))),$L334))</f>
        <v/>
      </c>
      <c r="X334" s="22">
        <f>IF(ISBLANK($J334),$V334&amp;$W334,$J334)</f>
        <v/>
      </c>
      <c r="Y334" s="23">
        <f t="array" ref="Y334">IF(ISBLANK($M334),IFERROR(XLOOKUP($P334,'Department Listing'!$A:$A,'Department Listing'!$L:$L),""),$M334)</f>
        <v/>
      </c>
      <c r="Z334" s="11">
        <f>IF(ISBLANK($B334),"",MATCH($X334,COA!$B:$B,0))</f>
        <v/>
      </c>
    </row>
    <row r="335" ht="15.75" customHeight="1" s="52">
      <c r="B335" s="17" t="n"/>
      <c r="E335" s="26" t="n"/>
      <c r="F335" s="19" t="n"/>
      <c r="G335" s="10" t="n"/>
      <c r="H335" s="10" t="n"/>
      <c r="I335" s="9" t="n"/>
      <c r="J335" s="9" t="n"/>
      <c r="K335" s="9" t="n"/>
      <c r="L335" s="9" t="n"/>
      <c r="M335" s="9" t="n"/>
      <c r="N335" s="20" t="n"/>
      <c r="O335" s="20">
        <f>IF(C335="", "", TRIM(RIGHT(C335, LEN(C335) - FIND("@@", SUBSTITUTE(C335, "-", "@@", LEN(C335) - LEN(SUBSTITUTE(C335, "-", "")))))))</f>
        <v/>
      </c>
      <c r="P335" s="20">
        <f t="array" ref="P335">IFERROR(XLOOKUP(O335,'Department Listing'!$O$1:$O$395,'Department Listing'!$A$1:$A$395),IFERROR(XLOOKUP(O335,'Name Aliases'!$A$2:$A$1000,'Name Aliases'!$B$2:$B$1000),""))</f>
        <v/>
      </c>
      <c r="Q335" s="21">
        <f>IF(ISBLANK($C335),"",$B335)</f>
        <v/>
      </c>
      <c r="R335" s="20">
        <f>IF(ISBLANK($C335),"",IF(ISBLANK($I335),$D335,$I335))</f>
        <v/>
      </c>
      <c r="S335" s="22">
        <f>IF(ISBLANK($C335),"",$F335 - $G335)</f>
        <v/>
      </c>
      <c r="T335" s="20">
        <f>IF(ISBLANK($C335),"",C335)</f>
        <v/>
      </c>
      <c r="U335" s="20">
        <f>IF(ISBLANK($C335),"",$D$1)</f>
        <v/>
      </c>
      <c r="V335" s="22">
        <f t="array" ref="V335">IF(ISBLANK($B335),"",IF(ISBLANK($K335),IF(XLOOKUP($W335,'Category Mapping'!$C:$C,'Category Mapping'!$B:$B)="Travel",XLOOKUP($P335,'Department Listing'!$A:$A,'Department Listing'!$M:$M),XLOOKUP($W335,'Category Mapping'!$C:$C,'Category Mapping'!$D:$D)),$K335))</f>
        <v/>
      </c>
      <c r="W335" s="22">
        <f>IF(ISBLANK($B335),"",IF(ISBLANK($L335),RIGHT($E335,LEN($E335) - FIND("^",SUBSTITUTE($E335,":","^",LEN($E335) - LEN(SUBSTITUTE($E335,":",""))))),$L335))</f>
        <v/>
      </c>
      <c r="X335" s="22">
        <f>IF(ISBLANK($J335),$V335&amp;$W335,$J335)</f>
        <v/>
      </c>
      <c r="Y335" s="23">
        <f t="array" ref="Y335">IF(ISBLANK($M335),IFERROR(XLOOKUP($P335,'Department Listing'!$A:$A,'Department Listing'!$L:$L),""),$M335)</f>
        <v/>
      </c>
      <c r="Z335" s="11">
        <f>IF(ISBLANK($B335),"",MATCH($X335,COA!$B:$B,0))</f>
        <v/>
      </c>
    </row>
    <row r="336" ht="15.75" customHeight="1" s="52">
      <c r="B336" s="17" t="n"/>
      <c r="E336" s="26" t="n"/>
      <c r="F336" s="19" t="n"/>
      <c r="G336" s="10" t="n"/>
      <c r="H336" s="10" t="n"/>
      <c r="I336" s="9" t="n"/>
      <c r="J336" s="9" t="n"/>
      <c r="K336" s="9" t="n"/>
      <c r="L336" s="9" t="n"/>
      <c r="M336" s="9" t="n"/>
      <c r="N336" s="20" t="n"/>
      <c r="O336" s="20">
        <f>IF(C336="", "", TRIM(RIGHT(C336, LEN(C336) - FIND("@@", SUBSTITUTE(C336, "-", "@@", LEN(C336) - LEN(SUBSTITUTE(C336, "-", "")))))))</f>
        <v/>
      </c>
      <c r="P336" s="20">
        <f t="array" ref="P336">IFERROR(XLOOKUP(O336,'Department Listing'!$O$1:$O$395,'Department Listing'!$A$1:$A$395),IFERROR(XLOOKUP(O336,'Name Aliases'!$A$2:$A$1000,'Name Aliases'!$B$2:$B$1000),""))</f>
        <v/>
      </c>
      <c r="Q336" s="21">
        <f>IF(ISBLANK($C336),"",$B336)</f>
        <v/>
      </c>
      <c r="R336" s="20">
        <f>IF(ISBLANK($C336),"",IF(ISBLANK($I336),$D336,$I336))</f>
        <v/>
      </c>
      <c r="S336" s="22">
        <f>IF(ISBLANK($C336),"",$F336 - $G336)</f>
        <v/>
      </c>
      <c r="T336" s="20">
        <f>IF(ISBLANK($C336),"",C336)</f>
        <v/>
      </c>
      <c r="U336" s="20">
        <f>IF(ISBLANK($C336),"",$D$1)</f>
        <v/>
      </c>
      <c r="V336" s="22">
        <f t="array" ref="V336">IF(ISBLANK($B336),"",IF(ISBLANK($K336),IF(XLOOKUP($W336,'Category Mapping'!$C:$C,'Category Mapping'!$B:$B)="Travel",XLOOKUP($P336,'Department Listing'!$A:$A,'Department Listing'!$M:$M),XLOOKUP($W336,'Category Mapping'!$C:$C,'Category Mapping'!$D:$D)),$K336))</f>
        <v/>
      </c>
      <c r="W336" s="22">
        <f>IF(ISBLANK($B336),"",IF(ISBLANK($L336),RIGHT($E336,LEN($E336) - FIND("^",SUBSTITUTE($E336,":","^",LEN($E336) - LEN(SUBSTITUTE($E336,":",""))))),$L336))</f>
        <v/>
      </c>
      <c r="X336" s="22">
        <f>IF(ISBLANK($J336),$V336&amp;$W336,$J336)</f>
        <v/>
      </c>
      <c r="Y336" s="23">
        <f t="array" ref="Y336">IF(ISBLANK($M336),IFERROR(XLOOKUP($P336,'Department Listing'!$A:$A,'Department Listing'!$L:$L),""),$M336)</f>
        <v/>
      </c>
      <c r="Z336" s="11">
        <f>IF(ISBLANK($B336),"",MATCH($X336,COA!$B:$B,0))</f>
        <v/>
      </c>
    </row>
    <row r="337" ht="15.75" customHeight="1" s="52">
      <c r="B337" s="17" t="n"/>
      <c r="E337" s="26" t="n"/>
      <c r="F337" s="19" t="n"/>
      <c r="G337" s="10" t="n"/>
      <c r="H337" s="10" t="n"/>
      <c r="I337" s="9" t="n"/>
      <c r="J337" s="9" t="n"/>
      <c r="K337" s="9" t="n"/>
      <c r="L337" s="9" t="n"/>
      <c r="M337" s="9" t="n"/>
      <c r="N337" s="20" t="n"/>
      <c r="O337" s="20">
        <f>IF(C337="", "", TRIM(RIGHT(C337, LEN(C337) - FIND("@@", SUBSTITUTE(C337, "-", "@@", LEN(C337) - LEN(SUBSTITUTE(C337, "-", "")))))))</f>
        <v/>
      </c>
      <c r="P337" s="20">
        <f t="array" ref="P337">IFERROR(XLOOKUP(O337,'Department Listing'!$O$1:$O$395,'Department Listing'!$A$1:$A$395),IFERROR(XLOOKUP(O337,'Name Aliases'!$A$2:$A$1000,'Name Aliases'!$B$2:$B$1000),""))</f>
        <v/>
      </c>
      <c r="Q337" s="21">
        <f>IF(ISBLANK($C337),"",$B337)</f>
        <v/>
      </c>
      <c r="R337" s="20">
        <f>IF(ISBLANK($C337),"",IF(ISBLANK($I337),$D337,$I337))</f>
        <v/>
      </c>
      <c r="S337" s="22">
        <f>IF(ISBLANK($C337),"",$F337 - $G337)</f>
        <v/>
      </c>
      <c r="T337" s="20">
        <f>IF(ISBLANK($C337),"",C337)</f>
        <v/>
      </c>
      <c r="U337" s="20">
        <f>IF(ISBLANK($C337),"",$D$1)</f>
        <v/>
      </c>
      <c r="V337" s="22">
        <f t="array" ref="V337">IF(ISBLANK($B337),"",IF(ISBLANK($K337),IF(XLOOKUP($W337,'Category Mapping'!$C:$C,'Category Mapping'!$B:$B)="Travel",XLOOKUP($P337,'Department Listing'!$A:$A,'Department Listing'!$M:$M),XLOOKUP($W337,'Category Mapping'!$C:$C,'Category Mapping'!$D:$D)),$K337))</f>
        <v/>
      </c>
      <c r="W337" s="22">
        <f>IF(ISBLANK($B337),"",IF(ISBLANK($L337),RIGHT($E337,LEN($E337) - FIND("^",SUBSTITUTE($E337,":","^",LEN($E337) - LEN(SUBSTITUTE($E337,":",""))))),$L337))</f>
        <v/>
      </c>
      <c r="X337" s="22">
        <f>IF(ISBLANK($J337),$V337&amp;$W337,$J337)</f>
        <v/>
      </c>
      <c r="Y337" s="23">
        <f t="array" ref="Y337">IF(ISBLANK($M337),IFERROR(XLOOKUP($P337,'Department Listing'!$A:$A,'Department Listing'!$L:$L),""),$M337)</f>
        <v/>
      </c>
      <c r="Z337" s="11">
        <f>IF(ISBLANK($B337),"",MATCH($X337,COA!$B:$B,0))</f>
        <v/>
      </c>
    </row>
    <row r="338" ht="15.75" customHeight="1" s="52">
      <c r="B338" s="17" t="n"/>
      <c r="E338" s="26" t="n"/>
      <c r="F338" s="19" t="n"/>
      <c r="G338" s="10" t="n"/>
      <c r="H338" s="10" t="n"/>
      <c r="I338" s="9" t="n"/>
      <c r="J338" s="9" t="n"/>
      <c r="K338" s="9" t="n"/>
      <c r="L338" s="9" t="n"/>
      <c r="M338" s="9" t="n"/>
      <c r="N338" s="20" t="n"/>
      <c r="O338" s="20">
        <f>IF(C338="", "", TRIM(RIGHT(C338, LEN(C338) - FIND("@@", SUBSTITUTE(C338, "-", "@@", LEN(C338) - LEN(SUBSTITUTE(C338, "-", "")))))))</f>
        <v/>
      </c>
      <c r="P338" s="20">
        <f t="array" ref="P338">IFERROR(XLOOKUP(O338,'Department Listing'!$O$1:$O$395,'Department Listing'!$A$1:$A$395),IFERROR(XLOOKUP(O338,'Name Aliases'!$A$2:$A$1000,'Name Aliases'!$B$2:$B$1000),""))</f>
        <v/>
      </c>
      <c r="Q338" s="21">
        <f>IF(ISBLANK($C338),"",$B338)</f>
        <v/>
      </c>
      <c r="R338" s="20">
        <f>IF(ISBLANK($C338),"",IF(ISBLANK($I338),$D338,$I338))</f>
        <v/>
      </c>
      <c r="S338" s="22">
        <f>IF(ISBLANK($C338),"",$F338 - $G338)</f>
        <v/>
      </c>
      <c r="T338" s="20">
        <f>IF(ISBLANK($C338),"",C338)</f>
        <v/>
      </c>
      <c r="U338" s="20">
        <f>IF(ISBLANK($C338),"",$D$1)</f>
        <v/>
      </c>
      <c r="V338" s="22">
        <f t="array" ref="V338">IF(ISBLANK($B338),"",IF(ISBLANK($K338),IF(XLOOKUP($W338,'Category Mapping'!$C:$C,'Category Mapping'!$B:$B)="Travel",XLOOKUP($P338,'Department Listing'!$A:$A,'Department Listing'!$M:$M),XLOOKUP($W338,'Category Mapping'!$C:$C,'Category Mapping'!$D:$D)),$K338))</f>
        <v/>
      </c>
      <c r="W338" s="22">
        <f>IF(ISBLANK($B338),"",IF(ISBLANK($L338),RIGHT($E338,LEN($E338) - FIND("^",SUBSTITUTE($E338,":","^",LEN($E338) - LEN(SUBSTITUTE($E338,":",""))))),$L338))</f>
        <v/>
      </c>
      <c r="X338" s="22">
        <f>IF(ISBLANK($J338),$V338&amp;$W338,$J338)</f>
        <v/>
      </c>
      <c r="Y338" s="23">
        <f t="array" ref="Y338">IF(ISBLANK($M338),IFERROR(XLOOKUP($P338,'Department Listing'!$A:$A,'Department Listing'!$L:$L),""),$M338)</f>
        <v/>
      </c>
      <c r="Z338" s="11">
        <f>IF(ISBLANK($B338),"",MATCH($X338,COA!$B:$B,0))</f>
        <v/>
      </c>
    </row>
    <row r="339" ht="15.75" customHeight="1" s="52">
      <c r="B339" s="17" t="n"/>
      <c r="E339" s="26" t="n"/>
      <c r="F339" s="19" t="n"/>
      <c r="G339" s="10" t="n"/>
      <c r="H339" s="10" t="n"/>
      <c r="I339" s="9" t="n"/>
      <c r="J339" s="9" t="n"/>
      <c r="K339" s="9" t="n"/>
      <c r="L339" s="9" t="n"/>
      <c r="M339" s="9" t="n"/>
      <c r="N339" s="20" t="n"/>
      <c r="O339" s="20">
        <f>IF(C339="", "", TRIM(RIGHT(C339, LEN(C339) - FIND("@@", SUBSTITUTE(C339, "-", "@@", LEN(C339) - LEN(SUBSTITUTE(C339, "-", "")))))))</f>
        <v/>
      </c>
      <c r="P339" s="20">
        <f t="array" ref="P339">IFERROR(XLOOKUP(O339,'Department Listing'!$O$1:$O$395,'Department Listing'!$A$1:$A$395),IFERROR(XLOOKUP(O339,'Name Aliases'!$A$2:$A$1000,'Name Aliases'!$B$2:$B$1000),""))</f>
        <v/>
      </c>
      <c r="Q339" s="21">
        <f>IF(ISBLANK($C339),"",$B339)</f>
        <v/>
      </c>
      <c r="R339" s="20">
        <f>IF(ISBLANK($C339),"",IF(ISBLANK($I339),$D339,$I339))</f>
        <v/>
      </c>
      <c r="S339" s="22">
        <f>IF(ISBLANK($C339),"",$F339 - $G339)</f>
        <v/>
      </c>
      <c r="T339" s="20">
        <f>IF(ISBLANK($C339),"",C339)</f>
        <v/>
      </c>
      <c r="U339" s="20">
        <f>IF(ISBLANK($C339),"",$D$1)</f>
        <v/>
      </c>
      <c r="V339" s="22">
        <f t="array" ref="V339">IF(ISBLANK($B339),"",IF(ISBLANK($K339),IF(XLOOKUP($W339,'Category Mapping'!$C:$C,'Category Mapping'!$B:$B)="Travel",XLOOKUP($P339,'Department Listing'!$A:$A,'Department Listing'!$M:$M),XLOOKUP($W339,'Category Mapping'!$C:$C,'Category Mapping'!$D:$D)),$K339))</f>
        <v/>
      </c>
      <c r="W339" s="22">
        <f>IF(ISBLANK($B339),"",IF(ISBLANK($L339),RIGHT($E339,LEN($E339) - FIND("^",SUBSTITUTE($E339,":","^",LEN($E339) - LEN(SUBSTITUTE($E339,":",""))))),$L339))</f>
        <v/>
      </c>
      <c r="X339" s="22">
        <f>IF(ISBLANK($J339),$V339&amp;$W339,$J339)</f>
        <v/>
      </c>
      <c r="Y339" s="23">
        <f t="array" ref="Y339">IF(ISBLANK($M339),IFERROR(XLOOKUP($P339,'Department Listing'!$A:$A,'Department Listing'!$L:$L),""),$M339)</f>
        <v/>
      </c>
      <c r="Z339" s="11">
        <f>IF(ISBLANK($B339),"",MATCH($X339,COA!$B:$B,0))</f>
        <v/>
      </c>
    </row>
    <row r="340" ht="15.75" customHeight="1" s="52">
      <c r="B340" s="17" t="n"/>
      <c r="E340" s="26" t="n"/>
      <c r="F340" s="19" t="n"/>
      <c r="G340" s="10" t="n"/>
      <c r="H340" s="10" t="n"/>
      <c r="I340" s="9" t="n"/>
      <c r="J340" s="9" t="n"/>
      <c r="K340" s="9" t="n"/>
      <c r="L340" s="9" t="n"/>
      <c r="M340" s="9" t="n"/>
      <c r="N340" s="20" t="n"/>
      <c r="O340" s="20">
        <f>IF(C340="", "", TRIM(RIGHT(C340, LEN(C340) - FIND("@@", SUBSTITUTE(C340, "-", "@@", LEN(C340) - LEN(SUBSTITUTE(C340, "-", "")))))))</f>
        <v/>
      </c>
      <c r="P340" s="20">
        <f t="array" ref="P340">IFERROR(XLOOKUP(O340,'Department Listing'!$O$1:$O$395,'Department Listing'!$A$1:$A$395),IFERROR(XLOOKUP(O340,'Name Aliases'!$A$2:$A$1000,'Name Aliases'!$B$2:$B$1000),""))</f>
        <v/>
      </c>
      <c r="Q340" s="21">
        <f>IF(ISBLANK($C340),"",$B340)</f>
        <v/>
      </c>
      <c r="R340" s="20">
        <f>IF(ISBLANK($C340),"",IF(ISBLANK($I340),$D340,$I340))</f>
        <v/>
      </c>
      <c r="S340" s="22">
        <f>IF(ISBLANK($C340),"",$F340 - $G340)</f>
        <v/>
      </c>
      <c r="T340" s="20">
        <f>IF(ISBLANK($C340),"",C340)</f>
        <v/>
      </c>
      <c r="U340" s="20">
        <f>IF(ISBLANK($C340),"",$D$1)</f>
        <v/>
      </c>
      <c r="V340" s="22">
        <f t="array" ref="V340">IF(ISBLANK($B340),"",IF(ISBLANK($K340),IF(XLOOKUP($W340,'Category Mapping'!$C:$C,'Category Mapping'!$B:$B)="Travel",XLOOKUP($P340,'Department Listing'!$A:$A,'Department Listing'!$M:$M),XLOOKUP($W340,'Category Mapping'!$C:$C,'Category Mapping'!$D:$D)),$K340))</f>
        <v/>
      </c>
      <c r="W340" s="22">
        <f>IF(ISBLANK($B340),"",IF(ISBLANK($L340),RIGHT($E340,LEN($E340) - FIND("^",SUBSTITUTE($E340,":","^",LEN($E340) - LEN(SUBSTITUTE($E340,":",""))))),$L340))</f>
        <v/>
      </c>
      <c r="X340" s="22">
        <f>IF(ISBLANK($J340),$V340&amp;$W340,$J340)</f>
        <v/>
      </c>
      <c r="Y340" s="23">
        <f t="array" ref="Y340">IF(ISBLANK($M340),IFERROR(XLOOKUP($P340,'Department Listing'!$A:$A,'Department Listing'!$L:$L),""),$M340)</f>
        <v/>
      </c>
      <c r="Z340" s="11">
        <f>IF(ISBLANK($B340),"",MATCH($X340,COA!$B:$B,0))</f>
        <v/>
      </c>
    </row>
    <row r="341" ht="15.75" customHeight="1" s="52">
      <c r="B341" s="17" t="n"/>
      <c r="E341" s="26" t="n"/>
      <c r="F341" s="19" t="n"/>
      <c r="G341" s="10" t="n"/>
      <c r="H341" s="10" t="n"/>
      <c r="I341" s="9" t="n"/>
      <c r="J341" s="9" t="n"/>
      <c r="K341" s="9" t="n"/>
      <c r="L341" s="9" t="n"/>
      <c r="M341" s="9" t="n"/>
      <c r="N341" s="20" t="n"/>
      <c r="O341" s="20">
        <f>IF(C341="", "", TRIM(RIGHT(C341, LEN(C341) - FIND("@@", SUBSTITUTE(C341, "-", "@@", LEN(C341) - LEN(SUBSTITUTE(C341, "-", "")))))))</f>
        <v/>
      </c>
      <c r="P341" s="20">
        <f t="array" ref="P341">IFERROR(XLOOKUP(O341,'Department Listing'!$O$1:$O$395,'Department Listing'!$A$1:$A$395),IFERROR(XLOOKUP(O341,'Name Aliases'!$A$2:$A$1000,'Name Aliases'!$B$2:$B$1000),""))</f>
        <v/>
      </c>
      <c r="Q341" s="21">
        <f>IF(ISBLANK($C341),"",$B341)</f>
        <v/>
      </c>
      <c r="R341" s="20">
        <f>IF(ISBLANK($C341),"",IF(ISBLANK($I341),$D341,$I341))</f>
        <v/>
      </c>
      <c r="S341" s="22">
        <f>IF(ISBLANK($C341),"",$F341 - $G341)</f>
        <v/>
      </c>
      <c r="T341" s="20">
        <f>IF(ISBLANK($C341),"",C341)</f>
        <v/>
      </c>
      <c r="U341" s="20">
        <f>IF(ISBLANK($C341),"",$D$1)</f>
        <v/>
      </c>
      <c r="V341" s="22">
        <f t="array" ref="V341">IF(ISBLANK($B341),"",IF(ISBLANK($K341),IF(XLOOKUP($W341,'Category Mapping'!$C:$C,'Category Mapping'!$B:$B)="Travel",XLOOKUP($P341,'Department Listing'!$A:$A,'Department Listing'!$M:$M),XLOOKUP($W341,'Category Mapping'!$C:$C,'Category Mapping'!$D:$D)),$K341))</f>
        <v/>
      </c>
      <c r="W341" s="22">
        <f>IF(ISBLANK($B341),"",IF(ISBLANK($L341),RIGHT($E341,LEN($E341) - FIND("^",SUBSTITUTE($E341,":","^",LEN($E341) - LEN(SUBSTITUTE($E341,":",""))))),$L341))</f>
        <v/>
      </c>
      <c r="X341" s="22">
        <f>IF(ISBLANK($J341),$V341&amp;$W341,$J341)</f>
        <v/>
      </c>
      <c r="Y341" s="23">
        <f t="array" ref="Y341">IF(ISBLANK($M341),IFERROR(XLOOKUP($P341,'Department Listing'!$A:$A,'Department Listing'!$L:$L),""),$M341)</f>
        <v/>
      </c>
      <c r="Z341" s="11">
        <f>IF(ISBLANK($B341),"",MATCH($X341,COA!$B:$B,0))</f>
        <v/>
      </c>
    </row>
    <row r="342" ht="15.75" customHeight="1" s="52">
      <c r="B342" s="17" t="n"/>
      <c r="E342" s="26" t="n"/>
      <c r="F342" s="19" t="n"/>
      <c r="G342" s="10" t="n"/>
      <c r="H342" s="10" t="n"/>
      <c r="I342" s="9" t="n"/>
      <c r="J342" s="9" t="n"/>
      <c r="K342" s="9" t="n"/>
      <c r="L342" s="9" t="n"/>
      <c r="M342" s="9" t="n"/>
      <c r="N342" s="20" t="n"/>
      <c r="O342" s="20">
        <f>IF(C342="", "", TRIM(RIGHT(C342, LEN(C342) - FIND("@@", SUBSTITUTE(C342, "-", "@@", LEN(C342) - LEN(SUBSTITUTE(C342, "-", "")))))))</f>
        <v/>
      </c>
      <c r="P342" s="20">
        <f t="array" ref="P342">IFERROR(XLOOKUP(O342,'Department Listing'!$O$1:$O$395,'Department Listing'!$A$1:$A$395),IFERROR(XLOOKUP(O342,'Name Aliases'!$A$2:$A$1000,'Name Aliases'!$B$2:$B$1000),""))</f>
        <v/>
      </c>
      <c r="Q342" s="21">
        <f>IF(ISBLANK($C342),"",$B342)</f>
        <v/>
      </c>
      <c r="R342" s="20">
        <f>IF(ISBLANK($C342),"",IF(ISBLANK($I342),$D342,$I342))</f>
        <v/>
      </c>
      <c r="S342" s="22">
        <f>IF(ISBLANK($C342),"",$F342 - $G342)</f>
        <v/>
      </c>
      <c r="T342" s="20">
        <f>IF(ISBLANK($C342),"",C342)</f>
        <v/>
      </c>
      <c r="U342" s="20">
        <f>IF(ISBLANK($C342),"",$D$1)</f>
        <v/>
      </c>
      <c r="V342" s="22">
        <f t="array" ref="V342">IF(ISBLANK($B342),"",IF(ISBLANK($K342),IF(XLOOKUP($W342,'Category Mapping'!$C:$C,'Category Mapping'!$B:$B)="Travel",XLOOKUP($P342,'Department Listing'!$A:$A,'Department Listing'!$M:$M),XLOOKUP($W342,'Category Mapping'!$C:$C,'Category Mapping'!$D:$D)),$K342))</f>
        <v/>
      </c>
      <c r="W342" s="22">
        <f>IF(ISBLANK($B342),"",IF(ISBLANK($L342),RIGHT($E342,LEN($E342) - FIND("^",SUBSTITUTE($E342,":","^",LEN($E342) - LEN(SUBSTITUTE($E342,":",""))))),$L342))</f>
        <v/>
      </c>
      <c r="X342" s="22">
        <f>IF(ISBLANK($J342),$V342&amp;$W342,$J342)</f>
        <v/>
      </c>
      <c r="Y342" s="23">
        <f t="array" ref="Y342">IF(ISBLANK($M342),IFERROR(XLOOKUP($P342,'Department Listing'!$A:$A,'Department Listing'!$L:$L),""),$M342)</f>
        <v/>
      </c>
      <c r="Z342" s="11">
        <f>IF(ISBLANK($B342),"",MATCH($X342,COA!$B:$B,0))</f>
        <v/>
      </c>
    </row>
    <row r="343" ht="15.75" customHeight="1" s="52">
      <c r="B343" s="17" t="n"/>
      <c r="E343" s="26" t="n"/>
      <c r="F343" s="19" t="n"/>
      <c r="G343" s="10" t="n"/>
      <c r="H343" s="10" t="n"/>
      <c r="I343" s="9" t="n"/>
      <c r="J343" s="9" t="n"/>
      <c r="K343" s="9" t="n"/>
      <c r="L343" s="9" t="n"/>
      <c r="M343" s="9" t="n"/>
      <c r="N343" s="20" t="n"/>
      <c r="O343" s="20">
        <f>IF(C343="", "", TRIM(RIGHT(C343, LEN(C343) - FIND("@@", SUBSTITUTE(C343, "-", "@@", LEN(C343) - LEN(SUBSTITUTE(C343, "-", "")))))))</f>
        <v/>
      </c>
      <c r="P343" s="20">
        <f t="array" ref="P343">IFERROR(XLOOKUP(O343,'Department Listing'!$O$1:$O$395,'Department Listing'!$A$1:$A$395),IFERROR(XLOOKUP(O343,'Name Aliases'!$A$2:$A$1000,'Name Aliases'!$B$2:$B$1000),""))</f>
        <v/>
      </c>
      <c r="Q343" s="21">
        <f>IF(ISBLANK($C343),"",$B343)</f>
        <v/>
      </c>
      <c r="R343" s="20">
        <f>IF(ISBLANK($C343),"",IF(ISBLANK($I343),$D343,$I343))</f>
        <v/>
      </c>
      <c r="S343" s="22">
        <f>IF(ISBLANK($C343),"",$F343 - $G343)</f>
        <v/>
      </c>
      <c r="T343" s="20">
        <f>IF(ISBLANK($C343),"",C343)</f>
        <v/>
      </c>
      <c r="U343" s="20">
        <f>IF(ISBLANK($C343),"",$D$1)</f>
        <v/>
      </c>
      <c r="V343" s="22">
        <f t="array" ref="V343">IF(ISBLANK($B343),"",IF(ISBLANK($K343),IF(XLOOKUP($W343,'Category Mapping'!$C:$C,'Category Mapping'!$B:$B)="Travel",XLOOKUP($P343,'Department Listing'!$A:$A,'Department Listing'!$M:$M),XLOOKUP($W343,'Category Mapping'!$C:$C,'Category Mapping'!$D:$D)),$K343))</f>
        <v/>
      </c>
      <c r="W343" s="22">
        <f>IF(ISBLANK($B343),"",IF(ISBLANK($L343),RIGHT($E343,LEN($E343) - FIND("^",SUBSTITUTE($E343,":","^",LEN($E343) - LEN(SUBSTITUTE($E343,":",""))))),$L343))</f>
        <v/>
      </c>
      <c r="X343" s="22">
        <f>IF(ISBLANK($J343),$V343&amp;$W343,$J343)</f>
        <v/>
      </c>
      <c r="Y343" s="23">
        <f t="array" ref="Y343">IF(ISBLANK($M343),IFERROR(XLOOKUP($P343,'Department Listing'!$A:$A,'Department Listing'!$L:$L),""),$M343)</f>
        <v/>
      </c>
      <c r="Z343" s="11">
        <f>IF(ISBLANK($B343),"",MATCH($X343,COA!$B:$B,0))</f>
        <v/>
      </c>
    </row>
    <row r="344" ht="15.75" customHeight="1" s="52">
      <c r="B344" s="17" t="n"/>
      <c r="E344" s="26" t="n"/>
      <c r="F344" s="19" t="n"/>
      <c r="G344" s="10" t="n"/>
      <c r="H344" s="10" t="n"/>
      <c r="I344" s="9" t="n"/>
      <c r="J344" s="9" t="n"/>
      <c r="K344" s="9" t="n"/>
      <c r="L344" s="9" t="n"/>
      <c r="M344" s="9" t="n"/>
      <c r="N344" s="20" t="n"/>
      <c r="O344" s="20">
        <f>IF(C344="", "", TRIM(RIGHT(C344, LEN(C344) - FIND("@@", SUBSTITUTE(C344, "-", "@@", LEN(C344) - LEN(SUBSTITUTE(C344, "-", "")))))))</f>
        <v/>
      </c>
      <c r="P344" s="20">
        <f t="array" ref="P344">IFERROR(XLOOKUP(O344,'Department Listing'!$O$1:$O$395,'Department Listing'!$A$1:$A$395),IFERROR(XLOOKUP(O344,'Name Aliases'!$A$2:$A$1000,'Name Aliases'!$B$2:$B$1000),""))</f>
        <v/>
      </c>
      <c r="Q344" s="21">
        <f>IF(ISBLANK($C344),"",$B344)</f>
        <v/>
      </c>
      <c r="R344" s="20">
        <f>IF(ISBLANK($C344),"",IF(ISBLANK($I344),$D344,$I344))</f>
        <v/>
      </c>
      <c r="S344" s="22">
        <f>IF(ISBLANK($C344),"",$F344 - $G344)</f>
        <v/>
      </c>
      <c r="T344" s="20">
        <f>IF(ISBLANK($C344),"",C344)</f>
        <v/>
      </c>
      <c r="U344" s="20">
        <f>IF(ISBLANK($C344),"",$D$1)</f>
        <v/>
      </c>
      <c r="V344" s="22">
        <f t="array" ref="V344">IF(ISBLANK($B344),"",IF(ISBLANK($K344),IF(XLOOKUP($W344,'Category Mapping'!$C:$C,'Category Mapping'!$B:$B)="Travel",XLOOKUP($P344,'Department Listing'!$A:$A,'Department Listing'!$M:$M),XLOOKUP($W344,'Category Mapping'!$C:$C,'Category Mapping'!$D:$D)),$K344))</f>
        <v/>
      </c>
      <c r="W344" s="22">
        <f>IF(ISBLANK($B344),"",IF(ISBLANK($L344),RIGHT($E344,LEN($E344) - FIND("^",SUBSTITUTE($E344,":","^",LEN($E344) - LEN(SUBSTITUTE($E344,":",""))))),$L344))</f>
        <v/>
      </c>
      <c r="X344" s="22">
        <f>IF(ISBLANK($J344),$V344&amp;$W344,$J344)</f>
        <v/>
      </c>
      <c r="Y344" s="23">
        <f t="array" ref="Y344">IF(ISBLANK($M344),IFERROR(XLOOKUP($P344,'Department Listing'!$A:$A,'Department Listing'!$L:$L),""),$M344)</f>
        <v/>
      </c>
      <c r="Z344" s="11">
        <f>IF(ISBLANK($B344),"",MATCH($X344,COA!$B:$B,0))</f>
        <v/>
      </c>
    </row>
    <row r="345" ht="15.75" customHeight="1" s="52">
      <c r="B345" s="17" t="n"/>
      <c r="E345" s="26" t="n"/>
      <c r="F345" s="19" t="n"/>
      <c r="G345" s="10" t="n"/>
      <c r="H345" s="10" t="n"/>
      <c r="I345" s="9" t="n"/>
      <c r="J345" s="9" t="n"/>
      <c r="K345" s="9" t="n"/>
      <c r="L345" s="9" t="n"/>
      <c r="M345" s="9" t="n"/>
      <c r="N345" s="20" t="n"/>
      <c r="O345" s="20">
        <f>IF(C345="", "", TRIM(RIGHT(C345, LEN(C345) - FIND("@@", SUBSTITUTE(C345, "-", "@@", LEN(C345) - LEN(SUBSTITUTE(C345, "-", "")))))))</f>
        <v/>
      </c>
      <c r="P345" s="20">
        <f t="array" ref="P345">IFERROR(XLOOKUP(O345,'Department Listing'!$O$1:$O$395,'Department Listing'!$A$1:$A$395),IFERROR(XLOOKUP(O345,'Name Aliases'!$A$2:$A$1000,'Name Aliases'!$B$2:$B$1000),""))</f>
        <v/>
      </c>
      <c r="Q345" s="21">
        <f>IF(ISBLANK($C345),"",$B345)</f>
        <v/>
      </c>
      <c r="R345" s="20">
        <f>IF(ISBLANK($C345),"",IF(ISBLANK($I345),$D345,$I345))</f>
        <v/>
      </c>
      <c r="S345" s="22">
        <f>IF(ISBLANK($C345),"",$F345 - $G345)</f>
        <v/>
      </c>
      <c r="T345" s="20">
        <f>IF(ISBLANK($C345),"",C345)</f>
        <v/>
      </c>
      <c r="U345" s="20">
        <f>IF(ISBLANK($C345),"",$D$1)</f>
        <v/>
      </c>
      <c r="V345" s="22">
        <f t="array" ref="V345">IF(ISBLANK($B345),"",IF(ISBLANK($K345),IF(XLOOKUP($W345,'Category Mapping'!$C:$C,'Category Mapping'!$B:$B)="Travel",XLOOKUP($P345,'Department Listing'!$A:$A,'Department Listing'!$M:$M),XLOOKUP($W345,'Category Mapping'!$C:$C,'Category Mapping'!$D:$D)),$K345))</f>
        <v/>
      </c>
      <c r="W345" s="22">
        <f>IF(ISBLANK($B345),"",IF(ISBLANK($L345),RIGHT($E345,LEN($E345) - FIND("^",SUBSTITUTE($E345,":","^",LEN($E345) - LEN(SUBSTITUTE($E345,":",""))))),$L345))</f>
        <v/>
      </c>
      <c r="X345" s="22">
        <f>IF(ISBLANK($J345),$V345&amp;$W345,$J345)</f>
        <v/>
      </c>
      <c r="Y345" s="23">
        <f t="array" ref="Y345">IF(ISBLANK($M345),IFERROR(XLOOKUP($P345,'Department Listing'!$A:$A,'Department Listing'!$L:$L),""),$M345)</f>
        <v/>
      </c>
      <c r="Z345" s="11">
        <f>IF(ISBLANK($B345),"",MATCH($X345,COA!$B:$B,0))</f>
        <v/>
      </c>
    </row>
    <row r="346" ht="15.75" customHeight="1" s="52">
      <c r="B346" s="17" t="n"/>
      <c r="E346" s="26" t="n"/>
      <c r="F346" s="19" t="n"/>
      <c r="G346" s="10" t="n"/>
      <c r="H346" s="10" t="n"/>
      <c r="I346" s="9" t="n"/>
      <c r="J346" s="9" t="n"/>
      <c r="K346" s="9" t="n"/>
      <c r="L346" s="9" t="n"/>
      <c r="M346" s="9" t="n"/>
      <c r="N346" s="20" t="n"/>
      <c r="O346" s="20">
        <f>IF(C346="", "", TRIM(RIGHT(C346, LEN(C346) - FIND("@@", SUBSTITUTE(C346, "-", "@@", LEN(C346) - LEN(SUBSTITUTE(C346, "-", "")))))))</f>
        <v/>
      </c>
      <c r="P346" s="20">
        <f t="array" ref="P346">IFERROR(XLOOKUP(O346,'Department Listing'!$O$1:$O$395,'Department Listing'!$A$1:$A$395),IFERROR(XLOOKUP(O346,'Name Aliases'!$A$2:$A$1000,'Name Aliases'!$B$2:$B$1000),""))</f>
        <v/>
      </c>
      <c r="Q346" s="21">
        <f>IF(ISBLANK($C346),"",$B346)</f>
        <v/>
      </c>
      <c r="R346" s="20">
        <f>IF(ISBLANK($C346),"",IF(ISBLANK($I346),$D346,$I346))</f>
        <v/>
      </c>
      <c r="S346" s="22">
        <f>IF(ISBLANK($C346),"",$F346 - $G346)</f>
        <v/>
      </c>
      <c r="T346" s="20">
        <f>IF(ISBLANK($C346),"",C346)</f>
        <v/>
      </c>
      <c r="U346" s="20">
        <f>IF(ISBLANK($C346),"",$D$1)</f>
        <v/>
      </c>
      <c r="V346" s="22">
        <f t="array" ref="V346">IF(ISBLANK($B346),"",IF(ISBLANK($K346),IF(XLOOKUP($W346,'Category Mapping'!$C:$C,'Category Mapping'!$B:$B)="Travel",XLOOKUP($P346,'Department Listing'!$A:$A,'Department Listing'!$M:$M),XLOOKUP($W346,'Category Mapping'!$C:$C,'Category Mapping'!$D:$D)),$K346))</f>
        <v/>
      </c>
      <c r="W346" s="22">
        <f>IF(ISBLANK($B346),"",IF(ISBLANK($L346),RIGHT($E346,LEN($E346) - FIND("^",SUBSTITUTE($E346,":","^",LEN($E346) - LEN(SUBSTITUTE($E346,":",""))))),$L346))</f>
        <v/>
      </c>
      <c r="X346" s="22">
        <f>IF(ISBLANK($J346),$V346&amp;$W346,$J346)</f>
        <v/>
      </c>
      <c r="Y346" s="23">
        <f t="array" ref="Y346">IF(ISBLANK($M346),IFERROR(XLOOKUP($P346,'Department Listing'!$A:$A,'Department Listing'!$L:$L),""),$M346)</f>
        <v/>
      </c>
      <c r="Z346" s="11">
        <f>IF(ISBLANK($B346),"",MATCH($X346,COA!$B:$B,0))</f>
        <v/>
      </c>
    </row>
    <row r="347" ht="15.75" customHeight="1" s="52">
      <c r="B347" s="17" t="n"/>
      <c r="E347" s="26" t="n"/>
      <c r="F347" s="19" t="n"/>
      <c r="G347" s="10" t="n"/>
      <c r="H347" s="10" t="n"/>
      <c r="I347" s="9" t="n"/>
      <c r="J347" s="9" t="n"/>
      <c r="K347" s="9" t="n"/>
      <c r="L347" s="9" t="n"/>
      <c r="M347" s="9" t="n"/>
      <c r="N347" s="20" t="n"/>
      <c r="O347" s="20">
        <f>IF(C347="", "", TRIM(RIGHT(C347, LEN(C347) - FIND("@@", SUBSTITUTE(C347, "-", "@@", LEN(C347) - LEN(SUBSTITUTE(C347, "-", "")))))))</f>
        <v/>
      </c>
      <c r="P347" s="20">
        <f t="array" ref="P347">IFERROR(XLOOKUP(O347,'Department Listing'!$O$1:$O$395,'Department Listing'!$A$1:$A$395),IFERROR(XLOOKUP(O347,'Name Aliases'!$A$2:$A$1000,'Name Aliases'!$B$2:$B$1000),""))</f>
        <v/>
      </c>
      <c r="Q347" s="21">
        <f>IF(ISBLANK($C347),"",$B347)</f>
        <v/>
      </c>
      <c r="R347" s="20">
        <f>IF(ISBLANK($C347),"",IF(ISBLANK($I347),$D347,$I347))</f>
        <v/>
      </c>
      <c r="S347" s="22">
        <f>IF(ISBLANK($C347),"",$F347 - $G347)</f>
        <v/>
      </c>
      <c r="T347" s="20">
        <f>IF(ISBLANK($C347),"",C347)</f>
        <v/>
      </c>
      <c r="U347" s="20">
        <f>IF(ISBLANK($C347),"",$D$1)</f>
        <v/>
      </c>
      <c r="V347" s="22">
        <f t="array" ref="V347">IF(ISBLANK($B347),"",IF(ISBLANK($K347),IF(XLOOKUP($W347,'Category Mapping'!$C:$C,'Category Mapping'!$B:$B)="Travel",XLOOKUP($P347,'Department Listing'!$A:$A,'Department Listing'!$M:$M),XLOOKUP($W347,'Category Mapping'!$C:$C,'Category Mapping'!$D:$D)),$K347))</f>
        <v/>
      </c>
      <c r="W347" s="22">
        <f>IF(ISBLANK($B347),"",IF(ISBLANK($L347),RIGHT($E347,LEN($E347) - FIND("^",SUBSTITUTE($E347,":","^",LEN($E347) - LEN(SUBSTITUTE($E347,":",""))))),$L347))</f>
        <v/>
      </c>
      <c r="X347" s="22">
        <f>IF(ISBLANK($J347),$V347&amp;$W347,$J347)</f>
        <v/>
      </c>
      <c r="Y347" s="23">
        <f t="array" ref="Y347">IF(ISBLANK($M347),IFERROR(XLOOKUP($P347,'Department Listing'!$A:$A,'Department Listing'!$L:$L),""),$M347)</f>
        <v/>
      </c>
      <c r="Z347" s="11">
        <f>IF(ISBLANK($B347),"",MATCH($X347,COA!$B:$B,0))</f>
        <v/>
      </c>
    </row>
    <row r="348" ht="15.75" customHeight="1" s="52">
      <c r="B348" s="17" t="n"/>
      <c r="E348" s="26" t="n"/>
      <c r="F348" s="19" t="n"/>
      <c r="G348" s="10" t="n"/>
      <c r="H348" s="10" t="n"/>
      <c r="I348" s="9" t="n"/>
      <c r="J348" s="9" t="n"/>
      <c r="K348" s="9" t="n"/>
      <c r="L348" s="9" t="n"/>
      <c r="M348" s="9" t="n"/>
      <c r="N348" s="20" t="n"/>
      <c r="O348" s="20">
        <f>IF(C348="", "", TRIM(RIGHT(C348, LEN(C348) - FIND("@@", SUBSTITUTE(C348, "-", "@@", LEN(C348) - LEN(SUBSTITUTE(C348, "-", "")))))))</f>
        <v/>
      </c>
      <c r="P348" s="20">
        <f t="array" ref="P348">IFERROR(XLOOKUP(O348,'Department Listing'!$O$1:$O$395,'Department Listing'!$A$1:$A$395),IFERROR(XLOOKUP(O348,'Name Aliases'!$A$2:$A$1000,'Name Aliases'!$B$2:$B$1000),""))</f>
        <v/>
      </c>
      <c r="Q348" s="21">
        <f>IF(ISBLANK($C348),"",$B348)</f>
        <v/>
      </c>
      <c r="R348" s="20">
        <f>IF(ISBLANK($C348),"",IF(ISBLANK($I348),$D348,$I348))</f>
        <v/>
      </c>
      <c r="S348" s="22">
        <f>IF(ISBLANK($C348),"",$F348 - $G348)</f>
        <v/>
      </c>
      <c r="T348" s="20">
        <f>IF(ISBLANK($C348),"",C348)</f>
        <v/>
      </c>
      <c r="U348" s="20">
        <f>IF(ISBLANK($C348),"",$D$1)</f>
        <v/>
      </c>
      <c r="V348" s="22">
        <f t="array" ref="V348">IF(ISBLANK($B348),"",IF(ISBLANK($K348),IF(XLOOKUP($W348,'Category Mapping'!$C:$C,'Category Mapping'!$B:$B)="Travel",XLOOKUP($P348,'Department Listing'!$A:$A,'Department Listing'!$M:$M),XLOOKUP($W348,'Category Mapping'!$C:$C,'Category Mapping'!$D:$D)),$K348))</f>
        <v/>
      </c>
      <c r="W348" s="22">
        <f>IF(ISBLANK($B348),"",IF(ISBLANK($L348),RIGHT($E348,LEN($E348) - FIND("^",SUBSTITUTE($E348,":","^",LEN($E348) - LEN(SUBSTITUTE($E348,":",""))))),$L348))</f>
        <v/>
      </c>
      <c r="X348" s="22">
        <f>IF(ISBLANK($J348),$V348&amp;$W348,$J348)</f>
        <v/>
      </c>
      <c r="Y348" s="23">
        <f t="array" ref="Y348">IF(ISBLANK($M348),IFERROR(XLOOKUP($P348,'Department Listing'!$A:$A,'Department Listing'!$L:$L),""),$M348)</f>
        <v/>
      </c>
      <c r="Z348" s="11">
        <f>IF(ISBLANK($B348),"",MATCH($X348,COA!$B:$B,0))</f>
        <v/>
      </c>
    </row>
    <row r="349" ht="15.75" customHeight="1" s="52">
      <c r="B349" s="17" t="n"/>
      <c r="E349" s="26" t="n"/>
      <c r="F349" s="19" t="n"/>
      <c r="G349" s="10" t="n"/>
      <c r="H349" s="10" t="n"/>
      <c r="I349" s="9" t="n"/>
      <c r="J349" s="9" t="n"/>
      <c r="K349" s="9" t="n"/>
      <c r="L349" s="9" t="n"/>
      <c r="M349" s="9" t="n"/>
      <c r="N349" s="20" t="n"/>
      <c r="O349" s="20">
        <f>IF(C349="", "", TRIM(RIGHT(C349, LEN(C349) - FIND("@@", SUBSTITUTE(C349, "-", "@@", LEN(C349) - LEN(SUBSTITUTE(C349, "-", "")))))))</f>
        <v/>
      </c>
      <c r="P349" s="20">
        <f t="array" ref="P349">IFERROR(XLOOKUP(O349,'Department Listing'!$O$1:$O$395,'Department Listing'!$A$1:$A$395),IFERROR(XLOOKUP(O349,'Name Aliases'!$A$2:$A$1000,'Name Aliases'!$B$2:$B$1000),""))</f>
        <v/>
      </c>
      <c r="Q349" s="21">
        <f>IF(ISBLANK($C349),"",$B349)</f>
        <v/>
      </c>
      <c r="R349" s="20">
        <f>IF(ISBLANK($C349),"",IF(ISBLANK($I349),$D349,$I349))</f>
        <v/>
      </c>
      <c r="S349" s="22">
        <f>IF(ISBLANK($C349),"",$F349 - $G349)</f>
        <v/>
      </c>
      <c r="T349" s="20">
        <f>IF(ISBLANK($C349),"",C349)</f>
        <v/>
      </c>
      <c r="U349" s="20">
        <f>IF(ISBLANK($C349),"",$D$1)</f>
        <v/>
      </c>
      <c r="V349" s="22">
        <f t="array" ref="V349">IF(ISBLANK($B349),"",IF(ISBLANK($K349),IF(XLOOKUP($W349,'Category Mapping'!$C:$C,'Category Mapping'!$B:$B)="Travel",XLOOKUP($P349,'Department Listing'!$A:$A,'Department Listing'!$M:$M),XLOOKUP($W349,'Category Mapping'!$C:$C,'Category Mapping'!$D:$D)),$K349))</f>
        <v/>
      </c>
      <c r="W349" s="22">
        <f>IF(ISBLANK($B349),"",IF(ISBLANK($L349),RIGHT($E349,LEN($E349) - FIND("^",SUBSTITUTE($E349,":","^",LEN($E349) - LEN(SUBSTITUTE($E349,":",""))))),$L349))</f>
        <v/>
      </c>
      <c r="X349" s="22">
        <f>IF(ISBLANK($J349),$V349&amp;$W349,$J349)</f>
        <v/>
      </c>
      <c r="Y349" s="23">
        <f t="array" ref="Y349">IF(ISBLANK($M349),IFERROR(XLOOKUP($P349,'Department Listing'!$A:$A,'Department Listing'!$L:$L),""),$M349)</f>
        <v/>
      </c>
      <c r="Z349" s="11">
        <f>IF(ISBLANK($B349),"",MATCH($X349,COA!$B:$B,0))</f>
        <v/>
      </c>
    </row>
    <row r="350" ht="15.75" customHeight="1" s="52">
      <c r="B350" s="17" t="n"/>
      <c r="E350" s="26" t="n"/>
      <c r="F350" s="19" t="n"/>
      <c r="G350" s="10" t="n"/>
      <c r="H350" s="10" t="n"/>
      <c r="I350" s="9" t="n"/>
      <c r="J350" s="9" t="n"/>
      <c r="K350" s="9" t="n"/>
      <c r="L350" s="9" t="n"/>
      <c r="M350" s="9" t="n"/>
      <c r="N350" s="20" t="n"/>
      <c r="O350" s="20">
        <f>IF(C350="", "", TRIM(RIGHT(C350, LEN(C350) - FIND("@@", SUBSTITUTE(C350, "-", "@@", LEN(C350) - LEN(SUBSTITUTE(C350, "-", "")))))))</f>
        <v/>
      </c>
      <c r="P350" s="20">
        <f t="array" ref="P350">IFERROR(XLOOKUP(O350,'Department Listing'!$O$1:$O$395,'Department Listing'!$A$1:$A$395),IFERROR(XLOOKUP(O350,'Name Aliases'!$A$2:$A$1000,'Name Aliases'!$B$2:$B$1000),""))</f>
        <v/>
      </c>
      <c r="Q350" s="21">
        <f>IF(ISBLANK($C350),"",$B350)</f>
        <v/>
      </c>
      <c r="R350" s="20">
        <f>IF(ISBLANK($C350),"",IF(ISBLANK($I350),$D350,$I350))</f>
        <v/>
      </c>
      <c r="S350" s="22">
        <f>IF(ISBLANK($C350),"",$F350 - $G350)</f>
        <v/>
      </c>
      <c r="T350" s="20">
        <f>IF(ISBLANK($C350),"",C350)</f>
        <v/>
      </c>
      <c r="U350" s="20">
        <f>IF(ISBLANK($C350),"",$D$1)</f>
        <v/>
      </c>
      <c r="V350" s="22">
        <f t="array" ref="V350">IF(ISBLANK($B350),"",IF(ISBLANK($K350),IF(XLOOKUP($W350,'Category Mapping'!$C:$C,'Category Mapping'!$B:$B)="Travel",XLOOKUP($P350,'Department Listing'!$A:$A,'Department Listing'!$M:$M),XLOOKUP($W350,'Category Mapping'!$C:$C,'Category Mapping'!$D:$D)),$K350))</f>
        <v/>
      </c>
      <c r="W350" s="22">
        <f>IF(ISBLANK($B350),"",IF(ISBLANK($L350),RIGHT($E350,LEN($E350) - FIND("^",SUBSTITUTE($E350,":","^",LEN($E350) - LEN(SUBSTITUTE($E350,":",""))))),$L350))</f>
        <v/>
      </c>
      <c r="X350" s="22">
        <f>IF(ISBLANK($J350),$V350&amp;$W350,$J350)</f>
        <v/>
      </c>
      <c r="Y350" s="23">
        <f t="array" ref="Y350">IF(ISBLANK($M350),IFERROR(XLOOKUP($P350,'Department Listing'!$A:$A,'Department Listing'!$L:$L),""),$M350)</f>
        <v/>
      </c>
      <c r="Z350" s="11">
        <f>IF(ISBLANK($B350),"",MATCH($X350,COA!$B:$B,0))</f>
        <v/>
      </c>
    </row>
    <row r="351" ht="15.75" customHeight="1" s="52">
      <c r="B351" s="17" t="n"/>
      <c r="E351" s="26" t="n"/>
      <c r="F351" s="19" t="n"/>
      <c r="G351" s="10" t="n"/>
      <c r="H351" s="10" t="n"/>
      <c r="I351" s="9" t="n"/>
      <c r="J351" s="9" t="n"/>
      <c r="K351" s="9" t="n"/>
      <c r="L351" s="9" t="n"/>
      <c r="M351" s="9" t="n"/>
      <c r="N351" s="20" t="n"/>
      <c r="O351" s="20">
        <f>IF(C351="", "", TRIM(RIGHT(C351, LEN(C351) - FIND("@@", SUBSTITUTE(C351, "-", "@@", LEN(C351) - LEN(SUBSTITUTE(C351, "-", "")))))))</f>
        <v/>
      </c>
      <c r="P351" s="20">
        <f t="array" ref="P351">IFERROR(XLOOKUP(O351,'Department Listing'!$O$1:$O$395,'Department Listing'!$A$1:$A$395),IFERROR(XLOOKUP(O351,'Name Aliases'!$A$2:$A$1000,'Name Aliases'!$B$2:$B$1000),""))</f>
        <v/>
      </c>
      <c r="Q351" s="21">
        <f>IF(ISBLANK($C351),"",$B351)</f>
        <v/>
      </c>
      <c r="R351" s="20">
        <f>IF(ISBLANK($C351),"",IF(ISBLANK($I351),$D351,$I351))</f>
        <v/>
      </c>
      <c r="S351" s="22">
        <f>IF(ISBLANK($C351),"",$F351 - $G351)</f>
        <v/>
      </c>
      <c r="T351" s="20">
        <f>IF(ISBLANK($C351),"",C351)</f>
        <v/>
      </c>
      <c r="U351" s="20">
        <f>IF(ISBLANK($C351),"",$D$1)</f>
        <v/>
      </c>
      <c r="V351" s="22">
        <f t="array" ref="V351">IF(ISBLANK($B351),"",IF(ISBLANK($K351),IF(XLOOKUP($W351,'Category Mapping'!$C:$C,'Category Mapping'!$B:$B)="Travel",XLOOKUP($P351,'Department Listing'!$A:$A,'Department Listing'!$M:$M),XLOOKUP($W351,'Category Mapping'!$C:$C,'Category Mapping'!$D:$D)),$K351))</f>
        <v/>
      </c>
      <c r="W351" s="22">
        <f>IF(ISBLANK($B351),"",IF(ISBLANK($L351),RIGHT($E351,LEN($E351) - FIND("^",SUBSTITUTE($E351,":","^",LEN($E351) - LEN(SUBSTITUTE($E351,":",""))))),$L351))</f>
        <v/>
      </c>
      <c r="X351" s="22">
        <f>IF(ISBLANK($J351),$V351&amp;$W351,$J351)</f>
        <v/>
      </c>
      <c r="Y351" s="23">
        <f t="array" ref="Y351">IF(ISBLANK($M351),IFERROR(XLOOKUP($P351,'Department Listing'!$A:$A,'Department Listing'!$L:$L),""),$M351)</f>
        <v/>
      </c>
      <c r="Z351" s="11">
        <f>IF(ISBLANK($B351),"",MATCH($X351,COA!$B:$B,0))</f>
        <v/>
      </c>
    </row>
    <row r="352" ht="15.75" customHeight="1" s="52">
      <c r="B352" s="17" t="n"/>
      <c r="E352" s="26" t="n"/>
      <c r="F352" s="19" t="n"/>
      <c r="G352" s="10" t="n"/>
      <c r="H352" s="10" t="n"/>
      <c r="I352" s="9" t="n"/>
      <c r="J352" s="9" t="n"/>
      <c r="K352" s="9" t="n"/>
      <c r="L352" s="9" t="n"/>
      <c r="M352" s="9" t="n"/>
      <c r="N352" s="20" t="n"/>
      <c r="O352" s="20">
        <f>IF(C352="", "", TRIM(RIGHT(C352, LEN(C352) - FIND("@@", SUBSTITUTE(C352, "-", "@@", LEN(C352) - LEN(SUBSTITUTE(C352, "-", "")))))))</f>
        <v/>
      </c>
      <c r="P352" s="20">
        <f t="array" ref="P352">IFERROR(XLOOKUP(O352,'Department Listing'!$O$1:$O$395,'Department Listing'!$A$1:$A$395),IFERROR(XLOOKUP(O352,'Name Aliases'!$A$2:$A$1000,'Name Aliases'!$B$2:$B$1000),""))</f>
        <v/>
      </c>
      <c r="Q352" s="21">
        <f>IF(ISBLANK($C352),"",$B352)</f>
        <v/>
      </c>
      <c r="R352" s="20">
        <f>IF(ISBLANK($C352),"",IF(ISBLANK($I352),$D352,$I352))</f>
        <v/>
      </c>
      <c r="S352" s="22">
        <f>IF(ISBLANK($C352),"",$F352 - $G352)</f>
        <v/>
      </c>
      <c r="T352" s="20">
        <f>IF(ISBLANK($C352),"",C352)</f>
        <v/>
      </c>
      <c r="U352" s="20">
        <f>IF(ISBLANK($C352),"",$D$1)</f>
        <v/>
      </c>
      <c r="V352" s="22">
        <f t="array" ref="V352">IF(ISBLANK($B352),"",IF(ISBLANK($K352),IF(XLOOKUP($W352,'Category Mapping'!$C:$C,'Category Mapping'!$B:$B)="Travel",XLOOKUP($P352,'Department Listing'!$A:$A,'Department Listing'!$M:$M),XLOOKUP($W352,'Category Mapping'!$C:$C,'Category Mapping'!$D:$D)),$K352))</f>
        <v/>
      </c>
      <c r="W352" s="22">
        <f>IF(ISBLANK($B352),"",IF(ISBLANK($L352),RIGHT($E352,LEN($E352) - FIND("^",SUBSTITUTE($E352,":","^",LEN($E352) - LEN(SUBSTITUTE($E352,":",""))))),$L352))</f>
        <v/>
      </c>
      <c r="X352" s="22">
        <f>IF(ISBLANK($J352),$V352&amp;$W352,$J352)</f>
        <v/>
      </c>
      <c r="Y352" s="23">
        <f t="array" ref="Y352">IF(ISBLANK($M352),IFERROR(XLOOKUP($P352,'Department Listing'!$A:$A,'Department Listing'!$L:$L),""),$M352)</f>
        <v/>
      </c>
      <c r="Z352" s="11">
        <f>IF(ISBLANK($B352),"",MATCH($X352,COA!$B:$B,0))</f>
        <v/>
      </c>
    </row>
    <row r="353" ht="15.75" customHeight="1" s="52">
      <c r="B353" s="17" t="n"/>
      <c r="E353" s="26" t="n"/>
      <c r="F353" s="19" t="n"/>
      <c r="G353" s="10" t="n"/>
      <c r="H353" s="10" t="n"/>
      <c r="I353" s="9" t="n"/>
      <c r="J353" s="9" t="n"/>
      <c r="K353" s="9" t="n"/>
      <c r="L353" s="9" t="n"/>
      <c r="M353" s="9" t="n"/>
      <c r="N353" s="20" t="n"/>
      <c r="O353" s="20">
        <f>IF(C353="", "", TRIM(RIGHT(C353, LEN(C353) - FIND("@@", SUBSTITUTE(C353, "-", "@@", LEN(C353) - LEN(SUBSTITUTE(C353, "-", "")))))))</f>
        <v/>
      </c>
      <c r="P353" s="20">
        <f t="array" ref="P353">IFERROR(XLOOKUP(O353,'Department Listing'!$O$1:$O$395,'Department Listing'!$A$1:$A$395),IFERROR(XLOOKUP(O353,'Name Aliases'!$A$2:$A$1000,'Name Aliases'!$B$2:$B$1000),""))</f>
        <v/>
      </c>
      <c r="Q353" s="21">
        <f>IF(ISBLANK($C353),"",$B353)</f>
        <v/>
      </c>
      <c r="R353" s="20">
        <f>IF(ISBLANK($C353),"",IF(ISBLANK($I353),$D353,$I353))</f>
        <v/>
      </c>
      <c r="S353" s="22">
        <f>IF(ISBLANK($C353),"",$F353 - $G353)</f>
        <v/>
      </c>
      <c r="T353" s="20">
        <f>IF(ISBLANK($C353),"",C353)</f>
        <v/>
      </c>
      <c r="U353" s="20">
        <f>IF(ISBLANK($C353),"",$D$1)</f>
        <v/>
      </c>
      <c r="V353" s="22">
        <f t="array" ref="V353">IF(ISBLANK($B353),"",IF(ISBLANK($K353),IF(XLOOKUP($W353,'Category Mapping'!$C:$C,'Category Mapping'!$B:$B)="Travel",XLOOKUP($P353,'Department Listing'!$A:$A,'Department Listing'!$M:$M),XLOOKUP($W353,'Category Mapping'!$C:$C,'Category Mapping'!$D:$D)),$K353))</f>
        <v/>
      </c>
      <c r="W353" s="22">
        <f>IF(ISBLANK($B353),"",IF(ISBLANK($L353),RIGHT($E353,LEN($E353) - FIND("^",SUBSTITUTE($E353,":","^",LEN($E353) - LEN(SUBSTITUTE($E353,":",""))))),$L353))</f>
        <v/>
      </c>
      <c r="X353" s="22">
        <f>IF(ISBLANK($J353),$V353&amp;$W353,$J353)</f>
        <v/>
      </c>
      <c r="Y353" s="23">
        <f t="array" ref="Y353">IF(ISBLANK($M353),IFERROR(XLOOKUP($P353,'Department Listing'!$A:$A,'Department Listing'!$L:$L),""),$M353)</f>
        <v/>
      </c>
      <c r="Z353" s="11">
        <f>IF(ISBLANK($B353),"",MATCH($X353,COA!$B:$B,0))</f>
        <v/>
      </c>
    </row>
    <row r="354" ht="15.75" customHeight="1" s="52">
      <c r="B354" s="17" t="n"/>
      <c r="E354" s="26" t="n"/>
      <c r="F354" s="19" t="n"/>
      <c r="G354" s="10" t="n"/>
      <c r="H354" s="10" t="n"/>
      <c r="I354" s="9" t="n"/>
      <c r="J354" s="9" t="n"/>
      <c r="K354" s="9" t="n"/>
      <c r="L354" s="9" t="n"/>
      <c r="M354" s="9" t="n"/>
      <c r="N354" s="20" t="n"/>
      <c r="O354" s="20">
        <f>IF(C354="", "", TRIM(RIGHT(C354, LEN(C354) - FIND("@@", SUBSTITUTE(C354, "-", "@@", LEN(C354) - LEN(SUBSTITUTE(C354, "-", "")))))))</f>
        <v/>
      </c>
      <c r="P354" s="20">
        <f t="array" ref="P354">IFERROR(XLOOKUP(O354,'Department Listing'!$O$1:$O$395,'Department Listing'!$A$1:$A$395),IFERROR(XLOOKUP(O354,'Name Aliases'!$A$2:$A$1000,'Name Aliases'!$B$2:$B$1000),""))</f>
        <v/>
      </c>
      <c r="Q354" s="21">
        <f>IF(ISBLANK($C354),"",$B354)</f>
        <v/>
      </c>
      <c r="R354" s="20">
        <f>IF(ISBLANK($C354),"",IF(ISBLANK($I354),$D354,$I354))</f>
        <v/>
      </c>
      <c r="S354" s="22">
        <f>IF(ISBLANK($C354),"",$F354 - $G354)</f>
        <v/>
      </c>
      <c r="T354" s="20">
        <f>IF(ISBLANK($C354),"",C354)</f>
        <v/>
      </c>
      <c r="U354" s="20">
        <f>IF(ISBLANK($C354),"",$D$1)</f>
        <v/>
      </c>
      <c r="V354" s="22">
        <f t="array" ref="V354">IF(ISBLANK($B354),"",IF(ISBLANK($K354),IF(XLOOKUP($W354,'Category Mapping'!$C:$C,'Category Mapping'!$B:$B)="Travel",XLOOKUP($P354,'Department Listing'!$A:$A,'Department Listing'!$M:$M),XLOOKUP($W354,'Category Mapping'!$C:$C,'Category Mapping'!$D:$D)),$K354))</f>
        <v/>
      </c>
      <c r="W354" s="22">
        <f>IF(ISBLANK($B354),"",IF(ISBLANK($L354),RIGHT($E354,LEN($E354) - FIND("^",SUBSTITUTE($E354,":","^",LEN($E354) - LEN(SUBSTITUTE($E354,":",""))))),$L354))</f>
        <v/>
      </c>
      <c r="X354" s="22">
        <f>IF(ISBLANK($J354),$V354&amp;$W354,$J354)</f>
        <v/>
      </c>
      <c r="Y354" s="23">
        <f t="array" ref="Y354">IF(ISBLANK($M354),IFERROR(XLOOKUP($P354,'Department Listing'!$A:$A,'Department Listing'!$L:$L),""),$M354)</f>
        <v/>
      </c>
      <c r="Z354" s="11">
        <f>IF(ISBLANK($B354),"",MATCH($X354,COA!$B:$B,0))</f>
        <v/>
      </c>
    </row>
    <row r="355" ht="15.75" customHeight="1" s="52">
      <c r="B355" s="17" t="n"/>
      <c r="E355" s="26" t="n"/>
      <c r="F355" s="19" t="n"/>
      <c r="G355" s="10" t="n"/>
      <c r="H355" s="10" t="n"/>
      <c r="I355" s="9" t="n"/>
      <c r="J355" s="9" t="n"/>
      <c r="K355" s="9" t="n"/>
      <c r="L355" s="9" t="n"/>
      <c r="M355" s="9" t="n"/>
      <c r="N355" s="20" t="n"/>
      <c r="O355" s="20">
        <f>IF(C355="", "", TRIM(RIGHT(C355, LEN(C355) - FIND("@@", SUBSTITUTE(C355, "-", "@@", LEN(C355) - LEN(SUBSTITUTE(C355, "-", "")))))))</f>
        <v/>
      </c>
      <c r="P355" s="20">
        <f t="array" ref="P355">IFERROR(XLOOKUP(O355,'Department Listing'!$O$1:$O$395,'Department Listing'!$A$1:$A$395),IFERROR(XLOOKUP(O355,'Name Aliases'!$A$2:$A$1000,'Name Aliases'!$B$2:$B$1000),""))</f>
        <v/>
      </c>
      <c r="Q355" s="21">
        <f>IF(ISBLANK($C355),"",$B355)</f>
        <v/>
      </c>
      <c r="R355" s="20">
        <f>IF(ISBLANK($C355),"",IF(ISBLANK($I355),$D355,$I355))</f>
        <v/>
      </c>
      <c r="S355" s="22">
        <f>IF(ISBLANK($C355),"",$F355 - $G355)</f>
        <v/>
      </c>
      <c r="T355" s="20">
        <f>IF(ISBLANK($C355),"",C355)</f>
        <v/>
      </c>
      <c r="U355" s="20">
        <f>IF(ISBLANK($C355),"",$D$1)</f>
        <v/>
      </c>
      <c r="V355" s="22">
        <f t="array" ref="V355">IF(ISBLANK($B355),"",IF(ISBLANK($K355),IF(XLOOKUP($W355,'Category Mapping'!$C:$C,'Category Mapping'!$B:$B)="Travel",XLOOKUP($P355,'Department Listing'!$A:$A,'Department Listing'!$M:$M),XLOOKUP($W355,'Category Mapping'!$C:$C,'Category Mapping'!$D:$D)),$K355))</f>
        <v/>
      </c>
      <c r="W355" s="22">
        <f>IF(ISBLANK($B355),"",IF(ISBLANK($L355),RIGHT($E355,LEN($E355) - FIND("^",SUBSTITUTE($E355,":","^",LEN($E355) - LEN(SUBSTITUTE($E355,":",""))))),$L355))</f>
        <v/>
      </c>
      <c r="X355" s="22">
        <f>IF(ISBLANK($J355),$V355&amp;$W355,$J355)</f>
        <v/>
      </c>
      <c r="Y355" s="23">
        <f t="array" ref="Y355">IF(ISBLANK($M355),IFERROR(XLOOKUP($P355,'Department Listing'!$A:$A,'Department Listing'!$L:$L),""),$M355)</f>
        <v/>
      </c>
      <c r="Z355" s="11">
        <f>IF(ISBLANK($B355),"",MATCH($X355,COA!$B:$B,0))</f>
        <v/>
      </c>
    </row>
    <row r="356" ht="15.75" customHeight="1" s="52">
      <c r="B356" s="17" t="n"/>
      <c r="E356" s="26" t="n"/>
      <c r="F356" s="19" t="n"/>
      <c r="G356" s="10" t="n"/>
      <c r="H356" s="10" t="n"/>
      <c r="I356" s="9" t="n"/>
      <c r="J356" s="9" t="n"/>
      <c r="K356" s="9" t="n"/>
      <c r="L356" s="9" t="n"/>
      <c r="M356" s="9" t="n"/>
      <c r="N356" s="20" t="n"/>
      <c r="O356" s="20">
        <f>IF(C356="", "", TRIM(RIGHT(C356, LEN(C356) - FIND("@@", SUBSTITUTE(C356, "-", "@@", LEN(C356) - LEN(SUBSTITUTE(C356, "-", "")))))))</f>
        <v/>
      </c>
      <c r="P356" s="20">
        <f t="array" ref="P356">IFERROR(XLOOKUP(O356,'Department Listing'!$O$1:$O$395,'Department Listing'!$A$1:$A$395),IFERROR(XLOOKUP(O356,'Name Aliases'!$A$2:$A$1000,'Name Aliases'!$B$2:$B$1000),""))</f>
        <v/>
      </c>
      <c r="Q356" s="21">
        <f>IF(ISBLANK($C356),"",$B356)</f>
        <v/>
      </c>
      <c r="R356" s="20">
        <f>IF(ISBLANK($C356),"",IF(ISBLANK($I356),$D356,$I356))</f>
        <v/>
      </c>
      <c r="S356" s="22">
        <f>IF(ISBLANK($C356),"",$F356 - $G356)</f>
        <v/>
      </c>
      <c r="T356" s="20">
        <f>IF(ISBLANK($C356),"",C356)</f>
        <v/>
      </c>
      <c r="U356" s="20">
        <f>IF(ISBLANK($C356),"",$D$1)</f>
        <v/>
      </c>
      <c r="V356" s="22">
        <f t="array" ref="V356">IF(ISBLANK($B356),"",IF(ISBLANK($K356),IF(XLOOKUP($W356,'Category Mapping'!$C:$C,'Category Mapping'!$B:$B)="Travel",XLOOKUP($P356,'Department Listing'!$A:$A,'Department Listing'!$M:$M),XLOOKUP($W356,'Category Mapping'!$C:$C,'Category Mapping'!$D:$D)),$K356))</f>
        <v/>
      </c>
      <c r="W356" s="22">
        <f>IF(ISBLANK($B356),"",IF(ISBLANK($L356),RIGHT($E356,LEN($E356) - FIND("^",SUBSTITUTE($E356,":","^",LEN($E356) - LEN(SUBSTITUTE($E356,":",""))))),$L356))</f>
        <v/>
      </c>
      <c r="X356" s="22">
        <f>IF(ISBLANK($J356),$V356&amp;$W356,$J356)</f>
        <v/>
      </c>
      <c r="Y356" s="23">
        <f t="array" ref="Y356">IF(ISBLANK($M356),IFERROR(XLOOKUP($P356,'Department Listing'!$A:$A,'Department Listing'!$L:$L),""),$M356)</f>
        <v/>
      </c>
      <c r="Z356" s="11">
        <f>IF(ISBLANK($B356),"",MATCH($X356,COA!$B:$B,0))</f>
        <v/>
      </c>
    </row>
    <row r="357" ht="15.75" customHeight="1" s="52">
      <c r="B357" s="17" t="n"/>
      <c r="E357" s="26" t="n"/>
      <c r="F357" s="19" t="n"/>
      <c r="G357" s="10" t="n"/>
      <c r="H357" s="10" t="n"/>
      <c r="I357" s="9" t="n"/>
      <c r="J357" s="9" t="n"/>
      <c r="K357" s="9" t="n"/>
      <c r="L357" s="9" t="n"/>
      <c r="M357" s="9" t="n"/>
      <c r="N357" s="20" t="n"/>
      <c r="O357" s="20">
        <f>IF(C357="", "", TRIM(RIGHT(C357, LEN(C357) - FIND("@@", SUBSTITUTE(C357, "-", "@@", LEN(C357) - LEN(SUBSTITUTE(C357, "-", "")))))))</f>
        <v/>
      </c>
      <c r="P357" s="20">
        <f t="array" ref="P357">IFERROR(XLOOKUP(O357,'Department Listing'!$O$1:$O$395,'Department Listing'!$A$1:$A$395),IFERROR(XLOOKUP(O357,'Name Aliases'!$A$2:$A$1000,'Name Aliases'!$B$2:$B$1000),""))</f>
        <v/>
      </c>
      <c r="Q357" s="21">
        <f>IF(ISBLANK($C357),"",$B357)</f>
        <v/>
      </c>
      <c r="R357" s="20">
        <f>IF(ISBLANK($C357),"",IF(ISBLANK($I357),$D357,$I357))</f>
        <v/>
      </c>
      <c r="S357" s="22">
        <f>IF(ISBLANK($C357),"",$F357 - $G357)</f>
        <v/>
      </c>
      <c r="T357" s="20">
        <f>IF(ISBLANK($C357),"",C357)</f>
        <v/>
      </c>
      <c r="U357" s="20">
        <f>IF(ISBLANK($C357),"",$D$1)</f>
        <v/>
      </c>
      <c r="V357" s="22">
        <f t="array" ref="V357">IF(ISBLANK($B357),"",IF(ISBLANK($K357),IF(XLOOKUP($W357,'Category Mapping'!$C:$C,'Category Mapping'!$B:$B)="Travel",XLOOKUP($P357,'Department Listing'!$A:$A,'Department Listing'!$M:$M),XLOOKUP($W357,'Category Mapping'!$C:$C,'Category Mapping'!$D:$D)),$K357))</f>
        <v/>
      </c>
      <c r="W357" s="22">
        <f>IF(ISBLANK($B357),"",IF(ISBLANK($L357),RIGHT($E357,LEN($E357) - FIND("^",SUBSTITUTE($E357,":","^",LEN($E357) - LEN(SUBSTITUTE($E357,":",""))))),$L357))</f>
        <v/>
      </c>
      <c r="X357" s="22">
        <f>IF(ISBLANK($J357),$V357&amp;$W357,$J357)</f>
        <v/>
      </c>
      <c r="Y357" s="23">
        <f t="array" ref="Y357">IF(ISBLANK($M357),IFERROR(XLOOKUP($P357,'Department Listing'!$A:$A,'Department Listing'!$L:$L),""),$M357)</f>
        <v/>
      </c>
      <c r="Z357" s="11">
        <f>IF(ISBLANK($B357),"",MATCH($X357,COA!$B:$B,0))</f>
        <v/>
      </c>
    </row>
    <row r="358" ht="15.75" customHeight="1" s="52">
      <c r="B358" s="17" t="n"/>
      <c r="E358" s="26" t="n"/>
      <c r="F358" s="19" t="n"/>
      <c r="G358" s="10" t="n"/>
      <c r="H358" s="10" t="n"/>
      <c r="I358" s="9" t="n"/>
      <c r="J358" s="9" t="n"/>
      <c r="K358" s="9" t="n"/>
      <c r="L358" s="9" t="n"/>
      <c r="M358" s="9" t="n"/>
      <c r="N358" s="20" t="n"/>
      <c r="O358" s="20">
        <f>IF(C358="", "", TRIM(RIGHT(C358, LEN(C358) - FIND("@@", SUBSTITUTE(C358, "-", "@@", LEN(C358) - LEN(SUBSTITUTE(C358, "-", "")))))))</f>
        <v/>
      </c>
      <c r="P358" s="20">
        <f t="array" ref="P358">IFERROR(XLOOKUP(O358,'Department Listing'!$O$1:$O$395,'Department Listing'!$A$1:$A$395),IFERROR(XLOOKUP(O358,'Name Aliases'!$A$2:$A$1000,'Name Aliases'!$B$2:$B$1000),""))</f>
        <v/>
      </c>
      <c r="Q358" s="21">
        <f>IF(ISBLANK($C358),"",$B358)</f>
        <v/>
      </c>
      <c r="R358" s="20">
        <f>IF(ISBLANK($C358),"",IF(ISBLANK($I358),$D358,$I358))</f>
        <v/>
      </c>
      <c r="S358" s="22">
        <f>IF(ISBLANK($C358),"",$F358 - $G358)</f>
        <v/>
      </c>
      <c r="T358" s="20">
        <f>IF(ISBLANK($C358),"",C358)</f>
        <v/>
      </c>
      <c r="U358" s="20">
        <f>IF(ISBLANK($C358),"",$D$1)</f>
        <v/>
      </c>
      <c r="V358" s="22">
        <f t="array" ref="V358">IF(ISBLANK($B358),"",IF(ISBLANK($K358),IF(XLOOKUP($W358,'Category Mapping'!$C:$C,'Category Mapping'!$B:$B)="Travel",XLOOKUP($P358,'Department Listing'!$A:$A,'Department Listing'!$M:$M),XLOOKUP($W358,'Category Mapping'!$C:$C,'Category Mapping'!$D:$D)),$K358))</f>
        <v/>
      </c>
      <c r="W358" s="22">
        <f>IF(ISBLANK($B358),"",IF(ISBLANK($L358),RIGHT($E358,LEN($E358) - FIND("^",SUBSTITUTE($E358,":","^",LEN($E358) - LEN(SUBSTITUTE($E358,":",""))))),$L358))</f>
        <v/>
      </c>
      <c r="X358" s="22">
        <f>IF(ISBLANK($J358),$V358&amp;$W358,$J358)</f>
        <v/>
      </c>
      <c r="Y358" s="23">
        <f t="array" ref="Y358">IF(ISBLANK($M358),IFERROR(XLOOKUP($P358,'Department Listing'!$A:$A,'Department Listing'!$L:$L),""),$M358)</f>
        <v/>
      </c>
      <c r="Z358" s="11">
        <f>IF(ISBLANK($B358),"",MATCH($X358,COA!$B:$B,0))</f>
        <v/>
      </c>
    </row>
    <row r="359" ht="15.75" customHeight="1" s="52">
      <c r="B359" s="17" t="n"/>
      <c r="E359" s="26" t="n"/>
      <c r="F359" s="19" t="n"/>
      <c r="G359" s="10" t="n"/>
      <c r="H359" s="10" t="n"/>
      <c r="I359" s="9" t="n"/>
      <c r="J359" s="9" t="n"/>
      <c r="K359" s="9" t="n"/>
      <c r="L359" s="9" t="n"/>
      <c r="M359" s="9" t="n"/>
      <c r="N359" s="20" t="n"/>
      <c r="O359" s="20">
        <f>IF(C359="", "", TRIM(RIGHT(C359, LEN(C359) - FIND("@@", SUBSTITUTE(C359, "-", "@@", LEN(C359) - LEN(SUBSTITUTE(C359, "-", "")))))))</f>
        <v/>
      </c>
      <c r="P359" s="20">
        <f t="array" ref="P359">IFERROR(XLOOKUP(O359,'Department Listing'!$O$1:$O$395,'Department Listing'!$A$1:$A$395),IFERROR(XLOOKUP(O359,'Name Aliases'!$A$2:$A$1000,'Name Aliases'!$B$2:$B$1000),""))</f>
        <v/>
      </c>
      <c r="Q359" s="21">
        <f>IF(ISBLANK($C359),"",$B359)</f>
        <v/>
      </c>
      <c r="R359" s="20">
        <f>IF(ISBLANK($C359),"",IF(ISBLANK($I359),$D359,$I359))</f>
        <v/>
      </c>
      <c r="S359" s="22">
        <f>IF(ISBLANK($C359),"",$F359 - $G359)</f>
        <v/>
      </c>
      <c r="T359" s="20">
        <f>IF(ISBLANK($C359),"",C359)</f>
        <v/>
      </c>
      <c r="U359" s="20">
        <f>IF(ISBLANK($C359),"",$D$1)</f>
        <v/>
      </c>
      <c r="V359" s="22">
        <f t="array" ref="V359">IF(ISBLANK($B359),"",IF(ISBLANK($K359),IF(XLOOKUP($W359,'Category Mapping'!$C:$C,'Category Mapping'!$B:$B)="Travel",XLOOKUP($P359,'Department Listing'!$A:$A,'Department Listing'!$M:$M),XLOOKUP($W359,'Category Mapping'!$C:$C,'Category Mapping'!$D:$D)),$K359))</f>
        <v/>
      </c>
      <c r="W359" s="22">
        <f>IF(ISBLANK($B359),"",IF(ISBLANK($L359),RIGHT($E359,LEN($E359) - FIND("^",SUBSTITUTE($E359,":","^",LEN($E359) - LEN(SUBSTITUTE($E359,":",""))))),$L359))</f>
        <v/>
      </c>
      <c r="X359" s="22">
        <f>IF(ISBLANK($J359),$V359&amp;$W359,$J359)</f>
        <v/>
      </c>
      <c r="Y359" s="23">
        <f t="array" ref="Y359">IF(ISBLANK($M359),IFERROR(XLOOKUP($P359,'Department Listing'!$A:$A,'Department Listing'!$L:$L),""),$M359)</f>
        <v/>
      </c>
      <c r="Z359" s="11">
        <f>IF(ISBLANK($B359),"",MATCH($X359,COA!$B:$B,0))</f>
        <v/>
      </c>
    </row>
    <row r="360" ht="15.75" customHeight="1" s="52">
      <c r="B360" s="17" t="n"/>
      <c r="E360" s="26" t="n"/>
      <c r="F360" s="19" t="n"/>
      <c r="G360" s="10" t="n"/>
      <c r="H360" s="10" t="n"/>
      <c r="I360" s="9" t="n"/>
      <c r="J360" s="9" t="n"/>
      <c r="K360" s="9" t="n"/>
      <c r="L360" s="9" t="n"/>
      <c r="M360" s="9" t="n"/>
      <c r="N360" s="20" t="n"/>
      <c r="O360" s="20">
        <f>IF(C360="", "", TRIM(RIGHT(C360, LEN(C360) - FIND("@@", SUBSTITUTE(C360, "-", "@@", LEN(C360) - LEN(SUBSTITUTE(C360, "-", "")))))))</f>
        <v/>
      </c>
      <c r="P360" s="20">
        <f t="array" ref="P360">IFERROR(XLOOKUP(O360,'Department Listing'!$O$1:$O$395,'Department Listing'!$A$1:$A$395),IFERROR(XLOOKUP(O360,'Name Aliases'!$A$2:$A$1000,'Name Aliases'!$B$2:$B$1000),""))</f>
        <v/>
      </c>
      <c r="Q360" s="21">
        <f>IF(ISBLANK($C360),"",$B360)</f>
        <v/>
      </c>
      <c r="R360" s="20">
        <f>IF(ISBLANK($C360),"",IF(ISBLANK($I360),$D360,$I360))</f>
        <v/>
      </c>
      <c r="S360" s="22">
        <f>IF(ISBLANK($C360),"",$F360 - $G360)</f>
        <v/>
      </c>
      <c r="T360" s="20">
        <f>IF(ISBLANK($C360),"",C360)</f>
        <v/>
      </c>
      <c r="U360" s="20">
        <f>IF(ISBLANK($C360),"",$D$1)</f>
        <v/>
      </c>
      <c r="V360" s="22">
        <f t="array" ref="V360">IF(ISBLANK($B360),"",IF(ISBLANK($K360),IF(XLOOKUP($W360,'Category Mapping'!$C:$C,'Category Mapping'!$B:$B)="Travel",XLOOKUP($P360,'Department Listing'!$A:$A,'Department Listing'!$M:$M),XLOOKUP($W360,'Category Mapping'!$C:$C,'Category Mapping'!$D:$D)),$K360))</f>
        <v/>
      </c>
      <c r="W360" s="22">
        <f>IF(ISBLANK($B360),"",IF(ISBLANK($L360),RIGHT($E360,LEN($E360) - FIND("^",SUBSTITUTE($E360,":","^",LEN($E360) - LEN(SUBSTITUTE($E360,":",""))))),$L360))</f>
        <v/>
      </c>
      <c r="X360" s="22">
        <f>IF(ISBLANK($J360),$V360&amp;$W360,$J360)</f>
        <v/>
      </c>
      <c r="Y360" s="23">
        <f t="array" ref="Y360">IF(ISBLANK($M360),IFERROR(XLOOKUP($P360,'Department Listing'!$A:$A,'Department Listing'!$L:$L),""),$M360)</f>
        <v/>
      </c>
      <c r="Z360" s="11">
        <f>IF(ISBLANK($B360),"",MATCH($X360,COA!$B:$B,0))</f>
        <v/>
      </c>
    </row>
    <row r="361" ht="15.75" customHeight="1" s="52">
      <c r="B361" s="17" t="n"/>
      <c r="E361" s="26" t="n"/>
      <c r="F361" s="19" t="n"/>
      <c r="G361" s="10" t="n"/>
      <c r="H361" s="10" t="n"/>
      <c r="I361" s="9" t="n"/>
      <c r="J361" s="9" t="n"/>
      <c r="K361" s="9" t="n"/>
      <c r="L361" s="9" t="n"/>
      <c r="M361" s="9" t="n"/>
      <c r="N361" s="20" t="n"/>
      <c r="O361" s="20">
        <f>IF(C361="", "", TRIM(RIGHT(C361, LEN(C361) - FIND("@@", SUBSTITUTE(C361, "-", "@@", LEN(C361) - LEN(SUBSTITUTE(C361, "-", "")))))))</f>
        <v/>
      </c>
      <c r="P361" s="20">
        <f t="array" ref="P361">IFERROR(XLOOKUP(O361,'Department Listing'!$O$1:$O$395,'Department Listing'!$A$1:$A$395),IFERROR(XLOOKUP(O361,'Name Aliases'!$A$2:$A$1000,'Name Aliases'!$B$2:$B$1000),""))</f>
        <v/>
      </c>
      <c r="Q361" s="21">
        <f>IF(ISBLANK($C361),"",$B361)</f>
        <v/>
      </c>
      <c r="R361" s="20">
        <f>IF(ISBLANK($C361),"",IF(ISBLANK($I361),$D361,$I361))</f>
        <v/>
      </c>
      <c r="S361" s="22">
        <f>IF(ISBLANK($C361),"",$F361 - $G361)</f>
        <v/>
      </c>
      <c r="T361" s="20">
        <f>IF(ISBLANK($C361),"",C361)</f>
        <v/>
      </c>
      <c r="U361" s="20">
        <f>IF(ISBLANK($C361),"",$D$1)</f>
        <v/>
      </c>
      <c r="V361" s="22">
        <f t="array" ref="V361">IF(ISBLANK($B361),"",IF(ISBLANK($K361),IF(XLOOKUP($W361,'Category Mapping'!$C:$C,'Category Mapping'!$B:$B)="Travel",XLOOKUP($P361,'Department Listing'!$A:$A,'Department Listing'!$M:$M),XLOOKUP($W361,'Category Mapping'!$C:$C,'Category Mapping'!$D:$D)),$K361))</f>
        <v/>
      </c>
      <c r="W361" s="22">
        <f>IF(ISBLANK($B361),"",IF(ISBLANK($L361),RIGHT($E361,LEN($E361) - FIND("^",SUBSTITUTE($E361,":","^",LEN($E361) - LEN(SUBSTITUTE($E361,":",""))))),$L361))</f>
        <v/>
      </c>
      <c r="X361" s="22">
        <f>IF(ISBLANK($J361),$V361&amp;$W361,$J361)</f>
        <v/>
      </c>
      <c r="Y361" s="23">
        <f t="array" ref="Y361">IF(ISBLANK($M361),IFERROR(XLOOKUP($P361,'Department Listing'!$A:$A,'Department Listing'!$L:$L),""),$M361)</f>
        <v/>
      </c>
      <c r="Z361" s="11">
        <f>IF(ISBLANK($B361),"",MATCH($X361,COA!$B:$B,0))</f>
        <v/>
      </c>
    </row>
    <row r="362" ht="15.75" customHeight="1" s="52">
      <c r="B362" s="17" t="n"/>
      <c r="E362" s="26" t="n"/>
      <c r="F362" s="19" t="n"/>
      <c r="G362" s="10" t="n"/>
      <c r="H362" s="10" t="n"/>
      <c r="I362" s="9" t="n"/>
      <c r="J362" s="9" t="n"/>
      <c r="K362" s="9" t="n"/>
      <c r="L362" s="9" t="n"/>
      <c r="M362" s="9" t="n"/>
      <c r="N362" s="20" t="n"/>
      <c r="O362" s="20">
        <f>IF(C362="", "", TRIM(RIGHT(C362, LEN(C362) - FIND("@@", SUBSTITUTE(C362, "-", "@@", LEN(C362) - LEN(SUBSTITUTE(C362, "-", "")))))))</f>
        <v/>
      </c>
      <c r="P362" s="20">
        <f t="array" ref="P362">IFERROR(XLOOKUP(O362,'Department Listing'!$O$1:$O$395,'Department Listing'!$A$1:$A$395),IFERROR(XLOOKUP(O362,'Name Aliases'!$A$2:$A$1000,'Name Aliases'!$B$2:$B$1000),""))</f>
        <v/>
      </c>
      <c r="Q362" s="21">
        <f>IF(ISBLANK($C362),"",$B362)</f>
        <v/>
      </c>
      <c r="R362" s="20">
        <f>IF(ISBLANK($C362),"",IF(ISBLANK($I362),$D362,$I362))</f>
        <v/>
      </c>
      <c r="S362" s="22">
        <f>IF(ISBLANK($C362),"",$F362 - $G362)</f>
        <v/>
      </c>
      <c r="T362" s="20">
        <f>IF(ISBLANK($C362),"",C362)</f>
        <v/>
      </c>
      <c r="U362" s="20">
        <f>IF(ISBLANK($C362),"",$D$1)</f>
        <v/>
      </c>
      <c r="V362" s="22">
        <f t="array" ref="V362">IF(ISBLANK($B362),"",IF(ISBLANK($K362),IF(XLOOKUP($W362,'Category Mapping'!$C:$C,'Category Mapping'!$B:$B)="Travel",XLOOKUP($P362,'Department Listing'!$A:$A,'Department Listing'!$M:$M),XLOOKUP($W362,'Category Mapping'!$C:$C,'Category Mapping'!$D:$D)),$K362))</f>
        <v/>
      </c>
      <c r="W362" s="22">
        <f>IF(ISBLANK($B362),"",IF(ISBLANK($L362),RIGHT($E362,LEN($E362) - FIND("^",SUBSTITUTE($E362,":","^",LEN($E362) - LEN(SUBSTITUTE($E362,":",""))))),$L362))</f>
        <v/>
      </c>
      <c r="X362" s="22">
        <f>IF(ISBLANK($J362),$V362&amp;$W362,$J362)</f>
        <v/>
      </c>
      <c r="Y362" s="23">
        <f t="array" ref="Y362">IF(ISBLANK($M362),IFERROR(XLOOKUP($P362,'Department Listing'!$A:$A,'Department Listing'!$L:$L),""),$M362)</f>
        <v/>
      </c>
      <c r="Z362" s="11">
        <f>IF(ISBLANK($B362),"",MATCH($X362,COA!$B:$B,0))</f>
        <v/>
      </c>
    </row>
    <row r="363" ht="15.75" customHeight="1" s="52">
      <c r="B363" s="17" t="n"/>
      <c r="E363" s="26" t="n"/>
      <c r="F363" s="19" t="n"/>
      <c r="G363" s="10" t="n"/>
      <c r="H363" s="10" t="n"/>
      <c r="I363" s="9" t="n"/>
      <c r="J363" s="9" t="n"/>
      <c r="K363" s="9" t="n"/>
      <c r="L363" s="9" t="n"/>
      <c r="M363" s="9" t="n"/>
      <c r="N363" s="20" t="n"/>
      <c r="O363" s="20">
        <f>IF(C363="", "", TRIM(RIGHT(C363, LEN(C363) - FIND("@@", SUBSTITUTE(C363, "-", "@@", LEN(C363) - LEN(SUBSTITUTE(C363, "-", "")))))))</f>
        <v/>
      </c>
      <c r="P363" s="20">
        <f t="array" ref="P363">IFERROR(XLOOKUP(O363,'Department Listing'!$O$1:$O$395,'Department Listing'!$A$1:$A$395),IFERROR(XLOOKUP(O363,'Name Aliases'!$A$2:$A$1000,'Name Aliases'!$B$2:$B$1000),""))</f>
        <v/>
      </c>
      <c r="Q363" s="21">
        <f>IF(ISBLANK($C363),"",$B363)</f>
        <v/>
      </c>
      <c r="R363" s="20">
        <f>IF(ISBLANK($C363),"",IF(ISBLANK($I363),$D363,$I363))</f>
        <v/>
      </c>
      <c r="S363" s="22">
        <f>IF(ISBLANK($C363),"",$F363 - $G363)</f>
        <v/>
      </c>
      <c r="T363" s="20">
        <f>IF(ISBLANK($C363),"",C363)</f>
        <v/>
      </c>
      <c r="U363" s="20">
        <f>IF(ISBLANK($C363),"",$D$1)</f>
        <v/>
      </c>
      <c r="V363" s="22">
        <f t="array" ref="V363">IF(ISBLANK($B363),"",IF(ISBLANK($K363),IF(XLOOKUP($W363,'Category Mapping'!$C:$C,'Category Mapping'!$B:$B)="Travel",XLOOKUP($P363,'Department Listing'!$A:$A,'Department Listing'!$M:$M),XLOOKUP($W363,'Category Mapping'!$C:$C,'Category Mapping'!$D:$D)),$K363))</f>
        <v/>
      </c>
      <c r="W363" s="22">
        <f>IF(ISBLANK($B363),"",IF(ISBLANK($L363),RIGHT($E363,LEN($E363) - FIND("^",SUBSTITUTE($E363,":","^",LEN($E363) - LEN(SUBSTITUTE($E363,":",""))))),$L363))</f>
        <v/>
      </c>
      <c r="X363" s="22">
        <f>IF(ISBLANK($J363),$V363&amp;$W363,$J363)</f>
        <v/>
      </c>
      <c r="Y363" s="23">
        <f t="array" ref="Y363">IF(ISBLANK($M363),IFERROR(XLOOKUP($P363,'Department Listing'!$A:$A,'Department Listing'!$L:$L),""),$M363)</f>
        <v/>
      </c>
      <c r="Z363" s="11">
        <f>IF(ISBLANK($B363),"",MATCH($X363,COA!$B:$B,0))</f>
        <v/>
      </c>
    </row>
    <row r="364" ht="15.75" customHeight="1" s="52">
      <c r="B364" s="17" t="n"/>
      <c r="E364" s="26" t="n"/>
      <c r="F364" s="19" t="n"/>
      <c r="G364" s="10" t="n"/>
      <c r="H364" s="10" t="n"/>
      <c r="I364" s="9" t="n"/>
      <c r="J364" s="9" t="n"/>
      <c r="K364" s="9" t="n"/>
      <c r="L364" s="9" t="n"/>
      <c r="M364" s="9" t="n"/>
      <c r="N364" s="20" t="n"/>
      <c r="O364" s="20">
        <f>IF(C364="", "", TRIM(RIGHT(C364, LEN(C364) - FIND("@@", SUBSTITUTE(C364, "-", "@@", LEN(C364) - LEN(SUBSTITUTE(C364, "-", "")))))))</f>
        <v/>
      </c>
      <c r="P364" s="20">
        <f t="array" ref="P364">IFERROR(XLOOKUP(O364,'Department Listing'!$O$1:$O$395,'Department Listing'!$A$1:$A$395),IFERROR(XLOOKUP(O364,'Name Aliases'!$A$2:$A$1000,'Name Aliases'!$B$2:$B$1000),""))</f>
        <v/>
      </c>
      <c r="Q364" s="21">
        <f>IF(ISBLANK($C364),"",$B364)</f>
        <v/>
      </c>
      <c r="R364" s="20">
        <f>IF(ISBLANK($C364),"",IF(ISBLANK($I364),$D364,$I364))</f>
        <v/>
      </c>
      <c r="S364" s="22">
        <f>IF(ISBLANK($C364),"",$F364 - $G364)</f>
        <v/>
      </c>
      <c r="T364" s="20">
        <f>IF(ISBLANK($C364),"",C364)</f>
        <v/>
      </c>
      <c r="U364" s="20">
        <f>IF(ISBLANK($C364),"",$D$1)</f>
        <v/>
      </c>
      <c r="V364" s="22">
        <f t="array" ref="V364">IF(ISBLANK($B364),"",IF(ISBLANK($K364),IF(XLOOKUP($W364,'Category Mapping'!$C:$C,'Category Mapping'!$B:$B)="Travel",XLOOKUP($P364,'Department Listing'!$A:$A,'Department Listing'!$M:$M),XLOOKUP($W364,'Category Mapping'!$C:$C,'Category Mapping'!$D:$D)),$K364))</f>
        <v/>
      </c>
      <c r="W364" s="22">
        <f>IF(ISBLANK($B364),"",IF(ISBLANK($L364),RIGHT($E364,LEN($E364) - FIND("^",SUBSTITUTE($E364,":","^",LEN($E364) - LEN(SUBSTITUTE($E364,":",""))))),$L364))</f>
        <v/>
      </c>
      <c r="X364" s="22">
        <f>IF(ISBLANK($J364),$V364&amp;$W364,$J364)</f>
        <v/>
      </c>
      <c r="Y364" s="23">
        <f t="array" ref="Y364">IF(ISBLANK($M364),IFERROR(XLOOKUP($P364,'Department Listing'!$A:$A,'Department Listing'!$L:$L),""),$M364)</f>
        <v/>
      </c>
      <c r="Z364" s="11">
        <f>IF(ISBLANK($B364),"",MATCH($X364,COA!$B:$B,0))</f>
        <v/>
      </c>
    </row>
    <row r="365" ht="15.75" customHeight="1" s="52">
      <c r="B365" s="17" t="n"/>
      <c r="E365" s="26" t="n"/>
      <c r="F365" s="19" t="n"/>
      <c r="G365" s="10" t="n"/>
      <c r="H365" s="10" t="n"/>
      <c r="I365" s="9" t="n"/>
      <c r="J365" s="9" t="n"/>
      <c r="K365" s="9" t="n"/>
      <c r="L365" s="9" t="n"/>
      <c r="M365" s="9" t="n"/>
      <c r="N365" s="20" t="n"/>
      <c r="O365" s="20">
        <f>IF(C365="", "", TRIM(RIGHT(C365, LEN(C365) - FIND("@@", SUBSTITUTE(C365, "-", "@@", LEN(C365) - LEN(SUBSTITUTE(C365, "-", "")))))))</f>
        <v/>
      </c>
      <c r="P365" s="20">
        <f t="array" ref="P365">IFERROR(XLOOKUP(O365,'Department Listing'!$O$1:$O$395,'Department Listing'!$A$1:$A$395),IFERROR(XLOOKUP(O365,'Name Aliases'!$A$2:$A$1000,'Name Aliases'!$B$2:$B$1000),""))</f>
        <v/>
      </c>
      <c r="Q365" s="21">
        <f>IF(ISBLANK($C365),"",$B365)</f>
        <v/>
      </c>
      <c r="R365" s="20">
        <f>IF(ISBLANK($C365),"",IF(ISBLANK($I365),$D365,$I365))</f>
        <v/>
      </c>
      <c r="S365" s="22">
        <f>IF(ISBLANK($C365),"",$F365 - $G365)</f>
        <v/>
      </c>
      <c r="T365" s="20">
        <f>IF(ISBLANK($C365),"",C365)</f>
        <v/>
      </c>
      <c r="U365" s="20">
        <f>IF(ISBLANK($C365),"",$D$1)</f>
        <v/>
      </c>
      <c r="V365" s="22">
        <f t="array" ref="V365">IF(ISBLANK($B365),"",IF(ISBLANK($K365),IF(XLOOKUP($W365,'Category Mapping'!$C:$C,'Category Mapping'!$B:$B)="Travel",XLOOKUP($P365,'Department Listing'!$A:$A,'Department Listing'!$M:$M),XLOOKUP($W365,'Category Mapping'!$C:$C,'Category Mapping'!$D:$D)),$K365))</f>
        <v/>
      </c>
      <c r="W365" s="22">
        <f>IF(ISBLANK($B365),"",IF(ISBLANK($L365),RIGHT($E365,LEN($E365) - FIND("^",SUBSTITUTE($E365,":","^",LEN($E365) - LEN(SUBSTITUTE($E365,":",""))))),$L365))</f>
        <v/>
      </c>
      <c r="X365" s="22">
        <f>IF(ISBLANK($J365),$V365&amp;$W365,$J365)</f>
        <v/>
      </c>
      <c r="Y365" s="23">
        <f t="array" ref="Y365">IF(ISBLANK($M365),IFERROR(XLOOKUP($P365,'Department Listing'!$A:$A,'Department Listing'!$L:$L),""),$M365)</f>
        <v/>
      </c>
      <c r="Z365" s="11">
        <f>IF(ISBLANK($B365),"",MATCH($X365,COA!$B:$B,0))</f>
        <v/>
      </c>
    </row>
    <row r="366" ht="15.75" customHeight="1" s="52">
      <c r="B366" s="17" t="n"/>
      <c r="E366" s="26" t="n"/>
      <c r="F366" s="19" t="n"/>
      <c r="G366" s="10" t="n"/>
      <c r="H366" s="10" t="n"/>
      <c r="I366" s="9" t="n"/>
      <c r="J366" s="9" t="n"/>
      <c r="K366" s="9" t="n"/>
      <c r="L366" s="9" t="n"/>
      <c r="M366" s="9" t="n"/>
      <c r="N366" s="20" t="n"/>
      <c r="O366" s="20">
        <f>IF(C366="", "", TRIM(RIGHT(C366, LEN(C366) - FIND("@@", SUBSTITUTE(C366, "-", "@@", LEN(C366) - LEN(SUBSTITUTE(C366, "-", "")))))))</f>
        <v/>
      </c>
      <c r="P366" s="20">
        <f t="array" ref="P366">IFERROR(XLOOKUP(O366,'Department Listing'!$O$1:$O$395,'Department Listing'!$A$1:$A$395),IFERROR(XLOOKUP(O366,'Name Aliases'!$A$2:$A$1000,'Name Aliases'!$B$2:$B$1000),""))</f>
        <v/>
      </c>
      <c r="Q366" s="21">
        <f>IF(ISBLANK($C366),"",$B366)</f>
        <v/>
      </c>
      <c r="R366" s="20">
        <f>IF(ISBLANK($C366),"",IF(ISBLANK($I366),$D366,$I366))</f>
        <v/>
      </c>
      <c r="S366" s="22">
        <f>IF(ISBLANK($C366),"",$F366 - $G366)</f>
        <v/>
      </c>
      <c r="T366" s="20">
        <f>IF(ISBLANK($C366),"",C366)</f>
        <v/>
      </c>
      <c r="U366" s="20">
        <f>IF(ISBLANK($C366),"",$D$1)</f>
        <v/>
      </c>
      <c r="V366" s="22">
        <f t="array" ref="V366">IF(ISBLANK($B366),"",IF(ISBLANK($K366),IF(XLOOKUP($W366,'Category Mapping'!$C:$C,'Category Mapping'!$B:$B)="Travel",XLOOKUP($P366,'Department Listing'!$A:$A,'Department Listing'!$M:$M),XLOOKUP($W366,'Category Mapping'!$C:$C,'Category Mapping'!$D:$D)),$K366))</f>
        <v/>
      </c>
      <c r="W366" s="22">
        <f>IF(ISBLANK($B366),"",IF(ISBLANK($L366),RIGHT($E366,LEN($E366) - FIND("^",SUBSTITUTE($E366,":","^",LEN($E366) - LEN(SUBSTITUTE($E366,":",""))))),$L366))</f>
        <v/>
      </c>
      <c r="X366" s="22">
        <f>IF(ISBLANK($J366),$V366&amp;$W366,$J366)</f>
        <v/>
      </c>
      <c r="Y366" s="23">
        <f t="array" ref="Y366">IF(ISBLANK($M366),IFERROR(XLOOKUP($P366,'Department Listing'!$A:$A,'Department Listing'!$L:$L),""),$M366)</f>
        <v/>
      </c>
      <c r="Z366" s="11">
        <f>IF(ISBLANK($B366),"",MATCH($X366,COA!$B:$B,0))</f>
        <v/>
      </c>
    </row>
    <row r="367" ht="15.75" customHeight="1" s="52">
      <c r="B367" s="17" t="n"/>
      <c r="E367" s="26" t="n"/>
      <c r="F367" s="19" t="n"/>
      <c r="G367" s="10" t="n"/>
      <c r="H367" s="10" t="n"/>
      <c r="I367" s="9" t="n"/>
      <c r="J367" s="9" t="n"/>
      <c r="K367" s="9" t="n"/>
      <c r="L367" s="9" t="n"/>
      <c r="M367" s="9" t="n"/>
      <c r="N367" s="20" t="n"/>
      <c r="O367" s="20">
        <f>IF(C367="", "", TRIM(RIGHT(C367, LEN(C367) - FIND("@@", SUBSTITUTE(C367, "-", "@@", LEN(C367) - LEN(SUBSTITUTE(C367, "-", "")))))))</f>
        <v/>
      </c>
      <c r="P367" s="20">
        <f t="array" ref="P367">IFERROR(XLOOKUP(O367,'Department Listing'!$O$1:$O$395,'Department Listing'!$A$1:$A$395),IFERROR(XLOOKUP(O367,'Name Aliases'!$A$2:$A$1000,'Name Aliases'!$B$2:$B$1000),""))</f>
        <v/>
      </c>
      <c r="Q367" s="21">
        <f>IF(ISBLANK($C367),"",$B367)</f>
        <v/>
      </c>
      <c r="R367" s="20">
        <f>IF(ISBLANK($C367),"",IF(ISBLANK($I367),$D367,$I367))</f>
        <v/>
      </c>
      <c r="S367" s="22">
        <f>IF(ISBLANK($C367),"",$F367 - $G367)</f>
        <v/>
      </c>
      <c r="T367" s="20">
        <f>IF(ISBLANK($C367),"",C367)</f>
        <v/>
      </c>
      <c r="U367" s="20">
        <f>IF(ISBLANK($C367),"",$D$1)</f>
        <v/>
      </c>
      <c r="V367" s="22">
        <f t="array" ref="V367">IF(ISBLANK($B367),"",IF(ISBLANK($K367),IF(XLOOKUP($W367,'Category Mapping'!$C:$C,'Category Mapping'!$B:$B)="Travel",XLOOKUP($P367,'Department Listing'!$A:$A,'Department Listing'!$M:$M),XLOOKUP($W367,'Category Mapping'!$C:$C,'Category Mapping'!$D:$D)),$K367))</f>
        <v/>
      </c>
      <c r="W367" s="22">
        <f>IF(ISBLANK($B367),"",IF(ISBLANK($L367),RIGHT($E367,LEN($E367) - FIND("^",SUBSTITUTE($E367,":","^",LEN($E367) - LEN(SUBSTITUTE($E367,":",""))))),$L367))</f>
        <v/>
      </c>
      <c r="X367" s="22">
        <f>IF(ISBLANK($J367),$V367&amp;$W367,$J367)</f>
        <v/>
      </c>
      <c r="Y367" s="23">
        <f t="array" ref="Y367">IF(ISBLANK($M367),IFERROR(XLOOKUP($P367,'Department Listing'!$A:$A,'Department Listing'!$L:$L),""),$M367)</f>
        <v/>
      </c>
      <c r="Z367" s="11">
        <f>IF(ISBLANK($B367),"",MATCH($X367,COA!$B:$B,0))</f>
        <v/>
      </c>
    </row>
    <row r="368" ht="15.75" customHeight="1" s="52">
      <c r="B368" s="17" t="n"/>
      <c r="E368" s="26" t="n"/>
      <c r="F368" s="19" t="n"/>
      <c r="G368" s="10" t="n"/>
      <c r="H368" s="10" t="n"/>
      <c r="I368" s="9" t="n"/>
      <c r="J368" s="9" t="n"/>
      <c r="K368" s="9" t="n"/>
      <c r="L368" s="9" t="n"/>
      <c r="M368" s="9" t="n"/>
      <c r="N368" s="20" t="n"/>
      <c r="O368" s="20">
        <f>IF(C368="", "", TRIM(RIGHT(C368, LEN(C368) - FIND("@@", SUBSTITUTE(C368, "-", "@@", LEN(C368) - LEN(SUBSTITUTE(C368, "-", "")))))))</f>
        <v/>
      </c>
      <c r="P368" s="20">
        <f t="array" ref="P368">IFERROR(XLOOKUP(O368,'Department Listing'!$O$1:$O$395,'Department Listing'!$A$1:$A$395),IFERROR(XLOOKUP(O368,'Name Aliases'!$A$2:$A$1000,'Name Aliases'!$B$2:$B$1000),""))</f>
        <v/>
      </c>
      <c r="Q368" s="21">
        <f>IF(ISBLANK($C368),"",$B368)</f>
        <v/>
      </c>
      <c r="R368" s="20">
        <f>IF(ISBLANK($C368),"",IF(ISBLANK($I368),$D368,$I368))</f>
        <v/>
      </c>
      <c r="S368" s="22">
        <f>IF(ISBLANK($C368),"",$F368 - $G368)</f>
        <v/>
      </c>
      <c r="T368" s="20">
        <f>IF(ISBLANK($C368),"",C368)</f>
        <v/>
      </c>
      <c r="U368" s="20">
        <f>IF(ISBLANK($C368),"",$D$1)</f>
        <v/>
      </c>
      <c r="V368" s="22">
        <f t="array" ref="V368">IF(ISBLANK($B368),"",IF(ISBLANK($K368),IF(XLOOKUP($W368,'Category Mapping'!$C:$C,'Category Mapping'!$B:$B)="Travel",XLOOKUP($P368,'Department Listing'!$A:$A,'Department Listing'!$M:$M),XLOOKUP($W368,'Category Mapping'!$C:$C,'Category Mapping'!$D:$D)),$K368))</f>
        <v/>
      </c>
      <c r="W368" s="22">
        <f>IF(ISBLANK($B368),"",IF(ISBLANK($L368),RIGHT($E368,LEN($E368) - FIND("^",SUBSTITUTE($E368,":","^",LEN($E368) - LEN(SUBSTITUTE($E368,":",""))))),$L368))</f>
        <v/>
      </c>
      <c r="X368" s="22">
        <f>IF(ISBLANK($J368),$V368&amp;$W368,$J368)</f>
        <v/>
      </c>
      <c r="Y368" s="23">
        <f t="array" ref="Y368">IF(ISBLANK($M368),IFERROR(XLOOKUP($P368,'Department Listing'!$A:$A,'Department Listing'!$L:$L),""),$M368)</f>
        <v/>
      </c>
      <c r="Z368" s="11">
        <f>IF(ISBLANK($B368),"",MATCH($X368,COA!$B:$B,0))</f>
        <v/>
      </c>
    </row>
    <row r="369" ht="15.75" customHeight="1" s="52">
      <c r="B369" s="17" t="n"/>
      <c r="E369" s="26" t="n"/>
      <c r="F369" s="19" t="n"/>
      <c r="G369" s="10" t="n"/>
      <c r="H369" s="10" t="n"/>
      <c r="I369" s="9" t="n"/>
      <c r="J369" s="9" t="n"/>
      <c r="K369" s="9" t="n"/>
      <c r="L369" s="9" t="n"/>
      <c r="M369" s="9" t="n"/>
      <c r="N369" s="20" t="n"/>
      <c r="O369" s="20">
        <f>IF(C369="", "", TRIM(RIGHT(C369, LEN(C369) - FIND("@@", SUBSTITUTE(C369, "-", "@@", LEN(C369) - LEN(SUBSTITUTE(C369, "-", "")))))))</f>
        <v/>
      </c>
      <c r="P369" s="20">
        <f t="array" ref="P369">IFERROR(XLOOKUP(O369,'Department Listing'!$O$1:$O$395,'Department Listing'!$A$1:$A$395),IFERROR(XLOOKUP(O369,'Name Aliases'!$A$2:$A$1000,'Name Aliases'!$B$2:$B$1000),""))</f>
        <v/>
      </c>
      <c r="Q369" s="21">
        <f>IF(ISBLANK($C369),"",$B369)</f>
        <v/>
      </c>
      <c r="R369" s="20">
        <f>IF(ISBLANK($C369),"",IF(ISBLANK($I369),$D369,$I369))</f>
        <v/>
      </c>
      <c r="S369" s="22">
        <f>IF(ISBLANK($C369),"",$F369 - $G369)</f>
        <v/>
      </c>
      <c r="T369" s="20">
        <f>IF(ISBLANK($C369),"",C369)</f>
        <v/>
      </c>
      <c r="U369" s="20">
        <f>IF(ISBLANK($C369),"",$D$1)</f>
        <v/>
      </c>
      <c r="V369" s="22">
        <f t="array" ref="V369">IF(ISBLANK($B369),"",IF(ISBLANK($K369),IF(XLOOKUP($W369,'Category Mapping'!$C:$C,'Category Mapping'!$B:$B)="Travel",XLOOKUP($P369,'Department Listing'!$A:$A,'Department Listing'!$M:$M),XLOOKUP($W369,'Category Mapping'!$C:$C,'Category Mapping'!$D:$D)),$K369))</f>
        <v/>
      </c>
      <c r="W369" s="22">
        <f>IF(ISBLANK($B369),"",IF(ISBLANK($L369),RIGHT($E369,LEN($E369) - FIND("^",SUBSTITUTE($E369,":","^",LEN($E369) - LEN(SUBSTITUTE($E369,":",""))))),$L369))</f>
        <v/>
      </c>
      <c r="X369" s="22">
        <f>IF(ISBLANK($J369),$V369&amp;$W369,$J369)</f>
        <v/>
      </c>
      <c r="Y369" s="23">
        <f t="array" ref="Y369">IF(ISBLANK($M369),IFERROR(XLOOKUP($P369,'Department Listing'!$A:$A,'Department Listing'!$L:$L),""),$M369)</f>
        <v/>
      </c>
      <c r="Z369" s="11">
        <f>IF(ISBLANK($B369),"",MATCH($X369,COA!$B:$B,0))</f>
        <v/>
      </c>
    </row>
    <row r="370" ht="15.75" customHeight="1" s="52">
      <c r="B370" s="17" t="n"/>
      <c r="E370" s="26" t="n"/>
      <c r="F370" s="19" t="n"/>
      <c r="G370" s="10" t="n"/>
      <c r="H370" s="10" t="n"/>
      <c r="I370" s="9" t="n"/>
      <c r="J370" s="9" t="n"/>
      <c r="K370" s="9" t="n"/>
      <c r="L370" s="9" t="n"/>
      <c r="M370" s="9" t="n"/>
      <c r="N370" s="20" t="n"/>
      <c r="O370" s="20">
        <f>IF(C370="", "", TRIM(RIGHT(C370, LEN(C370) - FIND("@@", SUBSTITUTE(C370, "-", "@@", LEN(C370) - LEN(SUBSTITUTE(C370, "-", "")))))))</f>
        <v/>
      </c>
      <c r="P370" s="20">
        <f t="array" ref="P370">IFERROR(XLOOKUP(O370,'Department Listing'!$O$1:$O$395,'Department Listing'!$A$1:$A$395),IFERROR(XLOOKUP(O370,'Name Aliases'!$A$2:$A$1000,'Name Aliases'!$B$2:$B$1000),""))</f>
        <v/>
      </c>
      <c r="Q370" s="21">
        <f>IF(ISBLANK($C370),"",$B370)</f>
        <v/>
      </c>
      <c r="R370" s="20">
        <f>IF(ISBLANK($C370),"",IF(ISBLANK($I370),$D370,$I370))</f>
        <v/>
      </c>
      <c r="S370" s="22">
        <f>IF(ISBLANK($C370),"",$F370 - $G370)</f>
        <v/>
      </c>
      <c r="T370" s="20">
        <f>IF(ISBLANK($C370),"",C370)</f>
        <v/>
      </c>
      <c r="U370" s="20">
        <f>IF(ISBLANK($C370),"",$D$1)</f>
        <v/>
      </c>
      <c r="V370" s="22">
        <f t="array" ref="V370">IF(ISBLANK($B370),"",IF(ISBLANK($K370),IF(XLOOKUP($W370,'Category Mapping'!$C:$C,'Category Mapping'!$B:$B)="Travel",XLOOKUP($P370,'Department Listing'!$A:$A,'Department Listing'!$M:$M),XLOOKUP($W370,'Category Mapping'!$C:$C,'Category Mapping'!$D:$D)),$K370))</f>
        <v/>
      </c>
      <c r="W370" s="22">
        <f>IF(ISBLANK($B370),"",IF(ISBLANK($L370),RIGHT($E370,LEN($E370) - FIND("^",SUBSTITUTE($E370,":","^",LEN($E370) - LEN(SUBSTITUTE($E370,":",""))))),$L370))</f>
        <v/>
      </c>
      <c r="X370" s="22">
        <f>IF(ISBLANK($J370),$V370&amp;$W370,$J370)</f>
        <v/>
      </c>
      <c r="Y370" s="23">
        <f t="array" ref="Y370">IF(ISBLANK($M370),IFERROR(XLOOKUP($P370,'Department Listing'!$A:$A,'Department Listing'!$L:$L),""),$M370)</f>
        <v/>
      </c>
      <c r="Z370" s="11">
        <f>IF(ISBLANK($B370),"",MATCH($X370,COA!$B:$B,0))</f>
        <v/>
      </c>
    </row>
    <row r="371" ht="15.75" customHeight="1" s="52">
      <c r="B371" s="17" t="n"/>
      <c r="E371" s="26" t="n"/>
      <c r="F371" s="19" t="n"/>
      <c r="G371" s="10" t="n"/>
      <c r="H371" s="10" t="n"/>
      <c r="I371" s="9" t="n"/>
      <c r="J371" s="9" t="n"/>
      <c r="K371" s="9" t="n"/>
      <c r="L371" s="9" t="n"/>
      <c r="M371" s="9" t="n"/>
      <c r="N371" s="20" t="n"/>
      <c r="O371" s="20">
        <f>IF(C371="", "", TRIM(RIGHT(C371, LEN(C371) - FIND("@@", SUBSTITUTE(C371, "-", "@@", LEN(C371) - LEN(SUBSTITUTE(C371, "-", "")))))))</f>
        <v/>
      </c>
      <c r="P371" s="20">
        <f t="array" ref="P371">IFERROR(XLOOKUP(O371,'Department Listing'!$O$1:$O$395,'Department Listing'!$A$1:$A$395),IFERROR(XLOOKUP(O371,'Name Aliases'!$A$2:$A$1000,'Name Aliases'!$B$2:$B$1000),""))</f>
        <v/>
      </c>
      <c r="Q371" s="21">
        <f>IF(ISBLANK($C371),"",$B371)</f>
        <v/>
      </c>
      <c r="R371" s="20">
        <f>IF(ISBLANK($C371),"",IF(ISBLANK($I371),$D371,$I371))</f>
        <v/>
      </c>
      <c r="S371" s="22">
        <f>IF(ISBLANK($C371),"",$F371 - $G371)</f>
        <v/>
      </c>
      <c r="T371" s="20">
        <f>IF(ISBLANK($C371),"",C371)</f>
        <v/>
      </c>
      <c r="U371" s="20">
        <f>IF(ISBLANK($C371),"",$D$1)</f>
        <v/>
      </c>
      <c r="V371" s="22">
        <f t="array" ref="V371">IF(ISBLANK($B371),"",IF(ISBLANK($K371),IF(XLOOKUP($W371,'Category Mapping'!$C:$C,'Category Mapping'!$B:$B)="Travel",XLOOKUP($P371,'Department Listing'!$A:$A,'Department Listing'!$M:$M),XLOOKUP($W371,'Category Mapping'!$C:$C,'Category Mapping'!$D:$D)),$K371))</f>
        <v/>
      </c>
      <c r="W371" s="22">
        <f>IF(ISBLANK($B371),"",IF(ISBLANK($L371),RIGHT($E371,LEN($E371) - FIND("^",SUBSTITUTE($E371,":","^",LEN($E371) - LEN(SUBSTITUTE($E371,":",""))))),$L371))</f>
        <v/>
      </c>
      <c r="X371" s="22">
        <f>IF(ISBLANK($J371),$V371&amp;$W371,$J371)</f>
        <v/>
      </c>
      <c r="Y371" s="23">
        <f t="array" ref="Y371">IF(ISBLANK($M371),IFERROR(XLOOKUP($P371,'Department Listing'!$A:$A,'Department Listing'!$L:$L),""),$M371)</f>
        <v/>
      </c>
      <c r="Z371" s="11">
        <f>IF(ISBLANK($B371),"",MATCH($X371,COA!$B:$B,0))</f>
        <v/>
      </c>
    </row>
    <row r="372" ht="15.75" customHeight="1" s="52">
      <c r="B372" s="17" t="n"/>
      <c r="E372" s="26" t="n"/>
      <c r="F372" s="19" t="n"/>
      <c r="G372" s="10" t="n"/>
      <c r="H372" s="10" t="n"/>
      <c r="I372" s="9" t="n"/>
      <c r="J372" s="9" t="n"/>
      <c r="K372" s="9" t="n"/>
      <c r="L372" s="9" t="n"/>
      <c r="M372" s="9" t="n"/>
      <c r="N372" s="20" t="n"/>
      <c r="O372" s="20">
        <f>IF(C372="", "", TRIM(RIGHT(C372, LEN(C372) - FIND("@@", SUBSTITUTE(C372, "-", "@@", LEN(C372) - LEN(SUBSTITUTE(C372, "-", "")))))))</f>
        <v/>
      </c>
      <c r="P372" s="20">
        <f t="array" ref="P372">IFERROR(XLOOKUP(O372,'Department Listing'!$O$1:$O$395,'Department Listing'!$A$1:$A$395),IFERROR(XLOOKUP(O372,'Name Aliases'!$A$2:$A$1000,'Name Aliases'!$B$2:$B$1000),""))</f>
        <v/>
      </c>
      <c r="Q372" s="21">
        <f>IF(ISBLANK($C372),"",$B372)</f>
        <v/>
      </c>
      <c r="R372" s="20">
        <f>IF(ISBLANK($C372),"",IF(ISBLANK($I372),$D372,$I372))</f>
        <v/>
      </c>
      <c r="S372" s="22">
        <f>IF(ISBLANK($C372),"",$F372 - $G372)</f>
        <v/>
      </c>
      <c r="T372" s="20">
        <f>IF(ISBLANK($C372),"",C372)</f>
        <v/>
      </c>
      <c r="U372" s="20">
        <f>IF(ISBLANK($C372),"",$D$1)</f>
        <v/>
      </c>
      <c r="V372" s="22">
        <f t="array" ref="V372">IF(ISBLANK($B372),"",IF(ISBLANK($K372),IF(XLOOKUP($W372,'Category Mapping'!$C:$C,'Category Mapping'!$B:$B)="Travel",XLOOKUP($P372,'Department Listing'!$A:$A,'Department Listing'!$M:$M),XLOOKUP($W372,'Category Mapping'!$C:$C,'Category Mapping'!$D:$D)),$K372))</f>
        <v/>
      </c>
      <c r="W372" s="22">
        <f>IF(ISBLANK($B372),"",IF(ISBLANK($L372),RIGHT($E372,LEN($E372) - FIND("^",SUBSTITUTE($E372,":","^",LEN($E372) - LEN(SUBSTITUTE($E372,":",""))))),$L372))</f>
        <v/>
      </c>
      <c r="X372" s="22">
        <f>IF(ISBLANK($J372),$V372&amp;$W372,$J372)</f>
        <v/>
      </c>
      <c r="Y372" s="23">
        <f t="array" ref="Y372">IF(ISBLANK($M372),IFERROR(XLOOKUP($P372,'Department Listing'!$A:$A,'Department Listing'!$L:$L),""),$M372)</f>
        <v/>
      </c>
      <c r="Z372" s="11">
        <f>IF(ISBLANK($B372),"",MATCH($X372,COA!$B:$B,0))</f>
        <v/>
      </c>
    </row>
    <row r="373" ht="15.75" customHeight="1" s="52">
      <c r="B373" s="17" t="n"/>
      <c r="E373" s="26" t="n"/>
      <c r="F373" s="19" t="n"/>
      <c r="G373" s="10" t="n"/>
      <c r="H373" s="10" t="n"/>
      <c r="I373" s="9" t="n"/>
      <c r="J373" s="9" t="n"/>
      <c r="K373" s="9" t="n"/>
      <c r="L373" s="9" t="n"/>
      <c r="M373" s="9" t="n"/>
      <c r="N373" s="20" t="n"/>
      <c r="O373" s="20">
        <f>IF(C373="", "", TRIM(RIGHT(C373, LEN(C373) - FIND("@@", SUBSTITUTE(C373, "-", "@@", LEN(C373) - LEN(SUBSTITUTE(C373, "-", "")))))))</f>
        <v/>
      </c>
      <c r="P373" s="20">
        <f t="array" ref="P373">IFERROR(XLOOKUP(O373,'Department Listing'!$O$1:$O$395,'Department Listing'!$A$1:$A$395),IFERROR(XLOOKUP(O373,'Name Aliases'!$A$2:$A$1000,'Name Aliases'!$B$2:$B$1000),""))</f>
        <v/>
      </c>
      <c r="Q373" s="21">
        <f>IF(ISBLANK($C373),"",$B373)</f>
        <v/>
      </c>
      <c r="R373" s="20">
        <f>IF(ISBLANK($C373),"",IF(ISBLANK($I373),$D373,$I373))</f>
        <v/>
      </c>
      <c r="S373" s="22">
        <f>IF(ISBLANK($C373),"",$F373 - $G373)</f>
        <v/>
      </c>
      <c r="T373" s="20">
        <f>IF(ISBLANK($C373),"",C373)</f>
        <v/>
      </c>
      <c r="U373" s="20">
        <f>IF(ISBLANK($C373),"",$D$1)</f>
        <v/>
      </c>
      <c r="V373" s="22">
        <f t="array" ref="V373">IF(ISBLANK($B373),"",IF(ISBLANK($K373),IF(XLOOKUP($W373,'Category Mapping'!$C:$C,'Category Mapping'!$B:$B)="Travel",XLOOKUP($P373,'Department Listing'!$A:$A,'Department Listing'!$M:$M),XLOOKUP($W373,'Category Mapping'!$C:$C,'Category Mapping'!$D:$D)),$K373))</f>
        <v/>
      </c>
      <c r="W373" s="22">
        <f>IF(ISBLANK($B373),"",IF(ISBLANK($L373),RIGHT($E373,LEN($E373) - FIND("^",SUBSTITUTE($E373,":","^",LEN($E373) - LEN(SUBSTITUTE($E373,":",""))))),$L373))</f>
        <v/>
      </c>
      <c r="X373" s="22">
        <f>IF(ISBLANK($J373),$V373&amp;$W373,$J373)</f>
        <v/>
      </c>
      <c r="Y373" s="23">
        <f t="array" ref="Y373">IF(ISBLANK($M373),IFERROR(XLOOKUP($P373,'Department Listing'!$A:$A,'Department Listing'!$L:$L),""),$M373)</f>
        <v/>
      </c>
      <c r="Z373" s="11">
        <f>IF(ISBLANK($B373),"",MATCH($X373,COA!$B:$B,0))</f>
        <v/>
      </c>
    </row>
    <row r="374" ht="15.75" customHeight="1" s="52">
      <c r="B374" s="17" t="n"/>
      <c r="E374" s="26" t="n"/>
      <c r="F374" s="19" t="n"/>
      <c r="G374" s="10" t="n"/>
      <c r="H374" s="10" t="n"/>
      <c r="I374" s="9" t="n"/>
      <c r="J374" s="9" t="n"/>
      <c r="K374" s="9" t="n"/>
      <c r="L374" s="9" t="n"/>
      <c r="M374" s="9" t="n"/>
      <c r="N374" s="20" t="n"/>
      <c r="O374" s="20">
        <f>IF(C374="", "", TRIM(RIGHT(C374, LEN(C374) - FIND("@@", SUBSTITUTE(C374, "-", "@@", LEN(C374) - LEN(SUBSTITUTE(C374, "-", "")))))))</f>
        <v/>
      </c>
      <c r="P374" s="20">
        <f t="array" ref="P374">IFERROR(XLOOKUP(O374,'Department Listing'!$O$1:$O$395,'Department Listing'!$A$1:$A$395),IFERROR(XLOOKUP(O374,'Name Aliases'!$A$2:$A$1000,'Name Aliases'!$B$2:$B$1000),""))</f>
        <v/>
      </c>
      <c r="Q374" s="21">
        <f>IF(ISBLANK($C374),"",$B374)</f>
        <v/>
      </c>
      <c r="R374" s="20">
        <f>IF(ISBLANK($C374),"",IF(ISBLANK($I374),$D374,$I374))</f>
        <v/>
      </c>
      <c r="S374" s="22">
        <f>IF(ISBLANK($C374),"",$F374 - $G374)</f>
        <v/>
      </c>
      <c r="T374" s="20">
        <f>IF(ISBLANK($C374),"",C374)</f>
        <v/>
      </c>
      <c r="U374" s="20">
        <f>IF(ISBLANK($C374),"",$D$1)</f>
        <v/>
      </c>
      <c r="V374" s="22">
        <f t="array" ref="V374">IF(ISBLANK($B374),"",IF(ISBLANK($K374),IF(XLOOKUP($W374,'Category Mapping'!$C:$C,'Category Mapping'!$B:$B)="Travel",XLOOKUP($P374,'Department Listing'!$A:$A,'Department Listing'!$M:$M),XLOOKUP($W374,'Category Mapping'!$C:$C,'Category Mapping'!$D:$D)),$K374))</f>
        <v/>
      </c>
      <c r="W374" s="22">
        <f>IF(ISBLANK($B374),"",IF(ISBLANK($L374),RIGHT($E374,LEN($E374) - FIND("^",SUBSTITUTE($E374,":","^",LEN($E374) - LEN(SUBSTITUTE($E374,":",""))))),$L374))</f>
        <v/>
      </c>
      <c r="X374" s="22">
        <f>IF(ISBLANK($J374),$V374&amp;$W374,$J374)</f>
        <v/>
      </c>
      <c r="Y374" s="23">
        <f t="array" ref="Y374">IF(ISBLANK($M374),IFERROR(XLOOKUP($P374,'Department Listing'!$A:$A,'Department Listing'!$L:$L),""),$M374)</f>
        <v/>
      </c>
      <c r="Z374" s="11">
        <f>IF(ISBLANK($B374),"",MATCH($X374,COA!$B:$B,0))</f>
        <v/>
      </c>
    </row>
    <row r="375" ht="15.75" customHeight="1" s="52">
      <c r="B375" s="17" t="n"/>
      <c r="E375" s="26" t="n"/>
      <c r="F375" s="19" t="n"/>
      <c r="G375" s="10" t="n"/>
      <c r="H375" s="10" t="n"/>
      <c r="I375" s="9" t="n"/>
      <c r="J375" s="9" t="n"/>
      <c r="K375" s="9" t="n"/>
      <c r="L375" s="9" t="n"/>
      <c r="M375" s="9" t="n"/>
      <c r="N375" s="20" t="n"/>
      <c r="O375" s="20">
        <f>IF(C375="", "", TRIM(RIGHT(C375, LEN(C375) - FIND("@@", SUBSTITUTE(C375, "-", "@@", LEN(C375) - LEN(SUBSTITUTE(C375, "-", "")))))))</f>
        <v/>
      </c>
      <c r="P375" s="20">
        <f t="array" ref="P375">IFERROR(XLOOKUP(O375,'Department Listing'!$O$1:$O$395,'Department Listing'!$A$1:$A$395),IFERROR(XLOOKUP(O375,'Name Aliases'!$A$2:$A$1000,'Name Aliases'!$B$2:$B$1000),""))</f>
        <v/>
      </c>
      <c r="Q375" s="21">
        <f>IF(ISBLANK($C375),"",$B375)</f>
        <v/>
      </c>
      <c r="R375" s="20">
        <f>IF(ISBLANK($C375),"",IF(ISBLANK($I375),$D375,$I375))</f>
        <v/>
      </c>
      <c r="S375" s="22">
        <f>IF(ISBLANK($C375),"",$F375 - $G375)</f>
        <v/>
      </c>
      <c r="T375" s="20">
        <f>IF(ISBLANK($C375),"",C375)</f>
        <v/>
      </c>
      <c r="U375" s="20">
        <f>IF(ISBLANK($C375),"",$D$1)</f>
        <v/>
      </c>
      <c r="V375" s="22">
        <f t="array" ref="V375">IF(ISBLANK($B375),"",IF(ISBLANK($K375),IF(XLOOKUP($W375,'Category Mapping'!$C:$C,'Category Mapping'!$B:$B)="Travel",XLOOKUP($P375,'Department Listing'!$A:$A,'Department Listing'!$M:$M),XLOOKUP($W375,'Category Mapping'!$C:$C,'Category Mapping'!$D:$D)),$K375))</f>
        <v/>
      </c>
      <c r="W375" s="22">
        <f>IF(ISBLANK($B375),"",IF(ISBLANK($L375),RIGHT($E375,LEN($E375) - FIND("^",SUBSTITUTE($E375,":","^",LEN($E375) - LEN(SUBSTITUTE($E375,":",""))))),$L375))</f>
        <v/>
      </c>
      <c r="X375" s="22">
        <f>IF(ISBLANK($J375),$V375&amp;$W375,$J375)</f>
        <v/>
      </c>
      <c r="Y375" s="23">
        <f t="array" ref="Y375">IF(ISBLANK($M375),IFERROR(XLOOKUP($P375,'Department Listing'!$A:$A,'Department Listing'!$L:$L),""),$M375)</f>
        <v/>
      </c>
      <c r="Z375" s="11">
        <f>IF(ISBLANK($B375),"",MATCH($X375,COA!$B:$B,0))</f>
        <v/>
      </c>
    </row>
    <row r="376" ht="15.75" customHeight="1" s="52">
      <c r="B376" s="17" t="n"/>
      <c r="E376" s="26" t="n"/>
      <c r="F376" s="19" t="n"/>
      <c r="G376" s="10" t="n"/>
      <c r="H376" s="10" t="n"/>
      <c r="I376" s="9" t="n"/>
      <c r="J376" s="9" t="n"/>
      <c r="K376" s="9" t="n"/>
      <c r="L376" s="9" t="n"/>
      <c r="M376" s="9" t="n"/>
      <c r="N376" s="20" t="n"/>
      <c r="O376" s="20">
        <f>IF(C376="", "", TRIM(RIGHT(C376, LEN(C376) - FIND("@@", SUBSTITUTE(C376, "-", "@@", LEN(C376) - LEN(SUBSTITUTE(C376, "-", "")))))))</f>
        <v/>
      </c>
      <c r="P376" s="20">
        <f t="array" ref="P376">IFERROR(XLOOKUP(O376,'Department Listing'!$O$1:$O$395,'Department Listing'!$A$1:$A$395),IFERROR(XLOOKUP(O376,'Name Aliases'!$A$2:$A$1000,'Name Aliases'!$B$2:$B$1000),""))</f>
        <v/>
      </c>
      <c r="Q376" s="21">
        <f>IF(ISBLANK($C376),"",$B376)</f>
        <v/>
      </c>
      <c r="R376" s="20">
        <f>IF(ISBLANK($C376),"",IF(ISBLANK($I376),$D376,$I376))</f>
        <v/>
      </c>
      <c r="S376" s="22">
        <f>IF(ISBLANK($C376),"",$F376 - $G376)</f>
        <v/>
      </c>
      <c r="T376" s="20">
        <f>IF(ISBLANK($C376),"",C376)</f>
        <v/>
      </c>
      <c r="U376" s="20">
        <f>IF(ISBLANK($C376),"",$D$1)</f>
        <v/>
      </c>
      <c r="V376" s="22">
        <f t="array" ref="V376">IF(ISBLANK($B376),"",IF(ISBLANK($K376),IF(XLOOKUP($W376,'Category Mapping'!$C:$C,'Category Mapping'!$B:$B)="Travel",XLOOKUP($P376,'Department Listing'!$A:$A,'Department Listing'!$M:$M),XLOOKUP($W376,'Category Mapping'!$C:$C,'Category Mapping'!$D:$D)),$K376))</f>
        <v/>
      </c>
      <c r="W376" s="22">
        <f>IF(ISBLANK($B376),"",IF(ISBLANK($L376),RIGHT($E376,LEN($E376) - FIND("^",SUBSTITUTE($E376,":","^",LEN($E376) - LEN(SUBSTITUTE($E376,":",""))))),$L376))</f>
        <v/>
      </c>
      <c r="X376" s="22">
        <f>IF(ISBLANK($J376),$V376&amp;$W376,$J376)</f>
        <v/>
      </c>
      <c r="Y376" s="23">
        <f t="array" ref="Y376">IF(ISBLANK($M376),IFERROR(XLOOKUP($P376,'Department Listing'!$A:$A,'Department Listing'!$L:$L),""),$M376)</f>
        <v/>
      </c>
      <c r="Z376" s="11">
        <f>IF(ISBLANK($B376),"",MATCH($X376,COA!$B:$B,0))</f>
        <v/>
      </c>
    </row>
    <row r="377" ht="15.75" customHeight="1" s="52">
      <c r="B377" s="17" t="n"/>
      <c r="E377" s="26" t="n"/>
      <c r="F377" s="19" t="n"/>
      <c r="G377" s="10" t="n"/>
      <c r="H377" s="10" t="n"/>
      <c r="I377" s="9" t="n"/>
      <c r="J377" s="9" t="n"/>
      <c r="K377" s="9" t="n"/>
      <c r="L377" s="9" t="n"/>
      <c r="M377" s="9" t="n"/>
      <c r="N377" s="20" t="n"/>
      <c r="O377" s="20">
        <f>IF(C377="", "", TRIM(RIGHT(C377, LEN(C377) - FIND("@@", SUBSTITUTE(C377, "-", "@@", LEN(C377) - LEN(SUBSTITUTE(C377, "-", "")))))))</f>
        <v/>
      </c>
      <c r="P377" s="20">
        <f t="array" ref="P377">IFERROR(XLOOKUP(O377,'Department Listing'!$O$1:$O$395,'Department Listing'!$A$1:$A$395),IFERROR(XLOOKUP(O377,'Name Aliases'!$A$2:$A$1000,'Name Aliases'!$B$2:$B$1000),""))</f>
        <v/>
      </c>
      <c r="Q377" s="21">
        <f>IF(ISBLANK($C377),"",$B377)</f>
        <v/>
      </c>
      <c r="R377" s="20">
        <f>IF(ISBLANK($C377),"",IF(ISBLANK($I377),$D377,$I377))</f>
        <v/>
      </c>
      <c r="S377" s="22">
        <f>IF(ISBLANK($C377),"",$F377 - $G377)</f>
        <v/>
      </c>
      <c r="T377" s="20">
        <f>IF(ISBLANK($C377),"",C377)</f>
        <v/>
      </c>
      <c r="U377" s="20">
        <f>IF(ISBLANK($C377),"",$D$1)</f>
        <v/>
      </c>
      <c r="V377" s="22">
        <f t="array" ref="V377">IF(ISBLANK($B377),"",IF(ISBLANK($K377),IF(XLOOKUP($W377,'Category Mapping'!$C:$C,'Category Mapping'!$B:$B)="Travel",XLOOKUP($P377,'Department Listing'!$A:$A,'Department Listing'!$M:$M),XLOOKUP($W377,'Category Mapping'!$C:$C,'Category Mapping'!$D:$D)),$K377))</f>
        <v/>
      </c>
      <c r="W377" s="22">
        <f>IF(ISBLANK($B377),"",IF(ISBLANK($L377),RIGHT($E377,LEN($E377) - FIND("^",SUBSTITUTE($E377,":","^",LEN($E377) - LEN(SUBSTITUTE($E377,":",""))))),$L377))</f>
        <v/>
      </c>
      <c r="X377" s="22">
        <f>IF(ISBLANK($J377),$V377&amp;$W377,$J377)</f>
        <v/>
      </c>
      <c r="Y377" s="23">
        <f t="array" ref="Y377">IF(ISBLANK($M377),IFERROR(XLOOKUP($P377,'Department Listing'!$A:$A,'Department Listing'!$L:$L),""),$M377)</f>
        <v/>
      </c>
      <c r="Z377" s="11">
        <f>IF(ISBLANK($B377),"",MATCH($X377,COA!$B:$B,0))</f>
        <v/>
      </c>
    </row>
    <row r="378" ht="15.75" customHeight="1" s="52">
      <c r="B378" s="17" t="n"/>
      <c r="E378" s="26" t="n"/>
      <c r="F378" s="19" t="n"/>
      <c r="G378" s="10" t="n"/>
      <c r="H378" s="10" t="n"/>
      <c r="I378" s="9" t="n"/>
      <c r="J378" s="9" t="n"/>
      <c r="K378" s="9" t="n"/>
      <c r="L378" s="9" t="n"/>
      <c r="M378" s="9" t="n"/>
      <c r="N378" s="20" t="n"/>
      <c r="O378" s="20">
        <f>IF(C378="", "", TRIM(RIGHT(C378, LEN(C378) - FIND("@@", SUBSTITUTE(C378, "-", "@@", LEN(C378) - LEN(SUBSTITUTE(C378, "-", "")))))))</f>
        <v/>
      </c>
      <c r="P378" s="20">
        <f t="array" ref="P378">IFERROR(XLOOKUP(O378,'Department Listing'!$O$1:$O$395,'Department Listing'!$A$1:$A$395),IFERROR(XLOOKUP(O378,'Name Aliases'!$A$2:$A$1000,'Name Aliases'!$B$2:$B$1000),""))</f>
        <v/>
      </c>
      <c r="Q378" s="21">
        <f>IF(ISBLANK($C378),"",$B378)</f>
        <v/>
      </c>
      <c r="R378" s="20">
        <f>IF(ISBLANK($C378),"",IF(ISBLANK($I378),$D378,$I378))</f>
        <v/>
      </c>
      <c r="S378" s="22">
        <f>IF(ISBLANK($C378),"",$F378 - $G378)</f>
        <v/>
      </c>
      <c r="T378" s="20">
        <f>IF(ISBLANK($C378),"",C378)</f>
        <v/>
      </c>
      <c r="U378" s="20">
        <f>IF(ISBLANK($C378),"",$D$1)</f>
        <v/>
      </c>
      <c r="V378" s="22">
        <f t="array" ref="V378">IF(ISBLANK($B378),"",IF(ISBLANK($K378),IF(XLOOKUP($W378,'Category Mapping'!$C:$C,'Category Mapping'!$B:$B)="Travel",XLOOKUP($P378,'Department Listing'!$A:$A,'Department Listing'!$M:$M),XLOOKUP($W378,'Category Mapping'!$C:$C,'Category Mapping'!$D:$D)),$K378))</f>
        <v/>
      </c>
      <c r="W378" s="22">
        <f>IF(ISBLANK($B378),"",IF(ISBLANK($L378),RIGHT($E378,LEN($E378) - FIND("^",SUBSTITUTE($E378,":","^",LEN($E378) - LEN(SUBSTITUTE($E378,":",""))))),$L378))</f>
        <v/>
      </c>
      <c r="X378" s="22">
        <f>IF(ISBLANK($J378),$V378&amp;$W378,$J378)</f>
        <v/>
      </c>
      <c r="Y378" s="23">
        <f t="array" ref="Y378">IF(ISBLANK($M378),IFERROR(XLOOKUP($P378,'Department Listing'!$A:$A,'Department Listing'!$L:$L),""),$M378)</f>
        <v/>
      </c>
      <c r="Z378" s="11">
        <f>IF(ISBLANK($B378),"",MATCH($X378,COA!$B:$B,0))</f>
        <v/>
      </c>
    </row>
    <row r="379" ht="15.75" customHeight="1" s="52">
      <c r="B379" s="17" t="n"/>
      <c r="E379" s="26" t="n"/>
      <c r="F379" s="19" t="n"/>
      <c r="G379" s="10" t="n"/>
      <c r="H379" s="10" t="n"/>
      <c r="I379" s="9" t="n"/>
      <c r="J379" s="9" t="n"/>
      <c r="K379" s="9" t="n"/>
      <c r="L379" s="9" t="n"/>
      <c r="M379" s="9" t="n"/>
      <c r="N379" s="20" t="n"/>
      <c r="O379" s="20">
        <f>IF(C379="", "", TRIM(RIGHT(C379, LEN(C379) - FIND("@@", SUBSTITUTE(C379, "-", "@@", LEN(C379) - LEN(SUBSTITUTE(C379, "-", "")))))))</f>
        <v/>
      </c>
      <c r="P379" s="20">
        <f t="array" ref="P379">IFERROR(XLOOKUP(O379,'Department Listing'!$O$1:$O$395,'Department Listing'!$A$1:$A$395),IFERROR(XLOOKUP(O379,'Name Aliases'!$A$2:$A$1000,'Name Aliases'!$B$2:$B$1000),""))</f>
        <v/>
      </c>
      <c r="Q379" s="21">
        <f>IF(ISBLANK($C379),"",$B379)</f>
        <v/>
      </c>
      <c r="R379" s="20">
        <f>IF(ISBLANK($C379),"",IF(ISBLANK($I379),$D379,$I379))</f>
        <v/>
      </c>
      <c r="S379" s="22">
        <f>IF(ISBLANK($C379),"",$F379 - $G379)</f>
        <v/>
      </c>
      <c r="T379" s="20">
        <f>IF(ISBLANK($C379),"",C379)</f>
        <v/>
      </c>
      <c r="U379" s="20">
        <f>IF(ISBLANK($C379),"",$D$1)</f>
        <v/>
      </c>
      <c r="V379" s="22">
        <f t="array" ref="V379">IF(ISBLANK($B379),"",IF(ISBLANK($K379),IF(XLOOKUP($W379,'Category Mapping'!$C:$C,'Category Mapping'!$B:$B)="Travel",XLOOKUP($P379,'Department Listing'!$A:$A,'Department Listing'!$M:$M),XLOOKUP($W379,'Category Mapping'!$C:$C,'Category Mapping'!$D:$D)),$K379))</f>
        <v/>
      </c>
      <c r="W379" s="22">
        <f>IF(ISBLANK($B379),"",IF(ISBLANK($L379),RIGHT($E379,LEN($E379) - FIND("^",SUBSTITUTE($E379,":","^",LEN($E379) - LEN(SUBSTITUTE($E379,":",""))))),$L379))</f>
        <v/>
      </c>
      <c r="X379" s="22">
        <f>IF(ISBLANK($J379),$V379&amp;$W379,$J379)</f>
        <v/>
      </c>
      <c r="Y379" s="23">
        <f t="array" ref="Y379">IF(ISBLANK($M379),IFERROR(XLOOKUP($P379,'Department Listing'!$A:$A,'Department Listing'!$L:$L),""),$M379)</f>
        <v/>
      </c>
      <c r="Z379" s="11">
        <f>IF(ISBLANK($B379),"",MATCH($X379,COA!$B:$B,0))</f>
        <v/>
      </c>
    </row>
    <row r="380" ht="15.75" customHeight="1" s="52">
      <c r="B380" s="17" t="n"/>
      <c r="E380" s="26" t="n"/>
      <c r="F380" s="19" t="n"/>
      <c r="G380" s="10" t="n"/>
      <c r="H380" s="10" t="n"/>
      <c r="I380" s="9" t="n"/>
      <c r="J380" s="9" t="n"/>
      <c r="K380" s="9" t="n"/>
      <c r="L380" s="9" t="n"/>
      <c r="M380" s="9" t="n"/>
      <c r="N380" s="20" t="n"/>
      <c r="O380" s="20">
        <f>IF(C380="", "", TRIM(RIGHT(C380, LEN(C380) - FIND("@@", SUBSTITUTE(C380, "-", "@@", LEN(C380) - LEN(SUBSTITUTE(C380, "-", "")))))))</f>
        <v/>
      </c>
      <c r="P380" s="20">
        <f t="array" ref="P380">IFERROR(XLOOKUP(O380,'Department Listing'!$O$1:$O$395,'Department Listing'!$A$1:$A$395),IFERROR(XLOOKUP(O380,'Name Aliases'!$A$2:$A$1000,'Name Aliases'!$B$2:$B$1000),""))</f>
        <v/>
      </c>
      <c r="Q380" s="21">
        <f>IF(ISBLANK($C380),"",$B380)</f>
        <v/>
      </c>
      <c r="R380" s="20">
        <f>IF(ISBLANK($C380),"",IF(ISBLANK($I380),$D380,$I380))</f>
        <v/>
      </c>
      <c r="S380" s="22">
        <f>IF(ISBLANK($C380),"",$F380 - $G380)</f>
        <v/>
      </c>
      <c r="T380" s="20">
        <f>IF(ISBLANK($C380),"",C380)</f>
        <v/>
      </c>
      <c r="U380" s="20">
        <f>IF(ISBLANK($C380),"",$D$1)</f>
        <v/>
      </c>
      <c r="V380" s="22">
        <f t="array" ref="V380">IF(ISBLANK($B380),"",IF(ISBLANK($K380),IF(XLOOKUP($W380,'Category Mapping'!$C:$C,'Category Mapping'!$B:$B)="Travel",XLOOKUP($P380,'Department Listing'!$A:$A,'Department Listing'!$M:$M),XLOOKUP($W380,'Category Mapping'!$C:$C,'Category Mapping'!$D:$D)),$K380))</f>
        <v/>
      </c>
      <c r="W380" s="22">
        <f>IF(ISBLANK($B380),"",IF(ISBLANK($L380),RIGHT($E380,LEN($E380) - FIND("^",SUBSTITUTE($E380,":","^",LEN($E380) - LEN(SUBSTITUTE($E380,":",""))))),$L380))</f>
        <v/>
      </c>
      <c r="X380" s="22">
        <f>IF(ISBLANK($J380),$V380&amp;$W380,$J380)</f>
        <v/>
      </c>
      <c r="Y380" s="23">
        <f t="array" ref="Y380">IF(ISBLANK($M380),IFERROR(XLOOKUP($P380,'Department Listing'!$A:$A,'Department Listing'!$L:$L),""),$M380)</f>
        <v/>
      </c>
      <c r="Z380" s="11">
        <f>IF(ISBLANK($B380),"",MATCH($X380,COA!$B:$B,0))</f>
        <v/>
      </c>
    </row>
    <row r="381" ht="15.75" customHeight="1" s="52">
      <c r="B381" s="17" t="n"/>
      <c r="E381" s="26" t="n"/>
      <c r="F381" s="19" t="n"/>
      <c r="G381" s="10" t="n"/>
      <c r="H381" s="10" t="n"/>
      <c r="I381" s="9" t="n"/>
      <c r="J381" s="9" t="n"/>
      <c r="K381" s="9" t="n"/>
      <c r="L381" s="9" t="n"/>
      <c r="M381" s="9" t="n"/>
      <c r="N381" s="20" t="n"/>
      <c r="O381" s="20">
        <f>IF(C381="", "", TRIM(RIGHT(C381, LEN(C381) - FIND("@@", SUBSTITUTE(C381, "-", "@@", LEN(C381) - LEN(SUBSTITUTE(C381, "-", "")))))))</f>
        <v/>
      </c>
      <c r="P381" s="20">
        <f t="array" ref="P381">IFERROR(XLOOKUP(O381,'Department Listing'!$O$1:$O$395,'Department Listing'!$A$1:$A$395),IFERROR(XLOOKUP(O381,'Name Aliases'!$A$2:$A$1000,'Name Aliases'!$B$2:$B$1000),""))</f>
        <v/>
      </c>
      <c r="Q381" s="21">
        <f>IF(ISBLANK($C381),"",$B381)</f>
        <v/>
      </c>
      <c r="R381" s="20">
        <f>IF(ISBLANK($C381),"",IF(ISBLANK($I381),$D381,$I381))</f>
        <v/>
      </c>
      <c r="S381" s="22">
        <f>IF(ISBLANK($C381),"",$F381 - $G381)</f>
        <v/>
      </c>
      <c r="T381" s="20">
        <f>IF(ISBLANK($C381),"",C381)</f>
        <v/>
      </c>
      <c r="U381" s="20">
        <f>IF(ISBLANK($C381),"",$D$1)</f>
        <v/>
      </c>
      <c r="V381" s="22">
        <f t="array" ref="V381">IF(ISBLANK($B381),"",IF(ISBLANK($K381),IF(XLOOKUP($W381,'Category Mapping'!$C:$C,'Category Mapping'!$B:$B)="Travel",XLOOKUP($P381,'Department Listing'!$A:$A,'Department Listing'!$M:$M),XLOOKUP($W381,'Category Mapping'!$C:$C,'Category Mapping'!$D:$D)),$K381))</f>
        <v/>
      </c>
      <c r="W381" s="22">
        <f>IF(ISBLANK($B381),"",IF(ISBLANK($L381),RIGHT($E381,LEN($E381) - FIND("^",SUBSTITUTE($E381,":","^",LEN($E381) - LEN(SUBSTITUTE($E381,":",""))))),$L381))</f>
        <v/>
      </c>
      <c r="X381" s="22">
        <f>IF(ISBLANK($J381),$V381&amp;$W381,$J381)</f>
        <v/>
      </c>
      <c r="Y381" s="23">
        <f t="array" ref="Y381">IF(ISBLANK($M381),IFERROR(XLOOKUP($P381,'Department Listing'!$A:$A,'Department Listing'!$L:$L),""),$M381)</f>
        <v/>
      </c>
      <c r="Z381" s="11">
        <f>IF(ISBLANK($B381),"",MATCH($X381,COA!$B:$B,0))</f>
        <v/>
      </c>
    </row>
    <row r="382" ht="15.75" customHeight="1" s="52">
      <c r="B382" s="17" t="n"/>
      <c r="E382" s="26" t="n"/>
      <c r="F382" s="19" t="n"/>
      <c r="G382" s="10" t="n"/>
      <c r="H382" s="10" t="n"/>
      <c r="I382" s="9" t="n"/>
      <c r="J382" s="9" t="n"/>
      <c r="K382" s="9" t="n"/>
      <c r="L382" s="9" t="n"/>
      <c r="M382" s="9" t="n"/>
      <c r="N382" s="20" t="n"/>
      <c r="O382" s="20">
        <f>IF(C382="", "", TRIM(RIGHT(C382, LEN(C382) - FIND("@@", SUBSTITUTE(C382, "-", "@@", LEN(C382) - LEN(SUBSTITUTE(C382, "-", "")))))))</f>
        <v/>
      </c>
      <c r="P382" s="20">
        <f t="array" ref="P382">IFERROR(XLOOKUP(O382,'Department Listing'!$O$1:$O$395,'Department Listing'!$A$1:$A$395),IFERROR(XLOOKUP(O382,'Name Aliases'!$A$2:$A$1000,'Name Aliases'!$B$2:$B$1000),""))</f>
        <v/>
      </c>
      <c r="Q382" s="21">
        <f>IF(ISBLANK($C382),"",$B382)</f>
        <v/>
      </c>
      <c r="R382" s="20">
        <f>IF(ISBLANK($C382),"",IF(ISBLANK($I382),$D382,$I382))</f>
        <v/>
      </c>
      <c r="S382" s="22">
        <f>IF(ISBLANK($C382),"",$F382 - $G382)</f>
        <v/>
      </c>
      <c r="T382" s="20">
        <f>IF(ISBLANK($C382),"",C382)</f>
        <v/>
      </c>
      <c r="U382" s="20">
        <f>IF(ISBLANK($C382),"",$D$1)</f>
        <v/>
      </c>
      <c r="V382" s="22">
        <f t="array" ref="V382">IF(ISBLANK($B382),"",IF(ISBLANK($K382),IF(XLOOKUP($W382,'Category Mapping'!$C:$C,'Category Mapping'!$B:$B)="Travel",XLOOKUP($P382,'Department Listing'!$A:$A,'Department Listing'!$M:$M),XLOOKUP($W382,'Category Mapping'!$C:$C,'Category Mapping'!$D:$D)),$K382))</f>
        <v/>
      </c>
      <c r="W382" s="22">
        <f>IF(ISBLANK($B382),"",IF(ISBLANK($L382),RIGHT($E382,LEN($E382) - FIND("^",SUBSTITUTE($E382,":","^",LEN($E382) - LEN(SUBSTITUTE($E382,":",""))))),$L382))</f>
        <v/>
      </c>
      <c r="X382" s="22">
        <f>IF(ISBLANK($J382),$V382&amp;$W382,$J382)</f>
        <v/>
      </c>
      <c r="Y382" s="23">
        <f t="array" ref="Y382">IF(ISBLANK($M382),IFERROR(XLOOKUP($P382,'Department Listing'!$A:$A,'Department Listing'!$L:$L),""),$M382)</f>
        <v/>
      </c>
      <c r="Z382" s="11">
        <f>IF(ISBLANK($B382),"",MATCH($X382,COA!$B:$B,0))</f>
        <v/>
      </c>
    </row>
    <row r="383" ht="15.75" customHeight="1" s="52">
      <c r="B383" s="17" t="n"/>
      <c r="E383" s="26" t="n"/>
      <c r="F383" s="19" t="n"/>
      <c r="G383" s="10" t="n"/>
      <c r="H383" s="10" t="n"/>
      <c r="I383" s="9" t="n"/>
      <c r="J383" s="9" t="n"/>
      <c r="K383" s="9" t="n"/>
      <c r="L383" s="9" t="n"/>
      <c r="M383" s="9" t="n"/>
      <c r="N383" s="20" t="n"/>
      <c r="O383" s="20">
        <f>IF(C383="", "", TRIM(RIGHT(C383, LEN(C383) - FIND("@@", SUBSTITUTE(C383, "-", "@@", LEN(C383) - LEN(SUBSTITUTE(C383, "-", "")))))))</f>
        <v/>
      </c>
      <c r="P383" s="20">
        <f t="array" ref="P383">IFERROR(XLOOKUP(O383,'Department Listing'!$O$1:$O$395,'Department Listing'!$A$1:$A$395),IFERROR(XLOOKUP(O383,'Name Aliases'!$A$2:$A$1000,'Name Aliases'!$B$2:$B$1000),""))</f>
        <v/>
      </c>
      <c r="Q383" s="21">
        <f>IF(ISBLANK($C383),"",$B383)</f>
        <v/>
      </c>
      <c r="R383" s="20">
        <f>IF(ISBLANK($C383),"",IF(ISBLANK($I383),$D383,$I383))</f>
        <v/>
      </c>
      <c r="S383" s="22">
        <f>IF(ISBLANK($C383),"",$F383 - $G383)</f>
        <v/>
      </c>
      <c r="T383" s="20">
        <f>IF(ISBLANK($C383),"",C383)</f>
        <v/>
      </c>
      <c r="U383" s="20">
        <f>IF(ISBLANK($C383),"",$D$1)</f>
        <v/>
      </c>
      <c r="V383" s="22">
        <f t="array" ref="V383">IF(ISBLANK($B383),"",IF(ISBLANK($K383),IF(XLOOKUP($W383,'Category Mapping'!$C:$C,'Category Mapping'!$B:$B)="Travel",XLOOKUP($P383,'Department Listing'!$A:$A,'Department Listing'!$M:$M),XLOOKUP($W383,'Category Mapping'!$C:$C,'Category Mapping'!$D:$D)),$K383))</f>
        <v/>
      </c>
      <c r="W383" s="22">
        <f>IF(ISBLANK($B383),"",IF(ISBLANK($L383),RIGHT($E383,LEN($E383) - FIND("^",SUBSTITUTE($E383,":","^",LEN($E383) - LEN(SUBSTITUTE($E383,":",""))))),$L383))</f>
        <v/>
      </c>
      <c r="X383" s="22">
        <f>IF(ISBLANK($J383),$V383&amp;$W383,$J383)</f>
        <v/>
      </c>
      <c r="Y383" s="23">
        <f t="array" ref="Y383">IF(ISBLANK($M383),IFERROR(XLOOKUP($P383,'Department Listing'!$A:$A,'Department Listing'!$L:$L),""),$M383)</f>
        <v/>
      </c>
      <c r="Z383" s="11">
        <f>IF(ISBLANK($B383),"",MATCH($X383,COA!$B:$B,0))</f>
        <v/>
      </c>
    </row>
    <row r="384" ht="15.75" customHeight="1" s="52">
      <c r="B384" s="17" t="n"/>
      <c r="E384" s="26" t="n"/>
      <c r="F384" s="19" t="n"/>
      <c r="G384" s="10" t="n"/>
      <c r="H384" s="10" t="n"/>
      <c r="I384" s="9" t="n"/>
      <c r="J384" s="9" t="n"/>
      <c r="K384" s="9" t="n"/>
      <c r="L384" s="9" t="n"/>
      <c r="M384" s="9" t="n"/>
      <c r="N384" s="20" t="n"/>
      <c r="O384" s="20">
        <f>IF(C384="", "", TRIM(RIGHT(C384, LEN(C384) - FIND("@@", SUBSTITUTE(C384, "-", "@@", LEN(C384) - LEN(SUBSTITUTE(C384, "-", "")))))))</f>
        <v/>
      </c>
      <c r="P384" s="20">
        <f t="array" ref="P384">IFERROR(XLOOKUP(O384,'Department Listing'!$O$1:$O$395,'Department Listing'!$A$1:$A$395),IFERROR(XLOOKUP(O384,'Name Aliases'!$A$2:$A$1000,'Name Aliases'!$B$2:$B$1000),""))</f>
        <v/>
      </c>
      <c r="Q384" s="21">
        <f>IF(ISBLANK($C384),"",$B384)</f>
        <v/>
      </c>
      <c r="R384" s="20">
        <f>IF(ISBLANK($C384),"",IF(ISBLANK($I384),$D384,$I384))</f>
        <v/>
      </c>
      <c r="S384" s="22">
        <f>IF(ISBLANK($C384),"",$F384 - $G384)</f>
        <v/>
      </c>
      <c r="T384" s="20">
        <f>IF(ISBLANK($C384),"",C384)</f>
        <v/>
      </c>
      <c r="U384" s="20">
        <f>IF(ISBLANK($C384),"",$D$1)</f>
        <v/>
      </c>
      <c r="V384" s="22">
        <f t="array" ref="V384">IF(ISBLANK($B384),"",IF(ISBLANK($K384),IF(XLOOKUP($W384,'Category Mapping'!$C:$C,'Category Mapping'!$B:$B)="Travel",XLOOKUP($P384,'Department Listing'!$A:$A,'Department Listing'!$M:$M),XLOOKUP($W384,'Category Mapping'!$C:$C,'Category Mapping'!$D:$D)),$K384))</f>
        <v/>
      </c>
      <c r="W384" s="22">
        <f>IF(ISBLANK($B384),"",IF(ISBLANK($L384),RIGHT($E384,LEN($E384) - FIND("^",SUBSTITUTE($E384,":","^",LEN($E384) - LEN(SUBSTITUTE($E384,":",""))))),$L384))</f>
        <v/>
      </c>
      <c r="X384" s="22">
        <f>IF(ISBLANK($J384),$V384&amp;$W384,$J384)</f>
        <v/>
      </c>
      <c r="Y384" s="23">
        <f t="array" ref="Y384">IF(ISBLANK($M384),IFERROR(XLOOKUP($P384,'Department Listing'!$A:$A,'Department Listing'!$L:$L),""),$M384)</f>
        <v/>
      </c>
      <c r="Z384" s="11">
        <f>IF(ISBLANK($B384),"",MATCH($X384,COA!$B:$B,0))</f>
        <v/>
      </c>
    </row>
    <row r="385" ht="15.75" customHeight="1" s="52">
      <c r="B385" s="17" t="n"/>
      <c r="E385" s="26" t="n"/>
      <c r="F385" s="19" t="n"/>
      <c r="G385" s="10" t="n"/>
      <c r="H385" s="10" t="n"/>
      <c r="I385" s="9" t="n"/>
      <c r="J385" s="9" t="n"/>
      <c r="K385" s="9" t="n"/>
      <c r="L385" s="9" t="n"/>
      <c r="M385" s="9" t="n"/>
      <c r="N385" s="20" t="n"/>
      <c r="O385" s="20">
        <f>IF(C385="", "", TRIM(RIGHT(C385, LEN(C385) - FIND("@@", SUBSTITUTE(C385, "-", "@@", LEN(C385) - LEN(SUBSTITUTE(C385, "-", "")))))))</f>
        <v/>
      </c>
      <c r="P385" s="20">
        <f t="array" ref="P385">IFERROR(XLOOKUP(O385,'Department Listing'!$O$1:$O$395,'Department Listing'!$A$1:$A$395),IFERROR(XLOOKUP(O385,'Name Aliases'!$A$2:$A$1000,'Name Aliases'!$B$2:$B$1000),""))</f>
        <v/>
      </c>
      <c r="Q385" s="21">
        <f>IF(ISBLANK($C385),"",$B385)</f>
        <v/>
      </c>
      <c r="R385" s="20">
        <f>IF(ISBLANK($C385),"",IF(ISBLANK($I385),$D385,$I385))</f>
        <v/>
      </c>
      <c r="S385" s="22">
        <f>IF(ISBLANK($C385),"",$F385 - $G385)</f>
        <v/>
      </c>
      <c r="T385" s="20">
        <f>IF(ISBLANK($C385),"",C385)</f>
        <v/>
      </c>
      <c r="U385" s="20">
        <f>IF(ISBLANK($C385),"",$D$1)</f>
        <v/>
      </c>
      <c r="V385" s="22">
        <f t="array" ref="V385">IF(ISBLANK($B385),"",IF(ISBLANK($K385),IF(XLOOKUP($W385,'Category Mapping'!$C:$C,'Category Mapping'!$B:$B)="Travel",XLOOKUP($P385,'Department Listing'!$A:$A,'Department Listing'!$M:$M),XLOOKUP($W385,'Category Mapping'!$C:$C,'Category Mapping'!$D:$D)),$K385))</f>
        <v/>
      </c>
      <c r="W385" s="22">
        <f>IF(ISBLANK($B385),"",IF(ISBLANK($L385),RIGHT($E385,LEN($E385) - FIND("^",SUBSTITUTE($E385,":","^",LEN($E385) - LEN(SUBSTITUTE($E385,":",""))))),$L385))</f>
        <v/>
      </c>
      <c r="X385" s="22">
        <f>IF(ISBLANK($J385),$V385&amp;$W385,$J385)</f>
        <v/>
      </c>
      <c r="Y385" s="23">
        <f t="array" ref="Y385">IF(ISBLANK($M385),IFERROR(XLOOKUP($P385,'Department Listing'!$A:$A,'Department Listing'!$L:$L),""),$M385)</f>
        <v/>
      </c>
      <c r="Z385" s="11">
        <f>IF(ISBLANK($B385),"",MATCH($X385,COA!$B:$B,0))</f>
        <v/>
      </c>
    </row>
    <row r="386" ht="15.75" customHeight="1" s="52">
      <c r="B386" s="17" t="n"/>
      <c r="E386" s="26" t="n"/>
      <c r="F386" s="19" t="n"/>
      <c r="G386" s="10" t="n"/>
      <c r="H386" s="10" t="n"/>
      <c r="I386" s="9" t="n"/>
      <c r="J386" s="9" t="n"/>
      <c r="K386" s="9" t="n"/>
      <c r="L386" s="9" t="n"/>
      <c r="M386" s="9" t="n"/>
      <c r="N386" s="20" t="n"/>
      <c r="O386" s="20">
        <f>IF(C386="", "", TRIM(RIGHT(C386, LEN(C386) - FIND("@@", SUBSTITUTE(C386, "-", "@@", LEN(C386) - LEN(SUBSTITUTE(C386, "-", "")))))))</f>
        <v/>
      </c>
      <c r="P386" s="20">
        <f t="array" ref="P386">IFERROR(XLOOKUP(O386,'Department Listing'!$O$1:$O$395,'Department Listing'!$A$1:$A$395),IFERROR(XLOOKUP(O386,'Name Aliases'!$A$2:$A$1000,'Name Aliases'!$B$2:$B$1000),""))</f>
        <v/>
      </c>
      <c r="Q386" s="21">
        <f>IF(ISBLANK($C386),"",$B386)</f>
        <v/>
      </c>
      <c r="R386" s="20">
        <f>IF(ISBLANK($C386),"",IF(ISBLANK($I386),$D386,$I386))</f>
        <v/>
      </c>
      <c r="S386" s="22">
        <f>IF(ISBLANK($C386),"",$F386 - $G386)</f>
        <v/>
      </c>
      <c r="T386" s="20">
        <f>IF(ISBLANK($C386),"",C386)</f>
        <v/>
      </c>
      <c r="U386" s="20">
        <f>IF(ISBLANK($C386),"",$D$1)</f>
        <v/>
      </c>
      <c r="V386" s="22">
        <f t="array" ref="V386">IF(ISBLANK($B386),"",IF(ISBLANK($K386),IF(XLOOKUP($W386,'Category Mapping'!$C:$C,'Category Mapping'!$B:$B)="Travel",XLOOKUP($P386,'Department Listing'!$A:$A,'Department Listing'!$M:$M),XLOOKUP($W386,'Category Mapping'!$C:$C,'Category Mapping'!$D:$D)),$K386))</f>
        <v/>
      </c>
      <c r="W386" s="22">
        <f>IF(ISBLANK($B386),"",IF(ISBLANK($L386),RIGHT($E386,LEN($E386) - FIND("^",SUBSTITUTE($E386,":","^",LEN($E386) - LEN(SUBSTITUTE($E386,":",""))))),$L386))</f>
        <v/>
      </c>
      <c r="X386" s="22">
        <f>IF(ISBLANK($J386),$V386&amp;$W386,$J386)</f>
        <v/>
      </c>
      <c r="Y386" s="23">
        <f t="array" ref="Y386">IF(ISBLANK($M386),IFERROR(XLOOKUP($P386,'Department Listing'!$A:$A,'Department Listing'!$L:$L),""),$M386)</f>
        <v/>
      </c>
      <c r="Z386" s="11">
        <f>IF(ISBLANK($B386),"",MATCH($X386,COA!$B:$B,0))</f>
        <v/>
      </c>
    </row>
    <row r="387" ht="15.75" customHeight="1" s="52">
      <c r="B387" s="17" t="n"/>
      <c r="E387" s="26" t="n"/>
      <c r="F387" s="19" t="n"/>
      <c r="G387" s="10" t="n"/>
      <c r="H387" s="10" t="n"/>
      <c r="I387" s="9" t="n"/>
      <c r="J387" s="9" t="n"/>
      <c r="K387" s="9" t="n"/>
      <c r="L387" s="9" t="n"/>
      <c r="M387" s="9" t="n"/>
      <c r="N387" s="20" t="n"/>
      <c r="O387" s="20">
        <f>IF(C387="", "", TRIM(RIGHT(C387, LEN(C387) - FIND("@@", SUBSTITUTE(C387, "-", "@@", LEN(C387) - LEN(SUBSTITUTE(C387, "-", "")))))))</f>
        <v/>
      </c>
      <c r="P387" s="20">
        <f t="array" ref="P387">IFERROR(XLOOKUP(O387,'Department Listing'!$O$1:$O$395,'Department Listing'!$A$1:$A$395),IFERROR(XLOOKUP(O387,'Name Aliases'!$A$2:$A$1000,'Name Aliases'!$B$2:$B$1000),""))</f>
        <v/>
      </c>
      <c r="Q387" s="21">
        <f>IF(ISBLANK($C387),"",$B387)</f>
        <v/>
      </c>
      <c r="R387" s="20">
        <f>IF(ISBLANK($C387),"",IF(ISBLANK($I387),$D387,$I387))</f>
        <v/>
      </c>
      <c r="S387" s="22">
        <f>IF(ISBLANK($C387),"",$F387 - $G387)</f>
        <v/>
      </c>
      <c r="T387" s="20">
        <f>IF(ISBLANK($C387),"",C387)</f>
        <v/>
      </c>
      <c r="U387" s="20">
        <f>IF(ISBLANK($C387),"",$D$1)</f>
        <v/>
      </c>
      <c r="V387" s="22">
        <f t="array" ref="V387">IF(ISBLANK($B387),"",IF(ISBLANK($K387),IF(XLOOKUP($W387,'Category Mapping'!$C:$C,'Category Mapping'!$B:$B)="Travel",XLOOKUP($P387,'Department Listing'!$A:$A,'Department Listing'!$M:$M),XLOOKUP($W387,'Category Mapping'!$C:$C,'Category Mapping'!$D:$D)),$K387))</f>
        <v/>
      </c>
      <c r="W387" s="22">
        <f>IF(ISBLANK($B387),"",IF(ISBLANK($L387),RIGHT($E387,LEN($E387) - FIND("^",SUBSTITUTE($E387,":","^",LEN($E387) - LEN(SUBSTITUTE($E387,":",""))))),$L387))</f>
        <v/>
      </c>
      <c r="X387" s="22">
        <f>IF(ISBLANK($J387),$V387&amp;$W387,$J387)</f>
        <v/>
      </c>
      <c r="Y387" s="23">
        <f t="array" ref="Y387">IF(ISBLANK($M387),IFERROR(XLOOKUP($P387,'Department Listing'!$A:$A,'Department Listing'!$L:$L),""),$M387)</f>
        <v/>
      </c>
      <c r="Z387" s="11">
        <f>IF(ISBLANK($B387),"",MATCH($X387,COA!$B:$B,0))</f>
        <v/>
      </c>
    </row>
    <row r="388" ht="15.75" customHeight="1" s="52">
      <c r="B388" s="17" t="n"/>
      <c r="E388" s="26" t="n"/>
      <c r="F388" s="19" t="n"/>
      <c r="G388" s="10" t="n"/>
      <c r="H388" s="10" t="n"/>
      <c r="I388" s="9" t="n"/>
      <c r="J388" s="9" t="n"/>
      <c r="K388" s="25" t="n"/>
      <c r="L388" s="25" t="n"/>
      <c r="M388" s="25" t="n"/>
      <c r="N388" s="20" t="n"/>
      <c r="O388" s="20">
        <f>IF(C388="", "", TRIM(RIGHT(C388, LEN(C388) - FIND("@@", SUBSTITUTE(C388, "-", "@@", LEN(C388) - LEN(SUBSTITUTE(C388, "-", "")))))))</f>
        <v/>
      </c>
      <c r="P388" s="20">
        <f t="array" ref="P388">IFERROR(XLOOKUP(O388,'Department Listing'!$O$1:$O$395,'Department Listing'!$A$1:$A$395),IFERROR(XLOOKUP(O388,'Name Aliases'!$A$2:$A$1000,'Name Aliases'!$B$2:$B$1000),""))</f>
        <v/>
      </c>
      <c r="Q388" s="21">
        <f>IF(ISBLANK($C388),"",$B388)</f>
        <v/>
      </c>
      <c r="R388" s="20">
        <f>IF(ISBLANK($C388),"",IF(ISBLANK($I388),$D388,$I388))</f>
        <v/>
      </c>
      <c r="S388" s="22">
        <f>IF(ISBLANK($C388),"",$F388 - $G388)</f>
        <v/>
      </c>
      <c r="T388" s="20">
        <f>IF(ISBLANK($C388),"",C388)</f>
        <v/>
      </c>
      <c r="U388" s="20">
        <f>IF(ISBLANK($C388),"",$D$1)</f>
        <v/>
      </c>
      <c r="V388" s="22">
        <f t="array" ref="V388">IF(ISBLANK($B388),"",IF(ISBLANK($K388),IF(XLOOKUP($W388,'Category Mapping'!$C:$C,'Category Mapping'!$B:$B)="Travel",XLOOKUP($P388,'Department Listing'!$A:$A,'Department Listing'!$M:$M),XLOOKUP($W388,'Category Mapping'!$C:$C,'Category Mapping'!$D:$D)),$K388))</f>
        <v/>
      </c>
      <c r="W388" s="22">
        <f>IF(ISBLANK($B388),"",IF(ISBLANK($L388),RIGHT($E388,LEN($E388) - FIND("^",SUBSTITUTE($E388,":","^",LEN($E388) - LEN(SUBSTITUTE($E388,":",""))))),$L388))</f>
        <v/>
      </c>
      <c r="X388" s="22">
        <f>IF(ISBLANK($J388),$V388&amp;$W388,$J388)</f>
        <v/>
      </c>
      <c r="Y388" s="23">
        <f t="array" ref="Y388">IF(ISBLANK($M388),IFERROR(XLOOKUP($P388,'Department Listing'!$A:$A,'Department Listing'!$L:$L),""),$M388)</f>
        <v/>
      </c>
      <c r="Z388" s="11">
        <f>IF(ISBLANK($B388),"",MATCH($X388,COA!$B:$B,0))</f>
        <v/>
      </c>
    </row>
    <row r="389" ht="15.75" customHeight="1" s="52">
      <c r="B389" s="17" t="n"/>
      <c r="E389" s="26" t="n"/>
      <c r="F389" s="19" t="n"/>
      <c r="G389" s="10" t="n"/>
      <c r="H389" s="10" t="n"/>
      <c r="I389" s="9" t="n"/>
      <c r="J389" s="9" t="n"/>
      <c r="K389" s="9" t="n"/>
      <c r="L389" s="9" t="n"/>
      <c r="M389" s="9" t="n"/>
      <c r="N389" s="20" t="n"/>
      <c r="O389" s="20">
        <f>IF(C389="", "", TRIM(RIGHT(C389, LEN(C389) - FIND("@@", SUBSTITUTE(C389, "-", "@@", LEN(C389) - LEN(SUBSTITUTE(C389, "-", "")))))))</f>
        <v/>
      </c>
      <c r="P389" s="20">
        <f t="array" ref="P389">IFERROR(XLOOKUP(O389,'Department Listing'!$O$1:$O$395,'Department Listing'!$A$1:$A$395),IFERROR(XLOOKUP(O389,'Name Aliases'!$A$2:$A$1000,'Name Aliases'!$B$2:$B$1000),""))</f>
        <v/>
      </c>
      <c r="Q389" s="21">
        <f>IF(ISBLANK($C389),"",$B389)</f>
        <v/>
      </c>
      <c r="R389" s="20">
        <f>IF(ISBLANK($C389),"",IF(ISBLANK($I389),$D389,$I389))</f>
        <v/>
      </c>
      <c r="S389" s="22">
        <f>IF(ISBLANK($C389),"",$F389 - $G389)</f>
        <v/>
      </c>
      <c r="T389" s="20">
        <f>IF(ISBLANK($C389),"",C389)</f>
        <v/>
      </c>
      <c r="U389" s="20">
        <f>IF(ISBLANK($C389),"",$D$1)</f>
        <v/>
      </c>
      <c r="V389" s="22">
        <f t="array" ref="V389">IF(ISBLANK($B389),"",IF(ISBLANK($K389),IF(XLOOKUP($W389,'Category Mapping'!$C:$C,'Category Mapping'!$B:$B)="Travel",XLOOKUP($P389,'Department Listing'!$A:$A,'Department Listing'!$M:$M),XLOOKUP($W389,'Category Mapping'!$C:$C,'Category Mapping'!$D:$D)),$K389))</f>
        <v/>
      </c>
      <c r="W389" s="22">
        <f>IF(ISBLANK($B389),"",IF(ISBLANK($L389),RIGHT($E389,LEN($E389) - FIND("^",SUBSTITUTE($E389,":","^",LEN($E389) - LEN(SUBSTITUTE($E389,":",""))))),$L389))</f>
        <v/>
      </c>
      <c r="X389" s="22">
        <f>IF(ISBLANK($J389),$V389&amp;$W389,$J389)</f>
        <v/>
      </c>
      <c r="Y389" s="23">
        <f t="array" ref="Y389">IF(ISBLANK($M389),IFERROR(XLOOKUP($P389,'Department Listing'!$A:$A,'Department Listing'!$L:$L),""),$M389)</f>
        <v/>
      </c>
      <c r="Z389" s="11">
        <f>IF(ISBLANK($B389),"",MATCH($X389,COA!$B:$B,0))</f>
        <v/>
      </c>
    </row>
    <row r="390" ht="15.75" customHeight="1" s="52">
      <c r="B390" s="17" t="n"/>
      <c r="E390" s="26" t="n"/>
      <c r="F390" s="19" t="n"/>
      <c r="G390" s="10" t="n"/>
      <c r="H390" s="10" t="n"/>
      <c r="I390" s="9" t="n"/>
      <c r="J390" s="9" t="n"/>
      <c r="K390" s="9" t="n"/>
      <c r="L390" s="9" t="n"/>
      <c r="M390" s="9" t="n"/>
      <c r="N390" s="20" t="n"/>
      <c r="O390" s="20">
        <f>IF(C390="", "", TRIM(RIGHT(C390, LEN(C390) - FIND("@@", SUBSTITUTE(C390, "-", "@@", LEN(C390) - LEN(SUBSTITUTE(C390, "-", "")))))))</f>
        <v/>
      </c>
      <c r="P390" s="20">
        <f t="array" ref="P390">IFERROR(XLOOKUP(O390,'Department Listing'!$O$1:$O$395,'Department Listing'!$A$1:$A$395),IFERROR(XLOOKUP(O390,'Name Aliases'!$A$2:$A$1000,'Name Aliases'!$B$2:$B$1000),""))</f>
        <v/>
      </c>
      <c r="Q390" s="21">
        <f>IF(ISBLANK($C390),"",$B390)</f>
        <v/>
      </c>
      <c r="R390" s="20">
        <f>IF(ISBLANK($C390),"",IF(ISBLANK($I390),$D390,$I390))</f>
        <v/>
      </c>
      <c r="S390" s="22">
        <f>IF(ISBLANK($C390),"",$F390 - $G390)</f>
        <v/>
      </c>
      <c r="T390" s="20">
        <f>IF(ISBLANK($C390),"",C390)</f>
        <v/>
      </c>
      <c r="U390" s="20">
        <f>IF(ISBLANK($C390),"",$D$1)</f>
        <v/>
      </c>
      <c r="V390" s="22">
        <f t="array" ref="V390">IF(ISBLANK($B390),"",IF(ISBLANK($K390),IF(XLOOKUP($W390,'Category Mapping'!$C:$C,'Category Mapping'!$B:$B)="Travel",XLOOKUP($P390,'Department Listing'!$A:$A,'Department Listing'!$M:$M),XLOOKUP($W390,'Category Mapping'!$C:$C,'Category Mapping'!$D:$D)),$K390))</f>
        <v/>
      </c>
      <c r="W390" s="22">
        <f>IF(ISBLANK($B390),"",IF(ISBLANK($L390),RIGHT($E390,LEN($E390) - FIND("^",SUBSTITUTE($E390,":","^",LEN($E390) - LEN(SUBSTITUTE($E390,":",""))))),$L390))</f>
        <v/>
      </c>
      <c r="X390" s="22">
        <f>IF(ISBLANK($J390),$V390&amp;$W390,$J390)</f>
        <v/>
      </c>
      <c r="Y390" s="23">
        <f t="array" ref="Y390">IF(ISBLANK($M390),IFERROR(XLOOKUP($P390,'Department Listing'!$A:$A,'Department Listing'!$L:$L),""),$M390)</f>
        <v/>
      </c>
      <c r="Z390" s="11">
        <f>IF(ISBLANK($B390),"",MATCH($X390,COA!$B:$B,0))</f>
        <v/>
      </c>
    </row>
    <row r="391" ht="15.75" customHeight="1" s="52">
      <c r="B391" s="17" t="n"/>
      <c r="E391" s="26" t="n"/>
      <c r="F391" s="19" t="n"/>
      <c r="G391" s="10" t="n"/>
      <c r="H391" s="10" t="n"/>
      <c r="I391" s="9" t="n"/>
      <c r="J391" s="9" t="n"/>
      <c r="K391" s="9" t="n"/>
      <c r="L391" s="9" t="n"/>
      <c r="M391" s="9" t="n"/>
      <c r="N391" s="20" t="n"/>
      <c r="O391" s="20">
        <f>IF(C391="", "", TRIM(RIGHT(C391, LEN(C391) - FIND("@@", SUBSTITUTE(C391, "-", "@@", LEN(C391) - LEN(SUBSTITUTE(C391, "-", "")))))))</f>
        <v/>
      </c>
      <c r="P391" s="20">
        <f t="array" ref="P391">IFERROR(XLOOKUP(O391,'Department Listing'!$O$1:$O$395,'Department Listing'!$A$1:$A$395),IFERROR(XLOOKUP(O391,'Name Aliases'!$A$2:$A$1000,'Name Aliases'!$B$2:$B$1000),""))</f>
        <v/>
      </c>
      <c r="Q391" s="21">
        <f>IF(ISBLANK($C391),"",$B391)</f>
        <v/>
      </c>
      <c r="R391" s="20">
        <f>IF(ISBLANK($C391),"",IF(ISBLANK($I391),$D391,$I391))</f>
        <v/>
      </c>
      <c r="S391" s="22">
        <f>IF(ISBLANK($C391),"",$F391 - $G391)</f>
        <v/>
      </c>
      <c r="T391" s="20">
        <f>IF(ISBLANK($C391),"",C391)</f>
        <v/>
      </c>
      <c r="U391" s="20">
        <f>IF(ISBLANK($C391),"",$D$1)</f>
        <v/>
      </c>
      <c r="V391" s="22">
        <f t="array" ref="V391">IF(ISBLANK($B391),"",IF(ISBLANK($K391),IF(XLOOKUP($W391,'Category Mapping'!$C:$C,'Category Mapping'!$B:$B)="Travel",XLOOKUP($P391,'Department Listing'!$A:$A,'Department Listing'!$M:$M),XLOOKUP($W391,'Category Mapping'!$C:$C,'Category Mapping'!$D:$D)),$K391))</f>
        <v/>
      </c>
      <c r="W391" s="22">
        <f>IF(ISBLANK($B391),"",IF(ISBLANK($L391),RIGHT($E391,LEN($E391) - FIND("^",SUBSTITUTE($E391,":","^",LEN($E391) - LEN(SUBSTITUTE($E391,":",""))))),$L391))</f>
        <v/>
      </c>
      <c r="X391" s="22">
        <f>IF(ISBLANK($J391),$V391&amp;$W391,$J391)</f>
        <v/>
      </c>
      <c r="Y391" s="23">
        <f t="array" ref="Y391">IF(ISBLANK($M391),IFERROR(XLOOKUP($P391,'Department Listing'!$A:$A,'Department Listing'!$L:$L),""),$M391)</f>
        <v/>
      </c>
      <c r="Z391" s="11">
        <f>IF(ISBLANK($B391),"",MATCH($X391,COA!$B:$B,0))</f>
        <v/>
      </c>
    </row>
    <row r="392" ht="15.75" customHeight="1" s="52">
      <c r="B392" s="17" t="n"/>
      <c r="E392" s="26" t="n"/>
      <c r="F392" s="19" t="n"/>
      <c r="G392" s="10" t="n"/>
      <c r="H392" s="10" t="n"/>
      <c r="I392" s="9" t="n"/>
      <c r="J392" s="9" t="n"/>
      <c r="K392" s="9" t="n"/>
      <c r="L392" s="9" t="n"/>
      <c r="M392" s="9" t="n"/>
      <c r="N392" s="20" t="n"/>
      <c r="O392" s="20">
        <f>IF(C392="", "", TRIM(RIGHT(C392, LEN(C392) - FIND("@@", SUBSTITUTE(C392, "-", "@@", LEN(C392) - LEN(SUBSTITUTE(C392, "-", "")))))))</f>
        <v/>
      </c>
      <c r="P392" s="20">
        <f t="array" ref="P392">IFERROR(XLOOKUP(O392,'Department Listing'!$O$1:$O$395,'Department Listing'!$A$1:$A$395),IFERROR(XLOOKUP(O392,'Name Aliases'!$A$2:$A$1000,'Name Aliases'!$B$2:$B$1000),""))</f>
        <v/>
      </c>
      <c r="Q392" s="21">
        <f>IF(ISBLANK($C392),"",$B392)</f>
        <v/>
      </c>
      <c r="R392" s="20">
        <f>IF(ISBLANK($C392),"",IF(ISBLANK($I392),$D392,$I392))</f>
        <v/>
      </c>
      <c r="S392" s="22">
        <f>IF(ISBLANK($C392),"",$F392 - $G392)</f>
        <v/>
      </c>
      <c r="T392" s="20">
        <f>IF(ISBLANK($C392),"",C392)</f>
        <v/>
      </c>
      <c r="U392" s="20">
        <f>IF(ISBLANK($C392),"",$D$1)</f>
        <v/>
      </c>
      <c r="V392" s="22">
        <f t="array" ref="V392">IF(ISBLANK($B392),"",IF(ISBLANK($K392),IF(XLOOKUP($W392,'Category Mapping'!$C:$C,'Category Mapping'!$B:$B)="Travel",XLOOKUP($P392,'Department Listing'!$A:$A,'Department Listing'!$M:$M),XLOOKUP($W392,'Category Mapping'!$C:$C,'Category Mapping'!$D:$D)),$K392))</f>
        <v/>
      </c>
      <c r="W392" s="22">
        <f>IF(ISBLANK($B392),"",IF(ISBLANK($L392),RIGHT($E392,LEN($E392) - FIND("^",SUBSTITUTE($E392,":","^",LEN($E392) - LEN(SUBSTITUTE($E392,":",""))))),$L392))</f>
        <v/>
      </c>
      <c r="X392" s="22">
        <f>IF(ISBLANK($J392),$V392&amp;$W392,$J392)</f>
        <v/>
      </c>
      <c r="Y392" s="23">
        <f t="array" ref="Y392">IF(ISBLANK($M392),IFERROR(XLOOKUP($P392,'Department Listing'!$A:$A,'Department Listing'!$L:$L),""),$M392)</f>
        <v/>
      </c>
      <c r="Z392" s="11">
        <f>IF(ISBLANK($B392),"",MATCH($X392,COA!$B:$B,0))</f>
        <v/>
      </c>
    </row>
    <row r="393" ht="15.75" customHeight="1" s="52">
      <c r="B393" s="17" t="n"/>
      <c r="E393" s="26" t="n"/>
      <c r="F393" s="19" t="n"/>
      <c r="G393" s="10" t="n"/>
      <c r="H393" s="10" t="n"/>
      <c r="I393" s="9" t="n"/>
      <c r="J393" s="9" t="n"/>
      <c r="K393" s="9" t="n"/>
      <c r="L393" s="9" t="n"/>
      <c r="M393" s="9" t="n"/>
      <c r="N393" s="20" t="n"/>
      <c r="O393" s="20">
        <f>IF(C393="", "", TRIM(RIGHT(C393, LEN(C393) - FIND("@@", SUBSTITUTE(C393, "-", "@@", LEN(C393) - LEN(SUBSTITUTE(C393, "-", "")))))))</f>
        <v/>
      </c>
      <c r="P393" s="20">
        <f t="array" ref="P393">IFERROR(XLOOKUP(O393,'Department Listing'!$O$1:$O$395,'Department Listing'!$A$1:$A$395),IFERROR(XLOOKUP(O393,'Name Aliases'!$A$2:$A$1000,'Name Aliases'!$B$2:$B$1000),""))</f>
        <v/>
      </c>
      <c r="Q393" s="21">
        <f>IF(ISBLANK($C393),"",$B393)</f>
        <v/>
      </c>
      <c r="R393" s="20">
        <f>IF(ISBLANK($C393),"",IF(ISBLANK($I393),$D393,$I393))</f>
        <v/>
      </c>
      <c r="S393" s="22">
        <f>IF(ISBLANK($C393),"",$F393 - $G393)</f>
        <v/>
      </c>
      <c r="T393" s="20">
        <f>IF(ISBLANK($C393),"",C393)</f>
        <v/>
      </c>
      <c r="U393" s="20">
        <f>IF(ISBLANK($C393),"",$D$1)</f>
        <v/>
      </c>
      <c r="V393" s="22">
        <f t="array" ref="V393">IF(ISBLANK($B393),"",IF(ISBLANK($K393),IF(XLOOKUP($W393,'Category Mapping'!$C:$C,'Category Mapping'!$B:$B)="Travel",XLOOKUP($P393,'Department Listing'!$A:$A,'Department Listing'!$M:$M),XLOOKUP($W393,'Category Mapping'!$C:$C,'Category Mapping'!$D:$D)),$K393))</f>
        <v/>
      </c>
      <c r="W393" s="22">
        <f>IF(ISBLANK($B393),"",IF(ISBLANK($L393),RIGHT($E393,LEN($E393) - FIND("^",SUBSTITUTE($E393,":","^",LEN($E393) - LEN(SUBSTITUTE($E393,":",""))))),$L393))</f>
        <v/>
      </c>
      <c r="X393" s="22">
        <f>IF(ISBLANK($J393),$V393&amp;$W393,$J393)</f>
        <v/>
      </c>
      <c r="Y393" s="23">
        <f t="array" ref="Y393">IF(ISBLANK($M393),IFERROR(XLOOKUP($P393,'Department Listing'!$A:$A,'Department Listing'!$L:$L),""),$M393)</f>
        <v/>
      </c>
      <c r="Z393" s="11">
        <f>IF(ISBLANK($B393),"",MATCH($X393,COA!$B:$B,0))</f>
        <v/>
      </c>
    </row>
    <row r="394" ht="15.75" customHeight="1" s="52">
      <c r="B394" s="17" t="n"/>
      <c r="E394" s="26" t="n"/>
      <c r="F394" s="19" t="n"/>
      <c r="G394" s="10" t="n"/>
      <c r="H394" s="10" t="n"/>
      <c r="I394" s="9" t="n"/>
      <c r="J394" s="9" t="n"/>
      <c r="K394" s="9" t="n"/>
      <c r="L394" s="9" t="n"/>
      <c r="M394" s="9" t="n"/>
      <c r="N394" s="20" t="n"/>
      <c r="O394" s="20">
        <f>IF(C394="", "", TRIM(RIGHT(C394, LEN(C394) - FIND("@@", SUBSTITUTE(C394, "-", "@@", LEN(C394) - LEN(SUBSTITUTE(C394, "-", "")))))))</f>
        <v/>
      </c>
      <c r="P394" s="20">
        <f t="array" ref="P394">IFERROR(XLOOKUP(O394,'Department Listing'!$O$1:$O$395,'Department Listing'!$A$1:$A$395),IFERROR(XLOOKUP(O394,'Name Aliases'!$A$2:$A$1000,'Name Aliases'!$B$2:$B$1000),""))</f>
        <v/>
      </c>
      <c r="Q394" s="21">
        <f>IF(ISBLANK($C394),"",$B394)</f>
        <v/>
      </c>
      <c r="R394" s="20">
        <f>IF(ISBLANK($C394),"",IF(ISBLANK($I394),$D394,$I394))</f>
        <v/>
      </c>
      <c r="S394" s="22">
        <f>IF(ISBLANK($C394),"",$F394 - $G394)</f>
        <v/>
      </c>
      <c r="T394" s="20">
        <f>IF(ISBLANK($C394),"",C394)</f>
        <v/>
      </c>
      <c r="U394" s="20">
        <f>IF(ISBLANK($C394),"",$D$1)</f>
        <v/>
      </c>
      <c r="V394" s="22">
        <f t="array" ref="V394">IF(ISBLANK($B394),"",IF(ISBLANK($K394),IF(XLOOKUP($W394,'Category Mapping'!$C:$C,'Category Mapping'!$B:$B)="Travel",XLOOKUP($P394,'Department Listing'!$A:$A,'Department Listing'!$M:$M),XLOOKUP($W394,'Category Mapping'!$C:$C,'Category Mapping'!$D:$D)),$K394))</f>
        <v/>
      </c>
      <c r="W394" s="22">
        <f>IF(ISBLANK($B394),"",IF(ISBLANK($L394),RIGHT($E394,LEN($E394) - FIND("^",SUBSTITUTE($E394,":","^",LEN($E394) - LEN(SUBSTITUTE($E394,":",""))))),$L394))</f>
        <v/>
      </c>
      <c r="X394" s="22">
        <f>IF(ISBLANK($J394),$V394&amp;$W394,$J394)</f>
        <v/>
      </c>
      <c r="Y394" s="23">
        <f t="array" ref="Y394">IF(ISBLANK($M394),IFERROR(XLOOKUP($P394,'Department Listing'!$A:$A,'Department Listing'!$L:$L),""),$M394)</f>
        <v/>
      </c>
      <c r="Z394" s="11">
        <f>IF(ISBLANK($B394),"",MATCH($X394,COA!$B:$B,0))</f>
        <v/>
      </c>
    </row>
    <row r="395" ht="15.75" customHeight="1" s="52">
      <c r="B395" s="17" t="n"/>
      <c r="E395" s="26" t="n"/>
      <c r="F395" s="19" t="n"/>
      <c r="G395" s="10" t="n"/>
      <c r="H395" s="10" t="n"/>
      <c r="I395" s="9" t="n"/>
      <c r="J395" s="9" t="n"/>
      <c r="K395" s="9" t="n"/>
      <c r="L395" s="9" t="n"/>
      <c r="M395" s="9" t="n"/>
      <c r="N395" s="20" t="n"/>
      <c r="O395" s="20">
        <f>IF(C395="", "", TRIM(RIGHT(C395, LEN(C395) - FIND("@@", SUBSTITUTE(C395, "-", "@@", LEN(C395) - LEN(SUBSTITUTE(C395, "-", "")))))))</f>
        <v/>
      </c>
      <c r="P395" s="20">
        <f t="array" ref="P395">IFERROR(XLOOKUP(O395,'Department Listing'!$O$1:$O$395,'Department Listing'!$A$1:$A$395),IFERROR(XLOOKUP(O395,'Name Aliases'!$A$2:$A$1000,'Name Aliases'!$B$2:$B$1000),""))</f>
        <v/>
      </c>
      <c r="Q395" s="21">
        <f>IF(ISBLANK($C395),"",$B395)</f>
        <v/>
      </c>
      <c r="R395" s="20">
        <f>IF(ISBLANK($C395),"",IF(ISBLANK($I395),$D395,$I395))</f>
        <v/>
      </c>
      <c r="S395" s="22">
        <f>IF(ISBLANK($C395),"",$F395 - $G395)</f>
        <v/>
      </c>
      <c r="T395" s="20">
        <f>IF(ISBLANK($C395),"",C395)</f>
        <v/>
      </c>
      <c r="U395" s="20">
        <f>IF(ISBLANK($C395),"",$D$1)</f>
        <v/>
      </c>
      <c r="V395" s="22">
        <f t="array" ref="V395">IF(ISBLANK($B395),"",IF(ISBLANK($K395),IF(XLOOKUP($W395,'Category Mapping'!$C:$C,'Category Mapping'!$B:$B)="Travel",XLOOKUP($P395,'Department Listing'!$A:$A,'Department Listing'!$M:$M),XLOOKUP($W395,'Category Mapping'!$C:$C,'Category Mapping'!$D:$D)),$K395))</f>
        <v/>
      </c>
      <c r="W395" s="22">
        <f>IF(ISBLANK($B395),"",IF(ISBLANK($L395),RIGHT($E395,LEN($E395) - FIND("^",SUBSTITUTE($E395,":","^",LEN($E395) - LEN(SUBSTITUTE($E395,":",""))))),$L395))</f>
        <v/>
      </c>
      <c r="X395" s="22">
        <f>IF(ISBLANK($J395),$V395&amp;$W395,$J395)</f>
        <v/>
      </c>
      <c r="Y395" s="23">
        <f t="array" ref="Y395">IF(ISBLANK($M395),IFERROR(XLOOKUP($P395,'Department Listing'!$A:$A,'Department Listing'!$L:$L),""),$M395)</f>
        <v/>
      </c>
      <c r="Z395" s="11">
        <f>IF(ISBLANK($B395),"",MATCH($X395,COA!$B:$B,0))</f>
        <v/>
      </c>
    </row>
    <row r="396" ht="15.75" customHeight="1" s="52">
      <c r="B396" s="17" t="n"/>
      <c r="E396" s="26" t="n"/>
      <c r="F396" s="19" t="n"/>
      <c r="G396" s="10" t="n"/>
      <c r="H396" s="10" t="n"/>
      <c r="I396" s="9" t="n"/>
      <c r="J396" s="9" t="n"/>
      <c r="K396" s="9" t="n"/>
      <c r="L396" s="9" t="n"/>
      <c r="M396" s="9" t="n"/>
      <c r="N396" s="20" t="n"/>
      <c r="O396" s="20">
        <f>IF(C396="", "", TRIM(RIGHT(C396, LEN(C396) - FIND("@@", SUBSTITUTE(C396, "-", "@@", LEN(C396) - LEN(SUBSTITUTE(C396, "-", "")))))))</f>
        <v/>
      </c>
      <c r="P396" s="20">
        <f t="array" ref="P396">IFERROR(XLOOKUP(O396,'Department Listing'!$O$1:$O$395,'Department Listing'!$A$1:$A$395),IFERROR(XLOOKUP(O396,'Name Aliases'!$A$2:$A$1000,'Name Aliases'!$B$2:$B$1000),""))</f>
        <v/>
      </c>
      <c r="Q396" s="21">
        <f>IF(ISBLANK($C396),"",$B396)</f>
        <v/>
      </c>
      <c r="R396" s="20">
        <f>IF(ISBLANK($C396),"",IF(ISBLANK($I396),$D396,$I396))</f>
        <v/>
      </c>
      <c r="S396" s="22">
        <f>IF(ISBLANK($C396),"",$F396 - $G396)</f>
        <v/>
      </c>
      <c r="T396" s="20">
        <f>IF(ISBLANK($C396),"",C396)</f>
        <v/>
      </c>
      <c r="U396" s="20">
        <f>IF(ISBLANK($C396),"",$D$1)</f>
        <v/>
      </c>
      <c r="V396" s="22">
        <f t="array" ref="V396">IF(ISBLANK($B396),"",IF(ISBLANK($K396),IF(XLOOKUP($W396,'Category Mapping'!$C:$C,'Category Mapping'!$B:$B)="Travel",XLOOKUP($P396,'Department Listing'!$A:$A,'Department Listing'!$M:$M),XLOOKUP($W396,'Category Mapping'!$C:$C,'Category Mapping'!$D:$D)),$K396))</f>
        <v/>
      </c>
      <c r="W396" s="22">
        <f>IF(ISBLANK($B396),"",IF(ISBLANK($L396),RIGHT($E396,LEN($E396) - FIND("^",SUBSTITUTE($E396,":","^",LEN($E396) - LEN(SUBSTITUTE($E396,":",""))))),$L396))</f>
        <v/>
      </c>
      <c r="X396" s="22">
        <f>IF(ISBLANK($J396),$V396&amp;$W396,$J396)</f>
        <v/>
      </c>
      <c r="Y396" s="23">
        <f t="array" ref="Y396">IF(ISBLANK($M396),IFERROR(XLOOKUP($P396,'Department Listing'!$A:$A,'Department Listing'!$L:$L),""),$M396)</f>
        <v/>
      </c>
      <c r="Z396" s="11">
        <f>IF(ISBLANK($B396),"",MATCH($X396,COA!$B:$B,0))</f>
        <v/>
      </c>
    </row>
    <row r="397" ht="15.75" customHeight="1" s="52">
      <c r="B397" s="17" t="n"/>
      <c r="E397" s="26" t="n"/>
      <c r="F397" s="19" t="n"/>
      <c r="G397" s="10" t="n"/>
      <c r="H397" s="10" t="n"/>
      <c r="I397" s="9" t="n"/>
      <c r="J397" s="9" t="n"/>
      <c r="K397" s="9" t="n"/>
      <c r="L397" s="9" t="n"/>
      <c r="M397" s="9" t="n"/>
      <c r="N397" s="20" t="n"/>
      <c r="O397" s="20">
        <f>IF(C397="", "", TRIM(RIGHT(C397, LEN(C397) - FIND("@@", SUBSTITUTE(C397, "-", "@@", LEN(C397) - LEN(SUBSTITUTE(C397, "-", "")))))))</f>
        <v/>
      </c>
      <c r="P397" s="20">
        <f t="array" ref="P397">IFERROR(XLOOKUP(O397,'Department Listing'!$O$1:$O$395,'Department Listing'!$A$1:$A$395),IFERROR(XLOOKUP(O397,'Name Aliases'!$A$2:$A$1000,'Name Aliases'!$B$2:$B$1000),""))</f>
        <v/>
      </c>
      <c r="Q397" s="21">
        <f>IF(ISBLANK($C397),"",$B397)</f>
        <v/>
      </c>
      <c r="R397" s="20">
        <f>IF(ISBLANK($C397),"",IF(ISBLANK($I397),$D397,$I397))</f>
        <v/>
      </c>
      <c r="S397" s="22">
        <f>IF(ISBLANK($C397),"",$F397 - $G397)</f>
        <v/>
      </c>
      <c r="T397" s="20">
        <f>IF(ISBLANK($C397),"",C397)</f>
        <v/>
      </c>
      <c r="U397" s="20">
        <f>IF(ISBLANK($C397),"",$D$1)</f>
        <v/>
      </c>
      <c r="V397" s="22">
        <f t="array" ref="V397">IF(ISBLANK($B397),"",IF(ISBLANK($K397),IF(XLOOKUP($W397,'Category Mapping'!$C:$C,'Category Mapping'!$B:$B)="Travel",XLOOKUP($P397,'Department Listing'!$A:$A,'Department Listing'!$M:$M),XLOOKUP($W397,'Category Mapping'!$C:$C,'Category Mapping'!$D:$D)),$K397))</f>
        <v/>
      </c>
      <c r="W397" s="22">
        <f>IF(ISBLANK($B397),"",IF(ISBLANK($L397),RIGHT($E397,LEN($E397) - FIND("^",SUBSTITUTE($E397,":","^",LEN($E397) - LEN(SUBSTITUTE($E397,":",""))))),$L397))</f>
        <v/>
      </c>
      <c r="X397" s="22">
        <f>IF(ISBLANK($J397),$V397&amp;$W397,$J397)</f>
        <v/>
      </c>
      <c r="Y397" s="23">
        <f t="array" ref="Y397">IF(ISBLANK($M397),IFERROR(XLOOKUP($P397,'Department Listing'!$A:$A,'Department Listing'!$L:$L),""),$M397)</f>
        <v/>
      </c>
      <c r="Z397" s="11">
        <f>IF(ISBLANK($B397),"",MATCH($X397,COA!$B:$B,0))</f>
        <v/>
      </c>
    </row>
    <row r="398" ht="15.75" customHeight="1" s="52">
      <c r="B398" s="17" t="n"/>
      <c r="E398" s="26" t="n"/>
      <c r="F398" s="19" t="n"/>
      <c r="G398" s="10" t="n"/>
      <c r="H398" s="10" t="n"/>
      <c r="I398" s="9" t="n"/>
      <c r="J398" s="9" t="n"/>
      <c r="K398" s="9" t="n"/>
      <c r="L398" s="9" t="n"/>
      <c r="M398" s="9" t="n"/>
      <c r="N398" s="20" t="n"/>
      <c r="O398" s="20">
        <f>IF(C398="", "", TRIM(RIGHT(C398, LEN(C398) - FIND("@@", SUBSTITUTE(C398, "-", "@@", LEN(C398) - LEN(SUBSTITUTE(C398, "-", "")))))))</f>
        <v/>
      </c>
      <c r="P398" s="20">
        <f t="array" ref="P398">IFERROR(XLOOKUP(O398,'Department Listing'!$O$1:$O$395,'Department Listing'!$A$1:$A$395),IFERROR(XLOOKUP(O398,'Name Aliases'!$A$2:$A$1000,'Name Aliases'!$B$2:$B$1000),""))</f>
        <v/>
      </c>
      <c r="Q398" s="21">
        <f>IF(ISBLANK($C398),"",$B398)</f>
        <v/>
      </c>
      <c r="R398" s="20">
        <f>IF(ISBLANK($C398),"",IF(ISBLANK($I398),$D398,$I398))</f>
        <v/>
      </c>
      <c r="S398" s="22">
        <f>IF(ISBLANK($C398),"",$F398 - $G398)</f>
        <v/>
      </c>
      <c r="T398" s="20">
        <f>IF(ISBLANK($C398),"",C398)</f>
        <v/>
      </c>
      <c r="U398" s="20">
        <f>IF(ISBLANK($C398),"",$D$1)</f>
        <v/>
      </c>
      <c r="V398" s="22">
        <f t="array" ref="V398">IF(ISBLANK($B398),"",IF(ISBLANK($K398),IF(XLOOKUP($W398,'Category Mapping'!$C:$C,'Category Mapping'!$B:$B)="Travel",XLOOKUP($P398,'Department Listing'!$A:$A,'Department Listing'!$M:$M),XLOOKUP($W398,'Category Mapping'!$C:$C,'Category Mapping'!$D:$D)),$K398))</f>
        <v/>
      </c>
      <c r="W398" s="22">
        <f>IF(ISBLANK($B398),"",IF(ISBLANK($L398),RIGHT($E398,LEN($E398) - FIND("^",SUBSTITUTE($E398,":","^",LEN($E398) - LEN(SUBSTITUTE($E398,":",""))))),$L398))</f>
        <v/>
      </c>
      <c r="X398" s="22">
        <f>IF(ISBLANK($J398),$V398&amp;$W398,$J398)</f>
        <v/>
      </c>
      <c r="Y398" s="23">
        <f t="array" ref="Y398">IF(ISBLANK($M398),IFERROR(XLOOKUP($P398,'Department Listing'!$A:$A,'Department Listing'!$L:$L),""),$M398)</f>
        <v/>
      </c>
      <c r="Z398" s="11">
        <f>IF(ISBLANK($B398),"",MATCH($X398,COA!$B:$B,0))</f>
        <v/>
      </c>
    </row>
    <row r="399" ht="15.75" customHeight="1" s="52">
      <c r="B399" s="17" t="n"/>
      <c r="E399" s="26" t="n"/>
      <c r="F399" s="19" t="n"/>
      <c r="G399" s="10" t="n"/>
      <c r="H399" s="10" t="n"/>
      <c r="I399" s="9" t="n"/>
      <c r="J399" s="9" t="n"/>
      <c r="K399" s="9" t="n"/>
      <c r="L399" s="9" t="n"/>
      <c r="M399" s="9" t="n"/>
      <c r="N399" s="20" t="n"/>
      <c r="O399" s="20">
        <f>IF(C399="", "", TRIM(RIGHT(C399, LEN(C399) - FIND("@@", SUBSTITUTE(C399, "-", "@@", LEN(C399) - LEN(SUBSTITUTE(C399, "-", "")))))))</f>
        <v/>
      </c>
      <c r="P399" s="20">
        <f t="array" ref="P399">IFERROR(XLOOKUP(O399,'Department Listing'!$O$1:$O$395,'Department Listing'!$A$1:$A$395),IFERROR(XLOOKUP(O399,'Name Aliases'!$A$2:$A$1000,'Name Aliases'!$B$2:$B$1000),""))</f>
        <v/>
      </c>
      <c r="Q399" s="21">
        <f>IF(ISBLANK($C399),"",$B399)</f>
        <v/>
      </c>
      <c r="R399" s="20">
        <f>IF(ISBLANK($C399),"",IF(ISBLANK($I399),$D399,$I399))</f>
        <v/>
      </c>
      <c r="S399" s="22">
        <f>IF(ISBLANK($C399),"",$F399 - $G399)</f>
        <v/>
      </c>
      <c r="T399" s="20">
        <f>IF(ISBLANK($C399),"",C399)</f>
        <v/>
      </c>
      <c r="U399" s="20">
        <f>IF(ISBLANK($C399),"",$D$1)</f>
        <v/>
      </c>
      <c r="V399" s="22">
        <f t="array" ref="V399">IF(ISBLANK($B399),"",IF(ISBLANK($K399),IF(XLOOKUP($W399,'Category Mapping'!$C:$C,'Category Mapping'!$B:$B)="Travel",XLOOKUP($P399,'Department Listing'!$A:$A,'Department Listing'!$M:$M),XLOOKUP($W399,'Category Mapping'!$C:$C,'Category Mapping'!$D:$D)),$K399))</f>
        <v/>
      </c>
      <c r="W399" s="22">
        <f>IF(ISBLANK($B399),"",IF(ISBLANK($L399),RIGHT($E399,LEN($E399) - FIND("^",SUBSTITUTE($E399,":","^",LEN($E399) - LEN(SUBSTITUTE($E399,":",""))))),$L399))</f>
        <v/>
      </c>
      <c r="X399" s="22">
        <f>IF(ISBLANK($J399),$V399&amp;$W399,$J399)</f>
        <v/>
      </c>
      <c r="Y399" s="23">
        <f t="array" ref="Y399">IF(ISBLANK($M399),IFERROR(XLOOKUP($P399,'Department Listing'!$A:$A,'Department Listing'!$L:$L),""),$M399)</f>
        <v/>
      </c>
      <c r="Z399" s="11">
        <f>IF(ISBLANK($B399),"",MATCH($X399,COA!$B:$B,0))</f>
        <v/>
      </c>
    </row>
    <row r="400" ht="15.75" customHeight="1" s="52">
      <c r="B400" s="17" t="n"/>
      <c r="E400" s="26" t="n"/>
      <c r="F400" s="19" t="n"/>
      <c r="G400" s="10" t="n"/>
      <c r="H400" s="10" t="n"/>
      <c r="I400" s="9" t="n"/>
      <c r="J400" s="9" t="n"/>
      <c r="K400" s="9" t="n"/>
      <c r="L400" s="9" t="n"/>
      <c r="M400" s="9" t="n"/>
      <c r="N400" s="20" t="n"/>
      <c r="O400" s="20">
        <f>IF(C400="", "", TRIM(RIGHT(C400, LEN(C400) - FIND("@@", SUBSTITUTE(C400, "-", "@@", LEN(C400) - LEN(SUBSTITUTE(C400, "-", "")))))))</f>
        <v/>
      </c>
      <c r="P400" s="20">
        <f t="array" ref="P400">IFERROR(XLOOKUP(O400,'Department Listing'!$O$1:$O$395,'Department Listing'!$A$1:$A$395),IFERROR(XLOOKUP(O400,'Name Aliases'!$A$2:$A$1000,'Name Aliases'!$B$2:$B$1000),""))</f>
        <v/>
      </c>
      <c r="Q400" s="21">
        <f>IF(ISBLANK($C400),"",$B400)</f>
        <v/>
      </c>
      <c r="R400" s="20">
        <f>IF(ISBLANK($C400),"",IF(ISBLANK($I400),$D400,$I400))</f>
        <v/>
      </c>
      <c r="S400" s="22">
        <f>IF(ISBLANK($C400),"",$F400 - $G400)</f>
        <v/>
      </c>
      <c r="T400" s="20">
        <f>IF(ISBLANK($C400),"",C400)</f>
        <v/>
      </c>
      <c r="U400" s="20">
        <f>IF(ISBLANK($C400),"",$D$1)</f>
        <v/>
      </c>
      <c r="V400" s="22">
        <f t="array" ref="V400">IF(ISBLANK($B400),"",IF(ISBLANK($K400),IF(XLOOKUP($W400,'Category Mapping'!$C:$C,'Category Mapping'!$B:$B)="Travel",XLOOKUP($P400,'Department Listing'!$A:$A,'Department Listing'!$M:$M),XLOOKUP($W400,'Category Mapping'!$C:$C,'Category Mapping'!$D:$D)),$K400))</f>
        <v/>
      </c>
      <c r="W400" s="22">
        <f>IF(ISBLANK($B400),"",IF(ISBLANK($L400),RIGHT($E400,LEN($E400) - FIND("^",SUBSTITUTE($E400,":","^",LEN($E400) - LEN(SUBSTITUTE($E400,":",""))))),$L400))</f>
        <v/>
      </c>
      <c r="X400" s="22">
        <f>IF(ISBLANK($J400),$V400&amp;$W400,$J400)</f>
        <v/>
      </c>
      <c r="Y400" s="23">
        <f t="array" ref="Y400">IF(ISBLANK($M400),IFERROR(XLOOKUP($P400,'Department Listing'!$A:$A,'Department Listing'!$L:$L),""),$M400)</f>
        <v/>
      </c>
      <c r="Z400" s="11">
        <f>IF(ISBLANK($B400),"",MATCH($X400,COA!$B:$B,0))</f>
        <v/>
      </c>
    </row>
    <row r="401" ht="15.75" customHeight="1" s="52">
      <c r="B401" s="17" t="n"/>
      <c r="E401" s="26" t="n"/>
      <c r="F401" s="19" t="n"/>
      <c r="G401" s="10" t="n"/>
      <c r="H401" s="10" t="n"/>
      <c r="I401" s="9" t="n"/>
      <c r="J401" s="9" t="n"/>
      <c r="K401" s="9" t="n"/>
      <c r="L401" s="9" t="n"/>
      <c r="M401" s="9" t="n"/>
      <c r="N401" s="20" t="n"/>
      <c r="O401" s="20">
        <f>IF(C401="", "", TRIM(RIGHT(C401, LEN(C401) - FIND("@@", SUBSTITUTE(C401, "-", "@@", LEN(C401) - LEN(SUBSTITUTE(C401, "-", "")))))))</f>
        <v/>
      </c>
      <c r="P401" s="20">
        <f t="array" ref="P401">IFERROR(XLOOKUP(O401,'Department Listing'!$O$1:$O$395,'Department Listing'!$A$1:$A$395),IFERROR(XLOOKUP(O401,'Name Aliases'!$A$2:$A$1000,'Name Aliases'!$B$2:$B$1000),""))</f>
        <v/>
      </c>
      <c r="Q401" s="21">
        <f>IF(ISBLANK($C401),"",$B401)</f>
        <v/>
      </c>
      <c r="R401" s="20">
        <f>IF(ISBLANK($C401),"",IF(ISBLANK($I401),$D401,$I401))</f>
        <v/>
      </c>
      <c r="S401" s="22">
        <f>IF(ISBLANK($C401),"",$F401 - $G401)</f>
        <v/>
      </c>
      <c r="T401" s="20">
        <f>IF(ISBLANK($C401),"",C401)</f>
        <v/>
      </c>
      <c r="U401" s="20">
        <f>IF(ISBLANK($C401),"",$D$1)</f>
        <v/>
      </c>
      <c r="V401" s="22">
        <f t="array" ref="V401">IF(ISBLANK($B401),"",IF(ISBLANK($K401),IF(XLOOKUP($W401,'Category Mapping'!$C:$C,'Category Mapping'!$B:$B)="Travel",XLOOKUP($P401,'Department Listing'!$A:$A,'Department Listing'!$M:$M),XLOOKUP($W401,'Category Mapping'!$C:$C,'Category Mapping'!$D:$D)),$K401))</f>
        <v/>
      </c>
      <c r="W401" s="22">
        <f>IF(ISBLANK($B401),"",IF(ISBLANK($L401),RIGHT($E401,LEN($E401) - FIND("^",SUBSTITUTE($E401,":","^",LEN($E401) - LEN(SUBSTITUTE($E401,":",""))))),$L401))</f>
        <v/>
      </c>
      <c r="X401" s="22">
        <f>IF(ISBLANK($J401),$V401&amp;$W401,$J401)</f>
        <v/>
      </c>
      <c r="Y401" s="23">
        <f t="array" ref="Y401">IF(ISBLANK($M401),IFERROR(XLOOKUP($P401,'Department Listing'!$A:$A,'Department Listing'!$L:$L),""),$M401)</f>
        <v/>
      </c>
      <c r="Z401" s="11">
        <f>IF(ISBLANK($B401),"",MATCH($X401,COA!$B:$B,0))</f>
        <v/>
      </c>
    </row>
    <row r="402" ht="15.75" customHeight="1" s="52">
      <c r="B402" s="17" t="n"/>
      <c r="E402" s="26" t="n"/>
      <c r="F402" s="19" t="n"/>
      <c r="G402" s="10" t="n"/>
      <c r="H402" s="10" t="n"/>
      <c r="I402" s="9" t="n"/>
      <c r="J402" s="9" t="n"/>
      <c r="K402" s="9" t="n"/>
      <c r="L402" s="9" t="n"/>
      <c r="M402" s="9" t="n"/>
      <c r="N402" s="20" t="n"/>
      <c r="O402" s="20">
        <f>IF(C402="", "", TRIM(RIGHT(C402, LEN(C402) - FIND("@@", SUBSTITUTE(C402, "-", "@@", LEN(C402) - LEN(SUBSTITUTE(C402, "-", "")))))))</f>
        <v/>
      </c>
      <c r="P402" s="20">
        <f t="array" ref="P402">IFERROR(XLOOKUP(O402,'Department Listing'!$O$1:$O$395,'Department Listing'!$A$1:$A$395),IFERROR(XLOOKUP(O402,'Name Aliases'!$A$2:$A$1000,'Name Aliases'!$B$2:$B$1000),""))</f>
        <v/>
      </c>
      <c r="Q402" s="21">
        <f>IF(ISBLANK($C402),"",$B402)</f>
        <v/>
      </c>
      <c r="R402" s="20">
        <f>IF(ISBLANK($C402),"",IF(ISBLANK($I402),$D402,$I402))</f>
        <v/>
      </c>
      <c r="S402" s="22">
        <f>IF(ISBLANK($C402),"",$F402 - $G402)</f>
        <v/>
      </c>
      <c r="T402" s="20">
        <f>IF(ISBLANK($C402),"",C402)</f>
        <v/>
      </c>
      <c r="U402" s="20">
        <f>IF(ISBLANK($C402),"",$D$1)</f>
        <v/>
      </c>
      <c r="V402" s="22">
        <f t="array" ref="V402">IF(ISBLANK($B402),"",IF(ISBLANK($K402),IF(XLOOKUP($W402,'Category Mapping'!$C:$C,'Category Mapping'!$B:$B)="Travel",XLOOKUP($P402,'Department Listing'!$A:$A,'Department Listing'!$M:$M),XLOOKUP($W402,'Category Mapping'!$C:$C,'Category Mapping'!$D:$D)),$K402))</f>
        <v/>
      </c>
      <c r="W402" s="22">
        <f>IF(ISBLANK($B402),"",IF(ISBLANK($L402),RIGHT($E402,LEN($E402) - FIND("^",SUBSTITUTE($E402,":","^",LEN($E402) - LEN(SUBSTITUTE($E402,":",""))))),$L402))</f>
        <v/>
      </c>
      <c r="X402" s="22">
        <f>IF(ISBLANK($J402),$V402&amp;$W402,$J402)</f>
        <v/>
      </c>
      <c r="Y402" s="23">
        <f t="array" ref="Y402">IF(ISBLANK($M402),IFERROR(XLOOKUP($P402,'Department Listing'!$A:$A,'Department Listing'!$L:$L),""),$M402)</f>
        <v/>
      </c>
      <c r="Z402" s="11">
        <f>IF(ISBLANK($B402),"",MATCH($X402,COA!$B:$B,0))</f>
        <v/>
      </c>
    </row>
    <row r="403" ht="15.75" customHeight="1" s="52">
      <c r="B403" s="17" t="n"/>
      <c r="E403" s="26" t="n"/>
      <c r="F403" s="19" t="n"/>
      <c r="G403" s="10" t="n"/>
      <c r="H403" s="10" t="n"/>
      <c r="I403" s="9" t="n"/>
      <c r="J403" s="9" t="n"/>
      <c r="K403" s="9" t="n"/>
      <c r="L403" s="9" t="n"/>
      <c r="M403" s="9" t="n"/>
      <c r="N403" s="20" t="n"/>
      <c r="O403" s="20">
        <f>IF(C403="", "", TRIM(RIGHT(C403, LEN(C403) - FIND("@@", SUBSTITUTE(C403, "-", "@@", LEN(C403) - LEN(SUBSTITUTE(C403, "-", "")))))))</f>
        <v/>
      </c>
      <c r="P403" s="20">
        <f t="array" ref="P403">IFERROR(XLOOKUP(O403,'Department Listing'!$O$1:$O$395,'Department Listing'!$A$1:$A$395),IFERROR(XLOOKUP(O403,'Name Aliases'!$A$2:$A$1000,'Name Aliases'!$B$2:$B$1000),""))</f>
        <v/>
      </c>
      <c r="Q403" s="21">
        <f>IF(ISBLANK($C403),"",$B403)</f>
        <v/>
      </c>
      <c r="R403" s="20">
        <f>IF(ISBLANK($C403),"",IF(ISBLANK($I403),$D403,$I403))</f>
        <v/>
      </c>
      <c r="S403" s="22">
        <f>IF(ISBLANK($C403),"",$F403 - $G403)</f>
        <v/>
      </c>
      <c r="T403" s="20">
        <f>IF(ISBLANK($C403),"",C403)</f>
        <v/>
      </c>
      <c r="U403" s="20">
        <f>IF(ISBLANK($C403),"",$D$1)</f>
        <v/>
      </c>
      <c r="V403" s="22">
        <f t="array" ref="V403">IF(ISBLANK($B403),"",IF(ISBLANK($K403),IF(XLOOKUP($W403,'Category Mapping'!$C:$C,'Category Mapping'!$B:$B)="Travel",XLOOKUP($P403,'Department Listing'!$A:$A,'Department Listing'!$M:$M),XLOOKUP($W403,'Category Mapping'!$C:$C,'Category Mapping'!$D:$D)),$K403))</f>
        <v/>
      </c>
      <c r="W403" s="22">
        <f>IF(ISBLANK($B403),"",IF(ISBLANK($L403),RIGHT($E403,LEN($E403) - FIND("^",SUBSTITUTE($E403,":","^",LEN($E403) - LEN(SUBSTITUTE($E403,":",""))))),$L403))</f>
        <v/>
      </c>
      <c r="X403" s="22">
        <f>IF(ISBLANK($J403),$V403&amp;$W403,$J403)</f>
        <v/>
      </c>
      <c r="Y403" s="23">
        <f t="array" ref="Y403">IF(ISBLANK($M403),IFERROR(XLOOKUP($P403,'Department Listing'!$A:$A,'Department Listing'!$L:$L),""),$M403)</f>
        <v/>
      </c>
      <c r="Z403" s="11">
        <f>IF(ISBLANK($B403),"",MATCH($X403,COA!$B:$B,0))</f>
        <v/>
      </c>
    </row>
    <row r="404" ht="15.75" customHeight="1" s="52">
      <c r="B404" s="17" t="n"/>
      <c r="E404" s="26" t="n"/>
      <c r="F404" s="19" t="n"/>
      <c r="G404" s="10" t="n"/>
      <c r="H404" s="10" t="n"/>
      <c r="I404" s="9" t="n"/>
      <c r="J404" s="9" t="n"/>
      <c r="K404" s="9" t="n"/>
      <c r="L404" s="9" t="n"/>
      <c r="M404" s="9" t="n"/>
      <c r="N404" s="20" t="n"/>
      <c r="O404" s="20">
        <f>IF(C404="", "", TRIM(RIGHT(C404, LEN(C404) - FIND("@@", SUBSTITUTE(C404, "-", "@@", LEN(C404) - LEN(SUBSTITUTE(C404, "-", "")))))))</f>
        <v/>
      </c>
      <c r="P404" s="20">
        <f t="array" ref="P404">IFERROR(XLOOKUP(O404,'Department Listing'!$O$1:$O$395,'Department Listing'!$A$1:$A$395),IFERROR(XLOOKUP(O404,'Name Aliases'!$A$2:$A$1000,'Name Aliases'!$B$2:$B$1000),""))</f>
        <v/>
      </c>
      <c r="Q404" s="21">
        <f>IF(ISBLANK($C404),"",$B404)</f>
        <v/>
      </c>
      <c r="R404" s="20">
        <f>IF(ISBLANK($C404),"",IF(ISBLANK($I404),$D404,$I404))</f>
        <v/>
      </c>
      <c r="S404" s="22">
        <f>IF(ISBLANK($C404),"",$F404 - $G404)</f>
        <v/>
      </c>
      <c r="T404" s="20">
        <f>IF(ISBLANK($C404),"",C404)</f>
        <v/>
      </c>
      <c r="U404" s="20">
        <f>IF(ISBLANK($C404),"",$D$1)</f>
        <v/>
      </c>
      <c r="V404" s="22">
        <f t="array" ref="V404">IF(ISBLANK($B404),"",IF(ISBLANK($K404),IF(XLOOKUP($W404,'Category Mapping'!$C:$C,'Category Mapping'!$B:$B)="Travel",XLOOKUP($P404,'Department Listing'!$A:$A,'Department Listing'!$M:$M),XLOOKUP($W404,'Category Mapping'!$C:$C,'Category Mapping'!$D:$D)),$K404))</f>
        <v/>
      </c>
      <c r="W404" s="22">
        <f>IF(ISBLANK($B404),"",IF(ISBLANK($L404),RIGHT($E404,LEN($E404) - FIND("^",SUBSTITUTE($E404,":","^",LEN($E404) - LEN(SUBSTITUTE($E404,":",""))))),$L404))</f>
        <v/>
      </c>
      <c r="X404" s="22">
        <f>IF(ISBLANK($J404),$V404&amp;$W404,$J404)</f>
        <v/>
      </c>
      <c r="Y404" s="23">
        <f t="array" ref="Y404">IF(ISBLANK($M404),IFERROR(XLOOKUP($P404,'Department Listing'!$A:$A,'Department Listing'!$L:$L),""),$M404)</f>
        <v/>
      </c>
      <c r="Z404" s="11">
        <f>IF(ISBLANK($B404),"",MATCH($X404,COA!$B:$B,0))</f>
        <v/>
      </c>
    </row>
    <row r="405" ht="15.75" customHeight="1" s="52">
      <c r="B405" s="17" t="n"/>
      <c r="E405" s="26" t="n"/>
      <c r="F405" s="19" t="n"/>
      <c r="G405" s="10" t="n"/>
      <c r="H405" s="10" t="n"/>
      <c r="I405" s="9" t="n"/>
      <c r="J405" s="9" t="n"/>
      <c r="K405" s="9" t="n"/>
      <c r="L405" s="9" t="n"/>
      <c r="M405" s="9" t="n"/>
      <c r="N405" s="20" t="n"/>
      <c r="O405" s="20">
        <f>IF(C405="", "", TRIM(RIGHT(C405, LEN(C405) - FIND("@@", SUBSTITUTE(C405, "-", "@@", LEN(C405) - LEN(SUBSTITUTE(C405, "-", "")))))))</f>
        <v/>
      </c>
      <c r="P405" s="20">
        <f t="array" ref="P405">IFERROR(XLOOKUP(O405,'Department Listing'!$O$1:$O$395,'Department Listing'!$A$1:$A$395),IFERROR(XLOOKUP(O405,'Name Aliases'!$A$2:$A$1000,'Name Aliases'!$B$2:$B$1000),""))</f>
        <v/>
      </c>
      <c r="Q405" s="21">
        <f>IF(ISBLANK($C405),"",$B405)</f>
        <v/>
      </c>
      <c r="R405" s="20">
        <f>IF(ISBLANK($C405),"",IF(ISBLANK($I405),$D405,$I405))</f>
        <v/>
      </c>
      <c r="S405" s="22">
        <f>IF(ISBLANK($C405),"",$F405 - $G405)</f>
        <v/>
      </c>
      <c r="T405" s="20">
        <f>IF(ISBLANK($C405),"",C405)</f>
        <v/>
      </c>
      <c r="U405" s="20">
        <f>IF(ISBLANK($C405),"",$D$1)</f>
        <v/>
      </c>
      <c r="V405" s="22">
        <f t="array" ref="V405">IF(ISBLANK($B405),"",IF(ISBLANK($K405),IF(XLOOKUP($W405,'Category Mapping'!$C:$C,'Category Mapping'!$B:$B)="Travel",XLOOKUP($P405,'Department Listing'!$A:$A,'Department Listing'!$M:$M),XLOOKUP($W405,'Category Mapping'!$C:$C,'Category Mapping'!$D:$D)),$K405))</f>
        <v/>
      </c>
      <c r="W405" s="22">
        <f>IF(ISBLANK($B405),"",IF(ISBLANK($L405),RIGHT($E405,LEN($E405) - FIND("^",SUBSTITUTE($E405,":","^",LEN($E405) - LEN(SUBSTITUTE($E405,":",""))))),$L405))</f>
        <v/>
      </c>
      <c r="X405" s="22">
        <f>IF(ISBLANK($J405),$V405&amp;$W405,$J405)</f>
        <v/>
      </c>
      <c r="Y405" s="23">
        <f t="array" ref="Y405">IF(ISBLANK($M405),IFERROR(XLOOKUP($P405,'Department Listing'!$A:$A,'Department Listing'!$L:$L),""),$M405)</f>
        <v/>
      </c>
      <c r="Z405" s="11">
        <f>IF(ISBLANK($B405),"",MATCH($X405,COA!$B:$B,0))</f>
        <v/>
      </c>
    </row>
    <row r="406" ht="15.75" customHeight="1" s="52">
      <c r="B406" s="17" t="n"/>
      <c r="E406" s="26" t="n"/>
      <c r="F406" s="19" t="n"/>
      <c r="G406" s="10" t="n"/>
      <c r="H406" s="10" t="n"/>
      <c r="I406" s="9" t="n"/>
      <c r="J406" s="9" t="n"/>
      <c r="K406" s="9" t="n"/>
      <c r="L406" s="9" t="n"/>
      <c r="M406" s="9" t="n"/>
      <c r="N406" s="20" t="n"/>
      <c r="O406" s="20">
        <f>IF(C406="", "", TRIM(RIGHT(C406, LEN(C406) - FIND("@@", SUBSTITUTE(C406, "-", "@@", LEN(C406) - LEN(SUBSTITUTE(C406, "-", "")))))))</f>
        <v/>
      </c>
      <c r="P406" s="20">
        <f t="array" ref="P406">IFERROR(XLOOKUP(O406,'Department Listing'!$O$1:$O$395,'Department Listing'!$A$1:$A$395),IFERROR(XLOOKUP(O406,'Name Aliases'!$A$2:$A$1000,'Name Aliases'!$B$2:$B$1000),""))</f>
        <v/>
      </c>
      <c r="Q406" s="21">
        <f>IF(ISBLANK($C406),"",$B406)</f>
        <v/>
      </c>
      <c r="R406" s="20">
        <f>IF(ISBLANK($C406),"",IF(ISBLANK($I406),$D406,$I406))</f>
        <v/>
      </c>
      <c r="S406" s="22">
        <f>IF(ISBLANK($C406),"",$F406 - $G406)</f>
        <v/>
      </c>
      <c r="T406" s="20">
        <f>IF(ISBLANK($C406),"",C406)</f>
        <v/>
      </c>
      <c r="U406" s="20">
        <f>IF(ISBLANK($C406),"",$D$1)</f>
        <v/>
      </c>
      <c r="V406" s="22">
        <f t="array" ref="V406">IF(ISBLANK($B406),"",IF(ISBLANK($K406),IF(XLOOKUP($W406,'Category Mapping'!$C:$C,'Category Mapping'!$B:$B)="Travel",XLOOKUP($P406,'Department Listing'!$A:$A,'Department Listing'!$M:$M),XLOOKUP($W406,'Category Mapping'!$C:$C,'Category Mapping'!$D:$D)),$K406))</f>
        <v/>
      </c>
      <c r="W406" s="22">
        <f>IF(ISBLANK($B406),"",IF(ISBLANK($L406),RIGHT($E406,LEN($E406) - FIND("^",SUBSTITUTE($E406,":","^",LEN($E406) - LEN(SUBSTITUTE($E406,":",""))))),$L406))</f>
        <v/>
      </c>
      <c r="X406" s="22">
        <f>IF(ISBLANK($J406),$V406&amp;$W406,$J406)</f>
        <v/>
      </c>
      <c r="Y406" s="23">
        <f t="array" ref="Y406">IF(ISBLANK($M406),IFERROR(XLOOKUP($P406,'Department Listing'!$A:$A,'Department Listing'!$L:$L),""),$M406)</f>
        <v/>
      </c>
      <c r="Z406" s="11">
        <f>IF(ISBLANK($B406),"",MATCH($X406,COA!$B:$B,0))</f>
        <v/>
      </c>
    </row>
    <row r="407" ht="15.75" customHeight="1" s="52">
      <c r="B407" s="17" t="n"/>
      <c r="E407" s="26" t="n"/>
      <c r="F407" s="19" t="n"/>
      <c r="G407" s="10" t="n"/>
      <c r="H407" s="10" t="n"/>
      <c r="I407" s="9" t="n"/>
      <c r="J407" s="9" t="n"/>
      <c r="K407" s="9" t="n"/>
      <c r="L407" s="9" t="n"/>
      <c r="M407" s="9" t="n"/>
      <c r="N407" s="20" t="n"/>
      <c r="O407" s="20">
        <f>IF(C407="", "", TRIM(RIGHT(C407, LEN(C407) - FIND("@@", SUBSTITUTE(C407, "-", "@@", LEN(C407) - LEN(SUBSTITUTE(C407, "-", "")))))))</f>
        <v/>
      </c>
      <c r="P407" s="20">
        <f t="array" ref="P407">IFERROR(XLOOKUP(O407,'Department Listing'!$O$1:$O$395,'Department Listing'!$A$1:$A$395),IFERROR(XLOOKUP(O407,'Name Aliases'!$A$2:$A$1000,'Name Aliases'!$B$2:$B$1000),""))</f>
        <v/>
      </c>
      <c r="Q407" s="21">
        <f>IF(ISBLANK($C407),"",$B407)</f>
        <v/>
      </c>
      <c r="R407" s="20">
        <f>IF(ISBLANK($C407),"",IF(ISBLANK($I407),$D407,$I407))</f>
        <v/>
      </c>
      <c r="S407" s="22">
        <f>IF(ISBLANK($C407),"",$F407 - $G407)</f>
        <v/>
      </c>
      <c r="T407" s="20">
        <f>IF(ISBLANK($C407),"",C407)</f>
        <v/>
      </c>
      <c r="U407" s="20">
        <f>IF(ISBLANK($C407),"",$D$1)</f>
        <v/>
      </c>
      <c r="V407" s="22">
        <f t="array" ref="V407">IF(ISBLANK($B407),"",IF(ISBLANK($K407),IF(XLOOKUP($W407,'Category Mapping'!$C:$C,'Category Mapping'!$B:$B)="Travel",XLOOKUP($P407,'Department Listing'!$A:$A,'Department Listing'!$M:$M),XLOOKUP($W407,'Category Mapping'!$C:$C,'Category Mapping'!$D:$D)),$K407))</f>
        <v/>
      </c>
      <c r="W407" s="22">
        <f>IF(ISBLANK($B407),"",IF(ISBLANK($L407),RIGHT($E407,LEN($E407) - FIND("^",SUBSTITUTE($E407,":","^",LEN($E407) - LEN(SUBSTITUTE($E407,":",""))))),$L407))</f>
        <v/>
      </c>
      <c r="X407" s="22">
        <f>IF(ISBLANK($J407),$V407&amp;$W407,$J407)</f>
        <v/>
      </c>
      <c r="Y407" s="23">
        <f t="array" ref="Y407">IF(ISBLANK($M407),IFERROR(XLOOKUP($P407,'Department Listing'!$A:$A,'Department Listing'!$L:$L),""),$M407)</f>
        <v/>
      </c>
      <c r="Z407" s="11">
        <f>IF(ISBLANK($B407),"",MATCH($X407,COA!$B:$B,0))</f>
        <v/>
      </c>
    </row>
    <row r="408" ht="15.75" customHeight="1" s="52">
      <c r="B408" s="17" t="n"/>
      <c r="E408" s="26" t="n"/>
      <c r="F408" s="19" t="n"/>
      <c r="G408" s="10" t="n"/>
      <c r="H408" s="10" t="n"/>
      <c r="I408" s="9" t="n"/>
      <c r="J408" s="9" t="n"/>
      <c r="K408" s="9" t="n"/>
      <c r="L408" s="9" t="n"/>
      <c r="M408" s="9" t="n"/>
      <c r="N408" s="20" t="n"/>
      <c r="O408" s="20">
        <f>IF(C408="", "", TRIM(RIGHT(C408, LEN(C408) - FIND("@@", SUBSTITUTE(C408, "-", "@@", LEN(C408) - LEN(SUBSTITUTE(C408, "-", "")))))))</f>
        <v/>
      </c>
      <c r="P408" s="20">
        <f t="array" ref="P408">IFERROR(XLOOKUP(O408,'Department Listing'!$O$1:$O$395,'Department Listing'!$A$1:$A$395),IFERROR(XLOOKUP(O408,'Name Aliases'!$A$2:$A$1000,'Name Aliases'!$B$2:$B$1000),""))</f>
        <v/>
      </c>
      <c r="Q408" s="21">
        <f>IF(ISBLANK($C408),"",$B408)</f>
        <v/>
      </c>
      <c r="R408" s="20">
        <f>IF(ISBLANK($C408),"",IF(ISBLANK($I408),$D408,$I408))</f>
        <v/>
      </c>
      <c r="S408" s="22">
        <f>IF(ISBLANK($C408),"",$F408 - $G408)</f>
        <v/>
      </c>
      <c r="T408" s="20">
        <f>IF(ISBLANK($C408),"",C408)</f>
        <v/>
      </c>
      <c r="U408" s="20">
        <f>IF(ISBLANK($C408),"",$D$1)</f>
        <v/>
      </c>
      <c r="V408" s="22">
        <f t="array" ref="V408">IF(ISBLANK($B408),"",IF(ISBLANK($K408),IF(XLOOKUP($W408,'Category Mapping'!$C:$C,'Category Mapping'!$B:$B)="Travel",XLOOKUP($P408,'Department Listing'!$A:$A,'Department Listing'!$M:$M),XLOOKUP($W408,'Category Mapping'!$C:$C,'Category Mapping'!$D:$D)),$K408))</f>
        <v/>
      </c>
      <c r="W408" s="22">
        <f>IF(ISBLANK($B408),"",IF(ISBLANK($L408),RIGHT($E408,LEN($E408) - FIND("^",SUBSTITUTE($E408,":","^",LEN($E408) - LEN(SUBSTITUTE($E408,":",""))))),$L408))</f>
        <v/>
      </c>
      <c r="X408" s="22">
        <f>IF(ISBLANK($J408),$V408&amp;$W408,$J408)</f>
        <v/>
      </c>
      <c r="Y408" s="23">
        <f t="array" ref="Y408">IF(ISBLANK($M408),IFERROR(XLOOKUP($P408,'Department Listing'!$A:$A,'Department Listing'!$L:$L),""),$M408)</f>
        <v/>
      </c>
      <c r="Z408" s="11">
        <f>IF(ISBLANK($B408),"",MATCH($X408,COA!$B:$B,0))</f>
        <v/>
      </c>
    </row>
    <row r="409" ht="15.75" customHeight="1" s="52">
      <c r="B409" s="17" t="n"/>
      <c r="E409" s="26" t="n"/>
      <c r="F409" s="19" t="n"/>
      <c r="G409" s="10" t="n"/>
      <c r="H409" s="10" t="n"/>
      <c r="I409" s="9" t="n"/>
      <c r="J409" s="9" t="n"/>
      <c r="K409" s="9" t="n"/>
      <c r="L409" s="9" t="n"/>
      <c r="M409" s="9" t="n"/>
      <c r="N409" s="20" t="n"/>
      <c r="O409" s="20">
        <f>IF(C409="", "", TRIM(RIGHT(C409, LEN(C409) - FIND("@@", SUBSTITUTE(C409, "-", "@@", LEN(C409) - LEN(SUBSTITUTE(C409, "-", "")))))))</f>
        <v/>
      </c>
      <c r="P409" s="20">
        <f t="array" ref="P409">IFERROR(XLOOKUP(O409,'Department Listing'!$O$1:$O$395,'Department Listing'!$A$1:$A$395),IFERROR(XLOOKUP(O409,'Name Aliases'!$A$2:$A$1000,'Name Aliases'!$B$2:$B$1000),""))</f>
        <v/>
      </c>
      <c r="Q409" s="21">
        <f>IF(ISBLANK($C409),"",$B409)</f>
        <v/>
      </c>
      <c r="R409" s="20">
        <f>IF(ISBLANK($C409),"",IF(ISBLANK($I409),$D409,$I409))</f>
        <v/>
      </c>
      <c r="S409" s="22">
        <f>IF(ISBLANK($C409),"",$F409 - $G409)</f>
        <v/>
      </c>
      <c r="T409" s="20">
        <f>IF(ISBLANK($C409),"",C409)</f>
        <v/>
      </c>
      <c r="U409" s="20">
        <f>IF(ISBLANK($C409),"",$D$1)</f>
        <v/>
      </c>
      <c r="V409" s="22">
        <f t="array" ref="V409">IF(ISBLANK($B409),"",IF(ISBLANK($K409),IF(XLOOKUP($W409,'Category Mapping'!$C:$C,'Category Mapping'!$B:$B)="Travel",XLOOKUP($P409,'Department Listing'!$A:$A,'Department Listing'!$M:$M),XLOOKUP($W409,'Category Mapping'!$C:$C,'Category Mapping'!$D:$D)),$K409))</f>
        <v/>
      </c>
      <c r="W409" s="22">
        <f>IF(ISBLANK($B409),"",IF(ISBLANK($L409),RIGHT($E409,LEN($E409) - FIND("^",SUBSTITUTE($E409,":","^",LEN($E409) - LEN(SUBSTITUTE($E409,":",""))))),$L409))</f>
        <v/>
      </c>
      <c r="X409" s="22">
        <f>IF(ISBLANK($J409),$V409&amp;$W409,$J409)</f>
        <v/>
      </c>
      <c r="Y409" s="23">
        <f t="array" ref="Y409">IF(ISBLANK($M409),IFERROR(XLOOKUP($P409,'Department Listing'!$A:$A,'Department Listing'!$L:$L),""),$M409)</f>
        <v/>
      </c>
      <c r="Z409" s="11">
        <f>IF(ISBLANK($B409),"",MATCH($X409,COA!$B:$B,0))</f>
        <v/>
      </c>
    </row>
    <row r="410" ht="15.75" customHeight="1" s="52">
      <c r="B410" s="17" t="n"/>
      <c r="E410" s="26" t="n"/>
      <c r="F410" s="19" t="n"/>
      <c r="G410" s="10" t="n"/>
      <c r="H410" s="10" t="n"/>
      <c r="I410" s="9" t="n"/>
      <c r="J410" s="9" t="n"/>
      <c r="K410" s="9" t="n"/>
      <c r="L410" s="9" t="n"/>
      <c r="M410" s="9" t="n"/>
      <c r="N410" s="20" t="n"/>
      <c r="O410" s="20">
        <f>IF(C410="", "", TRIM(RIGHT(C410, LEN(C410) - FIND("@@", SUBSTITUTE(C410, "-", "@@", LEN(C410) - LEN(SUBSTITUTE(C410, "-", "")))))))</f>
        <v/>
      </c>
      <c r="P410" s="20">
        <f t="array" ref="P410">IFERROR(XLOOKUP(O410,'Department Listing'!$O$1:$O$395,'Department Listing'!$A$1:$A$395),IFERROR(XLOOKUP(O410,'Name Aliases'!$A$2:$A$1000,'Name Aliases'!$B$2:$B$1000),""))</f>
        <v/>
      </c>
      <c r="Q410" s="21">
        <f>IF(ISBLANK($C410),"",$B410)</f>
        <v/>
      </c>
      <c r="R410" s="20">
        <f>IF(ISBLANK($C410),"",IF(ISBLANK($I410),$D410,$I410))</f>
        <v/>
      </c>
      <c r="S410" s="22">
        <f>IF(ISBLANK($C410),"",$F410 - $G410)</f>
        <v/>
      </c>
      <c r="T410" s="20">
        <f>IF(ISBLANK($C410),"",C410)</f>
        <v/>
      </c>
      <c r="U410" s="20">
        <f>IF(ISBLANK($C410),"",$D$1)</f>
        <v/>
      </c>
      <c r="V410" s="22">
        <f t="array" ref="V410">IF(ISBLANK($B410),"",IF(ISBLANK($K410),IF(XLOOKUP($W410,'Category Mapping'!$C:$C,'Category Mapping'!$B:$B)="Travel",XLOOKUP($P410,'Department Listing'!$A:$A,'Department Listing'!$M:$M),XLOOKUP($W410,'Category Mapping'!$C:$C,'Category Mapping'!$D:$D)),$K410))</f>
        <v/>
      </c>
      <c r="W410" s="22">
        <f>IF(ISBLANK($B410),"",IF(ISBLANK($L410),RIGHT($E410,LEN($E410) - FIND("^",SUBSTITUTE($E410,":","^",LEN($E410) - LEN(SUBSTITUTE($E410,":",""))))),$L410))</f>
        <v/>
      </c>
      <c r="X410" s="22">
        <f>IF(ISBLANK($J410),$V410&amp;$W410,$J410)</f>
        <v/>
      </c>
      <c r="Y410" s="23">
        <f t="array" ref="Y410">IF(ISBLANK($M410),IFERROR(XLOOKUP($P410,'Department Listing'!$A:$A,'Department Listing'!$L:$L),""),$M410)</f>
        <v/>
      </c>
      <c r="Z410" s="11">
        <f>IF(ISBLANK($B410),"",MATCH($X410,COA!$B:$B,0))</f>
        <v/>
      </c>
    </row>
    <row r="411" ht="15.75" customHeight="1" s="52">
      <c r="B411" s="17" t="n"/>
      <c r="E411" s="26" t="n"/>
      <c r="F411" s="19" t="n"/>
      <c r="G411" s="10" t="n"/>
      <c r="H411" s="10" t="n"/>
      <c r="I411" s="9" t="n"/>
      <c r="J411" s="9" t="n"/>
      <c r="K411" s="9" t="n"/>
      <c r="L411" s="9" t="n"/>
      <c r="M411" s="9" t="n"/>
      <c r="N411" s="20" t="n"/>
      <c r="O411" s="20">
        <f>IF(C411="", "", TRIM(RIGHT(C411, LEN(C411) - FIND("@@", SUBSTITUTE(C411, "-", "@@", LEN(C411) - LEN(SUBSTITUTE(C411, "-", "")))))))</f>
        <v/>
      </c>
      <c r="P411" s="20">
        <f t="array" ref="P411">IFERROR(XLOOKUP(O411,'Department Listing'!$O$1:$O$395,'Department Listing'!$A$1:$A$395),IFERROR(XLOOKUP(O411,'Name Aliases'!$A$2:$A$1000,'Name Aliases'!$B$2:$B$1000),""))</f>
        <v/>
      </c>
      <c r="Q411" s="21">
        <f>IF(ISBLANK($C411),"",$B411)</f>
        <v/>
      </c>
      <c r="R411" s="20">
        <f>IF(ISBLANK($C411),"",IF(ISBLANK($I411),$D411,$I411))</f>
        <v/>
      </c>
      <c r="S411" s="22">
        <f>IF(ISBLANK($C411),"",$F411 - $G411)</f>
        <v/>
      </c>
      <c r="T411" s="20">
        <f>IF(ISBLANK($C411),"",C411)</f>
        <v/>
      </c>
      <c r="U411" s="20">
        <f>IF(ISBLANK($C411),"",$D$1)</f>
        <v/>
      </c>
      <c r="V411" s="22">
        <f t="array" ref="V411">IF(ISBLANK($B411),"",IF(ISBLANK($K411),IF(XLOOKUP($W411,'Category Mapping'!$C:$C,'Category Mapping'!$B:$B)="Travel",XLOOKUP($P411,'Department Listing'!$A:$A,'Department Listing'!$M:$M),XLOOKUP($W411,'Category Mapping'!$C:$C,'Category Mapping'!$D:$D)),$K411))</f>
        <v/>
      </c>
      <c r="W411" s="22">
        <f>IF(ISBLANK($B411),"",IF(ISBLANK($L411),RIGHT($E411,LEN($E411) - FIND("^",SUBSTITUTE($E411,":","^",LEN($E411) - LEN(SUBSTITUTE($E411,":",""))))),$L411))</f>
        <v/>
      </c>
      <c r="X411" s="22">
        <f>IF(ISBLANK($J411),$V411&amp;$W411,$J411)</f>
        <v/>
      </c>
      <c r="Y411" s="23">
        <f t="array" ref="Y411">IF(ISBLANK($M411),IFERROR(XLOOKUP($P411,'Department Listing'!$A:$A,'Department Listing'!$L:$L),""),$M411)</f>
        <v/>
      </c>
      <c r="Z411" s="11">
        <f>IF(ISBLANK($B411),"",MATCH($X411,COA!$B:$B,0))</f>
        <v/>
      </c>
    </row>
    <row r="412" ht="15.75" customHeight="1" s="52">
      <c r="B412" s="17" t="n"/>
      <c r="E412" s="26" t="n"/>
      <c r="F412" s="19" t="n"/>
      <c r="G412" s="10" t="n"/>
      <c r="H412" s="10" t="n"/>
      <c r="I412" s="9" t="n"/>
      <c r="J412" s="9" t="n"/>
      <c r="K412" s="9" t="n"/>
      <c r="L412" s="9" t="n"/>
      <c r="M412" s="9" t="n"/>
      <c r="N412" s="20" t="n"/>
      <c r="O412" s="20">
        <f>IF(C412="", "", TRIM(RIGHT(C412, LEN(C412) - FIND("@@", SUBSTITUTE(C412, "-", "@@", LEN(C412) - LEN(SUBSTITUTE(C412, "-", "")))))))</f>
        <v/>
      </c>
      <c r="P412" s="20">
        <f t="array" ref="P412">IFERROR(XLOOKUP(O412,'Department Listing'!$O$1:$O$395,'Department Listing'!$A$1:$A$395),IFERROR(XLOOKUP(O412,'Name Aliases'!$A$2:$A$1000,'Name Aliases'!$B$2:$B$1000),""))</f>
        <v/>
      </c>
      <c r="Q412" s="21">
        <f>IF(ISBLANK($C412),"",$B412)</f>
        <v/>
      </c>
      <c r="R412" s="20">
        <f>IF(ISBLANK($C412),"",IF(ISBLANK($I412),$D412,$I412))</f>
        <v/>
      </c>
      <c r="S412" s="22">
        <f>IF(ISBLANK($C412),"",$F412 - $G412)</f>
        <v/>
      </c>
      <c r="T412" s="20">
        <f>IF(ISBLANK($C412),"",C412)</f>
        <v/>
      </c>
      <c r="U412" s="20">
        <f>IF(ISBLANK($C412),"",$D$1)</f>
        <v/>
      </c>
      <c r="V412" s="22">
        <f t="array" ref="V412">IF(ISBLANK($B412),"",IF(ISBLANK($K412),IF(XLOOKUP($W412,'Category Mapping'!$C:$C,'Category Mapping'!$B:$B)="Travel",XLOOKUP($P412,'Department Listing'!$A:$A,'Department Listing'!$M:$M),XLOOKUP($W412,'Category Mapping'!$C:$C,'Category Mapping'!$D:$D)),$K412))</f>
        <v/>
      </c>
      <c r="W412" s="22">
        <f>IF(ISBLANK($B412),"",IF(ISBLANK($L412),RIGHT($E412,LEN($E412) - FIND("^",SUBSTITUTE($E412,":","^",LEN($E412) - LEN(SUBSTITUTE($E412,":",""))))),$L412))</f>
        <v/>
      </c>
      <c r="X412" s="22">
        <f>IF(ISBLANK($J412),$V412&amp;$W412,$J412)</f>
        <v/>
      </c>
      <c r="Y412" s="23">
        <f t="array" ref="Y412">IF(ISBLANK($M412),IFERROR(XLOOKUP($P412,'Department Listing'!$A:$A,'Department Listing'!$L:$L),""),$M412)</f>
        <v/>
      </c>
      <c r="Z412" s="11">
        <f>IF(ISBLANK($B412),"",MATCH($X412,COA!$B:$B,0))</f>
        <v/>
      </c>
    </row>
    <row r="413" ht="15.75" customHeight="1" s="52">
      <c r="B413" s="17" t="n"/>
      <c r="E413" s="26" t="n"/>
      <c r="F413" s="19" t="n"/>
      <c r="G413" s="10" t="n"/>
      <c r="H413" s="10" t="n"/>
      <c r="I413" s="9" t="n"/>
      <c r="J413" s="9" t="n"/>
      <c r="K413" s="9" t="n"/>
      <c r="L413" s="9" t="n"/>
      <c r="M413" s="9" t="n"/>
      <c r="N413" s="20" t="n"/>
      <c r="O413" s="20">
        <f>IF(C413="", "", TRIM(RIGHT(C413, LEN(C413) - FIND("@@", SUBSTITUTE(C413, "-", "@@", LEN(C413) - LEN(SUBSTITUTE(C413, "-", "")))))))</f>
        <v/>
      </c>
      <c r="P413" s="20">
        <f t="array" ref="P413">IFERROR(XLOOKUP(O413,'Department Listing'!$O$1:$O$395,'Department Listing'!$A$1:$A$395),IFERROR(XLOOKUP(O413,'Name Aliases'!$A$2:$A$1000,'Name Aliases'!$B$2:$B$1000),""))</f>
        <v/>
      </c>
      <c r="Q413" s="21">
        <f>IF(ISBLANK($C413),"",$B413)</f>
        <v/>
      </c>
      <c r="R413" s="20">
        <f>IF(ISBLANK($C413),"",IF(ISBLANK($I413),$D413,$I413))</f>
        <v/>
      </c>
      <c r="S413" s="22">
        <f>IF(ISBLANK($C413),"",$F413 - $G413)</f>
        <v/>
      </c>
      <c r="T413" s="20">
        <f>IF(ISBLANK($C413),"",C413)</f>
        <v/>
      </c>
      <c r="U413" s="20">
        <f>IF(ISBLANK($C413),"",$D$1)</f>
        <v/>
      </c>
      <c r="V413" s="22">
        <f t="array" ref="V413">IF(ISBLANK($B413),"",IF(ISBLANK($K413),IF(XLOOKUP($W413,'Category Mapping'!$C:$C,'Category Mapping'!$B:$B)="Travel",XLOOKUP($P413,'Department Listing'!$A:$A,'Department Listing'!$M:$M),XLOOKUP($W413,'Category Mapping'!$C:$C,'Category Mapping'!$D:$D)),$K413))</f>
        <v/>
      </c>
      <c r="W413" s="22">
        <f>IF(ISBLANK($B413),"",IF(ISBLANK($L413),RIGHT($E413,LEN($E413) - FIND("^",SUBSTITUTE($E413,":","^",LEN($E413) - LEN(SUBSTITUTE($E413,":",""))))),$L413))</f>
        <v/>
      </c>
      <c r="X413" s="22">
        <f>IF(ISBLANK($J413),$V413&amp;$W413,$J413)</f>
        <v/>
      </c>
      <c r="Y413" s="23">
        <f t="array" ref="Y413">IF(ISBLANK($M413),IFERROR(XLOOKUP($P413,'Department Listing'!$A:$A,'Department Listing'!$L:$L),""),$M413)</f>
        <v/>
      </c>
      <c r="Z413" s="11">
        <f>IF(ISBLANK($B413),"",MATCH($X413,COA!$B:$B,0))</f>
        <v/>
      </c>
    </row>
    <row r="414" ht="15.75" customHeight="1" s="52">
      <c r="B414" s="17" t="n"/>
      <c r="E414" s="26" t="n"/>
      <c r="F414" s="19" t="n"/>
      <c r="G414" s="10" t="n"/>
      <c r="H414" s="10" t="n"/>
      <c r="I414" s="9" t="n"/>
      <c r="J414" s="9" t="n"/>
      <c r="K414" s="9" t="n"/>
      <c r="L414" s="9" t="n"/>
      <c r="M414" s="9" t="n"/>
      <c r="N414" s="20" t="n"/>
      <c r="O414" s="20">
        <f>IF(C414="", "", TRIM(RIGHT(C414, LEN(C414) - FIND("@@", SUBSTITUTE(C414, "-", "@@", LEN(C414) - LEN(SUBSTITUTE(C414, "-", "")))))))</f>
        <v/>
      </c>
      <c r="P414" s="20">
        <f t="array" ref="P414">IFERROR(XLOOKUP(O414,'Department Listing'!$O$1:$O$395,'Department Listing'!$A$1:$A$395),IFERROR(XLOOKUP(O414,'Name Aliases'!$A$2:$A$1000,'Name Aliases'!$B$2:$B$1000),""))</f>
        <v/>
      </c>
      <c r="Q414" s="21">
        <f>IF(ISBLANK($C414),"",$B414)</f>
        <v/>
      </c>
      <c r="R414" s="20">
        <f>IF(ISBLANK($C414),"",IF(ISBLANK($I414),$D414,$I414))</f>
        <v/>
      </c>
      <c r="S414" s="22">
        <f>IF(ISBLANK($C414),"",$F414 - $G414)</f>
        <v/>
      </c>
      <c r="T414" s="20">
        <f>IF(ISBLANK($C414),"",C414)</f>
        <v/>
      </c>
      <c r="U414" s="20">
        <f>IF(ISBLANK($C414),"",$D$1)</f>
        <v/>
      </c>
      <c r="V414" s="22">
        <f t="array" ref="V414">IF(ISBLANK($B414),"",IF(ISBLANK($K414),IF(XLOOKUP($W414,'Category Mapping'!$C:$C,'Category Mapping'!$B:$B)="Travel",XLOOKUP($P414,'Department Listing'!$A:$A,'Department Listing'!$M:$M),XLOOKUP($W414,'Category Mapping'!$C:$C,'Category Mapping'!$D:$D)),$K414))</f>
        <v/>
      </c>
      <c r="W414" s="22">
        <f>IF(ISBLANK($B414),"",IF(ISBLANK($L414),RIGHT($E414,LEN($E414) - FIND("^",SUBSTITUTE($E414,":","^",LEN($E414) - LEN(SUBSTITUTE($E414,":",""))))),$L414))</f>
        <v/>
      </c>
      <c r="X414" s="22">
        <f>IF(ISBLANK($J414),$V414&amp;$W414,$J414)</f>
        <v/>
      </c>
      <c r="Y414" s="23">
        <f t="array" ref="Y414">IF(ISBLANK($M414),IFERROR(XLOOKUP($P414,'Department Listing'!$A:$A,'Department Listing'!$L:$L),""),$M414)</f>
        <v/>
      </c>
      <c r="Z414" s="11">
        <f>IF(ISBLANK($B414),"",MATCH($X414,COA!$B:$B,0))</f>
        <v/>
      </c>
    </row>
    <row r="415" ht="15.75" customHeight="1" s="52">
      <c r="B415" s="17" t="n"/>
      <c r="E415" s="26" t="n"/>
      <c r="F415" s="19" t="n"/>
      <c r="G415" s="10" t="n"/>
      <c r="H415" s="10" t="n"/>
      <c r="I415" s="9" t="n"/>
      <c r="J415" s="9" t="n"/>
      <c r="K415" s="9" t="n"/>
      <c r="L415" s="9" t="n"/>
      <c r="M415" s="9" t="n"/>
      <c r="N415" s="20" t="n"/>
      <c r="O415" s="20">
        <f>IF(C415="", "", TRIM(RIGHT(C415, LEN(C415) - FIND("@@", SUBSTITUTE(C415, "-", "@@", LEN(C415) - LEN(SUBSTITUTE(C415, "-", "")))))))</f>
        <v/>
      </c>
      <c r="P415" s="20">
        <f t="array" ref="P415">IFERROR(XLOOKUP(O415,'Department Listing'!$O$1:$O$395,'Department Listing'!$A$1:$A$395),IFERROR(XLOOKUP(O415,'Name Aliases'!$A$2:$A$1000,'Name Aliases'!$B$2:$B$1000),""))</f>
        <v/>
      </c>
      <c r="Q415" s="21">
        <f>IF(ISBLANK($C415),"",$B415)</f>
        <v/>
      </c>
      <c r="R415" s="20">
        <f>IF(ISBLANK($C415),"",IF(ISBLANK($I415),$D415,$I415))</f>
        <v/>
      </c>
      <c r="S415" s="22">
        <f>IF(ISBLANK($C415),"",$F415 - $G415)</f>
        <v/>
      </c>
      <c r="T415" s="20">
        <f>IF(ISBLANK($C415),"",C415)</f>
        <v/>
      </c>
      <c r="U415" s="20">
        <f>IF(ISBLANK($C415),"",$D$1)</f>
        <v/>
      </c>
      <c r="V415" s="22">
        <f t="array" ref="V415">IF(ISBLANK($B415),"",IF(ISBLANK($K415),IF(XLOOKUP($W415,'Category Mapping'!$C:$C,'Category Mapping'!$B:$B)="Travel",XLOOKUP($P415,'Department Listing'!$A:$A,'Department Listing'!$M:$M),XLOOKUP($W415,'Category Mapping'!$C:$C,'Category Mapping'!$D:$D)),$K415))</f>
        <v/>
      </c>
      <c r="W415" s="22">
        <f>IF(ISBLANK($B415),"",IF(ISBLANK($L415),RIGHT($E415,LEN($E415) - FIND("^",SUBSTITUTE($E415,":","^",LEN($E415) - LEN(SUBSTITUTE($E415,":",""))))),$L415))</f>
        <v/>
      </c>
      <c r="X415" s="22">
        <f>IF(ISBLANK($J415),$V415&amp;$W415,$J415)</f>
        <v/>
      </c>
      <c r="Y415" s="23">
        <f t="array" ref="Y415">IF(ISBLANK($M415),IFERROR(XLOOKUP($P415,'Department Listing'!$A:$A,'Department Listing'!$L:$L),""),$M415)</f>
        <v/>
      </c>
      <c r="Z415" s="11">
        <f>IF(ISBLANK($B415),"",MATCH($X415,COA!$B:$B,0))</f>
        <v/>
      </c>
    </row>
    <row r="416" ht="15.75" customHeight="1" s="52">
      <c r="B416" s="17" t="n"/>
      <c r="E416" s="26" t="n"/>
      <c r="F416" s="19" t="n"/>
      <c r="G416" s="10" t="n"/>
      <c r="H416" s="10" t="n"/>
      <c r="I416" s="9" t="n"/>
      <c r="J416" s="9" t="n"/>
      <c r="K416" s="9" t="n"/>
      <c r="L416" s="9" t="n"/>
      <c r="M416" s="9" t="n"/>
      <c r="N416" s="20" t="n"/>
      <c r="O416" s="20">
        <f>IF(C416="", "", TRIM(RIGHT(C416, LEN(C416) - FIND("@@", SUBSTITUTE(C416, "-", "@@", LEN(C416) - LEN(SUBSTITUTE(C416, "-", "")))))))</f>
        <v/>
      </c>
      <c r="P416" s="20">
        <f t="array" ref="P416">IFERROR(XLOOKUP(O416,'Department Listing'!$O$1:$O$395,'Department Listing'!$A$1:$A$395),IFERROR(XLOOKUP(O416,'Name Aliases'!$A$2:$A$1000,'Name Aliases'!$B$2:$B$1000),""))</f>
        <v/>
      </c>
      <c r="Q416" s="21">
        <f>IF(ISBLANK($C416),"",$B416)</f>
        <v/>
      </c>
      <c r="R416" s="20">
        <f>IF(ISBLANK($C416),"",IF(ISBLANK($I416),$D416,$I416))</f>
        <v/>
      </c>
      <c r="S416" s="22">
        <f>IF(ISBLANK($C416),"",$F416 - $G416)</f>
        <v/>
      </c>
      <c r="T416" s="20">
        <f>IF(ISBLANK($C416),"",C416)</f>
        <v/>
      </c>
      <c r="U416" s="20">
        <f>IF(ISBLANK($C416),"",$D$1)</f>
        <v/>
      </c>
      <c r="V416" s="22">
        <f t="array" ref="V416">IF(ISBLANK($B416),"",IF(ISBLANK($K416),IF(XLOOKUP($W416,'Category Mapping'!$C:$C,'Category Mapping'!$B:$B)="Travel",XLOOKUP($P416,'Department Listing'!$A:$A,'Department Listing'!$M:$M),XLOOKUP($W416,'Category Mapping'!$C:$C,'Category Mapping'!$D:$D)),$K416))</f>
        <v/>
      </c>
      <c r="W416" s="22">
        <f>IF(ISBLANK($B416),"",IF(ISBLANK($L416),RIGHT($E416,LEN($E416) - FIND("^",SUBSTITUTE($E416,":","^",LEN($E416) - LEN(SUBSTITUTE($E416,":",""))))),$L416))</f>
        <v/>
      </c>
      <c r="X416" s="22">
        <f>IF(ISBLANK($J416),$V416&amp;$W416,$J416)</f>
        <v/>
      </c>
      <c r="Y416" s="23">
        <f t="array" ref="Y416">IF(ISBLANK($M416),IFERROR(XLOOKUP($P416,'Department Listing'!$A:$A,'Department Listing'!$L:$L),""),$M416)</f>
        <v/>
      </c>
      <c r="Z416" s="11">
        <f>IF(ISBLANK($B416),"",MATCH($X416,COA!$B:$B,0))</f>
        <v/>
      </c>
    </row>
    <row r="417" ht="15.75" customHeight="1" s="52">
      <c r="B417" s="17" t="n"/>
      <c r="E417" s="26" t="n"/>
      <c r="F417" s="19" t="n"/>
      <c r="G417" s="10" t="n"/>
      <c r="H417" s="10" t="n"/>
      <c r="I417" s="9" t="n"/>
      <c r="J417" s="9" t="n"/>
      <c r="K417" s="9" t="n"/>
      <c r="L417" s="9" t="n"/>
      <c r="M417" s="9" t="n"/>
      <c r="N417" s="20" t="n"/>
      <c r="O417" s="20">
        <f>IF(C417="", "", TRIM(RIGHT(C417, LEN(C417) - FIND("@@", SUBSTITUTE(C417, "-", "@@", LEN(C417) - LEN(SUBSTITUTE(C417, "-", "")))))))</f>
        <v/>
      </c>
      <c r="P417" s="20">
        <f t="array" ref="P417">IFERROR(XLOOKUP(O417,'Department Listing'!$O$1:$O$395,'Department Listing'!$A$1:$A$395),IFERROR(XLOOKUP(O417,'Name Aliases'!$A$2:$A$1000,'Name Aliases'!$B$2:$B$1000),""))</f>
        <v/>
      </c>
      <c r="Q417" s="21">
        <f>IF(ISBLANK($C417),"",$B417)</f>
        <v/>
      </c>
      <c r="R417" s="20">
        <f>IF(ISBLANK($C417),"",IF(ISBLANK($I417),$D417,$I417))</f>
        <v/>
      </c>
      <c r="S417" s="22">
        <f>IF(ISBLANK($C417),"",$F417 - $G417)</f>
        <v/>
      </c>
      <c r="T417" s="20">
        <f>IF(ISBLANK($C417),"",C417)</f>
        <v/>
      </c>
      <c r="U417" s="20">
        <f>IF(ISBLANK($C417),"",$D$1)</f>
        <v/>
      </c>
      <c r="V417" s="22">
        <f t="array" ref="V417">IF(ISBLANK($B417),"",IF(ISBLANK($K417),IF(XLOOKUP($W417,'Category Mapping'!$C:$C,'Category Mapping'!$B:$B)="Travel",XLOOKUP($P417,'Department Listing'!$A:$A,'Department Listing'!$M:$M),XLOOKUP($W417,'Category Mapping'!$C:$C,'Category Mapping'!$D:$D)),$K417))</f>
        <v/>
      </c>
      <c r="W417" s="22">
        <f>IF(ISBLANK($B417),"",IF(ISBLANK($L417),RIGHT($E417,LEN($E417) - FIND("^",SUBSTITUTE($E417,":","^",LEN($E417) - LEN(SUBSTITUTE($E417,":",""))))),$L417))</f>
        <v/>
      </c>
      <c r="X417" s="22">
        <f>IF(ISBLANK($J417),$V417&amp;$W417,$J417)</f>
        <v/>
      </c>
      <c r="Y417" s="23">
        <f t="array" ref="Y417">IF(ISBLANK($M417),IFERROR(XLOOKUP($P417,'Department Listing'!$A:$A,'Department Listing'!$L:$L),""),$M417)</f>
        <v/>
      </c>
      <c r="Z417" s="11">
        <f>IF(ISBLANK($B417),"",MATCH($X417,COA!$B:$B,0))</f>
        <v/>
      </c>
    </row>
    <row r="418" ht="15.75" customHeight="1" s="52">
      <c r="B418" s="17" t="n"/>
      <c r="E418" s="26" t="n"/>
      <c r="F418" s="19" t="n"/>
      <c r="G418" s="10" t="n"/>
      <c r="H418" s="10" t="n"/>
      <c r="I418" s="9" t="n"/>
      <c r="J418" s="9" t="n"/>
      <c r="K418" s="9" t="n"/>
      <c r="L418" s="9" t="n"/>
      <c r="M418" s="9" t="n"/>
      <c r="N418" s="20" t="n"/>
      <c r="O418" s="20">
        <f>IF(C418="", "", TRIM(RIGHT(C418, LEN(C418) - FIND("@@", SUBSTITUTE(C418, "-", "@@", LEN(C418) - LEN(SUBSTITUTE(C418, "-", "")))))))</f>
        <v/>
      </c>
      <c r="P418" s="20">
        <f t="array" ref="P418">IFERROR(XLOOKUP(O418,'Department Listing'!$O$1:$O$395,'Department Listing'!$A$1:$A$395),IFERROR(XLOOKUP(O418,'Name Aliases'!$A$2:$A$1000,'Name Aliases'!$B$2:$B$1000),""))</f>
        <v/>
      </c>
      <c r="Q418" s="21">
        <f>IF(ISBLANK($C418),"",$B418)</f>
        <v/>
      </c>
      <c r="R418" s="20">
        <f>IF(ISBLANK($C418),"",IF(ISBLANK($I418),$D418,$I418))</f>
        <v/>
      </c>
      <c r="S418" s="22">
        <f>IF(ISBLANK($C418),"",$F418 - $G418)</f>
        <v/>
      </c>
      <c r="T418" s="20">
        <f>IF(ISBLANK($C418),"",C418)</f>
        <v/>
      </c>
      <c r="U418" s="20">
        <f>IF(ISBLANK($C418),"",$D$1)</f>
        <v/>
      </c>
      <c r="V418" s="22">
        <f t="array" ref="V418">IF(ISBLANK($B418),"",IF(ISBLANK($K418),IF(XLOOKUP($W418,'Category Mapping'!$C:$C,'Category Mapping'!$B:$B)="Travel",XLOOKUP($P418,'Department Listing'!$A:$A,'Department Listing'!$M:$M),XLOOKUP($W418,'Category Mapping'!$C:$C,'Category Mapping'!$D:$D)),$K418))</f>
        <v/>
      </c>
      <c r="W418" s="22">
        <f>IF(ISBLANK($B418),"",IF(ISBLANK($L418),RIGHT($E418,LEN($E418) - FIND("^",SUBSTITUTE($E418,":","^",LEN($E418) - LEN(SUBSTITUTE($E418,":",""))))),$L418))</f>
        <v/>
      </c>
      <c r="X418" s="22">
        <f>IF(ISBLANK($J418),$V418&amp;$W418,$J418)</f>
        <v/>
      </c>
      <c r="Y418" s="23">
        <f t="array" ref="Y418">IF(ISBLANK($M418),IFERROR(XLOOKUP($P418,'Department Listing'!$A:$A,'Department Listing'!$L:$L),""),$M418)</f>
        <v/>
      </c>
      <c r="Z418" s="11">
        <f>IF(ISBLANK($B418),"",MATCH($X418,COA!$B:$B,0))</f>
        <v/>
      </c>
    </row>
    <row r="419" ht="15.75" customHeight="1" s="52">
      <c r="B419" s="17" t="n"/>
      <c r="E419" s="26" t="n"/>
      <c r="F419" s="19" t="n"/>
      <c r="G419" s="10" t="n"/>
      <c r="H419" s="10" t="n"/>
      <c r="I419" s="9" t="n"/>
      <c r="J419" s="9" t="n"/>
      <c r="K419" s="9" t="n"/>
      <c r="L419" s="9" t="n"/>
      <c r="M419" s="9" t="n"/>
      <c r="N419" s="20" t="n"/>
      <c r="O419" s="20">
        <f>IF(C419="", "", TRIM(RIGHT(C419, LEN(C419) - FIND("@@", SUBSTITUTE(C419, "-", "@@", LEN(C419) - LEN(SUBSTITUTE(C419, "-", "")))))))</f>
        <v/>
      </c>
      <c r="P419" s="20">
        <f t="array" ref="P419">IFERROR(XLOOKUP(O419,'Department Listing'!$O$1:$O$395,'Department Listing'!$A$1:$A$395),IFERROR(XLOOKUP(O419,'Name Aliases'!$A$2:$A$1000,'Name Aliases'!$B$2:$B$1000),""))</f>
        <v/>
      </c>
      <c r="Q419" s="21">
        <f>IF(ISBLANK($C419),"",$B419)</f>
        <v/>
      </c>
      <c r="R419" s="20">
        <f>IF(ISBLANK($C419),"",IF(ISBLANK($I419),$D419,$I419))</f>
        <v/>
      </c>
      <c r="S419" s="22">
        <f>IF(ISBLANK($C419),"",$F419 - $G419)</f>
        <v/>
      </c>
      <c r="T419" s="20">
        <f>IF(ISBLANK($C419),"",C419)</f>
        <v/>
      </c>
      <c r="U419" s="20">
        <f>IF(ISBLANK($C419),"",$D$1)</f>
        <v/>
      </c>
      <c r="V419" s="22">
        <f t="array" ref="V419">IF(ISBLANK($B419),"",IF(ISBLANK($K419),IF(XLOOKUP($W419,'Category Mapping'!$C:$C,'Category Mapping'!$B:$B)="Travel",XLOOKUP($P419,'Department Listing'!$A:$A,'Department Listing'!$M:$M),XLOOKUP($W419,'Category Mapping'!$C:$C,'Category Mapping'!$D:$D)),$K419))</f>
        <v/>
      </c>
      <c r="W419" s="22">
        <f>IF(ISBLANK($B419),"",IF(ISBLANK($L419),RIGHT($E419,LEN($E419) - FIND("^",SUBSTITUTE($E419,":","^",LEN($E419) - LEN(SUBSTITUTE($E419,":",""))))),$L419))</f>
        <v/>
      </c>
      <c r="X419" s="22">
        <f>IF(ISBLANK($J419),$V419&amp;$W419,$J419)</f>
        <v/>
      </c>
      <c r="Y419" s="23">
        <f t="array" ref="Y419">IF(ISBLANK($M419),IFERROR(XLOOKUP($P419,'Department Listing'!$A:$A,'Department Listing'!$L:$L),""),$M419)</f>
        <v/>
      </c>
      <c r="Z419" s="11">
        <f>IF(ISBLANK($B419),"",MATCH($X419,COA!$B:$B,0))</f>
        <v/>
      </c>
    </row>
    <row r="420" ht="15.75" customHeight="1" s="52">
      <c r="B420" s="17" t="n"/>
      <c r="E420" s="26" t="n"/>
      <c r="F420" s="19" t="n"/>
      <c r="G420" s="10" t="n"/>
      <c r="H420" s="10" t="n"/>
      <c r="I420" s="9" t="n"/>
      <c r="J420" s="9" t="n"/>
      <c r="K420" s="9" t="n"/>
      <c r="L420" s="9" t="n"/>
      <c r="M420" s="9" t="n"/>
      <c r="N420" s="20" t="n"/>
      <c r="O420" s="20">
        <f>IF(C420="", "", TRIM(RIGHT(C420, LEN(C420) - FIND("@@", SUBSTITUTE(C420, "-", "@@", LEN(C420) - LEN(SUBSTITUTE(C420, "-", "")))))))</f>
        <v/>
      </c>
      <c r="P420" s="20">
        <f t="array" ref="P420">IFERROR(XLOOKUP(O420,'Department Listing'!$O$1:$O$395,'Department Listing'!$A$1:$A$395),IFERROR(XLOOKUP(O420,'Name Aliases'!$A$2:$A$1000,'Name Aliases'!$B$2:$B$1000),""))</f>
        <v/>
      </c>
      <c r="Q420" s="21">
        <f>IF(ISBLANK($C420),"",$B420)</f>
        <v/>
      </c>
      <c r="R420" s="20">
        <f>IF(ISBLANK($C420),"",IF(ISBLANK($I420),$D420,$I420))</f>
        <v/>
      </c>
      <c r="S420" s="22">
        <f>IF(ISBLANK($C420),"",$F420 - $G420)</f>
        <v/>
      </c>
      <c r="T420" s="20">
        <f>IF(ISBLANK($C420),"",C420)</f>
        <v/>
      </c>
      <c r="U420" s="20">
        <f>IF(ISBLANK($C420),"",$D$1)</f>
        <v/>
      </c>
      <c r="V420" s="22">
        <f t="array" ref="V420">IF(ISBLANK($B420),"",IF(ISBLANK($K420),IF(XLOOKUP($W420,'Category Mapping'!$C:$C,'Category Mapping'!$B:$B)="Travel",XLOOKUP($P420,'Department Listing'!$A:$A,'Department Listing'!$M:$M),XLOOKUP($W420,'Category Mapping'!$C:$C,'Category Mapping'!$D:$D)),$K420))</f>
        <v/>
      </c>
      <c r="W420" s="22">
        <f>IF(ISBLANK($B420),"",IF(ISBLANK($L420),RIGHT($E420,LEN($E420) - FIND("^",SUBSTITUTE($E420,":","^",LEN($E420) - LEN(SUBSTITUTE($E420,":",""))))),$L420))</f>
        <v/>
      </c>
      <c r="X420" s="22">
        <f>IF(ISBLANK($J420),$V420&amp;$W420,$J420)</f>
        <v/>
      </c>
      <c r="Y420" s="23">
        <f t="array" ref="Y420">IF(ISBLANK($M420),IFERROR(XLOOKUP($P420,'Department Listing'!$A:$A,'Department Listing'!$L:$L),""),$M420)</f>
        <v/>
      </c>
      <c r="Z420" s="11">
        <f>IF(ISBLANK($B420),"",MATCH($X420,COA!$B:$B,0))</f>
        <v/>
      </c>
    </row>
    <row r="421" ht="15.75" customHeight="1" s="52">
      <c r="B421" s="17" t="n"/>
      <c r="E421" s="26" t="n"/>
      <c r="F421" s="19" t="n"/>
      <c r="G421" s="10" t="n"/>
      <c r="H421" s="10" t="n"/>
      <c r="I421" s="9" t="n"/>
      <c r="J421" s="9" t="n"/>
      <c r="K421" s="9" t="n"/>
      <c r="L421" s="9" t="n"/>
      <c r="M421" s="9" t="n"/>
      <c r="N421" s="20" t="n"/>
      <c r="O421" s="20">
        <f>IF(C421="", "", TRIM(RIGHT(C421, LEN(C421) - FIND("@@", SUBSTITUTE(C421, "-", "@@", LEN(C421) - LEN(SUBSTITUTE(C421, "-", "")))))))</f>
        <v/>
      </c>
      <c r="P421" s="20">
        <f t="array" ref="P421">IFERROR(XLOOKUP(O421,'Department Listing'!$O$1:$O$395,'Department Listing'!$A$1:$A$395),IFERROR(XLOOKUP(O421,'Name Aliases'!$A$2:$A$1000,'Name Aliases'!$B$2:$B$1000),""))</f>
        <v/>
      </c>
      <c r="Q421" s="21">
        <f>IF(ISBLANK($C421),"",$B421)</f>
        <v/>
      </c>
      <c r="R421" s="20">
        <f>IF(ISBLANK($C421),"",IF(ISBLANK($I421),$D421,$I421))</f>
        <v/>
      </c>
      <c r="S421" s="22">
        <f>IF(ISBLANK($C421),"",$F421 - $G421)</f>
        <v/>
      </c>
      <c r="T421" s="20">
        <f>IF(ISBLANK($C421),"",C421)</f>
        <v/>
      </c>
      <c r="U421" s="20">
        <f>IF(ISBLANK($C421),"",$D$1)</f>
        <v/>
      </c>
      <c r="V421" s="22">
        <f t="array" ref="V421">IF(ISBLANK($B421),"",IF(ISBLANK($K421),IF(XLOOKUP($W421,'Category Mapping'!$C:$C,'Category Mapping'!$B:$B)="Travel",XLOOKUP($P421,'Department Listing'!$A:$A,'Department Listing'!$M:$M),XLOOKUP($W421,'Category Mapping'!$C:$C,'Category Mapping'!$D:$D)),$K421))</f>
        <v/>
      </c>
      <c r="W421" s="22">
        <f>IF(ISBLANK($B421),"",IF(ISBLANK($L421),RIGHT($E421,LEN($E421) - FIND("^",SUBSTITUTE($E421,":","^",LEN($E421) - LEN(SUBSTITUTE($E421,":",""))))),$L421))</f>
        <v/>
      </c>
      <c r="X421" s="22">
        <f>IF(ISBLANK($J421),$V421&amp;$W421,$J421)</f>
        <v/>
      </c>
      <c r="Y421" s="23">
        <f t="array" ref="Y421">IF(ISBLANK($M421),IFERROR(XLOOKUP($P421,'Department Listing'!$A:$A,'Department Listing'!$L:$L),""),$M421)</f>
        <v/>
      </c>
      <c r="Z421" s="11">
        <f>IF(ISBLANK($B421),"",MATCH($X421,COA!$B:$B,0))</f>
        <v/>
      </c>
    </row>
    <row r="422" ht="15.75" customHeight="1" s="52">
      <c r="B422" s="17" t="n"/>
      <c r="E422" s="26" t="n"/>
      <c r="F422" s="19" t="n"/>
      <c r="G422" s="10" t="n"/>
      <c r="H422" s="10" t="n"/>
      <c r="I422" s="9" t="n"/>
      <c r="J422" s="9" t="n"/>
      <c r="K422" s="9" t="n"/>
      <c r="L422" s="9" t="n"/>
      <c r="M422" s="9" t="n"/>
      <c r="N422" s="20" t="n"/>
      <c r="O422" s="20">
        <f>IF(C422="", "", TRIM(RIGHT(C422, LEN(C422) - FIND("@@", SUBSTITUTE(C422, "-", "@@", LEN(C422) - LEN(SUBSTITUTE(C422, "-", "")))))))</f>
        <v/>
      </c>
      <c r="P422" s="20">
        <f t="array" ref="P422">IFERROR(XLOOKUP(O422,'Department Listing'!$O$1:$O$395,'Department Listing'!$A$1:$A$395),IFERROR(XLOOKUP(O422,'Name Aliases'!$A$2:$A$1000,'Name Aliases'!$B$2:$B$1000),""))</f>
        <v/>
      </c>
      <c r="Q422" s="21">
        <f>IF(ISBLANK($C422),"",$B422)</f>
        <v/>
      </c>
      <c r="R422" s="20">
        <f>IF(ISBLANK($C422),"",IF(ISBLANK($I422),$D422,$I422))</f>
        <v/>
      </c>
      <c r="S422" s="22">
        <f>IF(ISBLANK($C422),"",$F422 - $G422)</f>
        <v/>
      </c>
      <c r="T422" s="20">
        <f>IF(ISBLANK($C422),"",C422)</f>
        <v/>
      </c>
      <c r="U422" s="20">
        <f>IF(ISBLANK($C422),"",$D$1)</f>
        <v/>
      </c>
      <c r="V422" s="22">
        <f t="array" ref="V422">IF(ISBLANK($B422),"",IF(ISBLANK($K422),IF(XLOOKUP($W422,'Category Mapping'!$C:$C,'Category Mapping'!$B:$B)="Travel",XLOOKUP($P422,'Department Listing'!$A:$A,'Department Listing'!$M:$M),XLOOKUP($W422,'Category Mapping'!$C:$C,'Category Mapping'!$D:$D)),$K422))</f>
        <v/>
      </c>
      <c r="W422" s="22">
        <f>IF(ISBLANK($B422),"",IF(ISBLANK($L422),RIGHT($E422,LEN($E422) - FIND("^",SUBSTITUTE($E422,":","^",LEN($E422) - LEN(SUBSTITUTE($E422,":",""))))),$L422))</f>
        <v/>
      </c>
      <c r="X422" s="22">
        <f>IF(ISBLANK($J422),$V422&amp;$W422,$J422)</f>
        <v/>
      </c>
      <c r="Y422" s="23">
        <f t="array" ref="Y422">IF(ISBLANK($M422),IFERROR(XLOOKUP($P422,'Department Listing'!$A:$A,'Department Listing'!$L:$L),""),$M422)</f>
        <v/>
      </c>
      <c r="Z422" s="11">
        <f>IF(ISBLANK($B422),"",MATCH($X422,COA!$B:$B,0))</f>
        <v/>
      </c>
    </row>
    <row r="423" ht="15.75" customHeight="1" s="52">
      <c r="B423" s="17" t="n"/>
      <c r="E423" s="26" t="n"/>
      <c r="F423" s="19" t="n"/>
      <c r="G423" s="10" t="n"/>
      <c r="H423" s="10" t="n"/>
      <c r="I423" s="9" t="n"/>
      <c r="J423" s="9" t="n"/>
      <c r="K423" s="9" t="n"/>
      <c r="L423" s="9" t="n"/>
      <c r="M423" s="9" t="n"/>
      <c r="N423" s="20" t="n"/>
      <c r="O423" s="20">
        <f>IF(C423="", "", TRIM(RIGHT(C423, LEN(C423) - FIND("@@", SUBSTITUTE(C423, "-", "@@", LEN(C423) - LEN(SUBSTITUTE(C423, "-", "")))))))</f>
        <v/>
      </c>
      <c r="P423" s="20">
        <f t="array" ref="P423">IFERROR(XLOOKUP(O423,'Department Listing'!$O$1:$O$395,'Department Listing'!$A$1:$A$395),IFERROR(XLOOKUP(O423,'Name Aliases'!$A$2:$A$1000,'Name Aliases'!$B$2:$B$1000),""))</f>
        <v/>
      </c>
      <c r="Q423" s="21">
        <f>IF(ISBLANK($C423),"",$B423)</f>
        <v/>
      </c>
      <c r="R423" s="20">
        <f>IF(ISBLANK($C423),"",IF(ISBLANK($I423),$D423,$I423))</f>
        <v/>
      </c>
      <c r="S423" s="22">
        <f>IF(ISBLANK($C423),"",$F423 - $G423)</f>
        <v/>
      </c>
      <c r="T423" s="20">
        <f>IF(ISBLANK($C423),"",C423)</f>
        <v/>
      </c>
      <c r="U423" s="20">
        <f>IF(ISBLANK($C423),"",$D$1)</f>
        <v/>
      </c>
      <c r="V423" s="22">
        <f t="array" ref="V423">IF(ISBLANK($B423),"",IF(ISBLANK($K423),IF(XLOOKUP($W423,'Category Mapping'!$C:$C,'Category Mapping'!$B:$B)="Travel",XLOOKUP($P423,'Department Listing'!$A:$A,'Department Listing'!$M:$M),XLOOKUP($W423,'Category Mapping'!$C:$C,'Category Mapping'!$D:$D)),$K423))</f>
        <v/>
      </c>
      <c r="W423" s="22">
        <f>IF(ISBLANK($B423),"",IF(ISBLANK($L423),RIGHT($E423,LEN($E423) - FIND("^",SUBSTITUTE($E423,":","^",LEN($E423) - LEN(SUBSTITUTE($E423,":",""))))),$L423))</f>
        <v/>
      </c>
      <c r="X423" s="22">
        <f>IF(ISBLANK($J423),$V423&amp;$W423,$J423)</f>
        <v/>
      </c>
      <c r="Y423" s="23">
        <f t="array" ref="Y423">IF(ISBLANK($M423),IFERROR(XLOOKUP($P423,'Department Listing'!$A:$A,'Department Listing'!$L:$L),""),$M423)</f>
        <v/>
      </c>
      <c r="Z423" s="11">
        <f>IF(ISBLANK($B423),"",MATCH($X423,COA!$B:$B,0))</f>
        <v/>
      </c>
    </row>
    <row r="424" ht="15.75" customHeight="1" s="52">
      <c r="B424" s="17" t="n"/>
      <c r="E424" s="26" t="n"/>
      <c r="F424" s="19" t="n"/>
      <c r="G424" s="10" t="n"/>
      <c r="H424" s="10" t="n"/>
      <c r="I424" s="9" t="n"/>
      <c r="J424" s="9" t="n"/>
      <c r="K424" s="9" t="n"/>
      <c r="L424" s="9" t="n"/>
      <c r="M424" s="9" t="n"/>
      <c r="N424" s="20" t="n"/>
      <c r="O424" s="20">
        <f>IF(C424="", "", TRIM(RIGHT(C424, LEN(C424) - FIND("@@", SUBSTITUTE(C424, "-", "@@", LEN(C424) - LEN(SUBSTITUTE(C424, "-", "")))))))</f>
        <v/>
      </c>
      <c r="P424" s="20">
        <f t="array" ref="P424">IFERROR(XLOOKUP(O424,'Department Listing'!$O$1:$O$395,'Department Listing'!$A$1:$A$395),IFERROR(XLOOKUP(O424,'Name Aliases'!$A$2:$A$1000,'Name Aliases'!$B$2:$B$1000),""))</f>
        <v/>
      </c>
      <c r="Q424" s="21">
        <f>IF(ISBLANK($C424),"",$B424)</f>
        <v/>
      </c>
      <c r="R424" s="20">
        <f>IF(ISBLANK($C424),"",IF(ISBLANK($I424),$D424,$I424))</f>
        <v/>
      </c>
      <c r="S424" s="22">
        <f>IF(ISBLANK($C424),"",$F424 - $G424)</f>
        <v/>
      </c>
      <c r="T424" s="20">
        <f>IF(ISBLANK($C424),"",C424)</f>
        <v/>
      </c>
      <c r="U424" s="20">
        <f>IF(ISBLANK($C424),"",$D$1)</f>
        <v/>
      </c>
      <c r="V424" s="22">
        <f t="array" ref="V424">IF(ISBLANK($B424),"",IF(ISBLANK($K424),IF(XLOOKUP($W424,'Category Mapping'!$C:$C,'Category Mapping'!$B:$B)="Travel",XLOOKUP($P424,'Department Listing'!$A:$A,'Department Listing'!$M:$M),XLOOKUP($W424,'Category Mapping'!$C:$C,'Category Mapping'!$D:$D)),$K424))</f>
        <v/>
      </c>
      <c r="W424" s="22">
        <f>IF(ISBLANK($B424),"",IF(ISBLANK($L424),RIGHT($E424,LEN($E424) - FIND("^",SUBSTITUTE($E424,":","^",LEN($E424) - LEN(SUBSTITUTE($E424,":",""))))),$L424))</f>
        <v/>
      </c>
      <c r="X424" s="22">
        <f>IF(ISBLANK($J424),$V424&amp;$W424,$J424)</f>
        <v/>
      </c>
      <c r="Y424" s="23">
        <f t="array" ref="Y424">IF(ISBLANK($M424),IFERROR(XLOOKUP($P424,'Department Listing'!$A:$A,'Department Listing'!$L:$L),""),$M424)</f>
        <v/>
      </c>
      <c r="Z424" s="11">
        <f>IF(ISBLANK($B424),"",MATCH($X424,COA!$B:$B,0))</f>
        <v/>
      </c>
    </row>
    <row r="425" ht="15.75" customHeight="1" s="52">
      <c r="B425" s="17" t="n"/>
      <c r="E425" s="26" t="n"/>
      <c r="F425" s="19" t="n"/>
      <c r="G425" s="10" t="n"/>
      <c r="H425" s="10" t="n"/>
      <c r="I425" s="9" t="n"/>
      <c r="J425" s="9" t="n"/>
      <c r="K425" s="25" t="n"/>
      <c r="L425" s="25" t="n"/>
      <c r="M425" s="25" t="n"/>
      <c r="N425" s="20" t="n"/>
      <c r="O425" s="20">
        <f>IF(C425="", "", TRIM(RIGHT(C425, LEN(C425) - FIND("@@", SUBSTITUTE(C425, "-", "@@", LEN(C425) - LEN(SUBSTITUTE(C425, "-", "")))))))</f>
        <v/>
      </c>
      <c r="P425" s="20">
        <f t="array" ref="P425">IFERROR(XLOOKUP(O425,'Department Listing'!$O$1:$O$395,'Department Listing'!$A$1:$A$395),IFERROR(XLOOKUP(O425,'Name Aliases'!$A$2:$A$1000,'Name Aliases'!$B$2:$B$1000),""))</f>
        <v/>
      </c>
      <c r="Q425" s="21">
        <f>IF(ISBLANK($C425),"",$B425)</f>
        <v/>
      </c>
      <c r="R425" s="20">
        <f>IF(ISBLANK($C425),"",IF(ISBLANK($I425),$D425,$I425))</f>
        <v/>
      </c>
      <c r="S425" s="22">
        <f>IF(ISBLANK($C425),"",$F425 - $G425)</f>
        <v/>
      </c>
      <c r="T425" s="20">
        <f>IF(ISBLANK($C425),"",C425)</f>
        <v/>
      </c>
      <c r="U425" s="20">
        <f>IF(ISBLANK($C425),"",$D$1)</f>
        <v/>
      </c>
      <c r="V425" s="22">
        <f t="array" ref="V425">IF(ISBLANK($B425),"",IF(ISBLANK($K425),IF(XLOOKUP($W425,'Category Mapping'!$C:$C,'Category Mapping'!$B:$B)="Travel",XLOOKUP($P425,'Department Listing'!$A:$A,'Department Listing'!$M:$M),XLOOKUP($W425,'Category Mapping'!$C:$C,'Category Mapping'!$D:$D)),$K425))</f>
        <v/>
      </c>
      <c r="W425" s="22">
        <f>IF(ISBLANK($B425),"",IF(ISBLANK($L425),RIGHT($E425,LEN($E425) - FIND("^",SUBSTITUTE($E425,":","^",LEN($E425) - LEN(SUBSTITUTE($E425,":",""))))),$L425))</f>
        <v/>
      </c>
      <c r="X425" s="22">
        <f>IF(ISBLANK($J425),$V425&amp;$W425,$J425)</f>
        <v/>
      </c>
      <c r="Y425" s="23">
        <f t="array" ref="Y425">IF(ISBLANK($M425),IFERROR(XLOOKUP($P425,'Department Listing'!$A:$A,'Department Listing'!$L:$L),""),$M425)</f>
        <v/>
      </c>
      <c r="Z425" s="11">
        <f>IF(ISBLANK($B425),"",MATCH($X425,COA!$B:$B,0))</f>
        <v/>
      </c>
    </row>
    <row r="426" ht="15.75" customHeight="1" s="52">
      <c r="B426" s="17" t="n"/>
      <c r="E426" s="26" t="n"/>
      <c r="F426" s="19" t="n"/>
      <c r="G426" s="10" t="n"/>
      <c r="H426" s="10" t="n"/>
      <c r="I426" s="9" t="n"/>
      <c r="J426" s="9" t="n"/>
      <c r="K426" s="25" t="n"/>
      <c r="L426" s="25" t="n"/>
      <c r="M426" s="25" t="n"/>
      <c r="N426" s="20" t="n"/>
      <c r="O426" s="20">
        <f>IF(C426="", "", TRIM(RIGHT(C426, LEN(C426) - FIND("@@", SUBSTITUTE(C426, "-", "@@", LEN(C426) - LEN(SUBSTITUTE(C426, "-", "")))))))</f>
        <v/>
      </c>
      <c r="P426" s="20">
        <f t="array" ref="P426">IFERROR(XLOOKUP(O426,'Department Listing'!$O$1:$O$395,'Department Listing'!$A$1:$A$395),IFERROR(XLOOKUP(O426,'Name Aliases'!$A$2:$A$1000,'Name Aliases'!$B$2:$B$1000),""))</f>
        <v/>
      </c>
      <c r="Q426" s="21">
        <f>IF(ISBLANK($C426),"",$B426)</f>
        <v/>
      </c>
      <c r="R426" s="20">
        <f>IF(ISBLANK($C426),"",IF(ISBLANK($I426),$D426,$I426))</f>
        <v/>
      </c>
      <c r="S426" s="22">
        <f>IF(ISBLANK($C426),"",$F426 - $G426)</f>
        <v/>
      </c>
      <c r="T426" s="20">
        <f>IF(ISBLANK($C426),"",C426)</f>
        <v/>
      </c>
      <c r="U426" s="20">
        <f>IF(ISBLANK($C426),"",$D$1)</f>
        <v/>
      </c>
      <c r="V426" s="22">
        <f t="array" ref="V426">IF(ISBLANK($B426),"",IF(ISBLANK($K426),IF(XLOOKUP($W426,'Category Mapping'!$C:$C,'Category Mapping'!$B:$B)="Travel",XLOOKUP($P426,'Department Listing'!$A:$A,'Department Listing'!$M:$M),XLOOKUP($W426,'Category Mapping'!$C:$C,'Category Mapping'!$D:$D)),$K426))</f>
        <v/>
      </c>
      <c r="W426" s="22">
        <f>IF(ISBLANK($B426),"",IF(ISBLANK($L426),RIGHT($E426,LEN($E426) - FIND("^",SUBSTITUTE($E426,":","^",LEN($E426) - LEN(SUBSTITUTE($E426,":",""))))),$L426))</f>
        <v/>
      </c>
      <c r="X426" s="22">
        <f>IF(ISBLANK($J426),$V426&amp;$W426,$J426)</f>
        <v/>
      </c>
      <c r="Y426" s="23">
        <f t="array" ref="Y426">IF(ISBLANK($M426),IFERROR(XLOOKUP($P426,'Department Listing'!$A:$A,'Department Listing'!$L:$L),""),$M426)</f>
        <v/>
      </c>
      <c r="Z426" s="11">
        <f>IF(ISBLANK($B426),"",MATCH($X426,COA!$B:$B,0))</f>
        <v/>
      </c>
    </row>
    <row r="427" ht="15.75" customHeight="1" s="52">
      <c r="B427" s="17" t="n"/>
      <c r="E427" s="26" t="n"/>
      <c r="F427" s="19" t="n"/>
      <c r="G427" s="10" t="n"/>
      <c r="H427" s="10" t="n"/>
      <c r="I427" s="9" t="n"/>
      <c r="J427" s="9" t="n"/>
      <c r="K427" s="9" t="n"/>
      <c r="L427" s="9" t="n"/>
      <c r="M427" s="9" t="n"/>
      <c r="N427" s="20" t="n"/>
      <c r="O427" s="20">
        <f>IF(C427="", "", TRIM(RIGHT(C427, LEN(C427) - FIND("@@", SUBSTITUTE(C427, "-", "@@", LEN(C427) - LEN(SUBSTITUTE(C427, "-", "")))))))</f>
        <v/>
      </c>
      <c r="P427" s="20">
        <f t="array" ref="P427">IFERROR(XLOOKUP(O427,'Department Listing'!$O$1:$O$395,'Department Listing'!$A$1:$A$395),IFERROR(XLOOKUP(O427,'Name Aliases'!$A$2:$A$1000,'Name Aliases'!$B$2:$B$1000),""))</f>
        <v/>
      </c>
      <c r="Q427" s="21">
        <f>IF(ISBLANK($C427),"",$B427)</f>
        <v/>
      </c>
      <c r="R427" s="20">
        <f>IF(ISBLANK($C427),"",IF(ISBLANK($I427),$D427,$I427))</f>
        <v/>
      </c>
      <c r="S427" s="22">
        <f>IF(ISBLANK($C427),"",$F427 - $G427)</f>
        <v/>
      </c>
      <c r="T427" s="20">
        <f>IF(ISBLANK($C427),"",C427)</f>
        <v/>
      </c>
      <c r="U427" s="20">
        <f>IF(ISBLANK($C427),"",$D$1)</f>
        <v/>
      </c>
      <c r="V427" s="22">
        <f t="array" ref="V427">IF(ISBLANK($B427),"",IF(ISBLANK($K427),IF(XLOOKUP($W427,'Category Mapping'!$C:$C,'Category Mapping'!$B:$B)="Travel",XLOOKUP($P427,'Department Listing'!$A:$A,'Department Listing'!$M:$M),XLOOKUP($W427,'Category Mapping'!$C:$C,'Category Mapping'!$D:$D)),$K427))</f>
        <v/>
      </c>
      <c r="W427" s="22">
        <f>IF(ISBLANK($B427),"",IF(ISBLANK($L427),RIGHT($E427,LEN($E427) - FIND("^",SUBSTITUTE($E427,":","^",LEN($E427) - LEN(SUBSTITUTE($E427,":",""))))),$L427))</f>
        <v/>
      </c>
      <c r="X427" s="22">
        <f>IF(ISBLANK($J427),$V427&amp;$W427,$J427)</f>
        <v/>
      </c>
      <c r="Y427" s="23">
        <f t="array" ref="Y427">IF(ISBLANK($M427),IFERROR(XLOOKUP($P427,'Department Listing'!$A:$A,'Department Listing'!$L:$L),""),$M427)</f>
        <v/>
      </c>
      <c r="Z427" s="11">
        <f>IF(ISBLANK($B427),"",MATCH($X427,COA!$B:$B,0))</f>
        <v/>
      </c>
    </row>
    <row r="428" ht="15.75" customHeight="1" s="52">
      <c r="B428" s="17" t="n"/>
      <c r="E428" s="26" t="n"/>
      <c r="F428" s="19" t="n"/>
      <c r="G428" s="10" t="n"/>
      <c r="H428" s="10" t="n"/>
      <c r="I428" s="9" t="n"/>
      <c r="J428" s="9" t="n"/>
      <c r="K428" s="9" t="n"/>
      <c r="L428" s="9" t="n"/>
      <c r="M428" s="9" t="n"/>
      <c r="N428" s="20" t="n"/>
      <c r="O428" s="20">
        <f>IF(C428="", "", TRIM(RIGHT(C428, LEN(C428) - FIND("@@", SUBSTITUTE(C428, "-", "@@", LEN(C428) - LEN(SUBSTITUTE(C428, "-", "")))))))</f>
        <v/>
      </c>
      <c r="P428" s="20">
        <f t="array" ref="P428">IFERROR(XLOOKUP(O428,'Department Listing'!$O$1:$O$395,'Department Listing'!$A$1:$A$395),IFERROR(XLOOKUP(O428,'Name Aliases'!$A$2:$A$1000,'Name Aliases'!$B$2:$B$1000),""))</f>
        <v/>
      </c>
      <c r="Q428" s="21">
        <f>IF(ISBLANK($C428),"",$B428)</f>
        <v/>
      </c>
      <c r="R428" s="20">
        <f>IF(ISBLANK($C428),"",IF(ISBLANK($I428),$D428,$I428))</f>
        <v/>
      </c>
      <c r="S428" s="22">
        <f>IF(ISBLANK($C428),"",$F428 - $G428)</f>
        <v/>
      </c>
      <c r="T428" s="20">
        <f>IF(ISBLANK($C428),"",C428)</f>
        <v/>
      </c>
      <c r="U428" s="20">
        <f>IF(ISBLANK($C428),"",$D$1)</f>
        <v/>
      </c>
      <c r="V428" s="22">
        <f t="array" ref="V428">IF(ISBLANK($B428),"",IF(ISBLANK($K428),IF(XLOOKUP($W428,'Category Mapping'!$C:$C,'Category Mapping'!$B:$B)="Travel",XLOOKUP($P428,'Department Listing'!$A:$A,'Department Listing'!$M:$M),XLOOKUP($W428,'Category Mapping'!$C:$C,'Category Mapping'!$D:$D)),$K428))</f>
        <v/>
      </c>
      <c r="W428" s="22">
        <f>IF(ISBLANK($B428),"",IF(ISBLANK($L428),RIGHT($E428,LEN($E428) - FIND("^",SUBSTITUTE($E428,":","^",LEN($E428) - LEN(SUBSTITUTE($E428,":",""))))),$L428))</f>
        <v/>
      </c>
      <c r="X428" s="22">
        <f>IF(ISBLANK($J428),$V428&amp;$W428,$J428)</f>
        <v/>
      </c>
      <c r="Y428" s="23">
        <f t="array" ref="Y428">IF(ISBLANK($M428),IFERROR(XLOOKUP($P428,'Department Listing'!$A:$A,'Department Listing'!$L:$L),""),$M428)</f>
        <v/>
      </c>
      <c r="Z428" s="11">
        <f>IF(ISBLANK($B428),"",MATCH($X428,COA!$B:$B,0))</f>
        <v/>
      </c>
    </row>
    <row r="429" ht="15.75" customHeight="1" s="52">
      <c r="B429" s="17" t="n"/>
      <c r="E429" s="26" t="n"/>
      <c r="F429" s="19" t="n"/>
      <c r="G429" s="10" t="n"/>
      <c r="H429" s="10" t="n"/>
      <c r="I429" s="9" t="n"/>
      <c r="J429" s="9" t="n"/>
      <c r="K429" s="25" t="n"/>
      <c r="L429" s="25" t="n"/>
      <c r="M429" s="25" t="n"/>
      <c r="N429" s="20" t="n"/>
      <c r="O429" s="20">
        <f>IF(C429="", "", TRIM(RIGHT(C429, LEN(C429) - FIND("@@", SUBSTITUTE(C429, "-", "@@", LEN(C429) - LEN(SUBSTITUTE(C429, "-", "")))))))</f>
        <v/>
      </c>
      <c r="P429" s="20">
        <f t="array" ref="P429">IFERROR(XLOOKUP(O429,'Department Listing'!$O$1:$O$395,'Department Listing'!$A$1:$A$395),IFERROR(XLOOKUP(O429,'Name Aliases'!$A$2:$A$1000,'Name Aliases'!$B$2:$B$1000),""))</f>
        <v/>
      </c>
      <c r="Q429" s="21">
        <f>IF(ISBLANK($C429),"",$B429)</f>
        <v/>
      </c>
      <c r="R429" s="20">
        <f>IF(ISBLANK($C429),"",IF(ISBLANK($I429),$D429,$I429))</f>
        <v/>
      </c>
      <c r="S429" s="22">
        <f>IF(ISBLANK($C429),"",$F429 - $G429)</f>
        <v/>
      </c>
      <c r="T429" s="20">
        <f>IF(ISBLANK($C429),"",C429)</f>
        <v/>
      </c>
      <c r="U429" s="20">
        <f>IF(ISBLANK($C429),"",$D$1)</f>
        <v/>
      </c>
      <c r="V429" s="22">
        <f t="array" ref="V429">IF(ISBLANK($B429),"",IF(ISBLANK($K429),IF(XLOOKUP($W429,'Category Mapping'!$C:$C,'Category Mapping'!$B:$B)="Travel",XLOOKUP($P429,'Department Listing'!$A:$A,'Department Listing'!$M:$M),XLOOKUP($W429,'Category Mapping'!$C:$C,'Category Mapping'!$D:$D)),$K429))</f>
        <v/>
      </c>
      <c r="W429" s="22">
        <f>IF(ISBLANK($B429),"",IF(ISBLANK($L429),RIGHT($E429,LEN($E429) - FIND("^",SUBSTITUTE($E429,":","^",LEN($E429) - LEN(SUBSTITUTE($E429,":",""))))),$L429))</f>
        <v/>
      </c>
      <c r="X429" s="22">
        <f>IF(ISBLANK($J429),$V429&amp;$W429,$J429)</f>
        <v/>
      </c>
      <c r="Y429" s="23">
        <f t="array" ref="Y429">IF(ISBLANK($M429),IFERROR(XLOOKUP($P429,'Department Listing'!$A:$A,'Department Listing'!$L:$L),""),$M429)</f>
        <v/>
      </c>
      <c r="Z429" s="11">
        <f>IF(ISBLANK($B429),"",MATCH($X429,COA!$B:$B,0))</f>
        <v/>
      </c>
    </row>
    <row r="430" ht="15.75" customHeight="1" s="52">
      <c r="B430" s="17" t="n"/>
      <c r="E430" s="26" t="n"/>
      <c r="F430" s="19" t="n"/>
      <c r="G430" s="10" t="n"/>
      <c r="H430" s="10" t="n"/>
      <c r="I430" s="9" t="n"/>
      <c r="J430" s="9" t="n"/>
      <c r="K430" s="25" t="n"/>
      <c r="L430" s="25" t="n"/>
      <c r="M430" s="25" t="n"/>
      <c r="N430" s="20" t="n"/>
      <c r="O430" s="20">
        <f>IF(C430="", "", TRIM(RIGHT(C430, LEN(C430) - FIND("@@", SUBSTITUTE(C430, "-", "@@", LEN(C430) - LEN(SUBSTITUTE(C430, "-", "")))))))</f>
        <v/>
      </c>
      <c r="P430" s="20">
        <f t="array" ref="P430">IFERROR(XLOOKUP(O430,'Department Listing'!$O$1:$O$395,'Department Listing'!$A$1:$A$395),IFERROR(XLOOKUP(O430,'Name Aliases'!$A$2:$A$1000,'Name Aliases'!$B$2:$B$1000),""))</f>
        <v/>
      </c>
      <c r="Q430" s="21">
        <f>IF(ISBLANK($C430),"",$B430)</f>
        <v/>
      </c>
      <c r="R430" s="20">
        <f>IF(ISBLANK($C430),"",IF(ISBLANK($I430),$D430,$I430))</f>
        <v/>
      </c>
      <c r="S430" s="22">
        <f>IF(ISBLANK($C430),"",$F430 - $G430)</f>
        <v/>
      </c>
      <c r="T430" s="20">
        <f>IF(ISBLANK($C430),"",C430)</f>
        <v/>
      </c>
      <c r="U430" s="20">
        <f>IF(ISBLANK($C430),"",$D$1)</f>
        <v/>
      </c>
      <c r="V430" s="22">
        <f t="array" ref="V430">IF(ISBLANK($B430),"",IF(ISBLANK($K430),IF(XLOOKUP($W430,'Category Mapping'!$C:$C,'Category Mapping'!$B:$B)="Travel",XLOOKUP($P430,'Department Listing'!$A:$A,'Department Listing'!$M:$M),XLOOKUP($W430,'Category Mapping'!$C:$C,'Category Mapping'!$D:$D)),$K430))</f>
        <v/>
      </c>
      <c r="W430" s="22">
        <f>IF(ISBLANK($B430),"",IF(ISBLANK($L430),RIGHT($E430,LEN($E430) - FIND("^",SUBSTITUTE($E430,":","^",LEN($E430) - LEN(SUBSTITUTE($E430,":",""))))),$L430))</f>
        <v/>
      </c>
      <c r="X430" s="22">
        <f>IF(ISBLANK($J430),$V430&amp;$W430,$J430)</f>
        <v/>
      </c>
      <c r="Y430" s="23">
        <f t="array" ref="Y430">IF(ISBLANK($M430),IFERROR(XLOOKUP($P430,'Department Listing'!$A:$A,'Department Listing'!$L:$L),""),$M430)</f>
        <v/>
      </c>
      <c r="Z430" s="11">
        <f>IF(ISBLANK($B430),"",MATCH($X430,COA!$B:$B,0))</f>
        <v/>
      </c>
    </row>
    <row r="431" ht="15.75" customHeight="1" s="52">
      <c r="B431" s="17" t="n"/>
      <c r="E431" s="26" t="n"/>
      <c r="F431" s="19" t="n"/>
      <c r="G431" s="10" t="n"/>
      <c r="H431" s="10" t="n"/>
      <c r="I431" s="9" t="n"/>
      <c r="J431" s="9" t="n"/>
      <c r="K431" s="25" t="n"/>
      <c r="L431" s="25" t="n"/>
      <c r="M431" s="25" t="n"/>
      <c r="N431" s="20" t="n"/>
      <c r="O431" s="20">
        <f>IF(C431="", "", TRIM(RIGHT(C431, LEN(C431) - FIND("@@", SUBSTITUTE(C431, "-", "@@", LEN(C431) - LEN(SUBSTITUTE(C431, "-", "")))))))</f>
        <v/>
      </c>
      <c r="P431" s="20">
        <f t="array" ref="P431">IFERROR(XLOOKUP(O431,'Department Listing'!$O$1:$O$395,'Department Listing'!$A$1:$A$395),IFERROR(XLOOKUP(O431,'Name Aliases'!$A$2:$A$1000,'Name Aliases'!$B$2:$B$1000),""))</f>
        <v/>
      </c>
      <c r="Q431" s="21">
        <f>IF(ISBLANK($C431),"",$B431)</f>
        <v/>
      </c>
      <c r="R431" s="20">
        <f>IF(ISBLANK($C431),"",IF(ISBLANK($I431),$D431,$I431))</f>
        <v/>
      </c>
      <c r="S431" s="22">
        <f>IF(ISBLANK($C431),"",$F431 - $G431)</f>
        <v/>
      </c>
      <c r="T431" s="20">
        <f>IF(ISBLANK($C431),"",C431)</f>
        <v/>
      </c>
      <c r="U431" s="20">
        <f>IF(ISBLANK($C431),"",$D$1)</f>
        <v/>
      </c>
      <c r="V431" s="22">
        <f t="array" ref="V431">IF(ISBLANK($B431),"",IF(ISBLANK($K431),IF(XLOOKUP($W431,'Category Mapping'!$C:$C,'Category Mapping'!$B:$B)="Travel",XLOOKUP($P431,'Department Listing'!$A:$A,'Department Listing'!$M:$M),XLOOKUP($W431,'Category Mapping'!$C:$C,'Category Mapping'!$D:$D)),$K431))</f>
        <v/>
      </c>
      <c r="W431" s="22">
        <f>IF(ISBLANK($B431),"",IF(ISBLANK($L431),RIGHT($E431,LEN($E431) - FIND("^",SUBSTITUTE($E431,":","^",LEN($E431) - LEN(SUBSTITUTE($E431,":",""))))),$L431))</f>
        <v/>
      </c>
      <c r="X431" s="22">
        <f>IF(ISBLANK($J431),$V431&amp;$W431,$J431)</f>
        <v/>
      </c>
      <c r="Y431" s="23">
        <f t="array" ref="Y431">IF(ISBLANK($M431),IFERROR(XLOOKUP($P431,'Department Listing'!$A:$A,'Department Listing'!$L:$L),""),$M431)</f>
        <v/>
      </c>
      <c r="Z431" s="11">
        <f>IF(ISBLANK($B431),"",MATCH($X431,COA!$B:$B,0))</f>
        <v/>
      </c>
    </row>
    <row r="432" ht="15.75" customHeight="1" s="52">
      <c r="B432" s="17" t="n"/>
      <c r="E432" s="26" t="n"/>
      <c r="F432" s="19" t="n"/>
      <c r="G432" s="10" t="n"/>
      <c r="H432" s="10" t="n"/>
      <c r="I432" s="9" t="n"/>
      <c r="J432" s="9" t="n"/>
      <c r="K432" s="25" t="n"/>
      <c r="L432" s="25" t="n"/>
      <c r="M432" s="25" t="n"/>
      <c r="N432" s="20" t="n"/>
      <c r="O432" s="20">
        <f>IF(C432="", "", TRIM(RIGHT(C432, LEN(C432) - FIND("@@", SUBSTITUTE(C432, "-", "@@", LEN(C432) - LEN(SUBSTITUTE(C432, "-", "")))))))</f>
        <v/>
      </c>
      <c r="P432" s="20">
        <f t="array" ref="P432">IFERROR(XLOOKUP(O432,'Department Listing'!$O$1:$O$395,'Department Listing'!$A$1:$A$395),IFERROR(XLOOKUP(O432,'Name Aliases'!$A$2:$A$1000,'Name Aliases'!$B$2:$B$1000),""))</f>
        <v/>
      </c>
      <c r="Q432" s="21">
        <f>IF(ISBLANK($C432),"",$B432)</f>
        <v/>
      </c>
      <c r="R432" s="20">
        <f>IF(ISBLANK($C432),"",IF(ISBLANK($I432),$D432,$I432))</f>
        <v/>
      </c>
      <c r="S432" s="22">
        <f>IF(ISBLANK($C432),"",$F432 - $G432)</f>
        <v/>
      </c>
      <c r="T432" s="20">
        <f>IF(ISBLANK($C432),"",C432)</f>
        <v/>
      </c>
      <c r="U432" s="20">
        <f>IF(ISBLANK($C432),"",$D$1)</f>
        <v/>
      </c>
      <c r="V432" s="22">
        <f t="array" ref="V432">IF(ISBLANK($B432),"",IF(ISBLANK($K432),IF(XLOOKUP($W432,'Category Mapping'!$C:$C,'Category Mapping'!$B:$B)="Travel",XLOOKUP($P432,'Department Listing'!$A:$A,'Department Listing'!$M:$M),XLOOKUP($W432,'Category Mapping'!$C:$C,'Category Mapping'!$D:$D)),$K432))</f>
        <v/>
      </c>
      <c r="W432" s="22">
        <f>IF(ISBLANK($B432),"",IF(ISBLANK($L432),RIGHT($E432,LEN($E432) - FIND("^",SUBSTITUTE($E432,":","^",LEN($E432) - LEN(SUBSTITUTE($E432,":",""))))),$L432))</f>
        <v/>
      </c>
      <c r="X432" s="22">
        <f>IF(ISBLANK($J432),$V432&amp;$W432,$J432)</f>
        <v/>
      </c>
      <c r="Y432" s="23">
        <f t="array" ref="Y432">IF(ISBLANK($M432),IFERROR(XLOOKUP($P432,'Department Listing'!$A:$A,'Department Listing'!$L:$L),""),$M432)</f>
        <v/>
      </c>
      <c r="Z432" s="11">
        <f>IF(ISBLANK($B432),"",MATCH($X432,COA!$B:$B,0))</f>
        <v/>
      </c>
    </row>
    <row r="433" ht="15.75" customHeight="1" s="52">
      <c r="B433" s="17" t="n"/>
      <c r="E433" s="26" t="n"/>
      <c r="F433" s="19" t="n"/>
      <c r="G433" s="10" t="n"/>
      <c r="H433" s="10" t="n"/>
      <c r="I433" s="9" t="n"/>
      <c r="J433" s="9" t="n"/>
      <c r="K433" s="25" t="n"/>
      <c r="L433" s="25" t="n"/>
      <c r="M433" s="25" t="n"/>
      <c r="N433" s="20" t="n"/>
      <c r="O433" s="20">
        <f>IF(C433="", "", TRIM(RIGHT(C433, LEN(C433) - FIND("@@", SUBSTITUTE(C433, "-", "@@", LEN(C433) - LEN(SUBSTITUTE(C433, "-", "")))))))</f>
        <v/>
      </c>
      <c r="P433" s="20">
        <f t="array" ref="P433">IFERROR(XLOOKUP(O433,'Department Listing'!$O$1:$O$395,'Department Listing'!$A$1:$A$395),IFERROR(XLOOKUP(O433,'Name Aliases'!$A$2:$A$1000,'Name Aliases'!$B$2:$B$1000),""))</f>
        <v/>
      </c>
      <c r="Q433" s="21">
        <f>IF(ISBLANK($C433),"",$B433)</f>
        <v/>
      </c>
      <c r="R433" s="20">
        <f>IF(ISBLANK($C433),"",IF(ISBLANK($I433),$D433,$I433))</f>
        <v/>
      </c>
      <c r="S433" s="22">
        <f>IF(ISBLANK($C433),"",$F433 - $G433)</f>
        <v/>
      </c>
      <c r="T433" s="20">
        <f>IF(ISBLANK($C433),"",C433)</f>
        <v/>
      </c>
      <c r="U433" s="20">
        <f>IF(ISBLANK($C433),"",$D$1)</f>
        <v/>
      </c>
      <c r="V433" s="22">
        <f t="array" ref="V433">IF(ISBLANK($B433),"",IF(ISBLANK($K433),IF(XLOOKUP($W433,'Category Mapping'!$C:$C,'Category Mapping'!$B:$B)="Travel",XLOOKUP($P433,'Department Listing'!$A:$A,'Department Listing'!$M:$M),XLOOKUP($W433,'Category Mapping'!$C:$C,'Category Mapping'!$D:$D)),$K433))</f>
        <v/>
      </c>
      <c r="W433" s="22">
        <f>IF(ISBLANK($B433),"",IF(ISBLANK($L433),RIGHT($E433,LEN($E433) - FIND("^",SUBSTITUTE($E433,":","^",LEN($E433) - LEN(SUBSTITUTE($E433,":",""))))),$L433))</f>
        <v/>
      </c>
      <c r="X433" s="22">
        <f>IF(ISBLANK($J433),$V433&amp;$W433,$J433)</f>
        <v/>
      </c>
      <c r="Y433" s="23">
        <f t="array" ref="Y433">IF(ISBLANK($M433),IFERROR(XLOOKUP($P433,'Department Listing'!$A:$A,'Department Listing'!$L:$L),""),$M433)</f>
        <v/>
      </c>
      <c r="Z433" s="11">
        <f>IF(ISBLANK($B433),"",MATCH($X433,COA!$B:$B,0))</f>
        <v/>
      </c>
    </row>
    <row r="434" ht="15.75" customHeight="1" s="52">
      <c r="B434" s="17" t="n"/>
      <c r="E434" s="26" t="n"/>
      <c r="F434" s="19" t="n"/>
      <c r="G434" s="10" t="n"/>
      <c r="H434" s="10" t="n"/>
      <c r="I434" s="9" t="n"/>
      <c r="J434" s="9" t="n"/>
      <c r="K434" s="25" t="n"/>
      <c r="L434" s="25" t="n"/>
      <c r="M434" s="25" t="n"/>
      <c r="N434" s="20" t="n"/>
      <c r="O434" s="20">
        <f>IF(C434="", "", TRIM(RIGHT(C434, LEN(C434) - FIND("@@", SUBSTITUTE(C434, "-", "@@", LEN(C434) - LEN(SUBSTITUTE(C434, "-", "")))))))</f>
        <v/>
      </c>
      <c r="P434" s="20">
        <f t="array" ref="P434">IFERROR(XLOOKUP(O434,'Department Listing'!$O$1:$O$395,'Department Listing'!$A$1:$A$395),IFERROR(XLOOKUP(O434,'Name Aliases'!$A$2:$A$1000,'Name Aliases'!$B$2:$B$1000),""))</f>
        <v/>
      </c>
      <c r="Q434" s="21">
        <f>IF(ISBLANK($C434),"",$B434)</f>
        <v/>
      </c>
      <c r="R434" s="20">
        <f>IF(ISBLANK($C434),"",IF(ISBLANK($I434),$D434,$I434))</f>
        <v/>
      </c>
      <c r="S434" s="22">
        <f>IF(ISBLANK($C434),"",$F434 - $G434)</f>
        <v/>
      </c>
      <c r="T434" s="20">
        <f>IF(ISBLANK($C434),"",C434)</f>
        <v/>
      </c>
      <c r="U434" s="20">
        <f>IF(ISBLANK($C434),"",$D$1)</f>
        <v/>
      </c>
      <c r="V434" s="22">
        <f t="array" ref="V434">IF(ISBLANK($B434),"",IF(ISBLANK($K434),IF(XLOOKUP($W434,'Category Mapping'!$C:$C,'Category Mapping'!$B:$B)="Travel",XLOOKUP($P434,'Department Listing'!$A:$A,'Department Listing'!$M:$M),XLOOKUP($W434,'Category Mapping'!$C:$C,'Category Mapping'!$D:$D)),$K434))</f>
        <v/>
      </c>
      <c r="W434" s="22">
        <f>IF(ISBLANK($B434),"",IF(ISBLANK($L434),RIGHT($E434,LEN($E434) - FIND("^",SUBSTITUTE($E434,":","^",LEN($E434) - LEN(SUBSTITUTE($E434,":",""))))),$L434))</f>
        <v/>
      </c>
      <c r="X434" s="22">
        <f>IF(ISBLANK($J434),$V434&amp;$W434,$J434)</f>
        <v/>
      </c>
      <c r="Y434" s="23">
        <f t="array" ref="Y434">IF(ISBLANK($M434),IFERROR(XLOOKUP($P434,'Department Listing'!$A:$A,'Department Listing'!$L:$L),""),$M434)</f>
        <v/>
      </c>
      <c r="Z434" s="11">
        <f>IF(ISBLANK($B434),"",MATCH($X434,COA!$B:$B,0))</f>
        <v/>
      </c>
    </row>
    <row r="435" ht="15.75" customHeight="1" s="52">
      <c r="B435" s="17" t="n"/>
      <c r="E435" s="26" t="n"/>
      <c r="F435" s="19" t="n"/>
      <c r="G435" s="10" t="n"/>
      <c r="H435" s="10" t="n"/>
      <c r="I435" s="9" t="n"/>
      <c r="J435" s="9" t="n"/>
      <c r="K435" s="25" t="n"/>
      <c r="L435" s="25" t="n"/>
      <c r="M435" s="25" t="n"/>
      <c r="N435" s="20" t="n"/>
      <c r="O435" s="20">
        <f>IF(C435="", "", TRIM(RIGHT(C435, LEN(C435) - FIND("@@", SUBSTITUTE(C435, "-", "@@", LEN(C435) - LEN(SUBSTITUTE(C435, "-", "")))))))</f>
        <v/>
      </c>
      <c r="P435" s="20">
        <f t="array" ref="P435">IFERROR(XLOOKUP(O435,'Department Listing'!$O$1:$O$395,'Department Listing'!$A$1:$A$395),IFERROR(XLOOKUP(O435,'Name Aliases'!$A$2:$A$1000,'Name Aliases'!$B$2:$B$1000),""))</f>
        <v/>
      </c>
      <c r="Q435" s="21">
        <f>IF(ISBLANK($C435),"",$B435)</f>
        <v/>
      </c>
      <c r="R435" s="20">
        <f>IF(ISBLANK($C435),"",IF(ISBLANK($I435),$D435,$I435))</f>
        <v/>
      </c>
      <c r="S435" s="22">
        <f>IF(ISBLANK($C435),"",$F435 - $G435)</f>
        <v/>
      </c>
      <c r="T435" s="20">
        <f>IF(ISBLANK($C435),"",C435)</f>
        <v/>
      </c>
      <c r="U435" s="20">
        <f>IF(ISBLANK($C435),"",$D$1)</f>
        <v/>
      </c>
      <c r="V435" s="22">
        <f t="array" ref="V435">IF(ISBLANK($B435),"",IF(ISBLANK($K435),IF(XLOOKUP($W435,'Category Mapping'!$C:$C,'Category Mapping'!$B:$B)="Travel",XLOOKUP($P435,'Department Listing'!$A:$A,'Department Listing'!$M:$M),XLOOKUP($W435,'Category Mapping'!$C:$C,'Category Mapping'!$D:$D)),$K435))</f>
        <v/>
      </c>
      <c r="W435" s="22">
        <f>IF(ISBLANK($B435),"",IF(ISBLANK($L435),RIGHT($E435,LEN($E435) - FIND("^",SUBSTITUTE($E435,":","^",LEN($E435) - LEN(SUBSTITUTE($E435,":",""))))),$L435))</f>
        <v/>
      </c>
      <c r="X435" s="22">
        <f>IF(ISBLANK($J435),$V435&amp;$W435,$J435)</f>
        <v/>
      </c>
      <c r="Y435" s="23">
        <f t="array" ref="Y435">IF(ISBLANK($M435),IFERROR(XLOOKUP($P435,'Department Listing'!$A:$A,'Department Listing'!$L:$L),""),$M435)</f>
        <v/>
      </c>
      <c r="Z435" s="11">
        <f>IF(ISBLANK($B435),"",MATCH($X435,COA!$B:$B,0))</f>
        <v/>
      </c>
    </row>
    <row r="436" ht="15.75" customHeight="1" s="52">
      <c r="B436" s="17" t="n"/>
      <c r="E436" s="26" t="n"/>
      <c r="F436" s="19" t="n"/>
      <c r="G436" s="10" t="n"/>
      <c r="H436" s="10" t="n"/>
      <c r="I436" s="9" t="n"/>
      <c r="J436" s="9" t="n"/>
      <c r="K436" s="25" t="n"/>
      <c r="L436" s="25" t="n"/>
      <c r="M436" s="25" t="n"/>
      <c r="N436" s="20" t="n"/>
      <c r="O436" s="20">
        <f>IF(C436="", "", TRIM(RIGHT(C436, LEN(C436) - FIND("@@", SUBSTITUTE(C436, "-", "@@", LEN(C436) - LEN(SUBSTITUTE(C436, "-", "")))))))</f>
        <v/>
      </c>
      <c r="P436" s="20">
        <f t="array" ref="P436">IFERROR(XLOOKUP(O436,'Department Listing'!$O$1:$O$395,'Department Listing'!$A$1:$A$395),IFERROR(XLOOKUP(O436,'Name Aliases'!$A$2:$A$1000,'Name Aliases'!$B$2:$B$1000),""))</f>
        <v/>
      </c>
      <c r="Q436" s="21">
        <f>IF(ISBLANK($C436),"",$B436)</f>
        <v/>
      </c>
      <c r="R436" s="20">
        <f>IF(ISBLANK($C436),"",IF(ISBLANK($I436),$D436,$I436))</f>
        <v/>
      </c>
      <c r="S436" s="22">
        <f>IF(ISBLANK($C436),"",$F436 - $G436)</f>
        <v/>
      </c>
      <c r="T436" s="20">
        <f>IF(ISBLANK($C436),"",C436)</f>
        <v/>
      </c>
      <c r="U436" s="20">
        <f>IF(ISBLANK($C436),"",$D$1)</f>
        <v/>
      </c>
      <c r="V436" s="22">
        <f t="array" ref="V436">IF(ISBLANK($B436),"",IF(ISBLANK($K436),IF(XLOOKUP($W436,'Category Mapping'!$C:$C,'Category Mapping'!$B:$B)="Travel",XLOOKUP($P436,'Department Listing'!$A:$A,'Department Listing'!$M:$M),XLOOKUP($W436,'Category Mapping'!$C:$C,'Category Mapping'!$D:$D)),$K436))</f>
        <v/>
      </c>
      <c r="W436" s="22">
        <f>IF(ISBLANK($B436),"",IF(ISBLANK($L436),RIGHT($E436,LEN($E436) - FIND("^",SUBSTITUTE($E436,":","^",LEN($E436) - LEN(SUBSTITUTE($E436,":",""))))),$L436))</f>
        <v/>
      </c>
      <c r="X436" s="22">
        <f>IF(ISBLANK($J436),$V436&amp;$W436,$J436)</f>
        <v/>
      </c>
      <c r="Y436" s="23">
        <f t="array" ref="Y436">IF(ISBLANK($M436),IFERROR(XLOOKUP($P436,'Department Listing'!$A:$A,'Department Listing'!$L:$L),""),$M436)</f>
        <v/>
      </c>
      <c r="Z436" s="11">
        <f>IF(ISBLANK($B436),"",MATCH($X436,COA!$B:$B,0))</f>
        <v/>
      </c>
    </row>
    <row r="437" ht="15.75" customHeight="1" s="52">
      <c r="B437" s="17" t="n"/>
      <c r="E437" s="26" t="n"/>
      <c r="F437" s="19" t="n"/>
      <c r="G437" s="10" t="n"/>
      <c r="H437" s="10" t="n"/>
      <c r="I437" s="9" t="n"/>
      <c r="J437" s="9" t="n"/>
      <c r="K437" s="25" t="n"/>
      <c r="L437" s="25" t="n"/>
      <c r="M437" s="25" t="n"/>
      <c r="N437" s="20" t="n"/>
      <c r="O437" s="20">
        <f>IF(C437="", "", TRIM(RIGHT(C437, LEN(C437) - FIND("@@", SUBSTITUTE(C437, "-", "@@", LEN(C437) - LEN(SUBSTITUTE(C437, "-", "")))))))</f>
        <v/>
      </c>
      <c r="P437" s="20">
        <f t="array" ref="P437">IFERROR(XLOOKUP(O437,'Department Listing'!$O$1:$O$395,'Department Listing'!$A$1:$A$395),IFERROR(XLOOKUP(O437,'Name Aliases'!$A$2:$A$1000,'Name Aliases'!$B$2:$B$1000),""))</f>
        <v/>
      </c>
      <c r="Q437" s="21">
        <f>IF(ISBLANK($C437),"",$B437)</f>
        <v/>
      </c>
      <c r="R437" s="20">
        <f>IF(ISBLANK($C437),"",IF(ISBLANK($I437),$D437,$I437))</f>
        <v/>
      </c>
      <c r="S437" s="22">
        <f>IF(ISBLANK($C437),"",$F437 - $G437)</f>
        <v/>
      </c>
      <c r="T437" s="20">
        <f>IF(ISBLANK($C437),"",C437)</f>
        <v/>
      </c>
      <c r="U437" s="20">
        <f>IF(ISBLANK($C437),"",$D$1)</f>
        <v/>
      </c>
      <c r="V437" s="22">
        <f t="array" ref="V437">IF(ISBLANK($B437),"",IF(ISBLANK($K437),IF(XLOOKUP($W437,'Category Mapping'!$C:$C,'Category Mapping'!$B:$B)="Travel",XLOOKUP($P437,'Department Listing'!$A:$A,'Department Listing'!$M:$M),XLOOKUP($W437,'Category Mapping'!$C:$C,'Category Mapping'!$D:$D)),$K437))</f>
        <v/>
      </c>
      <c r="W437" s="22">
        <f>IF(ISBLANK($B437),"",IF(ISBLANK($L437),RIGHT($E437,LEN($E437) - FIND("^",SUBSTITUTE($E437,":","^",LEN($E437) - LEN(SUBSTITUTE($E437,":",""))))),$L437))</f>
        <v/>
      </c>
      <c r="X437" s="22">
        <f>IF(ISBLANK($J437),$V437&amp;$W437,$J437)</f>
        <v/>
      </c>
      <c r="Y437" s="23">
        <f t="array" ref="Y437">IF(ISBLANK($M437),IFERROR(XLOOKUP($P437,'Department Listing'!$A:$A,'Department Listing'!$L:$L),""),$M437)</f>
        <v/>
      </c>
      <c r="Z437" s="11">
        <f>IF(ISBLANK($B437),"",MATCH($X437,COA!$B:$B,0))</f>
        <v/>
      </c>
    </row>
    <row r="438" ht="15.75" customHeight="1" s="52">
      <c r="B438" s="17" t="n"/>
      <c r="E438" s="26" t="n"/>
      <c r="F438" s="19" t="n"/>
      <c r="G438" s="10" t="n"/>
      <c r="H438" s="10" t="n"/>
      <c r="I438" s="9" t="n"/>
      <c r="J438" s="9" t="n"/>
      <c r="K438" s="25" t="n"/>
      <c r="L438" s="25" t="n"/>
      <c r="M438" s="25" t="n"/>
      <c r="N438" s="20" t="n"/>
      <c r="O438" s="20">
        <f>IF(C438="", "", TRIM(RIGHT(C438, LEN(C438) - FIND("@@", SUBSTITUTE(C438, "-", "@@", LEN(C438) - LEN(SUBSTITUTE(C438, "-", "")))))))</f>
        <v/>
      </c>
      <c r="P438" s="20">
        <f t="array" ref="P438">IFERROR(XLOOKUP(O438,'Department Listing'!$O$1:$O$395,'Department Listing'!$A$1:$A$395),IFERROR(XLOOKUP(O438,'Name Aliases'!$A$2:$A$1000,'Name Aliases'!$B$2:$B$1000),""))</f>
        <v/>
      </c>
      <c r="Q438" s="21">
        <f>IF(ISBLANK($C438),"",$B438)</f>
        <v/>
      </c>
      <c r="R438" s="20">
        <f>IF(ISBLANK($C438),"",IF(ISBLANK($I438),$D438,$I438))</f>
        <v/>
      </c>
      <c r="S438" s="22">
        <f>IF(ISBLANK($C438),"",$F438 - $G438)</f>
        <v/>
      </c>
      <c r="T438" s="20">
        <f>IF(ISBLANK($C438),"",C438)</f>
        <v/>
      </c>
      <c r="U438" s="20">
        <f>IF(ISBLANK($C438),"",$D$1)</f>
        <v/>
      </c>
      <c r="V438" s="22">
        <f t="array" ref="V438">IF(ISBLANK($B438),"",IF(ISBLANK($K438),IF(XLOOKUP($W438,'Category Mapping'!$C:$C,'Category Mapping'!$B:$B)="Travel",XLOOKUP($P438,'Department Listing'!$A:$A,'Department Listing'!$M:$M),XLOOKUP($W438,'Category Mapping'!$C:$C,'Category Mapping'!$D:$D)),$K438))</f>
        <v/>
      </c>
      <c r="W438" s="22">
        <f>IF(ISBLANK($B438),"",IF(ISBLANK($L438),RIGHT($E438,LEN($E438) - FIND("^",SUBSTITUTE($E438,":","^",LEN($E438) - LEN(SUBSTITUTE($E438,":",""))))),$L438))</f>
        <v/>
      </c>
      <c r="X438" s="22">
        <f>IF(ISBLANK($J438),$V438&amp;$W438,$J438)</f>
        <v/>
      </c>
      <c r="Y438" s="23">
        <f t="array" ref="Y438">IF(ISBLANK($M438),IFERROR(XLOOKUP($P438,'Department Listing'!$A:$A,'Department Listing'!$L:$L),""),$M438)</f>
        <v/>
      </c>
      <c r="Z438" s="11">
        <f>IF(ISBLANK($B438),"",MATCH($X438,COA!$B:$B,0))</f>
        <v/>
      </c>
    </row>
    <row r="439" ht="15.75" customHeight="1" s="52">
      <c r="B439" s="17" t="n"/>
      <c r="E439" s="26" t="n"/>
      <c r="F439" s="19" t="n"/>
      <c r="G439" s="10" t="n"/>
      <c r="H439" s="10" t="n"/>
      <c r="I439" s="9" t="n"/>
      <c r="J439" s="9" t="n"/>
      <c r="K439" s="25" t="n"/>
      <c r="L439" s="25" t="n"/>
      <c r="M439" s="25" t="n"/>
      <c r="N439" s="20" t="n"/>
      <c r="O439" s="20">
        <f>IF(C439="", "", TRIM(RIGHT(C439, LEN(C439) - FIND("@@", SUBSTITUTE(C439, "-", "@@", LEN(C439) - LEN(SUBSTITUTE(C439, "-", "")))))))</f>
        <v/>
      </c>
      <c r="P439" s="20">
        <f t="array" ref="P439">IFERROR(XLOOKUP(O439,'Department Listing'!$O$1:$O$395,'Department Listing'!$A$1:$A$395),IFERROR(XLOOKUP(O439,'Name Aliases'!$A$2:$A$1000,'Name Aliases'!$B$2:$B$1000),""))</f>
        <v/>
      </c>
      <c r="Q439" s="21">
        <f>IF(ISBLANK($C439),"",$B439)</f>
        <v/>
      </c>
      <c r="R439" s="20">
        <f>IF(ISBLANK($C439),"",IF(ISBLANK($I439),$D439,$I439))</f>
        <v/>
      </c>
      <c r="S439" s="22">
        <f>IF(ISBLANK($C439),"",$F439 - $G439)</f>
        <v/>
      </c>
      <c r="T439" s="20">
        <f>IF(ISBLANK($C439),"",C439)</f>
        <v/>
      </c>
      <c r="U439" s="20">
        <f>IF(ISBLANK($C439),"",$D$1)</f>
        <v/>
      </c>
      <c r="V439" s="22">
        <f t="array" ref="V439">IF(ISBLANK($B439),"",IF(ISBLANK($K439),IF(XLOOKUP($W439,'Category Mapping'!$C:$C,'Category Mapping'!$B:$B)="Travel",XLOOKUP($P439,'Department Listing'!$A:$A,'Department Listing'!$M:$M),XLOOKUP($W439,'Category Mapping'!$C:$C,'Category Mapping'!$D:$D)),$K439))</f>
        <v/>
      </c>
      <c r="W439" s="22">
        <f>IF(ISBLANK($B439),"",IF(ISBLANK($L439),RIGHT($E439,LEN($E439) - FIND("^",SUBSTITUTE($E439,":","^",LEN($E439) - LEN(SUBSTITUTE($E439,":",""))))),$L439))</f>
        <v/>
      </c>
      <c r="X439" s="22">
        <f>IF(ISBLANK($J439),$V439&amp;$W439,$J439)</f>
        <v/>
      </c>
      <c r="Y439" s="23">
        <f t="array" ref="Y439">IF(ISBLANK($M439),IFERROR(XLOOKUP($P439,'Department Listing'!$A:$A,'Department Listing'!$L:$L),""),$M439)</f>
        <v/>
      </c>
      <c r="Z439" s="11">
        <f>IF(ISBLANK($B439),"",MATCH($X439,COA!$B:$B,0))</f>
        <v/>
      </c>
    </row>
    <row r="440" ht="15.75" customHeight="1" s="52">
      <c r="B440" s="17" t="n"/>
      <c r="E440" s="26" t="n"/>
      <c r="F440" s="19" t="n"/>
      <c r="G440" s="10" t="n"/>
      <c r="H440" s="10" t="n"/>
      <c r="I440" s="9" t="n"/>
      <c r="J440" s="9" t="n"/>
      <c r="K440" s="25" t="n"/>
      <c r="L440" s="25" t="n"/>
      <c r="M440" s="25" t="n"/>
      <c r="N440" s="20" t="n"/>
      <c r="O440" s="20">
        <f>IF(C440="", "", TRIM(RIGHT(C440, LEN(C440) - FIND("@@", SUBSTITUTE(C440, "-", "@@", LEN(C440) - LEN(SUBSTITUTE(C440, "-", "")))))))</f>
        <v/>
      </c>
      <c r="P440" s="20">
        <f t="array" ref="P440">IFERROR(XLOOKUP(O440,'Department Listing'!$O$1:$O$395,'Department Listing'!$A$1:$A$395),IFERROR(XLOOKUP(O440,'Name Aliases'!$A$2:$A$1000,'Name Aliases'!$B$2:$B$1000),""))</f>
        <v/>
      </c>
      <c r="Q440" s="21">
        <f>IF(ISBLANK($C440),"",$B440)</f>
        <v/>
      </c>
      <c r="R440" s="20">
        <f>IF(ISBLANK($C440),"",IF(ISBLANK($I440),$D440,$I440))</f>
        <v/>
      </c>
      <c r="S440" s="22">
        <f>IF(ISBLANK($C440),"",$F440 - $G440)</f>
        <v/>
      </c>
      <c r="T440" s="20">
        <f>IF(ISBLANK($C440),"",C440)</f>
        <v/>
      </c>
      <c r="U440" s="20">
        <f>IF(ISBLANK($C440),"",$D$1)</f>
        <v/>
      </c>
      <c r="V440" s="22">
        <f t="array" ref="V440">IF(ISBLANK($B440),"",IF(ISBLANK($K440),IF(XLOOKUP($W440,'Category Mapping'!$C:$C,'Category Mapping'!$B:$B)="Travel",XLOOKUP($P440,'Department Listing'!$A:$A,'Department Listing'!$M:$M),XLOOKUP($W440,'Category Mapping'!$C:$C,'Category Mapping'!$D:$D)),$K440))</f>
        <v/>
      </c>
      <c r="W440" s="22">
        <f>IF(ISBLANK($B440),"",IF(ISBLANK($L440),RIGHT($E440,LEN($E440) - FIND("^",SUBSTITUTE($E440,":","^",LEN($E440) - LEN(SUBSTITUTE($E440,":",""))))),$L440))</f>
        <v/>
      </c>
      <c r="X440" s="22">
        <f>IF(ISBLANK($J440),$V440&amp;$W440,$J440)</f>
        <v/>
      </c>
      <c r="Y440" s="23">
        <f t="array" ref="Y440">IF(ISBLANK($M440),IFERROR(XLOOKUP($P440,'Department Listing'!$A:$A,'Department Listing'!$L:$L),""),$M440)</f>
        <v/>
      </c>
      <c r="Z440" s="11">
        <f>IF(ISBLANK($B440),"",MATCH($X440,COA!$B:$B,0))</f>
        <v/>
      </c>
    </row>
    <row r="441" ht="15.75" customHeight="1" s="52">
      <c r="B441" s="17" t="n"/>
      <c r="E441" s="26" t="n"/>
      <c r="F441" s="19" t="n"/>
      <c r="G441" s="10" t="n"/>
      <c r="H441" s="10" t="n"/>
      <c r="I441" s="9" t="n"/>
      <c r="J441" s="9" t="n"/>
      <c r="K441" s="25" t="n"/>
      <c r="L441" s="25" t="n"/>
      <c r="M441" s="25" t="n"/>
      <c r="N441" s="20" t="n"/>
      <c r="O441" s="20">
        <f>IF(C441="", "", TRIM(RIGHT(C441, LEN(C441) - FIND("@@", SUBSTITUTE(C441, "-", "@@", LEN(C441) - LEN(SUBSTITUTE(C441, "-", "")))))))</f>
        <v/>
      </c>
      <c r="P441" s="20">
        <f t="array" ref="P441">IFERROR(XLOOKUP(O441,'Department Listing'!$O$1:$O$395,'Department Listing'!$A$1:$A$395),IFERROR(XLOOKUP(O441,'Name Aliases'!$A$2:$A$1000,'Name Aliases'!$B$2:$B$1000),""))</f>
        <v/>
      </c>
      <c r="Q441" s="21">
        <f>IF(ISBLANK($C441),"",$B441)</f>
        <v/>
      </c>
      <c r="R441" s="20">
        <f>IF(ISBLANK($C441),"",IF(ISBLANK($I441),$D441,$I441))</f>
        <v/>
      </c>
      <c r="S441" s="22">
        <f>IF(ISBLANK($C441),"",$F441 - $G441)</f>
        <v/>
      </c>
      <c r="T441" s="20">
        <f>IF(ISBLANK($C441),"",C441)</f>
        <v/>
      </c>
      <c r="U441" s="20">
        <f>IF(ISBLANK($C441),"",$D$1)</f>
        <v/>
      </c>
      <c r="V441" s="22">
        <f t="array" ref="V441">IF(ISBLANK($B441),"",IF(ISBLANK($K441),IF(XLOOKUP($W441,'Category Mapping'!$C:$C,'Category Mapping'!$B:$B)="Travel",XLOOKUP($P441,'Department Listing'!$A:$A,'Department Listing'!$M:$M),XLOOKUP($W441,'Category Mapping'!$C:$C,'Category Mapping'!$D:$D)),$K441))</f>
        <v/>
      </c>
      <c r="W441" s="22">
        <f>IF(ISBLANK($B441),"",IF(ISBLANK($L441),RIGHT($E441,LEN($E441) - FIND("^",SUBSTITUTE($E441,":","^",LEN($E441) - LEN(SUBSTITUTE($E441,":",""))))),$L441))</f>
        <v/>
      </c>
      <c r="X441" s="22">
        <f>IF(ISBLANK($J441),$V441&amp;$W441,$J441)</f>
        <v/>
      </c>
      <c r="Y441" s="23">
        <f t="array" ref="Y441">IF(ISBLANK($M441),IFERROR(XLOOKUP($P441,'Department Listing'!$A:$A,'Department Listing'!$L:$L),""),$M441)</f>
        <v/>
      </c>
      <c r="Z441" s="11">
        <f>IF(ISBLANK($B441),"",MATCH($X441,COA!$B:$B,0))</f>
        <v/>
      </c>
    </row>
    <row r="442" ht="15.75" customHeight="1" s="52">
      <c r="B442" s="17" t="n"/>
      <c r="E442" s="26" t="n"/>
      <c r="F442" s="19" t="n"/>
      <c r="G442" s="10" t="n"/>
      <c r="H442" s="10" t="n"/>
      <c r="I442" s="9" t="n"/>
      <c r="J442" s="9" t="n"/>
      <c r="K442" s="25" t="n"/>
      <c r="L442" s="25" t="n"/>
      <c r="M442" s="25" t="n"/>
      <c r="N442" s="20" t="n"/>
      <c r="O442" s="20">
        <f>IF(C442="", "", TRIM(RIGHT(C442, LEN(C442) - FIND("@@", SUBSTITUTE(C442, "-", "@@", LEN(C442) - LEN(SUBSTITUTE(C442, "-", "")))))))</f>
        <v/>
      </c>
      <c r="P442" s="20">
        <f t="array" ref="P442">IFERROR(XLOOKUP(O442,'Department Listing'!$O$1:$O$395,'Department Listing'!$A$1:$A$395),IFERROR(XLOOKUP(O442,'Name Aliases'!$A$2:$A$1000,'Name Aliases'!$B$2:$B$1000),""))</f>
        <v/>
      </c>
      <c r="Q442" s="21">
        <f>IF(ISBLANK($C442),"",$B442)</f>
        <v/>
      </c>
      <c r="R442" s="20">
        <f>IF(ISBLANK($C442),"",IF(ISBLANK($I442),$D442,$I442))</f>
        <v/>
      </c>
      <c r="S442" s="22">
        <f>IF(ISBLANK($C442),"",$F442 - $G442)</f>
        <v/>
      </c>
      <c r="T442" s="20">
        <f>IF(ISBLANK($C442),"",C442)</f>
        <v/>
      </c>
      <c r="U442" s="20">
        <f>IF(ISBLANK($C442),"",$D$1)</f>
        <v/>
      </c>
      <c r="V442" s="22">
        <f t="array" ref="V442">IF(ISBLANK($B442),"",IF(ISBLANK($K442),IF(XLOOKUP($W442,'Category Mapping'!$C:$C,'Category Mapping'!$B:$B)="Travel",XLOOKUP($P442,'Department Listing'!$A:$A,'Department Listing'!$M:$M),XLOOKUP($W442,'Category Mapping'!$C:$C,'Category Mapping'!$D:$D)),$K442))</f>
        <v/>
      </c>
      <c r="W442" s="22">
        <f>IF(ISBLANK($B442),"",IF(ISBLANK($L442),RIGHT($E442,LEN($E442) - FIND("^",SUBSTITUTE($E442,":","^",LEN($E442) - LEN(SUBSTITUTE($E442,":",""))))),$L442))</f>
        <v/>
      </c>
      <c r="X442" s="22">
        <f>IF(ISBLANK($J442),$V442&amp;$W442,$J442)</f>
        <v/>
      </c>
      <c r="Y442" s="23">
        <f t="array" ref="Y442">IF(ISBLANK($M442),IFERROR(XLOOKUP($P442,'Department Listing'!$A:$A,'Department Listing'!$L:$L),""),$M442)</f>
        <v/>
      </c>
      <c r="Z442" s="11">
        <f>IF(ISBLANK($B442),"",MATCH($X442,COA!$B:$B,0))</f>
        <v/>
      </c>
    </row>
    <row r="443" ht="15.75" customHeight="1" s="52">
      <c r="B443" s="17" t="n"/>
      <c r="E443" s="26" t="n"/>
      <c r="F443" s="19" t="n"/>
      <c r="G443" s="10" t="n"/>
      <c r="H443" s="10" t="n"/>
      <c r="I443" s="9" t="n"/>
      <c r="J443" s="9" t="n"/>
      <c r="K443" s="25" t="n"/>
      <c r="L443" s="25" t="n"/>
      <c r="M443" s="25" t="n"/>
      <c r="N443" s="20" t="n"/>
      <c r="O443" s="20">
        <f>IF(C443="", "", TRIM(RIGHT(C443, LEN(C443) - FIND("@@", SUBSTITUTE(C443, "-", "@@", LEN(C443) - LEN(SUBSTITUTE(C443, "-", "")))))))</f>
        <v/>
      </c>
      <c r="P443" s="20">
        <f t="array" ref="P443">IFERROR(XLOOKUP(O443,'Department Listing'!$O$1:$O$395,'Department Listing'!$A$1:$A$395),IFERROR(XLOOKUP(O443,'Name Aliases'!$A$2:$A$1000,'Name Aliases'!$B$2:$B$1000),""))</f>
        <v/>
      </c>
      <c r="Q443" s="21">
        <f>IF(ISBLANK($C443),"",$B443)</f>
        <v/>
      </c>
      <c r="R443" s="20">
        <f>IF(ISBLANK($C443),"",IF(ISBLANK($I443),$D443,$I443))</f>
        <v/>
      </c>
      <c r="S443" s="22">
        <f>IF(ISBLANK($C443),"",$F443 - $G443)</f>
        <v/>
      </c>
      <c r="T443" s="20">
        <f>IF(ISBLANK($C443),"",C443)</f>
        <v/>
      </c>
      <c r="U443" s="20">
        <f>IF(ISBLANK($C443),"",$D$1)</f>
        <v/>
      </c>
      <c r="V443" s="22">
        <f t="array" ref="V443">IF(ISBLANK($B443),"",IF(ISBLANK($K443),IF(XLOOKUP($W443,'Category Mapping'!$C:$C,'Category Mapping'!$B:$B)="Travel",XLOOKUP($P443,'Department Listing'!$A:$A,'Department Listing'!$M:$M),XLOOKUP($W443,'Category Mapping'!$C:$C,'Category Mapping'!$D:$D)),$K443))</f>
        <v/>
      </c>
      <c r="W443" s="22">
        <f>IF(ISBLANK($B443),"",IF(ISBLANK($L443),RIGHT($E443,LEN($E443) - FIND("^",SUBSTITUTE($E443,":","^",LEN($E443) - LEN(SUBSTITUTE($E443,":",""))))),$L443))</f>
        <v/>
      </c>
      <c r="X443" s="22">
        <f>IF(ISBLANK($J443),$V443&amp;$W443,$J443)</f>
        <v/>
      </c>
      <c r="Y443" s="23">
        <f t="array" ref="Y443">IF(ISBLANK($M443),IFERROR(XLOOKUP($P443,'Department Listing'!$A:$A,'Department Listing'!$L:$L),""),$M443)</f>
        <v/>
      </c>
      <c r="Z443" s="11">
        <f>IF(ISBLANK($B443),"",MATCH($X443,COA!$B:$B,0))</f>
        <v/>
      </c>
    </row>
    <row r="444" ht="15.75" customHeight="1" s="52">
      <c r="B444" s="17" t="n"/>
      <c r="E444" s="26" t="n"/>
      <c r="F444" s="19" t="n"/>
      <c r="G444" s="10" t="n"/>
      <c r="H444" s="10" t="n"/>
      <c r="I444" s="9" t="n"/>
      <c r="J444" s="9" t="n"/>
      <c r="K444" s="25" t="n"/>
      <c r="L444" s="25" t="n"/>
      <c r="M444" s="25" t="n"/>
      <c r="N444" s="20" t="n"/>
      <c r="O444" s="20">
        <f>IF(C444="", "", TRIM(RIGHT(C444, LEN(C444) - FIND("@@", SUBSTITUTE(C444, "-", "@@", LEN(C444) - LEN(SUBSTITUTE(C444, "-", "")))))))</f>
        <v/>
      </c>
      <c r="P444" s="20">
        <f t="array" ref="P444">IFERROR(XLOOKUP(O444,'Department Listing'!$O$1:$O$395,'Department Listing'!$A$1:$A$395),IFERROR(XLOOKUP(O444,'Name Aliases'!$A$2:$A$1000,'Name Aliases'!$B$2:$B$1000),""))</f>
        <v/>
      </c>
      <c r="Q444" s="21">
        <f>IF(ISBLANK($C444),"",$B444)</f>
        <v/>
      </c>
      <c r="R444" s="20">
        <f>IF(ISBLANK($C444),"",IF(ISBLANK($I444),$D444,$I444))</f>
        <v/>
      </c>
      <c r="S444" s="22">
        <f>IF(ISBLANK($C444),"",$F444 - $G444)</f>
        <v/>
      </c>
      <c r="T444" s="20">
        <f>IF(ISBLANK($C444),"",C444)</f>
        <v/>
      </c>
      <c r="U444" s="20">
        <f>IF(ISBLANK($C444),"",$D$1)</f>
        <v/>
      </c>
      <c r="V444" s="22">
        <f t="array" ref="V444">IF(ISBLANK($B444),"",IF(ISBLANK($K444),IF(XLOOKUP($W444,'Category Mapping'!$C:$C,'Category Mapping'!$B:$B)="Travel",XLOOKUP($P444,'Department Listing'!$A:$A,'Department Listing'!$M:$M),XLOOKUP($W444,'Category Mapping'!$C:$C,'Category Mapping'!$D:$D)),$K444))</f>
        <v/>
      </c>
      <c r="W444" s="22">
        <f>IF(ISBLANK($B444),"",IF(ISBLANK($L444),RIGHT($E444,LEN($E444) - FIND("^",SUBSTITUTE($E444,":","^",LEN($E444) - LEN(SUBSTITUTE($E444,":",""))))),$L444))</f>
        <v/>
      </c>
      <c r="X444" s="22">
        <f>IF(ISBLANK($J444),$V444&amp;$W444,$J444)</f>
        <v/>
      </c>
      <c r="Y444" s="23">
        <f t="array" ref="Y444">IF(ISBLANK($M444),IFERROR(XLOOKUP($P444,'Department Listing'!$A:$A,'Department Listing'!$L:$L),""),$M444)</f>
        <v/>
      </c>
      <c r="Z444" s="11">
        <f>IF(ISBLANK($B444),"",MATCH($X444,COA!$B:$B,0))</f>
        <v/>
      </c>
    </row>
    <row r="445" ht="15.75" customHeight="1" s="52">
      <c r="B445" s="17" t="n"/>
      <c r="E445" s="26" t="n"/>
      <c r="F445" s="19" t="n"/>
      <c r="G445" s="10" t="n"/>
      <c r="H445" s="10" t="n"/>
      <c r="I445" s="9" t="n"/>
      <c r="J445" s="9" t="n"/>
      <c r="K445" s="9" t="n"/>
      <c r="L445" s="9" t="n"/>
      <c r="M445" s="9" t="n"/>
      <c r="N445" s="20" t="n"/>
      <c r="O445" s="20">
        <f>IF(C445="", "", TRIM(RIGHT(C445, LEN(C445) - FIND("@@", SUBSTITUTE(C445, "-", "@@", LEN(C445) - LEN(SUBSTITUTE(C445, "-", "")))))))</f>
        <v/>
      </c>
      <c r="P445" s="20">
        <f t="array" ref="P445">IFERROR(XLOOKUP(O445,'Department Listing'!$O$1:$O$395,'Department Listing'!$A$1:$A$395),IFERROR(XLOOKUP(O445,'Name Aliases'!$A$2:$A$1000,'Name Aliases'!$B$2:$B$1000),""))</f>
        <v/>
      </c>
      <c r="Q445" s="21">
        <f>IF(ISBLANK($C445),"",$B445)</f>
        <v/>
      </c>
      <c r="R445" s="20">
        <f>IF(ISBLANK($C445),"",IF(ISBLANK($I445),$D445,$I445))</f>
        <v/>
      </c>
      <c r="S445" s="22">
        <f>IF(ISBLANK($C445),"",$F445 - $G445)</f>
        <v/>
      </c>
      <c r="T445" s="20">
        <f>IF(ISBLANK($C445),"",C445)</f>
        <v/>
      </c>
      <c r="U445" s="20">
        <f>IF(ISBLANK($C445),"",$D$1)</f>
        <v/>
      </c>
      <c r="V445" s="22">
        <f t="array" ref="V445">IF(ISBLANK($B445),"",IF(ISBLANK($K445),IF(XLOOKUP($W445,'Category Mapping'!$C:$C,'Category Mapping'!$B:$B)="Travel",XLOOKUP($P445,'Department Listing'!$A:$A,'Department Listing'!$M:$M),XLOOKUP($W445,'Category Mapping'!$C:$C,'Category Mapping'!$D:$D)),$K445))</f>
        <v/>
      </c>
      <c r="W445" s="22">
        <f>IF(ISBLANK($B445),"",IF(ISBLANK($L445),RIGHT($E445,LEN($E445) - FIND("^",SUBSTITUTE($E445,":","^",LEN($E445) - LEN(SUBSTITUTE($E445,":",""))))),$L445))</f>
        <v/>
      </c>
      <c r="X445" s="22">
        <f>IF(ISBLANK($J445),$V445&amp;$W445,$J445)</f>
        <v/>
      </c>
      <c r="Y445" s="23">
        <f t="array" ref="Y445">IF(ISBLANK($M445),IFERROR(XLOOKUP($P445,'Department Listing'!$A:$A,'Department Listing'!$L:$L),""),$M445)</f>
        <v/>
      </c>
      <c r="Z445" s="11">
        <f>IF(ISBLANK($B445),"",MATCH($X445,COA!$B:$B,0))</f>
        <v/>
      </c>
    </row>
    <row r="446" ht="15.75" customHeight="1" s="52">
      <c r="B446" s="17" t="n"/>
      <c r="E446" s="26" t="n"/>
      <c r="F446" s="19" t="n"/>
      <c r="G446" s="10" t="n"/>
      <c r="H446" s="10" t="n"/>
      <c r="I446" s="9" t="n"/>
      <c r="J446" s="9" t="n"/>
      <c r="K446" s="9" t="n"/>
      <c r="L446" s="9" t="n"/>
      <c r="M446" s="9" t="n"/>
      <c r="N446" s="20" t="n"/>
      <c r="O446" s="20">
        <f>IF(C446="", "", TRIM(RIGHT(C446, LEN(C446) - FIND("@@", SUBSTITUTE(C446, "-", "@@", LEN(C446) - LEN(SUBSTITUTE(C446, "-", "")))))))</f>
        <v/>
      </c>
      <c r="P446" s="20">
        <f t="array" ref="P446">IFERROR(XLOOKUP(O446,'Department Listing'!$O$1:$O$395,'Department Listing'!$A$1:$A$395),IFERROR(XLOOKUP(O446,'Name Aliases'!$A$2:$A$1000,'Name Aliases'!$B$2:$B$1000),""))</f>
        <v/>
      </c>
      <c r="Q446" s="21">
        <f>IF(ISBLANK($C446),"",$B446)</f>
        <v/>
      </c>
      <c r="R446" s="20">
        <f>IF(ISBLANK($C446),"",IF(ISBLANK($I446),$D446,$I446))</f>
        <v/>
      </c>
      <c r="S446" s="22">
        <f>IF(ISBLANK($C446),"",$F446 - $G446)</f>
        <v/>
      </c>
      <c r="T446" s="20">
        <f>IF(ISBLANK($C446),"",C446)</f>
        <v/>
      </c>
      <c r="U446" s="20">
        <f>IF(ISBLANK($C446),"",$D$1)</f>
        <v/>
      </c>
      <c r="V446" s="22">
        <f t="array" ref="V446">IF(ISBLANK($B446),"",IF(ISBLANK($K446),IF(XLOOKUP($W446,'Category Mapping'!$C:$C,'Category Mapping'!$B:$B)="Travel",XLOOKUP($P446,'Department Listing'!$A:$A,'Department Listing'!$M:$M),XLOOKUP($W446,'Category Mapping'!$C:$C,'Category Mapping'!$D:$D)),$K446))</f>
        <v/>
      </c>
      <c r="W446" s="22">
        <f>IF(ISBLANK($B446),"",IF(ISBLANK($L446),RIGHT($E446,LEN($E446) - FIND("^",SUBSTITUTE($E446,":","^",LEN($E446) - LEN(SUBSTITUTE($E446,":",""))))),$L446))</f>
        <v/>
      </c>
      <c r="X446" s="22">
        <f>IF(ISBLANK($J446),$V446&amp;$W446,$J446)</f>
        <v/>
      </c>
      <c r="Y446" s="23">
        <f t="array" ref="Y446">IF(ISBLANK($M446),IFERROR(XLOOKUP($P446,'Department Listing'!$A:$A,'Department Listing'!$L:$L),""),$M446)</f>
        <v/>
      </c>
      <c r="Z446" s="11">
        <f>IF(ISBLANK($B446),"",MATCH($X446,COA!$B:$B,0))</f>
        <v/>
      </c>
    </row>
    <row r="447" ht="15.75" customHeight="1" s="52">
      <c r="B447" s="17" t="n"/>
      <c r="E447" s="26" t="n"/>
      <c r="F447" s="19" t="n"/>
      <c r="G447" s="10" t="n"/>
      <c r="H447" s="10" t="n"/>
      <c r="I447" s="9" t="n"/>
      <c r="J447" s="9" t="n"/>
      <c r="K447" s="9" t="n"/>
      <c r="L447" s="9" t="n"/>
      <c r="M447" s="9" t="n"/>
      <c r="N447" s="20" t="n"/>
      <c r="O447" s="20">
        <f>IF(C447="", "", TRIM(RIGHT(C447, LEN(C447) - FIND("@@", SUBSTITUTE(C447, "-", "@@", LEN(C447) - LEN(SUBSTITUTE(C447, "-", "")))))))</f>
        <v/>
      </c>
      <c r="P447" s="20">
        <f t="array" ref="P447">IFERROR(XLOOKUP(O447,'Department Listing'!$O$1:$O$395,'Department Listing'!$A$1:$A$395),IFERROR(XLOOKUP(O447,'Name Aliases'!$A$2:$A$1000,'Name Aliases'!$B$2:$B$1000),""))</f>
        <v/>
      </c>
      <c r="Q447" s="21">
        <f>IF(ISBLANK($C447),"",$B447)</f>
        <v/>
      </c>
      <c r="R447" s="20">
        <f>IF(ISBLANK($C447),"",IF(ISBLANK($I447),$D447,$I447))</f>
        <v/>
      </c>
      <c r="S447" s="22">
        <f>IF(ISBLANK($C447),"",$F447 - $G447)</f>
        <v/>
      </c>
      <c r="T447" s="20">
        <f>IF(ISBLANK($C447),"",C447)</f>
        <v/>
      </c>
      <c r="U447" s="20">
        <f>IF(ISBLANK($C447),"",$D$1)</f>
        <v/>
      </c>
      <c r="V447" s="22">
        <f t="array" ref="V447">IF(ISBLANK($B447),"",IF(ISBLANK($K447),IF(XLOOKUP($W447,'Category Mapping'!$C:$C,'Category Mapping'!$B:$B)="Travel",XLOOKUP($P447,'Department Listing'!$A:$A,'Department Listing'!$M:$M),XLOOKUP($W447,'Category Mapping'!$C:$C,'Category Mapping'!$D:$D)),$K447))</f>
        <v/>
      </c>
      <c r="W447" s="22">
        <f>IF(ISBLANK($B447),"",IF(ISBLANK($L447),RIGHT($E447,LEN($E447) - FIND("^",SUBSTITUTE($E447,":","^",LEN($E447) - LEN(SUBSTITUTE($E447,":",""))))),$L447))</f>
        <v/>
      </c>
      <c r="X447" s="22">
        <f>IF(ISBLANK($J447),$V447&amp;$W447,$J447)</f>
        <v/>
      </c>
      <c r="Y447" s="23">
        <f t="array" ref="Y447">IF(ISBLANK($M447),IFERROR(XLOOKUP($P447,'Department Listing'!$A:$A,'Department Listing'!$L:$L),""),$M447)</f>
        <v/>
      </c>
      <c r="Z447" s="11">
        <f>IF(ISBLANK($B447),"",MATCH($X447,COA!$B:$B,0))</f>
        <v/>
      </c>
    </row>
    <row r="448" ht="15.75" customHeight="1" s="52">
      <c r="B448" s="17" t="n"/>
      <c r="E448" s="26" t="n"/>
      <c r="F448" s="19" t="n"/>
      <c r="G448" s="10" t="n"/>
      <c r="H448" s="10" t="n"/>
      <c r="I448" s="9" t="n"/>
      <c r="J448" s="9" t="n"/>
      <c r="K448" s="9" t="n"/>
      <c r="L448" s="9" t="n"/>
      <c r="M448" s="9" t="n"/>
      <c r="N448" s="20" t="n"/>
      <c r="O448" s="20">
        <f>IF(C448="", "", TRIM(RIGHT(C448, LEN(C448) - FIND("@@", SUBSTITUTE(C448, "-", "@@", LEN(C448) - LEN(SUBSTITUTE(C448, "-", "")))))))</f>
        <v/>
      </c>
      <c r="P448" s="20">
        <f t="array" ref="P448">IFERROR(XLOOKUP(O448,'Department Listing'!$O$1:$O$395,'Department Listing'!$A$1:$A$395),IFERROR(XLOOKUP(O448,'Name Aliases'!$A$2:$A$1000,'Name Aliases'!$B$2:$B$1000),""))</f>
        <v/>
      </c>
      <c r="Q448" s="21">
        <f>IF(ISBLANK($C448),"",$B448)</f>
        <v/>
      </c>
      <c r="R448" s="20">
        <f>IF(ISBLANK($C448),"",IF(ISBLANK($I448),$D448,$I448))</f>
        <v/>
      </c>
      <c r="S448" s="22">
        <f>IF(ISBLANK($C448),"",$F448 - $G448)</f>
        <v/>
      </c>
      <c r="T448" s="20">
        <f>IF(ISBLANK($C448),"",C448)</f>
        <v/>
      </c>
      <c r="U448" s="20">
        <f>IF(ISBLANK($C448),"",$D$1)</f>
        <v/>
      </c>
      <c r="V448" s="22">
        <f t="array" ref="V448">IF(ISBLANK($B448),"",IF(ISBLANK($K448),IF(XLOOKUP($W448,'Category Mapping'!$C:$C,'Category Mapping'!$B:$B)="Travel",XLOOKUP($P448,'Department Listing'!$A:$A,'Department Listing'!$M:$M),XLOOKUP($W448,'Category Mapping'!$C:$C,'Category Mapping'!$D:$D)),$K448))</f>
        <v/>
      </c>
      <c r="W448" s="22">
        <f>IF(ISBLANK($B448),"",IF(ISBLANK($L448),RIGHT($E448,LEN($E448) - FIND("^",SUBSTITUTE($E448,":","^",LEN($E448) - LEN(SUBSTITUTE($E448,":",""))))),$L448))</f>
        <v/>
      </c>
      <c r="X448" s="22">
        <f>IF(ISBLANK($J448),$V448&amp;$W448,$J448)</f>
        <v/>
      </c>
      <c r="Y448" s="23">
        <f t="array" ref="Y448">IF(ISBLANK($M448),IFERROR(XLOOKUP($P448,'Department Listing'!$A:$A,'Department Listing'!$L:$L),""),$M448)</f>
        <v/>
      </c>
      <c r="Z448" s="11">
        <f>IF(ISBLANK($B448),"",MATCH($X448,COA!$B:$B,0))</f>
        <v/>
      </c>
    </row>
    <row r="449" ht="15.75" customHeight="1" s="52">
      <c r="B449" s="17" t="n"/>
      <c r="E449" s="26" t="n"/>
      <c r="F449" s="19" t="n"/>
      <c r="G449" s="10" t="n"/>
      <c r="H449" s="10" t="n"/>
      <c r="I449" s="9" t="n"/>
      <c r="J449" s="9" t="n"/>
      <c r="K449" s="25" t="n"/>
      <c r="L449" s="25" t="n"/>
      <c r="M449" s="25" t="n"/>
      <c r="N449" s="20" t="n"/>
      <c r="O449" s="20">
        <f>IF(C449="", "", TRIM(RIGHT(C449, LEN(C449) - FIND("@@", SUBSTITUTE(C449, "-", "@@", LEN(C449) - LEN(SUBSTITUTE(C449, "-", "")))))))</f>
        <v/>
      </c>
      <c r="P449" s="20">
        <f t="array" ref="P449">IFERROR(XLOOKUP(O449,'Department Listing'!$O$1:$O$395,'Department Listing'!$A$1:$A$395),IFERROR(XLOOKUP(O449,'Name Aliases'!$A$2:$A$1000,'Name Aliases'!$B$2:$B$1000),""))</f>
        <v/>
      </c>
      <c r="Q449" s="21">
        <f>IF(ISBLANK($C449),"",$B449)</f>
        <v/>
      </c>
      <c r="R449" s="20">
        <f>IF(ISBLANK($C449),"",IF(ISBLANK($I449),$D449,$I449))</f>
        <v/>
      </c>
      <c r="S449" s="22">
        <f>IF(ISBLANK($C449),"",$F449 - $G449)</f>
        <v/>
      </c>
      <c r="T449" s="20">
        <f>IF(ISBLANK($C449),"",C449)</f>
        <v/>
      </c>
      <c r="U449" s="20">
        <f>IF(ISBLANK($C449),"",$D$1)</f>
        <v/>
      </c>
      <c r="V449" s="22">
        <f t="array" ref="V449">IF(ISBLANK($B449),"",IF(ISBLANK($K449),IF(XLOOKUP($W449,'Category Mapping'!$C:$C,'Category Mapping'!$B:$B)="Travel",XLOOKUP($P449,'Department Listing'!$A:$A,'Department Listing'!$M:$M),XLOOKUP($W449,'Category Mapping'!$C:$C,'Category Mapping'!$D:$D)),$K449))</f>
        <v/>
      </c>
      <c r="W449" s="22">
        <f>IF(ISBLANK($B449),"",IF(ISBLANK($L449),RIGHT($E449,LEN($E449) - FIND("^",SUBSTITUTE($E449,":","^",LEN($E449) - LEN(SUBSTITUTE($E449,":",""))))),$L449))</f>
        <v/>
      </c>
      <c r="X449" s="22">
        <f>IF(ISBLANK($J449),$V449&amp;$W449,$J449)</f>
        <v/>
      </c>
      <c r="Y449" s="23">
        <f t="array" ref="Y449">IF(ISBLANK($M449),IFERROR(XLOOKUP($P449,'Department Listing'!$A:$A,'Department Listing'!$L:$L),""),$M449)</f>
        <v/>
      </c>
      <c r="Z449" s="11">
        <f>IF(ISBLANK($B449),"",MATCH($X449,COA!$B:$B,0))</f>
        <v/>
      </c>
    </row>
    <row r="450" ht="15.75" customHeight="1" s="52">
      <c r="B450" s="17" t="n"/>
      <c r="E450" s="26" t="n"/>
      <c r="F450" s="19" t="n"/>
      <c r="G450" s="10" t="n"/>
      <c r="H450" s="10" t="n"/>
      <c r="I450" s="9" t="n"/>
      <c r="J450" s="9" t="n"/>
      <c r="K450" s="25" t="n"/>
      <c r="L450" s="25" t="n"/>
      <c r="M450" s="25" t="n"/>
      <c r="N450" s="20" t="n"/>
      <c r="O450" s="20">
        <f>IF(C450="", "", TRIM(RIGHT(C450, LEN(C450) - FIND("@@", SUBSTITUTE(C450, "-", "@@", LEN(C450) - LEN(SUBSTITUTE(C450, "-", "")))))))</f>
        <v/>
      </c>
      <c r="P450" s="20">
        <f t="array" ref="P450">IFERROR(XLOOKUP(O450,'Department Listing'!$O$1:$O$395,'Department Listing'!$A$1:$A$395),IFERROR(XLOOKUP(O450,'Name Aliases'!$A$2:$A$1000,'Name Aliases'!$B$2:$B$1000),""))</f>
        <v/>
      </c>
      <c r="Q450" s="21">
        <f>IF(ISBLANK($C450),"",$B450)</f>
        <v/>
      </c>
      <c r="R450" s="20">
        <f>IF(ISBLANK($C450),"",IF(ISBLANK($I450),$D450,$I450))</f>
        <v/>
      </c>
      <c r="S450" s="22">
        <f>IF(ISBLANK($C450),"",$F450 - $G450)</f>
        <v/>
      </c>
      <c r="T450" s="20">
        <f>IF(ISBLANK($C450),"",C450)</f>
        <v/>
      </c>
      <c r="U450" s="20">
        <f>IF(ISBLANK($C450),"",$D$1)</f>
        <v/>
      </c>
      <c r="V450" s="22">
        <f t="array" ref="V450">IF(ISBLANK($B450),"",IF(ISBLANK($K450),IF(XLOOKUP($W450,'Category Mapping'!$C:$C,'Category Mapping'!$B:$B)="Travel",XLOOKUP($P450,'Department Listing'!$A:$A,'Department Listing'!$M:$M),XLOOKUP($W450,'Category Mapping'!$C:$C,'Category Mapping'!$D:$D)),$K450))</f>
        <v/>
      </c>
      <c r="W450" s="22">
        <f>IF(ISBLANK($B450),"",IF(ISBLANK($L450),RIGHT($E450,LEN($E450) - FIND("^",SUBSTITUTE($E450,":","^",LEN($E450) - LEN(SUBSTITUTE($E450,":",""))))),$L450))</f>
        <v/>
      </c>
      <c r="X450" s="22">
        <f>IF(ISBLANK($J450),$V450&amp;$W450,$J450)</f>
        <v/>
      </c>
      <c r="Y450" s="23">
        <f t="array" ref="Y450">IF(ISBLANK($M450),IFERROR(XLOOKUP($P450,'Department Listing'!$A:$A,'Department Listing'!$L:$L),""),$M450)</f>
        <v/>
      </c>
      <c r="Z450" s="11">
        <f>IF(ISBLANK($B450),"",MATCH($X450,COA!$B:$B,0))</f>
        <v/>
      </c>
    </row>
    <row r="451" ht="15.75" customHeight="1" s="52">
      <c r="B451" s="17" t="n"/>
      <c r="E451" s="26" t="n"/>
      <c r="F451" s="19" t="n"/>
      <c r="G451" s="10" t="n"/>
      <c r="H451" s="10" t="n"/>
      <c r="I451" s="9" t="n"/>
      <c r="J451" s="9" t="n"/>
      <c r="K451" s="9" t="n"/>
      <c r="L451" s="9" t="n"/>
      <c r="M451" s="9" t="n"/>
      <c r="N451" s="20" t="n"/>
      <c r="O451" s="20">
        <f>IF(C451="", "", TRIM(RIGHT(C451, LEN(C451) - FIND("@@", SUBSTITUTE(C451, "-", "@@", LEN(C451) - LEN(SUBSTITUTE(C451, "-", "")))))))</f>
        <v/>
      </c>
      <c r="P451" s="20">
        <f t="array" ref="P451">IFERROR(XLOOKUP(O451,'Department Listing'!$O$1:$O$395,'Department Listing'!$A$1:$A$395),IFERROR(XLOOKUP(O451,'Name Aliases'!$A$2:$A$1000,'Name Aliases'!$B$2:$B$1000),""))</f>
        <v/>
      </c>
      <c r="Q451" s="21">
        <f>IF(ISBLANK($C451),"",$B451)</f>
        <v/>
      </c>
      <c r="R451" s="20">
        <f>IF(ISBLANK($C451),"",IF(ISBLANK($I451),$D451,$I451))</f>
        <v/>
      </c>
      <c r="S451" s="22">
        <f>IF(ISBLANK($C451),"",$F451 - $G451)</f>
        <v/>
      </c>
      <c r="T451" s="20">
        <f>IF(ISBLANK($C451),"",C451)</f>
        <v/>
      </c>
      <c r="U451" s="20">
        <f>IF(ISBLANK($C451),"",$D$1)</f>
        <v/>
      </c>
      <c r="V451" s="22">
        <f t="array" ref="V451">IF(ISBLANK($B451),"",IF(ISBLANK($K451),IF(XLOOKUP($W451,'Category Mapping'!$C:$C,'Category Mapping'!$B:$B)="Travel",XLOOKUP($P451,'Department Listing'!$A:$A,'Department Listing'!$M:$M),XLOOKUP($W451,'Category Mapping'!$C:$C,'Category Mapping'!$D:$D)),$K451))</f>
        <v/>
      </c>
      <c r="W451" s="22">
        <f>IF(ISBLANK($B451),"",IF(ISBLANK($L451),RIGHT($E451,LEN($E451) - FIND("^",SUBSTITUTE($E451,":","^",LEN($E451) - LEN(SUBSTITUTE($E451,":",""))))),$L451))</f>
        <v/>
      </c>
      <c r="X451" s="22">
        <f>IF(ISBLANK($J451),$V451&amp;$W451,$J451)</f>
        <v/>
      </c>
      <c r="Y451" s="23">
        <f t="array" ref="Y451">IF(ISBLANK($M451),IFERROR(XLOOKUP($P451,'Department Listing'!$A:$A,'Department Listing'!$L:$L),""),$M451)</f>
        <v/>
      </c>
      <c r="Z451" s="11">
        <f>IF(ISBLANK($B451),"",MATCH($X451,COA!$B:$B,0))</f>
        <v/>
      </c>
    </row>
    <row r="452" ht="15.75" customHeight="1" s="52">
      <c r="B452" s="17" t="n"/>
      <c r="E452" s="26" t="n"/>
      <c r="F452" s="19" t="n"/>
      <c r="G452" s="10" t="n"/>
      <c r="H452" s="10" t="n"/>
      <c r="I452" s="9" t="n"/>
      <c r="J452" s="9" t="n"/>
      <c r="K452" s="9" t="n"/>
      <c r="L452" s="9" t="n"/>
      <c r="M452" s="9" t="n"/>
      <c r="N452" s="20" t="n"/>
      <c r="O452" s="20">
        <f>IF(C452="", "", TRIM(RIGHT(C452, LEN(C452) - FIND("@@", SUBSTITUTE(C452, "-", "@@", LEN(C452) - LEN(SUBSTITUTE(C452, "-", "")))))))</f>
        <v/>
      </c>
      <c r="P452" s="20">
        <f t="array" ref="P452">IFERROR(XLOOKUP(O452,'Department Listing'!$O$1:$O$395,'Department Listing'!$A$1:$A$395),IFERROR(XLOOKUP(O452,'Name Aliases'!$A$2:$A$1000,'Name Aliases'!$B$2:$B$1000),""))</f>
        <v/>
      </c>
      <c r="Q452" s="21">
        <f>IF(ISBLANK($C452),"",$B452)</f>
        <v/>
      </c>
      <c r="R452" s="20">
        <f>IF(ISBLANK($C452),"",IF(ISBLANK($I452),$D452,$I452))</f>
        <v/>
      </c>
      <c r="S452" s="22">
        <f>IF(ISBLANK($C452),"",$F452 - $G452)</f>
        <v/>
      </c>
      <c r="T452" s="20">
        <f>IF(ISBLANK($C452),"",C452)</f>
        <v/>
      </c>
      <c r="U452" s="20">
        <f>IF(ISBLANK($C452),"",$D$1)</f>
        <v/>
      </c>
      <c r="V452" s="22">
        <f t="array" ref="V452">IF(ISBLANK($B452),"",IF(ISBLANK($K452),IF(XLOOKUP($W452,'Category Mapping'!$C:$C,'Category Mapping'!$B:$B)="Travel",XLOOKUP($P452,'Department Listing'!$A:$A,'Department Listing'!$M:$M),XLOOKUP($W452,'Category Mapping'!$C:$C,'Category Mapping'!$D:$D)),$K452))</f>
        <v/>
      </c>
      <c r="W452" s="22">
        <f>IF(ISBLANK($B452),"",IF(ISBLANK($L452),RIGHT($E452,LEN($E452) - FIND("^",SUBSTITUTE($E452,":","^",LEN($E452) - LEN(SUBSTITUTE($E452,":",""))))),$L452))</f>
        <v/>
      </c>
      <c r="X452" s="22">
        <f>IF(ISBLANK($J452),$V452&amp;$W452,$J452)</f>
        <v/>
      </c>
      <c r="Y452" s="23">
        <f t="array" ref="Y452">IF(ISBLANK($M452),IFERROR(XLOOKUP($P452,'Department Listing'!$A:$A,'Department Listing'!$L:$L),""),$M452)</f>
        <v/>
      </c>
      <c r="Z452" s="11">
        <f>IF(ISBLANK($B452),"",MATCH($X452,COA!$B:$B,0))</f>
        <v/>
      </c>
    </row>
    <row r="453" ht="15.75" customHeight="1" s="52">
      <c r="B453" s="17" t="n"/>
      <c r="E453" s="26" t="n"/>
      <c r="F453" s="19" t="n"/>
      <c r="G453" s="10" t="n"/>
      <c r="H453" s="10" t="n"/>
      <c r="I453" s="9" t="n"/>
      <c r="J453" s="9" t="n"/>
      <c r="K453" s="9" t="n"/>
      <c r="L453" s="9" t="n"/>
      <c r="M453" s="9" t="n"/>
      <c r="N453" s="20" t="n"/>
      <c r="O453" s="20">
        <f>IF(C453="", "", TRIM(RIGHT(C453, LEN(C453) - FIND("@@", SUBSTITUTE(C453, "-", "@@", LEN(C453) - LEN(SUBSTITUTE(C453, "-", "")))))))</f>
        <v/>
      </c>
      <c r="P453" s="20">
        <f t="array" ref="P453">IFERROR(XLOOKUP(O453,'Department Listing'!$O$1:$O$395,'Department Listing'!$A$1:$A$395),IFERROR(XLOOKUP(O453,'Name Aliases'!$A$2:$A$1000,'Name Aliases'!$B$2:$B$1000),""))</f>
        <v/>
      </c>
      <c r="Q453" s="21">
        <f>IF(ISBLANK($C453),"",$B453)</f>
        <v/>
      </c>
      <c r="R453" s="20">
        <f>IF(ISBLANK($C453),"",IF(ISBLANK($I453),$D453,$I453))</f>
        <v/>
      </c>
      <c r="S453" s="22">
        <f>IF(ISBLANK($C453),"",$F453 - $G453)</f>
        <v/>
      </c>
      <c r="T453" s="20">
        <f>IF(ISBLANK($C453),"",C453)</f>
        <v/>
      </c>
      <c r="U453" s="20">
        <f>IF(ISBLANK($C453),"",$D$1)</f>
        <v/>
      </c>
      <c r="V453" s="22">
        <f t="array" ref="V453">IF(ISBLANK($B453),"",IF(ISBLANK($K453),IF(XLOOKUP($W453,'Category Mapping'!$C:$C,'Category Mapping'!$B:$B)="Travel",XLOOKUP($P453,'Department Listing'!$A:$A,'Department Listing'!$M:$M),XLOOKUP($W453,'Category Mapping'!$C:$C,'Category Mapping'!$D:$D)),$K453))</f>
        <v/>
      </c>
      <c r="W453" s="22">
        <f>IF(ISBLANK($B453),"",IF(ISBLANK($L453),RIGHT($E453,LEN($E453) - FIND("^",SUBSTITUTE($E453,":","^",LEN($E453) - LEN(SUBSTITUTE($E453,":",""))))),$L453))</f>
        <v/>
      </c>
      <c r="X453" s="22">
        <f>IF(ISBLANK($J453),$V453&amp;$W453,$J453)</f>
        <v/>
      </c>
      <c r="Y453" s="23">
        <f t="array" ref="Y453">IF(ISBLANK($M453),IFERROR(XLOOKUP($P453,'Department Listing'!$A:$A,'Department Listing'!$L:$L),""),$M453)</f>
        <v/>
      </c>
      <c r="Z453" s="11">
        <f>IF(ISBLANK($B453),"",MATCH($X453,COA!$B:$B,0))</f>
        <v/>
      </c>
    </row>
    <row r="454" ht="15.75" customHeight="1" s="52">
      <c r="B454" s="17" t="n"/>
      <c r="E454" s="26" t="n"/>
      <c r="F454" s="19" t="n"/>
      <c r="G454" s="10" t="n"/>
      <c r="H454" s="10" t="n"/>
      <c r="I454" s="9" t="n"/>
      <c r="J454" s="9" t="n"/>
      <c r="K454" s="9" t="n"/>
      <c r="L454" s="9" t="n"/>
      <c r="M454" s="9" t="n"/>
      <c r="N454" s="20" t="n"/>
      <c r="O454" s="20">
        <f>IF(C454="", "", TRIM(RIGHT(C454, LEN(C454) - FIND("@@", SUBSTITUTE(C454, "-", "@@", LEN(C454) - LEN(SUBSTITUTE(C454, "-", "")))))))</f>
        <v/>
      </c>
      <c r="P454" s="20">
        <f t="array" ref="P454">IFERROR(XLOOKUP(O454,'Department Listing'!$O$1:$O$395,'Department Listing'!$A$1:$A$395),IFERROR(XLOOKUP(O454,'Name Aliases'!$A$2:$A$1000,'Name Aliases'!$B$2:$B$1000),""))</f>
        <v/>
      </c>
      <c r="Q454" s="21">
        <f>IF(ISBLANK($C454),"",$B454)</f>
        <v/>
      </c>
      <c r="R454" s="20">
        <f>IF(ISBLANK($C454),"",IF(ISBLANK($I454),$D454,$I454))</f>
        <v/>
      </c>
      <c r="S454" s="22">
        <f>IF(ISBLANK($C454),"",$F454 - $G454)</f>
        <v/>
      </c>
      <c r="T454" s="20">
        <f>IF(ISBLANK($C454),"",C454)</f>
        <v/>
      </c>
      <c r="U454" s="20">
        <f>IF(ISBLANK($C454),"",$D$1)</f>
        <v/>
      </c>
      <c r="V454" s="22">
        <f t="array" ref="V454">IF(ISBLANK($B454),"",IF(ISBLANK($K454),IF(XLOOKUP($W454,'Category Mapping'!$C:$C,'Category Mapping'!$B:$B)="Travel",XLOOKUP($P454,'Department Listing'!$A:$A,'Department Listing'!$M:$M),XLOOKUP($W454,'Category Mapping'!$C:$C,'Category Mapping'!$D:$D)),$K454))</f>
        <v/>
      </c>
      <c r="W454" s="22">
        <f>IF(ISBLANK($B454),"",IF(ISBLANK($L454),RIGHT($E454,LEN($E454) - FIND("^",SUBSTITUTE($E454,":","^",LEN($E454) - LEN(SUBSTITUTE($E454,":",""))))),$L454))</f>
        <v/>
      </c>
      <c r="X454" s="22">
        <f>IF(ISBLANK($J454),$V454&amp;$W454,$J454)</f>
        <v/>
      </c>
      <c r="Y454" s="23">
        <f t="array" ref="Y454">IF(ISBLANK($M454),IFERROR(XLOOKUP($P454,'Department Listing'!$A:$A,'Department Listing'!$L:$L),""),$M454)</f>
        <v/>
      </c>
      <c r="Z454" s="11">
        <f>IF(ISBLANK($B454),"",MATCH($X454,COA!$B:$B,0))</f>
        <v/>
      </c>
    </row>
    <row r="455" ht="15.75" customHeight="1" s="52">
      <c r="B455" s="17" t="n"/>
      <c r="E455" s="26" t="n"/>
      <c r="F455" s="19" t="n"/>
      <c r="G455" s="10" t="n"/>
      <c r="H455" s="10" t="n"/>
      <c r="I455" s="9" t="n"/>
      <c r="J455" s="9" t="n"/>
      <c r="K455" s="9" t="n"/>
      <c r="L455" s="9" t="n"/>
      <c r="M455" s="9" t="n"/>
      <c r="N455" s="20" t="n"/>
      <c r="O455" s="20">
        <f>IF(C455="", "", TRIM(RIGHT(C455, LEN(C455) - FIND("@@", SUBSTITUTE(C455, "-", "@@", LEN(C455) - LEN(SUBSTITUTE(C455, "-", "")))))))</f>
        <v/>
      </c>
      <c r="P455" s="20">
        <f t="array" ref="P455">IFERROR(XLOOKUP(O455,'Department Listing'!$O$1:$O$395,'Department Listing'!$A$1:$A$395),IFERROR(XLOOKUP(O455,'Name Aliases'!$A$2:$A$1000,'Name Aliases'!$B$2:$B$1000),""))</f>
        <v/>
      </c>
      <c r="Q455" s="21">
        <f>IF(ISBLANK($C455),"",$B455)</f>
        <v/>
      </c>
      <c r="R455" s="20">
        <f>IF(ISBLANK($C455),"",IF(ISBLANK($I455),$D455,$I455))</f>
        <v/>
      </c>
      <c r="S455" s="22">
        <f>IF(ISBLANK($C455),"",$F455 - $G455)</f>
        <v/>
      </c>
      <c r="T455" s="20">
        <f>IF(ISBLANK($C455),"",C455)</f>
        <v/>
      </c>
      <c r="U455" s="20">
        <f>IF(ISBLANK($C455),"",$D$1)</f>
        <v/>
      </c>
      <c r="V455" s="22">
        <f t="array" ref="V455">IF(ISBLANK($B455),"",IF(ISBLANK($K455),IF(XLOOKUP($W455,'Category Mapping'!$C:$C,'Category Mapping'!$B:$B)="Travel",XLOOKUP($P455,'Department Listing'!$A:$A,'Department Listing'!$M:$M),XLOOKUP($W455,'Category Mapping'!$C:$C,'Category Mapping'!$D:$D)),$K455))</f>
        <v/>
      </c>
      <c r="W455" s="22">
        <f>IF(ISBLANK($B455),"",IF(ISBLANK($L455),RIGHT($E455,LEN($E455) - FIND("^",SUBSTITUTE($E455,":","^",LEN($E455) - LEN(SUBSTITUTE($E455,":",""))))),$L455))</f>
        <v/>
      </c>
      <c r="X455" s="22">
        <f>IF(ISBLANK($J455),$V455&amp;$W455,$J455)</f>
        <v/>
      </c>
      <c r="Y455" s="23">
        <f t="array" ref="Y455">IF(ISBLANK($M455),IFERROR(XLOOKUP($P455,'Department Listing'!$A:$A,'Department Listing'!$L:$L),""),$M455)</f>
        <v/>
      </c>
      <c r="Z455" s="11">
        <f>IF(ISBLANK($B455),"",MATCH($X455,COA!$B:$B,0))</f>
        <v/>
      </c>
    </row>
    <row r="456" ht="15.75" customHeight="1" s="52">
      <c r="B456" s="17" t="n"/>
      <c r="E456" s="26" t="n"/>
      <c r="F456" s="19" t="n"/>
      <c r="G456" s="10" t="n"/>
      <c r="H456" s="10" t="n"/>
      <c r="I456" s="9" t="n"/>
      <c r="J456" s="9" t="n"/>
      <c r="K456" s="9" t="n"/>
      <c r="L456" s="9" t="n"/>
      <c r="M456" s="9" t="n"/>
      <c r="N456" s="20" t="n"/>
      <c r="O456" s="20">
        <f>IF(C456="", "", TRIM(RIGHT(C456, LEN(C456) - FIND("@@", SUBSTITUTE(C456, "-", "@@", LEN(C456) - LEN(SUBSTITUTE(C456, "-", "")))))))</f>
        <v/>
      </c>
      <c r="P456" s="20">
        <f t="array" ref="P456">IFERROR(XLOOKUP(O456,'Department Listing'!$O$1:$O$395,'Department Listing'!$A$1:$A$395),IFERROR(XLOOKUP(O456,'Name Aliases'!$A$2:$A$1000,'Name Aliases'!$B$2:$B$1000),""))</f>
        <v/>
      </c>
      <c r="Q456" s="21">
        <f>IF(ISBLANK($C456),"",$B456)</f>
        <v/>
      </c>
      <c r="R456" s="20">
        <f>IF(ISBLANK($C456),"",IF(ISBLANK($I456),$D456,$I456))</f>
        <v/>
      </c>
      <c r="S456" s="22">
        <f>IF(ISBLANK($C456),"",$F456 - $G456)</f>
        <v/>
      </c>
      <c r="T456" s="20">
        <f>IF(ISBLANK($C456),"",C456)</f>
        <v/>
      </c>
      <c r="U456" s="20">
        <f>IF(ISBLANK($C456),"",$D$1)</f>
        <v/>
      </c>
      <c r="V456" s="22">
        <f t="array" ref="V456">IF(ISBLANK($B456),"",IF(ISBLANK($K456),IF(XLOOKUP($W456,'Category Mapping'!$C:$C,'Category Mapping'!$B:$B)="Travel",XLOOKUP($P456,'Department Listing'!$A:$A,'Department Listing'!$M:$M),XLOOKUP($W456,'Category Mapping'!$C:$C,'Category Mapping'!$D:$D)),$K456))</f>
        <v/>
      </c>
      <c r="W456" s="22">
        <f>IF(ISBLANK($B456),"",IF(ISBLANK($L456),RIGHT($E456,LEN($E456) - FIND("^",SUBSTITUTE($E456,":","^",LEN($E456) - LEN(SUBSTITUTE($E456,":",""))))),$L456))</f>
        <v/>
      </c>
      <c r="X456" s="22">
        <f>IF(ISBLANK($J456),$V456&amp;$W456,$J456)</f>
        <v/>
      </c>
      <c r="Y456" s="23">
        <f t="array" ref="Y456">IF(ISBLANK($M456),IFERROR(XLOOKUP($P456,'Department Listing'!$A:$A,'Department Listing'!$L:$L),""),$M456)</f>
        <v/>
      </c>
      <c r="Z456" s="11">
        <f>IF(ISBLANK($B456),"",MATCH($X456,COA!$B:$B,0))</f>
        <v/>
      </c>
    </row>
    <row r="457" ht="15.75" customHeight="1" s="52">
      <c r="B457" s="17" t="n"/>
      <c r="E457" s="26" t="n"/>
      <c r="F457" s="19" t="n"/>
      <c r="G457" s="10" t="n"/>
      <c r="H457" s="10" t="n"/>
      <c r="I457" s="9" t="n"/>
      <c r="J457" s="9" t="n"/>
      <c r="K457" s="9" t="n"/>
      <c r="L457" s="9" t="n"/>
      <c r="M457" s="9" t="n"/>
      <c r="N457" s="20" t="n"/>
      <c r="O457" s="20">
        <f>IF(C457="", "", TRIM(RIGHT(C457, LEN(C457) - FIND("@@", SUBSTITUTE(C457, "-", "@@", LEN(C457) - LEN(SUBSTITUTE(C457, "-", "")))))))</f>
        <v/>
      </c>
      <c r="P457" s="20">
        <f t="array" ref="P457">IFERROR(XLOOKUP(O457,'Department Listing'!$O$1:$O$395,'Department Listing'!$A$1:$A$395),IFERROR(XLOOKUP(O457,'Name Aliases'!$A$2:$A$1000,'Name Aliases'!$B$2:$B$1000),""))</f>
        <v/>
      </c>
      <c r="Q457" s="21">
        <f>IF(ISBLANK($C457),"",$B457)</f>
        <v/>
      </c>
      <c r="R457" s="20">
        <f>IF(ISBLANK($C457),"",IF(ISBLANK($I457),$D457,$I457))</f>
        <v/>
      </c>
      <c r="S457" s="22">
        <f>IF(ISBLANK($C457),"",$F457 - $G457)</f>
        <v/>
      </c>
      <c r="T457" s="20">
        <f>IF(ISBLANK($C457),"",C457)</f>
        <v/>
      </c>
      <c r="U457" s="20">
        <f>IF(ISBLANK($C457),"",$D$1)</f>
        <v/>
      </c>
      <c r="V457" s="22">
        <f t="array" ref="V457">IF(ISBLANK($B457),"",IF(ISBLANK($K457),IF(XLOOKUP($W457,'Category Mapping'!$C:$C,'Category Mapping'!$B:$B)="Travel",XLOOKUP($P457,'Department Listing'!$A:$A,'Department Listing'!$M:$M),XLOOKUP($W457,'Category Mapping'!$C:$C,'Category Mapping'!$D:$D)),$K457))</f>
        <v/>
      </c>
      <c r="W457" s="22">
        <f>IF(ISBLANK($B457),"",IF(ISBLANK($L457),RIGHT($E457,LEN($E457) - FIND("^",SUBSTITUTE($E457,":","^",LEN($E457) - LEN(SUBSTITUTE($E457,":",""))))),$L457))</f>
        <v/>
      </c>
      <c r="X457" s="22">
        <f>IF(ISBLANK($J457),$V457&amp;$W457,$J457)</f>
        <v/>
      </c>
      <c r="Y457" s="23">
        <f t="array" ref="Y457">IF(ISBLANK($M457),IFERROR(XLOOKUP($P457,'Department Listing'!$A:$A,'Department Listing'!$L:$L),""),$M457)</f>
        <v/>
      </c>
      <c r="Z457" s="11">
        <f>IF(ISBLANK($B457),"",MATCH($X457,COA!$B:$B,0))</f>
        <v/>
      </c>
    </row>
    <row r="458" ht="15.75" customHeight="1" s="52">
      <c r="B458" s="17" t="n"/>
      <c r="E458" s="26" t="n"/>
      <c r="F458" s="19" t="n"/>
      <c r="G458" s="10" t="n"/>
      <c r="H458" s="10" t="n"/>
      <c r="I458" s="9" t="n"/>
      <c r="J458" s="9" t="n"/>
      <c r="K458" s="9" t="n"/>
      <c r="L458" s="9" t="n"/>
      <c r="M458" s="9" t="n"/>
      <c r="N458" s="20" t="n"/>
      <c r="O458" s="20">
        <f>IF(C458="", "", TRIM(RIGHT(C458, LEN(C458) - FIND("@@", SUBSTITUTE(C458, "-", "@@", LEN(C458) - LEN(SUBSTITUTE(C458, "-", "")))))))</f>
        <v/>
      </c>
      <c r="P458" s="20">
        <f t="array" ref="P458">IFERROR(XLOOKUP(O458,'Department Listing'!$O$1:$O$395,'Department Listing'!$A$1:$A$395),IFERROR(XLOOKUP(O458,'Name Aliases'!$A$2:$A$1000,'Name Aliases'!$B$2:$B$1000),""))</f>
        <v/>
      </c>
      <c r="Q458" s="21">
        <f>IF(ISBLANK($C458),"",$B458)</f>
        <v/>
      </c>
      <c r="R458" s="20">
        <f>IF(ISBLANK($C458),"",IF(ISBLANK($I458),$D458,$I458))</f>
        <v/>
      </c>
      <c r="S458" s="22">
        <f>IF(ISBLANK($C458),"",$F458 - $G458)</f>
        <v/>
      </c>
      <c r="T458" s="20">
        <f>IF(ISBLANK($C458),"",C458)</f>
        <v/>
      </c>
      <c r="U458" s="20">
        <f>IF(ISBLANK($C458),"",$D$1)</f>
        <v/>
      </c>
      <c r="V458" s="22">
        <f t="array" ref="V458">IF(ISBLANK($B458),"",IF(ISBLANK($K458),IF(XLOOKUP($W458,'Category Mapping'!$C:$C,'Category Mapping'!$B:$B)="Travel",XLOOKUP($P458,'Department Listing'!$A:$A,'Department Listing'!$M:$M),XLOOKUP($W458,'Category Mapping'!$C:$C,'Category Mapping'!$D:$D)),$K458))</f>
        <v/>
      </c>
      <c r="W458" s="22">
        <f>IF(ISBLANK($B458),"",IF(ISBLANK($L458),RIGHT($E458,LEN($E458) - FIND("^",SUBSTITUTE($E458,":","^",LEN($E458) - LEN(SUBSTITUTE($E458,":",""))))),$L458))</f>
        <v/>
      </c>
      <c r="X458" s="22">
        <f>IF(ISBLANK($J458),$V458&amp;$W458,$J458)</f>
        <v/>
      </c>
      <c r="Y458" s="23">
        <f t="array" ref="Y458">IF(ISBLANK($M458),IFERROR(XLOOKUP($P458,'Department Listing'!$A:$A,'Department Listing'!$L:$L),""),$M458)</f>
        <v/>
      </c>
      <c r="Z458" s="11">
        <f>IF(ISBLANK($B458),"",MATCH($X458,COA!$B:$B,0))</f>
        <v/>
      </c>
    </row>
    <row r="459" ht="15.75" customHeight="1" s="52">
      <c r="B459" s="17" t="n"/>
      <c r="E459" s="26" t="n"/>
      <c r="F459" s="19" t="n"/>
      <c r="G459" s="10" t="n"/>
      <c r="H459" s="10" t="n"/>
      <c r="I459" s="9" t="n"/>
      <c r="J459" s="9" t="n"/>
      <c r="K459" s="9" t="n"/>
      <c r="L459" s="9" t="n"/>
      <c r="M459" s="9" t="n"/>
      <c r="N459" s="20" t="n"/>
      <c r="O459" s="20">
        <f>IF(C459="", "", TRIM(RIGHT(C459, LEN(C459) - FIND("@@", SUBSTITUTE(C459, "-", "@@", LEN(C459) - LEN(SUBSTITUTE(C459, "-", "")))))))</f>
        <v/>
      </c>
      <c r="P459" s="20">
        <f t="array" ref="P459">IFERROR(XLOOKUP(O459,'Department Listing'!$O$1:$O$395,'Department Listing'!$A$1:$A$395),IFERROR(XLOOKUP(O459,'Name Aliases'!$A$2:$A$1000,'Name Aliases'!$B$2:$B$1000),""))</f>
        <v/>
      </c>
      <c r="Q459" s="21">
        <f>IF(ISBLANK($C459),"",$B459)</f>
        <v/>
      </c>
      <c r="R459" s="20">
        <f>IF(ISBLANK($C459),"",IF(ISBLANK($I459),$D459,$I459))</f>
        <v/>
      </c>
      <c r="S459" s="22">
        <f>IF(ISBLANK($C459),"",$F459 - $G459)</f>
        <v/>
      </c>
      <c r="T459" s="20">
        <f>IF(ISBLANK($C459),"",C459)</f>
        <v/>
      </c>
      <c r="U459" s="20">
        <f>IF(ISBLANK($C459),"",$D$1)</f>
        <v/>
      </c>
      <c r="V459" s="22">
        <f t="array" ref="V459">IF(ISBLANK($B459),"",IF(ISBLANK($K459),IF(XLOOKUP($W459,'Category Mapping'!$C:$C,'Category Mapping'!$B:$B)="Travel",XLOOKUP($P459,'Department Listing'!$A:$A,'Department Listing'!$M:$M),XLOOKUP($W459,'Category Mapping'!$C:$C,'Category Mapping'!$D:$D)),$K459))</f>
        <v/>
      </c>
      <c r="W459" s="22">
        <f>IF(ISBLANK($B459),"",IF(ISBLANK($L459),RIGHT($E459,LEN($E459) - FIND("^",SUBSTITUTE($E459,":","^",LEN($E459) - LEN(SUBSTITUTE($E459,":",""))))),$L459))</f>
        <v/>
      </c>
      <c r="X459" s="22">
        <f>IF(ISBLANK($J459),$V459&amp;$W459,$J459)</f>
        <v/>
      </c>
      <c r="Y459" s="23">
        <f t="array" ref="Y459">IF(ISBLANK($M459),IFERROR(XLOOKUP($P459,'Department Listing'!$A:$A,'Department Listing'!$L:$L),""),$M459)</f>
        <v/>
      </c>
      <c r="Z459" s="11">
        <f>IF(ISBLANK($B459),"",MATCH($X459,COA!$B:$B,0))</f>
        <v/>
      </c>
    </row>
    <row r="460" ht="15.75" customHeight="1" s="52">
      <c r="B460" s="17" t="n"/>
      <c r="E460" s="26" t="n"/>
      <c r="F460" s="19" t="n"/>
      <c r="G460" s="10" t="n"/>
      <c r="H460" s="10" t="n"/>
      <c r="I460" s="9" t="n"/>
      <c r="J460" s="9" t="n"/>
      <c r="K460" s="9" t="n"/>
      <c r="L460" s="9" t="n"/>
      <c r="M460" s="9" t="n"/>
      <c r="N460" s="20" t="n"/>
      <c r="O460" s="20">
        <f>IF(C460="", "", TRIM(RIGHT(C460, LEN(C460) - FIND("@@", SUBSTITUTE(C460, "-", "@@", LEN(C460) - LEN(SUBSTITUTE(C460, "-", "")))))))</f>
        <v/>
      </c>
      <c r="P460" s="20">
        <f t="array" ref="P460">IFERROR(XLOOKUP(O460,'Department Listing'!$O$1:$O$395,'Department Listing'!$A$1:$A$395),IFERROR(XLOOKUP(O460,'Name Aliases'!$A$2:$A$1000,'Name Aliases'!$B$2:$B$1000),""))</f>
        <v/>
      </c>
      <c r="Q460" s="21">
        <f>IF(ISBLANK($C460),"",$B460)</f>
        <v/>
      </c>
      <c r="R460" s="20">
        <f>IF(ISBLANK($C460),"",IF(ISBLANK($I460),$D460,$I460))</f>
        <v/>
      </c>
      <c r="S460" s="22">
        <f>IF(ISBLANK($C460),"",$F460 - $G460)</f>
        <v/>
      </c>
      <c r="T460" s="20">
        <f>IF(ISBLANK($C460),"",C460)</f>
        <v/>
      </c>
      <c r="U460" s="20">
        <f>IF(ISBLANK($C460),"",$D$1)</f>
        <v/>
      </c>
      <c r="V460" s="22">
        <f t="array" ref="V460">IF(ISBLANK($B460),"",IF(ISBLANK($K460),IF(XLOOKUP($W460,'Category Mapping'!$C:$C,'Category Mapping'!$B:$B)="Travel",XLOOKUP($P460,'Department Listing'!$A:$A,'Department Listing'!$M:$M),XLOOKUP($W460,'Category Mapping'!$C:$C,'Category Mapping'!$D:$D)),$K460))</f>
        <v/>
      </c>
      <c r="W460" s="22">
        <f>IF(ISBLANK($B460),"",IF(ISBLANK($L460),RIGHT($E460,LEN($E460) - FIND("^",SUBSTITUTE($E460,":","^",LEN($E460) - LEN(SUBSTITUTE($E460,":",""))))),$L460))</f>
        <v/>
      </c>
      <c r="X460" s="22">
        <f>IF(ISBLANK($J460),$V460&amp;$W460,$J460)</f>
        <v/>
      </c>
      <c r="Y460" s="23">
        <f t="array" ref="Y460">IF(ISBLANK($M460),IFERROR(XLOOKUP($P460,'Department Listing'!$A:$A,'Department Listing'!$L:$L),""),$M460)</f>
        <v/>
      </c>
      <c r="Z460" s="11">
        <f>IF(ISBLANK($B460),"",MATCH($X460,COA!$B:$B,0))</f>
        <v/>
      </c>
    </row>
    <row r="461" ht="15.75" customHeight="1" s="52">
      <c r="B461" s="17" t="n"/>
      <c r="E461" s="26" t="n"/>
      <c r="F461" s="19" t="n"/>
      <c r="G461" s="10" t="n"/>
      <c r="H461" s="10" t="n"/>
      <c r="I461" s="9" t="n"/>
      <c r="J461" s="9" t="n"/>
      <c r="K461" s="9" t="n"/>
      <c r="L461" s="9" t="n"/>
      <c r="M461" s="9" t="n"/>
      <c r="N461" s="20" t="n"/>
      <c r="O461" s="20">
        <f>IF(C461="", "", TRIM(RIGHT(C461, LEN(C461) - FIND("@@", SUBSTITUTE(C461, "-", "@@", LEN(C461) - LEN(SUBSTITUTE(C461, "-", "")))))))</f>
        <v/>
      </c>
      <c r="P461" s="20">
        <f t="array" ref="P461">IFERROR(XLOOKUP(O461,'Department Listing'!$O$1:$O$395,'Department Listing'!$A$1:$A$395),IFERROR(XLOOKUP(O461,'Name Aliases'!$A$2:$A$1000,'Name Aliases'!$B$2:$B$1000),""))</f>
        <v/>
      </c>
      <c r="Q461" s="21">
        <f>IF(ISBLANK($C461),"",$B461)</f>
        <v/>
      </c>
      <c r="R461" s="20">
        <f>IF(ISBLANK($C461),"",IF(ISBLANK($I461),$D461,$I461))</f>
        <v/>
      </c>
      <c r="S461" s="22">
        <f>IF(ISBLANK($C461),"",$F461 - $G461)</f>
        <v/>
      </c>
      <c r="T461" s="20">
        <f>IF(ISBLANK($C461),"",C461)</f>
        <v/>
      </c>
      <c r="U461" s="20">
        <f>IF(ISBLANK($C461),"",$D$1)</f>
        <v/>
      </c>
      <c r="V461" s="22">
        <f t="array" ref="V461">IF(ISBLANK($B461),"",IF(ISBLANK($K461),IF(XLOOKUP($W461,'Category Mapping'!$C:$C,'Category Mapping'!$B:$B)="Travel",XLOOKUP($P461,'Department Listing'!$A:$A,'Department Listing'!$M:$M),XLOOKUP($W461,'Category Mapping'!$C:$C,'Category Mapping'!$D:$D)),$K461))</f>
        <v/>
      </c>
      <c r="W461" s="22">
        <f>IF(ISBLANK($B461),"",IF(ISBLANK($L461),RIGHT($E461,LEN($E461) - FIND("^",SUBSTITUTE($E461,":","^",LEN($E461) - LEN(SUBSTITUTE($E461,":",""))))),$L461))</f>
        <v/>
      </c>
      <c r="X461" s="22">
        <f>IF(ISBLANK($J461),$V461&amp;$W461,$J461)</f>
        <v/>
      </c>
      <c r="Y461" s="23">
        <f t="array" ref="Y461">IF(ISBLANK($M461),IFERROR(XLOOKUP($P461,'Department Listing'!$A:$A,'Department Listing'!$L:$L),""),$M461)</f>
        <v/>
      </c>
      <c r="Z461" s="11">
        <f>IF(ISBLANK($B461),"",MATCH($X461,COA!$B:$B,0))</f>
        <v/>
      </c>
    </row>
    <row r="462" ht="15.75" customHeight="1" s="52">
      <c r="B462" s="27" t="n"/>
      <c r="C462" s="10" t="n"/>
      <c r="D462" s="10" t="n"/>
      <c r="E462" s="28" t="n"/>
      <c r="F462" s="10" t="n"/>
      <c r="G462" s="10" t="n"/>
      <c r="H462" s="10" t="n"/>
      <c r="I462" s="9" t="n"/>
      <c r="J462" s="9" t="n"/>
      <c r="K462" s="9" t="n"/>
      <c r="L462" s="9" t="n"/>
      <c r="M462" s="9" t="n"/>
      <c r="N462" s="20" t="n"/>
      <c r="O462" s="20">
        <f>IF(C462="", "", TRIM(RIGHT(C462, LEN(C462) - FIND("@@", SUBSTITUTE(C462, "-", "@@", LEN(C462) - LEN(SUBSTITUTE(C462, "-", "")))))))</f>
        <v/>
      </c>
      <c r="P462" s="20">
        <f t="array" ref="P462">IFERROR(XLOOKUP(O462,'Department Listing'!$O$1:$O$395,'Department Listing'!$A$1:$A$395),IFERROR(XLOOKUP(O462,'Name Aliases'!$A$2:$A$1000,'Name Aliases'!$B$2:$B$1000),""))</f>
        <v/>
      </c>
      <c r="Q462" s="21">
        <f>IF(ISBLANK($C462),"",$B462)</f>
        <v/>
      </c>
      <c r="R462" s="20">
        <f>IF(ISBLANK($C462),"",IF(ISBLANK($I462),$D462,$I462))</f>
        <v/>
      </c>
      <c r="S462" s="22">
        <f>IF(ISBLANK($C462),"",$F462 - $G462)</f>
        <v/>
      </c>
      <c r="T462" s="20">
        <f>IF(ISBLANK($C462),"",C462)</f>
        <v/>
      </c>
      <c r="U462" s="20">
        <f>IF(ISBLANK($C462),"",$D$1)</f>
        <v/>
      </c>
      <c r="V462" s="22">
        <f t="array" ref="V462">IF(ISBLANK($B462),"",IF(ISBLANK($K462),IF(XLOOKUP($W462,'Category Mapping'!$C:$C,'Category Mapping'!$B:$B)="Travel",XLOOKUP($P462,'Department Listing'!$A:$A,'Department Listing'!$M:$M),XLOOKUP($W462,'Category Mapping'!$C:$C,'Category Mapping'!$D:$D)),$K462))</f>
        <v/>
      </c>
      <c r="W462" s="22">
        <f>IF(ISBLANK($B462),"",IF(ISBLANK($L462),RIGHT($E462,LEN($E462) - FIND("^",SUBSTITUTE($E462,":","^",LEN($E462) - LEN(SUBSTITUTE($E462,":",""))))),$L462))</f>
        <v/>
      </c>
      <c r="X462" s="22">
        <f>IF(ISBLANK($J462),$V462&amp;$W462,$J462)</f>
        <v/>
      </c>
      <c r="Y462" s="23">
        <f t="array" ref="Y462">IF(ISBLANK($M462),IFERROR(XLOOKUP($P462,'Department Listing'!$A:$A,'Department Listing'!$L:$L),""),$M462)</f>
        <v/>
      </c>
      <c r="Z462" s="11">
        <f>IF(ISBLANK($B462),"",MATCH($X462,COA!$B:$B,0))</f>
        <v/>
      </c>
    </row>
    <row r="463" ht="15.75" customHeight="1" s="52">
      <c r="B463" s="27" t="n"/>
      <c r="C463" s="10" t="n"/>
      <c r="D463" s="10" t="n"/>
      <c r="E463" s="28" t="n"/>
      <c r="F463" s="10" t="n"/>
      <c r="G463" s="10" t="n"/>
      <c r="H463" s="10" t="n"/>
      <c r="I463" s="9" t="n"/>
      <c r="J463" s="9" t="n"/>
      <c r="K463" s="9" t="n"/>
      <c r="L463" s="9" t="n"/>
      <c r="M463" s="9" t="n"/>
      <c r="N463" s="20" t="n"/>
      <c r="O463" s="20">
        <f>IF(C463="", "", TRIM(RIGHT(C463, LEN(C463) - FIND("@@", SUBSTITUTE(C463, "-", "@@", LEN(C463) - LEN(SUBSTITUTE(C463, "-", "")))))))</f>
        <v/>
      </c>
      <c r="P463" s="20">
        <f t="array" ref="P463">IFERROR(XLOOKUP(O463,'Department Listing'!$O$1:$O$395,'Department Listing'!$A$1:$A$395),IFERROR(XLOOKUP(O463,'Name Aliases'!$A$2:$A$1000,'Name Aliases'!$B$2:$B$1000),""))</f>
        <v/>
      </c>
      <c r="Q463" s="21">
        <f>IF(ISBLANK($C463),"",$B463)</f>
        <v/>
      </c>
      <c r="R463" s="20">
        <f>IF(ISBLANK($C463),"",IF(ISBLANK($I463),$D463,$I463))</f>
        <v/>
      </c>
      <c r="S463" s="22">
        <f>IF(ISBLANK($C463),"",$F463 - $G463)</f>
        <v/>
      </c>
      <c r="T463" s="20">
        <f>IF(ISBLANK($C463),"",C463)</f>
        <v/>
      </c>
      <c r="U463" s="20">
        <f>IF(ISBLANK($C463),"",$D$1)</f>
        <v/>
      </c>
      <c r="V463" s="22">
        <f t="array" ref="V463">IF(ISBLANK($B463),"",IF(ISBLANK($K463),IF(XLOOKUP($W463,'Category Mapping'!$C:$C,'Category Mapping'!$B:$B)="Travel",XLOOKUP($P463,'Department Listing'!$A:$A,'Department Listing'!$M:$M),XLOOKUP($W463,'Category Mapping'!$C:$C,'Category Mapping'!$D:$D)),$K463))</f>
        <v/>
      </c>
      <c r="W463" s="22">
        <f>IF(ISBLANK($B463),"",IF(ISBLANK($L463),RIGHT($E463,LEN($E463) - FIND("^",SUBSTITUTE($E463,":","^",LEN($E463) - LEN(SUBSTITUTE($E463,":",""))))),$L463))</f>
        <v/>
      </c>
      <c r="X463" s="22">
        <f>IF(ISBLANK($J463),$V463&amp;$W463,$J463)</f>
        <v/>
      </c>
      <c r="Y463" s="23">
        <f t="array" ref="Y463">IF(ISBLANK($M463),IFERROR(XLOOKUP($P463,'Department Listing'!$A:$A,'Department Listing'!$L:$L),""),$M463)</f>
        <v/>
      </c>
      <c r="Z463" s="11">
        <f>IF(ISBLANK($B463),"",MATCH($X463,COA!$B:$B,0))</f>
        <v/>
      </c>
    </row>
    <row r="464" ht="15.75" customHeight="1" s="52">
      <c r="B464" s="27" t="n"/>
      <c r="C464" s="10" t="n"/>
      <c r="D464" s="10" t="n"/>
      <c r="E464" s="28" t="n"/>
      <c r="F464" s="10" t="n"/>
      <c r="G464" s="10" t="n"/>
      <c r="H464" s="10" t="n"/>
      <c r="I464" s="9" t="n"/>
      <c r="J464" s="9" t="n"/>
      <c r="K464" s="9" t="n"/>
      <c r="L464" s="9" t="n"/>
      <c r="M464" s="9" t="n"/>
      <c r="N464" s="20" t="n"/>
      <c r="O464" s="20">
        <f>IF(C464="", "", TRIM(RIGHT(C464, LEN(C464) - FIND("@@", SUBSTITUTE(C464, "-", "@@", LEN(C464) - LEN(SUBSTITUTE(C464, "-", "")))))))</f>
        <v/>
      </c>
      <c r="P464" s="20">
        <f t="array" ref="P464">IFERROR(XLOOKUP(O464,'Department Listing'!$O$1:$O$395,'Department Listing'!$A$1:$A$395),IFERROR(XLOOKUP(O464,'Name Aliases'!$A$2:$A$1000,'Name Aliases'!$B$2:$B$1000),""))</f>
        <v/>
      </c>
      <c r="Q464" s="21">
        <f>IF(ISBLANK($C464),"",$B464)</f>
        <v/>
      </c>
      <c r="R464" s="20">
        <f>IF(ISBLANK($C464),"",IF(ISBLANK($I464),$D464,$I464))</f>
        <v/>
      </c>
      <c r="S464" s="22">
        <f>IF(ISBLANK($C464),"",$F464 - $G464)</f>
        <v/>
      </c>
      <c r="T464" s="20">
        <f>IF(ISBLANK($C464),"",C464)</f>
        <v/>
      </c>
      <c r="U464" s="20">
        <f>IF(ISBLANK($C464),"",$D$1)</f>
        <v/>
      </c>
      <c r="V464" s="22">
        <f t="array" ref="V464">IF(ISBLANK($B464),"",IF(ISBLANK($K464),IF(XLOOKUP($W464,'Category Mapping'!$C:$C,'Category Mapping'!$B:$B)="Travel",XLOOKUP($P464,'Department Listing'!$A:$A,'Department Listing'!$M:$M),XLOOKUP($W464,'Category Mapping'!$C:$C,'Category Mapping'!$D:$D)),$K464))</f>
        <v/>
      </c>
      <c r="W464" s="22">
        <f>IF(ISBLANK($B464),"",IF(ISBLANK($L464),RIGHT($E464,LEN($E464) - FIND("^",SUBSTITUTE($E464,":","^",LEN($E464) - LEN(SUBSTITUTE($E464,":",""))))),$L464))</f>
        <v/>
      </c>
      <c r="X464" s="22">
        <f>IF(ISBLANK($J464),$V464&amp;$W464,$J464)</f>
        <v/>
      </c>
      <c r="Y464" s="23">
        <f t="array" ref="Y464">IF(ISBLANK($M464),IFERROR(XLOOKUP($P464,'Department Listing'!$A:$A,'Department Listing'!$L:$L),""),$M464)</f>
        <v/>
      </c>
      <c r="Z464" s="11">
        <f>IF(ISBLANK($B464),"",MATCH($X464,COA!$B:$B,0))</f>
        <v/>
      </c>
    </row>
    <row r="465" ht="15.75" customHeight="1" s="52">
      <c r="B465" s="27" t="n"/>
      <c r="C465" s="10" t="n"/>
      <c r="D465" s="10" t="n"/>
      <c r="E465" s="28" t="n"/>
      <c r="F465" s="10" t="n"/>
      <c r="G465" s="10" t="n"/>
      <c r="H465" s="10" t="n"/>
      <c r="I465" s="9" t="n"/>
      <c r="J465" s="9" t="n"/>
      <c r="K465" s="9" t="n"/>
      <c r="L465" s="9" t="n"/>
      <c r="M465" s="9" t="n"/>
      <c r="N465" s="20" t="n"/>
      <c r="O465" s="20">
        <f>IF(C465="", "", TRIM(RIGHT(C465, LEN(C465) - FIND("@@", SUBSTITUTE(C465, "-", "@@", LEN(C465) - LEN(SUBSTITUTE(C465, "-", "")))))))</f>
        <v/>
      </c>
      <c r="P465" s="20">
        <f t="array" ref="P465">IFERROR(XLOOKUP(O465,'Department Listing'!$O$1:$O$395,'Department Listing'!$A$1:$A$395),IFERROR(XLOOKUP(O465,'Name Aliases'!$A$2:$A$1000,'Name Aliases'!$B$2:$B$1000),""))</f>
        <v/>
      </c>
      <c r="Q465" s="21">
        <f>IF(ISBLANK($C465),"",$B465)</f>
        <v/>
      </c>
      <c r="R465" s="20">
        <f>IF(ISBLANK($C465),"",IF(ISBLANK($I465),$D465,$I465))</f>
        <v/>
      </c>
      <c r="S465" s="22">
        <f>IF(ISBLANK($C465),"",$F465 - $G465)</f>
        <v/>
      </c>
      <c r="T465" s="20">
        <f>IF(ISBLANK($C465),"",C465)</f>
        <v/>
      </c>
      <c r="U465" s="20">
        <f>IF(ISBLANK($C465),"",$D$1)</f>
        <v/>
      </c>
      <c r="V465" s="22">
        <f t="array" ref="V465">IF(ISBLANK($B465),"",IF(ISBLANK($K465),IF(XLOOKUP($W465,'Category Mapping'!$C:$C,'Category Mapping'!$B:$B)="Travel",XLOOKUP($P465,'Department Listing'!$A:$A,'Department Listing'!$M:$M),XLOOKUP($W465,'Category Mapping'!$C:$C,'Category Mapping'!$D:$D)),$K465))</f>
        <v/>
      </c>
      <c r="W465" s="22">
        <f>IF(ISBLANK($B465),"",IF(ISBLANK($L465),RIGHT($E465,LEN($E465) - FIND("^",SUBSTITUTE($E465,":","^",LEN($E465) - LEN(SUBSTITUTE($E465,":",""))))),$L465))</f>
        <v/>
      </c>
      <c r="X465" s="22">
        <f>IF(ISBLANK($J465),$V465&amp;$W465,$J465)</f>
        <v/>
      </c>
      <c r="Y465" s="23">
        <f t="array" ref="Y465">IF(ISBLANK($M465),IFERROR(XLOOKUP($P465,'Department Listing'!$A:$A,'Department Listing'!$L:$L),""),$M465)</f>
        <v/>
      </c>
      <c r="Z465" s="11">
        <f>IF(ISBLANK($B465),"",MATCH($X465,COA!$B:$B,0))</f>
        <v/>
      </c>
    </row>
    <row r="466" ht="15.75" customHeight="1" s="52">
      <c r="B466" s="27" t="n"/>
      <c r="C466" s="10" t="n"/>
      <c r="D466" s="10" t="n"/>
      <c r="E466" s="28" t="n"/>
      <c r="F466" s="10" t="n"/>
      <c r="G466" s="10" t="n"/>
      <c r="H466" s="10" t="n"/>
      <c r="I466" s="9" t="n"/>
      <c r="J466" s="9" t="n"/>
      <c r="K466" s="9" t="n"/>
      <c r="L466" s="9" t="n"/>
      <c r="M466" s="9" t="n"/>
      <c r="N466" s="20" t="n"/>
      <c r="O466" s="20">
        <f>IF(C466="", "", TRIM(RIGHT(C466, LEN(C466) - FIND("@@", SUBSTITUTE(C466, "-", "@@", LEN(C466) - LEN(SUBSTITUTE(C466, "-", "")))))))</f>
        <v/>
      </c>
      <c r="P466" s="20">
        <f t="array" ref="P466">IFERROR(XLOOKUP(O466,'Department Listing'!$O$1:$O$395,'Department Listing'!$A$1:$A$395),IFERROR(XLOOKUP(O466,'Name Aliases'!$A$2:$A$1000,'Name Aliases'!$B$2:$B$1000),""))</f>
        <v/>
      </c>
      <c r="Q466" s="21">
        <f>IF(ISBLANK($C466),"",$B466)</f>
        <v/>
      </c>
      <c r="R466" s="20">
        <f>IF(ISBLANK($C466),"",IF(ISBLANK($I466),$D466,$I466))</f>
        <v/>
      </c>
      <c r="S466" s="22">
        <f>IF(ISBLANK($C466),"",$F466 - $G466)</f>
        <v/>
      </c>
      <c r="T466" s="20">
        <f>IF(ISBLANK($C466),"",C466)</f>
        <v/>
      </c>
      <c r="U466" s="20">
        <f>IF(ISBLANK($C466),"",$D$1)</f>
        <v/>
      </c>
      <c r="V466" s="22">
        <f t="array" ref="V466">IF(ISBLANK($B466),"",IF(ISBLANK($K466),IF(XLOOKUP($W466,'Category Mapping'!$C:$C,'Category Mapping'!$B:$B)="Travel",XLOOKUP($P466,'Department Listing'!$A:$A,'Department Listing'!$M:$M),XLOOKUP($W466,'Category Mapping'!$C:$C,'Category Mapping'!$D:$D)),$K466))</f>
        <v/>
      </c>
      <c r="W466" s="22">
        <f>IF(ISBLANK($B466),"",IF(ISBLANK($L466),RIGHT($E466,LEN($E466) - FIND("^",SUBSTITUTE($E466,":","^",LEN($E466) - LEN(SUBSTITUTE($E466,":",""))))),$L466))</f>
        <v/>
      </c>
      <c r="X466" s="22">
        <f>IF(ISBLANK($J466),$V466&amp;$W466,$J466)</f>
        <v/>
      </c>
      <c r="Y466" s="23">
        <f t="array" ref="Y466">IF(ISBLANK($M466),IFERROR(XLOOKUP($P466,'Department Listing'!$A:$A,'Department Listing'!$L:$L),""),$M466)</f>
        <v/>
      </c>
      <c r="Z466" s="11">
        <f>IF(ISBLANK($B466),"",MATCH($X466,COA!$B:$B,0))</f>
        <v/>
      </c>
    </row>
    <row r="467" ht="15.75" customHeight="1" s="52">
      <c r="B467" s="27" t="n"/>
      <c r="C467" s="10" t="n"/>
      <c r="D467" s="10" t="n"/>
      <c r="E467" s="28" t="n"/>
      <c r="F467" s="10" t="n"/>
      <c r="G467" s="10" t="n"/>
      <c r="H467" s="10" t="n"/>
      <c r="I467" s="9" t="n"/>
      <c r="J467" s="9" t="n"/>
      <c r="K467" s="9" t="n"/>
      <c r="L467" s="9" t="n"/>
      <c r="M467" s="9" t="n"/>
      <c r="N467" s="20" t="n"/>
      <c r="O467" s="20">
        <f>IF(C467="", "", TRIM(RIGHT(C467, LEN(C467) - FIND("@@", SUBSTITUTE(C467, "-", "@@", LEN(C467) - LEN(SUBSTITUTE(C467, "-", "")))))))</f>
        <v/>
      </c>
      <c r="P467" s="20">
        <f t="array" ref="P467">IFERROR(XLOOKUP(O467,'Department Listing'!$O$1:$O$395,'Department Listing'!$A$1:$A$395),IFERROR(XLOOKUP(O467,'Name Aliases'!$A$2:$A$1000,'Name Aliases'!$B$2:$B$1000),""))</f>
        <v/>
      </c>
      <c r="Q467" s="21">
        <f>IF(ISBLANK($C467),"",$B467)</f>
        <v/>
      </c>
      <c r="R467" s="20">
        <f>IF(ISBLANK($C467),"",IF(ISBLANK($I467),$D467,$I467))</f>
        <v/>
      </c>
      <c r="S467" s="22">
        <f>IF(ISBLANK($C467),"",$F467 - $G467)</f>
        <v/>
      </c>
      <c r="T467" s="20">
        <f>IF(ISBLANK($C467),"",C467)</f>
        <v/>
      </c>
      <c r="U467" s="20">
        <f>IF(ISBLANK($C467),"",$D$1)</f>
        <v/>
      </c>
      <c r="V467" s="22">
        <f t="array" ref="V467">IF(ISBLANK($B467),"",IF(ISBLANK($K467),IF(XLOOKUP($W467,'Category Mapping'!$C:$C,'Category Mapping'!$B:$B)="Travel",XLOOKUP($P467,'Department Listing'!$A:$A,'Department Listing'!$M:$M),XLOOKUP($W467,'Category Mapping'!$C:$C,'Category Mapping'!$D:$D)),$K467))</f>
        <v/>
      </c>
      <c r="W467" s="22">
        <f>IF(ISBLANK($B467),"",IF(ISBLANK($L467),RIGHT($E467,LEN($E467) - FIND("^",SUBSTITUTE($E467,":","^",LEN($E467) - LEN(SUBSTITUTE($E467,":",""))))),$L467))</f>
        <v/>
      </c>
      <c r="X467" s="22">
        <f>IF(ISBLANK($J467),$V467&amp;$W467,$J467)</f>
        <v/>
      </c>
      <c r="Y467" s="23">
        <f t="array" ref="Y467">IF(ISBLANK($M467),IFERROR(XLOOKUP($P467,'Department Listing'!$A:$A,'Department Listing'!$L:$L),""),$M467)</f>
        <v/>
      </c>
      <c r="Z467" s="11">
        <f>IF(ISBLANK($B467),"",MATCH($X467,COA!$B:$B,0))</f>
        <v/>
      </c>
    </row>
    <row r="468" ht="15.75" customHeight="1" s="52">
      <c r="B468" s="27" t="n"/>
      <c r="C468" s="10" t="n"/>
      <c r="D468" s="10" t="n"/>
      <c r="E468" s="28" t="n"/>
      <c r="F468" s="10" t="n"/>
      <c r="G468" s="10" t="n"/>
      <c r="H468" s="10" t="n"/>
      <c r="I468" s="9" t="n"/>
      <c r="J468" s="9" t="n"/>
      <c r="K468" s="9" t="n"/>
      <c r="L468" s="9" t="n"/>
      <c r="M468" s="9" t="n"/>
      <c r="N468" s="20" t="n"/>
      <c r="O468" s="20">
        <f>IF(C468="", "", TRIM(RIGHT(C468, LEN(C468) - FIND("@@", SUBSTITUTE(C468, "-", "@@", LEN(C468) - LEN(SUBSTITUTE(C468, "-", "")))))))</f>
        <v/>
      </c>
      <c r="P468" s="20">
        <f t="array" ref="P468">IFERROR(XLOOKUP(O468,'Department Listing'!$O$1:$O$395,'Department Listing'!$A$1:$A$395),IFERROR(XLOOKUP(O468,'Name Aliases'!$A$2:$A$1000,'Name Aliases'!$B$2:$B$1000),""))</f>
        <v/>
      </c>
      <c r="Q468" s="21">
        <f>IF(ISBLANK($C468),"",$B468)</f>
        <v/>
      </c>
      <c r="R468" s="20">
        <f>IF(ISBLANK($C468),"",IF(ISBLANK($I468),$D468,$I468))</f>
        <v/>
      </c>
      <c r="S468" s="22">
        <f>IF(ISBLANK($C468),"",$F468 - $G468)</f>
        <v/>
      </c>
      <c r="T468" s="20">
        <f>IF(ISBLANK($C468),"",C468)</f>
        <v/>
      </c>
      <c r="U468" s="20">
        <f>IF(ISBLANK($C468),"",$D$1)</f>
        <v/>
      </c>
      <c r="V468" s="22">
        <f t="array" ref="V468">IF(ISBLANK($B468),"",IF(ISBLANK($K468),IF(XLOOKUP($W468,'Category Mapping'!$C:$C,'Category Mapping'!$B:$B)="Travel",XLOOKUP($P468,'Department Listing'!$A:$A,'Department Listing'!$M:$M),XLOOKUP($W468,'Category Mapping'!$C:$C,'Category Mapping'!$D:$D)),$K468))</f>
        <v/>
      </c>
      <c r="W468" s="22">
        <f>IF(ISBLANK($B468),"",IF(ISBLANK($L468),RIGHT($E468,LEN($E468) - FIND("^",SUBSTITUTE($E468,":","^",LEN($E468) - LEN(SUBSTITUTE($E468,":",""))))),$L468))</f>
        <v/>
      </c>
      <c r="X468" s="22">
        <f>IF(ISBLANK($J468),$V468&amp;$W468,$J468)</f>
        <v/>
      </c>
      <c r="Y468" s="23">
        <f t="array" ref="Y468">IF(ISBLANK($M468),IFERROR(XLOOKUP($P468,'Department Listing'!$A:$A,'Department Listing'!$L:$L),""),$M468)</f>
        <v/>
      </c>
      <c r="Z468" s="11">
        <f>IF(ISBLANK($B468),"",MATCH($X468,COA!$B:$B,0))</f>
        <v/>
      </c>
    </row>
    <row r="469" ht="15.75" customHeight="1" s="52">
      <c r="B469" s="27" t="n"/>
      <c r="C469" s="10" t="n"/>
      <c r="D469" s="10" t="n"/>
      <c r="E469" s="28" t="n"/>
      <c r="F469" s="10" t="n"/>
      <c r="G469" s="10" t="n"/>
      <c r="H469" s="10" t="n"/>
      <c r="I469" s="9" t="n"/>
      <c r="J469" s="9" t="n"/>
      <c r="K469" s="9" t="n"/>
      <c r="L469" s="9" t="n"/>
      <c r="M469" s="9" t="n"/>
      <c r="N469" s="20" t="n"/>
      <c r="O469" s="20">
        <f>IF(C469="", "", TRIM(RIGHT(C469, LEN(C469) - FIND("@@", SUBSTITUTE(C469, "-", "@@", LEN(C469) - LEN(SUBSTITUTE(C469, "-", "")))))))</f>
        <v/>
      </c>
      <c r="P469" s="20">
        <f t="array" ref="P469">IFERROR(XLOOKUP(O469,'Department Listing'!$O$1:$O$395,'Department Listing'!$A$1:$A$395),IFERROR(XLOOKUP(O469,'Name Aliases'!$A$2:$A$1000,'Name Aliases'!$B$2:$B$1000),""))</f>
        <v/>
      </c>
      <c r="Q469" s="21">
        <f>IF(ISBLANK($C469),"",$B469)</f>
        <v/>
      </c>
      <c r="R469" s="20">
        <f>IF(ISBLANK($C469),"",IF(ISBLANK($I469),$D469,$I469))</f>
        <v/>
      </c>
      <c r="S469" s="22">
        <f>IF(ISBLANK($C469),"",$F469 - $G469)</f>
        <v/>
      </c>
      <c r="T469" s="20">
        <f>IF(ISBLANK($C469),"",C469)</f>
        <v/>
      </c>
      <c r="U469" s="20">
        <f>IF(ISBLANK($C469),"",$D$1)</f>
        <v/>
      </c>
      <c r="V469" s="22">
        <f t="array" ref="V469">IF(ISBLANK($B469),"",IF(ISBLANK($K469),IF(XLOOKUP($W469,'Category Mapping'!$C:$C,'Category Mapping'!$B:$B)="Travel",XLOOKUP($P469,'Department Listing'!$A:$A,'Department Listing'!$M:$M),XLOOKUP($W469,'Category Mapping'!$C:$C,'Category Mapping'!$D:$D)),$K469))</f>
        <v/>
      </c>
      <c r="W469" s="22">
        <f>IF(ISBLANK($B469),"",IF(ISBLANK($L469),RIGHT($E469,LEN($E469) - FIND("^",SUBSTITUTE($E469,":","^",LEN($E469) - LEN(SUBSTITUTE($E469,":",""))))),$L469))</f>
        <v/>
      </c>
      <c r="X469" s="22">
        <f>IF(ISBLANK($J469),$V469&amp;$W469,$J469)</f>
        <v/>
      </c>
      <c r="Y469" s="23">
        <f t="array" ref="Y469">IF(ISBLANK($M469),IFERROR(XLOOKUP($P469,'Department Listing'!$A:$A,'Department Listing'!$L:$L),""),$M469)</f>
        <v/>
      </c>
      <c r="Z469" s="11">
        <f>IF(ISBLANK($B469),"",MATCH($X469,COA!$B:$B,0))</f>
        <v/>
      </c>
    </row>
    <row r="470" ht="15.75" customHeight="1" s="52">
      <c r="B470" s="27" t="n"/>
      <c r="C470" s="10" t="n"/>
      <c r="D470" s="10" t="n"/>
      <c r="E470" s="28" t="n"/>
      <c r="F470" s="10" t="n"/>
      <c r="G470" s="10" t="n"/>
      <c r="H470" s="10" t="n"/>
      <c r="I470" s="9" t="n"/>
      <c r="J470" s="9" t="n"/>
      <c r="K470" s="9" t="n"/>
      <c r="L470" s="9" t="n"/>
      <c r="M470" s="9" t="n"/>
      <c r="N470" s="20" t="n"/>
      <c r="O470" s="20">
        <f>IF(C470="", "", TRIM(RIGHT(C470, LEN(C470) - FIND("@@", SUBSTITUTE(C470, "-", "@@", LEN(C470) - LEN(SUBSTITUTE(C470, "-", "")))))))</f>
        <v/>
      </c>
      <c r="P470" s="20">
        <f t="array" ref="P470">IFERROR(XLOOKUP(O470,'Department Listing'!$O$1:$O$395,'Department Listing'!$A$1:$A$395),IFERROR(XLOOKUP(O470,'Name Aliases'!$A$2:$A$1000,'Name Aliases'!$B$2:$B$1000),""))</f>
        <v/>
      </c>
      <c r="Q470" s="21">
        <f>IF(ISBLANK($C470),"",$B470)</f>
        <v/>
      </c>
      <c r="R470" s="20">
        <f>IF(ISBLANK($C470),"",IF(ISBLANK($I470),$D470,$I470))</f>
        <v/>
      </c>
      <c r="S470" s="22">
        <f>IF(ISBLANK($C470),"",$F470 - $G470)</f>
        <v/>
      </c>
      <c r="T470" s="20">
        <f>IF(ISBLANK($C470),"",C470)</f>
        <v/>
      </c>
      <c r="U470" s="20">
        <f>IF(ISBLANK($C470),"",$D$1)</f>
        <v/>
      </c>
      <c r="V470" s="22">
        <f t="array" ref="V470">IF(ISBLANK($B470),"",IF(ISBLANK($K470),IF(XLOOKUP($W470,'Category Mapping'!$C:$C,'Category Mapping'!$B:$B)="Travel",XLOOKUP($P470,'Department Listing'!$A:$A,'Department Listing'!$M:$M),XLOOKUP($W470,'Category Mapping'!$C:$C,'Category Mapping'!$D:$D)),$K470))</f>
        <v/>
      </c>
      <c r="W470" s="22">
        <f>IF(ISBLANK($B470),"",IF(ISBLANK($L470),RIGHT($E470,LEN($E470) - FIND("^",SUBSTITUTE($E470,":","^",LEN($E470) - LEN(SUBSTITUTE($E470,":",""))))),$L470))</f>
        <v/>
      </c>
      <c r="X470" s="22">
        <f>IF(ISBLANK($J470),$V470&amp;$W470,$J470)</f>
        <v/>
      </c>
      <c r="Y470" s="23">
        <f t="array" ref="Y470">IF(ISBLANK($M470),IFERROR(XLOOKUP($P470,'Department Listing'!$A:$A,'Department Listing'!$L:$L),""),$M470)</f>
        <v/>
      </c>
      <c r="Z470" s="11">
        <f>IF(ISBLANK($B470),"",MATCH($X470,COA!$B:$B,0))</f>
        <v/>
      </c>
    </row>
    <row r="471" ht="15.75" customHeight="1" s="52">
      <c r="B471" s="27" t="n"/>
      <c r="C471" s="10" t="n"/>
      <c r="D471" s="10" t="n"/>
      <c r="E471" s="28" t="n"/>
      <c r="F471" s="10" t="n"/>
      <c r="G471" s="10" t="n"/>
      <c r="H471" s="10" t="n"/>
      <c r="I471" s="9" t="n"/>
      <c r="J471" s="9" t="n"/>
      <c r="K471" s="9" t="n"/>
      <c r="L471" s="9" t="n"/>
      <c r="M471" s="9" t="n"/>
      <c r="N471" s="20" t="n"/>
      <c r="O471" s="20">
        <f>IF(C471="", "", TRIM(RIGHT(C471, LEN(C471) - FIND("@@", SUBSTITUTE(C471, "-", "@@", LEN(C471) - LEN(SUBSTITUTE(C471, "-", "")))))))</f>
        <v/>
      </c>
      <c r="P471" s="20">
        <f t="array" ref="P471">IFERROR(XLOOKUP(O471,'Department Listing'!$O$1:$O$395,'Department Listing'!$A$1:$A$395),IFERROR(XLOOKUP(O471,'Name Aliases'!$A$2:$A$1000,'Name Aliases'!$B$2:$B$1000),""))</f>
        <v/>
      </c>
      <c r="Q471" s="21">
        <f>IF(ISBLANK($C471),"",$B471)</f>
        <v/>
      </c>
      <c r="R471" s="20">
        <f>IF(ISBLANK($C471),"",IF(ISBLANK($I471),$D471,$I471))</f>
        <v/>
      </c>
      <c r="S471" s="22">
        <f>IF(ISBLANK($C471),"",$F471 - $G471)</f>
        <v/>
      </c>
      <c r="T471" s="20">
        <f>IF(ISBLANK($C471),"",C471)</f>
        <v/>
      </c>
      <c r="U471" s="20">
        <f>IF(ISBLANK($C471),"",$D$1)</f>
        <v/>
      </c>
      <c r="V471" s="22">
        <f t="array" ref="V471">IF(ISBLANK($B471),"",IF(ISBLANK($K471),IF(XLOOKUP($W471,'Category Mapping'!$C:$C,'Category Mapping'!$B:$B)="Travel",XLOOKUP($P471,'Department Listing'!$A:$A,'Department Listing'!$M:$M),XLOOKUP($W471,'Category Mapping'!$C:$C,'Category Mapping'!$D:$D)),$K471))</f>
        <v/>
      </c>
      <c r="W471" s="22">
        <f>IF(ISBLANK($B471),"",IF(ISBLANK($L471),RIGHT($E471,LEN($E471) - FIND("^",SUBSTITUTE($E471,":","^",LEN($E471) - LEN(SUBSTITUTE($E471,":",""))))),$L471))</f>
        <v/>
      </c>
      <c r="X471" s="22">
        <f>IF(ISBLANK($J471),$V471&amp;$W471,$J471)</f>
        <v/>
      </c>
      <c r="Y471" s="23">
        <f t="array" ref="Y471">IF(ISBLANK($M471),IFERROR(XLOOKUP($P471,'Department Listing'!$A:$A,'Department Listing'!$L:$L),""),$M471)</f>
        <v/>
      </c>
      <c r="Z471" s="11">
        <f>IF(ISBLANK($B471),"",MATCH($X471,COA!$B:$B,0))</f>
        <v/>
      </c>
    </row>
    <row r="472" ht="15.75" customHeight="1" s="52">
      <c r="B472" s="27" t="n"/>
      <c r="C472" s="10" t="n"/>
      <c r="D472" s="10" t="n"/>
      <c r="E472" s="28" t="n"/>
      <c r="F472" s="10" t="n"/>
      <c r="G472" s="10" t="n"/>
      <c r="H472" s="10" t="n"/>
      <c r="I472" s="9" t="n"/>
      <c r="J472" s="9" t="n"/>
      <c r="K472" s="9" t="n"/>
      <c r="L472" s="9" t="n"/>
      <c r="M472" s="9" t="n"/>
      <c r="N472" s="20" t="n"/>
      <c r="O472" s="20">
        <f>IF(C472="", "", TRIM(RIGHT(C472, LEN(C472) - FIND("@@", SUBSTITUTE(C472, "-", "@@", LEN(C472) - LEN(SUBSTITUTE(C472, "-", "")))))))</f>
        <v/>
      </c>
      <c r="P472" s="20">
        <f t="array" ref="P472">IFERROR(XLOOKUP(O472,'Department Listing'!$O$1:$O$395,'Department Listing'!$A$1:$A$395),IFERROR(XLOOKUP(O472,'Name Aliases'!$A$2:$A$1000,'Name Aliases'!$B$2:$B$1000),""))</f>
        <v/>
      </c>
      <c r="Q472" s="21">
        <f>IF(ISBLANK($C472),"",$B472)</f>
        <v/>
      </c>
      <c r="R472" s="20">
        <f>IF(ISBLANK($C472),"",IF(ISBLANK($I472),$D472,$I472))</f>
        <v/>
      </c>
      <c r="S472" s="22">
        <f>IF(ISBLANK($C472),"",$F472 - $G472)</f>
        <v/>
      </c>
      <c r="T472" s="20">
        <f>IF(ISBLANK($C472),"",C472)</f>
        <v/>
      </c>
      <c r="U472" s="20">
        <f>IF(ISBLANK($C472),"",$D$1)</f>
        <v/>
      </c>
      <c r="V472" s="22">
        <f t="array" ref="V472">IF(ISBLANK($B472),"",IF(ISBLANK($K472),IF(XLOOKUP($W472,'Category Mapping'!$C:$C,'Category Mapping'!$B:$B)="Travel",XLOOKUP($P472,'Department Listing'!$A:$A,'Department Listing'!$M:$M),XLOOKUP($W472,'Category Mapping'!$C:$C,'Category Mapping'!$D:$D)),$K472))</f>
        <v/>
      </c>
      <c r="W472" s="22">
        <f>IF(ISBLANK($B472),"",IF(ISBLANK($L472),RIGHT($E472,LEN($E472) - FIND("^",SUBSTITUTE($E472,":","^",LEN($E472) - LEN(SUBSTITUTE($E472,":",""))))),$L472))</f>
        <v/>
      </c>
      <c r="X472" s="22">
        <f>IF(ISBLANK($J472),$V472&amp;$W472,$J472)</f>
        <v/>
      </c>
      <c r="Y472" s="23">
        <f t="array" ref="Y472">IF(ISBLANK($M472),IFERROR(XLOOKUP($P472,'Department Listing'!$A:$A,'Department Listing'!$L:$L),""),$M472)</f>
        <v/>
      </c>
      <c r="Z472" s="11">
        <f>IF(ISBLANK($B472),"",MATCH($X472,COA!$B:$B,0))</f>
        <v/>
      </c>
    </row>
    <row r="473" ht="15.75" customHeight="1" s="52">
      <c r="B473" s="27" t="n"/>
      <c r="C473" s="10" t="n"/>
      <c r="D473" s="10" t="n"/>
      <c r="E473" s="28" t="n"/>
      <c r="F473" s="10" t="n"/>
      <c r="G473" s="10" t="n"/>
      <c r="H473" s="10" t="n"/>
      <c r="I473" s="9" t="n"/>
      <c r="J473" s="9" t="n"/>
      <c r="K473" s="9" t="n"/>
      <c r="L473" s="9" t="n"/>
      <c r="M473" s="9" t="n"/>
      <c r="N473" s="20" t="n"/>
      <c r="O473" s="20">
        <f>IF(C473="", "", TRIM(RIGHT(C473, LEN(C473) - FIND("@@", SUBSTITUTE(C473, "-", "@@", LEN(C473) - LEN(SUBSTITUTE(C473, "-", "")))))))</f>
        <v/>
      </c>
      <c r="P473" s="20">
        <f t="array" ref="P473">IFERROR(XLOOKUP(O473,'Department Listing'!$O$1:$O$395,'Department Listing'!$A$1:$A$395),IFERROR(XLOOKUP(O473,'Name Aliases'!$A$2:$A$1000,'Name Aliases'!$B$2:$B$1000),""))</f>
        <v/>
      </c>
      <c r="Q473" s="21">
        <f>IF(ISBLANK($C473),"",$B473)</f>
        <v/>
      </c>
      <c r="R473" s="20">
        <f>IF(ISBLANK($C473),"",IF(ISBLANK($I473),$D473,$I473))</f>
        <v/>
      </c>
      <c r="S473" s="22">
        <f>IF(ISBLANK($C473),"",$F473 - $G473)</f>
        <v/>
      </c>
      <c r="T473" s="20">
        <f>IF(ISBLANK($C473),"",C473)</f>
        <v/>
      </c>
      <c r="U473" s="20">
        <f>IF(ISBLANK($C473),"",$D$1)</f>
        <v/>
      </c>
      <c r="V473" s="22">
        <f t="array" ref="V473">IF(ISBLANK($B473),"",IF(ISBLANK($K473),IF(XLOOKUP($W473,'Category Mapping'!$C:$C,'Category Mapping'!$B:$B)="Travel",XLOOKUP($P473,'Department Listing'!$A:$A,'Department Listing'!$M:$M),XLOOKUP($W473,'Category Mapping'!$C:$C,'Category Mapping'!$D:$D)),$K473))</f>
        <v/>
      </c>
      <c r="W473" s="22">
        <f>IF(ISBLANK($B473),"",IF(ISBLANK($L473),RIGHT($E473,LEN($E473) - FIND("^",SUBSTITUTE($E473,":","^",LEN($E473) - LEN(SUBSTITUTE($E473,":",""))))),$L473))</f>
        <v/>
      </c>
      <c r="X473" s="22">
        <f>IF(ISBLANK($J473),$V473&amp;$W473,$J473)</f>
        <v/>
      </c>
      <c r="Y473" s="23">
        <f t="array" ref="Y473">IF(ISBLANK($M473),IFERROR(XLOOKUP($P473,'Department Listing'!$A:$A,'Department Listing'!$L:$L),""),$M473)</f>
        <v/>
      </c>
      <c r="Z473" s="11">
        <f>IF(ISBLANK($B473),"",MATCH($X473,COA!$B:$B,0))</f>
        <v/>
      </c>
    </row>
    <row r="474" ht="15.75" customHeight="1" s="52">
      <c r="B474" s="27" t="n"/>
      <c r="C474" s="10" t="n"/>
      <c r="D474" s="10" t="n"/>
      <c r="E474" s="28" t="n"/>
      <c r="F474" s="10" t="n"/>
      <c r="G474" s="10" t="n"/>
      <c r="H474" s="10" t="n"/>
      <c r="I474" s="9" t="n"/>
      <c r="J474" s="9" t="n"/>
      <c r="K474" s="9" t="n"/>
      <c r="L474" s="9" t="n"/>
      <c r="M474" s="9" t="n"/>
      <c r="N474" s="20" t="n"/>
      <c r="O474" s="20">
        <f>IF(C474="", "", TRIM(RIGHT(C474, LEN(C474) - FIND("@@", SUBSTITUTE(C474, "-", "@@", LEN(C474) - LEN(SUBSTITUTE(C474, "-", "")))))))</f>
        <v/>
      </c>
      <c r="P474" s="20">
        <f t="array" ref="P474">IFERROR(XLOOKUP(O474,'Department Listing'!$O$1:$O$395,'Department Listing'!$A$1:$A$395),IFERROR(XLOOKUP(O474,'Name Aliases'!$A$2:$A$1000,'Name Aliases'!$B$2:$B$1000),""))</f>
        <v/>
      </c>
      <c r="Q474" s="21">
        <f>IF(ISBLANK($C474),"",$B474)</f>
        <v/>
      </c>
      <c r="R474" s="20">
        <f>IF(ISBLANK($C474),"",IF(ISBLANK($I474),$D474,$I474))</f>
        <v/>
      </c>
      <c r="S474" s="22">
        <f>IF(ISBLANK($C474),"",$F474 - $G474)</f>
        <v/>
      </c>
      <c r="T474" s="20">
        <f>IF(ISBLANK($C474),"",C474)</f>
        <v/>
      </c>
      <c r="U474" s="20">
        <f>IF(ISBLANK($C474),"",$D$1)</f>
        <v/>
      </c>
      <c r="V474" s="22">
        <f t="array" ref="V474">IF(ISBLANK($B474),"",IF(ISBLANK($K474),IF(XLOOKUP($W474,'Category Mapping'!$C:$C,'Category Mapping'!$B:$B)="Travel",XLOOKUP($P474,'Department Listing'!$A:$A,'Department Listing'!$M:$M),XLOOKUP($W474,'Category Mapping'!$C:$C,'Category Mapping'!$D:$D)),$K474))</f>
        <v/>
      </c>
      <c r="W474" s="22">
        <f>IF(ISBLANK($B474),"",IF(ISBLANK($L474),RIGHT($E474,LEN($E474) - FIND("^",SUBSTITUTE($E474,":","^",LEN($E474) - LEN(SUBSTITUTE($E474,":",""))))),$L474))</f>
        <v/>
      </c>
      <c r="X474" s="22">
        <f>IF(ISBLANK($J474),$V474&amp;$W474,$J474)</f>
        <v/>
      </c>
      <c r="Y474" s="23">
        <f t="array" ref="Y474">IF(ISBLANK($M474),IFERROR(XLOOKUP($P474,'Department Listing'!$A:$A,'Department Listing'!$L:$L),""),$M474)</f>
        <v/>
      </c>
      <c r="Z474" s="11">
        <f>IF(ISBLANK($B474),"",MATCH($X474,COA!$B:$B,0))</f>
        <v/>
      </c>
    </row>
    <row r="475" ht="15.75" customHeight="1" s="52">
      <c r="B475" s="27" t="n"/>
      <c r="C475" s="10" t="n"/>
      <c r="D475" s="10" t="n"/>
      <c r="E475" s="28" t="n"/>
      <c r="F475" s="10" t="n"/>
      <c r="G475" s="10" t="n"/>
      <c r="H475" s="10" t="n"/>
      <c r="I475" s="9" t="n"/>
      <c r="J475" s="9" t="n"/>
      <c r="K475" s="9" t="n"/>
      <c r="L475" s="9" t="n"/>
      <c r="M475" s="9" t="n"/>
      <c r="N475" s="20" t="n"/>
      <c r="O475" s="20">
        <f>IF(C475="", "", TRIM(RIGHT(C475, LEN(C475) - FIND("@@", SUBSTITUTE(C475, "-", "@@", LEN(C475) - LEN(SUBSTITUTE(C475, "-", "")))))))</f>
        <v/>
      </c>
      <c r="P475" s="20">
        <f t="array" ref="P475">IFERROR(XLOOKUP(O475,'Department Listing'!$O$1:$O$395,'Department Listing'!$A$1:$A$395),IFERROR(XLOOKUP(O475,'Name Aliases'!$A$2:$A$1000,'Name Aliases'!$B$2:$B$1000),""))</f>
        <v/>
      </c>
      <c r="Q475" s="21">
        <f>IF(ISBLANK($C475),"",$B475)</f>
        <v/>
      </c>
      <c r="R475" s="20">
        <f>IF(ISBLANK($C475),"",IF(ISBLANK($I475),$D475,$I475))</f>
        <v/>
      </c>
      <c r="S475" s="22">
        <f>IF(ISBLANK($C475),"",$F475 - $G475)</f>
        <v/>
      </c>
      <c r="T475" s="20">
        <f>IF(ISBLANK($C475),"",C475)</f>
        <v/>
      </c>
      <c r="U475" s="20">
        <f>IF(ISBLANK($C475),"",$D$1)</f>
        <v/>
      </c>
      <c r="V475" s="22">
        <f t="array" ref="V475">IF(ISBLANK($B475),"",IF(ISBLANK($K475),IF(XLOOKUP($W475,'Category Mapping'!$C:$C,'Category Mapping'!$B:$B)="Travel",XLOOKUP($P475,'Department Listing'!$A:$A,'Department Listing'!$M:$M),XLOOKUP($W475,'Category Mapping'!$C:$C,'Category Mapping'!$D:$D)),$K475))</f>
        <v/>
      </c>
      <c r="W475" s="22">
        <f>IF(ISBLANK($B475),"",IF(ISBLANK($L475),RIGHT($E475,LEN($E475) - FIND("^",SUBSTITUTE($E475,":","^",LEN($E475) - LEN(SUBSTITUTE($E475,":",""))))),$L475))</f>
        <v/>
      </c>
      <c r="X475" s="22">
        <f>IF(ISBLANK($J475),$V475&amp;$W475,$J475)</f>
        <v/>
      </c>
      <c r="Y475" s="23">
        <f t="array" ref="Y475">IF(ISBLANK($M475),IFERROR(XLOOKUP($P475,'Department Listing'!$A:$A,'Department Listing'!$L:$L),""),$M475)</f>
        <v/>
      </c>
      <c r="Z475" s="11">
        <f>IF(ISBLANK($B475),"",MATCH($X475,COA!$B:$B,0))</f>
        <v/>
      </c>
    </row>
    <row r="476" ht="15.75" customHeight="1" s="52">
      <c r="B476" s="27" t="n"/>
      <c r="C476" s="10" t="n"/>
      <c r="D476" s="10" t="n"/>
      <c r="E476" s="28" t="n"/>
      <c r="F476" s="10" t="n"/>
      <c r="G476" s="10" t="n"/>
      <c r="H476" s="10" t="n"/>
      <c r="I476" s="9" t="n"/>
      <c r="J476" s="9" t="n"/>
      <c r="K476" s="9" t="n"/>
      <c r="L476" s="9" t="n"/>
      <c r="M476" s="9" t="n"/>
      <c r="N476" s="20" t="n"/>
      <c r="O476" s="20">
        <f>IF(C476="", "", TRIM(RIGHT(C476, LEN(C476) - FIND("@@", SUBSTITUTE(C476, "-", "@@", LEN(C476) - LEN(SUBSTITUTE(C476, "-", "")))))))</f>
        <v/>
      </c>
      <c r="P476" s="20">
        <f t="array" ref="P476">IFERROR(XLOOKUP(O476,'Department Listing'!$O$1:$O$395,'Department Listing'!$A$1:$A$395),IFERROR(XLOOKUP(O476,'Name Aliases'!$A$2:$A$1000,'Name Aliases'!$B$2:$B$1000),""))</f>
        <v/>
      </c>
      <c r="Q476" s="21">
        <f>IF(ISBLANK($C476),"",$B476)</f>
        <v/>
      </c>
      <c r="R476" s="20">
        <f>IF(ISBLANK($C476),"",IF(ISBLANK($I476),$D476,$I476))</f>
        <v/>
      </c>
      <c r="S476" s="22">
        <f>IF(ISBLANK($C476),"",$F476 - $G476)</f>
        <v/>
      </c>
      <c r="T476" s="20">
        <f>IF(ISBLANK($C476),"",C476)</f>
        <v/>
      </c>
      <c r="U476" s="20">
        <f>IF(ISBLANK($C476),"",$D$1)</f>
        <v/>
      </c>
      <c r="V476" s="22">
        <f t="array" ref="V476">IF(ISBLANK($B476),"",IF(ISBLANK($K476),IF(XLOOKUP($W476,'Category Mapping'!$C:$C,'Category Mapping'!$B:$B)="Travel",XLOOKUP($P476,'Department Listing'!$A:$A,'Department Listing'!$M:$M),XLOOKUP($W476,'Category Mapping'!$C:$C,'Category Mapping'!$D:$D)),$K476))</f>
        <v/>
      </c>
      <c r="W476" s="22">
        <f>IF(ISBLANK($B476),"",IF(ISBLANK($L476),RIGHT($E476,LEN($E476) - FIND("^",SUBSTITUTE($E476,":","^",LEN($E476) - LEN(SUBSTITUTE($E476,":",""))))),$L476))</f>
        <v/>
      </c>
      <c r="X476" s="22">
        <f>IF(ISBLANK($J476),$V476&amp;$W476,$J476)</f>
        <v/>
      </c>
      <c r="Y476" s="23">
        <f t="array" ref="Y476">IF(ISBLANK($M476),IFERROR(XLOOKUP($P476,'Department Listing'!$A:$A,'Department Listing'!$L:$L),""),$M476)</f>
        <v/>
      </c>
      <c r="Z476" s="11">
        <f>IF(ISBLANK($B476),"",MATCH($X476,COA!$B:$B,0))</f>
        <v/>
      </c>
    </row>
    <row r="477" ht="15.75" customHeight="1" s="52">
      <c r="B477" s="27" t="n"/>
      <c r="C477" s="10" t="n"/>
      <c r="D477" s="10" t="n"/>
      <c r="E477" s="28" t="n"/>
      <c r="F477" s="10" t="n"/>
      <c r="G477" s="10" t="n"/>
      <c r="H477" s="10" t="n"/>
      <c r="I477" s="9" t="n"/>
      <c r="J477" s="9" t="n"/>
      <c r="K477" s="9" t="n"/>
      <c r="L477" s="9" t="n"/>
      <c r="M477" s="9" t="n"/>
      <c r="N477" s="20" t="n"/>
      <c r="O477" s="20">
        <f>IF(C477="", "", TRIM(RIGHT(C477, LEN(C477) - FIND("@@", SUBSTITUTE(C477, "-", "@@", LEN(C477) - LEN(SUBSTITUTE(C477, "-", "")))))))</f>
        <v/>
      </c>
      <c r="P477" s="20">
        <f t="array" ref="P477">IFERROR(XLOOKUP(O477,'Department Listing'!$O$1:$O$395,'Department Listing'!$A$1:$A$395),IFERROR(XLOOKUP(O477,'Name Aliases'!$A$2:$A$1000,'Name Aliases'!$B$2:$B$1000),""))</f>
        <v/>
      </c>
      <c r="Q477" s="21">
        <f>IF(ISBLANK($C477),"",$B477)</f>
        <v/>
      </c>
      <c r="R477" s="20">
        <f>IF(ISBLANK($C477),"",IF(ISBLANK($I477),$D477,$I477))</f>
        <v/>
      </c>
      <c r="S477" s="22">
        <f>IF(ISBLANK($C477),"",$F477 - $G477)</f>
        <v/>
      </c>
      <c r="T477" s="20">
        <f>IF(ISBLANK($C477),"",C477)</f>
        <v/>
      </c>
      <c r="U477" s="20">
        <f>IF(ISBLANK($C477),"",$D$1)</f>
        <v/>
      </c>
      <c r="V477" s="22">
        <f t="array" ref="V477">IF(ISBLANK($B477),"",IF(ISBLANK($K477),IF(XLOOKUP($W477,'Category Mapping'!$C:$C,'Category Mapping'!$B:$B)="Travel",XLOOKUP($P477,'Department Listing'!$A:$A,'Department Listing'!$M:$M),XLOOKUP($W477,'Category Mapping'!$C:$C,'Category Mapping'!$D:$D)),$K477))</f>
        <v/>
      </c>
      <c r="W477" s="22">
        <f>IF(ISBLANK($B477),"",IF(ISBLANK($L477),RIGHT($E477,LEN($E477) - FIND("^",SUBSTITUTE($E477,":","^",LEN($E477) - LEN(SUBSTITUTE($E477,":",""))))),$L477))</f>
        <v/>
      </c>
      <c r="X477" s="22">
        <f>IF(ISBLANK($J477),$V477&amp;$W477,$J477)</f>
        <v/>
      </c>
      <c r="Y477" s="23">
        <f t="array" ref="Y477">IF(ISBLANK($M477),IFERROR(XLOOKUP($P477,'Department Listing'!$A:$A,'Department Listing'!$L:$L),""),$M477)</f>
        <v/>
      </c>
      <c r="Z477" s="11">
        <f>IF(ISBLANK($B477),"",MATCH($X477,COA!$B:$B,0))</f>
        <v/>
      </c>
    </row>
    <row r="478" ht="15.75" customHeight="1" s="52">
      <c r="B478" s="27" t="n"/>
      <c r="C478" s="10" t="n"/>
      <c r="D478" s="10" t="n"/>
      <c r="E478" s="28" t="n"/>
      <c r="F478" s="10" t="n"/>
      <c r="G478" s="10" t="n"/>
      <c r="H478" s="10" t="n"/>
      <c r="I478" s="9" t="n"/>
      <c r="J478" s="9" t="n"/>
      <c r="K478" s="9" t="n"/>
      <c r="L478" s="9" t="n"/>
      <c r="M478" s="9" t="n"/>
      <c r="N478" s="20" t="n"/>
      <c r="O478" s="20">
        <f>IF(C478="", "", TRIM(RIGHT(C478, LEN(C478) - FIND("@@", SUBSTITUTE(C478, "-", "@@", LEN(C478) - LEN(SUBSTITUTE(C478, "-", "")))))))</f>
        <v/>
      </c>
      <c r="P478" s="20">
        <f t="array" ref="P478">IFERROR(XLOOKUP(O478,'Department Listing'!$O$1:$O$395,'Department Listing'!$A$1:$A$395),IFERROR(XLOOKUP(O478,'Name Aliases'!$A$2:$A$1000,'Name Aliases'!$B$2:$B$1000),""))</f>
        <v/>
      </c>
      <c r="Q478" s="21">
        <f>IF(ISBLANK($C478),"",$B478)</f>
        <v/>
      </c>
      <c r="R478" s="20">
        <f>IF(ISBLANK($C478),"",IF(ISBLANK($I478),$D478,$I478))</f>
        <v/>
      </c>
      <c r="S478" s="22">
        <f>IF(ISBLANK($C478),"",$F478 - $G478)</f>
        <v/>
      </c>
      <c r="T478" s="20">
        <f>IF(ISBLANK($C478),"",C478)</f>
        <v/>
      </c>
      <c r="U478" s="20">
        <f>IF(ISBLANK($C478),"",$D$1)</f>
        <v/>
      </c>
      <c r="V478" s="22">
        <f t="array" ref="V478">IF(ISBLANK($B478),"",IF(ISBLANK($K478),IF(XLOOKUP($W478,'Category Mapping'!$C:$C,'Category Mapping'!$B:$B)="Travel",XLOOKUP($P478,'Department Listing'!$A:$A,'Department Listing'!$M:$M),XLOOKUP($W478,'Category Mapping'!$C:$C,'Category Mapping'!$D:$D)),$K478))</f>
        <v/>
      </c>
      <c r="W478" s="22">
        <f>IF(ISBLANK($B478),"",IF(ISBLANK($L478),RIGHT($E478,LEN($E478) - FIND("^",SUBSTITUTE($E478,":","^",LEN($E478) - LEN(SUBSTITUTE($E478,":",""))))),$L478))</f>
        <v/>
      </c>
      <c r="X478" s="22">
        <f>IF(ISBLANK($J478),$V478&amp;$W478,$J478)</f>
        <v/>
      </c>
      <c r="Y478" s="23">
        <f t="array" ref="Y478">IF(ISBLANK($M478),IFERROR(XLOOKUP($P478,'Department Listing'!$A:$A,'Department Listing'!$L:$L),""),$M478)</f>
        <v/>
      </c>
      <c r="Z478" s="11">
        <f>IF(ISBLANK($B478),"",MATCH($X478,COA!$B:$B,0))</f>
        <v/>
      </c>
    </row>
    <row r="479" ht="15.75" customHeight="1" s="52">
      <c r="B479" s="27" t="n"/>
      <c r="C479" s="10" t="n"/>
      <c r="D479" s="10" t="n"/>
      <c r="E479" s="28" t="n"/>
      <c r="F479" s="10" t="n"/>
      <c r="G479" s="10" t="n"/>
      <c r="H479" s="10" t="n"/>
      <c r="I479" s="9" t="n"/>
      <c r="J479" s="9" t="n"/>
      <c r="K479" s="9" t="n"/>
      <c r="L479" s="9" t="n"/>
      <c r="M479" s="9" t="n"/>
      <c r="N479" s="20" t="n"/>
      <c r="O479" s="20">
        <f>IF(C479="", "", TRIM(RIGHT(C479, LEN(C479) - FIND("@@", SUBSTITUTE(C479, "-", "@@", LEN(C479) - LEN(SUBSTITUTE(C479, "-", "")))))))</f>
        <v/>
      </c>
      <c r="P479" s="20">
        <f t="array" ref="P479">IFERROR(XLOOKUP(O479,'Department Listing'!$O$1:$O$395,'Department Listing'!$A$1:$A$395),IFERROR(XLOOKUP(O479,'Name Aliases'!$A$2:$A$1000,'Name Aliases'!$B$2:$B$1000),""))</f>
        <v/>
      </c>
      <c r="Q479" s="21">
        <f>IF(ISBLANK($C479),"",$B479)</f>
        <v/>
      </c>
      <c r="R479" s="20">
        <f>IF(ISBLANK($C479),"",IF(ISBLANK($I479),$D479,$I479))</f>
        <v/>
      </c>
      <c r="S479" s="22">
        <f>IF(ISBLANK($C479),"",$F479 - $G479)</f>
        <v/>
      </c>
      <c r="T479" s="20">
        <f>IF(ISBLANK($C479),"",C479)</f>
        <v/>
      </c>
      <c r="U479" s="20">
        <f>IF(ISBLANK($C479),"",$D$1)</f>
        <v/>
      </c>
      <c r="V479" s="22">
        <f t="array" ref="V479">IF(ISBLANK($B479),"",IF(ISBLANK($K479),IF(XLOOKUP($W479,'Category Mapping'!$C:$C,'Category Mapping'!$B:$B)="Travel",XLOOKUP($P479,'Department Listing'!$A:$A,'Department Listing'!$M:$M),XLOOKUP($W479,'Category Mapping'!$C:$C,'Category Mapping'!$D:$D)),$K479))</f>
        <v/>
      </c>
      <c r="W479" s="22">
        <f>IF(ISBLANK($B479),"",IF(ISBLANK($L479),RIGHT($E479,LEN($E479) - FIND("^",SUBSTITUTE($E479,":","^",LEN($E479) - LEN(SUBSTITUTE($E479,":",""))))),$L479))</f>
        <v/>
      </c>
      <c r="X479" s="22">
        <f>IF(ISBLANK($J479),$V479&amp;$W479,$J479)</f>
        <v/>
      </c>
      <c r="Y479" s="23">
        <f t="array" ref="Y479">IF(ISBLANK($M479),IFERROR(XLOOKUP($P479,'Department Listing'!$A:$A,'Department Listing'!$L:$L),""),$M479)</f>
        <v/>
      </c>
      <c r="Z479" s="11">
        <f>IF(ISBLANK($B479),"",MATCH($X479,COA!$B:$B,0))</f>
        <v/>
      </c>
    </row>
    <row r="480" ht="15.75" customHeight="1" s="52">
      <c r="B480" s="27" t="n"/>
      <c r="C480" s="10" t="n"/>
      <c r="D480" s="10" t="n"/>
      <c r="E480" s="28" t="n"/>
      <c r="F480" s="10" t="n"/>
      <c r="G480" s="10" t="n"/>
      <c r="H480" s="10" t="n"/>
      <c r="I480" s="9" t="n"/>
      <c r="J480" s="9" t="n"/>
      <c r="K480" s="9" t="n"/>
      <c r="L480" s="9" t="n"/>
      <c r="M480" s="9" t="n"/>
      <c r="N480" s="20" t="n"/>
      <c r="O480" s="20">
        <f>IF(C480="", "", TRIM(RIGHT(C480, LEN(C480) - FIND("@@", SUBSTITUTE(C480, "-", "@@", LEN(C480) - LEN(SUBSTITUTE(C480, "-", "")))))))</f>
        <v/>
      </c>
      <c r="P480" s="20">
        <f t="array" ref="P480">IFERROR(XLOOKUP(O480,'Department Listing'!$O$1:$O$395,'Department Listing'!$A$1:$A$395),IFERROR(XLOOKUP(O480,'Name Aliases'!$A$2:$A$1000,'Name Aliases'!$B$2:$B$1000),""))</f>
        <v/>
      </c>
      <c r="Q480" s="21">
        <f>IF(ISBLANK($C480),"",$B480)</f>
        <v/>
      </c>
      <c r="R480" s="20">
        <f>IF(ISBLANK($C480),"",IF(ISBLANK($I480),$D480,$I480))</f>
        <v/>
      </c>
      <c r="S480" s="22">
        <f>IF(ISBLANK($C480),"",$F480 - $G480)</f>
        <v/>
      </c>
      <c r="T480" s="20">
        <f>IF(ISBLANK($C480),"",C480)</f>
        <v/>
      </c>
      <c r="U480" s="20">
        <f>IF(ISBLANK($C480),"",$D$1)</f>
        <v/>
      </c>
      <c r="V480" s="22">
        <f t="array" ref="V480">IF(ISBLANK($B480),"",IF(ISBLANK($K480),IF(XLOOKUP($W480,'Category Mapping'!$C:$C,'Category Mapping'!$B:$B)="Travel",XLOOKUP($P480,'Department Listing'!$A:$A,'Department Listing'!$M:$M),XLOOKUP($W480,'Category Mapping'!$C:$C,'Category Mapping'!$D:$D)),$K480))</f>
        <v/>
      </c>
      <c r="W480" s="22">
        <f>IF(ISBLANK($B480),"",IF(ISBLANK($L480),RIGHT($E480,LEN($E480) - FIND("^",SUBSTITUTE($E480,":","^",LEN($E480) - LEN(SUBSTITUTE($E480,":",""))))),$L480))</f>
        <v/>
      </c>
      <c r="X480" s="22">
        <f>IF(ISBLANK($J480),$V480&amp;$W480,$J480)</f>
        <v/>
      </c>
      <c r="Y480" s="23">
        <f t="array" ref="Y480">IF(ISBLANK($M480),IFERROR(XLOOKUP($P480,'Department Listing'!$A:$A,'Department Listing'!$L:$L),""),$M480)</f>
        <v/>
      </c>
      <c r="Z480" s="11">
        <f>IF(ISBLANK($B480),"",MATCH($X480,COA!$B:$B,0))</f>
        <v/>
      </c>
    </row>
    <row r="481" ht="15.75" customHeight="1" s="52">
      <c r="B481" s="27" t="n"/>
      <c r="C481" s="10" t="n"/>
      <c r="D481" s="10" t="n"/>
      <c r="E481" s="28" t="n"/>
      <c r="F481" s="10" t="n"/>
      <c r="G481" s="10" t="n"/>
      <c r="H481" s="10" t="n"/>
      <c r="I481" s="9" t="n"/>
      <c r="J481" s="9" t="n"/>
      <c r="K481" s="9" t="n"/>
      <c r="L481" s="9" t="n"/>
      <c r="M481" s="9" t="n"/>
      <c r="N481" s="20" t="n"/>
      <c r="O481" s="20">
        <f>IF(C481="", "", TRIM(RIGHT(C481, LEN(C481) - FIND("@@", SUBSTITUTE(C481, "-", "@@", LEN(C481) - LEN(SUBSTITUTE(C481, "-", "")))))))</f>
        <v/>
      </c>
      <c r="P481" s="20">
        <f t="array" ref="P481">IFERROR(XLOOKUP(O481,'Department Listing'!$O$1:$O$395,'Department Listing'!$A$1:$A$395),IFERROR(XLOOKUP(O481,'Name Aliases'!$A$2:$A$1000,'Name Aliases'!$B$2:$B$1000),""))</f>
        <v/>
      </c>
      <c r="Q481" s="21">
        <f>IF(ISBLANK($C481),"",$B481)</f>
        <v/>
      </c>
      <c r="R481" s="20">
        <f>IF(ISBLANK($C481),"",IF(ISBLANK($I481),$D481,$I481))</f>
        <v/>
      </c>
      <c r="S481" s="22">
        <f>IF(ISBLANK($C481),"",$F481 - $G481)</f>
        <v/>
      </c>
      <c r="T481" s="20">
        <f>IF(ISBLANK($C481),"",C481)</f>
        <v/>
      </c>
      <c r="U481" s="20">
        <f>IF(ISBLANK($C481),"",$D$1)</f>
        <v/>
      </c>
      <c r="V481" s="22">
        <f t="array" ref="V481">IF(ISBLANK($B481),"",IF(ISBLANK($K481),IF(XLOOKUP($W481,'Category Mapping'!$C:$C,'Category Mapping'!$B:$B)="Travel",XLOOKUP($P481,'Department Listing'!$A:$A,'Department Listing'!$M:$M),XLOOKUP($W481,'Category Mapping'!$C:$C,'Category Mapping'!$D:$D)),$K481))</f>
        <v/>
      </c>
      <c r="W481" s="22">
        <f>IF(ISBLANK($B481),"",IF(ISBLANK($L481),RIGHT($E481,LEN($E481) - FIND("^",SUBSTITUTE($E481,":","^",LEN($E481) - LEN(SUBSTITUTE($E481,":",""))))),$L481))</f>
        <v/>
      </c>
      <c r="X481" s="22">
        <f>IF(ISBLANK($J481),$V481&amp;$W481,$J481)</f>
        <v/>
      </c>
      <c r="Y481" s="23">
        <f t="array" ref="Y481">IF(ISBLANK($M481),IFERROR(XLOOKUP($P481,'Department Listing'!$A:$A,'Department Listing'!$L:$L),""),$M481)</f>
        <v/>
      </c>
      <c r="Z481" s="11">
        <f>IF(ISBLANK($B481),"",MATCH($X481,COA!$B:$B,0))</f>
        <v/>
      </c>
    </row>
    <row r="482" ht="15.75" customHeight="1" s="52">
      <c r="B482" s="27" t="n"/>
      <c r="C482" s="10" t="n"/>
      <c r="D482" s="10" t="n"/>
      <c r="E482" s="28" t="n"/>
      <c r="F482" s="10" t="n"/>
      <c r="G482" s="10" t="n"/>
      <c r="H482" s="10" t="n"/>
      <c r="I482" s="9" t="n"/>
      <c r="J482" s="9" t="n"/>
      <c r="K482" s="9" t="n"/>
      <c r="L482" s="9" t="n"/>
      <c r="M482" s="9" t="n"/>
      <c r="N482" s="20" t="n"/>
      <c r="O482" s="20">
        <f>IF(C482="", "", TRIM(RIGHT(C482, LEN(C482) - FIND("@@", SUBSTITUTE(C482, "-", "@@", LEN(C482) - LEN(SUBSTITUTE(C482, "-", "")))))))</f>
        <v/>
      </c>
      <c r="P482" s="20">
        <f t="array" ref="P482">IFERROR(XLOOKUP(O482,'Department Listing'!$O$1:$O$395,'Department Listing'!$A$1:$A$395),IFERROR(XLOOKUP(O482,'Name Aliases'!$A$2:$A$1000,'Name Aliases'!$B$2:$B$1000),""))</f>
        <v/>
      </c>
      <c r="Q482" s="21">
        <f>IF(ISBLANK($C482),"",$B482)</f>
        <v/>
      </c>
      <c r="R482" s="20">
        <f>IF(ISBLANK($C482),"",IF(ISBLANK($I482),$D482,$I482))</f>
        <v/>
      </c>
      <c r="S482" s="22">
        <f>IF(ISBLANK($C482),"",$F482 - $G482)</f>
        <v/>
      </c>
      <c r="T482" s="20">
        <f>IF(ISBLANK($C482),"",C482)</f>
        <v/>
      </c>
      <c r="U482" s="20">
        <f>IF(ISBLANK($C482),"",$D$1)</f>
        <v/>
      </c>
      <c r="V482" s="22">
        <f t="array" ref="V482">IF(ISBLANK($B482),"",IF(ISBLANK($K482),IF(XLOOKUP($W482,'Category Mapping'!$C:$C,'Category Mapping'!$B:$B)="Travel",XLOOKUP($P482,'Department Listing'!$A:$A,'Department Listing'!$M:$M),XLOOKUP($W482,'Category Mapping'!$C:$C,'Category Mapping'!$D:$D)),$K482))</f>
        <v/>
      </c>
      <c r="W482" s="22">
        <f>IF(ISBLANK($B482),"",IF(ISBLANK($L482),RIGHT($E482,LEN($E482) - FIND("^",SUBSTITUTE($E482,":","^",LEN($E482) - LEN(SUBSTITUTE($E482,":",""))))),$L482))</f>
        <v/>
      </c>
      <c r="X482" s="22">
        <f>IF(ISBLANK($J482),$V482&amp;$W482,$J482)</f>
        <v/>
      </c>
      <c r="Y482" s="23">
        <f t="array" ref="Y482">IF(ISBLANK($M482),IFERROR(XLOOKUP($P482,'Department Listing'!$A:$A,'Department Listing'!$L:$L),""),$M482)</f>
        <v/>
      </c>
      <c r="Z482" s="11">
        <f>IF(ISBLANK($B482),"",MATCH($X482,COA!$B:$B,0))</f>
        <v/>
      </c>
    </row>
    <row r="483" ht="15.75" customHeight="1" s="52">
      <c r="B483" s="27" t="n"/>
      <c r="C483" s="10" t="n"/>
      <c r="D483" s="10" t="n"/>
      <c r="E483" s="28" t="n"/>
      <c r="F483" s="10" t="n"/>
      <c r="G483" s="10" t="n"/>
      <c r="H483" s="10" t="n"/>
      <c r="I483" s="9" t="n"/>
      <c r="J483" s="9" t="n"/>
      <c r="K483" s="9" t="n"/>
      <c r="L483" s="9" t="n"/>
      <c r="M483" s="9" t="n"/>
      <c r="N483" s="20" t="n"/>
      <c r="O483" s="20">
        <f>IF(C483="", "", TRIM(RIGHT(C483, LEN(C483) - FIND("@@", SUBSTITUTE(C483, "-", "@@", LEN(C483) - LEN(SUBSTITUTE(C483, "-", "")))))))</f>
        <v/>
      </c>
      <c r="P483" s="20">
        <f t="array" ref="P483">IFERROR(XLOOKUP(O483,'Department Listing'!$O$1:$O$395,'Department Listing'!$A$1:$A$395),IFERROR(XLOOKUP(O483,'Name Aliases'!$A$2:$A$1000,'Name Aliases'!$B$2:$B$1000),""))</f>
        <v/>
      </c>
      <c r="Q483" s="21">
        <f>IF(ISBLANK($C483),"",$B483)</f>
        <v/>
      </c>
      <c r="R483" s="20">
        <f>IF(ISBLANK($C483),"",IF(ISBLANK($I483),$D483,$I483))</f>
        <v/>
      </c>
      <c r="S483" s="22">
        <f>IF(ISBLANK($C483),"",$F483 - $G483)</f>
        <v/>
      </c>
      <c r="T483" s="20">
        <f>IF(ISBLANK($C483),"",C483)</f>
        <v/>
      </c>
      <c r="U483" s="20">
        <f>IF(ISBLANK($C483),"",$D$1)</f>
        <v/>
      </c>
      <c r="V483" s="22">
        <f t="array" ref="V483">IF(ISBLANK($B483),"",IF(ISBLANK($K483),IF(XLOOKUP($W483,'Category Mapping'!$C:$C,'Category Mapping'!$B:$B)="Travel",XLOOKUP($P483,'Department Listing'!$A:$A,'Department Listing'!$M:$M),XLOOKUP($W483,'Category Mapping'!$C:$C,'Category Mapping'!$D:$D)),$K483))</f>
        <v/>
      </c>
      <c r="W483" s="22">
        <f>IF(ISBLANK($B483),"",IF(ISBLANK($L483),RIGHT($E483,LEN($E483) - FIND("^",SUBSTITUTE($E483,":","^",LEN($E483) - LEN(SUBSTITUTE($E483,":",""))))),$L483))</f>
        <v/>
      </c>
      <c r="X483" s="22">
        <f>IF(ISBLANK($J483),$V483&amp;$W483,$J483)</f>
        <v/>
      </c>
      <c r="Y483" s="23">
        <f t="array" ref="Y483">IF(ISBLANK($M483),IFERROR(XLOOKUP($P483,'Department Listing'!$A:$A,'Department Listing'!$L:$L),""),$M483)</f>
        <v/>
      </c>
      <c r="Z483" s="11">
        <f>IF(ISBLANK($B483),"",MATCH($X483,COA!$B:$B,0))</f>
        <v/>
      </c>
    </row>
    <row r="484" ht="15.75" customHeight="1" s="52">
      <c r="B484" s="27" t="n"/>
      <c r="C484" s="10" t="n"/>
      <c r="D484" s="10" t="n"/>
      <c r="E484" s="28" t="n"/>
      <c r="F484" s="10" t="n"/>
      <c r="G484" s="10" t="n"/>
      <c r="H484" s="10" t="n"/>
      <c r="I484" s="9" t="n"/>
      <c r="J484" s="9" t="n"/>
      <c r="K484" s="9" t="n"/>
      <c r="L484" s="9" t="n"/>
      <c r="M484" s="9" t="n"/>
      <c r="N484" s="20" t="n"/>
      <c r="O484" s="20">
        <f>IF(C484="", "", TRIM(RIGHT(C484, LEN(C484) - FIND("@@", SUBSTITUTE(C484, "-", "@@", LEN(C484) - LEN(SUBSTITUTE(C484, "-", "")))))))</f>
        <v/>
      </c>
      <c r="P484" s="20">
        <f t="array" ref="P484">IFERROR(XLOOKUP(O484,'Department Listing'!$O$1:$O$395,'Department Listing'!$A$1:$A$395),IFERROR(XLOOKUP(O484,'Name Aliases'!$A$2:$A$1000,'Name Aliases'!$B$2:$B$1000),""))</f>
        <v/>
      </c>
      <c r="Q484" s="21">
        <f>IF(ISBLANK($C484),"",$B484)</f>
        <v/>
      </c>
      <c r="R484" s="20">
        <f>IF(ISBLANK($C484),"",IF(ISBLANK($I484),$D484,$I484))</f>
        <v/>
      </c>
      <c r="S484" s="22">
        <f>IF(ISBLANK($C484),"",$F484 - $G484)</f>
        <v/>
      </c>
      <c r="T484" s="20">
        <f>IF(ISBLANK($C484),"",C484)</f>
        <v/>
      </c>
      <c r="U484" s="20">
        <f>IF(ISBLANK($C484),"",$D$1)</f>
        <v/>
      </c>
      <c r="V484" s="22">
        <f t="array" ref="V484">IF(ISBLANK($B484),"",IF(ISBLANK($K484),IF(XLOOKUP($W484,'Category Mapping'!$C:$C,'Category Mapping'!$B:$B)="Travel",XLOOKUP($P484,'Department Listing'!$A:$A,'Department Listing'!$M:$M),XLOOKUP($W484,'Category Mapping'!$C:$C,'Category Mapping'!$D:$D)),$K484))</f>
        <v/>
      </c>
      <c r="W484" s="22">
        <f>IF(ISBLANK($B484),"",IF(ISBLANK($L484),RIGHT($E484,LEN($E484) - FIND("^",SUBSTITUTE($E484,":","^",LEN($E484) - LEN(SUBSTITUTE($E484,":",""))))),$L484))</f>
        <v/>
      </c>
      <c r="X484" s="22">
        <f>IF(ISBLANK($J484),$V484&amp;$W484,$J484)</f>
        <v/>
      </c>
      <c r="Y484" s="23">
        <f t="array" ref="Y484">IF(ISBLANK($M484),IFERROR(XLOOKUP($P484,'Department Listing'!$A:$A,'Department Listing'!$L:$L),""),$M484)</f>
        <v/>
      </c>
      <c r="Z484" s="11">
        <f>IF(ISBLANK($B484),"",MATCH($X484,COA!$B:$B,0))</f>
        <v/>
      </c>
    </row>
    <row r="485" ht="15.75" customHeight="1" s="52">
      <c r="B485" s="27" t="n"/>
      <c r="C485" s="10" t="n"/>
      <c r="D485" s="10" t="n"/>
      <c r="E485" s="28" t="n"/>
      <c r="F485" s="10" t="n"/>
      <c r="G485" s="10" t="n"/>
      <c r="H485" s="10" t="n"/>
      <c r="I485" s="9" t="n"/>
      <c r="J485" s="9" t="n"/>
      <c r="K485" s="9" t="n"/>
      <c r="L485" s="9" t="n"/>
      <c r="M485" s="9" t="n"/>
      <c r="N485" s="20" t="n"/>
      <c r="O485" s="20">
        <f>IF(C485="", "", TRIM(RIGHT(C485, LEN(C485) - FIND("@@", SUBSTITUTE(C485, "-", "@@", LEN(C485) - LEN(SUBSTITUTE(C485, "-", "")))))))</f>
        <v/>
      </c>
      <c r="P485" s="20">
        <f t="array" ref="P485">IFERROR(XLOOKUP(O485,'Department Listing'!$O$1:$O$395,'Department Listing'!$A$1:$A$395),IFERROR(XLOOKUP(O485,'Name Aliases'!$A$2:$A$1000,'Name Aliases'!$B$2:$B$1000),""))</f>
        <v/>
      </c>
      <c r="Q485" s="21">
        <f>IF(ISBLANK($C485),"",$B485)</f>
        <v/>
      </c>
      <c r="R485" s="20">
        <f>IF(ISBLANK($C485),"",IF(ISBLANK($I485),$D485,$I485))</f>
        <v/>
      </c>
      <c r="S485" s="22">
        <f>IF(ISBLANK($C485),"",$F485 - $G485)</f>
        <v/>
      </c>
      <c r="T485" s="20">
        <f>IF(ISBLANK($C485),"",C485)</f>
        <v/>
      </c>
      <c r="U485" s="20">
        <f>IF(ISBLANK($C485),"",$D$1)</f>
        <v/>
      </c>
      <c r="V485" s="22">
        <f t="array" ref="V485">IF(ISBLANK($B485),"",IF(ISBLANK($K485),IF(XLOOKUP($W485,'Category Mapping'!$C:$C,'Category Mapping'!$B:$B)="Travel",XLOOKUP($P485,'Department Listing'!$A:$A,'Department Listing'!$M:$M),XLOOKUP($W485,'Category Mapping'!$C:$C,'Category Mapping'!$D:$D)),$K485))</f>
        <v/>
      </c>
      <c r="W485" s="22">
        <f>IF(ISBLANK($B485),"",IF(ISBLANK($L485),RIGHT($E485,LEN($E485) - FIND("^",SUBSTITUTE($E485,":","^",LEN($E485) - LEN(SUBSTITUTE($E485,":",""))))),$L485))</f>
        <v/>
      </c>
      <c r="X485" s="22">
        <f>IF(ISBLANK($J485),$V485&amp;$W485,$J485)</f>
        <v/>
      </c>
      <c r="Y485" s="23">
        <f t="array" ref="Y485">IF(ISBLANK($M485),IFERROR(XLOOKUP($P485,'Department Listing'!$A:$A,'Department Listing'!$L:$L),""),$M485)</f>
        <v/>
      </c>
      <c r="Z485" s="11">
        <f>IF(ISBLANK($B485),"",MATCH($X485,COA!$B:$B,0))</f>
        <v/>
      </c>
    </row>
    <row r="486" ht="15.75" customHeight="1" s="52">
      <c r="B486" s="27" t="n"/>
      <c r="C486" s="10" t="n"/>
      <c r="D486" s="10" t="n"/>
      <c r="E486" s="28" t="n"/>
      <c r="F486" s="10" t="n"/>
      <c r="G486" s="10" t="n"/>
      <c r="H486" s="10" t="n"/>
      <c r="I486" s="9" t="n"/>
      <c r="J486" s="9" t="n"/>
      <c r="K486" s="9" t="n"/>
      <c r="L486" s="9" t="n"/>
      <c r="M486" s="9" t="n"/>
      <c r="N486" s="20" t="n"/>
      <c r="O486" s="20">
        <f>IF(C486="", "", TRIM(RIGHT(C486, LEN(C486) - FIND("@@", SUBSTITUTE(C486, "-", "@@", LEN(C486) - LEN(SUBSTITUTE(C486, "-", "")))))))</f>
        <v/>
      </c>
      <c r="P486" s="20">
        <f t="array" ref="P486">IFERROR(XLOOKUP(O486,'Department Listing'!$O$1:$O$395,'Department Listing'!$A$1:$A$395),IFERROR(XLOOKUP(O486,'Name Aliases'!$A$2:$A$1000,'Name Aliases'!$B$2:$B$1000),""))</f>
        <v/>
      </c>
      <c r="Q486" s="21">
        <f>IF(ISBLANK($C486),"",$B486)</f>
        <v/>
      </c>
      <c r="R486" s="20">
        <f>IF(ISBLANK($C486),"",IF(ISBLANK($I486),$D486,$I486))</f>
        <v/>
      </c>
      <c r="S486" s="22">
        <f>IF(ISBLANK($C486),"",$F486 - $G486)</f>
        <v/>
      </c>
      <c r="T486" s="20">
        <f>IF(ISBLANK($C486),"",C486)</f>
        <v/>
      </c>
      <c r="U486" s="20">
        <f>IF(ISBLANK($C486),"",$D$1)</f>
        <v/>
      </c>
      <c r="V486" s="22">
        <f t="array" ref="V486">IF(ISBLANK($B486),"",IF(ISBLANK($K486),IF(XLOOKUP($W486,'Category Mapping'!$C:$C,'Category Mapping'!$B:$B)="Travel",XLOOKUP($P486,'Department Listing'!$A:$A,'Department Listing'!$M:$M),XLOOKUP($W486,'Category Mapping'!$C:$C,'Category Mapping'!$D:$D)),$K486))</f>
        <v/>
      </c>
      <c r="W486" s="22">
        <f>IF(ISBLANK($B486),"",IF(ISBLANK($L486),RIGHT($E486,LEN($E486) - FIND("^",SUBSTITUTE($E486,":","^",LEN($E486) - LEN(SUBSTITUTE($E486,":",""))))),$L486))</f>
        <v/>
      </c>
      <c r="X486" s="22">
        <f>IF(ISBLANK($J486),$V486&amp;$W486,$J486)</f>
        <v/>
      </c>
      <c r="Y486" s="23">
        <f t="array" ref="Y486">IF(ISBLANK($M486),IFERROR(XLOOKUP($P486,'Department Listing'!$A:$A,'Department Listing'!$L:$L),""),$M486)</f>
        <v/>
      </c>
      <c r="Z486" s="11">
        <f>IF(ISBLANK($B486),"",MATCH($X486,COA!$B:$B,0))</f>
        <v/>
      </c>
    </row>
    <row r="487" ht="15.75" customHeight="1" s="52">
      <c r="B487" s="27" t="n"/>
      <c r="C487" s="10" t="n"/>
      <c r="D487" s="10" t="n"/>
      <c r="E487" s="28" t="n"/>
      <c r="F487" s="10" t="n"/>
      <c r="G487" s="10" t="n"/>
      <c r="H487" s="10" t="n"/>
      <c r="I487" s="9" t="n"/>
      <c r="J487" s="9" t="n"/>
      <c r="K487" s="9" t="n"/>
      <c r="L487" s="9" t="n"/>
      <c r="M487" s="9" t="n"/>
      <c r="N487" s="20" t="n"/>
      <c r="O487" s="20">
        <f>IF(C487="", "", TRIM(RIGHT(C487, LEN(C487) - FIND("@@", SUBSTITUTE(C487, "-", "@@", LEN(C487) - LEN(SUBSTITUTE(C487, "-", "")))))))</f>
        <v/>
      </c>
      <c r="P487" s="20">
        <f t="array" ref="P487">IFERROR(XLOOKUP(O487,'Department Listing'!$O$1:$O$395,'Department Listing'!$A$1:$A$395),IFERROR(XLOOKUP(O487,'Name Aliases'!$A$2:$A$1000,'Name Aliases'!$B$2:$B$1000),""))</f>
        <v/>
      </c>
      <c r="Q487" s="21">
        <f>IF(ISBLANK($C487),"",$B487)</f>
        <v/>
      </c>
      <c r="R487" s="20">
        <f>IF(ISBLANK($C487),"",IF(ISBLANK($I487),$D487,$I487))</f>
        <v/>
      </c>
      <c r="S487" s="22">
        <f>IF(ISBLANK($C487),"",$F487 - $G487)</f>
        <v/>
      </c>
      <c r="T487" s="20">
        <f>IF(ISBLANK($C487),"",C487)</f>
        <v/>
      </c>
      <c r="U487" s="20">
        <f>IF(ISBLANK($C487),"",$D$1)</f>
        <v/>
      </c>
      <c r="V487" s="22">
        <f t="array" ref="V487">IF(ISBLANK($B487),"",IF(ISBLANK($K487),IF(XLOOKUP($W487,'Category Mapping'!$C:$C,'Category Mapping'!$B:$B)="Travel",XLOOKUP($P487,'Department Listing'!$A:$A,'Department Listing'!$M:$M),XLOOKUP($W487,'Category Mapping'!$C:$C,'Category Mapping'!$D:$D)),$K487))</f>
        <v/>
      </c>
      <c r="W487" s="22">
        <f>IF(ISBLANK($B487),"",IF(ISBLANK($L487),RIGHT($E487,LEN($E487) - FIND("^",SUBSTITUTE($E487,":","^",LEN($E487) - LEN(SUBSTITUTE($E487,":",""))))),$L487))</f>
        <v/>
      </c>
      <c r="X487" s="22">
        <f>IF(ISBLANK($J487),$V487&amp;$W487,$J487)</f>
        <v/>
      </c>
      <c r="Y487" s="23">
        <f t="array" ref="Y487">IF(ISBLANK($M487),IFERROR(XLOOKUP($P487,'Department Listing'!$A:$A,'Department Listing'!$L:$L),""),$M487)</f>
        <v/>
      </c>
      <c r="Z487" s="11">
        <f>IF(ISBLANK($B487),"",MATCH($X487,COA!$B:$B,0))</f>
        <v/>
      </c>
    </row>
    <row r="488" ht="15.75" customHeight="1" s="52">
      <c r="B488" s="27" t="n"/>
      <c r="C488" s="10" t="n"/>
      <c r="D488" s="10" t="n"/>
      <c r="E488" s="28" t="n"/>
      <c r="F488" s="10" t="n"/>
      <c r="G488" s="10" t="n"/>
      <c r="H488" s="10" t="n"/>
      <c r="I488" s="9" t="n"/>
      <c r="J488" s="9" t="n"/>
      <c r="K488" s="9" t="n"/>
      <c r="L488" s="9" t="n"/>
      <c r="M488" s="9" t="n"/>
      <c r="N488" s="20" t="n"/>
      <c r="O488" s="20">
        <f>IF(C488="", "", TRIM(RIGHT(C488, LEN(C488) - FIND("@@", SUBSTITUTE(C488, "-", "@@", LEN(C488) - LEN(SUBSTITUTE(C488, "-", "")))))))</f>
        <v/>
      </c>
      <c r="P488" s="20">
        <f t="array" ref="P488">IFERROR(XLOOKUP(O488,'Department Listing'!$O$1:$O$395,'Department Listing'!$A$1:$A$395),IFERROR(XLOOKUP(O488,'Name Aliases'!$A$2:$A$1000,'Name Aliases'!$B$2:$B$1000),""))</f>
        <v/>
      </c>
      <c r="Q488" s="21">
        <f>IF(ISBLANK($C488),"",$B488)</f>
        <v/>
      </c>
      <c r="R488" s="20">
        <f>IF(ISBLANK($C488),"",IF(ISBLANK($I488),$D488,$I488))</f>
        <v/>
      </c>
      <c r="S488" s="22">
        <f>IF(ISBLANK($C488),"",$F488 - $G488)</f>
        <v/>
      </c>
      <c r="T488" s="20">
        <f>IF(ISBLANK($C488),"",C488)</f>
        <v/>
      </c>
      <c r="U488" s="20">
        <f>IF(ISBLANK($C488),"",$D$1)</f>
        <v/>
      </c>
      <c r="V488" s="22">
        <f t="array" ref="V488">IF(ISBLANK($B488),"",IF(ISBLANK($K488),IF(XLOOKUP($W488,'Category Mapping'!$C:$C,'Category Mapping'!$B:$B)="Travel",XLOOKUP($P488,'Department Listing'!$A:$A,'Department Listing'!$M:$M),XLOOKUP($W488,'Category Mapping'!$C:$C,'Category Mapping'!$D:$D)),$K488))</f>
        <v/>
      </c>
      <c r="W488" s="22">
        <f>IF(ISBLANK($B488),"",IF(ISBLANK($L488),RIGHT($E488,LEN($E488) - FIND("^",SUBSTITUTE($E488,":","^",LEN($E488) - LEN(SUBSTITUTE($E488,":",""))))),$L488))</f>
        <v/>
      </c>
      <c r="X488" s="22">
        <f>IF(ISBLANK($J488),$V488&amp;$W488,$J488)</f>
        <v/>
      </c>
      <c r="Y488" s="23">
        <f t="array" ref="Y488">IF(ISBLANK($M488),IFERROR(XLOOKUP($P488,'Department Listing'!$A:$A,'Department Listing'!$L:$L),""),$M488)</f>
        <v/>
      </c>
      <c r="Z488" s="11">
        <f>IF(ISBLANK($B488),"",MATCH($X488,COA!$B:$B,0))</f>
        <v/>
      </c>
    </row>
    <row r="489" ht="15.75" customHeight="1" s="52">
      <c r="B489" s="27" t="n"/>
      <c r="C489" s="10" t="n"/>
      <c r="D489" s="10" t="n"/>
      <c r="E489" s="28" t="n"/>
      <c r="F489" s="10" t="n"/>
      <c r="G489" s="10" t="n"/>
      <c r="H489" s="10" t="n"/>
      <c r="I489" s="9" t="n"/>
      <c r="J489" s="9" t="n"/>
      <c r="K489" s="9" t="n"/>
      <c r="L489" s="9" t="n"/>
      <c r="M489" s="9" t="n"/>
      <c r="N489" s="20" t="n"/>
      <c r="O489" s="20">
        <f>IF(C489="", "", TRIM(RIGHT(C489, LEN(C489) - FIND("@@", SUBSTITUTE(C489, "-", "@@", LEN(C489) - LEN(SUBSTITUTE(C489, "-", "")))))))</f>
        <v/>
      </c>
      <c r="P489" s="20">
        <f t="array" ref="P489">IFERROR(XLOOKUP(O489,'Department Listing'!$O$1:$O$395,'Department Listing'!$A$1:$A$395),IFERROR(XLOOKUP(O489,'Name Aliases'!$A$2:$A$1000,'Name Aliases'!$B$2:$B$1000),""))</f>
        <v/>
      </c>
      <c r="Q489" s="21">
        <f>IF(ISBLANK($C489),"",$B489)</f>
        <v/>
      </c>
      <c r="R489" s="20">
        <f>IF(ISBLANK($C489),"",IF(ISBLANK($I489),$D489,$I489))</f>
        <v/>
      </c>
      <c r="S489" s="22">
        <f>IF(ISBLANK($C489),"",$F489 - $G489)</f>
        <v/>
      </c>
      <c r="T489" s="20">
        <f>IF(ISBLANK($C489),"",C489)</f>
        <v/>
      </c>
      <c r="U489" s="20">
        <f>IF(ISBLANK($C489),"",$D$1)</f>
        <v/>
      </c>
      <c r="V489" s="22">
        <f t="array" ref="V489">IF(ISBLANK($B489),"",IF(ISBLANK($K489),IF(XLOOKUP($W489,'Category Mapping'!$C:$C,'Category Mapping'!$B:$B)="Travel",XLOOKUP($P489,'Department Listing'!$A:$A,'Department Listing'!$M:$M),XLOOKUP($W489,'Category Mapping'!$C:$C,'Category Mapping'!$D:$D)),$K489))</f>
        <v/>
      </c>
      <c r="W489" s="22">
        <f>IF(ISBLANK($B489),"",IF(ISBLANK($L489),RIGHT($E489,LEN($E489) - FIND("^",SUBSTITUTE($E489,":","^",LEN($E489) - LEN(SUBSTITUTE($E489,":",""))))),$L489))</f>
        <v/>
      </c>
      <c r="X489" s="22">
        <f>IF(ISBLANK($J489),$V489&amp;$W489,$J489)</f>
        <v/>
      </c>
      <c r="Y489" s="23">
        <f t="array" ref="Y489">IF(ISBLANK($M489),IFERROR(XLOOKUP($P489,'Department Listing'!$A:$A,'Department Listing'!$L:$L),""),$M489)</f>
        <v/>
      </c>
      <c r="Z489" s="11">
        <f>IF(ISBLANK($B489),"",MATCH($X489,COA!$B:$B,0))</f>
        <v/>
      </c>
    </row>
    <row r="490" ht="15.75" customHeight="1" s="52">
      <c r="B490" s="27" t="n"/>
      <c r="C490" s="10" t="n"/>
      <c r="D490" s="10" t="n"/>
      <c r="E490" s="28" t="n"/>
      <c r="F490" s="10" t="n"/>
      <c r="G490" s="10" t="n"/>
      <c r="H490" s="10" t="n"/>
      <c r="I490" s="9" t="n"/>
      <c r="J490" s="9" t="n"/>
      <c r="K490" s="9" t="n"/>
      <c r="L490" s="9" t="n"/>
      <c r="M490" s="9" t="n"/>
      <c r="N490" s="20" t="n"/>
      <c r="O490" s="20">
        <f>IF(C490="", "", TRIM(RIGHT(C490, LEN(C490) - FIND("@@", SUBSTITUTE(C490, "-", "@@", LEN(C490) - LEN(SUBSTITUTE(C490, "-", "")))))))</f>
        <v/>
      </c>
      <c r="P490" s="20">
        <f t="array" ref="P490">IFERROR(XLOOKUP(O490,'Department Listing'!$O$1:$O$395,'Department Listing'!$A$1:$A$395),IFERROR(XLOOKUP(O490,'Name Aliases'!$A$2:$A$1000,'Name Aliases'!$B$2:$B$1000),""))</f>
        <v/>
      </c>
      <c r="Q490" s="21">
        <f>IF(ISBLANK($C490),"",$B490)</f>
        <v/>
      </c>
      <c r="R490" s="20">
        <f>IF(ISBLANK($C490),"",IF(ISBLANK($I490),$D490,$I490))</f>
        <v/>
      </c>
      <c r="S490" s="22">
        <f>IF(ISBLANK($C490),"",$F490 - $G490)</f>
        <v/>
      </c>
      <c r="T490" s="20">
        <f>IF(ISBLANK($C490),"",C490)</f>
        <v/>
      </c>
      <c r="U490" s="20">
        <f>IF(ISBLANK($C490),"",$D$1)</f>
        <v/>
      </c>
      <c r="V490" s="22">
        <f t="array" ref="V490">IF(ISBLANK($B490),"",IF(ISBLANK($K490),IF(XLOOKUP($W490,'Category Mapping'!$C:$C,'Category Mapping'!$B:$B)="Travel",XLOOKUP($P490,'Department Listing'!$A:$A,'Department Listing'!$M:$M),XLOOKUP($W490,'Category Mapping'!$C:$C,'Category Mapping'!$D:$D)),$K490))</f>
        <v/>
      </c>
      <c r="W490" s="22">
        <f>IF(ISBLANK($B490),"",IF(ISBLANK($L490),RIGHT($E490,LEN($E490) - FIND("^",SUBSTITUTE($E490,":","^",LEN($E490) - LEN(SUBSTITUTE($E490,":",""))))),$L490))</f>
        <v/>
      </c>
      <c r="X490" s="22">
        <f>IF(ISBLANK($J490),$V490&amp;$W490,$J490)</f>
        <v/>
      </c>
      <c r="Y490" s="23">
        <f t="array" ref="Y490">IF(ISBLANK($M490),IFERROR(XLOOKUP($P490,'Department Listing'!$A:$A,'Department Listing'!$L:$L),""),$M490)</f>
        <v/>
      </c>
      <c r="Z490" s="11">
        <f>IF(ISBLANK($B490),"",MATCH($X490,COA!$B:$B,0))</f>
        <v/>
      </c>
    </row>
    <row r="491" ht="15.75" customHeight="1" s="52">
      <c r="B491" s="27" t="n"/>
      <c r="C491" s="10" t="n"/>
      <c r="D491" s="10" t="n"/>
      <c r="E491" s="28" t="n"/>
      <c r="F491" s="10" t="n"/>
      <c r="G491" s="10" t="n"/>
      <c r="H491" s="10" t="n"/>
      <c r="I491" s="9" t="n"/>
      <c r="J491" s="9" t="n"/>
      <c r="K491" s="9" t="n"/>
      <c r="L491" s="9" t="n"/>
      <c r="M491" s="9" t="n"/>
      <c r="N491" s="20" t="n"/>
      <c r="O491" s="20">
        <f>IF(C491="", "", TRIM(RIGHT(C491, LEN(C491) - FIND("@@", SUBSTITUTE(C491, "-", "@@", LEN(C491) - LEN(SUBSTITUTE(C491, "-", "")))))))</f>
        <v/>
      </c>
      <c r="P491" s="20">
        <f t="array" ref="P491">IFERROR(XLOOKUP(O491,'Department Listing'!$O$1:$O$395,'Department Listing'!$A$1:$A$395),IFERROR(XLOOKUP(O491,'Name Aliases'!$A$2:$A$1000,'Name Aliases'!$B$2:$B$1000),""))</f>
        <v/>
      </c>
      <c r="Q491" s="21">
        <f>IF(ISBLANK($C491),"",$B491)</f>
        <v/>
      </c>
      <c r="R491" s="20">
        <f>IF(ISBLANK($C491),"",IF(ISBLANK($I491),$D491,$I491))</f>
        <v/>
      </c>
      <c r="S491" s="22">
        <f>IF(ISBLANK($C491),"",$F491 - $G491)</f>
        <v/>
      </c>
      <c r="T491" s="20">
        <f>IF(ISBLANK($C491),"",C491)</f>
        <v/>
      </c>
      <c r="U491" s="20">
        <f>IF(ISBLANK($C491),"",$D$1)</f>
        <v/>
      </c>
      <c r="V491" s="22">
        <f t="array" ref="V491">IF(ISBLANK($B491),"",IF(ISBLANK($K491),IF(XLOOKUP($W491,'Category Mapping'!$C:$C,'Category Mapping'!$B:$B)="Travel",XLOOKUP($P491,'Department Listing'!$A:$A,'Department Listing'!$M:$M),XLOOKUP($W491,'Category Mapping'!$C:$C,'Category Mapping'!$D:$D)),$K491))</f>
        <v/>
      </c>
      <c r="W491" s="22">
        <f>IF(ISBLANK($B491),"",IF(ISBLANK($L491),RIGHT($E491,LEN($E491) - FIND("^",SUBSTITUTE($E491,":","^",LEN($E491) - LEN(SUBSTITUTE($E491,":",""))))),$L491))</f>
        <v/>
      </c>
      <c r="X491" s="22">
        <f>IF(ISBLANK($J491),$V491&amp;$W491,$J491)</f>
        <v/>
      </c>
      <c r="Y491" s="23">
        <f t="array" ref="Y491">IF(ISBLANK($M491),IFERROR(XLOOKUP($P491,'Department Listing'!$A:$A,'Department Listing'!$L:$L),""),$M491)</f>
        <v/>
      </c>
      <c r="Z491" s="11">
        <f>IF(ISBLANK($B491),"",MATCH($X491,COA!$B:$B,0))</f>
        <v/>
      </c>
    </row>
    <row r="492" ht="15.75" customHeight="1" s="52">
      <c r="B492" s="27" t="n"/>
      <c r="C492" s="10" t="n"/>
      <c r="D492" s="10" t="n"/>
      <c r="E492" s="28" t="n"/>
      <c r="F492" s="10" t="n"/>
      <c r="G492" s="10" t="n"/>
      <c r="H492" s="10" t="n"/>
      <c r="I492" s="9" t="n"/>
      <c r="J492" s="9" t="n"/>
      <c r="K492" s="9" t="n"/>
      <c r="L492" s="9" t="n"/>
      <c r="M492" s="9" t="n"/>
      <c r="N492" s="20" t="n"/>
      <c r="O492" s="20">
        <f>IF(C492="", "", TRIM(RIGHT(C492, LEN(C492) - FIND("@@", SUBSTITUTE(C492, "-", "@@", LEN(C492) - LEN(SUBSTITUTE(C492, "-", "")))))))</f>
        <v/>
      </c>
      <c r="P492" s="20">
        <f t="array" ref="P492">IFERROR(XLOOKUP(O492,'Department Listing'!$O$1:$O$395,'Department Listing'!$A$1:$A$395),IFERROR(XLOOKUP(O492,'Name Aliases'!$A$2:$A$1000,'Name Aliases'!$B$2:$B$1000),""))</f>
        <v/>
      </c>
      <c r="Q492" s="21">
        <f>IF(ISBLANK($C492),"",$B492)</f>
        <v/>
      </c>
      <c r="R492" s="20">
        <f>IF(ISBLANK($C492),"",IF(ISBLANK($I492),$D492,$I492))</f>
        <v/>
      </c>
      <c r="S492" s="22">
        <f>IF(ISBLANK($C492),"",$F492 - $G492)</f>
        <v/>
      </c>
      <c r="T492" s="20">
        <f>IF(ISBLANK($C492),"",C492)</f>
        <v/>
      </c>
      <c r="U492" s="20">
        <f>IF(ISBLANK($C492),"",$D$1)</f>
        <v/>
      </c>
      <c r="V492" s="22">
        <f t="array" ref="V492">IF(ISBLANK($B492),"",IF(ISBLANK($K492),IF(XLOOKUP($W492,'Category Mapping'!$C:$C,'Category Mapping'!$B:$B)="Travel",XLOOKUP($P492,'Department Listing'!$A:$A,'Department Listing'!$M:$M),XLOOKUP($W492,'Category Mapping'!$C:$C,'Category Mapping'!$D:$D)),$K492))</f>
        <v/>
      </c>
      <c r="W492" s="22">
        <f>IF(ISBLANK($B492),"",IF(ISBLANK($L492),RIGHT($E492,LEN($E492) - FIND("^",SUBSTITUTE($E492,":","^",LEN($E492) - LEN(SUBSTITUTE($E492,":",""))))),$L492))</f>
        <v/>
      </c>
      <c r="X492" s="22">
        <f>IF(ISBLANK($J492),$V492&amp;$W492,$J492)</f>
        <v/>
      </c>
      <c r="Y492" s="23">
        <f t="array" ref="Y492">IF(ISBLANK($M492),IFERROR(XLOOKUP($P492,'Department Listing'!$A:$A,'Department Listing'!$L:$L),""),$M492)</f>
        <v/>
      </c>
      <c r="Z492" s="11">
        <f>IF(ISBLANK($B492),"",MATCH($X492,COA!$B:$B,0))</f>
        <v/>
      </c>
    </row>
    <row r="493" ht="15.75" customHeight="1" s="52">
      <c r="B493" s="27" t="n"/>
      <c r="C493" s="10" t="n"/>
      <c r="D493" s="10" t="n"/>
      <c r="E493" s="28" t="n"/>
      <c r="F493" s="10" t="n"/>
      <c r="G493" s="10" t="n"/>
      <c r="H493" s="10" t="n"/>
      <c r="I493" s="9" t="n"/>
      <c r="J493" s="9" t="n"/>
      <c r="K493" s="9" t="n"/>
      <c r="L493" s="9" t="n"/>
      <c r="M493" s="9" t="n"/>
      <c r="N493" s="20" t="n"/>
      <c r="O493" s="20">
        <f>IF(C493="", "", TRIM(RIGHT(C493, LEN(C493) - FIND("@@", SUBSTITUTE(C493, "-", "@@", LEN(C493) - LEN(SUBSTITUTE(C493, "-", "")))))))</f>
        <v/>
      </c>
      <c r="P493" s="20">
        <f t="array" ref="P493">IFERROR(XLOOKUP(O493,'Department Listing'!$O$1:$O$395,'Department Listing'!$A$1:$A$395),IFERROR(XLOOKUP(O493,'Name Aliases'!$A$2:$A$1000,'Name Aliases'!$B$2:$B$1000),""))</f>
        <v/>
      </c>
      <c r="Q493" s="21">
        <f>IF(ISBLANK($C493),"",$B493)</f>
        <v/>
      </c>
      <c r="R493" s="20">
        <f>IF(ISBLANK($C493),"",IF(ISBLANK($I493),$D493,$I493))</f>
        <v/>
      </c>
      <c r="S493" s="22">
        <f>IF(ISBLANK($C493),"",$F493 - $G493)</f>
        <v/>
      </c>
      <c r="T493" s="20">
        <f>IF(ISBLANK($C493),"",C493)</f>
        <v/>
      </c>
      <c r="U493" s="20">
        <f>IF(ISBLANK($C493),"",$D$1)</f>
        <v/>
      </c>
      <c r="V493" s="22">
        <f t="array" ref="V493">IF(ISBLANK($B493),"",IF(ISBLANK($K493),IF(XLOOKUP($W493,'Category Mapping'!$C:$C,'Category Mapping'!$B:$B)="Travel",XLOOKUP($P493,'Department Listing'!$A:$A,'Department Listing'!$M:$M),XLOOKUP($W493,'Category Mapping'!$C:$C,'Category Mapping'!$D:$D)),$K493))</f>
        <v/>
      </c>
      <c r="W493" s="22">
        <f>IF(ISBLANK($B493),"",IF(ISBLANK($L493),RIGHT($E493,LEN($E493) - FIND("^",SUBSTITUTE($E493,":","^",LEN($E493) - LEN(SUBSTITUTE($E493,":",""))))),$L493))</f>
        <v/>
      </c>
      <c r="X493" s="22">
        <f>IF(ISBLANK($J493),$V493&amp;$W493,$J493)</f>
        <v/>
      </c>
      <c r="Y493" s="23">
        <f t="array" ref="Y493">IF(ISBLANK($M493),IFERROR(XLOOKUP($P493,'Department Listing'!$A:$A,'Department Listing'!$L:$L),""),$M493)</f>
        <v/>
      </c>
      <c r="Z493" s="11">
        <f>IF(ISBLANK($B493),"",MATCH($X493,COA!$B:$B,0))</f>
        <v/>
      </c>
    </row>
    <row r="494" ht="15.75" customHeight="1" s="52">
      <c r="B494" s="27" t="n"/>
      <c r="C494" s="10" t="n"/>
      <c r="D494" s="10" t="n"/>
      <c r="E494" s="28" t="n"/>
      <c r="F494" s="10" t="n"/>
      <c r="G494" s="10" t="n"/>
      <c r="H494" s="10" t="n"/>
      <c r="I494" s="9" t="n"/>
      <c r="J494" s="9" t="n"/>
      <c r="K494" s="9" t="n"/>
      <c r="L494" s="9" t="n"/>
      <c r="M494" s="9" t="n"/>
      <c r="N494" s="20" t="n"/>
      <c r="O494" s="20">
        <f>IF(C494="", "", TRIM(RIGHT(C494, LEN(C494) - FIND("@@", SUBSTITUTE(C494, "-", "@@", LEN(C494) - LEN(SUBSTITUTE(C494, "-", "")))))))</f>
        <v/>
      </c>
      <c r="P494" s="20">
        <f t="array" ref="P494">IFERROR(XLOOKUP(O494,'Department Listing'!$O$1:$O$395,'Department Listing'!$A$1:$A$395),IFERROR(XLOOKUP(O494,'Name Aliases'!$A$2:$A$1000,'Name Aliases'!$B$2:$B$1000),""))</f>
        <v/>
      </c>
      <c r="Q494" s="21">
        <f>IF(ISBLANK($C494),"",$B494)</f>
        <v/>
      </c>
      <c r="R494" s="20">
        <f>IF(ISBLANK($C494),"",IF(ISBLANK($I494),$D494,$I494))</f>
        <v/>
      </c>
      <c r="S494" s="22">
        <f>IF(ISBLANK($C494),"",$F494 - $G494)</f>
        <v/>
      </c>
      <c r="T494" s="20">
        <f>IF(ISBLANK($C494),"",C494)</f>
        <v/>
      </c>
      <c r="U494" s="20">
        <f>IF(ISBLANK($C494),"",$D$1)</f>
        <v/>
      </c>
      <c r="V494" s="22">
        <f t="array" ref="V494">IF(ISBLANK($B494),"",IF(ISBLANK($K494),IF(XLOOKUP($W494,'Category Mapping'!$C:$C,'Category Mapping'!$B:$B)="Travel",XLOOKUP($P494,'Department Listing'!$A:$A,'Department Listing'!$M:$M),XLOOKUP($W494,'Category Mapping'!$C:$C,'Category Mapping'!$D:$D)),$K494))</f>
        <v/>
      </c>
      <c r="W494" s="22">
        <f>IF(ISBLANK($B494),"",IF(ISBLANK($L494),RIGHT($E494,LEN($E494) - FIND("^",SUBSTITUTE($E494,":","^",LEN($E494) - LEN(SUBSTITUTE($E494,":",""))))),$L494))</f>
        <v/>
      </c>
      <c r="X494" s="22">
        <f>IF(ISBLANK($J494),$V494&amp;$W494,$J494)</f>
        <v/>
      </c>
      <c r="Y494" s="23">
        <f t="array" ref="Y494">IF(ISBLANK($M494),IFERROR(XLOOKUP($P494,'Department Listing'!$A:$A,'Department Listing'!$L:$L),""),$M494)</f>
        <v/>
      </c>
      <c r="Z494" s="11">
        <f>IF(ISBLANK($B494),"",MATCH($X494,COA!$B:$B,0))</f>
        <v/>
      </c>
    </row>
    <row r="495" ht="15.75" customHeight="1" s="52">
      <c r="B495" s="27" t="n"/>
      <c r="C495" s="10" t="n"/>
      <c r="D495" s="10" t="n"/>
      <c r="E495" s="28" t="n"/>
      <c r="F495" s="10" t="n"/>
      <c r="G495" s="10" t="n"/>
      <c r="H495" s="10" t="n"/>
      <c r="I495" s="9" t="n"/>
      <c r="J495" s="9" t="n"/>
      <c r="K495" s="9" t="n"/>
      <c r="L495" s="9" t="n"/>
      <c r="M495" s="9" t="n"/>
      <c r="N495" s="20" t="n"/>
      <c r="O495" s="20">
        <f>IF(C495="", "", TRIM(RIGHT(C495, LEN(C495) - FIND("@@", SUBSTITUTE(C495, "-", "@@", LEN(C495) - LEN(SUBSTITUTE(C495, "-", "")))))))</f>
        <v/>
      </c>
      <c r="P495" s="20">
        <f t="array" ref="P495">IFERROR(XLOOKUP(O495,'Department Listing'!$O$1:$O$395,'Department Listing'!$A$1:$A$395),IFERROR(XLOOKUP(O495,'Name Aliases'!$A$2:$A$1000,'Name Aliases'!$B$2:$B$1000),""))</f>
        <v/>
      </c>
      <c r="Q495" s="21">
        <f>IF(ISBLANK($C495),"",$B495)</f>
        <v/>
      </c>
      <c r="R495" s="20">
        <f>IF(ISBLANK($C495),"",IF(ISBLANK($I495),$D495,$I495))</f>
        <v/>
      </c>
      <c r="S495" s="22">
        <f>IF(ISBLANK($C495),"",$F495 - $G495)</f>
        <v/>
      </c>
      <c r="T495" s="20">
        <f>IF(ISBLANK($C495),"",C495)</f>
        <v/>
      </c>
      <c r="U495" s="20">
        <f>IF(ISBLANK($C495),"",$D$1)</f>
        <v/>
      </c>
      <c r="V495" s="22">
        <f t="array" ref="V495">IF(ISBLANK($B495),"",IF(ISBLANK($K495),IF(XLOOKUP($W495,'Category Mapping'!$C:$C,'Category Mapping'!$B:$B)="Travel",XLOOKUP($P495,'Department Listing'!$A:$A,'Department Listing'!$M:$M),XLOOKUP($W495,'Category Mapping'!$C:$C,'Category Mapping'!$D:$D)),$K495))</f>
        <v/>
      </c>
      <c r="W495" s="22">
        <f>IF(ISBLANK($B495),"",IF(ISBLANK($L495),RIGHT($E495,LEN($E495) - FIND("^",SUBSTITUTE($E495,":","^",LEN($E495) - LEN(SUBSTITUTE($E495,":",""))))),$L495))</f>
        <v/>
      </c>
      <c r="X495" s="22">
        <f>IF(ISBLANK($J495),$V495&amp;$W495,$J495)</f>
        <v/>
      </c>
      <c r="Y495" s="23">
        <f t="array" ref="Y495">IF(ISBLANK($M495),IFERROR(XLOOKUP($P495,'Department Listing'!$A:$A,'Department Listing'!$L:$L),""),$M495)</f>
        <v/>
      </c>
      <c r="Z495" s="11">
        <f>IF(ISBLANK($B495),"",MATCH($X495,COA!$B:$B,0))</f>
        <v/>
      </c>
    </row>
    <row r="496" ht="15.75" customHeight="1" s="52">
      <c r="B496" s="27" t="n"/>
      <c r="C496" s="10" t="n"/>
      <c r="D496" s="10" t="n"/>
      <c r="E496" s="28" t="n"/>
      <c r="F496" s="10" t="n"/>
      <c r="G496" s="10" t="n"/>
      <c r="H496" s="10" t="n"/>
      <c r="I496" s="9" t="n"/>
      <c r="J496" s="9" t="n"/>
      <c r="K496" s="9" t="n"/>
      <c r="L496" s="9" t="n"/>
      <c r="M496" s="9" t="n"/>
      <c r="N496" s="20" t="n"/>
      <c r="O496" s="20">
        <f>IF(C496="", "", TRIM(RIGHT(C496, LEN(C496) - FIND("@@", SUBSTITUTE(C496, "-", "@@", LEN(C496) - LEN(SUBSTITUTE(C496, "-", "")))))))</f>
        <v/>
      </c>
      <c r="P496" s="20">
        <f t="array" ref="P496">IFERROR(XLOOKUP(O496,'Department Listing'!$O$1:$O$395,'Department Listing'!$A$1:$A$395),IFERROR(XLOOKUP(O496,'Name Aliases'!$A$2:$A$1000,'Name Aliases'!$B$2:$B$1000),""))</f>
        <v/>
      </c>
      <c r="Q496" s="21">
        <f>IF(ISBLANK($C496),"",$B496)</f>
        <v/>
      </c>
      <c r="R496" s="20">
        <f>IF(ISBLANK($C496),"",IF(ISBLANK($I496),$D496,$I496))</f>
        <v/>
      </c>
      <c r="S496" s="22">
        <f>IF(ISBLANK($C496),"",$F496 - $G496)</f>
        <v/>
      </c>
      <c r="T496" s="20">
        <f>IF(ISBLANK($C496),"",C496)</f>
        <v/>
      </c>
      <c r="U496" s="20">
        <f>IF(ISBLANK($C496),"",$D$1)</f>
        <v/>
      </c>
      <c r="V496" s="22">
        <f t="array" ref="V496">IF(ISBLANK($B496),"",IF(ISBLANK($K496),IF(XLOOKUP($W496,'Category Mapping'!$C:$C,'Category Mapping'!$B:$B)="Travel",XLOOKUP($P496,'Department Listing'!$A:$A,'Department Listing'!$M:$M),XLOOKUP($W496,'Category Mapping'!$C:$C,'Category Mapping'!$D:$D)),$K496))</f>
        <v/>
      </c>
      <c r="W496" s="22">
        <f>IF(ISBLANK($B496),"",IF(ISBLANK($L496),RIGHT($E496,LEN($E496) - FIND("^",SUBSTITUTE($E496,":","^",LEN($E496) - LEN(SUBSTITUTE($E496,":",""))))),$L496))</f>
        <v/>
      </c>
      <c r="X496" s="22">
        <f>IF(ISBLANK($J496),$V496&amp;$W496,$J496)</f>
        <v/>
      </c>
      <c r="Y496" s="23">
        <f t="array" ref="Y496">IF(ISBLANK($M496),IFERROR(XLOOKUP($P496,'Department Listing'!$A:$A,'Department Listing'!$L:$L),""),$M496)</f>
        <v/>
      </c>
      <c r="Z496" s="11">
        <f>IF(ISBLANK($B496),"",MATCH($X496,COA!$B:$B,0))</f>
        <v/>
      </c>
    </row>
    <row r="497" ht="15.75" customHeight="1" s="52">
      <c r="B497" s="27" t="n"/>
      <c r="C497" s="10" t="n"/>
      <c r="D497" s="10" t="n"/>
      <c r="E497" s="28" t="n"/>
      <c r="F497" s="10" t="n"/>
      <c r="G497" s="10" t="n"/>
      <c r="H497" s="10" t="n"/>
      <c r="I497" s="9" t="n"/>
      <c r="J497" s="9" t="n"/>
      <c r="K497" s="9" t="n"/>
      <c r="L497" s="9" t="n"/>
      <c r="M497" s="9" t="n"/>
      <c r="N497" s="20" t="n"/>
      <c r="O497" s="20">
        <f>IF(C497="", "", TRIM(RIGHT(C497, LEN(C497) - FIND("@@", SUBSTITUTE(C497, "-", "@@", LEN(C497) - LEN(SUBSTITUTE(C497, "-", "")))))))</f>
        <v/>
      </c>
      <c r="P497" s="20">
        <f t="array" ref="P497">IFERROR(XLOOKUP(O497,'Department Listing'!$O$1:$O$395,'Department Listing'!$A$1:$A$395),IFERROR(XLOOKUP(O497,'Name Aliases'!$A$2:$A$1000,'Name Aliases'!$B$2:$B$1000),""))</f>
        <v/>
      </c>
      <c r="Q497" s="21">
        <f>IF(ISBLANK($C497),"",$B497)</f>
        <v/>
      </c>
      <c r="R497" s="20">
        <f>IF(ISBLANK($C497),"",IF(ISBLANK($I497),$D497,$I497))</f>
        <v/>
      </c>
      <c r="S497" s="22">
        <f>IF(ISBLANK($C497),"",$F497 - $G497)</f>
        <v/>
      </c>
      <c r="T497" s="20">
        <f>IF(ISBLANK($C497),"",C497)</f>
        <v/>
      </c>
      <c r="U497" s="20">
        <f>IF(ISBLANK($C497),"",$D$1)</f>
        <v/>
      </c>
      <c r="V497" s="22">
        <f t="array" ref="V497">IF(ISBLANK($B497),"",IF(ISBLANK($K497),IF(XLOOKUP($W497,'Category Mapping'!$C:$C,'Category Mapping'!$B:$B)="Travel",XLOOKUP($P497,'Department Listing'!$A:$A,'Department Listing'!$M:$M),XLOOKUP($W497,'Category Mapping'!$C:$C,'Category Mapping'!$D:$D)),$K497))</f>
        <v/>
      </c>
      <c r="W497" s="22">
        <f>IF(ISBLANK($B497),"",IF(ISBLANK($L497),RIGHT($E497,LEN($E497) - FIND("^",SUBSTITUTE($E497,":","^",LEN($E497) - LEN(SUBSTITUTE($E497,":",""))))),$L497))</f>
        <v/>
      </c>
      <c r="X497" s="22">
        <f>IF(ISBLANK($J497),$V497&amp;$W497,$J497)</f>
        <v/>
      </c>
      <c r="Y497" s="23">
        <f t="array" ref="Y497">IF(ISBLANK($M497),IFERROR(XLOOKUP($P497,'Department Listing'!$A:$A,'Department Listing'!$L:$L),""),$M497)</f>
        <v/>
      </c>
      <c r="Z497" s="11">
        <f>IF(ISBLANK($B497),"",MATCH($X497,COA!$B:$B,0))</f>
        <v/>
      </c>
    </row>
    <row r="498" ht="15.75" customHeight="1" s="52">
      <c r="B498" s="27" t="n"/>
      <c r="C498" s="10" t="n"/>
      <c r="D498" s="10" t="n"/>
      <c r="E498" s="28" t="n"/>
      <c r="F498" s="10" t="n"/>
      <c r="G498" s="10" t="n"/>
      <c r="H498" s="10" t="n"/>
      <c r="I498" s="9" t="n"/>
      <c r="J498" s="9" t="n"/>
      <c r="K498" s="9" t="n"/>
      <c r="L498" s="9" t="n"/>
      <c r="M498" s="9" t="n"/>
      <c r="N498" s="20" t="n"/>
      <c r="O498" s="20">
        <f>IF(C498="", "", TRIM(RIGHT(C498, LEN(C498) - FIND("@@", SUBSTITUTE(C498, "-", "@@", LEN(C498) - LEN(SUBSTITUTE(C498, "-", "")))))))</f>
        <v/>
      </c>
      <c r="P498" s="20">
        <f t="array" ref="P498">IFERROR(XLOOKUP(O498,'Department Listing'!$O$1:$O$395,'Department Listing'!$A$1:$A$395),IFERROR(XLOOKUP(O498,'Name Aliases'!$A$2:$A$1000,'Name Aliases'!$B$2:$B$1000),""))</f>
        <v/>
      </c>
      <c r="Q498" s="21">
        <f>IF(ISBLANK($C498),"",$B498)</f>
        <v/>
      </c>
      <c r="R498" s="20">
        <f>IF(ISBLANK($C498),"",IF(ISBLANK($I498),$D498,$I498))</f>
        <v/>
      </c>
      <c r="S498" s="22">
        <f>IF(ISBLANK($C498),"",$F498 - $G498)</f>
        <v/>
      </c>
      <c r="T498" s="20">
        <f>IF(ISBLANK($C498),"",C498)</f>
        <v/>
      </c>
      <c r="U498" s="20">
        <f>IF(ISBLANK($C498),"",$D$1)</f>
        <v/>
      </c>
      <c r="V498" s="22">
        <f t="array" ref="V498">IF(ISBLANK($B498),"",IF(ISBLANK($K498),IF(XLOOKUP($W498,'Category Mapping'!$C:$C,'Category Mapping'!$B:$B)="Travel",XLOOKUP($P498,'Department Listing'!$A:$A,'Department Listing'!$M:$M),XLOOKUP($W498,'Category Mapping'!$C:$C,'Category Mapping'!$D:$D)),$K498))</f>
        <v/>
      </c>
      <c r="W498" s="22">
        <f>IF(ISBLANK($B498),"",IF(ISBLANK($L498),RIGHT($E498,LEN($E498) - FIND("^",SUBSTITUTE($E498,":","^",LEN($E498) - LEN(SUBSTITUTE($E498,":",""))))),$L498))</f>
        <v/>
      </c>
      <c r="X498" s="22">
        <f>IF(ISBLANK($J498),$V498&amp;$W498,$J498)</f>
        <v/>
      </c>
      <c r="Y498" s="23">
        <f t="array" ref="Y498">IF(ISBLANK($M498),IFERROR(XLOOKUP($P498,'Department Listing'!$A:$A,'Department Listing'!$L:$L),""),$M498)</f>
        <v/>
      </c>
      <c r="Z498" s="11">
        <f>IF(ISBLANK($B498),"",MATCH($X498,COA!$B:$B,0))</f>
        <v/>
      </c>
    </row>
    <row r="499" ht="15.75" customHeight="1" s="52">
      <c r="B499" s="27" t="n"/>
      <c r="C499" s="10" t="n"/>
      <c r="D499" s="10" t="n"/>
      <c r="E499" s="28" t="n"/>
      <c r="F499" s="10" t="n"/>
      <c r="G499" s="10" t="n"/>
      <c r="H499" s="10" t="n"/>
      <c r="I499" s="9" t="n"/>
      <c r="J499" s="9" t="n"/>
      <c r="K499" s="9" t="n"/>
      <c r="L499" s="9" t="n"/>
      <c r="M499" s="9" t="n"/>
      <c r="N499" s="20" t="n"/>
      <c r="O499" s="20">
        <f>IF(C499="", "", TRIM(RIGHT(C499, LEN(C499) - FIND("@@", SUBSTITUTE(C499, "-", "@@", LEN(C499) - LEN(SUBSTITUTE(C499, "-", "")))))))</f>
        <v/>
      </c>
      <c r="P499" s="20">
        <f t="array" ref="P499">IFERROR(XLOOKUP(O499,'Department Listing'!$O$1:$O$395,'Department Listing'!$A$1:$A$395),IFERROR(XLOOKUP(O499,'Name Aliases'!$A$2:$A$1000,'Name Aliases'!$B$2:$B$1000),""))</f>
        <v/>
      </c>
      <c r="Q499" s="21">
        <f>IF(ISBLANK($C499),"",$B499)</f>
        <v/>
      </c>
      <c r="R499" s="20">
        <f>IF(ISBLANK($C499),"",IF(ISBLANK($I499),$D499,$I499))</f>
        <v/>
      </c>
      <c r="S499" s="22">
        <f>IF(ISBLANK($C499),"",$F499 - $G499)</f>
        <v/>
      </c>
      <c r="T499" s="20">
        <f>IF(ISBLANK($C499),"",C499)</f>
        <v/>
      </c>
      <c r="U499" s="20">
        <f>IF(ISBLANK($C499),"",$D$1)</f>
        <v/>
      </c>
      <c r="V499" s="22">
        <f t="array" ref="V499">IF(ISBLANK($B499),"",IF(ISBLANK($K499),IF(XLOOKUP($W499,'Category Mapping'!$C:$C,'Category Mapping'!$B:$B)="Travel",XLOOKUP($P499,'Department Listing'!$A:$A,'Department Listing'!$M:$M),XLOOKUP($W499,'Category Mapping'!$C:$C,'Category Mapping'!$D:$D)),$K499))</f>
        <v/>
      </c>
      <c r="W499" s="22">
        <f>IF(ISBLANK($B499),"",IF(ISBLANK($L499),RIGHT($E499,LEN($E499) - FIND("^",SUBSTITUTE($E499,":","^",LEN($E499) - LEN(SUBSTITUTE($E499,":",""))))),$L499))</f>
        <v/>
      </c>
      <c r="X499" s="22">
        <f>IF(ISBLANK($J499),$V499&amp;$W499,$J499)</f>
        <v/>
      </c>
      <c r="Y499" s="23">
        <f t="array" ref="Y499">IF(ISBLANK($M499),IFERROR(XLOOKUP($P499,'Department Listing'!$A:$A,'Department Listing'!$L:$L),""),$M499)</f>
        <v/>
      </c>
      <c r="Z499" s="11">
        <f>IF(ISBLANK($B499),"",MATCH($X499,COA!$B:$B,0))</f>
        <v/>
      </c>
    </row>
    <row r="500" ht="15.75" customHeight="1" s="52">
      <c r="B500" s="27" t="n"/>
      <c r="C500" s="10" t="n"/>
      <c r="D500" s="10" t="n"/>
      <c r="E500" s="28" t="n"/>
      <c r="F500" s="10" t="n"/>
      <c r="G500" s="10" t="n"/>
      <c r="H500" s="10" t="n"/>
      <c r="I500" s="9" t="n"/>
      <c r="J500" s="9" t="n"/>
      <c r="K500" s="9" t="n"/>
      <c r="L500" s="9" t="n"/>
      <c r="M500" s="9" t="n"/>
      <c r="N500" s="20" t="n"/>
      <c r="O500" s="20">
        <f>IF(C500="", "", TRIM(RIGHT(C500, LEN(C500) - FIND("@@", SUBSTITUTE(C500, "-", "@@", LEN(C500) - LEN(SUBSTITUTE(C500, "-", "")))))))</f>
        <v/>
      </c>
      <c r="P500" s="20">
        <f t="array" ref="P500">IFERROR(XLOOKUP(O500,'Department Listing'!$O$1:$O$395,'Department Listing'!$A$1:$A$395),IFERROR(XLOOKUP(O500,'Name Aliases'!$A$2:$A$1000,'Name Aliases'!$B$2:$B$1000),""))</f>
        <v/>
      </c>
      <c r="Q500" s="21">
        <f>IF(ISBLANK($C500),"",$B500)</f>
        <v/>
      </c>
      <c r="R500" s="20">
        <f>IF(ISBLANK($C500),"",IF(ISBLANK($I500),$D500,$I500))</f>
        <v/>
      </c>
      <c r="S500" s="22">
        <f>IF(ISBLANK($C500),"",$F500 - $G500)</f>
        <v/>
      </c>
      <c r="T500" s="20">
        <f>IF(ISBLANK($C500),"",C500)</f>
        <v/>
      </c>
      <c r="U500" s="20">
        <f>IF(ISBLANK($C500),"",$D$1)</f>
        <v/>
      </c>
      <c r="V500" s="22">
        <f t="array" ref="V500">IF(ISBLANK($B500),"",IF(ISBLANK($K500),IF(XLOOKUP($W500,'Category Mapping'!$C:$C,'Category Mapping'!$B:$B)="Travel",XLOOKUP($P500,'Department Listing'!$A:$A,'Department Listing'!$M:$M),XLOOKUP($W500,'Category Mapping'!$C:$C,'Category Mapping'!$D:$D)),$K500))</f>
        <v/>
      </c>
      <c r="W500" s="22">
        <f>IF(ISBLANK($B500),"",IF(ISBLANK($L500),RIGHT($E500,LEN($E500) - FIND("^",SUBSTITUTE($E500,":","^",LEN($E500) - LEN(SUBSTITUTE($E500,":",""))))),$L500))</f>
        <v/>
      </c>
      <c r="X500" s="22">
        <f>IF(ISBLANK($J500),$V500&amp;$W500,$J500)</f>
        <v/>
      </c>
      <c r="Y500" s="23">
        <f t="array" ref="Y500">IF(ISBLANK($M500),IFERROR(XLOOKUP($P500,'Department Listing'!$A:$A,'Department Listing'!$L:$L),""),$M500)</f>
        <v/>
      </c>
      <c r="Z500" s="11">
        <f>IF(ISBLANK($B500),"",MATCH($X500,COA!$B:$B,0))</f>
        <v/>
      </c>
    </row>
    <row r="501" ht="15.75" customHeight="1" s="52">
      <c r="B501" s="27" t="n"/>
      <c r="C501" s="10" t="n"/>
      <c r="D501" s="10" t="n"/>
      <c r="E501" s="28" t="n"/>
      <c r="F501" s="10" t="n"/>
      <c r="G501" s="10" t="n"/>
      <c r="H501" s="10" t="n"/>
      <c r="I501" s="9" t="n"/>
      <c r="J501" s="9" t="n"/>
      <c r="K501" s="9" t="n"/>
      <c r="L501" s="9" t="n"/>
      <c r="M501" s="9" t="n"/>
      <c r="N501" s="20" t="n"/>
      <c r="O501" s="20">
        <f>IF(C501="", "", TRIM(RIGHT(C501, LEN(C501) - FIND("@@", SUBSTITUTE(C501, "-", "@@", LEN(C501) - LEN(SUBSTITUTE(C501, "-", "")))))))</f>
        <v/>
      </c>
      <c r="P501" s="20">
        <f t="array" ref="P501">IFERROR(XLOOKUP(O501,'Department Listing'!$O$1:$O$395,'Department Listing'!$A$1:$A$395),IFERROR(XLOOKUP(O501,'Name Aliases'!$A$2:$A$1000,'Name Aliases'!$B$2:$B$1000),""))</f>
        <v/>
      </c>
      <c r="Q501" s="21">
        <f>IF(ISBLANK($C501),"",$B501)</f>
        <v/>
      </c>
      <c r="R501" s="20">
        <f>IF(ISBLANK($C501),"",IF(ISBLANK($I501),$D501,$I501))</f>
        <v/>
      </c>
      <c r="S501" s="22">
        <f>IF(ISBLANK($C501),"",$F501 - $G501)</f>
        <v/>
      </c>
      <c r="T501" s="20">
        <f>IF(ISBLANK($C501),"",C501)</f>
        <v/>
      </c>
      <c r="U501" s="20">
        <f>IF(ISBLANK($C501),"",$D$1)</f>
        <v/>
      </c>
      <c r="V501" s="22">
        <f t="array" ref="V501">IF(ISBLANK($B501),"",IF(ISBLANK($K501),IF(XLOOKUP($W501,'Category Mapping'!$C:$C,'Category Mapping'!$B:$B)="Travel",XLOOKUP($P501,'Department Listing'!$A:$A,'Department Listing'!$M:$M),XLOOKUP($W501,'Category Mapping'!$C:$C,'Category Mapping'!$D:$D)),$K501))</f>
        <v/>
      </c>
      <c r="W501" s="22">
        <f>IF(ISBLANK($B501),"",IF(ISBLANK($L501),RIGHT($E501,LEN($E501) - FIND("^",SUBSTITUTE($E501,":","^",LEN($E501) - LEN(SUBSTITUTE($E501,":",""))))),$L501))</f>
        <v/>
      </c>
      <c r="X501" s="22">
        <f>IF(ISBLANK($J501),$V501&amp;$W501,$J501)</f>
        <v/>
      </c>
      <c r="Y501" s="23">
        <f t="array" ref="Y501">IF(ISBLANK($M501),IFERROR(XLOOKUP($P501,'Department Listing'!$A:$A,'Department Listing'!$L:$L),""),$M501)</f>
        <v/>
      </c>
      <c r="Z501" s="11">
        <f>IF(ISBLANK($B501),"",MATCH($X501,COA!$B:$B,0))</f>
        <v/>
      </c>
    </row>
    <row r="502" ht="15.75" customHeight="1" s="52">
      <c r="B502" s="27" t="n"/>
      <c r="C502" s="10" t="n"/>
      <c r="D502" s="10" t="n"/>
      <c r="E502" s="28" t="n"/>
      <c r="F502" s="10" t="n"/>
      <c r="G502" s="10" t="n"/>
      <c r="H502" s="10" t="n"/>
      <c r="I502" s="9" t="n"/>
      <c r="J502" s="9" t="n"/>
      <c r="K502" s="9" t="n"/>
      <c r="L502" s="9" t="n"/>
      <c r="M502" s="9" t="n"/>
      <c r="N502" s="20" t="n"/>
      <c r="O502" s="20">
        <f>IF(C502="", "", TRIM(RIGHT(C502, LEN(C502) - FIND("@@", SUBSTITUTE(C502, "-", "@@", LEN(C502) - LEN(SUBSTITUTE(C502, "-", "")))))))</f>
        <v/>
      </c>
      <c r="P502" s="20">
        <f t="array" ref="P502">IFERROR(XLOOKUP(O502,'Department Listing'!$O$1:$O$395,'Department Listing'!$A$1:$A$395),IFERROR(XLOOKUP(O502,'Name Aliases'!$A$2:$A$1000,'Name Aliases'!$B$2:$B$1000),""))</f>
        <v/>
      </c>
      <c r="Q502" s="21">
        <f>IF(ISBLANK($C502),"",$B502)</f>
        <v/>
      </c>
      <c r="R502" s="20">
        <f>IF(ISBLANK($C502),"",IF(ISBLANK($I502),$D502,$I502))</f>
        <v/>
      </c>
      <c r="S502" s="22">
        <f>IF(ISBLANK($C502),"",$F502 - $G502)</f>
        <v/>
      </c>
      <c r="T502" s="20">
        <f>IF(ISBLANK($C502),"",C502)</f>
        <v/>
      </c>
      <c r="U502" s="20">
        <f>IF(ISBLANK($C502),"",$D$1)</f>
        <v/>
      </c>
      <c r="V502" s="22">
        <f t="array" ref="V502">IF(ISBLANK($B502),"",IF(ISBLANK($K502),IF(XLOOKUP($W502,'Category Mapping'!$C:$C,'Category Mapping'!$B:$B)="Travel",XLOOKUP($P502,'Department Listing'!$A:$A,'Department Listing'!$M:$M),XLOOKUP($W502,'Category Mapping'!$C:$C,'Category Mapping'!$D:$D)),$K502))</f>
        <v/>
      </c>
      <c r="W502" s="22">
        <f>IF(ISBLANK($B502),"",IF(ISBLANK($L502),RIGHT($E502,LEN($E502) - FIND("^",SUBSTITUTE($E502,":","^",LEN($E502) - LEN(SUBSTITUTE($E502,":",""))))),$L502))</f>
        <v/>
      </c>
      <c r="X502" s="22">
        <f>IF(ISBLANK($J502),$V502&amp;$W502,$J502)</f>
        <v/>
      </c>
      <c r="Y502" s="23">
        <f t="array" ref="Y502">IF(ISBLANK($M502),IFERROR(XLOOKUP($P502,'Department Listing'!$A:$A,'Department Listing'!$L:$L),""),$M502)</f>
        <v/>
      </c>
      <c r="Z502" s="11">
        <f>IF(ISBLANK($B502),"",MATCH($X502,COA!$B:$B,0))</f>
        <v/>
      </c>
    </row>
    <row r="503" ht="15.75" customHeight="1" s="52">
      <c r="B503" s="27" t="n"/>
      <c r="C503" s="10" t="n"/>
      <c r="D503" s="10" t="n"/>
      <c r="E503" s="28" t="n"/>
      <c r="F503" s="10" t="n"/>
      <c r="G503" s="10" t="n"/>
      <c r="H503" s="10" t="n"/>
      <c r="I503" s="9" t="n"/>
      <c r="J503" s="9" t="n"/>
      <c r="K503" s="9" t="n"/>
      <c r="L503" s="9" t="n"/>
      <c r="M503" s="9" t="n"/>
      <c r="N503" s="20" t="n"/>
      <c r="O503" s="20">
        <f>IF(C503="", "", TRIM(RIGHT(C503, LEN(C503) - FIND("@@", SUBSTITUTE(C503, "-", "@@", LEN(C503) - LEN(SUBSTITUTE(C503, "-", "")))))))</f>
        <v/>
      </c>
      <c r="P503" s="20">
        <f t="array" ref="P503">IFERROR(XLOOKUP(O503,'Department Listing'!$O$1:$O$395,'Department Listing'!$A$1:$A$395),IFERROR(XLOOKUP(O503,'Name Aliases'!$A$2:$A$1000,'Name Aliases'!$B$2:$B$1000),""))</f>
        <v/>
      </c>
      <c r="Q503" s="21">
        <f>IF(ISBLANK($C503),"",$B503)</f>
        <v/>
      </c>
      <c r="R503" s="20">
        <f>IF(ISBLANK($C503),"",IF(ISBLANK($I503),$D503,$I503))</f>
        <v/>
      </c>
      <c r="S503" s="22">
        <f>IF(ISBLANK($C503),"",$F503 - $G503)</f>
        <v/>
      </c>
      <c r="T503" s="20">
        <f>IF(ISBLANK($C503),"",C503)</f>
        <v/>
      </c>
      <c r="U503" s="20">
        <f>IF(ISBLANK($C503),"",$D$1)</f>
        <v/>
      </c>
      <c r="V503" s="22">
        <f t="array" ref="V503">IF(ISBLANK($B503),"",IF(ISBLANK($K503),IF(XLOOKUP($W503,'Category Mapping'!$C:$C,'Category Mapping'!$B:$B)="Travel",XLOOKUP($P503,'Department Listing'!$A:$A,'Department Listing'!$M:$M),XLOOKUP($W503,'Category Mapping'!$C:$C,'Category Mapping'!$D:$D)),$K503))</f>
        <v/>
      </c>
      <c r="W503" s="22">
        <f>IF(ISBLANK($B503),"",IF(ISBLANK($L503),RIGHT($E503,LEN($E503) - FIND("^",SUBSTITUTE($E503,":","^",LEN($E503) - LEN(SUBSTITUTE($E503,":",""))))),$L503))</f>
        <v/>
      </c>
      <c r="X503" s="22">
        <f>IF(ISBLANK($J503),$V503&amp;$W503,$J503)</f>
        <v/>
      </c>
      <c r="Y503" s="23">
        <f t="array" ref="Y503">IF(ISBLANK($M503),IFERROR(XLOOKUP($P503,'Department Listing'!$A:$A,'Department Listing'!$L:$L),""),$M503)</f>
        <v/>
      </c>
      <c r="Z503" s="11">
        <f>IF(ISBLANK($B503),"",MATCH($X503,COA!$B:$B,0))</f>
        <v/>
      </c>
    </row>
    <row r="504" ht="15.75" customHeight="1" s="52">
      <c r="B504" s="27" t="n"/>
      <c r="C504" s="10" t="n"/>
      <c r="D504" s="10" t="n"/>
      <c r="E504" s="28" t="n"/>
      <c r="F504" s="10" t="n"/>
      <c r="G504" s="10" t="n"/>
      <c r="H504" s="10" t="n"/>
      <c r="I504" s="9" t="n"/>
      <c r="J504" s="9" t="n"/>
      <c r="K504" s="9" t="n"/>
      <c r="L504" s="9" t="n"/>
      <c r="M504" s="9" t="n"/>
      <c r="N504" s="20" t="n"/>
      <c r="O504" s="20">
        <f>IF(C504="", "", TRIM(RIGHT(C504, LEN(C504) - FIND("@@", SUBSTITUTE(C504, "-", "@@", LEN(C504) - LEN(SUBSTITUTE(C504, "-", "")))))))</f>
        <v/>
      </c>
      <c r="P504" s="20">
        <f t="array" ref="P504">IFERROR(XLOOKUP(O504,'Department Listing'!$O$1:$O$395,'Department Listing'!$A$1:$A$395),IFERROR(XLOOKUP(O504,'Name Aliases'!$A$2:$A$1000,'Name Aliases'!$B$2:$B$1000),""))</f>
        <v/>
      </c>
      <c r="Q504" s="21">
        <f>IF(ISBLANK($C504),"",$B504)</f>
        <v/>
      </c>
      <c r="R504" s="20">
        <f>IF(ISBLANK($C504),"",IF(ISBLANK($I504),$D504,$I504))</f>
        <v/>
      </c>
      <c r="S504" s="22">
        <f>IF(ISBLANK($C504),"",$F504 - $G504)</f>
        <v/>
      </c>
      <c r="T504" s="20">
        <f>IF(ISBLANK($C504),"",C504)</f>
        <v/>
      </c>
      <c r="U504" s="20">
        <f>IF(ISBLANK($C504),"",$D$1)</f>
        <v/>
      </c>
      <c r="V504" s="22">
        <f t="array" ref="V504">IF(ISBLANK($B504),"",IF(ISBLANK($K504),IF(XLOOKUP($W504,'Category Mapping'!$C:$C,'Category Mapping'!$B:$B)="Travel",XLOOKUP($P504,'Department Listing'!$A:$A,'Department Listing'!$M:$M),XLOOKUP($W504,'Category Mapping'!$C:$C,'Category Mapping'!$D:$D)),$K504))</f>
        <v/>
      </c>
      <c r="W504" s="22">
        <f>IF(ISBLANK($B504),"",IF(ISBLANK($L504),RIGHT($E504,LEN($E504) - FIND("^",SUBSTITUTE($E504,":","^",LEN($E504) - LEN(SUBSTITUTE($E504,":",""))))),$L504))</f>
        <v/>
      </c>
      <c r="X504" s="22">
        <f>IF(ISBLANK($J504),$V504&amp;$W504,$J504)</f>
        <v/>
      </c>
      <c r="Y504" s="23">
        <f t="array" ref="Y504">IF(ISBLANK($M504),IFERROR(XLOOKUP($P504,'Department Listing'!$A:$A,'Department Listing'!$L:$L),""),$M504)</f>
        <v/>
      </c>
      <c r="Z504" s="11">
        <f>IF(ISBLANK($B504),"",MATCH($X504,COA!$B:$B,0))</f>
        <v/>
      </c>
    </row>
    <row r="505" ht="15.75" customHeight="1" s="52">
      <c r="B505" s="27" t="n"/>
      <c r="C505" s="10" t="n"/>
      <c r="D505" s="10" t="n"/>
      <c r="E505" s="28" t="n"/>
      <c r="F505" s="10" t="n"/>
      <c r="G505" s="10" t="n"/>
      <c r="H505" s="10" t="n"/>
      <c r="I505" s="9" t="n"/>
      <c r="J505" s="9" t="n"/>
      <c r="K505" s="9" t="n"/>
      <c r="L505" s="9" t="n"/>
      <c r="M505" s="9" t="n"/>
      <c r="N505" s="20" t="n"/>
      <c r="O505" s="20">
        <f>IF(C505="", "", TRIM(RIGHT(C505, LEN(C505) - FIND("@@", SUBSTITUTE(C505, "-", "@@", LEN(C505) - LEN(SUBSTITUTE(C505, "-", "")))))))</f>
        <v/>
      </c>
      <c r="P505" s="20">
        <f t="array" ref="P505">IFERROR(XLOOKUP(O505,'Department Listing'!$O$1:$O$395,'Department Listing'!$A$1:$A$395),IFERROR(XLOOKUP(O505,'Name Aliases'!$A$2:$A$1000,'Name Aliases'!$B$2:$B$1000),""))</f>
        <v/>
      </c>
      <c r="Q505" s="21">
        <f>IF(ISBLANK($C505),"",$B505)</f>
        <v/>
      </c>
      <c r="R505" s="20">
        <f>IF(ISBLANK($C505),"",IF(ISBLANK($I505),$D505,$I505))</f>
        <v/>
      </c>
      <c r="S505" s="22">
        <f>IF(ISBLANK($C505),"",$F505 - $G505)</f>
        <v/>
      </c>
      <c r="T505" s="20">
        <f>IF(ISBLANK($C505),"",C505)</f>
        <v/>
      </c>
      <c r="U505" s="20">
        <f>IF(ISBLANK($C505),"",$D$1)</f>
        <v/>
      </c>
      <c r="V505" s="22">
        <f t="array" ref="V505">IF(ISBLANK($B505),"",IF(ISBLANK($K505),IF(XLOOKUP($W505,'Category Mapping'!$C:$C,'Category Mapping'!$B:$B)="Travel",XLOOKUP($P505,'Department Listing'!$A:$A,'Department Listing'!$M:$M),XLOOKUP($W505,'Category Mapping'!$C:$C,'Category Mapping'!$D:$D)),$K505))</f>
        <v/>
      </c>
      <c r="W505" s="22">
        <f>IF(ISBLANK($B505),"",IF(ISBLANK($L505),RIGHT($E505,LEN($E505) - FIND("^",SUBSTITUTE($E505,":","^",LEN($E505) - LEN(SUBSTITUTE($E505,":",""))))),$L505))</f>
        <v/>
      </c>
      <c r="X505" s="22">
        <f>IF(ISBLANK($J505),$V505&amp;$W505,$J505)</f>
        <v/>
      </c>
      <c r="Y505" s="23">
        <f t="array" ref="Y505">IF(ISBLANK($M505),IFERROR(XLOOKUP($P505,'Department Listing'!$A:$A,'Department Listing'!$L:$L),""),$M505)</f>
        <v/>
      </c>
      <c r="Z505" s="11">
        <f>IF(ISBLANK($B505),"",MATCH($X505,COA!$B:$B,0))</f>
        <v/>
      </c>
    </row>
    <row r="506" ht="15.75" customHeight="1" s="52">
      <c r="B506" s="27" t="n"/>
      <c r="C506" s="10" t="n"/>
      <c r="D506" s="10" t="n"/>
      <c r="E506" s="28" t="n"/>
      <c r="F506" s="10" t="n"/>
      <c r="G506" s="10" t="n"/>
      <c r="H506" s="10" t="n"/>
      <c r="I506" s="9" t="n"/>
      <c r="J506" s="9" t="n"/>
      <c r="K506" s="9" t="n"/>
      <c r="L506" s="9" t="n"/>
      <c r="M506" s="9" t="n"/>
      <c r="N506" s="20" t="n"/>
      <c r="O506" s="20">
        <f>IF(C506="", "", TRIM(RIGHT(C506, LEN(C506) - FIND("@@", SUBSTITUTE(C506, "-", "@@", LEN(C506) - LEN(SUBSTITUTE(C506, "-", "")))))))</f>
        <v/>
      </c>
      <c r="P506" s="20">
        <f t="array" ref="P506">IFERROR(XLOOKUP(O506,'Department Listing'!$O$1:$O$395,'Department Listing'!$A$1:$A$395),IFERROR(XLOOKUP(O506,'Name Aliases'!$A$2:$A$1000,'Name Aliases'!$B$2:$B$1000),""))</f>
        <v/>
      </c>
      <c r="Q506" s="21">
        <f>IF(ISBLANK($C506),"",$B506)</f>
        <v/>
      </c>
      <c r="R506" s="20">
        <f>IF(ISBLANK($C506),"",IF(ISBLANK($I506),$D506,$I506))</f>
        <v/>
      </c>
      <c r="S506" s="22">
        <f>IF(ISBLANK($C506),"",$F506 - $G506)</f>
        <v/>
      </c>
      <c r="T506" s="20">
        <f>IF(ISBLANK($C506),"",C506)</f>
        <v/>
      </c>
      <c r="U506" s="20">
        <f>IF(ISBLANK($C506),"",$D$1)</f>
        <v/>
      </c>
      <c r="V506" s="22">
        <f t="array" ref="V506">IF(ISBLANK($B506),"",IF(ISBLANK($K506),IF(XLOOKUP($W506,'Category Mapping'!$C:$C,'Category Mapping'!$B:$B)="Travel",XLOOKUP($P506,'Department Listing'!$A:$A,'Department Listing'!$M:$M),XLOOKUP($W506,'Category Mapping'!$C:$C,'Category Mapping'!$D:$D)),$K506))</f>
        <v/>
      </c>
      <c r="W506" s="22">
        <f>IF(ISBLANK($B506),"",IF(ISBLANK($L506),RIGHT($E506,LEN($E506) - FIND("^",SUBSTITUTE($E506,":","^",LEN($E506) - LEN(SUBSTITUTE($E506,":",""))))),$L506))</f>
        <v/>
      </c>
      <c r="X506" s="22">
        <f>IF(ISBLANK($J506),$V506&amp;$W506,$J506)</f>
        <v/>
      </c>
      <c r="Y506" s="23">
        <f t="array" ref="Y506">IF(ISBLANK($M506),IFERROR(XLOOKUP($P506,'Department Listing'!$A:$A,'Department Listing'!$L:$L),""),$M506)</f>
        <v/>
      </c>
      <c r="Z506" s="11">
        <f>IF(ISBLANK($B506),"",MATCH($X506,COA!$B:$B,0))</f>
        <v/>
      </c>
    </row>
    <row r="507" ht="15.75" customHeight="1" s="52">
      <c r="B507" s="27" t="n"/>
      <c r="C507" s="10" t="n"/>
      <c r="D507" s="10" t="n"/>
      <c r="E507" s="28" t="n"/>
      <c r="F507" s="10" t="n"/>
      <c r="G507" s="10" t="n"/>
      <c r="H507" s="10" t="n"/>
      <c r="I507" s="9" t="n"/>
      <c r="J507" s="9" t="n"/>
      <c r="K507" s="9" t="n"/>
      <c r="L507" s="9" t="n"/>
      <c r="M507" s="9" t="n"/>
      <c r="N507" s="20" t="n"/>
      <c r="O507" s="20">
        <f>IF(C507="", "", TRIM(RIGHT(C507, LEN(C507) - FIND("@@", SUBSTITUTE(C507, "-", "@@", LEN(C507) - LEN(SUBSTITUTE(C507, "-", "")))))))</f>
        <v/>
      </c>
      <c r="P507" s="20">
        <f t="array" ref="P507">IFERROR(XLOOKUP(O507,'Department Listing'!$O$1:$O$395,'Department Listing'!$A$1:$A$395),IFERROR(XLOOKUP(O507,'Name Aliases'!$A$2:$A$1000,'Name Aliases'!$B$2:$B$1000),""))</f>
        <v/>
      </c>
      <c r="Q507" s="21">
        <f>IF(ISBLANK($C507),"",$B507)</f>
        <v/>
      </c>
      <c r="R507" s="20">
        <f>IF(ISBLANK($C507),"",IF(ISBLANK($I507),$D507,$I507))</f>
        <v/>
      </c>
      <c r="S507" s="22">
        <f>IF(ISBLANK($C507),"",$F507 - $G507)</f>
        <v/>
      </c>
      <c r="T507" s="20">
        <f>IF(ISBLANK($C507),"",C507)</f>
        <v/>
      </c>
      <c r="U507" s="20">
        <f>IF(ISBLANK($C507),"",$D$1)</f>
        <v/>
      </c>
      <c r="V507" s="22">
        <f t="array" ref="V507">IF(ISBLANK($B507),"",IF(ISBLANK($K507),IF(XLOOKUP($W507,'Category Mapping'!$C:$C,'Category Mapping'!$B:$B)="Travel",XLOOKUP($P507,'Department Listing'!$A:$A,'Department Listing'!$M:$M),XLOOKUP($W507,'Category Mapping'!$C:$C,'Category Mapping'!$D:$D)),$K507))</f>
        <v/>
      </c>
      <c r="W507" s="22">
        <f>IF(ISBLANK($B507),"",IF(ISBLANK($L507),RIGHT($E507,LEN($E507) - FIND("^",SUBSTITUTE($E507,":","^",LEN($E507) - LEN(SUBSTITUTE($E507,":",""))))),$L507))</f>
        <v/>
      </c>
      <c r="X507" s="22">
        <f>IF(ISBLANK($J507),$V507&amp;$W507,$J507)</f>
        <v/>
      </c>
      <c r="Y507" s="23">
        <f t="array" ref="Y507">IF(ISBLANK($M507),IFERROR(XLOOKUP($P507,'Department Listing'!$A:$A,'Department Listing'!$L:$L),""),$M507)</f>
        <v/>
      </c>
      <c r="Z507" s="11">
        <f>IF(ISBLANK($B507),"",MATCH($X507,COA!$B:$B,0))</f>
        <v/>
      </c>
    </row>
    <row r="508" ht="15.75" customHeight="1" s="52">
      <c r="B508" s="27" t="n"/>
      <c r="C508" s="10" t="n"/>
      <c r="D508" s="10" t="n"/>
      <c r="E508" s="28" t="n"/>
      <c r="F508" s="10" t="n"/>
      <c r="G508" s="10" t="n"/>
      <c r="H508" s="10" t="n"/>
      <c r="I508" s="9" t="n"/>
      <c r="J508" s="9" t="n"/>
      <c r="K508" s="9" t="n"/>
      <c r="L508" s="9" t="n"/>
      <c r="M508" s="9" t="n"/>
      <c r="N508" s="20" t="n"/>
      <c r="O508" s="20">
        <f>IF(C508="", "", TRIM(RIGHT(C508, LEN(C508) - FIND("@@", SUBSTITUTE(C508, "-", "@@", LEN(C508) - LEN(SUBSTITUTE(C508, "-", "")))))))</f>
        <v/>
      </c>
      <c r="P508" s="20">
        <f t="array" ref="P508">IFERROR(XLOOKUP(O508,'Department Listing'!$O$1:$O$395,'Department Listing'!$A$1:$A$395),IFERROR(XLOOKUP(O508,'Name Aliases'!$A$2:$A$1000,'Name Aliases'!$B$2:$B$1000),""))</f>
        <v/>
      </c>
      <c r="Q508" s="21">
        <f>IF(ISBLANK($C508),"",$B508)</f>
        <v/>
      </c>
      <c r="R508" s="20">
        <f>IF(ISBLANK($C508),"",IF(ISBLANK($I508),$D508,$I508))</f>
        <v/>
      </c>
      <c r="S508" s="22">
        <f>IF(ISBLANK($C508),"",$F508 - $G508)</f>
        <v/>
      </c>
      <c r="T508" s="20">
        <f>IF(ISBLANK($C508),"",C508)</f>
        <v/>
      </c>
      <c r="U508" s="20">
        <f>IF(ISBLANK($C508),"",$D$1)</f>
        <v/>
      </c>
      <c r="V508" s="22">
        <f t="array" ref="V508">IF(ISBLANK($B508),"",IF(ISBLANK($K508),IF(XLOOKUP($W508,'Category Mapping'!$C:$C,'Category Mapping'!$B:$B)="Travel",XLOOKUP($P508,'Department Listing'!$A:$A,'Department Listing'!$M:$M),XLOOKUP($W508,'Category Mapping'!$C:$C,'Category Mapping'!$D:$D)),$K508))</f>
        <v/>
      </c>
      <c r="W508" s="22">
        <f>IF(ISBLANK($B508),"",IF(ISBLANK($L508),RIGHT($E508,LEN($E508) - FIND("^",SUBSTITUTE($E508,":","^",LEN($E508) - LEN(SUBSTITUTE($E508,":",""))))),$L508))</f>
        <v/>
      </c>
      <c r="X508" s="22">
        <f>IF(ISBLANK($J508),$V508&amp;$W508,$J508)</f>
        <v/>
      </c>
      <c r="Y508" s="23">
        <f t="array" ref="Y508">IF(ISBLANK($M508),IFERROR(XLOOKUP($P508,'Department Listing'!$A:$A,'Department Listing'!$L:$L),""),$M508)</f>
        <v/>
      </c>
      <c r="Z508" s="11">
        <f>IF(ISBLANK($B508),"",MATCH($X508,COA!$B:$B,0))</f>
        <v/>
      </c>
    </row>
    <row r="509" ht="15.75" customHeight="1" s="52">
      <c r="B509" s="27" t="n"/>
      <c r="C509" s="10" t="n"/>
      <c r="D509" s="10" t="n"/>
      <c r="E509" s="28" t="n"/>
      <c r="F509" s="10" t="n"/>
      <c r="G509" s="10" t="n"/>
      <c r="H509" s="10" t="n"/>
      <c r="I509" s="9" t="n"/>
      <c r="J509" s="9" t="n"/>
      <c r="K509" s="9" t="n"/>
      <c r="L509" s="9" t="n"/>
      <c r="M509" s="9" t="n"/>
      <c r="N509" s="20" t="n"/>
      <c r="O509" s="20">
        <f>IF(C509="", "", TRIM(RIGHT(C509, LEN(C509) - FIND("@@", SUBSTITUTE(C509, "-", "@@", LEN(C509) - LEN(SUBSTITUTE(C509, "-", "")))))))</f>
        <v/>
      </c>
      <c r="P509" s="20">
        <f t="array" ref="P509">IFERROR(XLOOKUP(O509,'Department Listing'!$O$1:$O$395,'Department Listing'!$A$1:$A$395),IFERROR(XLOOKUP(O509,'Name Aliases'!$A$2:$A$1000,'Name Aliases'!$B$2:$B$1000),""))</f>
        <v/>
      </c>
      <c r="Q509" s="21">
        <f>IF(ISBLANK($C509),"",$B509)</f>
        <v/>
      </c>
      <c r="R509" s="20">
        <f>IF(ISBLANK($C509),"",IF(ISBLANK($I509),$D509,$I509))</f>
        <v/>
      </c>
      <c r="S509" s="22">
        <f>IF(ISBLANK($C509),"",$F509 - $G509)</f>
        <v/>
      </c>
      <c r="T509" s="20">
        <f>IF(ISBLANK($C509),"",C509)</f>
        <v/>
      </c>
      <c r="U509" s="20">
        <f>IF(ISBLANK($C509),"",$D$1)</f>
        <v/>
      </c>
      <c r="V509" s="22">
        <f t="array" ref="V509">IF(ISBLANK($B509),"",IF(ISBLANK($K509),IF(XLOOKUP($W509,'Category Mapping'!$C:$C,'Category Mapping'!$B:$B)="Travel",XLOOKUP($P509,'Department Listing'!$A:$A,'Department Listing'!$M:$M),XLOOKUP($W509,'Category Mapping'!$C:$C,'Category Mapping'!$D:$D)),$K509))</f>
        <v/>
      </c>
      <c r="W509" s="22">
        <f>IF(ISBLANK($B509),"",IF(ISBLANK($L509),RIGHT($E509,LEN($E509) - FIND("^",SUBSTITUTE($E509,":","^",LEN($E509) - LEN(SUBSTITUTE($E509,":",""))))),$L509))</f>
        <v/>
      </c>
      <c r="X509" s="22">
        <f>IF(ISBLANK($J509),$V509&amp;$W509,$J509)</f>
        <v/>
      </c>
      <c r="Y509" s="23">
        <f t="array" ref="Y509">IF(ISBLANK($M509),IFERROR(XLOOKUP($P509,'Department Listing'!$A:$A,'Department Listing'!$L:$L),""),$M509)</f>
        <v/>
      </c>
      <c r="Z509" s="11">
        <f>IF(ISBLANK($B509),"",MATCH($X509,COA!$B:$B,0))</f>
        <v/>
      </c>
    </row>
    <row r="510" ht="15.75" customHeight="1" s="52">
      <c r="B510" s="27" t="n"/>
      <c r="C510" s="10" t="n"/>
      <c r="D510" s="10" t="n"/>
      <c r="E510" s="28" t="n"/>
      <c r="F510" s="10" t="n"/>
      <c r="G510" s="10" t="n"/>
      <c r="H510" s="10" t="n"/>
      <c r="I510" s="9" t="n"/>
      <c r="J510" s="9" t="n"/>
      <c r="K510" s="9" t="n"/>
      <c r="L510" s="9" t="n"/>
      <c r="M510" s="9" t="n"/>
      <c r="N510" s="20" t="n"/>
      <c r="O510" s="20">
        <f>IF(C510="", "", TRIM(RIGHT(C510, LEN(C510) - FIND("@@", SUBSTITUTE(C510, "-", "@@", LEN(C510) - LEN(SUBSTITUTE(C510, "-", "")))))))</f>
        <v/>
      </c>
      <c r="P510" s="20">
        <f t="array" ref="P510">IFERROR(XLOOKUP(O510,'Department Listing'!$O$1:$O$395,'Department Listing'!$A$1:$A$395),IFERROR(XLOOKUP(O510,'Name Aliases'!$A$2:$A$1000,'Name Aliases'!$B$2:$B$1000),""))</f>
        <v/>
      </c>
      <c r="Q510" s="21">
        <f>IF(ISBLANK($C510),"",$B510)</f>
        <v/>
      </c>
      <c r="R510" s="20">
        <f>IF(ISBLANK($C510),"",IF(ISBLANK($I510),$D510,$I510))</f>
        <v/>
      </c>
      <c r="S510" s="22">
        <f>IF(ISBLANK($C510),"",$F510 - $G510)</f>
        <v/>
      </c>
      <c r="T510" s="20">
        <f>IF(ISBLANK($C510),"",C510)</f>
        <v/>
      </c>
      <c r="U510" s="20">
        <f>IF(ISBLANK($C510),"",$D$1)</f>
        <v/>
      </c>
      <c r="V510" s="22">
        <f t="array" ref="V510">IF(ISBLANK($B510),"",IF(ISBLANK($K510),IF(XLOOKUP($W510,'Category Mapping'!$C:$C,'Category Mapping'!$B:$B)="Travel",XLOOKUP($P510,'Department Listing'!$A:$A,'Department Listing'!$M:$M),XLOOKUP($W510,'Category Mapping'!$C:$C,'Category Mapping'!$D:$D)),$K510))</f>
        <v/>
      </c>
      <c r="W510" s="22">
        <f>IF(ISBLANK($B510),"",IF(ISBLANK($L510),RIGHT($E510,LEN($E510) - FIND("^",SUBSTITUTE($E510,":","^",LEN($E510) - LEN(SUBSTITUTE($E510,":",""))))),$L510))</f>
        <v/>
      </c>
      <c r="X510" s="22">
        <f>IF(ISBLANK($J510),$V510&amp;$W510,$J510)</f>
        <v/>
      </c>
      <c r="Y510" s="23">
        <f t="array" ref="Y510">IF(ISBLANK($M510),IFERROR(XLOOKUP($P510,'Department Listing'!$A:$A,'Department Listing'!$L:$L),""),$M510)</f>
        <v/>
      </c>
      <c r="Z510" s="11">
        <f>IF(ISBLANK($B510),"",MATCH($X510,COA!$B:$B,0))</f>
        <v/>
      </c>
    </row>
    <row r="511" ht="15.75" customHeight="1" s="52">
      <c r="B511" s="27" t="n"/>
      <c r="C511" s="10" t="n"/>
      <c r="D511" s="10" t="n"/>
      <c r="E511" s="28" t="n"/>
      <c r="F511" s="10" t="n"/>
      <c r="G511" s="10" t="n"/>
      <c r="H511" s="10" t="n"/>
      <c r="I511" s="9" t="n"/>
      <c r="J511" s="9" t="n"/>
      <c r="K511" s="9" t="n"/>
      <c r="L511" s="9" t="n"/>
      <c r="M511" s="9" t="n"/>
      <c r="N511" s="20" t="n"/>
      <c r="O511" s="20">
        <f>IF(C511="", "", TRIM(RIGHT(C511, LEN(C511) - FIND("@@", SUBSTITUTE(C511, "-", "@@", LEN(C511) - LEN(SUBSTITUTE(C511, "-", "")))))))</f>
        <v/>
      </c>
      <c r="P511" s="20">
        <f t="array" ref="P511">IFERROR(XLOOKUP(O511,'Department Listing'!$O$1:$O$395,'Department Listing'!$A$1:$A$395),IFERROR(XLOOKUP(O511,'Name Aliases'!$A$2:$A$1000,'Name Aliases'!$B$2:$B$1000),""))</f>
        <v/>
      </c>
      <c r="Q511" s="21">
        <f>IF(ISBLANK($C511),"",$B511)</f>
        <v/>
      </c>
      <c r="R511" s="20">
        <f>IF(ISBLANK($C511),"",IF(ISBLANK($I511),$D511,$I511))</f>
        <v/>
      </c>
      <c r="S511" s="22">
        <f>IF(ISBLANK($C511),"",$F511 - $G511)</f>
        <v/>
      </c>
      <c r="T511" s="20">
        <f>IF(ISBLANK($C511),"",C511)</f>
        <v/>
      </c>
      <c r="U511" s="20">
        <f>IF(ISBLANK($C511),"",$D$1)</f>
        <v/>
      </c>
      <c r="V511" s="22">
        <f t="array" ref="V511">IF(ISBLANK($B511),"",IF(ISBLANK($K511),IF(XLOOKUP($W511,'Category Mapping'!$C:$C,'Category Mapping'!$B:$B)="Travel",XLOOKUP($P511,'Department Listing'!$A:$A,'Department Listing'!$M:$M),XLOOKUP($W511,'Category Mapping'!$C:$C,'Category Mapping'!$D:$D)),$K511))</f>
        <v/>
      </c>
      <c r="W511" s="22">
        <f>IF(ISBLANK($B511),"",IF(ISBLANK($L511),RIGHT($E511,LEN($E511) - FIND("^",SUBSTITUTE($E511,":","^",LEN($E511) - LEN(SUBSTITUTE($E511,":",""))))),$L511))</f>
        <v/>
      </c>
      <c r="X511" s="22">
        <f>IF(ISBLANK($J511),$V511&amp;$W511,$J511)</f>
        <v/>
      </c>
      <c r="Y511" s="23">
        <f t="array" ref="Y511">IF(ISBLANK($M511),IFERROR(XLOOKUP($P511,'Department Listing'!$A:$A,'Department Listing'!$L:$L),""),$M511)</f>
        <v/>
      </c>
      <c r="Z511" s="11">
        <f>IF(ISBLANK($B511),"",MATCH($X511,COA!$B:$B,0))</f>
        <v/>
      </c>
    </row>
    <row r="512" ht="15.75" customHeight="1" s="52">
      <c r="B512" s="27" t="n"/>
      <c r="C512" s="10" t="n"/>
      <c r="D512" s="10" t="n"/>
      <c r="E512" s="28" t="n"/>
      <c r="F512" s="10" t="n"/>
      <c r="G512" s="10" t="n"/>
      <c r="H512" s="10" t="n"/>
      <c r="I512" s="9" t="n"/>
      <c r="J512" s="9" t="n"/>
      <c r="K512" s="9" t="n"/>
      <c r="L512" s="9" t="n"/>
      <c r="M512" s="9" t="n"/>
      <c r="N512" s="20" t="n"/>
      <c r="O512" s="20">
        <f>IF(C512="", "", TRIM(RIGHT(C512, LEN(C512) - FIND("@@", SUBSTITUTE(C512, "-", "@@", LEN(C512) - LEN(SUBSTITUTE(C512, "-", "")))))))</f>
        <v/>
      </c>
      <c r="P512" s="20">
        <f t="array" ref="P512">IFERROR(XLOOKUP(O512,'Department Listing'!$O$1:$O$395,'Department Listing'!$A$1:$A$395),IFERROR(XLOOKUP(O512,'Name Aliases'!$A$2:$A$1000,'Name Aliases'!$B$2:$B$1000),""))</f>
        <v/>
      </c>
      <c r="Q512" s="21">
        <f>IF(ISBLANK($C512),"",$B512)</f>
        <v/>
      </c>
      <c r="R512" s="20">
        <f>IF(ISBLANK($C512),"",IF(ISBLANK($I512),$D512,$I512))</f>
        <v/>
      </c>
      <c r="S512" s="22">
        <f>IF(ISBLANK($C512),"",$F512 - $G512)</f>
        <v/>
      </c>
      <c r="T512" s="20">
        <f>IF(ISBLANK($C512),"",C512)</f>
        <v/>
      </c>
      <c r="U512" s="20">
        <f>IF(ISBLANK($C512),"",$D$1)</f>
        <v/>
      </c>
      <c r="V512" s="22">
        <f t="array" ref="V512">IF(ISBLANK($B512),"",IF(ISBLANK($K512),IF(XLOOKUP($W512,'Category Mapping'!$C:$C,'Category Mapping'!$B:$B)="Travel",XLOOKUP($P512,'Department Listing'!$A:$A,'Department Listing'!$M:$M),XLOOKUP($W512,'Category Mapping'!$C:$C,'Category Mapping'!$D:$D)),$K512))</f>
        <v/>
      </c>
      <c r="W512" s="22">
        <f>IF(ISBLANK($B512),"",IF(ISBLANK($L512),RIGHT($E512,LEN($E512) - FIND("^",SUBSTITUTE($E512,":","^",LEN($E512) - LEN(SUBSTITUTE($E512,":",""))))),$L512))</f>
        <v/>
      </c>
      <c r="X512" s="22">
        <f>IF(ISBLANK($J512),$V512&amp;$W512,$J512)</f>
        <v/>
      </c>
      <c r="Y512" s="23">
        <f t="array" ref="Y512">IF(ISBLANK($M512),IFERROR(XLOOKUP($P512,'Department Listing'!$A:$A,'Department Listing'!$L:$L),""),$M512)</f>
        <v/>
      </c>
      <c r="Z512" s="11">
        <f>IF(ISBLANK($B512),"",MATCH($X512,COA!$B:$B,0))</f>
        <v/>
      </c>
    </row>
    <row r="513" ht="15.75" customHeight="1" s="52">
      <c r="B513" s="27" t="n"/>
      <c r="C513" s="10" t="n"/>
      <c r="D513" s="10" t="n"/>
      <c r="E513" s="28" t="n"/>
      <c r="F513" s="10" t="n"/>
      <c r="G513" s="10" t="n"/>
      <c r="H513" s="10" t="n"/>
      <c r="I513" s="9" t="n"/>
      <c r="J513" s="9" t="n"/>
      <c r="K513" s="9" t="n"/>
      <c r="L513" s="9" t="n"/>
      <c r="M513" s="9" t="n"/>
      <c r="N513" s="20" t="n"/>
      <c r="O513" s="20">
        <f>IF(C513="", "", TRIM(RIGHT(C513, LEN(C513) - FIND("@@", SUBSTITUTE(C513, "-", "@@", LEN(C513) - LEN(SUBSTITUTE(C513, "-", "")))))))</f>
        <v/>
      </c>
      <c r="P513" s="20">
        <f t="array" ref="P513">IFERROR(XLOOKUP(O513,'Department Listing'!$O$1:$O$395,'Department Listing'!$A$1:$A$395),IFERROR(XLOOKUP(O513,'Name Aliases'!$A$2:$A$1000,'Name Aliases'!$B$2:$B$1000),""))</f>
        <v/>
      </c>
      <c r="Q513" s="21">
        <f>IF(ISBLANK($C513),"",$B513)</f>
        <v/>
      </c>
      <c r="R513" s="20">
        <f>IF(ISBLANK($C513),"",IF(ISBLANK($I513),$D513,$I513))</f>
        <v/>
      </c>
      <c r="S513" s="22">
        <f>IF(ISBLANK($C513),"",$F513 - $G513)</f>
        <v/>
      </c>
      <c r="T513" s="20">
        <f>IF(ISBLANK($C513),"",C513)</f>
        <v/>
      </c>
      <c r="U513" s="20">
        <f>IF(ISBLANK($C513),"",$D$1)</f>
        <v/>
      </c>
      <c r="V513" s="22">
        <f t="array" ref="V513">IF(ISBLANK($B513),"",IF(ISBLANK($K513),IF(XLOOKUP($W513,'Category Mapping'!$C:$C,'Category Mapping'!$B:$B)="Travel",XLOOKUP($P513,'Department Listing'!$A:$A,'Department Listing'!$M:$M),XLOOKUP($W513,'Category Mapping'!$C:$C,'Category Mapping'!$D:$D)),$K513))</f>
        <v/>
      </c>
      <c r="W513" s="22">
        <f>IF(ISBLANK($B513),"",IF(ISBLANK($L513),RIGHT($E513,LEN($E513) - FIND("^",SUBSTITUTE($E513,":","^",LEN($E513) - LEN(SUBSTITUTE($E513,":",""))))),$L513))</f>
        <v/>
      </c>
      <c r="X513" s="22">
        <f>IF(ISBLANK($J513),$V513&amp;$W513,$J513)</f>
        <v/>
      </c>
      <c r="Y513" s="23">
        <f t="array" ref="Y513">IF(ISBLANK($M513),IFERROR(XLOOKUP($P513,'Department Listing'!$A:$A,'Department Listing'!$L:$L),""),$M513)</f>
        <v/>
      </c>
      <c r="Z513" s="11">
        <f>IF(ISBLANK($B513),"",MATCH($X513,COA!$B:$B,0))</f>
        <v/>
      </c>
    </row>
    <row r="514" ht="15.75" customHeight="1" s="52">
      <c r="B514" s="27" t="n"/>
      <c r="C514" s="10" t="n"/>
      <c r="D514" s="10" t="n"/>
      <c r="E514" s="28" t="n"/>
      <c r="F514" s="10" t="n"/>
      <c r="G514" s="10" t="n"/>
      <c r="H514" s="10" t="n"/>
      <c r="I514" s="9" t="n"/>
      <c r="J514" s="9" t="n"/>
      <c r="K514" s="9" t="n"/>
      <c r="L514" s="9" t="n"/>
      <c r="M514" s="9" t="n"/>
      <c r="N514" s="20" t="n"/>
      <c r="O514" s="20">
        <f>IF(C514="", "", TRIM(RIGHT(C514, LEN(C514) - FIND("@@", SUBSTITUTE(C514, "-", "@@", LEN(C514) - LEN(SUBSTITUTE(C514, "-", "")))))))</f>
        <v/>
      </c>
      <c r="P514" s="20">
        <f t="array" ref="P514">IFERROR(XLOOKUP(O514,'Department Listing'!$O$1:$O$395,'Department Listing'!$A$1:$A$395),IFERROR(XLOOKUP(O514,'Name Aliases'!$A$2:$A$1000,'Name Aliases'!$B$2:$B$1000),""))</f>
        <v/>
      </c>
      <c r="Q514" s="21">
        <f>IF(ISBLANK($C514),"",$B514)</f>
        <v/>
      </c>
      <c r="R514" s="20">
        <f>IF(ISBLANK($C514),"",IF(ISBLANK($I514),$D514,$I514))</f>
        <v/>
      </c>
      <c r="S514" s="22">
        <f>IF(ISBLANK($C514),"",$F514 - $G514)</f>
        <v/>
      </c>
      <c r="T514" s="20">
        <f>IF(ISBLANK($C514),"",C514)</f>
        <v/>
      </c>
      <c r="U514" s="20">
        <f>IF(ISBLANK($C514),"",$D$1)</f>
        <v/>
      </c>
      <c r="V514" s="22">
        <f t="array" ref="V514">IF(ISBLANK($B514),"",IF(ISBLANK($K514),IF(XLOOKUP($W514,'Category Mapping'!$C:$C,'Category Mapping'!$B:$B)="Travel",XLOOKUP($P514,'Department Listing'!$A:$A,'Department Listing'!$M:$M),XLOOKUP($W514,'Category Mapping'!$C:$C,'Category Mapping'!$D:$D)),$K514))</f>
        <v/>
      </c>
      <c r="W514" s="22">
        <f>IF(ISBLANK($B514),"",IF(ISBLANK($L514),RIGHT($E514,LEN($E514) - FIND("^",SUBSTITUTE($E514,":","^",LEN($E514) - LEN(SUBSTITUTE($E514,":",""))))),$L514))</f>
        <v/>
      </c>
      <c r="X514" s="22">
        <f>IF(ISBLANK($J514),$V514&amp;$W514,$J514)</f>
        <v/>
      </c>
      <c r="Y514" s="23">
        <f t="array" ref="Y514">IF(ISBLANK($M514),IFERROR(XLOOKUP($P514,'Department Listing'!$A:$A,'Department Listing'!$L:$L),""),$M514)</f>
        <v/>
      </c>
      <c r="Z514" s="11">
        <f>IF(ISBLANK($B514),"",MATCH($X514,COA!$B:$B,0))</f>
        <v/>
      </c>
    </row>
    <row r="515" ht="15.75" customHeight="1" s="52">
      <c r="B515" s="27" t="n"/>
      <c r="C515" s="10" t="n"/>
      <c r="D515" s="10" t="n"/>
      <c r="E515" s="28" t="n"/>
      <c r="F515" s="10" t="n"/>
      <c r="G515" s="10" t="n"/>
      <c r="H515" s="10" t="n"/>
      <c r="I515" s="9" t="n"/>
      <c r="J515" s="9" t="n"/>
      <c r="K515" s="9" t="n"/>
      <c r="L515" s="9" t="n"/>
      <c r="M515" s="9" t="n"/>
      <c r="N515" s="20" t="n"/>
      <c r="O515" s="20">
        <f>IF(C515="", "", TRIM(RIGHT(C515, LEN(C515) - FIND("@@", SUBSTITUTE(C515, "-", "@@", LEN(C515) - LEN(SUBSTITUTE(C515, "-", "")))))))</f>
        <v/>
      </c>
      <c r="P515" s="20">
        <f t="array" ref="P515">IFERROR(XLOOKUP(O515,'Department Listing'!$O$1:$O$395,'Department Listing'!$A$1:$A$395),IFERROR(XLOOKUP(O515,'Name Aliases'!$A$2:$A$1000,'Name Aliases'!$B$2:$B$1000),""))</f>
        <v/>
      </c>
      <c r="Q515" s="21">
        <f>IF(ISBLANK($C515),"",$B515)</f>
        <v/>
      </c>
      <c r="R515" s="20">
        <f>IF(ISBLANK($C515),"",IF(ISBLANK($I515),$D515,$I515))</f>
        <v/>
      </c>
      <c r="S515" s="22">
        <f>IF(ISBLANK($C515),"",$F515 - $G515)</f>
        <v/>
      </c>
      <c r="T515" s="20">
        <f>IF(ISBLANK($C515),"",C515)</f>
        <v/>
      </c>
      <c r="U515" s="20">
        <f>IF(ISBLANK($C515),"",$D$1)</f>
        <v/>
      </c>
      <c r="V515" s="22">
        <f t="array" ref="V515">IF(ISBLANK($B515),"",IF(ISBLANK($K515),IF(XLOOKUP($W515,'Category Mapping'!$C:$C,'Category Mapping'!$B:$B)="Travel",XLOOKUP($P515,'Department Listing'!$A:$A,'Department Listing'!$M:$M),XLOOKUP($W515,'Category Mapping'!$C:$C,'Category Mapping'!$D:$D)),$K515))</f>
        <v/>
      </c>
      <c r="W515" s="22">
        <f>IF(ISBLANK($B515),"",IF(ISBLANK($L515),RIGHT($E515,LEN($E515) - FIND("^",SUBSTITUTE($E515,":","^",LEN($E515) - LEN(SUBSTITUTE($E515,":",""))))),$L515))</f>
        <v/>
      </c>
      <c r="X515" s="22">
        <f>IF(ISBLANK($J515),$V515&amp;$W515,$J515)</f>
        <v/>
      </c>
      <c r="Y515" s="23">
        <f t="array" ref="Y515">IF(ISBLANK($M515),IFERROR(XLOOKUP($P515,'Department Listing'!$A:$A,'Department Listing'!$L:$L),""),$M515)</f>
        <v/>
      </c>
      <c r="Z515" s="11">
        <f>IF(ISBLANK($B515),"",MATCH($X515,COA!$B:$B,0))</f>
        <v/>
      </c>
    </row>
    <row r="516" ht="15.75" customHeight="1" s="52">
      <c r="B516" s="27" t="n"/>
      <c r="C516" s="10" t="n"/>
      <c r="D516" s="10" t="n"/>
      <c r="E516" s="28" t="n"/>
      <c r="F516" s="10" t="n"/>
      <c r="G516" s="10" t="n"/>
      <c r="H516" s="10" t="n"/>
      <c r="I516" s="9" t="n"/>
      <c r="J516" s="9" t="n"/>
      <c r="K516" s="9" t="n"/>
      <c r="L516" s="9" t="n"/>
      <c r="M516" s="9" t="n"/>
      <c r="N516" s="20" t="n"/>
      <c r="O516" s="20">
        <f>IF(C516="", "", TRIM(RIGHT(C516, LEN(C516) - FIND("@@", SUBSTITUTE(C516, "-", "@@", LEN(C516) - LEN(SUBSTITUTE(C516, "-", "")))))))</f>
        <v/>
      </c>
      <c r="P516" s="20">
        <f t="array" ref="P516">IFERROR(XLOOKUP(O516,'Department Listing'!$O$1:$O$395,'Department Listing'!$A$1:$A$395),IFERROR(XLOOKUP(O516,'Name Aliases'!$A$2:$A$1000,'Name Aliases'!$B$2:$B$1000),""))</f>
        <v/>
      </c>
      <c r="Q516" s="21">
        <f>IF(ISBLANK($C516),"",$B516)</f>
        <v/>
      </c>
      <c r="R516" s="20">
        <f>IF(ISBLANK($C516),"",IF(ISBLANK($I516),$D516,$I516))</f>
        <v/>
      </c>
      <c r="S516" s="22">
        <f>IF(ISBLANK($C516),"",$F516 - $G516)</f>
        <v/>
      </c>
      <c r="T516" s="20">
        <f>IF(ISBLANK($C516),"",C516)</f>
        <v/>
      </c>
      <c r="U516" s="20">
        <f>IF(ISBLANK($C516),"",$D$1)</f>
        <v/>
      </c>
      <c r="V516" s="22">
        <f t="array" ref="V516">IF(ISBLANK($B516),"",IF(ISBLANK($K516),IF(XLOOKUP($W516,'Category Mapping'!$C:$C,'Category Mapping'!$B:$B)="Travel",XLOOKUP($P516,'Department Listing'!$A:$A,'Department Listing'!$M:$M),XLOOKUP($W516,'Category Mapping'!$C:$C,'Category Mapping'!$D:$D)),$K516))</f>
        <v/>
      </c>
      <c r="W516" s="22">
        <f>IF(ISBLANK($B516),"",IF(ISBLANK($L516),RIGHT($E516,LEN($E516) - FIND("^",SUBSTITUTE($E516,":","^",LEN($E516) - LEN(SUBSTITUTE($E516,":",""))))),$L516))</f>
        <v/>
      </c>
      <c r="X516" s="22">
        <f>IF(ISBLANK($J516),$V516&amp;$W516,$J516)</f>
        <v/>
      </c>
      <c r="Y516" s="23">
        <f t="array" ref="Y516">IF(ISBLANK($M516),IFERROR(XLOOKUP($P516,'Department Listing'!$A:$A,'Department Listing'!$L:$L),""),$M516)</f>
        <v/>
      </c>
      <c r="Z516" s="11">
        <f>IF(ISBLANK($B516),"",MATCH($X516,COA!$B:$B,0))</f>
        <v/>
      </c>
    </row>
    <row r="517" ht="15.75" customHeight="1" s="52">
      <c r="B517" s="27" t="n"/>
      <c r="C517" s="10" t="n"/>
      <c r="D517" s="10" t="n"/>
      <c r="E517" s="28" t="n"/>
      <c r="F517" s="10" t="n"/>
      <c r="G517" s="10" t="n"/>
      <c r="H517" s="10" t="n"/>
      <c r="I517" s="9" t="n"/>
      <c r="J517" s="9" t="n"/>
      <c r="K517" s="9" t="n"/>
      <c r="L517" s="9" t="n"/>
      <c r="M517" s="9" t="n"/>
      <c r="N517" s="20" t="n"/>
      <c r="O517" s="20">
        <f>IF(C517="", "", TRIM(RIGHT(C517, LEN(C517) - FIND("@@", SUBSTITUTE(C517, "-", "@@", LEN(C517) - LEN(SUBSTITUTE(C517, "-", "")))))))</f>
        <v/>
      </c>
      <c r="P517" s="20">
        <f t="array" ref="P517">IFERROR(XLOOKUP(O517,'Department Listing'!$O$1:$O$395,'Department Listing'!$A$1:$A$395),IFERROR(XLOOKUP(O517,'Name Aliases'!$A$2:$A$1000,'Name Aliases'!$B$2:$B$1000),""))</f>
        <v/>
      </c>
      <c r="Q517" s="21">
        <f>IF(ISBLANK($C517),"",$B517)</f>
        <v/>
      </c>
      <c r="R517" s="20">
        <f>IF(ISBLANK($C517),"",IF(ISBLANK($I517),$D517,$I517))</f>
        <v/>
      </c>
      <c r="S517" s="22">
        <f>IF(ISBLANK($C517),"",$F517 - $G517)</f>
        <v/>
      </c>
      <c r="T517" s="20">
        <f>IF(ISBLANK($C517),"",C517)</f>
        <v/>
      </c>
      <c r="U517" s="20">
        <f>IF(ISBLANK($C517),"",$D$1)</f>
        <v/>
      </c>
      <c r="V517" s="22">
        <f t="array" ref="V517">IF(ISBLANK($B517),"",IF(ISBLANK($K517),IF(XLOOKUP($W517,'Category Mapping'!$C:$C,'Category Mapping'!$B:$B)="Travel",XLOOKUP($P517,'Department Listing'!$A:$A,'Department Listing'!$M:$M),XLOOKUP($W517,'Category Mapping'!$C:$C,'Category Mapping'!$D:$D)),$K517))</f>
        <v/>
      </c>
      <c r="W517" s="22">
        <f>IF(ISBLANK($B517),"",IF(ISBLANK($L517),RIGHT($E517,LEN($E517) - FIND("^",SUBSTITUTE($E517,":","^",LEN($E517) - LEN(SUBSTITUTE($E517,":",""))))),$L517))</f>
        <v/>
      </c>
      <c r="X517" s="22">
        <f>IF(ISBLANK($J517),$V517&amp;$W517,$J517)</f>
        <v/>
      </c>
      <c r="Y517" s="23">
        <f t="array" ref="Y517">IF(ISBLANK($M517),IFERROR(XLOOKUP($P517,'Department Listing'!$A:$A,'Department Listing'!$L:$L),""),$M517)</f>
        <v/>
      </c>
      <c r="Z517" s="11">
        <f>IF(ISBLANK($B517),"",MATCH($X517,COA!$B:$B,0))</f>
        <v/>
      </c>
    </row>
    <row r="518" ht="15.75" customHeight="1" s="52">
      <c r="B518" s="27" t="n"/>
      <c r="C518" s="10" t="n"/>
      <c r="D518" s="10" t="n"/>
      <c r="E518" s="28" t="n"/>
      <c r="F518" s="10" t="n"/>
      <c r="G518" s="10" t="n"/>
      <c r="H518" s="10" t="n"/>
      <c r="I518" s="9" t="n"/>
      <c r="J518" s="9" t="n"/>
      <c r="K518" s="9" t="n"/>
      <c r="L518" s="9" t="n"/>
      <c r="M518" s="9" t="n"/>
      <c r="N518" s="20" t="n"/>
      <c r="O518" s="20">
        <f>IF(C518="", "", TRIM(RIGHT(C518, LEN(C518) - FIND("@@", SUBSTITUTE(C518, "-", "@@", LEN(C518) - LEN(SUBSTITUTE(C518, "-", "")))))))</f>
        <v/>
      </c>
      <c r="P518" s="20">
        <f t="array" ref="P518">IFERROR(XLOOKUP(O518,'Department Listing'!$O$1:$O$395,'Department Listing'!$A$1:$A$395),IFERROR(XLOOKUP(O518,'Name Aliases'!$A$2:$A$1000,'Name Aliases'!$B$2:$B$1000),""))</f>
        <v/>
      </c>
      <c r="Q518" s="21">
        <f>IF(ISBLANK($C518),"",$B518)</f>
        <v/>
      </c>
      <c r="R518" s="20">
        <f>IF(ISBLANK($C518),"",IF(ISBLANK($I518),$D518,$I518))</f>
        <v/>
      </c>
      <c r="S518" s="22">
        <f>IF(ISBLANK($C518),"",$F518 - $G518)</f>
        <v/>
      </c>
      <c r="T518" s="20">
        <f>IF(ISBLANK($C518),"",C518)</f>
        <v/>
      </c>
      <c r="U518" s="20">
        <f>IF(ISBLANK($C518),"",$D$1)</f>
        <v/>
      </c>
      <c r="V518" s="22">
        <f t="array" ref="V518">IF(ISBLANK($B518),"",IF(ISBLANK($K518),IF(XLOOKUP($W518,'Category Mapping'!$C:$C,'Category Mapping'!$B:$B)="Travel",XLOOKUP($P518,'Department Listing'!$A:$A,'Department Listing'!$M:$M),XLOOKUP($W518,'Category Mapping'!$C:$C,'Category Mapping'!$D:$D)),$K518))</f>
        <v/>
      </c>
      <c r="W518" s="22">
        <f>IF(ISBLANK($B518),"",IF(ISBLANK($L518),RIGHT($E518,LEN($E518) - FIND("^",SUBSTITUTE($E518,":","^",LEN($E518) - LEN(SUBSTITUTE($E518,":",""))))),$L518))</f>
        <v/>
      </c>
      <c r="X518" s="22">
        <f>IF(ISBLANK($J518),$V518&amp;$W518,$J518)</f>
        <v/>
      </c>
      <c r="Y518" s="23">
        <f t="array" ref="Y518">IF(ISBLANK($M518),IFERROR(XLOOKUP($P518,'Department Listing'!$A:$A,'Department Listing'!$L:$L),""),$M518)</f>
        <v/>
      </c>
      <c r="Z518" s="11">
        <f>IF(ISBLANK($B518),"",MATCH($X518,COA!$B:$B,0))</f>
        <v/>
      </c>
    </row>
    <row r="519" ht="15.75" customHeight="1" s="52">
      <c r="B519" s="27" t="n"/>
      <c r="C519" s="10" t="n"/>
      <c r="D519" s="10" t="n"/>
      <c r="E519" s="28" t="n"/>
      <c r="F519" s="10" t="n"/>
      <c r="G519" s="10" t="n"/>
      <c r="H519" s="10" t="n"/>
      <c r="I519" s="9" t="n"/>
      <c r="J519" s="9" t="n"/>
      <c r="K519" s="9" t="n"/>
      <c r="L519" s="9" t="n"/>
      <c r="M519" s="9" t="n"/>
      <c r="N519" s="20" t="n"/>
      <c r="O519" s="20">
        <f>IF(C519="", "", TRIM(RIGHT(C519, LEN(C519) - FIND("@@", SUBSTITUTE(C519, "-", "@@", LEN(C519) - LEN(SUBSTITUTE(C519, "-", "")))))))</f>
        <v/>
      </c>
      <c r="P519" s="20">
        <f t="array" ref="P519">IFERROR(XLOOKUP(O519,'Department Listing'!$O$1:$O$395,'Department Listing'!$A$1:$A$395),IFERROR(XLOOKUP(O519,'Name Aliases'!$A$2:$A$1000,'Name Aliases'!$B$2:$B$1000),""))</f>
        <v/>
      </c>
      <c r="Q519" s="21">
        <f>IF(ISBLANK($C519),"",$B519)</f>
        <v/>
      </c>
      <c r="R519" s="20">
        <f>IF(ISBLANK($C519),"",IF(ISBLANK($I519),$D519,$I519))</f>
        <v/>
      </c>
      <c r="S519" s="22">
        <f>IF(ISBLANK($C519),"",$F519 - $G519)</f>
        <v/>
      </c>
      <c r="T519" s="20">
        <f>IF(ISBLANK($C519),"",C519)</f>
        <v/>
      </c>
      <c r="U519" s="20">
        <f>IF(ISBLANK($C519),"",$D$1)</f>
        <v/>
      </c>
      <c r="V519" s="22">
        <f t="array" ref="V519">IF(ISBLANK($B519),"",IF(ISBLANK($K519),IF(XLOOKUP($W519,'Category Mapping'!$C:$C,'Category Mapping'!$B:$B)="Travel",XLOOKUP($P519,'Department Listing'!$A:$A,'Department Listing'!$M:$M),XLOOKUP($W519,'Category Mapping'!$C:$C,'Category Mapping'!$D:$D)),$K519))</f>
        <v/>
      </c>
      <c r="W519" s="22">
        <f>IF(ISBLANK($B519),"",IF(ISBLANK($L519),RIGHT($E519,LEN($E519) - FIND("^",SUBSTITUTE($E519,":","^",LEN($E519) - LEN(SUBSTITUTE($E519,":",""))))),$L519))</f>
        <v/>
      </c>
      <c r="X519" s="22">
        <f>IF(ISBLANK($J519),$V519&amp;$W519,$J519)</f>
        <v/>
      </c>
      <c r="Y519" s="23">
        <f t="array" ref="Y519">IF(ISBLANK($M519),IFERROR(XLOOKUP($P519,'Department Listing'!$A:$A,'Department Listing'!$L:$L),""),$M519)</f>
        <v/>
      </c>
      <c r="Z519" s="11">
        <f>IF(ISBLANK($B519),"",MATCH($X519,COA!$B:$B,0))</f>
        <v/>
      </c>
    </row>
    <row r="520" ht="15.75" customHeight="1" s="52">
      <c r="B520" s="27" t="n"/>
      <c r="C520" s="10" t="n"/>
      <c r="D520" s="10" t="n"/>
      <c r="E520" s="28" t="n"/>
      <c r="F520" s="10" t="n"/>
      <c r="G520" s="10" t="n"/>
      <c r="H520" s="10" t="n"/>
      <c r="I520" s="9" t="n"/>
      <c r="J520" s="9" t="n"/>
      <c r="K520" s="9" t="n"/>
      <c r="L520" s="9" t="n"/>
      <c r="M520" s="9" t="n"/>
      <c r="N520" s="20" t="n"/>
      <c r="O520" s="20">
        <f>IF(C520="", "", TRIM(RIGHT(C520, LEN(C520) - FIND("@@", SUBSTITUTE(C520, "-", "@@", LEN(C520) - LEN(SUBSTITUTE(C520, "-", "")))))))</f>
        <v/>
      </c>
      <c r="P520" s="20">
        <f t="array" ref="P520">IFERROR(XLOOKUP(O520,'Department Listing'!$O$1:$O$395,'Department Listing'!$A$1:$A$395),IFERROR(XLOOKUP(O520,'Name Aliases'!$A$2:$A$1000,'Name Aliases'!$B$2:$B$1000),""))</f>
        <v/>
      </c>
      <c r="Q520" s="21">
        <f>IF(ISBLANK($C520),"",$B520)</f>
        <v/>
      </c>
      <c r="R520" s="20">
        <f>IF(ISBLANK($C520),"",IF(ISBLANK($I520),$D520,$I520))</f>
        <v/>
      </c>
      <c r="S520" s="22">
        <f>IF(ISBLANK($C520),"",$F520 - $G520)</f>
        <v/>
      </c>
      <c r="T520" s="20">
        <f>IF(ISBLANK($C520),"",C520)</f>
        <v/>
      </c>
      <c r="U520" s="20">
        <f>IF(ISBLANK($C520),"",$D$1)</f>
        <v/>
      </c>
      <c r="V520" s="22">
        <f t="array" ref="V520">IF(ISBLANK($B520),"",IF(ISBLANK($K520),IF(XLOOKUP($W520,'Category Mapping'!$C:$C,'Category Mapping'!$B:$B)="Travel",XLOOKUP($P520,'Department Listing'!$A:$A,'Department Listing'!$M:$M),XLOOKUP($W520,'Category Mapping'!$C:$C,'Category Mapping'!$D:$D)),$K520))</f>
        <v/>
      </c>
      <c r="W520" s="22">
        <f>IF(ISBLANK($B520),"",IF(ISBLANK($L520),RIGHT($E520,LEN($E520) - FIND("^",SUBSTITUTE($E520,":","^",LEN($E520) - LEN(SUBSTITUTE($E520,":",""))))),$L520))</f>
        <v/>
      </c>
      <c r="X520" s="22">
        <f>IF(ISBLANK($J520),$V520&amp;$W520,$J520)</f>
        <v/>
      </c>
      <c r="Y520" s="23">
        <f t="array" ref="Y520">IF(ISBLANK($M520),IFERROR(XLOOKUP($P520,'Department Listing'!$A:$A,'Department Listing'!$L:$L),""),$M520)</f>
        <v/>
      </c>
      <c r="Z520" s="11">
        <f>IF(ISBLANK($B520),"",MATCH($X520,COA!$B:$B,0))</f>
        <v/>
      </c>
    </row>
    <row r="521" ht="15.75" customHeight="1" s="52">
      <c r="B521" s="27" t="n"/>
      <c r="C521" s="10" t="n"/>
      <c r="D521" s="10" t="n"/>
      <c r="E521" s="28" t="n"/>
      <c r="F521" s="10" t="n"/>
      <c r="G521" s="10" t="n"/>
      <c r="H521" s="10" t="n"/>
      <c r="I521" s="9" t="n"/>
      <c r="J521" s="9" t="n"/>
      <c r="K521" s="9" t="n"/>
      <c r="L521" s="9" t="n"/>
      <c r="M521" s="9" t="n"/>
      <c r="N521" s="20" t="n"/>
      <c r="O521" s="20">
        <f>IF(C521="", "", TRIM(RIGHT(C521, LEN(C521) - FIND("@@", SUBSTITUTE(C521, "-", "@@", LEN(C521) - LEN(SUBSTITUTE(C521, "-", "")))))))</f>
        <v/>
      </c>
      <c r="P521" s="20">
        <f t="array" ref="P521">IFERROR(XLOOKUP(O521,'Department Listing'!$O$1:$O$395,'Department Listing'!$A$1:$A$395),IFERROR(XLOOKUP(O521,'Name Aliases'!$A$2:$A$1000,'Name Aliases'!$B$2:$B$1000),""))</f>
        <v/>
      </c>
      <c r="Q521" s="21">
        <f>IF(ISBLANK($C521),"",$B521)</f>
        <v/>
      </c>
      <c r="R521" s="20">
        <f>IF(ISBLANK($C521),"",IF(ISBLANK($I521),$D521,$I521))</f>
        <v/>
      </c>
      <c r="S521" s="22">
        <f>IF(ISBLANK($C521),"",$F521 - $G521)</f>
        <v/>
      </c>
      <c r="T521" s="20">
        <f>IF(ISBLANK($C521),"",C521)</f>
        <v/>
      </c>
      <c r="U521" s="20">
        <f>IF(ISBLANK($C521),"",$D$1)</f>
        <v/>
      </c>
      <c r="V521" s="22">
        <f t="array" ref="V521">IF(ISBLANK($B521),"",IF(ISBLANK($K521),IF(XLOOKUP($W521,'Category Mapping'!$C:$C,'Category Mapping'!$B:$B)="Travel",XLOOKUP($P521,'Department Listing'!$A:$A,'Department Listing'!$M:$M),XLOOKUP($W521,'Category Mapping'!$C:$C,'Category Mapping'!$D:$D)),$K521))</f>
        <v/>
      </c>
      <c r="W521" s="22">
        <f>IF(ISBLANK($B521),"",IF(ISBLANK($L521),RIGHT($E521,LEN($E521) - FIND("^",SUBSTITUTE($E521,":","^",LEN($E521) - LEN(SUBSTITUTE($E521,":",""))))),$L521))</f>
        <v/>
      </c>
      <c r="X521" s="22">
        <f>IF(ISBLANK($J521),$V521&amp;$W521,$J521)</f>
        <v/>
      </c>
      <c r="Y521" s="23">
        <f t="array" ref="Y521">IF(ISBLANK($M521),IFERROR(XLOOKUP($P521,'Department Listing'!$A:$A,'Department Listing'!$L:$L),""),$M521)</f>
        <v/>
      </c>
      <c r="Z521" s="11">
        <f>IF(ISBLANK($B521),"",MATCH($X521,COA!$B:$B,0))</f>
        <v/>
      </c>
    </row>
    <row r="522" ht="15.75" customHeight="1" s="52">
      <c r="B522" s="27" t="n"/>
      <c r="C522" s="10" t="n"/>
      <c r="D522" s="10" t="n"/>
      <c r="E522" s="28" t="n"/>
      <c r="F522" s="10" t="n"/>
      <c r="G522" s="10" t="n"/>
      <c r="H522" s="10" t="n"/>
      <c r="I522" s="9" t="n"/>
      <c r="J522" s="9" t="n"/>
      <c r="K522" s="9" t="n"/>
      <c r="L522" s="9" t="n"/>
      <c r="M522" s="9" t="n"/>
      <c r="N522" s="20" t="n"/>
      <c r="O522" s="20">
        <f>IF(C522="", "", TRIM(RIGHT(C522, LEN(C522) - FIND("@@", SUBSTITUTE(C522, "-", "@@", LEN(C522) - LEN(SUBSTITUTE(C522, "-", "")))))))</f>
        <v/>
      </c>
      <c r="P522" s="20">
        <f t="array" ref="P522">IFERROR(XLOOKUP(O522,'Department Listing'!$O$1:$O$395,'Department Listing'!$A$1:$A$395),IFERROR(XLOOKUP(O522,'Name Aliases'!$A$2:$A$1000,'Name Aliases'!$B$2:$B$1000),""))</f>
        <v/>
      </c>
      <c r="Q522" s="21">
        <f>IF(ISBLANK($C522),"",$B522)</f>
        <v/>
      </c>
      <c r="R522" s="20">
        <f>IF(ISBLANK($C522),"",IF(ISBLANK($I522),$D522,$I522))</f>
        <v/>
      </c>
      <c r="S522" s="22">
        <f>IF(ISBLANK($C522),"",$F522 - $G522)</f>
        <v/>
      </c>
      <c r="T522" s="20">
        <f>IF(ISBLANK($C522),"",C522)</f>
        <v/>
      </c>
      <c r="U522" s="20">
        <f>IF(ISBLANK($C522),"",$D$1)</f>
        <v/>
      </c>
      <c r="V522" s="22">
        <f t="array" ref="V522">IF(ISBLANK($B522),"",IF(ISBLANK($K522),IF(XLOOKUP($W522,'Category Mapping'!$C:$C,'Category Mapping'!$B:$B)="Travel",XLOOKUP($P522,'Department Listing'!$A:$A,'Department Listing'!$M:$M),XLOOKUP($W522,'Category Mapping'!$C:$C,'Category Mapping'!$D:$D)),$K522))</f>
        <v/>
      </c>
      <c r="W522" s="22">
        <f>IF(ISBLANK($B522),"",IF(ISBLANK($L522),RIGHT($E522,LEN($E522) - FIND("^",SUBSTITUTE($E522,":","^",LEN($E522) - LEN(SUBSTITUTE($E522,":",""))))),$L522))</f>
        <v/>
      </c>
      <c r="X522" s="22">
        <f>IF(ISBLANK($J522),$V522&amp;$W522,$J522)</f>
        <v/>
      </c>
      <c r="Y522" s="23">
        <f t="array" ref="Y522">IF(ISBLANK($M522),IFERROR(XLOOKUP($P522,'Department Listing'!$A:$A,'Department Listing'!$L:$L),""),$M522)</f>
        <v/>
      </c>
      <c r="Z522" s="11">
        <f>IF(ISBLANK($B522),"",MATCH($X522,COA!$B:$B,0))</f>
        <v/>
      </c>
    </row>
    <row r="523" ht="15.75" customHeight="1" s="52">
      <c r="B523" s="27" t="n"/>
      <c r="C523" s="10" t="n"/>
      <c r="D523" s="10" t="n"/>
      <c r="E523" s="28" t="n"/>
      <c r="F523" s="10" t="n"/>
      <c r="G523" s="10" t="n"/>
      <c r="H523" s="10" t="n"/>
      <c r="I523" s="9" t="n"/>
      <c r="J523" s="9" t="n"/>
      <c r="K523" s="9" t="n"/>
      <c r="L523" s="9" t="n"/>
      <c r="M523" s="9" t="n"/>
      <c r="N523" s="20" t="n"/>
      <c r="O523" s="20">
        <f>IF(C523="", "", TRIM(RIGHT(C523, LEN(C523) - FIND("@@", SUBSTITUTE(C523, "-", "@@", LEN(C523) - LEN(SUBSTITUTE(C523, "-", "")))))))</f>
        <v/>
      </c>
      <c r="P523" s="20">
        <f t="array" ref="P523">IFERROR(XLOOKUP(O523,'Department Listing'!$O$1:$O$395,'Department Listing'!$A$1:$A$395),IFERROR(XLOOKUP(O523,'Name Aliases'!$A$2:$A$1000,'Name Aliases'!$B$2:$B$1000),""))</f>
        <v/>
      </c>
      <c r="Q523" s="21">
        <f>IF(ISBLANK($C523),"",$B523)</f>
        <v/>
      </c>
      <c r="R523" s="20">
        <f>IF(ISBLANK($C523),"",IF(ISBLANK($I523),$D523,$I523))</f>
        <v/>
      </c>
      <c r="S523" s="22">
        <f>IF(ISBLANK($C523),"",$F523 - $G523)</f>
        <v/>
      </c>
      <c r="T523" s="20">
        <f>IF(ISBLANK($C523),"",C523)</f>
        <v/>
      </c>
      <c r="U523" s="20">
        <f>IF(ISBLANK($C523),"",$D$1)</f>
        <v/>
      </c>
      <c r="V523" s="22">
        <f t="array" ref="V523">IF(ISBLANK($B523),"",IF(ISBLANK($K523),IF(XLOOKUP($W523,'Category Mapping'!$C:$C,'Category Mapping'!$B:$B)="Travel",XLOOKUP($P523,'Department Listing'!$A:$A,'Department Listing'!$M:$M),XLOOKUP($W523,'Category Mapping'!$C:$C,'Category Mapping'!$D:$D)),$K523))</f>
        <v/>
      </c>
      <c r="W523" s="22">
        <f>IF(ISBLANK($B523),"",IF(ISBLANK($L523),RIGHT($E523,LEN($E523) - FIND("^",SUBSTITUTE($E523,":","^",LEN($E523) - LEN(SUBSTITUTE($E523,":",""))))),$L523))</f>
        <v/>
      </c>
      <c r="X523" s="22">
        <f>IF(ISBLANK($J523),$V523&amp;$W523,$J523)</f>
        <v/>
      </c>
      <c r="Y523" s="23">
        <f t="array" ref="Y523">IF(ISBLANK($M523),IFERROR(XLOOKUP($P523,'Department Listing'!$A:$A,'Department Listing'!$L:$L),""),$M523)</f>
        <v/>
      </c>
      <c r="Z523" s="11">
        <f>IF(ISBLANK($B523),"",MATCH($X523,COA!$B:$B,0))</f>
        <v/>
      </c>
    </row>
    <row r="524" ht="15.75" customHeight="1" s="52">
      <c r="B524" s="27" t="n"/>
      <c r="C524" s="10" t="n"/>
      <c r="D524" s="10" t="n"/>
      <c r="E524" s="28" t="n"/>
      <c r="F524" s="10" t="n"/>
      <c r="G524" s="10" t="n"/>
      <c r="H524" s="10" t="n"/>
      <c r="I524" s="9" t="n"/>
      <c r="J524" s="9" t="n"/>
      <c r="K524" s="9" t="n"/>
      <c r="L524" s="9" t="n"/>
      <c r="M524" s="9" t="n"/>
      <c r="N524" s="20" t="n"/>
      <c r="O524" s="20">
        <f>IF(C524="", "", TRIM(RIGHT(C524, LEN(C524) - FIND("@@", SUBSTITUTE(C524, "-", "@@", LEN(C524) - LEN(SUBSTITUTE(C524, "-", "")))))))</f>
        <v/>
      </c>
      <c r="P524" s="20">
        <f t="array" ref="P524">IFERROR(XLOOKUP(O524,'Department Listing'!$O$1:$O$395,'Department Listing'!$A$1:$A$395),IFERROR(XLOOKUP(O524,'Name Aliases'!$A$2:$A$1000,'Name Aliases'!$B$2:$B$1000),""))</f>
        <v/>
      </c>
      <c r="Q524" s="21">
        <f>IF(ISBLANK($C524),"",$B524)</f>
        <v/>
      </c>
      <c r="R524" s="20">
        <f>IF(ISBLANK($C524),"",IF(ISBLANK($I524),$D524,$I524))</f>
        <v/>
      </c>
      <c r="S524" s="22">
        <f>IF(ISBLANK($C524),"",$F524 - $G524)</f>
        <v/>
      </c>
      <c r="T524" s="20">
        <f>IF(ISBLANK($C524),"",C524)</f>
        <v/>
      </c>
      <c r="U524" s="20">
        <f>IF(ISBLANK($C524),"",$D$1)</f>
        <v/>
      </c>
      <c r="V524" s="22">
        <f t="array" ref="V524">IF(ISBLANK($B524),"",IF(ISBLANK($K524),IF(XLOOKUP($W524,'Category Mapping'!$C:$C,'Category Mapping'!$B:$B)="Travel",XLOOKUP($P524,'Department Listing'!$A:$A,'Department Listing'!$M:$M),XLOOKUP($W524,'Category Mapping'!$C:$C,'Category Mapping'!$D:$D)),$K524))</f>
        <v/>
      </c>
      <c r="W524" s="22">
        <f>IF(ISBLANK($B524),"",IF(ISBLANK($L524),RIGHT($E524,LEN($E524) - FIND("^",SUBSTITUTE($E524,":","^",LEN($E524) - LEN(SUBSTITUTE($E524,":",""))))),$L524))</f>
        <v/>
      </c>
      <c r="X524" s="22">
        <f>IF(ISBLANK($J524),$V524&amp;$W524,$J524)</f>
        <v/>
      </c>
      <c r="Y524" s="23">
        <f t="array" ref="Y524">IF(ISBLANK($M524),IFERROR(XLOOKUP($P524,'Department Listing'!$A:$A,'Department Listing'!$L:$L),""),$M524)</f>
        <v/>
      </c>
      <c r="Z524" s="11">
        <f>IF(ISBLANK($B524),"",MATCH($X524,COA!$B:$B,0))</f>
        <v/>
      </c>
    </row>
    <row r="525" ht="15.75" customHeight="1" s="52">
      <c r="B525" s="27" t="n"/>
      <c r="C525" s="10" t="n"/>
      <c r="D525" s="10" t="n"/>
      <c r="E525" s="28" t="n"/>
      <c r="F525" s="10" t="n"/>
      <c r="G525" s="10" t="n"/>
      <c r="H525" s="10" t="n"/>
      <c r="I525" s="9" t="n"/>
      <c r="J525" s="9" t="n"/>
      <c r="K525" s="9" t="n"/>
      <c r="L525" s="9" t="n"/>
      <c r="M525" s="9" t="n"/>
      <c r="N525" s="20" t="n"/>
      <c r="O525" s="20">
        <f>IF(C525="", "", TRIM(RIGHT(C525, LEN(C525) - FIND("@@", SUBSTITUTE(C525, "-", "@@", LEN(C525) - LEN(SUBSTITUTE(C525, "-", "")))))))</f>
        <v/>
      </c>
      <c r="P525" s="20">
        <f t="array" ref="P525">IFERROR(XLOOKUP(O525,'Department Listing'!$O$1:$O$395,'Department Listing'!$A$1:$A$395),IFERROR(XLOOKUP(O525,'Name Aliases'!$A$2:$A$1000,'Name Aliases'!$B$2:$B$1000),""))</f>
        <v/>
      </c>
      <c r="Q525" s="21">
        <f>IF(ISBLANK($C525),"",$B525)</f>
        <v/>
      </c>
      <c r="R525" s="20">
        <f>IF(ISBLANK($C525),"",IF(ISBLANK($I525),$D525,$I525))</f>
        <v/>
      </c>
      <c r="S525" s="22">
        <f>IF(ISBLANK($C525),"",$F525 - $G525)</f>
        <v/>
      </c>
      <c r="T525" s="20">
        <f>IF(ISBLANK($C525),"",C525)</f>
        <v/>
      </c>
      <c r="U525" s="20">
        <f>IF(ISBLANK($C525),"",$D$1)</f>
        <v/>
      </c>
      <c r="V525" s="22">
        <f t="array" ref="V525">IF(ISBLANK($B525),"",IF(ISBLANK($K525),IF(XLOOKUP($W525,'Category Mapping'!$C:$C,'Category Mapping'!$B:$B)="Travel",XLOOKUP($P525,'Department Listing'!$A:$A,'Department Listing'!$M:$M),XLOOKUP($W525,'Category Mapping'!$C:$C,'Category Mapping'!$D:$D)),$K525))</f>
        <v/>
      </c>
      <c r="W525" s="22">
        <f>IF(ISBLANK($B525),"",IF(ISBLANK($L525),RIGHT($E525,LEN($E525) - FIND("^",SUBSTITUTE($E525,":","^",LEN($E525) - LEN(SUBSTITUTE($E525,":",""))))),$L525))</f>
        <v/>
      </c>
      <c r="X525" s="22">
        <f>IF(ISBLANK($J525),$V525&amp;$W525,$J525)</f>
        <v/>
      </c>
      <c r="Y525" s="23">
        <f t="array" ref="Y525">IF(ISBLANK($M525),IFERROR(XLOOKUP($P525,'Department Listing'!$A:$A,'Department Listing'!$L:$L),""),$M525)</f>
        <v/>
      </c>
      <c r="Z525" s="11">
        <f>IF(ISBLANK($B525),"",MATCH($X525,COA!$B:$B,0))</f>
        <v/>
      </c>
    </row>
    <row r="526" ht="15.75" customHeight="1" s="52">
      <c r="B526" s="27" t="n"/>
      <c r="C526" s="10" t="n"/>
      <c r="D526" s="10" t="n"/>
      <c r="E526" s="28" t="n"/>
      <c r="F526" s="10" t="n"/>
      <c r="G526" s="10" t="n"/>
      <c r="H526" s="10" t="n"/>
      <c r="I526" s="9" t="n"/>
      <c r="J526" s="9" t="n"/>
      <c r="K526" s="9" t="n"/>
      <c r="L526" s="9" t="n"/>
      <c r="M526" s="9" t="n"/>
      <c r="N526" s="20" t="n"/>
      <c r="O526" s="20">
        <f>IF(C526="", "", TRIM(RIGHT(C526, LEN(C526) - FIND("@@", SUBSTITUTE(C526, "-", "@@", LEN(C526) - LEN(SUBSTITUTE(C526, "-", "")))))))</f>
        <v/>
      </c>
      <c r="P526" s="20">
        <f t="array" ref="P526">IFERROR(XLOOKUP(O526,'Department Listing'!$O$1:$O$395,'Department Listing'!$A$1:$A$395),IFERROR(XLOOKUP(O526,'Name Aliases'!$A$2:$A$1000,'Name Aliases'!$B$2:$B$1000),""))</f>
        <v/>
      </c>
      <c r="Q526" s="21">
        <f>IF(ISBLANK($C526),"",$B526)</f>
        <v/>
      </c>
      <c r="R526" s="20">
        <f>IF(ISBLANK($C526),"",IF(ISBLANK($I526),$D526,$I526))</f>
        <v/>
      </c>
      <c r="S526" s="22">
        <f>IF(ISBLANK($C526),"",$F526 - $G526)</f>
        <v/>
      </c>
      <c r="T526" s="20">
        <f>IF(ISBLANK($C526),"",C526)</f>
        <v/>
      </c>
      <c r="U526" s="20">
        <f>IF(ISBLANK($C526),"",$D$1)</f>
        <v/>
      </c>
      <c r="V526" s="22">
        <f t="array" ref="V526">IF(ISBLANK($B526),"",IF(ISBLANK($K526),IF(XLOOKUP($W526,'Category Mapping'!$C:$C,'Category Mapping'!$B:$B)="Travel",XLOOKUP($P526,'Department Listing'!$A:$A,'Department Listing'!$M:$M),XLOOKUP($W526,'Category Mapping'!$C:$C,'Category Mapping'!$D:$D)),$K526))</f>
        <v/>
      </c>
      <c r="W526" s="22">
        <f>IF(ISBLANK($B526),"",IF(ISBLANK($L526),RIGHT($E526,LEN($E526) - FIND("^",SUBSTITUTE($E526,":","^",LEN($E526) - LEN(SUBSTITUTE($E526,":",""))))),$L526))</f>
        <v/>
      </c>
      <c r="X526" s="22">
        <f>IF(ISBLANK($J526),$V526&amp;$W526,$J526)</f>
        <v/>
      </c>
      <c r="Y526" s="23">
        <f t="array" ref="Y526">IF(ISBLANK($M526),IFERROR(XLOOKUP($P526,'Department Listing'!$A:$A,'Department Listing'!$L:$L),""),$M526)</f>
        <v/>
      </c>
      <c r="Z526" s="11">
        <f>IF(ISBLANK($B526),"",MATCH($X526,COA!$B:$B,0))</f>
        <v/>
      </c>
    </row>
    <row r="527" ht="15.75" customHeight="1" s="52">
      <c r="B527" s="27" t="n"/>
      <c r="C527" s="10" t="n"/>
      <c r="D527" s="10" t="n"/>
      <c r="E527" s="28" t="n"/>
      <c r="F527" s="10" t="n"/>
      <c r="G527" s="10" t="n"/>
      <c r="H527" s="10" t="n"/>
      <c r="I527" s="9" t="n"/>
      <c r="J527" s="9" t="n"/>
      <c r="K527" s="9" t="n"/>
      <c r="L527" s="9" t="n"/>
      <c r="M527" s="9" t="n"/>
      <c r="N527" s="20" t="n"/>
      <c r="O527" s="20">
        <f>IF(C527="", "", TRIM(RIGHT(C527, LEN(C527) - FIND("@@", SUBSTITUTE(C527, "-", "@@", LEN(C527) - LEN(SUBSTITUTE(C527, "-", "")))))))</f>
        <v/>
      </c>
      <c r="P527" s="20">
        <f t="array" ref="P527">IFERROR(XLOOKUP(O527,'Department Listing'!$O$1:$O$395,'Department Listing'!$A$1:$A$395),IFERROR(XLOOKUP(O527,'Name Aliases'!$A$2:$A$1000,'Name Aliases'!$B$2:$B$1000),""))</f>
        <v/>
      </c>
      <c r="Q527" s="21">
        <f>IF(ISBLANK($C527),"",$B527)</f>
        <v/>
      </c>
      <c r="R527" s="20">
        <f>IF(ISBLANK($C527),"",IF(ISBLANK($I527),$D527,$I527))</f>
        <v/>
      </c>
      <c r="S527" s="22">
        <f>IF(ISBLANK($C527),"",$F527 - $G527)</f>
        <v/>
      </c>
      <c r="T527" s="20">
        <f>IF(ISBLANK($C527),"",C527)</f>
        <v/>
      </c>
      <c r="U527" s="20">
        <f>IF(ISBLANK($C527),"",$D$1)</f>
        <v/>
      </c>
      <c r="V527" s="22">
        <f t="array" ref="V527">IF(ISBLANK($B527),"",IF(ISBLANK($K527),IF(XLOOKUP($W527,'Category Mapping'!$C:$C,'Category Mapping'!$B:$B)="Travel",XLOOKUP($P527,'Department Listing'!$A:$A,'Department Listing'!$M:$M),XLOOKUP($W527,'Category Mapping'!$C:$C,'Category Mapping'!$D:$D)),$K527))</f>
        <v/>
      </c>
      <c r="W527" s="22">
        <f>IF(ISBLANK($B527),"",IF(ISBLANK($L527),RIGHT($E527,LEN($E527) - FIND("^",SUBSTITUTE($E527,":","^",LEN($E527) - LEN(SUBSTITUTE($E527,":",""))))),$L527))</f>
        <v/>
      </c>
      <c r="X527" s="22">
        <f>IF(ISBLANK($J527),$V527&amp;$W527,$J527)</f>
        <v/>
      </c>
      <c r="Y527" s="23">
        <f t="array" ref="Y527">IF(ISBLANK($M527),IFERROR(XLOOKUP($P527,'Department Listing'!$A:$A,'Department Listing'!$L:$L),""),$M527)</f>
        <v/>
      </c>
      <c r="Z527" s="11">
        <f>IF(ISBLANK($B527),"",MATCH($X527,COA!$B:$B,0))</f>
        <v/>
      </c>
    </row>
    <row r="528" ht="15.75" customHeight="1" s="52">
      <c r="B528" s="27" t="n"/>
      <c r="C528" s="10" t="n"/>
      <c r="D528" s="10" t="n"/>
      <c r="E528" s="28" t="n"/>
      <c r="F528" s="10" t="n"/>
      <c r="G528" s="10" t="n"/>
      <c r="H528" s="10" t="n"/>
      <c r="I528" s="9" t="n"/>
      <c r="J528" s="9" t="n"/>
      <c r="K528" s="9" t="n"/>
      <c r="L528" s="9" t="n"/>
      <c r="M528" s="9" t="n"/>
      <c r="N528" s="20" t="n"/>
      <c r="O528" s="20">
        <f>IF(C528="", "", TRIM(RIGHT(C528, LEN(C528) - FIND("@@", SUBSTITUTE(C528, "-", "@@", LEN(C528) - LEN(SUBSTITUTE(C528, "-", "")))))))</f>
        <v/>
      </c>
      <c r="P528" s="20">
        <f t="array" ref="P528">IFERROR(XLOOKUP(O528,'Department Listing'!$O$1:$O$395,'Department Listing'!$A$1:$A$395),IFERROR(XLOOKUP(O528,'Name Aliases'!$A$2:$A$1000,'Name Aliases'!$B$2:$B$1000),""))</f>
        <v/>
      </c>
      <c r="Q528" s="21">
        <f>IF(ISBLANK($C528),"",$B528)</f>
        <v/>
      </c>
      <c r="R528" s="20">
        <f>IF(ISBLANK($C528),"",IF(ISBLANK($I528),$D528,$I528))</f>
        <v/>
      </c>
      <c r="S528" s="22">
        <f>IF(ISBLANK($C528),"",$F528 - $G528)</f>
        <v/>
      </c>
      <c r="T528" s="20">
        <f>IF(ISBLANK($C528),"",C528)</f>
        <v/>
      </c>
      <c r="U528" s="20">
        <f>IF(ISBLANK($C528),"",$D$1)</f>
        <v/>
      </c>
      <c r="V528" s="22">
        <f t="array" ref="V528">IF(ISBLANK($B528),"",IF(ISBLANK($K528),IF(XLOOKUP($W528,'Category Mapping'!$C:$C,'Category Mapping'!$B:$B)="Travel",XLOOKUP($P528,'Department Listing'!$A:$A,'Department Listing'!$M:$M),XLOOKUP($W528,'Category Mapping'!$C:$C,'Category Mapping'!$D:$D)),$K528))</f>
        <v/>
      </c>
      <c r="W528" s="22">
        <f>IF(ISBLANK($B528),"",IF(ISBLANK($L528),RIGHT($E528,LEN($E528) - FIND("^",SUBSTITUTE($E528,":","^",LEN($E528) - LEN(SUBSTITUTE($E528,":",""))))),$L528))</f>
        <v/>
      </c>
      <c r="X528" s="22">
        <f>IF(ISBLANK($J528),$V528&amp;$W528,$J528)</f>
        <v/>
      </c>
      <c r="Y528" s="23">
        <f t="array" ref="Y528">IF(ISBLANK($M528),IFERROR(XLOOKUP($P528,'Department Listing'!$A:$A,'Department Listing'!$L:$L),""),$M528)</f>
        <v/>
      </c>
      <c r="Z528" s="11">
        <f>IF(ISBLANK($B528),"",MATCH($X528,COA!$B:$B,0))</f>
        <v/>
      </c>
    </row>
    <row r="529" ht="15.75" customHeight="1" s="52">
      <c r="B529" s="27" t="n"/>
      <c r="C529" s="10" t="n"/>
      <c r="D529" s="10" t="n"/>
      <c r="E529" s="28" t="n"/>
      <c r="F529" s="10" t="n"/>
      <c r="G529" s="10" t="n"/>
      <c r="H529" s="10" t="n"/>
      <c r="I529" s="9" t="n"/>
      <c r="J529" s="9" t="n"/>
      <c r="K529" s="9" t="n"/>
      <c r="L529" s="9" t="n"/>
      <c r="M529" s="9" t="n"/>
      <c r="N529" s="20" t="n"/>
      <c r="O529" s="20">
        <f>IF(C529="", "", TRIM(RIGHT(C529, LEN(C529) - FIND("@@", SUBSTITUTE(C529, "-", "@@", LEN(C529) - LEN(SUBSTITUTE(C529, "-", "")))))))</f>
        <v/>
      </c>
      <c r="P529" s="20">
        <f t="array" ref="P529">IFERROR(XLOOKUP(O529,'Department Listing'!$O$1:$O$395,'Department Listing'!$A$1:$A$395),IFERROR(XLOOKUP(O529,'Name Aliases'!$A$2:$A$1000,'Name Aliases'!$B$2:$B$1000),""))</f>
        <v/>
      </c>
      <c r="Q529" s="21">
        <f>IF(ISBLANK($C529),"",$B529)</f>
        <v/>
      </c>
      <c r="R529" s="20">
        <f>IF(ISBLANK($C529),"",IF(ISBLANK($I529),$D529,$I529))</f>
        <v/>
      </c>
      <c r="S529" s="22">
        <f>IF(ISBLANK($C529),"",$F529 - $G529)</f>
        <v/>
      </c>
      <c r="T529" s="20">
        <f>IF(ISBLANK($C529),"",C529)</f>
        <v/>
      </c>
      <c r="U529" s="20">
        <f>IF(ISBLANK($C529),"",$D$1)</f>
        <v/>
      </c>
      <c r="V529" s="22">
        <f t="array" ref="V529">IF(ISBLANK($B529),"",IF(ISBLANK($K529),IF(XLOOKUP($W529,'Category Mapping'!$C:$C,'Category Mapping'!$B:$B)="Travel",XLOOKUP($P529,'Department Listing'!$A:$A,'Department Listing'!$M:$M),XLOOKUP($W529,'Category Mapping'!$C:$C,'Category Mapping'!$D:$D)),$K529))</f>
        <v/>
      </c>
      <c r="W529" s="22">
        <f>IF(ISBLANK($B529),"",IF(ISBLANK($L529),RIGHT($E529,LEN($E529) - FIND("^",SUBSTITUTE($E529,":","^",LEN($E529) - LEN(SUBSTITUTE($E529,":",""))))),$L529))</f>
        <v/>
      </c>
      <c r="X529" s="22">
        <f>IF(ISBLANK($J529),$V529&amp;$W529,$J529)</f>
        <v/>
      </c>
      <c r="Y529" s="23">
        <f t="array" ref="Y529">IF(ISBLANK($M529),IFERROR(XLOOKUP($P529,'Department Listing'!$A:$A,'Department Listing'!$L:$L),""),$M529)</f>
        <v/>
      </c>
      <c r="Z529" s="11">
        <f>IF(ISBLANK($B529),"",MATCH($X529,COA!$B:$B,0))</f>
        <v/>
      </c>
    </row>
    <row r="530" ht="15.75" customHeight="1" s="52">
      <c r="B530" s="27" t="n"/>
      <c r="C530" s="10" t="n"/>
      <c r="D530" s="10" t="n"/>
      <c r="E530" s="28" t="n"/>
      <c r="F530" s="10" t="n"/>
      <c r="G530" s="10" t="n"/>
      <c r="H530" s="10" t="n"/>
      <c r="I530" s="9" t="n"/>
      <c r="J530" s="9" t="n"/>
      <c r="K530" s="9" t="n"/>
      <c r="L530" s="9" t="n"/>
      <c r="M530" s="9" t="n"/>
      <c r="N530" s="20" t="n"/>
      <c r="O530" s="20">
        <f>IF(C530="", "", TRIM(RIGHT(C530, LEN(C530) - FIND("@@", SUBSTITUTE(C530, "-", "@@", LEN(C530) - LEN(SUBSTITUTE(C530, "-", "")))))))</f>
        <v/>
      </c>
      <c r="P530" s="20">
        <f t="array" ref="P530">IFERROR(XLOOKUP(O530,'Department Listing'!$O$1:$O$395,'Department Listing'!$A$1:$A$395),IFERROR(XLOOKUP(O530,'Name Aliases'!$A$2:$A$1000,'Name Aliases'!$B$2:$B$1000),""))</f>
        <v/>
      </c>
      <c r="Q530" s="21">
        <f>IF(ISBLANK($C530),"",$B530)</f>
        <v/>
      </c>
      <c r="R530" s="20">
        <f>IF(ISBLANK($C530),"",IF(ISBLANK($I530),$D530,$I530))</f>
        <v/>
      </c>
      <c r="S530" s="22">
        <f>IF(ISBLANK($C530),"",$F530 - $G530)</f>
        <v/>
      </c>
      <c r="T530" s="20">
        <f>IF(ISBLANK($C530),"",C530)</f>
        <v/>
      </c>
      <c r="U530" s="20">
        <f>IF(ISBLANK($C530),"",$D$1)</f>
        <v/>
      </c>
      <c r="V530" s="22">
        <f t="array" ref="V530">IF(ISBLANK($B530),"",IF(ISBLANK($K530),IF(XLOOKUP($W530,'Category Mapping'!$C:$C,'Category Mapping'!$B:$B)="Travel",XLOOKUP($P530,'Department Listing'!$A:$A,'Department Listing'!$M:$M),XLOOKUP($W530,'Category Mapping'!$C:$C,'Category Mapping'!$D:$D)),$K530))</f>
        <v/>
      </c>
      <c r="W530" s="22">
        <f>IF(ISBLANK($B530),"",IF(ISBLANK($L530),RIGHT($E530,LEN($E530) - FIND("^",SUBSTITUTE($E530,":","^",LEN($E530) - LEN(SUBSTITUTE($E530,":",""))))),$L530))</f>
        <v/>
      </c>
      <c r="X530" s="22">
        <f>IF(ISBLANK($J530),$V530&amp;$W530,$J530)</f>
        <v/>
      </c>
      <c r="Y530" s="23">
        <f t="array" ref="Y530">IF(ISBLANK($M530),IFERROR(XLOOKUP($P530,'Department Listing'!$A:$A,'Department Listing'!$L:$L),""),$M530)</f>
        <v/>
      </c>
      <c r="Z530" s="11">
        <f>IF(ISBLANK($B530),"",MATCH($X530,COA!$B:$B,0))</f>
        <v/>
      </c>
    </row>
    <row r="531" ht="15.75" customHeight="1" s="52">
      <c r="B531" s="27" t="n"/>
      <c r="C531" s="10" t="n"/>
      <c r="D531" s="10" t="n"/>
      <c r="E531" s="28" t="n"/>
      <c r="F531" s="10" t="n"/>
      <c r="G531" s="10" t="n"/>
      <c r="H531" s="10" t="n"/>
      <c r="I531" s="9" t="n"/>
      <c r="J531" s="9" t="n"/>
      <c r="K531" s="9" t="n"/>
      <c r="L531" s="9" t="n"/>
      <c r="M531" s="9" t="n"/>
      <c r="N531" s="20" t="n"/>
      <c r="O531" s="20">
        <f>IF(C531="", "", TRIM(RIGHT(C531, LEN(C531) - FIND("@@", SUBSTITUTE(C531, "-", "@@", LEN(C531) - LEN(SUBSTITUTE(C531, "-", "")))))))</f>
        <v/>
      </c>
      <c r="P531" s="20">
        <f t="array" ref="P531">IFERROR(XLOOKUP(O531,'Department Listing'!$O$1:$O$395,'Department Listing'!$A$1:$A$395),IFERROR(XLOOKUP(O531,'Name Aliases'!$A$2:$A$1000,'Name Aliases'!$B$2:$B$1000),""))</f>
        <v/>
      </c>
      <c r="Q531" s="21">
        <f>IF(ISBLANK($C531),"",$B531)</f>
        <v/>
      </c>
      <c r="R531" s="20">
        <f>IF(ISBLANK($C531),"",IF(ISBLANK($I531),$D531,$I531))</f>
        <v/>
      </c>
      <c r="S531" s="22">
        <f>IF(ISBLANK($C531),"",$F531 - $G531)</f>
        <v/>
      </c>
      <c r="T531" s="20">
        <f>IF(ISBLANK($C531),"",C531)</f>
        <v/>
      </c>
      <c r="U531" s="20">
        <f>IF(ISBLANK($C531),"",$D$1)</f>
        <v/>
      </c>
      <c r="V531" s="22">
        <f t="array" ref="V531">IF(ISBLANK($B531),"",IF(ISBLANK($K531),IF(XLOOKUP($W531,'Category Mapping'!$C:$C,'Category Mapping'!$B:$B)="Travel",XLOOKUP($P531,'Department Listing'!$A:$A,'Department Listing'!$M:$M),XLOOKUP($W531,'Category Mapping'!$C:$C,'Category Mapping'!$D:$D)),$K531))</f>
        <v/>
      </c>
      <c r="W531" s="22">
        <f>IF(ISBLANK($B531),"",IF(ISBLANK($L531),RIGHT($E531,LEN($E531) - FIND("^",SUBSTITUTE($E531,":","^",LEN($E531) - LEN(SUBSTITUTE($E531,":",""))))),$L531))</f>
        <v/>
      </c>
      <c r="X531" s="22">
        <f>IF(ISBLANK($J531),$V531&amp;$W531,$J531)</f>
        <v/>
      </c>
      <c r="Y531" s="23">
        <f t="array" ref="Y531">IF(ISBLANK($M531),IFERROR(XLOOKUP($P531,'Department Listing'!$A:$A,'Department Listing'!$L:$L),""),$M531)</f>
        <v/>
      </c>
      <c r="Z531" s="11">
        <f>IF(ISBLANK($B531),"",MATCH($X531,COA!$B:$B,0))</f>
        <v/>
      </c>
    </row>
    <row r="532" ht="15.75" customHeight="1" s="52">
      <c r="B532" s="27" t="n"/>
      <c r="C532" s="10" t="n"/>
      <c r="D532" s="10" t="n"/>
      <c r="E532" s="28" t="n"/>
      <c r="F532" s="10" t="n"/>
      <c r="G532" s="10" t="n"/>
      <c r="H532" s="10" t="n"/>
      <c r="I532" s="9" t="n"/>
      <c r="J532" s="9" t="n"/>
      <c r="K532" s="9" t="n"/>
      <c r="L532" s="9" t="n"/>
      <c r="M532" s="9" t="n"/>
      <c r="N532" s="20" t="n"/>
      <c r="O532" s="20">
        <f>IF(C532="", "", TRIM(RIGHT(C532, LEN(C532) - FIND("@@", SUBSTITUTE(C532, "-", "@@", LEN(C532) - LEN(SUBSTITUTE(C532, "-", "")))))))</f>
        <v/>
      </c>
      <c r="P532" s="20">
        <f t="array" ref="P532">IFERROR(XLOOKUP(O532,'Department Listing'!$O$1:$O$395,'Department Listing'!$A$1:$A$395),IFERROR(XLOOKUP(O532,'Name Aliases'!$A$2:$A$1000,'Name Aliases'!$B$2:$B$1000),""))</f>
        <v/>
      </c>
      <c r="Q532" s="21">
        <f>IF(ISBLANK($C532),"",$B532)</f>
        <v/>
      </c>
      <c r="R532" s="20">
        <f>IF(ISBLANK($C532),"",IF(ISBLANK($I532),$D532,$I532))</f>
        <v/>
      </c>
      <c r="S532" s="22">
        <f>IF(ISBLANK($C532),"",$F532 - $G532)</f>
        <v/>
      </c>
      <c r="T532" s="20">
        <f>IF(ISBLANK($C532),"",C532)</f>
        <v/>
      </c>
      <c r="U532" s="20">
        <f>IF(ISBLANK($C532),"",$D$1)</f>
        <v/>
      </c>
      <c r="V532" s="22">
        <f t="array" ref="V532">IF(ISBLANK($B532),"",IF(ISBLANK($K532),IF(XLOOKUP($W532,'Category Mapping'!$C:$C,'Category Mapping'!$B:$B)="Travel",XLOOKUP($P532,'Department Listing'!$A:$A,'Department Listing'!$M:$M),XLOOKUP($W532,'Category Mapping'!$C:$C,'Category Mapping'!$D:$D)),$K532))</f>
        <v/>
      </c>
      <c r="W532" s="22">
        <f>IF(ISBLANK($B532),"",IF(ISBLANK($L532),RIGHT($E532,LEN($E532) - FIND("^",SUBSTITUTE($E532,":","^",LEN($E532) - LEN(SUBSTITUTE($E532,":",""))))),$L532))</f>
        <v/>
      </c>
      <c r="X532" s="22">
        <f>IF(ISBLANK($J532),$V532&amp;$W532,$J532)</f>
        <v/>
      </c>
      <c r="Y532" s="23">
        <f t="array" ref="Y532">IF(ISBLANK($M532),IFERROR(XLOOKUP($P532,'Department Listing'!$A:$A,'Department Listing'!$L:$L),""),$M532)</f>
        <v/>
      </c>
      <c r="Z532" s="11">
        <f>IF(ISBLANK($B532),"",MATCH($X532,COA!$B:$B,0))</f>
        <v/>
      </c>
    </row>
    <row r="533" ht="15.75" customHeight="1" s="52">
      <c r="B533" s="27" t="n"/>
      <c r="C533" s="10" t="n"/>
      <c r="D533" s="10" t="n"/>
      <c r="E533" s="28" t="n"/>
      <c r="F533" s="10" t="n"/>
      <c r="G533" s="10" t="n"/>
      <c r="H533" s="10" t="n"/>
      <c r="I533" s="9" t="n"/>
      <c r="J533" s="9" t="n"/>
      <c r="K533" s="9" t="n"/>
      <c r="L533" s="9" t="n"/>
      <c r="M533" s="9" t="n"/>
      <c r="N533" s="20" t="n"/>
      <c r="O533" s="20">
        <f>IF(C533="", "", TRIM(RIGHT(C533, LEN(C533) - FIND("@@", SUBSTITUTE(C533, "-", "@@", LEN(C533) - LEN(SUBSTITUTE(C533, "-", "")))))))</f>
        <v/>
      </c>
      <c r="P533" s="20">
        <f t="array" ref="P533">IFERROR(XLOOKUP(O533,'Department Listing'!$O$1:$O$395,'Department Listing'!$A$1:$A$395),IFERROR(XLOOKUP(O533,'Name Aliases'!$A$2:$A$1000,'Name Aliases'!$B$2:$B$1000),""))</f>
        <v/>
      </c>
      <c r="Q533" s="21">
        <f>IF(ISBLANK($C533),"",$B533)</f>
        <v/>
      </c>
      <c r="R533" s="20">
        <f>IF(ISBLANK($C533),"",IF(ISBLANK($I533),$D533,$I533))</f>
        <v/>
      </c>
      <c r="S533" s="22">
        <f>IF(ISBLANK($C533),"",$F533 - $G533)</f>
        <v/>
      </c>
      <c r="T533" s="20">
        <f>IF(ISBLANK($C533),"",C533)</f>
        <v/>
      </c>
      <c r="U533" s="20">
        <f>IF(ISBLANK($C533),"",$D$1)</f>
        <v/>
      </c>
      <c r="V533" s="22">
        <f t="array" ref="V533">IF(ISBLANK($B533),"",IF(ISBLANK($K533),IF(XLOOKUP($W533,'Category Mapping'!$C:$C,'Category Mapping'!$B:$B)="Travel",XLOOKUP($P533,'Department Listing'!$A:$A,'Department Listing'!$M:$M),XLOOKUP($W533,'Category Mapping'!$C:$C,'Category Mapping'!$D:$D)),$K533))</f>
        <v/>
      </c>
      <c r="W533" s="22">
        <f>IF(ISBLANK($B533),"",IF(ISBLANK($L533),RIGHT($E533,LEN($E533) - FIND("^",SUBSTITUTE($E533,":","^",LEN($E533) - LEN(SUBSTITUTE($E533,":",""))))),$L533))</f>
        <v/>
      </c>
      <c r="X533" s="22">
        <f>IF(ISBLANK($J533),$V533&amp;$W533,$J533)</f>
        <v/>
      </c>
      <c r="Y533" s="23">
        <f t="array" ref="Y533">IF(ISBLANK($M533),IFERROR(XLOOKUP($P533,'Department Listing'!$A:$A,'Department Listing'!$L:$L),""),$M533)</f>
        <v/>
      </c>
      <c r="Z533" s="11">
        <f>IF(ISBLANK($B533),"",MATCH($X533,COA!$B:$B,0))</f>
        <v/>
      </c>
    </row>
    <row r="534" ht="15.75" customHeight="1" s="52">
      <c r="B534" s="27" t="n"/>
      <c r="C534" s="10" t="n"/>
      <c r="D534" s="10" t="n"/>
      <c r="E534" s="28" t="n"/>
      <c r="F534" s="10" t="n"/>
      <c r="G534" s="10" t="n"/>
      <c r="H534" s="10" t="n"/>
      <c r="I534" s="9" t="n"/>
      <c r="J534" s="9" t="n"/>
      <c r="K534" s="9" t="n"/>
      <c r="L534" s="9" t="n"/>
      <c r="M534" s="9" t="n"/>
      <c r="N534" s="20" t="n"/>
      <c r="O534" s="20">
        <f>IF(C534="", "", TRIM(RIGHT(C534, LEN(C534) - FIND("@@", SUBSTITUTE(C534, "-", "@@", LEN(C534) - LEN(SUBSTITUTE(C534, "-", "")))))))</f>
        <v/>
      </c>
      <c r="P534" s="20">
        <f t="array" ref="P534">IFERROR(XLOOKUP(O534,'Department Listing'!$O$1:$O$395,'Department Listing'!$A$1:$A$395),IFERROR(XLOOKUP(O534,'Name Aliases'!$A$2:$A$1000,'Name Aliases'!$B$2:$B$1000),""))</f>
        <v/>
      </c>
      <c r="Q534" s="21">
        <f>IF(ISBLANK($C534),"",$B534)</f>
        <v/>
      </c>
      <c r="R534" s="20">
        <f>IF(ISBLANK($C534),"",IF(ISBLANK($I534),$D534,$I534))</f>
        <v/>
      </c>
      <c r="S534" s="22">
        <f>IF(ISBLANK($C534),"",$F534 - $G534)</f>
        <v/>
      </c>
      <c r="T534" s="20">
        <f>IF(ISBLANK($C534),"",C534)</f>
        <v/>
      </c>
      <c r="U534" s="20">
        <f>IF(ISBLANK($C534),"",$D$1)</f>
        <v/>
      </c>
      <c r="V534" s="22">
        <f t="array" ref="V534">IF(ISBLANK($B534),"",IF(ISBLANK($K534),IF(XLOOKUP($W534,'Category Mapping'!$C:$C,'Category Mapping'!$B:$B)="Travel",XLOOKUP($P534,'Department Listing'!$A:$A,'Department Listing'!$M:$M),XLOOKUP($W534,'Category Mapping'!$C:$C,'Category Mapping'!$D:$D)),$K534))</f>
        <v/>
      </c>
      <c r="W534" s="22">
        <f>IF(ISBLANK($B534),"",IF(ISBLANK($L534),RIGHT($E534,LEN($E534) - FIND("^",SUBSTITUTE($E534,":","^",LEN($E534) - LEN(SUBSTITUTE($E534,":",""))))),$L534))</f>
        <v/>
      </c>
      <c r="X534" s="22">
        <f>IF(ISBLANK($J534),$V534&amp;$W534,$J534)</f>
        <v/>
      </c>
      <c r="Y534" s="23">
        <f t="array" ref="Y534">IF(ISBLANK($M534),IFERROR(XLOOKUP($P534,'Department Listing'!$A:$A,'Department Listing'!$L:$L),""),$M534)</f>
        <v/>
      </c>
      <c r="Z534" s="11">
        <f>IF(ISBLANK($B534),"",MATCH($X534,COA!$B:$B,0))</f>
        <v/>
      </c>
    </row>
    <row r="535" ht="15.75" customHeight="1" s="52">
      <c r="B535" s="27" t="n"/>
      <c r="C535" s="10" t="n"/>
      <c r="D535" s="10" t="n"/>
      <c r="E535" s="28" t="n"/>
      <c r="F535" s="10" t="n"/>
      <c r="G535" s="10" t="n"/>
      <c r="H535" s="10" t="n"/>
      <c r="I535" s="9" t="n"/>
      <c r="J535" s="9" t="n"/>
      <c r="K535" s="9" t="n"/>
      <c r="L535" s="9" t="n"/>
      <c r="M535" s="9" t="n"/>
      <c r="N535" s="20" t="n"/>
      <c r="O535" s="20">
        <f>IF(C535="", "", TRIM(RIGHT(C535, LEN(C535) - FIND("@@", SUBSTITUTE(C535, "-", "@@", LEN(C535) - LEN(SUBSTITUTE(C535, "-", "")))))))</f>
        <v/>
      </c>
      <c r="P535" s="20">
        <f t="array" ref="P535">IFERROR(XLOOKUP(O535,'Department Listing'!$O$1:$O$395,'Department Listing'!$A$1:$A$395),IFERROR(XLOOKUP(O535,'Name Aliases'!$A$2:$A$1000,'Name Aliases'!$B$2:$B$1000),""))</f>
        <v/>
      </c>
      <c r="Q535" s="21">
        <f>IF(ISBLANK($C535),"",$B535)</f>
        <v/>
      </c>
      <c r="R535" s="20">
        <f>IF(ISBLANK($C535),"",IF(ISBLANK($I535),$D535,$I535))</f>
        <v/>
      </c>
      <c r="S535" s="22">
        <f>IF(ISBLANK($C535),"",$F535 - $G535)</f>
        <v/>
      </c>
      <c r="T535" s="20">
        <f>IF(ISBLANK($C535),"",C535)</f>
        <v/>
      </c>
      <c r="U535" s="20">
        <f>IF(ISBLANK($C535),"",$D$1)</f>
        <v/>
      </c>
      <c r="V535" s="22">
        <f t="array" ref="V535">IF(ISBLANK($B535),"",IF(ISBLANK($K535),IF(XLOOKUP($W535,'Category Mapping'!$C:$C,'Category Mapping'!$B:$B)="Travel",XLOOKUP($P535,'Department Listing'!$A:$A,'Department Listing'!$M:$M),XLOOKUP($W535,'Category Mapping'!$C:$C,'Category Mapping'!$D:$D)),$K535))</f>
        <v/>
      </c>
      <c r="W535" s="22">
        <f>IF(ISBLANK($B535),"",IF(ISBLANK($L535),RIGHT($E535,LEN($E535) - FIND("^",SUBSTITUTE($E535,":","^",LEN($E535) - LEN(SUBSTITUTE($E535,":",""))))),$L535))</f>
        <v/>
      </c>
      <c r="X535" s="22">
        <f>IF(ISBLANK($J535),$V535&amp;$W535,$J535)</f>
        <v/>
      </c>
      <c r="Y535" s="23">
        <f t="array" ref="Y535">IF(ISBLANK($M535),IFERROR(XLOOKUP($P535,'Department Listing'!$A:$A,'Department Listing'!$L:$L),""),$M535)</f>
        <v/>
      </c>
      <c r="Z535" s="11">
        <f>IF(ISBLANK($B535),"",MATCH($X535,COA!$B:$B,0))</f>
        <v/>
      </c>
    </row>
    <row r="536" ht="15.75" customHeight="1" s="52">
      <c r="B536" s="27" t="n"/>
      <c r="C536" s="10" t="n"/>
      <c r="D536" s="10" t="n"/>
      <c r="E536" s="28" t="n"/>
      <c r="F536" s="10" t="n"/>
      <c r="G536" s="10" t="n"/>
      <c r="H536" s="10" t="n"/>
      <c r="I536" s="9" t="n"/>
      <c r="J536" s="9" t="n"/>
      <c r="K536" s="9" t="n"/>
      <c r="L536" s="9" t="n"/>
      <c r="M536" s="9" t="n"/>
      <c r="N536" s="20" t="n"/>
      <c r="O536" s="20">
        <f>IF(C536="", "", TRIM(RIGHT(C536, LEN(C536) - FIND("@@", SUBSTITUTE(C536, "-", "@@", LEN(C536) - LEN(SUBSTITUTE(C536, "-", "")))))))</f>
        <v/>
      </c>
      <c r="P536" s="20">
        <f t="array" ref="P536">IFERROR(XLOOKUP(O536,'Department Listing'!$O$1:$O$395,'Department Listing'!$A$1:$A$395),IFERROR(XLOOKUP(O536,'Name Aliases'!$A$2:$A$1000,'Name Aliases'!$B$2:$B$1000),""))</f>
        <v/>
      </c>
      <c r="Q536" s="21">
        <f>IF(ISBLANK($C536),"",$B536)</f>
        <v/>
      </c>
      <c r="R536" s="20">
        <f>IF(ISBLANK($C536),"",IF(ISBLANK($I536),$D536,$I536))</f>
        <v/>
      </c>
      <c r="S536" s="22">
        <f>IF(ISBLANK($C536),"",$F536 - $G536)</f>
        <v/>
      </c>
      <c r="T536" s="20">
        <f>IF(ISBLANK($C536),"",C536)</f>
        <v/>
      </c>
      <c r="U536" s="20">
        <f>IF(ISBLANK($C536),"",$D$1)</f>
        <v/>
      </c>
      <c r="V536" s="22">
        <f t="array" ref="V536">IF(ISBLANK($B536),"",IF(ISBLANK($K536),IF(XLOOKUP($W536,'Category Mapping'!$C:$C,'Category Mapping'!$B:$B)="Travel",XLOOKUP($P536,'Department Listing'!$A:$A,'Department Listing'!$M:$M),XLOOKUP($W536,'Category Mapping'!$C:$C,'Category Mapping'!$D:$D)),$K536))</f>
        <v/>
      </c>
      <c r="W536" s="22">
        <f>IF(ISBLANK($B536),"",IF(ISBLANK($L536),RIGHT($E536,LEN($E536) - FIND("^",SUBSTITUTE($E536,":","^",LEN($E536) - LEN(SUBSTITUTE($E536,":",""))))),$L536))</f>
        <v/>
      </c>
      <c r="X536" s="22">
        <f>IF(ISBLANK($J536),$V536&amp;$W536,$J536)</f>
        <v/>
      </c>
      <c r="Y536" s="23">
        <f t="array" ref="Y536">IF(ISBLANK($M536),IFERROR(XLOOKUP($P536,'Department Listing'!$A:$A,'Department Listing'!$L:$L),""),$M536)</f>
        <v/>
      </c>
      <c r="Z536" s="11">
        <f>IF(ISBLANK($B536),"",MATCH($X536,COA!$B:$B,0))</f>
        <v/>
      </c>
    </row>
    <row r="537" ht="15.75" customHeight="1" s="52">
      <c r="B537" s="27" t="n"/>
      <c r="C537" s="10" t="n"/>
      <c r="D537" s="10" t="n"/>
      <c r="E537" s="28" t="n"/>
      <c r="F537" s="10" t="n"/>
      <c r="G537" s="10" t="n"/>
      <c r="H537" s="10" t="n"/>
      <c r="I537" s="9" t="n"/>
      <c r="J537" s="9" t="n"/>
      <c r="K537" s="9" t="n"/>
      <c r="L537" s="9" t="n"/>
      <c r="M537" s="9" t="n"/>
      <c r="N537" s="20" t="n"/>
      <c r="O537" s="20">
        <f>IF(C537="", "", TRIM(RIGHT(C537, LEN(C537) - FIND("@@", SUBSTITUTE(C537, "-", "@@", LEN(C537) - LEN(SUBSTITUTE(C537, "-", "")))))))</f>
        <v/>
      </c>
      <c r="P537" s="20">
        <f t="array" ref="P537">IFERROR(XLOOKUP(O537,'Department Listing'!$O$1:$O$395,'Department Listing'!$A$1:$A$395),IFERROR(XLOOKUP(O537,'Name Aliases'!$A$2:$A$1000,'Name Aliases'!$B$2:$B$1000),""))</f>
        <v/>
      </c>
      <c r="Q537" s="21">
        <f>IF(ISBLANK($C537),"",$B537)</f>
        <v/>
      </c>
      <c r="R537" s="20">
        <f>IF(ISBLANK($C537),"",IF(ISBLANK($I537),$D537,$I537))</f>
        <v/>
      </c>
      <c r="S537" s="22">
        <f>IF(ISBLANK($C537),"",$F537 - $G537)</f>
        <v/>
      </c>
      <c r="T537" s="20">
        <f>IF(ISBLANK($C537),"",C537)</f>
        <v/>
      </c>
      <c r="U537" s="20">
        <f>IF(ISBLANK($C537),"",$D$1)</f>
        <v/>
      </c>
      <c r="V537" s="22">
        <f t="array" ref="V537">IF(ISBLANK($B537),"",IF(ISBLANK($K537),IF(XLOOKUP($W537,'Category Mapping'!$C:$C,'Category Mapping'!$B:$B)="Travel",XLOOKUP($P537,'Department Listing'!$A:$A,'Department Listing'!$M:$M),XLOOKUP($W537,'Category Mapping'!$C:$C,'Category Mapping'!$D:$D)),$K537))</f>
        <v/>
      </c>
      <c r="W537" s="22">
        <f>IF(ISBLANK($B537),"",IF(ISBLANK($L537),RIGHT($E537,LEN($E537) - FIND("^",SUBSTITUTE($E537,":","^",LEN($E537) - LEN(SUBSTITUTE($E537,":",""))))),$L537))</f>
        <v/>
      </c>
      <c r="X537" s="22">
        <f>IF(ISBLANK($J537),$V537&amp;$W537,$J537)</f>
        <v/>
      </c>
      <c r="Y537" s="23">
        <f t="array" ref="Y537">IF(ISBLANK($M537),IFERROR(XLOOKUP($P537,'Department Listing'!$A:$A,'Department Listing'!$L:$L),""),$M537)</f>
        <v/>
      </c>
      <c r="Z537" s="11">
        <f>IF(ISBLANK($B537),"",MATCH($X537,COA!$B:$B,0))</f>
        <v/>
      </c>
    </row>
    <row r="538" ht="15.75" customHeight="1" s="52">
      <c r="B538" s="27" t="n"/>
      <c r="C538" s="10" t="n"/>
      <c r="D538" s="10" t="n"/>
      <c r="E538" s="28" t="n"/>
      <c r="F538" s="10" t="n"/>
      <c r="G538" s="10" t="n"/>
      <c r="H538" s="10" t="n"/>
      <c r="I538" s="9" t="n"/>
      <c r="J538" s="9" t="n"/>
      <c r="K538" s="9" t="n"/>
      <c r="L538" s="9" t="n"/>
      <c r="M538" s="9" t="n"/>
      <c r="N538" s="20" t="n"/>
      <c r="O538" s="20">
        <f>IF(C538="", "", TRIM(RIGHT(C538, LEN(C538) - FIND("@@", SUBSTITUTE(C538, "-", "@@", LEN(C538) - LEN(SUBSTITUTE(C538, "-", "")))))))</f>
        <v/>
      </c>
      <c r="P538" s="20">
        <f t="array" ref="P538">IFERROR(XLOOKUP(O538,'Department Listing'!$O$1:$O$395,'Department Listing'!$A$1:$A$395),IFERROR(XLOOKUP(O538,'Name Aliases'!$A$2:$A$1000,'Name Aliases'!$B$2:$B$1000),""))</f>
        <v/>
      </c>
      <c r="Q538" s="21">
        <f>IF(ISBLANK($C538),"",$B538)</f>
        <v/>
      </c>
      <c r="R538" s="20">
        <f>IF(ISBLANK($C538),"",IF(ISBLANK($I538),$D538,$I538))</f>
        <v/>
      </c>
      <c r="S538" s="22">
        <f>IF(ISBLANK($C538),"",$F538 - $G538)</f>
        <v/>
      </c>
      <c r="T538" s="20">
        <f>IF(ISBLANK($C538),"",C538)</f>
        <v/>
      </c>
      <c r="U538" s="20">
        <f>IF(ISBLANK($C538),"",$D$1)</f>
        <v/>
      </c>
      <c r="V538" s="22">
        <f t="array" ref="V538">IF(ISBLANK($B538),"",IF(ISBLANK($K538),IF(XLOOKUP($W538,'Category Mapping'!$C:$C,'Category Mapping'!$B:$B)="Travel",XLOOKUP($P538,'Department Listing'!$A:$A,'Department Listing'!$M:$M),XLOOKUP($W538,'Category Mapping'!$C:$C,'Category Mapping'!$D:$D)),$K538))</f>
        <v/>
      </c>
      <c r="W538" s="22">
        <f>IF(ISBLANK($B538),"",IF(ISBLANK($L538),RIGHT($E538,LEN($E538) - FIND("^",SUBSTITUTE($E538,":","^",LEN($E538) - LEN(SUBSTITUTE($E538,":",""))))),$L538))</f>
        <v/>
      </c>
      <c r="X538" s="22">
        <f>IF(ISBLANK($J538),$V538&amp;$W538,$J538)</f>
        <v/>
      </c>
      <c r="Y538" s="23">
        <f t="array" ref="Y538">IF(ISBLANK($M538),IFERROR(XLOOKUP($P538,'Department Listing'!$A:$A,'Department Listing'!$L:$L),""),$M538)</f>
        <v/>
      </c>
      <c r="Z538" s="11">
        <f>IF(ISBLANK($B538),"",MATCH($X538,COA!$B:$B,0))</f>
        <v/>
      </c>
    </row>
    <row r="539" ht="15.75" customHeight="1" s="52">
      <c r="B539" s="27" t="n"/>
      <c r="C539" s="10" t="n"/>
      <c r="D539" s="10" t="n"/>
      <c r="E539" s="28" t="n"/>
      <c r="F539" s="10" t="n"/>
      <c r="G539" s="10" t="n"/>
      <c r="H539" s="10" t="n"/>
      <c r="I539" s="9" t="n"/>
      <c r="J539" s="9" t="n"/>
      <c r="K539" s="9" t="n"/>
      <c r="L539" s="9" t="n"/>
      <c r="M539" s="9" t="n"/>
      <c r="N539" s="20" t="n"/>
      <c r="O539" s="20">
        <f>IF(C539="", "", TRIM(RIGHT(C539, LEN(C539) - FIND("@@", SUBSTITUTE(C539, "-", "@@", LEN(C539) - LEN(SUBSTITUTE(C539, "-", "")))))))</f>
        <v/>
      </c>
      <c r="P539" s="20">
        <f t="array" ref="P539">IFERROR(XLOOKUP(O539,'Department Listing'!$O$1:$O$395,'Department Listing'!$A$1:$A$395),IFERROR(XLOOKUP(O539,'Name Aliases'!$A$2:$A$1000,'Name Aliases'!$B$2:$B$1000),""))</f>
        <v/>
      </c>
      <c r="Q539" s="21">
        <f>IF(ISBLANK($C539),"",$B539)</f>
        <v/>
      </c>
      <c r="R539" s="20">
        <f>IF(ISBLANK($C539),"",IF(ISBLANK($I539),$D539,$I539))</f>
        <v/>
      </c>
      <c r="S539" s="22">
        <f>IF(ISBLANK($C539),"",$F539 - $G539)</f>
        <v/>
      </c>
      <c r="T539" s="20">
        <f>IF(ISBLANK($C539),"",C539)</f>
        <v/>
      </c>
      <c r="U539" s="20">
        <f>IF(ISBLANK($C539),"",$D$1)</f>
        <v/>
      </c>
      <c r="V539" s="22">
        <f t="array" ref="V539">IF(ISBLANK($B539),"",IF(ISBLANK($K539),IF(XLOOKUP($W539,'Category Mapping'!$C:$C,'Category Mapping'!$B:$B)="Travel",XLOOKUP($P539,'Department Listing'!$A:$A,'Department Listing'!$M:$M),XLOOKUP($W539,'Category Mapping'!$C:$C,'Category Mapping'!$D:$D)),$K539))</f>
        <v/>
      </c>
      <c r="W539" s="22">
        <f>IF(ISBLANK($B539),"",IF(ISBLANK($L539),RIGHT($E539,LEN($E539) - FIND("^",SUBSTITUTE($E539,":","^",LEN($E539) - LEN(SUBSTITUTE($E539,":",""))))),$L539))</f>
        <v/>
      </c>
      <c r="X539" s="22">
        <f>IF(ISBLANK($J539),$V539&amp;$W539,$J539)</f>
        <v/>
      </c>
      <c r="Y539" s="23">
        <f t="array" ref="Y539">IF(ISBLANK($M539),IFERROR(XLOOKUP($P539,'Department Listing'!$A:$A,'Department Listing'!$L:$L),""),$M539)</f>
        <v/>
      </c>
      <c r="Z539" s="11">
        <f>IF(ISBLANK($B539),"",MATCH($X539,COA!$B:$B,0))</f>
        <v/>
      </c>
    </row>
    <row r="540" ht="15.75" customHeight="1" s="52">
      <c r="B540" s="27" t="n"/>
      <c r="C540" s="10" t="n"/>
      <c r="D540" s="10" t="n"/>
      <c r="E540" s="28" t="n"/>
      <c r="F540" s="10" t="n"/>
      <c r="G540" s="10" t="n"/>
      <c r="H540" s="10" t="n"/>
      <c r="I540" s="9" t="n"/>
      <c r="J540" s="9" t="n"/>
      <c r="K540" s="9" t="n"/>
      <c r="L540" s="9" t="n"/>
      <c r="M540" s="9" t="n"/>
      <c r="N540" s="20" t="n"/>
      <c r="O540" s="20">
        <f>IF(C540="", "", TRIM(RIGHT(C540, LEN(C540) - FIND("@@", SUBSTITUTE(C540, "-", "@@", LEN(C540) - LEN(SUBSTITUTE(C540, "-", "")))))))</f>
        <v/>
      </c>
      <c r="P540" s="20">
        <f t="array" ref="P540">IFERROR(XLOOKUP(O540,'Department Listing'!$O$1:$O$395,'Department Listing'!$A$1:$A$395),IFERROR(XLOOKUP(O540,'Name Aliases'!$A$2:$A$1000,'Name Aliases'!$B$2:$B$1000),""))</f>
        <v/>
      </c>
      <c r="Q540" s="21">
        <f>IF(ISBLANK($C540),"",$B540)</f>
        <v/>
      </c>
      <c r="R540" s="20">
        <f>IF(ISBLANK($C540),"",IF(ISBLANK($I540),$D540,$I540))</f>
        <v/>
      </c>
      <c r="S540" s="22">
        <f>IF(ISBLANK($C540),"",$F540 - $G540)</f>
        <v/>
      </c>
      <c r="T540" s="20">
        <f>IF(ISBLANK($C540),"",C540)</f>
        <v/>
      </c>
      <c r="U540" s="20">
        <f>IF(ISBLANK($C540),"",$D$1)</f>
        <v/>
      </c>
      <c r="V540" s="22">
        <f t="array" ref="V540">IF(ISBLANK($B540),"",IF(ISBLANK($K540),IF(XLOOKUP($W540,'Category Mapping'!$C:$C,'Category Mapping'!$B:$B)="Travel",XLOOKUP($P540,'Department Listing'!$A:$A,'Department Listing'!$M:$M),XLOOKUP($W540,'Category Mapping'!$C:$C,'Category Mapping'!$D:$D)),$K540))</f>
        <v/>
      </c>
      <c r="W540" s="22">
        <f>IF(ISBLANK($B540),"",IF(ISBLANK($L540),RIGHT($E540,LEN($E540) - FIND("^",SUBSTITUTE($E540,":","^",LEN($E540) - LEN(SUBSTITUTE($E540,":",""))))),$L540))</f>
        <v/>
      </c>
      <c r="X540" s="22">
        <f>IF(ISBLANK($J540),$V540&amp;$W540,$J540)</f>
        <v/>
      </c>
      <c r="Y540" s="23">
        <f t="array" ref="Y540">IF(ISBLANK($M540),IFERROR(XLOOKUP($P540,'Department Listing'!$A:$A,'Department Listing'!$L:$L),""),$M540)</f>
        <v/>
      </c>
      <c r="Z540" s="11">
        <f>IF(ISBLANK($B540),"",MATCH($X540,COA!$B:$B,0))</f>
        <v/>
      </c>
    </row>
    <row r="541" ht="15.75" customHeight="1" s="52">
      <c r="B541" s="27" t="n"/>
      <c r="C541" s="10" t="n"/>
      <c r="D541" s="10" t="n"/>
      <c r="E541" s="28" t="n"/>
      <c r="F541" s="10" t="n"/>
      <c r="G541" s="10" t="n"/>
      <c r="H541" s="10" t="n"/>
      <c r="I541" s="9" t="n"/>
      <c r="J541" s="9" t="n"/>
      <c r="K541" s="9" t="n"/>
      <c r="L541" s="9" t="n"/>
      <c r="M541" s="9" t="n"/>
      <c r="N541" s="20" t="n"/>
      <c r="O541" s="20">
        <f>IF(C541="", "", TRIM(RIGHT(C541, LEN(C541) - FIND("@@", SUBSTITUTE(C541, "-", "@@", LEN(C541) - LEN(SUBSTITUTE(C541, "-", "")))))))</f>
        <v/>
      </c>
      <c r="P541" s="20">
        <f t="array" ref="P541">IFERROR(XLOOKUP(O541,'Department Listing'!$O$1:$O$395,'Department Listing'!$A$1:$A$395),IFERROR(XLOOKUP(O541,'Name Aliases'!$A$2:$A$1000,'Name Aliases'!$B$2:$B$1000),""))</f>
        <v/>
      </c>
      <c r="Q541" s="21">
        <f>IF(ISBLANK($C541),"",$B541)</f>
        <v/>
      </c>
      <c r="R541" s="20">
        <f>IF(ISBLANK($C541),"",IF(ISBLANK($I541),$D541,$I541))</f>
        <v/>
      </c>
      <c r="S541" s="22">
        <f>IF(ISBLANK($C541),"",$F541 - $G541)</f>
        <v/>
      </c>
      <c r="T541" s="20">
        <f>IF(ISBLANK($C541),"",C541)</f>
        <v/>
      </c>
      <c r="U541" s="20">
        <f>IF(ISBLANK($C541),"",$D$1)</f>
        <v/>
      </c>
      <c r="V541" s="22">
        <f t="array" ref="V541">IF(ISBLANK($B541),"",IF(ISBLANK($K541),IF(XLOOKUP($W541,'Category Mapping'!$C:$C,'Category Mapping'!$B:$B)="Travel",XLOOKUP($P541,'Department Listing'!$A:$A,'Department Listing'!$M:$M),XLOOKUP($W541,'Category Mapping'!$C:$C,'Category Mapping'!$D:$D)),$K541))</f>
        <v/>
      </c>
      <c r="W541" s="22">
        <f>IF(ISBLANK($B541),"",IF(ISBLANK($L541),RIGHT($E541,LEN($E541) - FIND("^",SUBSTITUTE($E541,":","^",LEN($E541) - LEN(SUBSTITUTE($E541,":",""))))),$L541))</f>
        <v/>
      </c>
      <c r="X541" s="22">
        <f>IF(ISBLANK($J541),$V541&amp;$W541,$J541)</f>
        <v/>
      </c>
      <c r="Y541" s="23">
        <f t="array" ref="Y541">IF(ISBLANK($M541),IFERROR(XLOOKUP($P541,'Department Listing'!$A:$A,'Department Listing'!$L:$L),""),$M541)</f>
        <v/>
      </c>
      <c r="Z541" s="11">
        <f>IF(ISBLANK($B541),"",MATCH($X541,COA!$B:$B,0))</f>
        <v/>
      </c>
    </row>
    <row r="542" ht="15.75" customHeight="1" s="52">
      <c r="B542" s="27" t="n"/>
      <c r="C542" s="10" t="n"/>
      <c r="D542" s="10" t="n"/>
      <c r="E542" s="28" t="n"/>
      <c r="F542" s="10" t="n"/>
      <c r="G542" s="10" t="n"/>
      <c r="H542" s="10" t="n"/>
      <c r="I542" s="9" t="n"/>
      <c r="J542" s="9" t="n"/>
      <c r="K542" s="9" t="n"/>
      <c r="L542" s="9" t="n"/>
      <c r="M542" s="9" t="n"/>
      <c r="N542" s="20" t="n"/>
      <c r="O542" s="20">
        <f>IF(C542="", "", TRIM(RIGHT(C542, LEN(C542) - FIND("@@", SUBSTITUTE(C542, "-", "@@", LEN(C542) - LEN(SUBSTITUTE(C542, "-", "")))))))</f>
        <v/>
      </c>
      <c r="P542" s="20">
        <f t="array" ref="P542">IFERROR(XLOOKUP(O542,'Department Listing'!$O$1:$O$395,'Department Listing'!$A$1:$A$395),IFERROR(XLOOKUP(O542,'Name Aliases'!$A$2:$A$1000,'Name Aliases'!$B$2:$B$1000),""))</f>
        <v/>
      </c>
      <c r="Q542" s="21">
        <f>IF(ISBLANK($C542),"",$B542)</f>
        <v/>
      </c>
      <c r="R542" s="20">
        <f>IF(ISBLANK($C542),"",IF(ISBLANK($I542),$D542,$I542))</f>
        <v/>
      </c>
      <c r="S542" s="22">
        <f>IF(ISBLANK($C542),"",$F542 - $G542)</f>
        <v/>
      </c>
      <c r="T542" s="20">
        <f>IF(ISBLANK($C542),"",C542)</f>
        <v/>
      </c>
      <c r="U542" s="20">
        <f>IF(ISBLANK($C542),"",$D$1)</f>
        <v/>
      </c>
      <c r="V542" s="22">
        <f t="array" ref="V542">IF(ISBLANK($B542),"",IF(ISBLANK($K542),IF(XLOOKUP($W542,'Category Mapping'!$C:$C,'Category Mapping'!$B:$B)="Travel",XLOOKUP($P542,'Department Listing'!$A:$A,'Department Listing'!$M:$M),XLOOKUP($W542,'Category Mapping'!$C:$C,'Category Mapping'!$D:$D)),$K542))</f>
        <v/>
      </c>
      <c r="W542" s="22">
        <f>IF(ISBLANK($B542),"",IF(ISBLANK($L542),RIGHT($E542,LEN($E542) - FIND("^",SUBSTITUTE($E542,":","^",LEN($E542) - LEN(SUBSTITUTE($E542,":",""))))),$L542))</f>
        <v/>
      </c>
      <c r="X542" s="22">
        <f>IF(ISBLANK($J542),$V542&amp;$W542,$J542)</f>
        <v/>
      </c>
      <c r="Y542" s="23">
        <f t="array" ref="Y542">IF(ISBLANK($M542),IFERROR(XLOOKUP($P542,'Department Listing'!$A:$A,'Department Listing'!$L:$L),""),$M542)</f>
        <v/>
      </c>
      <c r="Z542" s="11">
        <f>IF(ISBLANK($B542),"",MATCH($X542,COA!$B:$B,0))</f>
        <v/>
      </c>
    </row>
    <row r="543" ht="15.75" customHeight="1" s="52">
      <c r="B543" s="27" t="n"/>
      <c r="C543" s="10" t="n"/>
      <c r="D543" s="10" t="n"/>
      <c r="E543" s="28" t="n"/>
      <c r="F543" s="10" t="n"/>
      <c r="G543" s="10" t="n"/>
      <c r="H543" s="10" t="n"/>
      <c r="I543" s="9" t="n"/>
      <c r="J543" s="9" t="n"/>
      <c r="K543" s="9" t="n"/>
      <c r="L543" s="9" t="n"/>
      <c r="M543" s="9" t="n"/>
      <c r="N543" s="20" t="n"/>
      <c r="O543" s="20">
        <f>IF(C543="", "", TRIM(RIGHT(C543, LEN(C543) - FIND("@@", SUBSTITUTE(C543, "-", "@@", LEN(C543) - LEN(SUBSTITUTE(C543, "-", "")))))))</f>
        <v/>
      </c>
      <c r="P543" s="20">
        <f t="array" ref="P543">IFERROR(XLOOKUP(O543,'Department Listing'!$O$1:$O$395,'Department Listing'!$A$1:$A$395),IFERROR(XLOOKUP(O543,'Name Aliases'!$A$2:$A$1000,'Name Aliases'!$B$2:$B$1000),""))</f>
        <v/>
      </c>
      <c r="Q543" s="21">
        <f>IF(ISBLANK($C543),"",$B543)</f>
        <v/>
      </c>
      <c r="R543" s="20">
        <f>IF(ISBLANK($C543),"",IF(ISBLANK($I543),$D543,$I543))</f>
        <v/>
      </c>
      <c r="S543" s="22">
        <f>IF(ISBLANK($C543),"",$F543 - $G543)</f>
        <v/>
      </c>
      <c r="T543" s="20">
        <f>IF(ISBLANK($C543),"",C543)</f>
        <v/>
      </c>
      <c r="U543" s="20">
        <f>IF(ISBLANK($C543),"",$D$1)</f>
        <v/>
      </c>
      <c r="V543" s="22">
        <f t="array" ref="V543">IF(ISBLANK($B543),"",IF(ISBLANK($K543),IF(XLOOKUP($W543,'Category Mapping'!$C:$C,'Category Mapping'!$B:$B)="Travel",XLOOKUP($P543,'Department Listing'!$A:$A,'Department Listing'!$M:$M),XLOOKUP($W543,'Category Mapping'!$C:$C,'Category Mapping'!$D:$D)),$K543))</f>
        <v/>
      </c>
      <c r="W543" s="22">
        <f>IF(ISBLANK($B543),"",IF(ISBLANK($L543),RIGHT($E543,LEN($E543) - FIND("^",SUBSTITUTE($E543,":","^",LEN($E543) - LEN(SUBSTITUTE($E543,":",""))))),$L543))</f>
        <v/>
      </c>
      <c r="X543" s="22">
        <f>IF(ISBLANK($J543),$V543&amp;$W543,$J543)</f>
        <v/>
      </c>
      <c r="Y543" s="23">
        <f t="array" ref="Y543">IF(ISBLANK($M543),IFERROR(XLOOKUP($P543,'Department Listing'!$A:$A,'Department Listing'!$L:$L),""),$M543)</f>
        <v/>
      </c>
      <c r="Z543" s="11">
        <f>IF(ISBLANK($B543),"",MATCH($X543,COA!$B:$B,0))</f>
        <v/>
      </c>
    </row>
    <row r="544" ht="15.75" customHeight="1" s="52">
      <c r="B544" s="27" t="n"/>
      <c r="C544" s="10" t="n"/>
      <c r="D544" s="10" t="n"/>
      <c r="E544" s="28" t="n"/>
      <c r="F544" s="10" t="n"/>
      <c r="G544" s="10" t="n"/>
      <c r="H544" s="10" t="n"/>
      <c r="I544" s="9" t="n"/>
      <c r="J544" s="9" t="n"/>
      <c r="K544" s="9" t="n"/>
      <c r="L544" s="9" t="n"/>
      <c r="M544" s="9" t="n"/>
      <c r="N544" s="20" t="n"/>
      <c r="O544" s="20">
        <f>IF(C544="", "", TRIM(RIGHT(C544, LEN(C544) - FIND("@@", SUBSTITUTE(C544, "-", "@@", LEN(C544) - LEN(SUBSTITUTE(C544, "-", "")))))))</f>
        <v/>
      </c>
      <c r="P544" s="20">
        <f t="array" ref="P544">IFERROR(XLOOKUP(O544,'Department Listing'!$O$1:$O$395,'Department Listing'!$A$1:$A$395),IFERROR(XLOOKUP(O544,'Name Aliases'!$A$2:$A$1000,'Name Aliases'!$B$2:$B$1000),""))</f>
        <v/>
      </c>
      <c r="Q544" s="21">
        <f>IF(ISBLANK($C544),"",$B544)</f>
        <v/>
      </c>
      <c r="R544" s="20">
        <f>IF(ISBLANK($C544),"",IF(ISBLANK($I544),$D544,$I544))</f>
        <v/>
      </c>
      <c r="S544" s="22">
        <f>IF(ISBLANK($C544),"",$F544 - $G544)</f>
        <v/>
      </c>
      <c r="T544" s="20">
        <f>IF(ISBLANK($C544),"",C544)</f>
        <v/>
      </c>
      <c r="U544" s="20">
        <f>IF(ISBLANK($C544),"",$D$1)</f>
        <v/>
      </c>
      <c r="V544" s="22">
        <f t="array" ref="V544">IF(ISBLANK($B544),"",IF(ISBLANK($K544),IF(XLOOKUP($W544,'Category Mapping'!$C:$C,'Category Mapping'!$B:$B)="Travel",XLOOKUP($P544,'Department Listing'!$A:$A,'Department Listing'!$M:$M),XLOOKUP($W544,'Category Mapping'!$C:$C,'Category Mapping'!$D:$D)),$K544))</f>
        <v/>
      </c>
      <c r="W544" s="22">
        <f>IF(ISBLANK($B544),"",IF(ISBLANK($L544),RIGHT($E544,LEN($E544) - FIND("^",SUBSTITUTE($E544,":","^",LEN($E544) - LEN(SUBSTITUTE($E544,":",""))))),$L544))</f>
        <v/>
      </c>
      <c r="X544" s="22">
        <f>IF(ISBLANK($J544),$V544&amp;$W544,$J544)</f>
        <v/>
      </c>
      <c r="Y544" s="23">
        <f t="array" ref="Y544">IF(ISBLANK($M544),IFERROR(XLOOKUP($P544,'Department Listing'!$A:$A,'Department Listing'!$L:$L),""),$M544)</f>
        <v/>
      </c>
      <c r="Z544" s="11">
        <f>IF(ISBLANK($B544),"",MATCH($X544,COA!$B:$B,0))</f>
        <v/>
      </c>
    </row>
    <row r="545" ht="15.75" customHeight="1" s="52">
      <c r="B545" s="27" t="n"/>
      <c r="C545" s="10" t="n"/>
      <c r="D545" s="10" t="n"/>
      <c r="E545" s="28" t="n"/>
      <c r="F545" s="10" t="n"/>
      <c r="G545" s="10" t="n"/>
      <c r="H545" s="10" t="n"/>
      <c r="I545" s="9" t="n"/>
      <c r="J545" s="9" t="n"/>
      <c r="K545" s="9" t="n"/>
      <c r="L545" s="9" t="n"/>
      <c r="M545" s="9" t="n"/>
      <c r="N545" s="20" t="n"/>
      <c r="O545" s="20">
        <f>IF(C545="", "", TRIM(RIGHT(C545, LEN(C545) - FIND("@@", SUBSTITUTE(C545, "-", "@@", LEN(C545) - LEN(SUBSTITUTE(C545, "-", "")))))))</f>
        <v/>
      </c>
      <c r="P545" s="20">
        <f t="array" ref="P545">IFERROR(XLOOKUP(O545,'Department Listing'!$O$1:$O$395,'Department Listing'!$A$1:$A$395),IFERROR(XLOOKUP(O545,'Name Aliases'!$A$2:$A$1000,'Name Aliases'!$B$2:$B$1000),""))</f>
        <v/>
      </c>
      <c r="Q545" s="21">
        <f>IF(ISBLANK($C545),"",$B545)</f>
        <v/>
      </c>
      <c r="R545" s="20">
        <f>IF(ISBLANK($C545),"",IF(ISBLANK($I545),$D545,$I545))</f>
        <v/>
      </c>
      <c r="S545" s="22">
        <f>IF(ISBLANK($C545),"",$F545 - $G545)</f>
        <v/>
      </c>
      <c r="T545" s="20">
        <f>IF(ISBLANK($C545),"",C545)</f>
        <v/>
      </c>
      <c r="U545" s="20">
        <f>IF(ISBLANK($C545),"",$D$1)</f>
        <v/>
      </c>
      <c r="V545" s="22">
        <f t="array" ref="V545">IF(ISBLANK($B545),"",IF(ISBLANK($K545),IF(XLOOKUP($W545,'Category Mapping'!$C:$C,'Category Mapping'!$B:$B)="Travel",XLOOKUP($P545,'Department Listing'!$A:$A,'Department Listing'!$M:$M),XLOOKUP($W545,'Category Mapping'!$C:$C,'Category Mapping'!$D:$D)),$K545))</f>
        <v/>
      </c>
      <c r="W545" s="22">
        <f>IF(ISBLANK($B545),"",IF(ISBLANK($L545),RIGHT($E545,LEN($E545) - FIND("^",SUBSTITUTE($E545,":","^",LEN($E545) - LEN(SUBSTITUTE($E545,":",""))))),$L545))</f>
        <v/>
      </c>
      <c r="X545" s="22">
        <f>IF(ISBLANK($J545),$V545&amp;$W545,$J545)</f>
        <v/>
      </c>
      <c r="Y545" s="23">
        <f t="array" ref="Y545">IF(ISBLANK($M545),IFERROR(XLOOKUP($P545,'Department Listing'!$A:$A,'Department Listing'!$L:$L),""),$M545)</f>
        <v/>
      </c>
      <c r="Z545" s="11">
        <f>IF(ISBLANK($B545),"",MATCH($X545,COA!$B:$B,0))</f>
        <v/>
      </c>
    </row>
    <row r="546" ht="15.75" customHeight="1" s="52">
      <c r="B546" s="27" t="n"/>
      <c r="C546" s="10" t="n"/>
      <c r="D546" s="10" t="n"/>
      <c r="E546" s="28" t="n"/>
      <c r="F546" s="10" t="n"/>
      <c r="G546" s="10" t="n"/>
      <c r="H546" s="10" t="n"/>
      <c r="I546" s="9" t="n"/>
      <c r="J546" s="9" t="n"/>
      <c r="K546" s="9" t="n"/>
      <c r="L546" s="9" t="n"/>
      <c r="M546" s="9" t="n"/>
      <c r="N546" s="20" t="n"/>
      <c r="O546" s="20">
        <f>IF(C546="", "", TRIM(RIGHT(C546, LEN(C546) - FIND("@@", SUBSTITUTE(C546, "-", "@@", LEN(C546) - LEN(SUBSTITUTE(C546, "-", "")))))))</f>
        <v/>
      </c>
      <c r="P546" s="20">
        <f t="array" ref="P546">IFERROR(XLOOKUP(O546,'Department Listing'!$O$1:$O$395,'Department Listing'!$A$1:$A$395),IFERROR(XLOOKUP(O546,'Name Aliases'!$A$2:$A$1000,'Name Aliases'!$B$2:$B$1000),""))</f>
        <v/>
      </c>
      <c r="Q546" s="21">
        <f>IF(ISBLANK($C546),"",$B546)</f>
        <v/>
      </c>
      <c r="R546" s="20">
        <f>IF(ISBLANK($C546),"",IF(ISBLANK($I546),$D546,$I546))</f>
        <v/>
      </c>
      <c r="S546" s="22">
        <f>IF(ISBLANK($C546),"",$F546 - $G546)</f>
        <v/>
      </c>
      <c r="T546" s="20">
        <f>IF(ISBLANK($C546),"",C546)</f>
        <v/>
      </c>
      <c r="U546" s="20">
        <f>IF(ISBLANK($C546),"",$D$1)</f>
        <v/>
      </c>
      <c r="V546" s="22">
        <f t="array" ref="V546">IF(ISBLANK($B546),"",IF(ISBLANK($K546),IF(XLOOKUP($W546,'Category Mapping'!$C:$C,'Category Mapping'!$B:$B)="Travel",XLOOKUP($P546,'Department Listing'!$A:$A,'Department Listing'!$M:$M),XLOOKUP($W546,'Category Mapping'!$C:$C,'Category Mapping'!$D:$D)),$K546))</f>
        <v/>
      </c>
      <c r="W546" s="22">
        <f>IF(ISBLANK($B546),"",IF(ISBLANK($L546),RIGHT($E546,LEN($E546) - FIND("^",SUBSTITUTE($E546,":","^",LEN($E546) - LEN(SUBSTITUTE($E546,":",""))))),$L546))</f>
        <v/>
      </c>
      <c r="X546" s="22">
        <f>IF(ISBLANK($J546),$V546&amp;$W546,$J546)</f>
        <v/>
      </c>
      <c r="Y546" s="23">
        <f t="array" ref="Y546">IF(ISBLANK($M546),IFERROR(XLOOKUP($P546,'Department Listing'!$A:$A,'Department Listing'!$L:$L),""),$M546)</f>
        <v/>
      </c>
      <c r="Z546" s="11">
        <f>IF(ISBLANK($B546),"",MATCH($X546,COA!$B:$B,0))</f>
        <v/>
      </c>
    </row>
    <row r="547" ht="15.75" customHeight="1" s="52">
      <c r="B547" s="27" t="n"/>
      <c r="C547" s="10" t="n"/>
      <c r="D547" s="10" t="n"/>
      <c r="E547" s="28" t="n"/>
      <c r="F547" s="10" t="n"/>
      <c r="G547" s="10" t="n"/>
      <c r="H547" s="10" t="n"/>
      <c r="I547" s="9" t="n"/>
      <c r="J547" s="9" t="n"/>
      <c r="K547" s="9" t="n"/>
      <c r="L547" s="9" t="n"/>
      <c r="M547" s="9" t="n"/>
      <c r="N547" s="20" t="n"/>
      <c r="O547" s="20">
        <f>IF(C547="", "", TRIM(RIGHT(C547, LEN(C547) - FIND("@@", SUBSTITUTE(C547, "-", "@@", LEN(C547) - LEN(SUBSTITUTE(C547, "-", "")))))))</f>
        <v/>
      </c>
      <c r="P547" s="20">
        <f t="array" ref="P547">IFERROR(XLOOKUP(O547,'Department Listing'!$O$1:$O$395,'Department Listing'!$A$1:$A$395),IFERROR(XLOOKUP(O547,'Name Aliases'!$A$2:$A$1000,'Name Aliases'!$B$2:$B$1000),""))</f>
        <v/>
      </c>
      <c r="Q547" s="21">
        <f>IF(ISBLANK($C547),"",$B547)</f>
        <v/>
      </c>
      <c r="R547" s="20">
        <f>IF(ISBLANK($C547),"",IF(ISBLANK($I547),$D547,$I547))</f>
        <v/>
      </c>
      <c r="S547" s="22">
        <f>IF(ISBLANK($C547),"",$F547 - $G547)</f>
        <v/>
      </c>
      <c r="T547" s="20">
        <f>IF(ISBLANK($C547),"",C547)</f>
        <v/>
      </c>
      <c r="U547" s="20">
        <f>IF(ISBLANK($C547),"",$D$1)</f>
        <v/>
      </c>
      <c r="V547" s="22">
        <f t="array" ref="V547">IF(ISBLANK($B547),"",IF(ISBLANK($K547),IF(XLOOKUP($W547,'Category Mapping'!$C:$C,'Category Mapping'!$B:$B)="Travel",XLOOKUP($P547,'Department Listing'!$A:$A,'Department Listing'!$M:$M),XLOOKUP($W547,'Category Mapping'!$C:$C,'Category Mapping'!$D:$D)),$K547))</f>
        <v/>
      </c>
      <c r="W547" s="22">
        <f>IF(ISBLANK($B547),"",IF(ISBLANK($L547),RIGHT($E547,LEN($E547) - FIND("^",SUBSTITUTE($E547,":","^",LEN($E547) - LEN(SUBSTITUTE($E547,":",""))))),$L547))</f>
        <v/>
      </c>
      <c r="X547" s="22">
        <f>IF(ISBLANK($J547),$V547&amp;$W547,$J547)</f>
        <v/>
      </c>
      <c r="Y547" s="23">
        <f t="array" ref="Y547">IF(ISBLANK($M547),IFERROR(XLOOKUP($P547,'Department Listing'!$A:$A,'Department Listing'!$L:$L),""),$M547)</f>
        <v/>
      </c>
      <c r="Z547" s="11">
        <f>IF(ISBLANK($B547),"",MATCH($X547,COA!$B:$B,0))</f>
        <v/>
      </c>
    </row>
    <row r="548" ht="15.75" customHeight="1" s="52">
      <c r="B548" s="27" t="n"/>
      <c r="C548" s="10" t="n"/>
      <c r="D548" s="10" t="n"/>
      <c r="E548" s="28" t="n"/>
      <c r="F548" s="10" t="n"/>
      <c r="G548" s="10" t="n"/>
      <c r="H548" s="10" t="n"/>
      <c r="I548" s="9" t="n"/>
      <c r="J548" s="9" t="n"/>
      <c r="K548" s="9" t="n"/>
      <c r="L548" s="9" t="n"/>
      <c r="M548" s="9" t="n"/>
      <c r="N548" s="20" t="n"/>
      <c r="O548" s="20">
        <f>IF(C548="", "", TRIM(RIGHT(C548, LEN(C548) - FIND("@@", SUBSTITUTE(C548, "-", "@@", LEN(C548) - LEN(SUBSTITUTE(C548, "-", "")))))))</f>
        <v/>
      </c>
      <c r="P548" s="20">
        <f t="array" ref="P548">IFERROR(XLOOKUP(O548,'Department Listing'!$O$1:$O$395,'Department Listing'!$A$1:$A$395),IFERROR(XLOOKUP(O548,'Name Aliases'!$A$2:$A$1000,'Name Aliases'!$B$2:$B$1000),""))</f>
        <v/>
      </c>
      <c r="Q548" s="21">
        <f>IF(ISBLANK($C548),"",$B548)</f>
        <v/>
      </c>
      <c r="R548" s="20">
        <f>IF(ISBLANK($C548),"",IF(ISBLANK($I548),$D548,$I548))</f>
        <v/>
      </c>
      <c r="S548" s="22">
        <f>IF(ISBLANK($C548),"",$F548 - $G548)</f>
        <v/>
      </c>
      <c r="T548" s="20">
        <f>IF(ISBLANK($C548),"",C548)</f>
        <v/>
      </c>
      <c r="U548" s="20">
        <f>IF(ISBLANK($C548),"",$D$1)</f>
        <v/>
      </c>
      <c r="V548" s="22">
        <f t="array" ref="V548">IF(ISBLANK($B548),"",IF(ISBLANK($K548),IF(XLOOKUP($W548,'Category Mapping'!$C:$C,'Category Mapping'!$B:$B)="Travel",XLOOKUP($P548,'Department Listing'!$A:$A,'Department Listing'!$M:$M),XLOOKUP($W548,'Category Mapping'!$C:$C,'Category Mapping'!$D:$D)),$K548))</f>
        <v/>
      </c>
      <c r="W548" s="22">
        <f>IF(ISBLANK($B548),"",IF(ISBLANK($L548),RIGHT($E548,LEN($E548) - FIND("^",SUBSTITUTE($E548,":","^",LEN($E548) - LEN(SUBSTITUTE($E548,":",""))))),$L548))</f>
        <v/>
      </c>
      <c r="X548" s="22">
        <f>IF(ISBLANK($J548),$V548&amp;$W548,$J548)</f>
        <v/>
      </c>
      <c r="Y548" s="23">
        <f t="array" ref="Y548">IF(ISBLANK($M548),IFERROR(XLOOKUP($P548,'Department Listing'!$A:$A,'Department Listing'!$L:$L),""),$M548)</f>
        <v/>
      </c>
      <c r="Z548" s="11">
        <f>IF(ISBLANK($B548),"",MATCH($X548,COA!$B:$B,0))</f>
        <v/>
      </c>
    </row>
    <row r="549" ht="15.75" customHeight="1" s="52">
      <c r="B549" s="27" t="n"/>
      <c r="C549" s="10" t="n"/>
      <c r="D549" s="10" t="n"/>
      <c r="E549" s="28" t="n"/>
      <c r="F549" s="10" t="n"/>
      <c r="G549" s="10" t="n"/>
      <c r="H549" s="10" t="n"/>
      <c r="I549" s="9" t="n"/>
      <c r="J549" s="9" t="n"/>
      <c r="K549" s="9" t="n"/>
      <c r="L549" s="9" t="n"/>
      <c r="M549" s="9" t="n"/>
      <c r="N549" s="20" t="n"/>
      <c r="O549" s="20">
        <f>IF(C549="", "", TRIM(RIGHT(C549, LEN(C549) - FIND("@@", SUBSTITUTE(C549, "-", "@@", LEN(C549) - LEN(SUBSTITUTE(C549, "-", "")))))))</f>
        <v/>
      </c>
      <c r="P549" s="20">
        <f t="array" ref="P549">IFERROR(XLOOKUP(O549,'Department Listing'!$O$1:$O$395,'Department Listing'!$A$1:$A$395),IFERROR(XLOOKUP(O549,'Name Aliases'!$A$2:$A$1000,'Name Aliases'!$B$2:$B$1000),""))</f>
        <v/>
      </c>
      <c r="Q549" s="21">
        <f>IF(ISBLANK($C549),"",$B549)</f>
        <v/>
      </c>
      <c r="R549" s="20">
        <f>IF(ISBLANK($C549),"",IF(ISBLANK($I549),$D549,$I549))</f>
        <v/>
      </c>
      <c r="S549" s="22">
        <f>IF(ISBLANK($C549),"",$F549 - $G549)</f>
        <v/>
      </c>
      <c r="T549" s="20">
        <f>IF(ISBLANK($C549),"",C549)</f>
        <v/>
      </c>
      <c r="U549" s="20">
        <f>IF(ISBLANK($C549),"",$D$1)</f>
        <v/>
      </c>
      <c r="V549" s="22">
        <f t="array" ref="V549">IF(ISBLANK($B549),"",IF(ISBLANK($K549),IF(XLOOKUP($W549,'Category Mapping'!$C:$C,'Category Mapping'!$B:$B)="Travel",XLOOKUP($P549,'Department Listing'!$A:$A,'Department Listing'!$M:$M),XLOOKUP($W549,'Category Mapping'!$C:$C,'Category Mapping'!$D:$D)),$K549))</f>
        <v/>
      </c>
      <c r="W549" s="22">
        <f>IF(ISBLANK($B549),"",IF(ISBLANK($L549),RIGHT($E549,LEN($E549) - FIND("^",SUBSTITUTE($E549,":","^",LEN($E549) - LEN(SUBSTITUTE($E549,":",""))))),$L549))</f>
        <v/>
      </c>
      <c r="X549" s="22">
        <f>IF(ISBLANK($J549),$V549&amp;$W549,$J549)</f>
        <v/>
      </c>
      <c r="Y549" s="23">
        <f t="array" ref="Y549">IF(ISBLANK($M549),IFERROR(XLOOKUP($P549,'Department Listing'!$A:$A,'Department Listing'!$L:$L),""),$M549)</f>
        <v/>
      </c>
      <c r="Z549" s="11">
        <f>IF(ISBLANK($B549),"",MATCH($X549,COA!$B:$B,0))</f>
        <v/>
      </c>
    </row>
    <row r="550" ht="15.75" customHeight="1" s="52">
      <c r="B550" s="27" t="n"/>
      <c r="C550" s="10" t="n"/>
      <c r="D550" s="10" t="n"/>
      <c r="E550" s="28" t="n"/>
      <c r="F550" s="10" t="n"/>
      <c r="G550" s="10" t="n"/>
      <c r="H550" s="10" t="n"/>
      <c r="I550" s="9" t="n"/>
      <c r="J550" s="9" t="n"/>
      <c r="K550" s="9" t="n"/>
      <c r="L550" s="9" t="n"/>
      <c r="M550" s="9" t="n"/>
      <c r="N550" s="20" t="n"/>
      <c r="O550" s="20">
        <f>IF(C550="", "", TRIM(RIGHT(C550, LEN(C550) - FIND("@@", SUBSTITUTE(C550, "-", "@@", LEN(C550) - LEN(SUBSTITUTE(C550, "-", "")))))))</f>
        <v/>
      </c>
      <c r="P550" s="20">
        <f t="array" ref="P550">IFERROR(XLOOKUP(O550,'Department Listing'!$O$1:$O$395,'Department Listing'!$A$1:$A$395),IFERROR(XLOOKUP(O550,'Name Aliases'!$A$2:$A$1000,'Name Aliases'!$B$2:$B$1000),""))</f>
        <v/>
      </c>
      <c r="Q550" s="21">
        <f>IF(ISBLANK($C550),"",$B550)</f>
        <v/>
      </c>
      <c r="R550" s="20">
        <f>IF(ISBLANK($C550),"",IF(ISBLANK($I550),$D550,$I550))</f>
        <v/>
      </c>
      <c r="S550" s="22">
        <f>IF(ISBLANK($C550),"",$F550 - $G550)</f>
        <v/>
      </c>
      <c r="T550" s="20">
        <f>IF(ISBLANK($C550),"",C550)</f>
        <v/>
      </c>
      <c r="U550" s="20">
        <f>IF(ISBLANK($C550),"",$D$1)</f>
        <v/>
      </c>
      <c r="V550" s="22">
        <f t="array" ref="V550">IF(ISBLANK($B550),"",IF(ISBLANK($K550),IF(XLOOKUP($W550,'Category Mapping'!$C:$C,'Category Mapping'!$B:$B)="Travel",XLOOKUP($P550,'Department Listing'!$A:$A,'Department Listing'!$M:$M),XLOOKUP($W550,'Category Mapping'!$C:$C,'Category Mapping'!$D:$D)),$K550))</f>
        <v/>
      </c>
      <c r="W550" s="22">
        <f>IF(ISBLANK($B550),"",IF(ISBLANK($L550),RIGHT($E550,LEN($E550) - FIND("^",SUBSTITUTE($E550,":","^",LEN($E550) - LEN(SUBSTITUTE($E550,":",""))))),$L550))</f>
        <v/>
      </c>
      <c r="X550" s="22">
        <f>IF(ISBLANK($J550),$V550&amp;$W550,$J550)</f>
        <v/>
      </c>
      <c r="Y550" s="23">
        <f t="array" ref="Y550">IF(ISBLANK($M550),IFERROR(XLOOKUP($P550,'Department Listing'!$A:$A,'Department Listing'!$L:$L),""),$M550)</f>
        <v/>
      </c>
      <c r="Z550" s="11">
        <f>IF(ISBLANK($B550),"",MATCH($X550,COA!$B:$B,0))</f>
        <v/>
      </c>
    </row>
    <row r="551" ht="15.75" customHeight="1" s="52">
      <c r="B551" s="27" t="n"/>
      <c r="C551" s="10" t="n"/>
      <c r="D551" s="10" t="n"/>
      <c r="E551" s="28" t="n"/>
      <c r="F551" s="10" t="n"/>
      <c r="G551" s="10" t="n"/>
      <c r="H551" s="10" t="n"/>
      <c r="I551" s="9" t="n"/>
      <c r="J551" s="9" t="n"/>
      <c r="K551" s="9" t="n"/>
      <c r="L551" s="9" t="n"/>
      <c r="M551" s="9" t="n"/>
      <c r="N551" s="20" t="n"/>
      <c r="O551" s="20">
        <f>IF(C551="", "", TRIM(RIGHT(C551, LEN(C551) - FIND("@@", SUBSTITUTE(C551, "-", "@@", LEN(C551) - LEN(SUBSTITUTE(C551, "-", "")))))))</f>
        <v/>
      </c>
      <c r="P551" s="20">
        <f t="array" ref="P551">IFERROR(XLOOKUP(O551,'Department Listing'!$O$1:$O$395,'Department Listing'!$A$1:$A$395),IFERROR(XLOOKUP(O551,'Name Aliases'!$A$2:$A$1000,'Name Aliases'!$B$2:$B$1000),""))</f>
        <v/>
      </c>
      <c r="Q551" s="21">
        <f>IF(ISBLANK($C551),"",$B551)</f>
        <v/>
      </c>
      <c r="R551" s="20">
        <f>IF(ISBLANK($C551),"",IF(ISBLANK($I551),$D551,$I551))</f>
        <v/>
      </c>
      <c r="S551" s="22">
        <f>IF(ISBLANK($C551),"",$F551 - $G551)</f>
        <v/>
      </c>
      <c r="T551" s="20">
        <f>IF(ISBLANK($C551),"",C551)</f>
        <v/>
      </c>
      <c r="U551" s="20">
        <f>IF(ISBLANK($C551),"",$D$1)</f>
        <v/>
      </c>
      <c r="V551" s="22">
        <f t="array" ref="V551">IF(ISBLANK($B551),"",IF(ISBLANK($K551),IF(XLOOKUP($W551,'Category Mapping'!$C:$C,'Category Mapping'!$B:$B)="Travel",XLOOKUP($P551,'Department Listing'!$A:$A,'Department Listing'!$M:$M),XLOOKUP($W551,'Category Mapping'!$C:$C,'Category Mapping'!$D:$D)),$K551))</f>
        <v/>
      </c>
      <c r="W551" s="22">
        <f>IF(ISBLANK($B551),"",IF(ISBLANK($L551),RIGHT($E551,LEN($E551) - FIND("^",SUBSTITUTE($E551,":","^",LEN($E551) - LEN(SUBSTITUTE($E551,":",""))))),$L551))</f>
        <v/>
      </c>
      <c r="X551" s="22">
        <f>IF(ISBLANK($J551),$V551&amp;$W551,$J551)</f>
        <v/>
      </c>
      <c r="Y551" s="23">
        <f t="array" ref="Y551">IF(ISBLANK($M551),IFERROR(XLOOKUP($P551,'Department Listing'!$A:$A,'Department Listing'!$L:$L),""),$M551)</f>
        <v/>
      </c>
      <c r="Z551" s="11">
        <f>IF(ISBLANK($B551),"",MATCH($X551,COA!$B:$B,0))</f>
        <v/>
      </c>
    </row>
    <row r="552" ht="15.75" customHeight="1" s="52">
      <c r="B552" s="27" t="n"/>
      <c r="C552" s="10" t="n"/>
      <c r="D552" s="10" t="n"/>
      <c r="E552" s="28" t="n"/>
      <c r="F552" s="10" t="n"/>
      <c r="G552" s="10" t="n"/>
      <c r="H552" s="10" t="n"/>
      <c r="I552" s="9" t="n"/>
      <c r="J552" s="9" t="n"/>
      <c r="K552" s="9" t="n"/>
      <c r="L552" s="9" t="n"/>
      <c r="M552" s="9" t="n"/>
      <c r="N552" s="20" t="n"/>
      <c r="O552" s="20">
        <f>IF(C552="", "", TRIM(RIGHT(C552, LEN(C552) - FIND("@@", SUBSTITUTE(C552, "-", "@@", LEN(C552) - LEN(SUBSTITUTE(C552, "-", "")))))))</f>
        <v/>
      </c>
      <c r="P552" s="20">
        <f t="array" ref="P552">IFERROR(XLOOKUP(O552,'Department Listing'!$O$1:$O$395,'Department Listing'!$A$1:$A$395),IFERROR(XLOOKUP(O552,'Name Aliases'!$A$2:$A$1000,'Name Aliases'!$B$2:$B$1000),""))</f>
        <v/>
      </c>
      <c r="Q552" s="21">
        <f>IF(ISBLANK($C552),"",$B552)</f>
        <v/>
      </c>
      <c r="R552" s="20">
        <f>IF(ISBLANK($C552),"",IF(ISBLANK($I552),$D552,$I552))</f>
        <v/>
      </c>
      <c r="S552" s="22">
        <f>IF(ISBLANK($C552),"",$F552 - $G552)</f>
        <v/>
      </c>
      <c r="T552" s="20">
        <f>IF(ISBLANK($C552),"",C552)</f>
        <v/>
      </c>
      <c r="U552" s="20">
        <f>IF(ISBLANK($C552),"",$D$1)</f>
        <v/>
      </c>
      <c r="V552" s="22">
        <f t="array" ref="V552">IF(ISBLANK($B552),"",IF(ISBLANK($K552),IF(XLOOKUP($W552,'Category Mapping'!$C:$C,'Category Mapping'!$B:$B)="Travel",XLOOKUP($P552,'Department Listing'!$A:$A,'Department Listing'!$M:$M),XLOOKUP($W552,'Category Mapping'!$C:$C,'Category Mapping'!$D:$D)),$K552))</f>
        <v/>
      </c>
      <c r="W552" s="22">
        <f>IF(ISBLANK($B552),"",IF(ISBLANK($L552),RIGHT($E552,LEN($E552) - FIND("^",SUBSTITUTE($E552,":","^",LEN($E552) - LEN(SUBSTITUTE($E552,":",""))))),$L552))</f>
        <v/>
      </c>
      <c r="X552" s="22">
        <f>IF(ISBLANK($J552),$V552&amp;$W552,$J552)</f>
        <v/>
      </c>
      <c r="Y552" s="23">
        <f t="array" ref="Y552">IF(ISBLANK($M552),IFERROR(XLOOKUP($P552,'Department Listing'!$A:$A,'Department Listing'!$L:$L),""),$M552)</f>
        <v/>
      </c>
      <c r="Z552" s="11">
        <f>IF(ISBLANK($B552),"",MATCH($X552,COA!$B:$B,0))</f>
        <v/>
      </c>
    </row>
    <row r="553" ht="15.75" customHeight="1" s="52">
      <c r="B553" s="27" t="n"/>
      <c r="C553" s="10" t="n"/>
      <c r="D553" s="10" t="n"/>
      <c r="E553" s="28" t="n"/>
      <c r="F553" s="10" t="n"/>
      <c r="G553" s="10" t="n"/>
      <c r="H553" s="10" t="n"/>
      <c r="I553" s="9" t="n"/>
      <c r="J553" s="9" t="n"/>
      <c r="K553" s="9" t="n"/>
      <c r="L553" s="9" t="n"/>
      <c r="M553" s="9" t="n"/>
      <c r="N553" s="20" t="n"/>
      <c r="O553" s="20">
        <f>IF(C553="", "", TRIM(RIGHT(C553, LEN(C553) - FIND("@@", SUBSTITUTE(C553, "-", "@@", LEN(C553) - LEN(SUBSTITUTE(C553, "-", "")))))))</f>
        <v/>
      </c>
      <c r="P553" s="20">
        <f t="array" ref="P553">IFERROR(XLOOKUP(O553,'Department Listing'!$O$1:$O$395,'Department Listing'!$A$1:$A$395),IFERROR(XLOOKUP(O553,'Name Aliases'!$A$2:$A$1000,'Name Aliases'!$B$2:$B$1000),""))</f>
        <v/>
      </c>
      <c r="Q553" s="21">
        <f>IF(ISBLANK($C553),"",$B553)</f>
        <v/>
      </c>
      <c r="R553" s="20">
        <f>IF(ISBLANK($C553),"",IF(ISBLANK($I553),$D553,$I553))</f>
        <v/>
      </c>
      <c r="S553" s="22">
        <f>IF(ISBLANK($C553),"",$F553 - $G553)</f>
        <v/>
      </c>
      <c r="T553" s="20">
        <f>IF(ISBLANK($C553),"",C553)</f>
        <v/>
      </c>
      <c r="U553" s="20">
        <f>IF(ISBLANK($C553),"",$D$1)</f>
        <v/>
      </c>
      <c r="V553" s="22">
        <f t="array" ref="V553">IF(ISBLANK($B553),"",IF(ISBLANK($K553),IF(XLOOKUP($W553,'Category Mapping'!$C:$C,'Category Mapping'!$B:$B)="Travel",XLOOKUP($P553,'Department Listing'!$A:$A,'Department Listing'!$M:$M),XLOOKUP($W553,'Category Mapping'!$C:$C,'Category Mapping'!$D:$D)),$K553))</f>
        <v/>
      </c>
      <c r="W553" s="22">
        <f>IF(ISBLANK($B553),"",IF(ISBLANK($L553),RIGHT($E553,LEN($E553) - FIND("^",SUBSTITUTE($E553,":","^",LEN($E553) - LEN(SUBSTITUTE($E553,":",""))))),$L553))</f>
        <v/>
      </c>
      <c r="X553" s="22">
        <f>IF(ISBLANK($J553),$V553&amp;$W553,$J553)</f>
        <v/>
      </c>
      <c r="Y553" s="23">
        <f t="array" ref="Y553">IF(ISBLANK($M553),IFERROR(XLOOKUP($P553,'Department Listing'!$A:$A,'Department Listing'!$L:$L),""),$M553)</f>
        <v/>
      </c>
      <c r="Z553" s="11">
        <f>IF(ISBLANK($B553),"",MATCH($X553,COA!$B:$B,0))</f>
        <v/>
      </c>
    </row>
    <row r="554" ht="15.75" customHeight="1" s="52">
      <c r="B554" s="27" t="n"/>
      <c r="C554" s="10" t="n"/>
      <c r="D554" s="10" t="n"/>
      <c r="E554" s="28" t="n"/>
      <c r="F554" s="10" t="n"/>
      <c r="G554" s="10" t="n"/>
      <c r="H554" s="10" t="n"/>
      <c r="I554" s="9" t="n"/>
      <c r="J554" s="9" t="n"/>
      <c r="K554" s="9" t="n"/>
      <c r="L554" s="9" t="n"/>
      <c r="M554" s="9" t="n"/>
      <c r="N554" s="20" t="n"/>
      <c r="O554" s="20">
        <f>IF(C554="", "", TRIM(RIGHT(C554, LEN(C554) - FIND("@@", SUBSTITUTE(C554, "-", "@@", LEN(C554) - LEN(SUBSTITUTE(C554, "-", "")))))))</f>
        <v/>
      </c>
      <c r="P554" s="20">
        <f t="array" ref="P554">IFERROR(XLOOKUP(O554,'Department Listing'!$O$1:$O$395,'Department Listing'!$A$1:$A$395),IFERROR(XLOOKUP(O554,'Name Aliases'!$A$2:$A$1000,'Name Aliases'!$B$2:$B$1000),""))</f>
        <v/>
      </c>
      <c r="Q554" s="21">
        <f>IF(ISBLANK($C554),"",$B554)</f>
        <v/>
      </c>
      <c r="R554" s="20">
        <f>IF(ISBLANK($C554),"",IF(ISBLANK($I554),$D554,$I554))</f>
        <v/>
      </c>
      <c r="S554" s="22">
        <f>IF(ISBLANK($C554),"",$F554 - $G554)</f>
        <v/>
      </c>
      <c r="T554" s="20">
        <f>IF(ISBLANK($C554),"",C554)</f>
        <v/>
      </c>
      <c r="U554" s="20">
        <f>IF(ISBLANK($C554),"",$D$1)</f>
        <v/>
      </c>
      <c r="V554" s="22">
        <f t="array" ref="V554">IF(ISBLANK($B554),"",IF(ISBLANK($K554),IF(XLOOKUP($W554,'Category Mapping'!$C:$C,'Category Mapping'!$B:$B)="Travel",XLOOKUP($P554,'Department Listing'!$A:$A,'Department Listing'!$M:$M),XLOOKUP($W554,'Category Mapping'!$C:$C,'Category Mapping'!$D:$D)),$K554))</f>
        <v/>
      </c>
      <c r="W554" s="22">
        <f>IF(ISBLANK($B554),"",IF(ISBLANK($L554),RIGHT($E554,LEN($E554) - FIND("^",SUBSTITUTE($E554,":","^",LEN($E554) - LEN(SUBSTITUTE($E554,":",""))))),$L554))</f>
        <v/>
      </c>
      <c r="X554" s="22">
        <f>IF(ISBLANK($J554),$V554&amp;$W554,$J554)</f>
        <v/>
      </c>
      <c r="Y554" s="23">
        <f t="array" ref="Y554">IF(ISBLANK($M554),IFERROR(XLOOKUP($P554,'Department Listing'!$A:$A,'Department Listing'!$L:$L),""),$M554)</f>
        <v/>
      </c>
      <c r="Z554" s="11">
        <f>IF(ISBLANK($B554),"",MATCH($X554,COA!$B:$B,0))</f>
        <v/>
      </c>
    </row>
    <row r="555" ht="15.75" customHeight="1" s="52">
      <c r="B555" s="27" t="n"/>
      <c r="C555" s="10" t="n"/>
      <c r="D555" s="10" t="n"/>
      <c r="E555" s="28" t="n"/>
      <c r="F555" s="10" t="n"/>
      <c r="G555" s="10" t="n"/>
      <c r="H555" s="10" t="n"/>
      <c r="I555" s="9" t="n"/>
      <c r="J555" s="9" t="n"/>
      <c r="K555" s="9" t="n"/>
      <c r="L555" s="9" t="n"/>
      <c r="M555" s="9" t="n"/>
      <c r="N555" s="20" t="n"/>
      <c r="O555" s="20">
        <f>IF(C555="", "", TRIM(RIGHT(C555, LEN(C555) - FIND("@@", SUBSTITUTE(C555, "-", "@@", LEN(C555) - LEN(SUBSTITUTE(C555, "-", "")))))))</f>
        <v/>
      </c>
      <c r="P555" s="20">
        <f t="array" ref="P555">IFERROR(XLOOKUP(O555,'Department Listing'!$O$1:$O$395,'Department Listing'!$A$1:$A$395),IFERROR(XLOOKUP(O555,'Name Aliases'!$A$2:$A$1000,'Name Aliases'!$B$2:$B$1000),""))</f>
        <v/>
      </c>
      <c r="Q555" s="21">
        <f>IF(ISBLANK($C555),"",$B555)</f>
        <v/>
      </c>
      <c r="R555" s="20">
        <f>IF(ISBLANK($C555),"",IF(ISBLANK($I555),$D555,$I555))</f>
        <v/>
      </c>
      <c r="S555" s="22">
        <f>IF(ISBLANK($C555),"",$F555 - $G555)</f>
        <v/>
      </c>
      <c r="T555" s="20">
        <f>IF(ISBLANK($C555),"",C555)</f>
        <v/>
      </c>
      <c r="U555" s="20">
        <f>IF(ISBLANK($C555),"",$D$1)</f>
        <v/>
      </c>
      <c r="V555" s="22">
        <f t="array" ref="V555">IF(ISBLANK($B555),"",IF(ISBLANK($K555),IF(XLOOKUP($W555,'Category Mapping'!$C:$C,'Category Mapping'!$B:$B)="Travel",XLOOKUP($P555,'Department Listing'!$A:$A,'Department Listing'!$M:$M),XLOOKUP($W555,'Category Mapping'!$C:$C,'Category Mapping'!$D:$D)),$K555))</f>
        <v/>
      </c>
      <c r="W555" s="22">
        <f>IF(ISBLANK($B555),"",IF(ISBLANK($L555),RIGHT($E555,LEN($E555) - FIND("^",SUBSTITUTE($E555,":","^",LEN($E555) - LEN(SUBSTITUTE($E555,":",""))))),$L555))</f>
        <v/>
      </c>
      <c r="X555" s="22">
        <f>IF(ISBLANK($J555),$V555&amp;$W555,$J555)</f>
        <v/>
      </c>
      <c r="Y555" s="23">
        <f t="array" ref="Y555">IF(ISBLANK($M555),IFERROR(XLOOKUP($P555,'Department Listing'!$A:$A,'Department Listing'!$L:$L),""),$M555)</f>
        <v/>
      </c>
      <c r="Z555" s="11">
        <f>IF(ISBLANK($B555),"",MATCH($X555,COA!$B:$B,0))</f>
        <v/>
      </c>
    </row>
    <row r="556" ht="15.75" customHeight="1" s="52">
      <c r="B556" s="27" t="n"/>
      <c r="C556" s="10" t="n"/>
      <c r="D556" s="10" t="n"/>
      <c r="E556" s="28" t="n"/>
      <c r="F556" s="10" t="n"/>
      <c r="G556" s="10" t="n"/>
      <c r="H556" s="10" t="n"/>
      <c r="I556" s="9" t="n"/>
      <c r="J556" s="9" t="n"/>
      <c r="K556" s="9" t="n"/>
      <c r="L556" s="9" t="n"/>
      <c r="M556" s="9" t="n"/>
      <c r="N556" s="20" t="n"/>
      <c r="O556" s="20">
        <f>IF(C556="", "", TRIM(RIGHT(C556, LEN(C556) - FIND("@@", SUBSTITUTE(C556, "-", "@@", LEN(C556) - LEN(SUBSTITUTE(C556, "-", "")))))))</f>
        <v/>
      </c>
      <c r="P556" s="20">
        <f t="array" ref="P556">IFERROR(XLOOKUP(O556,'Department Listing'!$O$1:$O$395,'Department Listing'!$A$1:$A$395),IFERROR(XLOOKUP(O556,'Name Aliases'!$A$2:$A$1000,'Name Aliases'!$B$2:$B$1000),""))</f>
        <v/>
      </c>
      <c r="Q556" s="21">
        <f>IF(ISBLANK($C556),"",$B556)</f>
        <v/>
      </c>
      <c r="R556" s="20">
        <f>IF(ISBLANK($C556),"",IF(ISBLANK($I556),$D556,$I556))</f>
        <v/>
      </c>
      <c r="S556" s="22">
        <f>IF(ISBLANK($C556),"",$F556 - $G556)</f>
        <v/>
      </c>
      <c r="T556" s="20">
        <f>IF(ISBLANK($C556),"",C556)</f>
        <v/>
      </c>
      <c r="U556" s="20">
        <f>IF(ISBLANK($C556),"",$D$1)</f>
        <v/>
      </c>
      <c r="V556" s="22">
        <f t="array" ref="V556">IF(ISBLANK($B556),"",IF(ISBLANK($K556),IF(XLOOKUP($W556,'Category Mapping'!$C:$C,'Category Mapping'!$B:$B)="Travel",XLOOKUP($P556,'Department Listing'!$A:$A,'Department Listing'!$M:$M),XLOOKUP($W556,'Category Mapping'!$C:$C,'Category Mapping'!$D:$D)),$K556))</f>
        <v/>
      </c>
      <c r="W556" s="22">
        <f>IF(ISBLANK($B556),"",IF(ISBLANK($L556),RIGHT($E556,LEN($E556) - FIND("^",SUBSTITUTE($E556,":","^",LEN($E556) - LEN(SUBSTITUTE($E556,":",""))))),$L556))</f>
        <v/>
      </c>
      <c r="X556" s="22">
        <f>IF(ISBLANK($J556),$V556&amp;$W556,$J556)</f>
        <v/>
      </c>
      <c r="Y556" s="23">
        <f t="array" ref="Y556">IF(ISBLANK($M556),IFERROR(XLOOKUP($P556,'Department Listing'!$A:$A,'Department Listing'!$L:$L),""),$M556)</f>
        <v/>
      </c>
      <c r="Z556" s="11">
        <f>IF(ISBLANK($B556),"",MATCH($X556,COA!$B:$B,0))</f>
        <v/>
      </c>
    </row>
    <row r="557" ht="15.75" customHeight="1" s="52">
      <c r="B557" s="27" t="n"/>
      <c r="C557" s="10" t="n"/>
      <c r="D557" s="10" t="n"/>
      <c r="E557" s="28" t="n"/>
      <c r="F557" s="10" t="n"/>
      <c r="G557" s="10" t="n"/>
      <c r="H557" s="10" t="n"/>
      <c r="I557" s="9" t="n"/>
      <c r="J557" s="9" t="n"/>
      <c r="K557" s="9" t="n"/>
      <c r="L557" s="9" t="n"/>
      <c r="M557" s="9" t="n"/>
      <c r="N557" s="20" t="n"/>
      <c r="O557" s="20">
        <f>IF(C557="", "", TRIM(RIGHT(C557, LEN(C557) - FIND("@@", SUBSTITUTE(C557, "-", "@@", LEN(C557) - LEN(SUBSTITUTE(C557, "-", "")))))))</f>
        <v/>
      </c>
      <c r="P557" s="20">
        <f t="array" ref="P557">IFERROR(XLOOKUP(O557,'Department Listing'!$O$1:$O$395,'Department Listing'!$A$1:$A$395),IFERROR(XLOOKUP(O557,'Name Aliases'!$A$2:$A$1000,'Name Aliases'!$B$2:$B$1000),""))</f>
        <v/>
      </c>
      <c r="Q557" s="21">
        <f>IF(ISBLANK($C557),"",$B557)</f>
        <v/>
      </c>
      <c r="R557" s="20">
        <f>IF(ISBLANK($C557),"",IF(ISBLANK($I557),$D557,$I557))</f>
        <v/>
      </c>
      <c r="S557" s="22">
        <f>IF(ISBLANK($C557),"",$F557 - $G557)</f>
        <v/>
      </c>
      <c r="T557" s="20">
        <f>IF(ISBLANK($C557),"",C557)</f>
        <v/>
      </c>
      <c r="U557" s="20">
        <f>IF(ISBLANK($C557),"",$D$1)</f>
        <v/>
      </c>
      <c r="V557" s="22">
        <f t="array" ref="V557">IF(ISBLANK($B557),"",IF(ISBLANK($K557),IF(XLOOKUP($W557,'Category Mapping'!$C:$C,'Category Mapping'!$B:$B)="Travel",XLOOKUP($P557,'Department Listing'!$A:$A,'Department Listing'!$M:$M),XLOOKUP($W557,'Category Mapping'!$C:$C,'Category Mapping'!$D:$D)),$K557))</f>
        <v/>
      </c>
      <c r="W557" s="22">
        <f>IF(ISBLANK($B557),"",IF(ISBLANK($L557),RIGHT($E557,LEN($E557) - FIND("^",SUBSTITUTE($E557,":","^",LEN($E557) - LEN(SUBSTITUTE($E557,":",""))))),$L557))</f>
        <v/>
      </c>
      <c r="X557" s="22">
        <f>IF(ISBLANK($J557),$V557&amp;$W557,$J557)</f>
        <v/>
      </c>
      <c r="Y557" s="23">
        <f t="array" ref="Y557">IF(ISBLANK($M557),IFERROR(XLOOKUP($P557,'Department Listing'!$A:$A,'Department Listing'!$L:$L),""),$M557)</f>
        <v/>
      </c>
      <c r="Z557" s="11">
        <f>IF(ISBLANK($B557),"",MATCH($X557,COA!$B:$B,0))</f>
        <v/>
      </c>
    </row>
    <row r="558" ht="15.75" customHeight="1" s="52">
      <c r="B558" s="27" t="n"/>
      <c r="C558" s="10" t="n"/>
      <c r="D558" s="10" t="n"/>
      <c r="E558" s="28" t="n"/>
      <c r="F558" s="10" t="n"/>
      <c r="G558" s="10" t="n"/>
      <c r="H558" s="10" t="n"/>
      <c r="I558" s="9" t="n"/>
      <c r="J558" s="9" t="n"/>
      <c r="K558" s="9" t="n"/>
      <c r="L558" s="9" t="n"/>
      <c r="M558" s="9" t="n"/>
      <c r="N558" s="20" t="n"/>
      <c r="O558" s="20">
        <f>IF(C558="", "", TRIM(RIGHT(C558, LEN(C558) - FIND("@@", SUBSTITUTE(C558, "-", "@@", LEN(C558) - LEN(SUBSTITUTE(C558, "-", "")))))))</f>
        <v/>
      </c>
      <c r="P558" s="20">
        <f t="array" ref="P558">IFERROR(XLOOKUP(O558,'Department Listing'!$O$1:$O$395,'Department Listing'!$A$1:$A$395),IFERROR(XLOOKUP(O558,'Name Aliases'!$A$2:$A$1000,'Name Aliases'!$B$2:$B$1000),""))</f>
        <v/>
      </c>
      <c r="Q558" s="21">
        <f>IF(ISBLANK($C558),"",$B558)</f>
        <v/>
      </c>
      <c r="R558" s="20">
        <f>IF(ISBLANK($C558),"",IF(ISBLANK($I558),$D558,$I558))</f>
        <v/>
      </c>
      <c r="S558" s="22">
        <f>IF(ISBLANK($C558),"",$F558 - $G558)</f>
        <v/>
      </c>
      <c r="T558" s="20">
        <f>IF(ISBLANK($C558),"",C558)</f>
        <v/>
      </c>
      <c r="U558" s="20">
        <f>IF(ISBLANK($C558),"",$D$1)</f>
        <v/>
      </c>
      <c r="V558" s="22">
        <f t="array" ref="V558">IF(ISBLANK($B558),"",IF(ISBLANK($K558),IF(XLOOKUP($W558,'Category Mapping'!$C:$C,'Category Mapping'!$B:$B)="Travel",XLOOKUP($P558,'Department Listing'!$A:$A,'Department Listing'!$M:$M),XLOOKUP($W558,'Category Mapping'!$C:$C,'Category Mapping'!$D:$D)),$K558))</f>
        <v/>
      </c>
      <c r="W558" s="22">
        <f>IF(ISBLANK($B558),"",IF(ISBLANK($L558),RIGHT($E558,LEN($E558) - FIND("^",SUBSTITUTE($E558,":","^",LEN($E558) - LEN(SUBSTITUTE($E558,":",""))))),$L558))</f>
        <v/>
      </c>
      <c r="X558" s="22">
        <f>IF(ISBLANK($J558),$V558&amp;$W558,$J558)</f>
        <v/>
      </c>
      <c r="Y558" s="23">
        <f t="array" ref="Y558">IF(ISBLANK($M558),IFERROR(XLOOKUP($P558,'Department Listing'!$A:$A,'Department Listing'!$L:$L),""),$M558)</f>
        <v/>
      </c>
      <c r="Z558" s="11">
        <f>IF(ISBLANK($B558),"",MATCH($X558,COA!$B:$B,0))</f>
        <v/>
      </c>
    </row>
    <row r="559" ht="15.75" customHeight="1" s="52">
      <c r="B559" s="27" t="n"/>
      <c r="C559" s="10" t="n"/>
      <c r="D559" s="10" t="n"/>
      <c r="E559" s="28" t="n"/>
      <c r="F559" s="10" t="n"/>
      <c r="G559" s="10" t="n"/>
      <c r="H559" s="10" t="n"/>
      <c r="I559" s="9" t="n"/>
      <c r="J559" s="9" t="n"/>
      <c r="K559" s="9" t="n"/>
      <c r="L559" s="9" t="n"/>
      <c r="M559" s="9" t="n"/>
      <c r="N559" s="20" t="n"/>
      <c r="O559" s="20">
        <f>IF(C559="", "", TRIM(RIGHT(C559, LEN(C559) - FIND("@@", SUBSTITUTE(C559, "-", "@@", LEN(C559) - LEN(SUBSTITUTE(C559, "-", "")))))))</f>
        <v/>
      </c>
      <c r="P559" s="20">
        <f t="array" ref="P559">IFERROR(XLOOKUP(O559,'Department Listing'!$O$1:$O$395,'Department Listing'!$A$1:$A$395),IFERROR(XLOOKUP(O559,'Name Aliases'!$A$2:$A$1000,'Name Aliases'!$B$2:$B$1000),""))</f>
        <v/>
      </c>
      <c r="Q559" s="21">
        <f>IF(ISBLANK($C559),"",$B559)</f>
        <v/>
      </c>
      <c r="R559" s="20">
        <f>IF(ISBLANK($C559),"",IF(ISBLANK($I559),$D559,$I559))</f>
        <v/>
      </c>
      <c r="S559" s="22">
        <f>IF(ISBLANK($C559),"",$F559 - $G559)</f>
        <v/>
      </c>
      <c r="T559" s="20">
        <f>IF(ISBLANK($C559),"",C559)</f>
        <v/>
      </c>
      <c r="U559" s="20">
        <f>IF(ISBLANK($C559),"",$D$1)</f>
        <v/>
      </c>
      <c r="V559" s="22">
        <f t="array" ref="V559">IF(ISBLANK($B559),"",IF(ISBLANK($K559),IF(XLOOKUP($W559,'Category Mapping'!$C:$C,'Category Mapping'!$B:$B)="Travel",XLOOKUP($P559,'Department Listing'!$A:$A,'Department Listing'!$M:$M),XLOOKUP($W559,'Category Mapping'!$C:$C,'Category Mapping'!$D:$D)),$K559))</f>
        <v/>
      </c>
      <c r="W559" s="22">
        <f>IF(ISBLANK($B559),"",IF(ISBLANK($L559),RIGHT($E559,LEN($E559) - FIND("^",SUBSTITUTE($E559,":","^",LEN($E559) - LEN(SUBSTITUTE($E559,":",""))))),$L559))</f>
        <v/>
      </c>
      <c r="X559" s="22">
        <f>IF(ISBLANK($J559),$V559&amp;$W559,$J559)</f>
        <v/>
      </c>
      <c r="Y559" s="23">
        <f t="array" ref="Y559">IF(ISBLANK($M559),IFERROR(XLOOKUP($P559,'Department Listing'!$A:$A,'Department Listing'!$L:$L),""),$M559)</f>
        <v/>
      </c>
      <c r="Z559" s="11">
        <f>IF(ISBLANK($B559),"",MATCH($X559,COA!$B:$B,0))</f>
        <v/>
      </c>
    </row>
    <row r="560" ht="15.75" customHeight="1" s="52">
      <c r="B560" s="27" t="n"/>
      <c r="C560" s="10" t="n"/>
      <c r="D560" s="10" t="n"/>
      <c r="E560" s="28" t="n"/>
      <c r="F560" s="10" t="n"/>
      <c r="G560" s="10" t="n"/>
      <c r="H560" s="10" t="n"/>
      <c r="I560" s="9" t="n"/>
      <c r="J560" s="9" t="n"/>
      <c r="K560" s="9" t="n"/>
      <c r="L560" s="9" t="n"/>
      <c r="M560" s="9" t="n"/>
      <c r="N560" s="20" t="n"/>
      <c r="O560" s="20">
        <f>IF(C560="", "", TRIM(RIGHT(C560, LEN(C560) - FIND("@@", SUBSTITUTE(C560, "-", "@@", LEN(C560) - LEN(SUBSTITUTE(C560, "-", "")))))))</f>
        <v/>
      </c>
      <c r="P560" s="20">
        <f t="array" ref="P560">IFERROR(XLOOKUP(O560,'Department Listing'!$O$1:$O$395,'Department Listing'!$A$1:$A$395),IFERROR(XLOOKUP(O560,'Name Aliases'!$A$2:$A$1000,'Name Aliases'!$B$2:$B$1000),""))</f>
        <v/>
      </c>
      <c r="Q560" s="21">
        <f>IF(ISBLANK($C560),"",$B560)</f>
        <v/>
      </c>
      <c r="R560" s="20">
        <f>IF(ISBLANK($C560),"",IF(ISBLANK($I560),$D560,$I560))</f>
        <v/>
      </c>
      <c r="S560" s="22">
        <f>IF(ISBLANK($C560),"",$F560 - $G560)</f>
        <v/>
      </c>
      <c r="T560" s="20">
        <f>IF(ISBLANK($C560),"",C560)</f>
        <v/>
      </c>
      <c r="U560" s="20">
        <f>IF(ISBLANK($C560),"",$D$1)</f>
        <v/>
      </c>
      <c r="V560" s="22">
        <f t="array" ref="V560">IF(ISBLANK($B560),"",IF(ISBLANK($K560),IF(XLOOKUP($W560,'Category Mapping'!$C:$C,'Category Mapping'!$B:$B)="Travel",XLOOKUP($P560,'Department Listing'!$A:$A,'Department Listing'!$M:$M),XLOOKUP($W560,'Category Mapping'!$C:$C,'Category Mapping'!$D:$D)),$K560))</f>
        <v/>
      </c>
      <c r="W560" s="22">
        <f>IF(ISBLANK($B560),"",IF(ISBLANK($L560),RIGHT($E560,LEN($E560) - FIND("^",SUBSTITUTE($E560,":","^",LEN($E560) - LEN(SUBSTITUTE($E560,":",""))))),$L560))</f>
        <v/>
      </c>
      <c r="X560" s="22">
        <f>IF(ISBLANK($J560),$V560&amp;$W560,$J560)</f>
        <v/>
      </c>
      <c r="Y560" s="23">
        <f t="array" ref="Y560">IF(ISBLANK($M560),IFERROR(XLOOKUP($P560,'Department Listing'!$A:$A,'Department Listing'!$L:$L),""),$M560)</f>
        <v/>
      </c>
      <c r="Z560" s="11">
        <f>IF(ISBLANK($B560),"",MATCH($X560,COA!$B:$B,0))</f>
        <v/>
      </c>
    </row>
    <row r="561" ht="15.75" customHeight="1" s="52">
      <c r="B561" s="27" t="n"/>
      <c r="C561" s="10" t="n"/>
      <c r="D561" s="10" t="n"/>
      <c r="E561" s="28" t="n"/>
      <c r="F561" s="10" t="n"/>
      <c r="G561" s="10" t="n"/>
      <c r="H561" s="10" t="n"/>
      <c r="I561" s="9" t="n"/>
      <c r="J561" s="9" t="n"/>
      <c r="K561" s="9" t="n"/>
      <c r="L561" s="9" t="n"/>
      <c r="M561" s="9" t="n"/>
      <c r="N561" s="20" t="n"/>
      <c r="O561" s="20">
        <f>IF(C561="", "", TRIM(RIGHT(C561, LEN(C561) - FIND("@@", SUBSTITUTE(C561, "-", "@@", LEN(C561) - LEN(SUBSTITUTE(C561, "-", "")))))))</f>
        <v/>
      </c>
      <c r="P561" s="20">
        <f t="array" ref="P561">IFERROR(XLOOKUP(O561,'Department Listing'!$O$1:$O$395,'Department Listing'!$A$1:$A$395),IFERROR(XLOOKUP(O561,'Name Aliases'!$A$2:$A$1000,'Name Aliases'!$B$2:$B$1000),""))</f>
        <v/>
      </c>
      <c r="Q561" s="21">
        <f>IF(ISBLANK($C561),"",$B561)</f>
        <v/>
      </c>
      <c r="R561" s="20">
        <f>IF(ISBLANK($C561),"",IF(ISBLANK($I561),$D561,$I561))</f>
        <v/>
      </c>
      <c r="S561" s="22">
        <f>IF(ISBLANK($C561),"",$F561 - $G561)</f>
        <v/>
      </c>
      <c r="T561" s="20">
        <f>IF(ISBLANK($C561),"",C561)</f>
        <v/>
      </c>
      <c r="U561" s="20">
        <f>IF(ISBLANK($C561),"",$D$1)</f>
        <v/>
      </c>
      <c r="V561" s="22">
        <f t="array" ref="V561">IF(ISBLANK($B561),"",IF(ISBLANK($K561),IF(XLOOKUP($W561,'Category Mapping'!$C:$C,'Category Mapping'!$B:$B)="Travel",XLOOKUP($P561,'Department Listing'!$A:$A,'Department Listing'!$M:$M),XLOOKUP($W561,'Category Mapping'!$C:$C,'Category Mapping'!$D:$D)),$K561))</f>
        <v/>
      </c>
      <c r="W561" s="22">
        <f>IF(ISBLANK($B561),"",IF(ISBLANK($L561),RIGHT($E561,LEN($E561) - FIND("^",SUBSTITUTE($E561,":","^",LEN($E561) - LEN(SUBSTITUTE($E561,":",""))))),$L561))</f>
        <v/>
      </c>
      <c r="X561" s="22">
        <f>IF(ISBLANK($J561),$V561&amp;$W561,$J561)</f>
        <v/>
      </c>
      <c r="Y561" s="23">
        <f t="array" ref="Y561">IF(ISBLANK($M561),IFERROR(XLOOKUP($P561,'Department Listing'!$A:$A,'Department Listing'!$L:$L),""),$M561)</f>
        <v/>
      </c>
      <c r="Z561" s="11">
        <f>IF(ISBLANK($B561),"",MATCH($X561,COA!$B:$B,0))</f>
        <v/>
      </c>
    </row>
    <row r="562" ht="15.75" customHeight="1" s="52">
      <c r="B562" s="27" t="n"/>
      <c r="C562" s="10" t="n"/>
      <c r="D562" s="10" t="n"/>
      <c r="E562" s="28" t="n"/>
      <c r="F562" s="10" t="n"/>
      <c r="G562" s="10" t="n"/>
      <c r="H562" s="10" t="n"/>
      <c r="I562" s="9" t="n"/>
      <c r="J562" s="9" t="n"/>
      <c r="K562" s="9" t="n"/>
      <c r="L562" s="9" t="n"/>
      <c r="M562" s="9" t="n"/>
      <c r="N562" s="20" t="n"/>
      <c r="O562" s="20">
        <f>IF(C562="", "", TRIM(RIGHT(C562, LEN(C562) - FIND("@@", SUBSTITUTE(C562, "-", "@@", LEN(C562) - LEN(SUBSTITUTE(C562, "-", "")))))))</f>
        <v/>
      </c>
      <c r="P562" s="20">
        <f t="array" ref="P562">IFERROR(XLOOKUP(O562,'Department Listing'!$O$1:$O$395,'Department Listing'!$A$1:$A$395),IFERROR(XLOOKUP(O562,'Name Aliases'!$A$2:$A$1000,'Name Aliases'!$B$2:$B$1000),""))</f>
        <v/>
      </c>
      <c r="Q562" s="21">
        <f>IF(ISBLANK($C562),"",$B562)</f>
        <v/>
      </c>
      <c r="R562" s="20">
        <f>IF(ISBLANK($C562),"",IF(ISBLANK($I562),$D562,$I562))</f>
        <v/>
      </c>
      <c r="S562" s="22">
        <f>IF(ISBLANK($C562),"",$F562 - $G562)</f>
        <v/>
      </c>
      <c r="T562" s="20">
        <f>IF(ISBLANK($C562),"",C562)</f>
        <v/>
      </c>
      <c r="U562" s="20">
        <f>IF(ISBLANK($C562),"",$D$1)</f>
        <v/>
      </c>
      <c r="V562" s="22">
        <f t="array" ref="V562">IF(ISBLANK($B562),"",IF(ISBLANK($K562),IF(XLOOKUP($W562,'Category Mapping'!$C:$C,'Category Mapping'!$B:$B)="Travel",XLOOKUP($P562,'Department Listing'!$A:$A,'Department Listing'!$M:$M),XLOOKUP($W562,'Category Mapping'!$C:$C,'Category Mapping'!$D:$D)),$K562))</f>
        <v/>
      </c>
      <c r="W562" s="22">
        <f>IF(ISBLANK($B562),"",IF(ISBLANK($L562),RIGHT($E562,LEN($E562) - FIND("^",SUBSTITUTE($E562,":","^",LEN($E562) - LEN(SUBSTITUTE($E562,":",""))))),$L562))</f>
        <v/>
      </c>
      <c r="X562" s="22">
        <f>IF(ISBLANK($J562),$V562&amp;$W562,$J562)</f>
        <v/>
      </c>
      <c r="Y562" s="23">
        <f t="array" ref="Y562">IF(ISBLANK($M562),IFERROR(XLOOKUP($P562,'Department Listing'!$A:$A,'Department Listing'!$L:$L),""),$M562)</f>
        <v/>
      </c>
      <c r="Z562" s="11">
        <f>IF(ISBLANK($B562),"",MATCH($X562,COA!$B:$B,0))</f>
        <v/>
      </c>
    </row>
    <row r="563" ht="15.75" customHeight="1" s="52">
      <c r="B563" s="27" t="n"/>
      <c r="C563" s="10" t="n"/>
      <c r="D563" s="10" t="n"/>
      <c r="E563" s="28" t="n"/>
      <c r="F563" s="10" t="n"/>
      <c r="G563" s="10" t="n"/>
      <c r="H563" s="10" t="n"/>
      <c r="I563" s="9" t="n"/>
      <c r="J563" s="9" t="n"/>
      <c r="K563" s="9" t="n"/>
      <c r="L563" s="9" t="n"/>
      <c r="M563" s="9" t="n"/>
      <c r="N563" s="20" t="n"/>
      <c r="O563" s="20">
        <f>IF(C563="", "", TRIM(RIGHT(C563, LEN(C563) - FIND("@@", SUBSTITUTE(C563, "-", "@@", LEN(C563) - LEN(SUBSTITUTE(C563, "-", "")))))))</f>
        <v/>
      </c>
      <c r="P563" s="20">
        <f t="array" ref="P563">IFERROR(XLOOKUP(O563,'Department Listing'!$O$1:$O$395,'Department Listing'!$A$1:$A$395),IFERROR(XLOOKUP(O563,'Name Aliases'!$A$2:$A$1000,'Name Aliases'!$B$2:$B$1000),""))</f>
        <v/>
      </c>
      <c r="Q563" s="21">
        <f>IF(ISBLANK($C563),"",$B563)</f>
        <v/>
      </c>
      <c r="R563" s="20">
        <f>IF(ISBLANK($C563),"",IF(ISBLANK($I563),$D563,$I563))</f>
        <v/>
      </c>
      <c r="S563" s="22">
        <f>IF(ISBLANK($C563),"",$F563 - $G563)</f>
        <v/>
      </c>
      <c r="T563" s="20">
        <f>IF(ISBLANK($C563),"",C563)</f>
        <v/>
      </c>
      <c r="U563" s="20">
        <f>IF(ISBLANK($C563),"",$D$1)</f>
        <v/>
      </c>
      <c r="V563" s="22">
        <f t="array" ref="V563">IF(ISBLANK($B563),"",IF(ISBLANK($K563),IF(XLOOKUP($W563,'Category Mapping'!$C:$C,'Category Mapping'!$B:$B)="Travel",XLOOKUP($P563,'Department Listing'!$A:$A,'Department Listing'!$M:$M),XLOOKUP($W563,'Category Mapping'!$C:$C,'Category Mapping'!$D:$D)),$K563))</f>
        <v/>
      </c>
      <c r="W563" s="22">
        <f>IF(ISBLANK($B563),"",IF(ISBLANK($L563),RIGHT($E563,LEN($E563) - FIND("^",SUBSTITUTE($E563,":","^",LEN($E563) - LEN(SUBSTITUTE($E563,":",""))))),$L563))</f>
        <v/>
      </c>
      <c r="X563" s="22">
        <f>IF(ISBLANK($J563),$V563&amp;$W563,$J563)</f>
        <v/>
      </c>
      <c r="Y563" s="23">
        <f t="array" ref="Y563">IF(ISBLANK($M563),IFERROR(XLOOKUP($P563,'Department Listing'!$A:$A,'Department Listing'!$L:$L),""),$M563)</f>
        <v/>
      </c>
      <c r="Z563" s="11">
        <f>IF(ISBLANK($B563),"",MATCH($X563,COA!$B:$B,0))</f>
        <v/>
      </c>
    </row>
    <row r="564" ht="15.75" customHeight="1" s="52">
      <c r="B564" s="27" t="n"/>
      <c r="C564" s="10" t="n"/>
      <c r="D564" s="10" t="n"/>
      <c r="E564" s="28" t="n"/>
      <c r="F564" s="10" t="n"/>
      <c r="G564" s="10" t="n"/>
      <c r="H564" s="10" t="n"/>
      <c r="I564" s="9" t="n"/>
      <c r="J564" s="9" t="n"/>
      <c r="K564" s="9" t="n"/>
      <c r="L564" s="9" t="n"/>
      <c r="M564" s="9" t="n"/>
      <c r="N564" s="20" t="n"/>
      <c r="O564" s="20">
        <f>IF(C564="", "", TRIM(RIGHT(C564, LEN(C564) - FIND("@@", SUBSTITUTE(C564, "-", "@@", LEN(C564) - LEN(SUBSTITUTE(C564, "-", "")))))))</f>
        <v/>
      </c>
      <c r="P564" s="20">
        <f t="array" ref="P564">IFERROR(XLOOKUP(O564,'Department Listing'!$O$1:$O$395,'Department Listing'!$A$1:$A$395),IFERROR(XLOOKUP(O564,'Name Aliases'!$A$2:$A$1000,'Name Aliases'!$B$2:$B$1000),""))</f>
        <v/>
      </c>
      <c r="Q564" s="21">
        <f>IF(ISBLANK($C564),"",$B564)</f>
        <v/>
      </c>
      <c r="R564" s="20">
        <f>IF(ISBLANK($C564),"",IF(ISBLANK($I564),$D564,$I564))</f>
        <v/>
      </c>
      <c r="S564" s="22">
        <f>IF(ISBLANK($C564),"",$F564 - $G564)</f>
        <v/>
      </c>
      <c r="T564" s="20">
        <f>IF(ISBLANK($C564),"",C564)</f>
        <v/>
      </c>
      <c r="U564" s="20">
        <f>IF(ISBLANK($C564),"",$D$1)</f>
        <v/>
      </c>
      <c r="V564" s="22">
        <f t="array" ref="V564">IF(ISBLANK($B564),"",IF(ISBLANK($K564),IF(XLOOKUP($W564,'Category Mapping'!$C:$C,'Category Mapping'!$B:$B)="Travel",XLOOKUP($P564,'Department Listing'!$A:$A,'Department Listing'!$M:$M),XLOOKUP($W564,'Category Mapping'!$C:$C,'Category Mapping'!$D:$D)),$K564))</f>
        <v/>
      </c>
      <c r="W564" s="22">
        <f>IF(ISBLANK($B564),"",IF(ISBLANK($L564),RIGHT($E564,LEN($E564) - FIND("^",SUBSTITUTE($E564,":","^",LEN($E564) - LEN(SUBSTITUTE($E564,":",""))))),$L564))</f>
        <v/>
      </c>
      <c r="X564" s="22">
        <f>IF(ISBLANK($J564),$V564&amp;$W564,$J564)</f>
        <v/>
      </c>
      <c r="Y564" s="23">
        <f t="array" ref="Y564">IF(ISBLANK($M564),IFERROR(XLOOKUP($P564,'Department Listing'!$A:$A,'Department Listing'!$L:$L),""),$M564)</f>
        <v/>
      </c>
      <c r="Z564" s="11">
        <f>IF(ISBLANK($B564),"",MATCH($X564,COA!$B:$B,0))</f>
        <v/>
      </c>
    </row>
    <row r="565" ht="15.75" customHeight="1" s="52">
      <c r="B565" s="27" t="n"/>
      <c r="C565" s="10" t="n"/>
      <c r="D565" s="10" t="n"/>
      <c r="E565" s="28" t="n"/>
      <c r="F565" s="10" t="n"/>
      <c r="G565" s="10" t="n"/>
      <c r="H565" s="10" t="n"/>
      <c r="I565" s="9" t="n"/>
      <c r="J565" s="9" t="n"/>
      <c r="K565" s="9" t="n"/>
      <c r="L565" s="9" t="n"/>
      <c r="M565" s="9" t="n"/>
      <c r="N565" s="20" t="n"/>
      <c r="O565" s="20">
        <f>IF(C565="", "", TRIM(RIGHT(C565, LEN(C565) - FIND("@@", SUBSTITUTE(C565, "-", "@@", LEN(C565) - LEN(SUBSTITUTE(C565, "-", "")))))))</f>
        <v/>
      </c>
      <c r="P565" s="20">
        <f t="array" ref="P565">IFERROR(XLOOKUP(O565,'Department Listing'!$O$1:$O$395,'Department Listing'!$A$1:$A$395),IFERROR(XLOOKUP(O565,'Name Aliases'!$A$2:$A$1000,'Name Aliases'!$B$2:$B$1000),""))</f>
        <v/>
      </c>
      <c r="Q565" s="21">
        <f>IF(ISBLANK($C565),"",$B565)</f>
        <v/>
      </c>
      <c r="R565" s="20">
        <f>IF(ISBLANK($C565),"",IF(ISBLANK($I565),$D565,$I565))</f>
        <v/>
      </c>
      <c r="S565" s="22">
        <f>IF(ISBLANK($C565),"",$F565 - $G565)</f>
        <v/>
      </c>
      <c r="T565" s="20">
        <f>IF(ISBLANK($C565),"",C565)</f>
        <v/>
      </c>
      <c r="U565" s="20">
        <f>IF(ISBLANK($C565),"",$D$1)</f>
        <v/>
      </c>
      <c r="V565" s="22">
        <f t="array" ref="V565">IF(ISBLANK($B565),"",IF(ISBLANK($K565),IF(XLOOKUP($W565,'Category Mapping'!$C:$C,'Category Mapping'!$B:$B)="Travel",XLOOKUP($P565,'Department Listing'!$A:$A,'Department Listing'!$M:$M),XLOOKUP($W565,'Category Mapping'!$C:$C,'Category Mapping'!$D:$D)),$K565))</f>
        <v/>
      </c>
      <c r="W565" s="22">
        <f>IF(ISBLANK($B565),"",IF(ISBLANK($L565),RIGHT($E565,LEN($E565) - FIND("^",SUBSTITUTE($E565,":","^",LEN($E565) - LEN(SUBSTITUTE($E565,":",""))))),$L565))</f>
        <v/>
      </c>
      <c r="X565" s="22">
        <f>IF(ISBLANK($J565),$V565&amp;$W565,$J565)</f>
        <v/>
      </c>
      <c r="Y565" s="23">
        <f t="array" ref="Y565">IF(ISBLANK($M565),IFERROR(XLOOKUP($P565,'Department Listing'!$A:$A,'Department Listing'!$L:$L),""),$M565)</f>
        <v/>
      </c>
      <c r="Z565" s="11">
        <f>IF(ISBLANK($B565),"",MATCH($X565,COA!$B:$B,0))</f>
        <v/>
      </c>
    </row>
    <row r="566" ht="15.75" customHeight="1" s="52">
      <c r="B566" s="27" t="n"/>
      <c r="C566" s="10" t="n"/>
      <c r="D566" s="10" t="n"/>
      <c r="E566" s="28" t="n"/>
      <c r="F566" s="10" t="n"/>
      <c r="G566" s="10" t="n"/>
      <c r="H566" s="10" t="n"/>
      <c r="I566" s="9" t="n"/>
      <c r="J566" s="9" t="n"/>
      <c r="K566" s="9" t="n"/>
      <c r="L566" s="9" t="n"/>
      <c r="M566" s="9" t="n"/>
      <c r="N566" s="20" t="n"/>
      <c r="O566" s="20">
        <f>IF(C566="", "", TRIM(RIGHT(C566, LEN(C566) - FIND("@@", SUBSTITUTE(C566, "-", "@@", LEN(C566) - LEN(SUBSTITUTE(C566, "-", "")))))))</f>
        <v/>
      </c>
      <c r="P566" s="20">
        <f t="array" ref="P566">IFERROR(XLOOKUP(O566,'Department Listing'!$O$1:$O$395,'Department Listing'!$A$1:$A$395),IFERROR(XLOOKUP(O566,'Name Aliases'!$A$2:$A$1000,'Name Aliases'!$B$2:$B$1000),""))</f>
        <v/>
      </c>
      <c r="Q566" s="21">
        <f>IF(ISBLANK($C566),"",$B566)</f>
        <v/>
      </c>
      <c r="R566" s="20">
        <f>IF(ISBLANK($C566),"",IF(ISBLANK($I566),$D566,$I566))</f>
        <v/>
      </c>
      <c r="S566" s="22">
        <f>IF(ISBLANK($C566),"",$F566 - $G566)</f>
        <v/>
      </c>
      <c r="T566" s="20">
        <f>IF(ISBLANK($C566),"",C566)</f>
        <v/>
      </c>
      <c r="U566" s="20">
        <f>IF(ISBLANK($C566),"",$D$1)</f>
        <v/>
      </c>
      <c r="V566" s="22">
        <f t="array" ref="V566">IF(ISBLANK($B566),"",IF(ISBLANK($K566),IF(XLOOKUP($W566,'Category Mapping'!$C:$C,'Category Mapping'!$B:$B)="Travel",XLOOKUP($P566,'Department Listing'!$A:$A,'Department Listing'!$M:$M),XLOOKUP($W566,'Category Mapping'!$C:$C,'Category Mapping'!$D:$D)),$K566))</f>
        <v/>
      </c>
      <c r="W566" s="22">
        <f>IF(ISBLANK($B566),"",IF(ISBLANK($L566),RIGHT($E566,LEN($E566) - FIND("^",SUBSTITUTE($E566,":","^",LEN($E566) - LEN(SUBSTITUTE($E566,":",""))))),$L566))</f>
        <v/>
      </c>
      <c r="X566" s="22">
        <f>IF(ISBLANK($J566),$V566&amp;$W566,$J566)</f>
        <v/>
      </c>
      <c r="Y566" s="23">
        <f t="array" ref="Y566">IF(ISBLANK($M566),IFERROR(XLOOKUP($P566,'Department Listing'!$A:$A,'Department Listing'!$L:$L),""),$M566)</f>
        <v/>
      </c>
      <c r="Z566" s="11">
        <f>IF(ISBLANK($B566),"",MATCH($X566,COA!$B:$B,0))</f>
        <v/>
      </c>
    </row>
    <row r="567" ht="15.75" customHeight="1" s="52">
      <c r="B567" s="27" t="n"/>
      <c r="C567" s="10" t="n"/>
      <c r="D567" s="10" t="n"/>
      <c r="E567" s="28" t="n"/>
      <c r="F567" s="10" t="n"/>
      <c r="G567" s="10" t="n"/>
      <c r="H567" s="10" t="n"/>
      <c r="I567" s="9" t="n"/>
      <c r="J567" s="9" t="n"/>
      <c r="K567" s="9" t="n"/>
      <c r="L567" s="9" t="n"/>
      <c r="M567" s="9" t="n"/>
      <c r="N567" s="20" t="n"/>
      <c r="O567" s="20">
        <f>IF(C567="", "", TRIM(RIGHT(C567, LEN(C567) - FIND("@@", SUBSTITUTE(C567, "-", "@@", LEN(C567) - LEN(SUBSTITUTE(C567, "-", "")))))))</f>
        <v/>
      </c>
      <c r="P567" s="20">
        <f t="array" ref="P567">IFERROR(XLOOKUP(O567,'Department Listing'!$O$1:$O$395,'Department Listing'!$A$1:$A$395),IFERROR(XLOOKUP(O567,'Name Aliases'!$A$2:$A$1000,'Name Aliases'!$B$2:$B$1000),""))</f>
        <v/>
      </c>
      <c r="Q567" s="21">
        <f>IF(ISBLANK($C567),"",$B567)</f>
        <v/>
      </c>
      <c r="R567" s="20">
        <f>IF(ISBLANK($C567),"",IF(ISBLANK($I567),$D567,$I567))</f>
        <v/>
      </c>
      <c r="S567" s="22">
        <f>IF(ISBLANK($C567),"",$F567 - $G567)</f>
        <v/>
      </c>
      <c r="T567" s="20">
        <f>IF(ISBLANK($C567),"",C567)</f>
        <v/>
      </c>
      <c r="U567" s="20">
        <f>IF(ISBLANK($C567),"",$D$1)</f>
        <v/>
      </c>
      <c r="V567" s="22">
        <f t="array" ref="V567">IF(ISBLANK($B567),"",IF(ISBLANK($K567),IF(XLOOKUP($W567,'Category Mapping'!$C:$C,'Category Mapping'!$B:$B)="Travel",XLOOKUP($P567,'Department Listing'!$A:$A,'Department Listing'!$M:$M),XLOOKUP($W567,'Category Mapping'!$C:$C,'Category Mapping'!$D:$D)),$K567))</f>
        <v/>
      </c>
      <c r="W567" s="22">
        <f>IF(ISBLANK($B567),"",IF(ISBLANK($L567),RIGHT($E567,LEN($E567) - FIND("^",SUBSTITUTE($E567,":","^",LEN($E567) - LEN(SUBSTITUTE($E567,":",""))))),$L567))</f>
        <v/>
      </c>
      <c r="X567" s="22">
        <f>IF(ISBLANK($J567),$V567&amp;$W567,$J567)</f>
        <v/>
      </c>
      <c r="Y567" s="23">
        <f t="array" ref="Y567">IF(ISBLANK($M567),IFERROR(XLOOKUP($P567,'Department Listing'!$A:$A,'Department Listing'!$L:$L),""),$M567)</f>
        <v/>
      </c>
      <c r="Z567" s="11">
        <f>IF(ISBLANK($B567),"",MATCH($X567,COA!$B:$B,0))</f>
        <v/>
      </c>
    </row>
    <row r="568" ht="15.75" customHeight="1" s="52">
      <c r="B568" s="27" t="n"/>
      <c r="C568" s="10" t="n"/>
      <c r="D568" s="10" t="n"/>
      <c r="E568" s="28" t="n"/>
      <c r="F568" s="10" t="n"/>
      <c r="G568" s="10" t="n"/>
      <c r="H568" s="10" t="n"/>
      <c r="I568" s="9" t="n"/>
      <c r="J568" s="9" t="n"/>
      <c r="K568" s="9" t="n"/>
      <c r="L568" s="9" t="n"/>
      <c r="M568" s="9" t="n"/>
      <c r="N568" s="20" t="n"/>
      <c r="O568" s="20">
        <f>IF(C568="", "", TRIM(RIGHT(C568, LEN(C568) - FIND("@@", SUBSTITUTE(C568, "-", "@@", LEN(C568) - LEN(SUBSTITUTE(C568, "-", "")))))))</f>
        <v/>
      </c>
      <c r="P568" s="20">
        <f t="array" ref="P568">IFERROR(XLOOKUP(O568,'Department Listing'!$O$1:$O$395,'Department Listing'!$A$1:$A$395),IFERROR(XLOOKUP(O568,'Name Aliases'!$A$2:$A$1000,'Name Aliases'!$B$2:$B$1000),""))</f>
        <v/>
      </c>
      <c r="Q568" s="21">
        <f>IF(ISBLANK($C568),"",$B568)</f>
        <v/>
      </c>
      <c r="R568" s="20">
        <f>IF(ISBLANK($C568),"",IF(ISBLANK($I568),$D568,$I568))</f>
        <v/>
      </c>
      <c r="S568" s="22">
        <f>IF(ISBLANK($C568),"",$F568 - $G568)</f>
        <v/>
      </c>
      <c r="T568" s="20">
        <f>IF(ISBLANK($C568),"",C568)</f>
        <v/>
      </c>
      <c r="U568" s="20">
        <f>IF(ISBLANK($C568),"",$D$1)</f>
        <v/>
      </c>
      <c r="V568" s="22">
        <f t="array" ref="V568">IF(ISBLANK($B568),"",IF(ISBLANK($K568),IF(XLOOKUP($W568,'Category Mapping'!$C:$C,'Category Mapping'!$B:$B)="Travel",XLOOKUP($P568,'Department Listing'!$A:$A,'Department Listing'!$M:$M),XLOOKUP($W568,'Category Mapping'!$C:$C,'Category Mapping'!$D:$D)),$K568))</f>
        <v/>
      </c>
      <c r="W568" s="22">
        <f>IF(ISBLANK($B568),"",IF(ISBLANK($L568),RIGHT($E568,LEN($E568) - FIND("^",SUBSTITUTE($E568,":","^",LEN($E568) - LEN(SUBSTITUTE($E568,":",""))))),$L568))</f>
        <v/>
      </c>
      <c r="X568" s="22">
        <f>IF(ISBLANK($J568),$V568&amp;$W568,$J568)</f>
        <v/>
      </c>
      <c r="Y568" s="23">
        <f t="array" ref="Y568">IF(ISBLANK($M568),IFERROR(XLOOKUP($P568,'Department Listing'!$A:$A,'Department Listing'!$L:$L),""),$M568)</f>
        <v/>
      </c>
      <c r="Z568" s="11">
        <f>IF(ISBLANK($B568),"",MATCH($X568,COA!$B:$B,0))</f>
        <v/>
      </c>
    </row>
    <row r="569" ht="15.75" customHeight="1" s="52">
      <c r="B569" s="27" t="n"/>
      <c r="C569" s="10" t="n"/>
      <c r="D569" s="10" t="n"/>
      <c r="E569" s="28" t="n"/>
      <c r="F569" s="10" t="n"/>
      <c r="G569" s="10" t="n"/>
      <c r="H569" s="10" t="n"/>
      <c r="I569" s="9" t="n"/>
      <c r="J569" s="9" t="n"/>
      <c r="K569" s="9" t="n"/>
      <c r="L569" s="9" t="n"/>
      <c r="M569" s="9" t="n"/>
      <c r="N569" s="20" t="n"/>
      <c r="O569" s="20">
        <f>IF(C569="", "", TRIM(RIGHT(C569, LEN(C569) - FIND("@@", SUBSTITUTE(C569, "-", "@@", LEN(C569) - LEN(SUBSTITUTE(C569, "-", "")))))))</f>
        <v/>
      </c>
      <c r="P569" s="20">
        <f t="array" ref="P569">IFERROR(XLOOKUP(O569,'Department Listing'!$O$1:$O$395,'Department Listing'!$A$1:$A$395),IFERROR(XLOOKUP(O569,'Name Aliases'!$A$2:$A$1000,'Name Aliases'!$B$2:$B$1000),""))</f>
        <v/>
      </c>
      <c r="Q569" s="21">
        <f>IF(ISBLANK($C569),"",$B569)</f>
        <v/>
      </c>
      <c r="R569" s="20">
        <f>IF(ISBLANK($C569),"",IF(ISBLANK($I569),$D569,$I569))</f>
        <v/>
      </c>
      <c r="S569" s="22">
        <f>IF(ISBLANK($C569),"",$F569 - $G569)</f>
        <v/>
      </c>
      <c r="T569" s="20">
        <f>IF(ISBLANK($C569),"",C569)</f>
        <v/>
      </c>
      <c r="U569" s="20">
        <f>IF(ISBLANK($C569),"",$D$1)</f>
        <v/>
      </c>
      <c r="V569" s="22">
        <f t="array" ref="V569">IF(ISBLANK($B569),"",IF(ISBLANK($K569),IF(XLOOKUP($W569,'Category Mapping'!$C:$C,'Category Mapping'!$B:$B)="Travel",XLOOKUP($P569,'Department Listing'!$A:$A,'Department Listing'!$M:$M),XLOOKUP($W569,'Category Mapping'!$C:$C,'Category Mapping'!$D:$D)),$K569))</f>
        <v/>
      </c>
      <c r="W569" s="22">
        <f>IF(ISBLANK($B569),"",IF(ISBLANK($L569),RIGHT($E569,LEN($E569) - FIND("^",SUBSTITUTE($E569,":","^",LEN($E569) - LEN(SUBSTITUTE($E569,":",""))))),$L569))</f>
        <v/>
      </c>
      <c r="X569" s="22">
        <f>IF(ISBLANK($J569),$V569&amp;$W569,$J569)</f>
        <v/>
      </c>
      <c r="Y569" s="23">
        <f t="array" ref="Y569">IF(ISBLANK($M569),IFERROR(XLOOKUP($P569,'Department Listing'!$A:$A,'Department Listing'!$L:$L),""),$M569)</f>
        <v/>
      </c>
      <c r="Z569" s="11">
        <f>IF(ISBLANK($B569),"",MATCH($X569,COA!$B:$B,0))</f>
        <v/>
      </c>
    </row>
    <row r="570" ht="15.75" customHeight="1" s="52">
      <c r="B570" s="27" t="n"/>
      <c r="C570" s="10" t="n"/>
      <c r="D570" s="10" t="n"/>
      <c r="E570" s="28" t="n"/>
      <c r="F570" s="10" t="n"/>
      <c r="G570" s="10" t="n"/>
      <c r="H570" s="10" t="n"/>
      <c r="I570" s="9" t="n"/>
      <c r="J570" s="9" t="n"/>
      <c r="K570" s="9" t="n"/>
      <c r="L570" s="9" t="n"/>
      <c r="M570" s="9" t="n"/>
      <c r="N570" s="20" t="n"/>
      <c r="O570" s="20">
        <f>IF(C570="", "", TRIM(RIGHT(C570, LEN(C570) - FIND("@@", SUBSTITUTE(C570, "-", "@@", LEN(C570) - LEN(SUBSTITUTE(C570, "-", "")))))))</f>
        <v/>
      </c>
      <c r="P570" s="20">
        <f t="array" ref="P570">IFERROR(XLOOKUP(O570,'Department Listing'!$O$1:$O$395,'Department Listing'!$A$1:$A$395),IFERROR(XLOOKUP(O570,'Name Aliases'!$A$2:$A$1000,'Name Aliases'!$B$2:$B$1000),""))</f>
        <v/>
      </c>
      <c r="Q570" s="21">
        <f>IF(ISBLANK($C570),"",$B570)</f>
        <v/>
      </c>
      <c r="R570" s="20">
        <f>IF(ISBLANK($C570),"",IF(ISBLANK($I570),$D570,$I570))</f>
        <v/>
      </c>
      <c r="S570" s="22">
        <f>IF(ISBLANK($C570),"",$F570 - $G570)</f>
        <v/>
      </c>
      <c r="T570" s="20">
        <f>IF(ISBLANK($C570),"",C570)</f>
        <v/>
      </c>
      <c r="U570" s="20">
        <f>IF(ISBLANK($C570),"",$D$1)</f>
        <v/>
      </c>
      <c r="V570" s="22">
        <f t="array" ref="V570">IF(ISBLANK($B570),"",IF(ISBLANK($K570),IF(XLOOKUP($W570,'Category Mapping'!$C:$C,'Category Mapping'!$B:$B)="Travel",XLOOKUP($P570,'Department Listing'!$A:$A,'Department Listing'!$M:$M),XLOOKUP($W570,'Category Mapping'!$C:$C,'Category Mapping'!$D:$D)),$K570))</f>
        <v/>
      </c>
      <c r="W570" s="22">
        <f>IF(ISBLANK($B570),"",IF(ISBLANK($L570),RIGHT($E570,LEN($E570) - FIND("^",SUBSTITUTE($E570,":","^",LEN($E570) - LEN(SUBSTITUTE($E570,":",""))))),$L570))</f>
        <v/>
      </c>
      <c r="X570" s="22">
        <f>IF(ISBLANK($J570),$V570&amp;$W570,$J570)</f>
        <v/>
      </c>
      <c r="Y570" s="23">
        <f t="array" ref="Y570">IF(ISBLANK($M570),IFERROR(XLOOKUP($P570,'Department Listing'!$A:$A,'Department Listing'!$L:$L),""),$M570)</f>
        <v/>
      </c>
      <c r="Z570" s="11">
        <f>IF(ISBLANK($B570),"",MATCH($X570,COA!$B:$B,0))</f>
        <v/>
      </c>
    </row>
    <row r="571" ht="15.75" customHeight="1" s="52">
      <c r="B571" s="27" t="n"/>
      <c r="C571" s="10" t="n"/>
      <c r="D571" s="10" t="n"/>
      <c r="E571" s="28" t="n"/>
      <c r="F571" s="10" t="n"/>
      <c r="G571" s="10" t="n"/>
      <c r="H571" s="10" t="n"/>
      <c r="I571" s="9" t="n"/>
      <c r="J571" s="9" t="n"/>
      <c r="K571" s="9" t="n"/>
      <c r="L571" s="9" t="n"/>
      <c r="M571" s="9" t="n"/>
      <c r="N571" s="20" t="n"/>
      <c r="O571" s="20">
        <f>IF(C571="", "", TRIM(RIGHT(C571, LEN(C571) - FIND("@@", SUBSTITUTE(C571, "-", "@@", LEN(C571) - LEN(SUBSTITUTE(C571, "-", "")))))))</f>
        <v/>
      </c>
      <c r="P571" s="20">
        <f t="array" ref="P571">IFERROR(XLOOKUP(O571,'Department Listing'!$O$1:$O$395,'Department Listing'!$A$1:$A$395),IFERROR(XLOOKUP(O571,'Name Aliases'!$A$2:$A$1000,'Name Aliases'!$B$2:$B$1000),""))</f>
        <v/>
      </c>
      <c r="Q571" s="21">
        <f>IF(ISBLANK($C571),"",$B571)</f>
        <v/>
      </c>
      <c r="R571" s="20">
        <f>IF(ISBLANK($C571),"",IF(ISBLANK($I571),$D571,$I571))</f>
        <v/>
      </c>
      <c r="S571" s="22">
        <f>IF(ISBLANK($C571),"",$F571 - $G571)</f>
        <v/>
      </c>
      <c r="T571" s="20">
        <f>IF(ISBLANK($C571),"",C571)</f>
        <v/>
      </c>
      <c r="U571" s="20">
        <f>IF(ISBLANK($C571),"",$D$1)</f>
        <v/>
      </c>
      <c r="V571" s="22">
        <f t="array" ref="V571">IF(ISBLANK($B571),"",IF(ISBLANK($K571),IF(XLOOKUP($W571,'Category Mapping'!$C:$C,'Category Mapping'!$B:$B)="Travel",XLOOKUP($P571,'Department Listing'!$A:$A,'Department Listing'!$M:$M),XLOOKUP($W571,'Category Mapping'!$C:$C,'Category Mapping'!$D:$D)),$K571))</f>
        <v/>
      </c>
      <c r="W571" s="22">
        <f>IF(ISBLANK($B571),"",IF(ISBLANK($L571),RIGHT($E571,LEN($E571) - FIND("^",SUBSTITUTE($E571,":","^",LEN($E571) - LEN(SUBSTITUTE($E571,":",""))))),$L571))</f>
        <v/>
      </c>
      <c r="X571" s="22">
        <f>IF(ISBLANK($J571),$V571&amp;$W571,$J571)</f>
        <v/>
      </c>
      <c r="Y571" s="23">
        <f t="array" ref="Y571">IF(ISBLANK($M571),IFERROR(XLOOKUP($P571,'Department Listing'!$A:$A,'Department Listing'!$L:$L),""),$M571)</f>
        <v/>
      </c>
      <c r="Z571" s="11">
        <f>IF(ISBLANK($B571),"",MATCH($X571,COA!$B:$B,0))</f>
        <v/>
      </c>
    </row>
    <row r="572" ht="15.75" customHeight="1" s="52">
      <c r="B572" s="27" t="n"/>
      <c r="C572" s="10" t="n"/>
      <c r="D572" s="10" t="n"/>
      <c r="E572" s="28" t="n"/>
      <c r="F572" s="10" t="n"/>
      <c r="G572" s="10" t="n"/>
      <c r="H572" s="10" t="n"/>
      <c r="I572" s="9" t="n"/>
      <c r="J572" s="9" t="n"/>
      <c r="K572" s="9" t="n"/>
      <c r="L572" s="9" t="n"/>
      <c r="M572" s="9" t="n"/>
      <c r="N572" s="20" t="n"/>
      <c r="O572" s="20">
        <f>IF(C572="", "", TRIM(RIGHT(C572, LEN(C572) - FIND("@@", SUBSTITUTE(C572, "-", "@@", LEN(C572) - LEN(SUBSTITUTE(C572, "-", "")))))))</f>
        <v/>
      </c>
      <c r="P572" s="20">
        <f t="array" ref="P572">IFERROR(XLOOKUP(O572,'Department Listing'!$O$1:$O$395,'Department Listing'!$A$1:$A$395),IFERROR(XLOOKUP(O572,'Name Aliases'!$A$2:$A$1000,'Name Aliases'!$B$2:$B$1000),""))</f>
        <v/>
      </c>
      <c r="Q572" s="21">
        <f>IF(ISBLANK($C572),"",$B572)</f>
        <v/>
      </c>
      <c r="R572" s="20">
        <f>IF(ISBLANK($C572),"",IF(ISBLANK($I572),$D572,$I572))</f>
        <v/>
      </c>
      <c r="S572" s="22">
        <f>IF(ISBLANK($C572),"",$F572 - $G572)</f>
        <v/>
      </c>
      <c r="T572" s="20">
        <f>IF(ISBLANK($C572),"",C572)</f>
        <v/>
      </c>
      <c r="U572" s="20">
        <f>IF(ISBLANK($C572),"",$D$1)</f>
        <v/>
      </c>
      <c r="V572" s="22">
        <f t="array" ref="V572">IF(ISBLANK($B572),"",IF(ISBLANK($K572),IF(XLOOKUP($W572,'Category Mapping'!$C:$C,'Category Mapping'!$B:$B)="Travel",XLOOKUP($P572,'Department Listing'!$A:$A,'Department Listing'!$M:$M),XLOOKUP($W572,'Category Mapping'!$C:$C,'Category Mapping'!$D:$D)),$K572))</f>
        <v/>
      </c>
      <c r="W572" s="22">
        <f>IF(ISBLANK($B572),"",IF(ISBLANK($L572),RIGHT($E572,LEN($E572) - FIND("^",SUBSTITUTE($E572,":","^",LEN($E572) - LEN(SUBSTITUTE($E572,":",""))))),$L572))</f>
        <v/>
      </c>
      <c r="X572" s="22">
        <f>IF(ISBLANK($J572),$V572&amp;$W572,$J572)</f>
        <v/>
      </c>
      <c r="Y572" s="23">
        <f t="array" ref="Y572">IF(ISBLANK($M572),IFERROR(XLOOKUP($P572,'Department Listing'!$A:$A,'Department Listing'!$L:$L),""),$M572)</f>
        <v/>
      </c>
      <c r="Z572" s="11">
        <f>IF(ISBLANK($B572),"",MATCH($X572,COA!$B:$B,0))</f>
        <v/>
      </c>
    </row>
    <row r="573" ht="15.75" customHeight="1" s="52">
      <c r="B573" s="27" t="n"/>
      <c r="C573" s="10" t="n"/>
      <c r="D573" s="10" t="n"/>
      <c r="E573" s="28" t="n"/>
      <c r="F573" s="10" t="n"/>
      <c r="G573" s="10" t="n"/>
      <c r="H573" s="10" t="n"/>
      <c r="I573" s="9" t="n"/>
      <c r="J573" s="9" t="n"/>
      <c r="K573" s="9" t="n"/>
      <c r="L573" s="9" t="n"/>
      <c r="M573" s="9" t="n"/>
      <c r="N573" s="20" t="n"/>
      <c r="O573" s="20">
        <f>IF(C573="", "", TRIM(RIGHT(C573, LEN(C573) - FIND("@@", SUBSTITUTE(C573, "-", "@@", LEN(C573) - LEN(SUBSTITUTE(C573, "-", "")))))))</f>
        <v/>
      </c>
      <c r="P573" s="20">
        <f t="array" ref="P573">IFERROR(XLOOKUP(O573,'Department Listing'!$O$1:$O$395,'Department Listing'!$A$1:$A$395),IFERROR(XLOOKUP(O573,'Name Aliases'!$A$2:$A$1000,'Name Aliases'!$B$2:$B$1000),""))</f>
        <v/>
      </c>
      <c r="Q573" s="21">
        <f>IF(ISBLANK($C573),"",$B573)</f>
        <v/>
      </c>
      <c r="R573" s="20">
        <f>IF(ISBLANK($C573),"",IF(ISBLANK($I573),$D573,$I573))</f>
        <v/>
      </c>
      <c r="S573" s="22">
        <f>IF(ISBLANK($C573),"",$F573 - $G573)</f>
        <v/>
      </c>
      <c r="T573" s="20">
        <f>IF(ISBLANK($C573),"",C573)</f>
        <v/>
      </c>
      <c r="U573" s="20">
        <f>IF(ISBLANK($C573),"",$D$1)</f>
        <v/>
      </c>
      <c r="V573" s="22">
        <f t="array" ref="V573">IF(ISBLANK($B573),"",IF(ISBLANK($K573),IF(XLOOKUP($W573,'Category Mapping'!$C:$C,'Category Mapping'!$B:$B)="Travel",XLOOKUP($P573,'Department Listing'!$A:$A,'Department Listing'!$M:$M),XLOOKUP($W573,'Category Mapping'!$C:$C,'Category Mapping'!$D:$D)),$K573))</f>
        <v/>
      </c>
      <c r="W573" s="22">
        <f>IF(ISBLANK($B573),"",IF(ISBLANK($L573),RIGHT($E573,LEN($E573) - FIND("^",SUBSTITUTE($E573,":","^",LEN($E573) - LEN(SUBSTITUTE($E573,":",""))))),$L573))</f>
        <v/>
      </c>
      <c r="X573" s="22">
        <f>IF(ISBLANK($J573),$V573&amp;$W573,$J573)</f>
        <v/>
      </c>
      <c r="Y573" s="23">
        <f t="array" ref="Y573">IF(ISBLANK($M573),IFERROR(XLOOKUP($P573,'Department Listing'!$A:$A,'Department Listing'!$L:$L),""),$M573)</f>
        <v/>
      </c>
      <c r="Z573" s="11">
        <f>IF(ISBLANK($B573),"",MATCH($X573,COA!$B:$B,0))</f>
        <v/>
      </c>
    </row>
    <row r="574" ht="15.75" customHeight="1" s="52">
      <c r="B574" s="27" t="n"/>
      <c r="C574" s="10" t="n"/>
      <c r="D574" s="10" t="n"/>
      <c r="E574" s="28" t="n"/>
      <c r="F574" s="10" t="n"/>
      <c r="G574" s="10" t="n"/>
      <c r="H574" s="10" t="n"/>
      <c r="I574" s="9" t="n"/>
      <c r="J574" s="9" t="n"/>
      <c r="K574" s="9" t="n"/>
      <c r="L574" s="9" t="n"/>
      <c r="M574" s="9" t="n"/>
      <c r="N574" s="20" t="n"/>
      <c r="O574" s="20">
        <f>IF(C574="", "", TRIM(RIGHT(C574, LEN(C574) - FIND("@@", SUBSTITUTE(C574, "-", "@@", LEN(C574) - LEN(SUBSTITUTE(C574, "-", "")))))))</f>
        <v/>
      </c>
      <c r="P574" s="20">
        <f t="array" ref="P574">IFERROR(XLOOKUP(O574,'Department Listing'!$O$1:$O$395,'Department Listing'!$A$1:$A$395),IFERROR(XLOOKUP(O574,'Name Aliases'!$A$2:$A$1000,'Name Aliases'!$B$2:$B$1000),""))</f>
        <v/>
      </c>
      <c r="Q574" s="21">
        <f>IF(ISBLANK($C574),"",$B574)</f>
        <v/>
      </c>
      <c r="R574" s="20">
        <f>IF(ISBLANK($C574),"",IF(ISBLANK($I574),$D574,$I574))</f>
        <v/>
      </c>
      <c r="S574" s="22">
        <f>IF(ISBLANK($C574),"",$F574 - $G574)</f>
        <v/>
      </c>
      <c r="T574" s="20">
        <f>IF(ISBLANK($C574),"",C574)</f>
        <v/>
      </c>
      <c r="U574" s="20">
        <f>IF(ISBLANK($C574),"",$D$1)</f>
        <v/>
      </c>
      <c r="V574" s="22">
        <f t="array" ref="V574">IF(ISBLANK($B574),"",IF(ISBLANK($K574),IF(XLOOKUP($W574,'Category Mapping'!$C:$C,'Category Mapping'!$B:$B)="Travel",XLOOKUP($P574,'Department Listing'!$A:$A,'Department Listing'!$M:$M),XLOOKUP($W574,'Category Mapping'!$C:$C,'Category Mapping'!$D:$D)),$K574))</f>
        <v/>
      </c>
      <c r="W574" s="22">
        <f>IF(ISBLANK($B574),"",IF(ISBLANK($L574),RIGHT($E574,LEN($E574) - FIND("^",SUBSTITUTE($E574,":","^",LEN($E574) - LEN(SUBSTITUTE($E574,":",""))))),$L574))</f>
        <v/>
      </c>
      <c r="X574" s="22">
        <f>IF(ISBLANK($J574),$V574&amp;$W574,$J574)</f>
        <v/>
      </c>
      <c r="Y574" s="23">
        <f t="array" ref="Y574">IF(ISBLANK($M574),IFERROR(XLOOKUP($P574,'Department Listing'!$A:$A,'Department Listing'!$L:$L),""),$M574)</f>
        <v/>
      </c>
      <c r="Z574" s="11">
        <f>IF(ISBLANK($B574),"",MATCH($X574,COA!$B:$B,0))</f>
        <v/>
      </c>
    </row>
    <row r="575" ht="15.75" customHeight="1" s="52">
      <c r="B575" s="27" t="n"/>
      <c r="C575" s="10" t="n"/>
      <c r="D575" s="10" t="n"/>
      <c r="E575" s="28" t="n"/>
      <c r="F575" s="10" t="n"/>
      <c r="G575" s="10" t="n"/>
      <c r="H575" s="10" t="n"/>
      <c r="I575" s="9" t="n"/>
      <c r="J575" s="9" t="n"/>
      <c r="K575" s="9" t="n"/>
      <c r="L575" s="9" t="n"/>
      <c r="M575" s="9" t="n"/>
      <c r="N575" s="20" t="n"/>
      <c r="O575" s="20">
        <f>IF(C575="", "", TRIM(RIGHT(C575, LEN(C575) - FIND("@@", SUBSTITUTE(C575, "-", "@@", LEN(C575) - LEN(SUBSTITUTE(C575, "-", "")))))))</f>
        <v/>
      </c>
      <c r="P575" s="20">
        <f t="array" ref="P575">IFERROR(XLOOKUP(O575,'Department Listing'!$O$1:$O$395,'Department Listing'!$A$1:$A$395),IFERROR(XLOOKUP(O575,'Name Aliases'!$A$2:$A$1000,'Name Aliases'!$B$2:$B$1000),""))</f>
        <v/>
      </c>
      <c r="Q575" s="21">
        <f>IF(ISBLANK($C575),"",$B575)</f>
        <v/>
      </c>
      <c r="R575" s="20">
        <f>IF(ISBLANK($C575),"",IF(ISBLANK($I575),$D575,$I575))</f>
        <v/>
      </c>
      <c r="S575" s="22">
        <f>IF(ISBLANK($C575),"",$F575 - $G575)</f>
        <v/>
      </c>
      <c r="T575" s="20">
        <f>IF(ISBLANK($C575),"",C575)</f>
        <v/>
      </c>
      <c r="U575" s="20">
        <f>IF(ISBLANK($C575),"",$D$1)</f>
        <v/>
      </c>
      <c r="V575" s="22">
        <f t="array" ref="V575">IF(ISBLANK($B575),"",IF(ISBLANK($K575),IF(XLOOKUP($W575,'Category Mapping'!$C:$C,'Category Mapping'!$B:$B)="Travel",XLOOKUP($P575,'Department Listing'!$A:$A,'Department Listing'!$M:$M),XLOOKUP($W575,'Category Mapping'!$C:$C,'Category Mapping'!$D:$D)),$K575))</f>
        <v/>
      </c>
      <c r="W575" s="22">
        <f>IF(ISBLANK($B575),"",IF(ISBLANK($L575),RIGHT($E575,LEN($E575) - FIND("^",SUBSTITUTE($E575,":","^",LEN($E575) - LEN(SUBSTITUTE($E575,":",""))))),$L575))</f>
        <v/>
      </c>
      <c r="X575" s="22">
        <f>IF(ISBLANK($J575),$V575&amp;$W575,$J575)</f>
        <v/>
      </c>
      <c r="Y575" s="23">
        <f t="array" ref="Y575">IF(ISBLANK($M575),IFERROR(XLOOKUP($P575,'Department Listing'!$A:$A,'Department Listing'!$L:$L),""),$M575)</f>
        <v/>
      </c>
      <c r="Z575" s="11">
        <f>IF(ISBLANK($B575),"",MATCH($X575,COA!$B:$B,0))</f>
        <v/>
      </c>
    </row>
    <row r="576" ht="15.75" customHeight="1" s="52">
      <c r="B576" s="27" t="n"/>
      <c r="C576" s="10" t="n"/>
      <c r="D576" s="10" t="n"/>
      <c r="E576" s="28" t="n"/>
      <c r="F576" s="10" t="n"/>
      <c r="G576" s="10" t="n"/>
      <c r="H576" s="10" t="n"/>
      <c r="I576" s="9" t="n"/>
      <c r="J576" s="9" t="n"/>
      <c r="K576" s="9" t="n"/>
      <c r="L576" s="9" t="n"/>
      <c r="M576" s="9" t="n"/>
      <c r="N576" s="20" t="n"/>
      <c r="O576" s="20">
        <f>IF(C576="", "", TRIM(RIGHT(C576, LEN(C576) - FIND("@@", SUBSTITUTE(C576, "-", "@@", LEN(C576) - LEN(SUBSTITUTE(C576, "-", "")))))))</f>
        <v/>
      </c>
      <c r="P576" s="20">
        <f t="array" ref="P576">IFERROR(XLOOKUP(O576,'Department Listing'!$O$1:$O$395,'Department Listing'!$A$1:$A$395),IFERROR(XLOOKUP(O576,'Name Aliases'!$A$2:$A$1000,'Name Aliases'!$B$2:$B$1000),""))</f>
        <v/>
      </c>
      <c r="Q576" s="21">
        <f>IF(ISBLANK($C576),"",$B576)</f>
        <v/>
      </c>
      <c r="R576" s="20">
        <f>IF(ISBLANK($C576),"",IF(ISBLANK($I576),$D576,$I576))</f>
        <v/>
      </c>
      <c r="S576" s="22">
        <f>IF(ISBLANK($C576),"",$F576 - $G576)</f>
        <v/>
      </c>
      <c r="T576" s="20">
        <f>IF(ISBLANK($C576),"",C576)</f>
        <v/>
      </c>
      <c r="U576" s="20">
        <f>IF(ISBLANK($C576),"",$D$1)</f>
        <v/>
      </c>
      <c r="V576" s="22">
        <f t="array" ref="V576">IF(ISBLANK($B576),"",IF(ISBLANK($K576),IF(XLOOKUP($W576,'Category Mapping'!$C:$C,'Category Mapping'!$B:$B)="Travel",XLOOKUP($P576,'Department Listing'!$A:$A,'Department Listing'!$M:$M),XLOOKUP($W576,'Category Mapping'!$C:$C,'Category Mapping'!$D:$D)),$K576))</f>
        <v/>
      </c>
      <c r="W576" s="22">
        <f>IF(ISBLANK($B576),"",IF(ISBLANK($L576),RIGHT($E576,LEN($E576) - FIND("^",SUBSTITUTE($E576,":","^",LEN($E576) - LEN(SUBSTITUTE($E576,":",""))))),$L576))</f>
        <v/>
      </c>
      <c r="X576" s="22">
        <f>IF(ISBLANK($J576),$V576&amp;$W576,$J576)</f>
        <v/>
      </c>
      <c r="Y576" s="23">
        <f t="array" ref="Y576">IF(ISBLANK($M576),IFERROR(XLOOKUP($P576,'Department Listing'!$A:$A,'Department Listing'!$L:$L),""),$M576)</f>
        <v/>
      </c>
      <c r="Z576" s="11">
        <f>IF(ISBLANK($B576),"",MATCH($X576,COA!$B:$B,0))</f>
        <v/>
      </c>
    </row>
    <row r="577" ht="15.75" customHeight="1" s="52">
      <c r="B577" s="27" t="n"/>
      <c r="C577" s="10" t="n"/>
      <c r="D577" s="10" t="n"/>
      <c r="E577" s="28" t="n"/>
      <c r="F577" s="10" t="n"/>
      <c r="G577" s="10" t="n"/>
      <c r="H577" s="10" t="n"/>
      <c r="I577" s="9" t="n"/>
      <c r="J577" s="9" t="n"/>
      <c r="K577" s="9" t="n"/>
      <c r="L577" s="9" t="n"/>
      <c r="M577" s="9" t="n"/>
      <c r="N577" s="20" t="n"/>
      <c r="O577" s="20">
        <f>IF(C577="", "", TRIM(RIGHT(C577, LEN(C577) - FIND("@@", SUBSTITUTE(C577, "-", "@@", LEN(C577) - LEN(SUBSTITUTE(C577, "-", "")))))))</f>
        <v/>
      </c>
      <c r="P577" s="20">
        <f t="array" ref="P577">IFERROR(XLOOKUP(O577,'Department Listing'!$O$1:$O$395,'Department Listing'!$A$1:$A$395),IFERROR(XLOOKUP(O577,'Name Aliases'!$A$2:$A$1000,'Name Aliases'!$B$2:$B$1000),""))</f>
        <v/>
      </c>
      <c r="Q577" s="21">
        <f>IF(ISBLANK($C577),"",$B577)</f>
        <v/>
      </c>
      <c r="R577" s="20">
        <f>IF(ISBLANK($C577),"",IF(ISBLANK($I577),$D577,$I577))</f>
        <v/>
      </c>
      <c r="S577" s="22">
        <f>IF(ISBLANK($C577),"",$F577 - $G577)</f>
        <v/>
      </c>
      <c r="T577" s="20">
        <f>IF(ISBLANK($C577),"",C577)</f>
        <v/>
      </c>
      <c r="U577" s="20">
        <f>IF(ISBLANK($C577),"",$D$1)</f>
        <v/>
      </c>
      <c r="V577" s="22">
        <f t="array" ref="V577">IF(ISBLANK($B577),"",IF(ISBLANK($K577),IF(XLOOKUP($W577,'Category Mapping'!$C:$C,'Category Mapping'!$B:$B)="Travel",XLOOKUP($P577,'Department Listing'!$A:$A,'Department Listing'!$M:$M),XLOOKUP($W577,'Category Mapping'!$C:$C,'Category Mapping'!$D:$D)),$K577))</f>
        <v/>
      </c>
      <c r="W577" s="22">
        <f>IF(ISBLANK($B577),"",IF(ISBLANK($L577),RIGHT($E577,LEN($E577) - FIND("^",SUBSTITUTE($E577,":","^",LEN($E577) - LEN(SUBSTITUTE($E577,":",""))))),$L577))</f>
        <v/>
      </c>
      <c r="X577" s="22">
        <f>IF(ISBLANK($J577),$V577&amp;$W577,$J577)</f>
        <v/>
      </c>
      <c r="Y577" s="23">
        <f t="array" ref="Y577">IF(ISBLANK($M577),IFERROR(XLOOKUP($P577,'Department Listing'!$A:$A,'Department Listing'!$L:$L),""),$M577)</f>
        <v/>
      </c>
      <c r="Z577" s="11">
        <f>IF(ISBLANK($B577),"",MATCH($X577,COA!$B:$B,0))</f>
        <v/>
      </c>
    </row>
    <row r="578" ht="15.75" customHeight="1" s="52">
      <c r="B578" s="27" t="n"/>
      <c r="C578" s="10" t="n"/>
      <c r="D578" s="10" t="n"/>
      <c r="E578" s="28" t="n"/>
      <c r="F578" s="10" t="n"/>
      <c r="G578" s="10" t="n"/>
      <c r="H578" s="10" t="n"/>
      <c r="I578" s="9" t="n"/>
      <c r="J578" s="9" t="n"/>
      <c r="K578" s="9" t="n"/>
      <c r="L578" s="9" t="n"/>
      <c r="M578" s="9" t="n"/>
      <c r="N578" s="20" t="n"/>
      <c r="O578" s="20">
        <f>IF(C578="", "", TRIM(RIGHT(C578, LEN(C578) - FIND("@@", SUBSTITUTE(C578, "-", "@@", LEN(C578) - LEN(SUBSTITUTE(C578, "-", "")))))))</f>
        <v/>
      </c>
      <c r="P578" s="20">
        <f t="array" ref="P578">IFERROR(XLOOKUP(O578,'Department Listing'!$O$1:$O$395,'Department Listing'!$A$1:$A$395),IFERROR(XLOOKUP(O578,'Name Aliases'!$A$2:$A$1000,'Name Aliases'!$B$2:$B$1000),""))</f>
        <v/>
      </c>
      <c r="Q578" s="21">
        <f>IF(ISBLANK($C578),"",$B578)</f>
        <v/>
      </c>
      <c r="R578" s="20">
        <f>IF(ISBLANK($C578),"",IF(ISBLANK($I578),$D578,$I578))</f>
        <v/>
      </c>
      <c r="S578" s="22">
        <f>IF(ISBLANK($C578),"",$F578 - $G578)</f>
        <v/>
      </c>
      <c r="T578" s="20">
        <f>IF(ISBLANK($C578),"",C578)</f>
        <v/>
      </c>
      <c r="U578" s="20">
        <f>IF(ISBLANK($C578),"",$D$1)</f>
        <v/>
      </c>
      <c r="V578" s="22">
        <f t="array" ref="V578">IF(ISBLANK($B578),"",IF(ISBLANK($K578),IF(XLOOKUP($W578,'Category Mapping'!$C:$C,'Category Mapping'!$B:$B)="Travel",XLOOKUP($P578,'Department Listing'!$A:$A,'Department Listing'!$M:$M),XLOOKUP($W578,'Category Mapping'!$C:$C,'Category Mapping'!$D:$D)),$K578))</f>
        <v/>
      </c>
      <c r="W578" s="22">
        <f>IF(ISBLANK($B578),"",IF(ISBLANK($L578),RIGHT($E578,LEN($E578) - FIND("^",SUBSTITUTE($E578,":","^",LEN($E578) - LEN(SUBSTITUTE($E578,":",""))))),$L578))</f>
        <v/>
      </c>
      <c r="X578" s="22">
        <f>IF(ISBLANK($J578),$V578&amp;$W578,$J578)</f>
        <v/>
      </c>
      <c r="Y578" s="23">
        <f t="array" ref="Y578">IF(ISBLANK($M578),IFERROR(XLOOKUP($P578,'Department Listing'!$A:$A,'Department Listing'!$L:$L),""),$M578)</f>
        <v/>
      </c>
      <c r="Z578" s="11">
        <f>IF(ISBLANK($B578),"",MATCH($X578,COA!$B:$B,0))</f>
        <v/>
      </c>
    </row>
    <row r="579" ht="15.75" customHeight="1" s="52">
      <c r="B579" s="27" t="n"/>
      <c r="C579" s="10" t="n"/>
      <c r="D579" s="10" t="n"/>
      <c r="E579" s="28" t="n"/>
      <c r="F579" s="10" t="n"/>
      <c r="G579" s="10" t="n"/>
      <c r="H579" s="10" t="n"/>
      <c r="I579" s="9" t="n"/>
      <c r="J579" s="9" t="n"/>
      <c r="K579" s="9" t="n"/>
      <c r="L579" s="9" t="n"/>
      <c r="M579" s="9" t="n"/>
      <c r="N579" s="20" t="n"/>
      <c r="O579" s="20">
        <f>IF(C579="", "", TRIM(RIGHT(C579, LEN(C579) - FIND("@@", SUBSTITUTE(C579, "-", "@@", LEN(C579) - LEN(SUBSTITUTE(C579, "-", "")))))))</f>
        <v/>
      </c>
      <c r="P579" s="20">
        <f t="array" ref="P579">IFERROR(XLOOKUP(O579,'Department Listing'!$O$1:$O$395,'Department Listing'!$A$1:$A$395),IFERROR(XLOOKUP(O579,'Name Aliases'!$A$2:$A$1000,'Name Aliases'!$B$2:$B$1000),""))</f>
        <v/>
      </c>
      <c r="Q579" s="21">
        <f>IF(ISBLANK($C579),"",$B579)</f>
        <v/>
      </c>
      <c r="R579" s="20">
        <f>IF(ISBLANK($C579),"",IF(ISBLANK($I579),$D579,$I579))</f>
        <v/>
      </c>
      <c r="S579" s="22">
        <f>IF(ISBLANK($C579),"",$F579 - $G579)</f>
        <v/>
      </c>
      <c r="T579" s="20">
        <f>IF(ISBLANK($C579),"",C579)</f>
        <v/>
      </c>
      <c r="U579" s="20">
        <f>IF(ISBLANK($C579),"",$D$1)</f>
        <v/>
      </c>
      <c r="V579" s="22">
        <f t="array" ref="V579">IF(ISBLANK($B579),"",IF(ISBLANK($K579),IF(XLOOKUP($W579,'Category Mapping'!$C:$C,'Category Mapping'!$B:$B)="Travel",XLOOKUP($P579,'Department Listing'!$A:$A,'Department Listing'!$M:$M),XLOOKUP($W579,'Category Mapping'!$C:$C,'Category Mapping'!$D:$D)),$K579))</f>
        <v/>
      </c>
      <c r="W579" s="22">
        <f>IF(ISBLANK($B579),"",IF(ISBLANK($L579),RIGHT($E579,LEN($E579) - FIND("^",SUBSTITUTE($E579,":","^",LEN($E579) - LEN(SUBSTITUTE($E579,":",""))))),$L579))</f>
        <v/>
      </c>
      <c r="X579" s="22">
        <f>IF(ISBLANK($J579),$V579&amp;$W579,$J579)</f>
        <v/>
      </c>
      <c r="Y579" s="23">
        <f t="array" ref="Y579">IF(ISBLANK($M579),IFERROR(XLOOKUP($P579,'Department Listing'!$A:$A,'Department Listing'!$L:$L),""),$M579)</f>
        <v/>
      </c>
      <c r="Z579" s="11">
        <f>IF(ISBLANK($B579),"",MATCH($X579,COA!$B:$B,0))</f>
        <v/>
      </c>
    </row>
    <row r="580" ht="15.75" customHeight="1" s="52">
      <c r="B580" s="27" t="n"/>
      <c r="C580" s="10" t="n"/>
      <c r="D580" s="10" t="n"/>
      <c r="E580" s="28" t="n"/>
      <c r="F580" s="10" t="n"/>
      <c r="G580" s="10" t="n"/>
      <c r="H580" s="10" t="n"/>
      <c r="I580" s="9" t="n"/>
      <c r="J580" s="9" t="n"/>
      <c r="K580" s="9" t="n"/>
      <c r="L580" s="9" t="n"/>
      <c r="M580" s="9" t="n"/>
      <c r="N580" s="20" t="n"/>
      <c r="O580" s="20">
        <f>IF(C580="", "", TRIM(RIGHT(C580, LEN(C580) - FIND("@@", SUBSTITUTE(C580, "-", "@@", LEN(C580) - LEN(SUBSTITUTE(C580, "-", "")))))))</f>
        <v/>
      </c>
      <c r="P580" s="20">
        <f t="array" ref="P580">IFERROR(XLOOKUP(O580,'Department Listing'!$O$1:$O$395,'Department Listing'!$A$1:$A$395),IFERROR(XLOOKUP(O580,'Name Aliases'!$A$2:$A$1000,'Name Aliases'!$B$2:$B$1000),""))</f>
        <v/>
      </c>
      <c r="Q580" s="21">
        <f>IF(ISBLANK($C580),"",$B580)</f>
        <v/>
      </c>
      <c r="R580" s="20">
        <f>IF(ISBLANK($C580),"",IF(ISBLANK($I580),$D580,$I580))</f>
        <v/>
      </c>
      <c r="S580" s="22">
        <f>IF(ISBLANK($C580),"",$F580 - $G580)</f>
        <v/>
      </c>
      <c r="T580" s="20">
        <f>IF(ISBLANK($C580),"",C580)</f>
        <v/>
      </c>
      <c r="U580" s="20">
        <f>IF(ISBLANK($C580),"",$D$1)</f>
        <v/>
      </c>
      <c r="V580" s="22">
        <f t="array" ref="V580">IF(ISBLANK($B580),"",IF(ISBLANK($K580),IF(XLOOKUP($W580,'Category Mapping'!$C:$C,'Category Mapping'!$B:$B)="Travel",XLOOKUP($P580,'Department Listing'!$A:$A,'Department Listing'!$M:$M),XLOOKUP($W580,'Category Mapping'!$C:$C,'Category Mapping'!$D:$D)),$K580))</f>
        <v/>
      </c>
      <c r="W580" s="22">
        <f>IF(ISBLANK($B580),"",IF(ISBLANK($L580),RIGHT($E580,LEN($E580) - FIND("^",SUBSTITUTE($E580,":","^",LEN($E580) - LEN(SUBSTITUTE($E580,":",""))))),$L580))</f>
        <v/>
      </c>
      <c r="X580" s="22">
        <f>IF(ISBLANK($J580),$V580&amp;$W580,$J580)</f>
        <v/>
      </c>
      <c r="Y580" s="23">
        <f t="array" ref="Y580">IF(ISBLANK($M580),IFERROR(XLOOKUP($P580,'Department Listing'!$A:$A,'Department Listing'!$L:$L),""),$M580)</f>
        <v/>
      </c>
      <c r="Z580" s="11">
        <f>IF(ISBLANK($B580),"",MATCH($X580,COA!$B:$B,0))</f>
        <v/>
      </c>
    </row>
    <row r="581" ht="15.75" customHeight="1" s="52">
      <c r="B581" s="27" t="n"/>
      <c r="C581" s="10" t="n"/>
      <c r="D581" s="10" t="n"/>
      <c r="E581" s="28" t="n"/>
      <c r="F581" s="10" t="n"/>
      <c r="G581" s="10" t="n"/>
      <c r="H581" s="10" t="n"/>
      <c r="I581" s="9" t="n"/>
      <c r="J581" s="9" t="n"/>
      <c r="K581" s="9" t="n"/>
      <c r="L581" s="9" t="n"/>
      <c r="M581" s="9" t="n"/>
      <c r="N581" s="20" t="n"/>
      <c r="O581" s="20">
        <f>IF(C581="", "", TRIM(RIGHT(C581, LEN(C581) - FIND("@@", SUBSTITUTE(C581, "-", "@@", LEN(C581) - LEN(SUBSTITUTE(C581, "-", "")))))))</f>
        <v/>
      </c>
      <c r="P581" s="20">
        <f t="array" ref="P581">IFERROR(XLOOKUP(O581,'Department Listing'!$O$1:$O$395,'Department Listing'!$A$1:$A$395),IFERROR(XLOOKUP(O581,'Name Aliases'!$A$2:$A$1000,'Name Aliases'!$B$2:$B$1000),""))</f>
        <v/>
      </c>
      <c r="Q581" s="21">
        <f>IF(ISBLANK($C581),"",$B581)</f>
        <v/>
      </c>
      <c r="R581" s="20">
        <f>IF(ISBLANK($C581),"",IF(ISBLANK($I581),$D581,$I581))</f>
        <v/>
      </c>
      <c r="S581" s="22">
        <f>IF(ISBLANK($C581),"",$F581 - $G581)</f>
        <v/>
      </c>
      <c r="T581" s="20">
        <f>IF(ISBLANK($C581),"",C581)</f>
        <v/>
      </c>
      <c r="U581" s="20">
        <f>IF(ISBLANK($C581),"",$D$1)</f>
        <v/>
      </c>
      <c r="V581" s="22">
        <f t="array" ref="V581">IF(ISBLANK($B581),"",IF(ISBLANK($K581),IF(XLOOKUP($W581,'Category Mapping'!$C:$C,'Category Mapping'!$B:$B)="Travel",XLOOKUP($P581,'Department Listing'!$A:$A,'Department Listing'!$M:$M),XLOOKUP($W581,'Category Mapping'!$C:$C,'Category Mapping'!$D:$D)),$K581))</f>
        <v/>
      </c>
      <c r="W581" s="22">
        <f>IF(ISBLANK($B581),"",IF(ISBLANK($L581),RIGHT($E581,LEN($E581) - FIND("^",SUBSTITUTE($E581,":","^",LEN($E581) - LEN(SUBSTITUTE($E581,":",""))))),$L581))</f>
        <v/>
      </c>
      <c r="X581" s="22">
        <f>IF(ISBLANK($J581),$V581&amp;$W581,$J581)</f>
        <v/>
      </c>
      <c r="Y581" s="23">
        <f t="array" ref="Y581">IF(ISBLANK($M581),IFERROR(XLOOKUP($P581,'Department Listing'!$A:$A,'Department Listing'!$L:$L),""),$M581)</f>
        <v/>
      </c>
      <c r="Z581" s="11">
        <f>IF(ISBLANK($B581),"",MATCH($X581,COA!$B:$B,0))</f>
        <v/>
      </c>
    </row>
    <row r="582" ht="15.75" customHeight="1" s="52">
      <c r="B582" s="27" t="n"/>
      <c r="C582" s="10" t="n"/>
      <c r="D582" s="10" t="n"/>
      <c r="E582" s="28" t="n"/>
      <c r="F582" s="10" t="n"/>
      <c r="G582" s="10" t="n"/>
      <c r="H582" s="10" t="n"/>
      <c r="I582" s="9" t="n"/>
      <c r="J582" s="9" t="n"/>
      <c r="K582" s="9" t="n"/>
      <c r="L582" s="9" t="n"/>
      <c r="M582" s="9" t="n"/>
      <c r="N582" s="20" t="n"/>
      <c r="O582" s="20">
        <f>IF(C582="", "", TRIM(RIGHT(C582, LEN(C582) - FIND("@@", SUBSTITUTE(C582, "-", "@@", LEN(C582) - LEN(SUBSTITUTE(C582, "-", "")))))))</f>
        <v/>
      </c>
      <c r="P582" s="20">
        <f t="array" ref="P582">IFERROR(XLOOKUP(O582,'Department Listing'!$O$1:$O$395,'Department Listing'!$A$1:$A$395),IFERROR(XLOOKUP(O582,'Name Aliases'!$A$2:$A$1000,'Name Aliases'!$B$2:$B$1000),""))</f>
        <v/>
      </c>
      <c r="Q582" s="21">
        <f>IF(ISBLANK($C582),"",$B582)</f>
        <v/>
      </c>
      <c r="R582" s="20">
        <f>IF(ISBLANK($C582),"",IF(ISBLANK($I582),$D582,$I582))</f>
        <v/>
      </c>
      <c r="S582" s="22">
        <f>IF(ISBLANK($C582),"",$F582 - $G582)</f>
        <v/>
      </c>
      <c r="T582" s="20">
        <f>IF(ISBLANK($C582),"",C582)</f>
        <v/>
      </c>
      <c r="U582" s="20">
        <f>IF(ISBLANK($C582),"",$D$1)</f>
        <v/>
      </c>
      <c r="V582" s="22">
        <f t="array" ref="V582">IF(ISBLANK($B582),"",IF(ISBLANK($K582),IF(XLOOKUP($W582,'Category Mapping'!$C:$C,'Category Mapping'!$B:$B)="Travel",XLOOKUP($P582,'Department Listing'!$A:$A,'Department Listing'!$M:$M),XLOOKUP($W582,'Category Mapping'!$C:$C,'Category Mapping'!$D:$D)),$K582))</f>
        <v/>
      </c>
      <c r="W582" s="22">
        <f>IF(ISBLANK($B582),"",IF(ISBLANK($L582),RIGHT($E582,LEN($E582) - FIND("^",SUBSTITUTE($E582,":","^",LEN($E582) - LEN(SUBSTITUTE($E582,":",""))))),$L582))</f>
        <v/>
      </c>
      <c r="X582" s="22">
        <f>IF(ISBLANK($J582),$V582&amp;$W582,$J582)</f>
        <v/>
      </c>
      <c r="Y582" s="23">
        <f t="array" ref="Y582">IF(ISBLANK($M582),IFERROR(XLOOKUP($P582,'Department Listing'!$A:$A,'Department Listing'!$L:$L),""),$M582)</f>
        <v/>
      </c>
      <c r="Z582" s="11">
        <f>IF(ISBLANK($B582),"",MATCH($X582,COA!$B:$B,0))</f>
        <v/>
      </c>
    </row>
    <row r="583" ht="15.75" customHeight="1" s="52">
      <c r="B583" s="27" t="n"/>
      <c r="C583" s="10" t="n"/>
      <c r="D583" s="10" t="n"/>
      <c r="E583" s="28" t="n"/>
      <c r="F583" s="10" t="n"/>
      <c r="G583" s="10" t="n"/>
      <c r="H583" s="10" t="n"/>
      <c r="I583" s="9" t="n"/>
      <c r="J583" s="9" t="n"/>
      <c r="K583" s="9" t="n"/>
      <c r="L583" s="9" t="n"/>
      <c r="M583" s="9" t="n"/>
      <c r="N583" s="20" t="n"/>
      <c r="O583" s="20">
        <f>IF(C583="", "", TRIM(RIGHT(C583, LEN(C583) - FIND("@@", SUBSTITUTE(C583, "-", "@@", LEN(C583) - LEN(SUBSTITUTE(C583, "-", "")))))))</f>
        <v/>
      </c>
      <c r="P583" s="20">
        <f t="array" ref="P583">IFERROR(XLOOKUP(O583,'Department Listing'!$O$1:$O$395,'Department Listing'!$A$1:$A$395),IFERROR(XLOOKUP(O583,'Name Aliases'!$A$2:$A$1000,'Name Aliases'!$B$2:$B$1000),""))</f>
        <v/>
      </c>
      <c r="Q583" s="21">
        <f>IF(ISBLANK($C583),"",$B583)</f>
        <v/>
      </c>
      <c r="R583" s="20">
        <f>IF(ISBLANK($C583),"",IF(ISBLANK($I583),$D583,$I583))</f>
        <v/>
      </c>
      <c r="S583" s="22">
        <f>IF(ISBLANK($C583),"",$F583 - $G583)</f>
        <v/>
      </c>
      <c r="T583" s="20">
        <f>IF(ISBLANK($C583),"",C583)</f>
        <v/>
      </c>
      <c r="U583" s="20">
        <f>IF(ISBLANK($C583),"",$D$1)</f>
        <v/>
      </c>
      <c r="V583" s="22">
        <f t="array" ref="V583">IF(ISBLANK($B583),"",IF(ISBLANK($K583),IF(XLOOKUP($W583,'Category Mapping'!$C:$C,'Category Mapping'!$B:$B)="Travel",XLOOKUP($P583,'Department Listing'!$A:$A,'Department Listing'!$M:$M),XLOOKUP($W583,'Category Mapping'!$C:$C,'Category Mapping'!$D:$D)),$K583))</f>
        <v/>
      </c>
      <c r="W583" s="22">
        <f>IF(ISBLANK($B583),"",IF(ISBLANK($L583),RIGHT($E583,LEN($E583) - FIND("^",SUBSTITUTE($E583,":","^",LEN($E583) - LEN(SUBSTITUTE($E583,":",""))))),$L583))</f>
        <v/>
      </c>
      <c r="X583" s="22">
        <f>IF(ISBLANK($J583),$V583&amp;$W583,$J583)</f>
        <v/>
      </c>
      <c r="Y583" s="23">
        <f t="array" ref="Y583">IF(ISBLANK($M583),IFERROR(XLOOKUP($P583,'Department Listing'!$A:$A,'Department Listing'!$L:$L),""),$M583)</f>
        <v/>
      </c>
      <c r="Z583" s="11">
        <f>IF(ISBLANK($B583),"",MATCH($X583,COA!$B:$B,0))</f>
        <v/>
      </c>
    </row>
    <row r="584" ht="15.75" customHeight="1" s="52">
      <c r="B584" s="27" t="n"/>
      <c r="C584" s="10" t="n"/>
      <c r="D584" s="10" t="n"/>
      <c r="E584" s="28" t="n"/>
      <c r="F584" s="10" t="n"/>
      <c r="G584" s="10" t="n"/>
      <c r="H584" s="10" t="n"/>
      <c r="I584" s="9" t="n"/>
      <c r="J584" s="9" t="n"/>
      <c r="K584" s="9" t="n"/>
      <c r="L584" s="9" t="n"/>
      <c r="M584" s="9" t="n"/>
      <c r="N584" s="20" t="n"/>
      <c r="O584" s="20">
        <f>IF(C584="", "", TRIM(RIGHT(C584, LEN(C584) - FIND("@@", SUBSTITUTE(C584, "-", "@@", LEN(C584) - LEN(SUBSTITUTE(C584, "-", "")))))))</f>
        <v/>
      </c>
      <c r="P584" s="20">
        <f t="array" ref="P584">IFERROR(XLOOKUP(O584,'Department Listing'!$O$1:$O$395,'Department Listing'!$A$1:$A$395),IFERROR(XLOOKUP(O584,'Name Aliases'!$A$2:$A$1000,'Name Aliases'!$B$2:$B$1000),""))</f>
        <v/>
      </c>
      <c r="Q584" s="21">
        <f>IF(ISBLANK($C584),"",$B584)</f>
        <v/>
      </c>
      <c r="R584" s="20">
        <f>IF(ISBLANK($C584),"",IF(ISBLANK($I584),$D584,$I584))</f>
        <v/>
      </c>
      <c r="S584" s="22">
        <f>IF(ISBLANK($C584),"",$F584 - $G584)</f>
        <v/>
      </c>
      <c r="T584" s="20">
        <f>IF(ISBLANK($C584),"",C584)</f>
        <v/>
      </c>
      <c r="U584" s="20">
        <f>IF(ISBLANK($C584),"",$D$1)</f>
        <v/>
      </c>
      <c r="V584" s="22">
        <f t="array" ref="V584">IF(ISBLANK($B584),"",IF(ISBLANK($K584),IF(XLOOKUP($W584,'Category Mapping'!$C:$C,'Category Mapping'!$B:$B)="Travel",XLOOKUP($P584,'Department Listing'!$A:$A,'Department Listing'!$M:$M),XLOOKUP($W584,'Category Mapping'!$C:$C,'Category Mapping'!$D:$D)),$K584))</f>
        <v/>
      </c>
      <c r="W584" s="22">
        <f>IF(ISBLANK($B584),"",IF(ISBLANK($L584),RIGHT($E584,LEN($E584) - FIND("^",SUBSTITUTE($E584,":","^",LEN($E584) - LEN(SUBSTITUTE($E584,":",""))))),$L584))</f>
        <v/>
      </c>
      <c r="X584" s="22">
        <f>IF(ISBLANK($J584),$V584&amp;$W584,$J584)</f>
        <v/>
      </c>
      <c r="Y584" s="23">
        <f t="array" ref="Y584">IF(ISBLANK($M584),IFERROR(XLOOKUP($P584,'Department Listing'!$A:$A,'Department Listing'!$L:$L),""),$M584)</f>
        <v/>
      </c>
      <c r="Z584" s="11">
        <f>IF(ISBLANK($B584),"",MATCH($X584,COA!$B:$B,0))</f>
        <v/>
      </c>
    </row>
    <row r="585" ht="15.75" customHeight="1" s="52">
      <c r="B585" s="27" t="n"/>
      <c r="C585" s="10" t="n"/>
      <c r="D585" s="10" t="n"/>
      <c r="E585" s="28" t="n"/>
      <c r="F585" s="10" t="n"/>
      <c r="G585" s="10" t="n"/>
      <c r="H585" s="10" t="n"/>
      <c r="I585" s="9" t="n"/>
      <c r="J585" s="9" t="n"/>
      <c r="K585" s="9" t="n"/>
      <c r="L585" s="9" t="n"/>
      <c r="M585" s="9" t="n"/>
      <c r="N585" s="20" t="n"/>
      <c r="O585" s="20">
        <f>IF(C585="", "", TRIM(RIGHT(C585, LEN(C585) - FIND("@@", SUBSTITUTE(C585, "-", "@@", LEN(C585) - LEN(SUBSTITUTE(C585, "-", "")))))))</f>
        <v/>
      </c>
      <c r="P585" s="20">
        <f t="array" ref="P585">IFERROR(XLOOKUP(O585,'Department Listing'!$O$1:$O$395,'Department Listing'!$A$1:$A$395),IFERROR(XLOOKUP(O585,'Name Aliases'!$A$2:$A$1000,'Name Aliases'!$B$2:$B$1000),""))</f>
        <v/>
      </c>
      <c r="Q585" s="21">
        <f>IF(ISBLANK($C585),"",$B585)</f>
        <v/>
      </c>
      <c r="R585" s="20">
        <f>IF(ISBLANK($C585),"",IF(ISBLANK($I585),$D585,$I585))</f>
        <v/>
      </c>
      <c r="S585" s="22">
        <f>IF(ISBLANK($C585),"",$F585 - $G585)</f>
        <v/>
      </c>
      <c r="T585" s="20">
        <f>IF(ISBLANK($C585),"",C585)</f>
        <v/>
      </c>
      <c r="U585" s="20">
        <f>IF(ISBLANK($C585),"",$D$1)</f>
        <v/>
      </c>
      <c r="V585" s="22">
        <f t="array" ref="V585">IF(ISBLANK($B585),"",IF(ISBLANK($K585),IF(XLOOKUP($W585,'Category Mapping'!$C:$C,'Category Mapping'!$B:$B)="Travel",XLOOKUP($P585,'Department Listing'!$A:$A,'Department Listing'!$M:$M),XLOOKUP($W585,'Category Mapping'!$C:$C,'Category Mapping'!$D:$D)),$K585))</f>
        <v/>
      </c>
      <c r="W585" s="22">
        <f>IF(ISBLANK($B585),"",IF(ISBLANK($L585),RIGHT($E585,LEN($E585) - FIND("^",SUBSTITUTE($E585,":","^",LEN($E585) - LEN(SUBSTITUTE($E585,":",""))))),$L585))</f>
        <v/>
      </c>
      <c r="X585" s="22">
        <f>IF(ISBLANK($J585),$V585&amp;$W585,$J585)</f>
        <v/>
      </c>
      <c r="Y585" s="23">
        <f t="array" ref="Y585">IF(ISBLANK($M585),IFERROR(XLOOKUP($P585,'Department Listing'!$A:$A,'Department Listing'!$L:$L),""),$M585)</f>
        <v/>
      </c>
      <c r="Z585" s="11">
        <f>IF(ISBLANK($B585),"",MATCH($X585,COA!$B:$B,0))</f>
        <v/>
      </c>
    </row>
    <row r="586" ht="15.75" customHeight="1" s="52">
      <c r="B586" s="27" t="n"/>
      <c r="C586" s="10" t="n"/>
      <c r="D586" s="10" t="n"/>
      <c r="E586" s="28" t="n"/>
      <c r="F586" s="10" t="n"/>
      <c r="G586" s="10" t="n"/>
      <c r="H586" s="10" t="n"/>
      <c r="I586" s="9" t="n"/>
      <c r="J586" s="9" t="n"/>
      <c r="K586" s="9" t="n"/>
      <c r="L586" s="9" t="n"/>
      <c r="M586" s="9" t="n"/>
      <c r="N586" s="20" t="n"/>
      <c r="O586" s="20">
        <f>IF(C586="", "", TRIM(RIGHT(C586, LEN(C586) - FIND("@@", SUBSTITUTE(C586, "-", "@@", LEN(C586) - LEN(SUBSTITUTE(C586, "-", "")))))))</f>
        <v/>
      </c>
      <c r="P586" s="20">
        <f t="array" ref="P586">IFERROR(XLOOKUP(O586,'Department Listing'!$O$1:$O$395,'Department Listing'!$A$1:$A$395),IFERROR(XLOOKUP(O586,'Name Aliases'!$A$2:$A$1000,'Name Aliases'!$B$2:$B$1000),""))</f>
        <v/>
      </c>
      <c r="Q586" s="21">
        <f>IF(ISBLANK($C586),"",$B586)</f>
        <v/>
      </c>
      <c r="R586" s="20">
        <f>IF(ISBLANK($C586),"",IF(ISBLANK($I586),$D586,$I586))</f>
        <v/>
      </c>
      <c r="S586" s="22">
        <f>IF(ISBLANK($C586),"",$F586 - $G586)</f>
        <v/>
      </c>
      <c r="T586" s="20">
        <f>IF(ISBLANK($C586),"",C586)</f>
        <v/>
      </c>
      <c r="U586" s="20">
        <f>IF(ISBLANK($C586),"",$D$1)</f>
        <v/>
      </c>
      <c r="V586" s="22">
        <f t="array" ref="V586">IF(ISBLANK($B586),"",IF(ISBLANK($K586),IF(XLOOKUP($W586,'Category Mapping'!$C:$C,'Category Mapping'!$B:$B)="Travel",XLOOKUP($P586,'Department Listing'!$A:$A,'Department Listing'!$M:$M),XLOOKUP($W586,'Category Mapping'!$C:$C,'Category Mapping'!$D:$D)),$K586))</f>
        <v/>
      </c>
      <c r="W586" s="22">
        <f>IF(ISBLANK($B586),"",IF(ISBLANK($L586),RIGHT($E586,LEN($E586) - FIND("^",SUBSTITUTE($E586,":","^",LEN($E586) - LEN(SUBSTITUTE($E586,":",""))))),$L586))</f>
        <v/>
      </c>
      <c r="X586" s="22">
        <f>IF(ISBLANK($J586),$V586&amp;$W586,$J586)</f>
        <v/>
      </c>
      <c r="Y586" s="23">
        <f t="array" ref="Y586">IF(ISBLANK($M586),IFERROR(XLOOKUP($P586,'Department Listing'!$A:$A,'Department Listing'!$L:$L),""),$M586)</f>
        <v/>
      </c>
      <c r="Z586" s="11">
        <f>IF(ISBLANK($B586),"",MATCH($X586,COA!$B:$B,0))</f>
        <v/>
      </c>
    </row>
    <row r="587" ht="15.75" customHeight="1" s="52">
      <c r="B587" s="27" t="n"/>
      <c r="C587" s="10" t="n"/>
      <c r="D587" s="10" t="n"/>
      <c r="E587" s="28" t="n"/>
      <c r="F587" s="10" t="n"/>
      <c r="G587" s="10" t="n"/>
      <c r="H587" s="10" t="n"/>
      <c r="I587" s="9" t="n"/>
      <c r="J587" s="9" t="n"/>
      <c r="K587" s="9" t="n"/>
      <c r="L587" s="9" t="n"/>
      <c r="M587" s="9" t="n"/>
      <c r="N587" s="20" t="n"/>
      <c r="O587" s="20">
        <f>IF(C587="", "", TRIM(RIGHT(C587, LEN(C587) - FIND("@@", SUBSTITUTE(C587, "-", "@@", LEN(C587) - LEN(SUBSTITUTE(C587, "-", "")))))))</f>
        <v/>
      </c>
      <c r="P587" s="20">
        <f t="array" ref="P587">IFERROR(XLOOKUP(O587,'Department Listing'!$O$1:$O$395,'Department Listing'!$A$1:$A$395),IFERROR(XLOOKUP(O587,'Name Aliases'!$A$2:$A$1000,'Name Aliases'!$B$2:$B$1000),""))</f>
        <v/>
      </c>
      <c r="Q587" s="21">
        <f>IF(ISBLANK($C587),"",$B587)</f>
        <v/>
      </c>
      <c r="R587" s="20">
        <f>IF(ISBLANK($C587),"",IF(ISBLANK($I587),$D587,$I587))</f>
        <v/>
      </c>
      <c r="S587" s="22">
        <f>IF(ISBLANK($C587),"",$F587 - $G587)</f>
        <v/>
      </c>
      <c r="T587" s="20">
        <f>IF(ISBLANK($C587),"",C587)</f>
        <v/>
      </c>
      <c r="U587" s="20">
        <f>IF(ISBLANK($C587),"",$D$1)</f>
        <v/>
      </c>
      <c r="V587" s="22">
        <f t="array" ref="V587">IF(ISBLANK($B587),"",IF(ISBLANK($K587),IF(XLOOKUP($W587,'Category Mapping'!$C:$C,'Category Mapping'!$B:$B)="Travel",XLOOKUP($P587,'Department Listing'!$A:$A,'Department Listing'!$M:$M),XLOOKUP($W587,'Category Mapping'!$C:$C,'Category Mapping'!$D:$D)),$K587))</f>
        <v/>
      </c>
      <c r="W587" s="22">
        <f>IF(ISBLANK($B587),"",IF(ISBLANK($L587),RIGHT($E587,LEN($E587) - FIND("^",SUBSTITUTE($E587,":","^",LEN($E587) - LEN(SUBSTITUTE($E587,":",""))))),$L587))</f>
        <v/>
      </c>
      <c r="X587" s="22">
        <f>IF(ISBLANK($J587),$V587&amp;$W587,$J587)</f>
        <v/>
      </c>
      <c r="Y587" s="23">
        <f t="array" ref="Y587">IF(ISBLANK($M587),IFERROR(XLOOKUP($P587,'Department Listing'!$A:$A,'Department Listing'!$L:$L),""),$M587)</f>
        <v/>
      </c>
      <c r="Z587" s="11">
        <f>IF(ISBLANK($B587),"",MATCH($X587,COA!$B:$B,0))</f>
        <v/>
      </c>
    </row>
    <row r="588" ht="15.75" customHeight="1" s="52">
      <c r="B588" s="27" t="n"/>
      <c r="C588" s="10" t="n"/>
      <c r="D588" s="10" t="n"/>
      <c r="E588" s="28" t="n"/>
      <c r="F588" s="10" t="n"/>
      <c r="G588" s="10" t="n"/>
      <c r="H588" s="10" t="n"/>
      <c r="I588" s="9" t="n"/>
      <c r="J588" s="9" t="n"/>
      <c r="K588" s="9" t="n"/>
      <c r="L588" s="9" t="n"/>
      <c r="M588" s="9" t="n"/>
      <c r="N588" s="20" t="n"/>
      <c r="O588" s="20">
        <f>IF(C588="", "", TRIM(RIGHT(C588, LEN(C588) - FIND("@@", SUBSTITUTE(C588, "-", "@@", LEN(C588) - LEN(SUBSTITUTE(C588, "-", "")))))))</f>
        <v/>
      </c>
      <c r="P588" s="20">
        <f t="array" ref="P588">IFERROR(XLOOKUP(O588,'Department Listing'!$O$1:$O$395,'Department Listing'!$A$1:$A$395),IFERROR(XLOOKUP(O588,'Name Aliases'!$A$2:$A$1000,'Name Aliases'!$B$2:$B$1000),""))</f>
        <v/>
      </c>
      <c r="Q588" s="21">
        <f>IF(ISBLANK($C588),"",$B588)</f>
        <v/>
      </c>
      <c r="R588" s="20">
        <f>IF(ISBLANK($C588),"",IF(ISBLANK($I588),$D588,$I588))</f>
        <v/>
      </c>
      <c r="S588" s="22">
        <f>IF(ISBLANK($C588),"",$F588 - $G588)</f>
        <v/>
      </c>
      <c r="T588" s="20">
        <f>IF(ISBLANK($C588),"",C588)</f>
        <v/>
      </c>
      <c r="U588" s="20">
        <f>IF(ISBLANK($C588),"",$D$1)</f>
        <v/>
      </c>
      <c r="V588" s="22">
        <f t="array" ref="V588">IF(ISBLANK($B588),"",IF(ISBLANK($K588),IF(XLOOKUP($W588,'Category Mapping'!$C:$C,'Category Mapping'!$B:$B)="Travel",XLOOKUP($P588,'Department Listing'!$A:$A,'Department Listing'!$M:$M),XLOOKUP($W588,'Category Mapping'!$C:$C,'Category Mapping'!$D:$D)),$K588))</f>
        <v/>
      </c>
      <c r="W588" s="22">
        <f>IF(ISBLANK($B588),"",IF(ISBLANK($L588),RIGHT($E588,LEN($E588) - FIND("^",SUBSTITUTE($E588,":","^",LEN($E588) - LEN(SUBSTITUTE($E588,":",""))))),$L588))</f>
        <v/>
      </c>
      <c r="X588" s="22">
        <f>IF(ISBLANK($J588),$V588&amp;$W588,$J588)</f>
        <v/>
      </c>
      <c r="Y588" s="23">
        <f t="array" ref="Y588">IF(ISBLANK($M588),IFERROR(XLOOKUP($P588,'Department Listing'!$A:$A,'Department Listing'!$L:$L),""),$M588)</f>
        <v/>
      </c>
      <c r="Z588" s="11">
        <f>IF(ISBLANK($B588),"",MATCH($X588,COA!$B:$B,0))</f>
        <v/>
      </c>
    </row>
    <row r="589" ht="15.75" customHeight="1" s="52">
      <c r="B589" s="27" t="n"/>
      <c r="C589" s="10" t="n"/>
      <c r="D589" s="10" t="n"/>
      <c r="E589" s="28" t="n"/>
      <c r="F589" s="10" t="n"/>
      <c r="G589" s="10" t="n"/>
      <c r="H589" s="10" t="n"/>
      <c r="I589" s="9" t="n"/>
      <c r="J589" s="9" t="n"/>
      <c r="K589" s="9" t="n"/>
      <c r="L589" s="9" t="n"/>
      <c r="M589" s="9" t="n"/>
      <c r="N589" s="20" t="n"/>
      <c r="O589" s="20">
        <f>IF(C589="", "", TRIM(RIGHT(C589, LEN(C589) - FIND("@@", SUBSTITUTE(C589, "-", "@@", LEN(C589) - LEN(SUBSTITUTE(C589, "-", "")))))))</f>
        <v/>
      </c>
      <c r="P589" s="20">
        <f t="array" ref="P589">IFERROR(XLOOKUP(O589,'Department Listing'!$O$1:$O$395,'Department Listing'!$A$1:$A$395),IFERROR(XLOOKUP(O589,'Name Aliases'!$A$2:$A$1000,'Name Aliases'!$B$2:$B$1000),""))</f>
        <v/>
      </c>
      <c r="Q589" s="21">
        <f>IF(ISBLANK($C589),"",$B589)</f>
        <v/>
      </c>
      <c r="R589" s="20">
        <f>IF(ISBLANK($C589),"",IF(ISBLANK($I589),$D589,$I589))</f>
        <v/>
      </c>
      <c r="S589" s="22">
        <f>IF(ISBLANK($C589),"",$F589 - $G589)</f>
        <v/>
      </c>
      <c r="T589" s="20">
        <f>IF(ISBLANK($C589),"",C589)</f>
        <v/>
      </c>
      <c r="U589" s="20">
        <f>IF(ISBLANK($C589),"",$D$1)</f>
        <v/>
      </c>
      <c r="V589" s="22">
        <f t="array" ref="V589">IF(ISBLANK($B589),"",IF(ISBLANK($K589),IF(XLOOKUP($W589,'Category Mapping'!$C:$C,'Category Mapping'!$B:$B)="Travel",XLOOKUP($P589,'Department Listing'!$A:$A,'Department Listing'!$M:$M),XLOOKUP($W589,'Category Mapping'!$C:$C,'Category Mapping'!$D:$D)),$K589))</f>
        <v/>
      </c>
      <c r="W589" s="22">
        <f>IF(ISBLANK($B589),"",IF(ISBLANK($L589),RIGHT($E589,LEN($E589) - FIND("^",SUBSTITUTE($E589,":","^",LEN($E589) - LEN(SUBSTITUTE($E589,":",""))))),$L589))</f>
        <v/>
      </c>
      <c r="X589" s="22">
        <f>IF(ISBLANK($J589),$V589&amp;$W589,$J589)</f>
        <v/>
      </c>
      <c r="Y589" s="23">
        <f t="array" ref="Y589">IF(ISBLANK($M589),IFERROR(XLOOKUP($P589,'Department Listing'!$A:$A,'Department Listing'!$L:$L),""),$M589)</f>
        <v/>
      </c>
      <c r="Z589" s="11">
        <f>IF(ISBLANK($B589),"",MATCH($X589,COA!$B:$B,0))</f>
        <v/>
      </c>
    </row>
    <row r="590" ht="15.75" customHeight="1" s="52">
      <c r="B590" s="27" t="n"/>
      <c r="C590" s="10" t="n"/>
      <c r="D590" s="10" t="n"/>
      <c r="E590" s="28" t="n"/>
      <c r="F590" s="10" t="n"/>
      <c r="G590" s="10" t="n"/>
      <c r="H590" s="10" t="n"/>
      <c r="I590" s="9" t="n"/>
      <c r="J590" s="9" t="n"/>
      <c r="K590" s="9" t="n"/>
      <c r="L590" s="9" t="n"/>
      <c r="M590" s="9" t="n"/>
      <c r="N590" s="20" t="n"/>
      <c r="O590" s="20">
        <f>IF(C590="", "", TRIM(RIGHT(C590, LEN(C590) - FIND("@@", SUBSTITUTE(C590, "-", "@@", LEN(C590) - LEN(SUBSTITUTE(C590, "-", "")))))))</f>
        <v/>
      </c>
      <c r="P590" s="20">
        <f t="array" ref="P590">IFERROR(XLOOKUP(O590,'Department Listing'!$O$1:$O$395,'Department Listing'!$A$1:$A$395),IFERROR(XLOOKUP(O590,'Name Aliases'!$A$2:$A$1000,'Name Aliases'!$B$2:$B$1000),""))</f>
        <v/>
      </c>
      <c r="Q590" s="21">
        <f>IF(ISBLANK($C590),"",$B590)</f>
        <v/>
      </c>
      <c r="R590" s="20">
        <f>IF(ISBLANK($C590),"",IF(ISBLANK($I590),$D590,$I590))</f>
        <v/>
      </c>
      <c r="S590" s="22">
        <f>IF(ISBLANK($C590),"",$F590 - $G590)</f>
        <v/>
      </c>
      <c r="T590" s="20">
        <f>IF(ISBLANK($C590),"",C590)</f>
        <v/>
      </c>
      <c r="U590" s="20">
        <f>IF(ISBLANK($C590),"",$D$1)</f>
        <v/>
      </c>
      <c r="V590" s="22">
        <f t="array" ref="V590">IF(ISBLANK($B590),"",IF(ISBLANK($K590),IF(XLOOKUP($W590,'Category Mapping'!$C:$C,'Category Mapping'!$B:$B)="Travel",XLOOKUP($P590,'Department Listing'!$A:$A,'Department Listing'!$M:$M),XLOOKUP($W590,'Category Mapping'!$C:$C,'Category Mapping'!$D:$D)),$K590))</f>
        <v/>
      </c>
      <c r="W590" s="22">
        <f>IF(ISBLANK($B590),"",IF(ISBLANK($L590),RIGHT($E590,LEN($E590) - FIND("^",SUBSTITUTE($E590,":","^",LEN($E590) - LEN(SUBSTITUTE($E590,":",""))))),$L590))</f>
        <v/>
      </c>
      <c r="X590" s="22">
        <f>IF(ISBLANK($J590),$V590&amp;$W590,$J590)</f>
        <v/>
      </c>
      <c r="Y590" s="23">
        <f t="array" ref="Y590">IF(ISBLANK($M590),IFERROR(XLOOKUP($P590,'Department Listing'!$A:$A,'Department Listing'!$L:$L),""),$M590)</f>
        <v/>
      </c>
      <c r="Z590" s="11">
        <f>IF(ISBLANK($B590),"",MATCH($X590,COA!$B:$B,0))</f>
        <v/>
      </c>
    </row>
    <row r="591" ht="15.75" customHeight="1" s="52">
      <c r="B591" s="27" t="n"/>
      <c r="C591" s="10" t="n"/>
      <c r="D591" s="10" t="n"/>
      <c r="E591" s="28" t="n"/>
      <c r="F591" s="10" t="n"/>
      <c r="G591" s="10" t="n"/>
      <c r="H591" s="10" t="n"/>
      <c r="I591" s="9" t="n"/>
      <c r="J591" s="9" t="n"/>
      <c r="K591" s="9" t="n"/>
      <c r="L591" s="9" t="n"/>
      <c r="M591" s="9" t="n"/>
      <c r="N591" s="20" t="n"/>
      <c r="O591" s="20">
        <f>IF(C591="", "", TRIM(RIGHT(C591, LEN(C591) - FIND("@@", SUBSTITUTE(C591, "-", "@@", LEN(C591) - LEN(SUBSTITUTE(C591, "-", "")))))))</f>
        <v/>
      </c>
      <c r="P591" s="20">
        <f t="array" ref="P591">IFERROR(XLOOKUP(O591,'Department Listing'!$O$1:$O$395,'Department Listing'!$A$1:$A$395),IFERROR(XLOOKUP(O591,'Name Aliases'!$A$2:$A$1000,'Name Aliases'!$B$2:$B$1000),""))</f>
        <v/>
      </c>
      <c r="Q591" s="21">
        <f>IF(ISBLANK($C591),"",$B591)</f>
        <v/>
      </c>
      <c r="R591" s="20">
        <f>IF(ISBLANK($C591),"",IF(ISBLANK($I591),$D591,$I591))</f>
        <v/>
      </c>
      <c r="S591" s="22">
        <f>IF(ISBLANK($C591),"",$F591 - $G591)</f>
        <v/>
      </c>
      <c r="T591" s="20">
        <f>IF(ISBLANK($C591),"",C591)</f>
        <v/>
      </c>
      <c r="U591" s="20">
        <f>IF(ISBLANK($C591),"",$D$1)</f>
        <v/>
      </c>
      <c r="V591" s="22">
        <f t="array" ref="V591">IF(ISBLANK($B591),"",IF(ISBLANK($K591),IF(XLOOKUP($W591,'Category Mapping'!$C:$C,'Category Mapping'!$B:$B)="Travel",XLOOKUP($P591,'Department Listing'!$A:$A,'Department Listing'!$M:$M),XLOOKUP($W591,'Category Mapping'!$C:$C,'Category Mapping'!$D:$D)),$K591))</f>
        <v/>
      </c>
      <c r="W591" s="22">
        <f>IF(ISBLANK($B591),"",IF(ISBLANK($L591),RIGHT($E591,LEN($E591) - FIND("^",SUBSTITUTE($E591,":","^",LEN($E591) - LEN(SUBSTITUTE($E591,":",""))))),$L591))</f>
        <v/>
      </c>
      <c r="X591" s="22">
        <f>IF(ISBLANK($J591),$V591&amp;$W591,$J591)</f>
        <v/>
      </c>
      <c r="Y591" s="23">
        <f t="array" ref="Y591">IF(ISBLANK($M591),IFERROR(XLOOKUP($P591,'Department Listing'!$A:$A,'Department Listing'!$L:$L),""),$M591)</f>
        <v/>
      </c>
      <c r="Z591" s="11">
        <f>IF(ISBLANK($B591),"",MATCH($X591,COA!$B:$B,0))</f>
        <v/>
      </c>
    </row>
    <row r="592" ht="15.75" customHeight="1" s="52">
      <c r="B592" s="27" t="n"/>
      <c r="C592" s="10" t="n"/>
      <c r="D592" s="10" t="n"/>
      <c r="E592" s="28" t="n"/>
      <c r="F592" s="10" t="n"/>
      <c r="G592" s="10" t="n"/>
      <c r="H592" s="10" t="n"/>
      <c r="I592" s="9" t="n"/>
      <c r="J592" s="9" t="n"/>
      <c r="K592" s="9" t="n"/>
      <c r="L592" s="9" t="n"/>
      <c r="M592" s="9" t="n"/>
      <c r="N592" s="20" t="n"/>
      <c r="O592" s="20">
        <f>IF(C592="", "", TRIM(RIGHT(C592, LEN(C592) - FIND("@@", SUBSTITUTE(C592, "-", "@@", LEN(C592) - LEN(SUBSTITUTE(C592, "-", "")))))))</f>
        <v/>
      </c>
      <c r="P592" s="20">
        <f t="array" ref="P592">IFERROR(XLOOKUP(O592,'Department Listing'!$O$1:$O$395,'Department Listing'!$A$1:$A$395),IFERROR(XLOOKUP(O592,'Name Aliases'!$A$2:$A$1000,'Name Aliases'!$B$2:$B$1000),""))</f>
        <v/>
      </c>
      <c r="Q592" s="21">
        <f>IF(ISBLANK($C592),"",$B592)</f>
        <v/>
      </c>
      <c r="R592" s="20">
        <f>IF(ISBLANK($C592),"",IF(ISBLANK($I592),$D592,$I592))</f>
        <v/>
      </c>
      <c r="S592" s="22">
        <f>IF(ISBLANK($C592),"",$F592 - $G592)</f>
        <v/>
      </c>
      <c r="T592" s="20">
        <f>IF(ISBLANK($C592),"",C592)</f>
        <v/>
      </c>
      <c r="U592" s="20">
        <f>IF(ISBLANK($C592),"",$D$1)</f>
        <v/>
      </c>
      <c r="V592" s="22">
        <f t="array" ref="V592">IF(ISBLANK($B592),"",IF(ISBLANK($K592),IF(XLOOKUP($W592,'Category Mapping'!$C:$C,'Category Mapping'!$B:$B)="Travel",XLOOKUP($P592,'Department Listing'!$A:$A,'Department Listing'!$M:$M),XLOOKUP($W592,'Category Mapping'!$C:$C,'Category Mapping'!$D:$D)),$K592))</f>
        <v/>
      </c>
      <c r="W592" s="22">
        <f>IF(ISBLANK($B592),"",IF(ISBLANK($L592),RIGHT($E592,LEN($E592) - FIND("^",SUBSTITUTE($E592,":","^",LEN($E592) - LEN(SUBSTITUTE($E592,":",""))))),$L592))</f>
        <v/>
      </c>
      <c r="X592" s="22">
        <f>IF(ISBLANK($J592),$V592&amp;$W592,$J592)</f>
        <v/>
      </c>
      <c r="Y592" s="23">
        <f t="array" ref="Y592">IF(ISBLANK($M592),IFERROR(XLOOKUP($P592,'Department Listing'!$A:$A,'Department Listing'!$L:$L),""),$M592)</f>
        <v/>
      </c>
      <c r="Z592" s="11">
        <f>IF(ISBLANK($B592),"",MATCH($X592,COA!$B:$B,0))</f>
        <v/>
      </c>
    </row>
    <row r="593" ht="15.75" customHeight="1" s="52">
      <c r="B593" s="27" t="n"/>
      <c r="C593" s="10" t="n"/>
      <c r="D593" s="10" t="n"/>
      <c r="E593" s="28" t="n"/>
      <c r="F593" s="10" t="n"/>
      <c r="G593" s="10" t="n"/>
      <c r="H593" s="10" t="n"/>
      <c r="I593" s="9" t="n"/>
      <c r="J593" s="9" t="n"/>
      <c r="K593" s="9" t="n"/>
      <c r="L593" s="9" t="n"/>
      <c r="M593" s="9" t="n"/>
      <c r="N593" s="20" t="n"/>
      <c r="O593" s="20">
        <f>IF(C593="", "", TRIM(RIGHT(C593, LEN(C593) - FIND("@@", SUBSTITUTE(C593, "-", "@@", LEN(C593) - LEN(SUBSTITUTE(C593, "-", "")))))))</f>
        <v/>
      </c>
      <c r="P593" s="20">
        <f t="array" ref="P593">IFERROR(XLOOKUP(O593,'Department Listing'!$O$1:$O$395,'Department Listing'!$A$1:$A$395),IFERROR(XLOOKUP(O593,'Name Aliases'!$A$2:$A$1000,'Name Aliases'!$B$2:$B$1000),""))</f>
        <v/>
      </c>
      <c r="Q593" s="21">
        <f>IF(ISBLANK($C593),"",$B593)</f>
        <v/>
      </c>
      <c r="R593" s="20">
        <f>IF(ISBLANK($C593),"",IF(ISBLANK($I593),$D593,$I593))</f>
        <v/>
      </c>
      <c r="S593" s="22">
        <f>IF(ISBLANK($C593),"",$F593 - $G593)</f>
        <v/>
      </c>
      <c r="T593" s="20">
        <f>IF(ISBLANK($C593),"",C593)</f>
        <v/>
      </c>
      <c r="U593" s="20">
        <f>IF(ISBLANK($C593),"",$D$1)</f>
        <v/>
      </c>
      <c r="V593" s="22">
        <f t="array" ref="V593">IF(ISBLANK($B593),"",IF(ISBLANK($K593),IF(XLOOKUP($W593,'Category Mapping'!$C:$C,'Category Mapping'!$B:$B)="Travel",XLOOKUP($P593,'Department Listing'!$A:$A,'Department Listing'!$M:$M),XLOOKUP($W593,'Category Mapping'!$C:$C,'Category Mapping'!$D:$D)),$K593))</f>
        <v/>
      </c>
      <c r="W593" s="22">
        <f>IF(ISBLANK($B593),"",IF(ISBLANK($L593),RIGHT($E593,LEN($E593) - FIND("^",SUBSTITUTE($E593,":","^",LEN($E593) - LEN(SUBSTITUTE($E593,":",""))))),$L593))</f>
        <v/>
      </c>
      <c r="X593" s="22">
        <f>IF(ISBLANK($J593),$V593&amp;$W593,$J593)</f>
        <v/>
      </c>
      <c r="Y593" s="23">
        <f t="array" ref="Y593">IF(ISBLANK($M593),IFERROR(XLOOKUP($P593,'Department Listing'!$A:$A,'Department Listing'!$L:$L),""),$M593)</f>
        <v/>
      </c>
      <c r="Z593" s="11">
        <f>IF(ISBLANK($B593),"",MATCH($X593,COA!$B:$B,0))</f>
        <v/>
      </c>
    </row>
    <row r="594" ht="15.75" customHeight="1" s="52">
      <c r="B594" s="27" t="n"/>
      <c r="C594" s="10" t="n"/>
      <c r="D594" s="10" t="n"/>
      <c r="E594" s="28" t="n"/>
      <c r="F594" s="10" t="n"/>
      <c r="G594" s="10" t="n"/>
      <c r="H594" s="10" t="n"/>
      <c r="I594" s="9" t="n"/>
      <c r="J594" s="9" t="n"/>
      <c r="K594" s="9" t="n"/>
      <c r="L594" s="9" t="n"/>
      <c r="M594" s="9" t="n"/>
      <c r="N594" s="20" t="n"/>
      <c r="O594" s="20">
        <f>IF(C594="", "", TRIM(RIGHT(C594, LEN(C594) - FIND("@@", SUBSTITUTE(C594, "-", "@@", LEN(C594) - LEN(SUBSTITUTE(C594, "-", "")))))))</f>
        <v/>
      </c>
      <c r="P594" s="20">
        <f t="array" ref="P594">IFERROR(XLOOKUP(O594,'Department Listing'!$O$1:$O$395,'Department Listing'!$A$1:$A$395),IFERROR(XLOOKUP(O594,'Name Aliases'!$A$2:$A$1000,'Name Aliases'!$B$2:$B$1000),""))</f>
        <v/>
      </c>
      <c r="Q594" s="21">
        <f>IF(ISBLANK($C594),"",$B594)</f>
        <v/>
      </c>
      <c r="R594" s="20">
        <f>IF(ISBLANK($C594),"",IF(ISBLANK($I594),$D594,$I594))</f>
        <v/>
      </c>
      <c r="S594" s="22">
        <f>IF(ISBLANK($C594),"",$F594 - $G594)</f>
        <v/>
      </c>
      <c r="T594" s="20">
        <f>IF(ISBLANK($C594),"",C594)</f>
        <v/>
      </c>
      <c r="U594" s="20">
        <f>IF(ISBLANK($C594),"",$D$1)</f>
        <v/>
      </c>
      <c r="V594" s="22">
        <f t="array" ref="V594">IF(ISBLANK($B594),"",IF(ISBLANK($K594),IF(XLOOKUP($W594,'Category Mapping'!$C:$C,'Category Mapping'!$B:$B)="Travel",XLOOKUP($P594,'Department Listing'!$A:$A,'Department Listing'!$M:$M),XLOOKUP($W594,'Category Mapping'!$C:$C,'Category Mapping'!$D:$D)),$K594))</f>
        <v/>
      </c>
      <c r="W594" s="22">
        <f>IF(ISBLANK($B594),"",IF(ISBLANK($L594),RIGHT($E594,LEN($E594) - FIND("^",SUBSTITUTE($E594,":","^",LEN($E594) - LEN(SUBSTITUTE($E594,":",""))))),$L594))</f>
        <v/>
      </c>
      <c r="X594" s="22">
        <f>IF(ISBLANK($J594),$V594&amp;$W594,$J594)</f>
        <v/>
      </c>
      <c r="Y594" s="23">
        <f t="array" ref="Y594">IF(ISBLANK($M594),IFERROR(XLOOKUP($P594,'Department Listing'!$A:$A,'Department Listing'!$L:$L),""),$M594)</f>
        <v/>
      </c>
      <c r="Z594" s="11">
        <f>IF(ISBLANK($B594),"",MATCH($X594,COA!$B:$B,0))</f>
        <v/>
      </c>
    </row>
    <row r="595" ht="15.75" customHeight="1" s="52">
      <c r="B595" s="27" t="n"/>
      <c r="C595" s="10" t="n"/>
      <c r="D595" s="10" t="n"/>
      <c r="E595" s="28" t="n"/>
      <c r="F595" s="10" t="n"/>
      <c r="G595" s="10" t="n"/>
      <c r="H595" s="10" t="n"/>
      <c r="I595" s="9" t="n"/>
      <c r="J595" s="9" t="n"/>
      <c r="K595" s="9" t="n"/>
      <c r="L595" s="9" t="n"/>
      <c r="M595" s="9" t="n"/>
      <c r="N595" s="20" t="n"/>
      <c r="O595" s="20">
        <f>IF(C595="", "", TRIM(RIGHT(C595, LEN(C595) - FIND("@@", SUBSTITUTE(C595, "-", "@@", LEN(C595) - LEN(SUBSTITUTE(C595, "-", "")))))))</f>
        <v/>
      </c>
      <c r="P595" s="20">
        <f t="array" ref="P595">IFERROR(XLOOKUP(O595,'Department Listing'!$O$1:$O$395,'Department Listing'!$A$1:$A$395),IFERROR(XLOOKUP(O595,'Name Aliases'!$A$2:$A$1000,'Name Aliases'!$B$2:$B$1000),""))</f>
        <v/>
      </c>
      <c r="Q595" s="21">
        <f>IF(ISBLANK($C595),"",$B595)</f>
        <v/>
      </c>
      <c r="R595" s="20">
        <f>IF(ISBLANK($C595),"",IF(ISBLANK($I595),$D595,$I595))</f>
        <v/>
      </c>
      <c r="S595" s="22">
        <f>IF(ISBLANK($C595),"",$F595 - $G595)</f>
        <v/>
      </c>
      <c r="T595" s="20">
        <f>IF(ISBLANK($C595),"",C595)</f>
        <v/>
      </c>
      <c r="U595" s="20">
        <f>IF(ISBLANK($C595),"",$D$1)</f>
        <v/>
      </c>
      <c r="V595" s="22">
        <f t="array" ref="V595">IF(ISBLANK($B595),"",IF(ISBLANK($K595),IF(XLOOKUP($W595,'Category Mapping'!$C:$C,'Category Mapping'!$B:$B)="Travel",XLOOKUP($P595,'Department Listing'!$A:$A,'Department Listing'!$M:$M),XLOOKUP($W595,'Category Mapping'!$C:$C,'Category Mapping'!$D:$D)),$K595))</f>
        <v/>
      </c>
      <c r="W595" s="22">
        <f>IF(ISBLANK($B595),"",IF(ISBLANK($L595),RIGHT($E595,LEN($E595) - FIND("^",SUBSTITUTE($E595,":","^",LEN($E595) - LEN(SUBSTITUTE($E595,":",""))))),$L595))</f>
        <v/>
      </c>
      <c r="X595" s="22">
        <f>IF(ISBLANK($J595),$V595&amp;$W595,$J595)</f>
        <v/>
      </c>
      <c r="Y595" s="23">
        <f t="array" ref="Y595">IF(ISBLANK($M595),IFERROR(XLOOKUP($P595,'Department Listing'!$A:$A,'Department Listing'!$L:$L),""),$M595)</f>
        <v/>
      </c>
      <c r="Z595" s="11">
        <f>IF(ISBLANK($B595),"",MATCH($X595,COA!$B:$B,0))</f>
        <v/>
      </c>
    </row>
    <row r="596" ht="15.75" customHeight="1" s="52">
      <c r="B596" s="27" t="n"/>
      <c r="C596" s="10" t="n"/>
      <c r="D596" s="10" t="n"/>
      <c r="E596" s="28" t="n"/>
      <c r="F596" s="10" t="n"/>
      <c r="G596" s="10" t="n"/>
      <c r="H596" s="10" t="n"/>
      <c r="I596" s="9" t="n"/>
      <c r="J596" s="9" t="n"/>
      <c r="K596" s="9" t="n"/>
      <c r="L596" s="9" t="n"/>
      <c r="M596" s="9" t="n"/>
      <c r="N596" s="20" t="n"/>
      <c r="O596" s="20">
        <f>IF(C596="", "", TRIM(RIGHT(C596, LEN(C596) - FIND("@@", SUBSTITUTE(C596, "-", "@@", LEN(C596) - LEN(SUBSTITUTE(C596, "-", "")))))))</f>
        <v/>
      </c>
      <c r="P596" s="20">
        <f t="array" ref="P596">IFERROR(XLOOKUP(O596,'Department Listing'!$O$1:$O$395,'Department Listing'!$A$1:$A$395),IFERROR(XLOOKUP(O596,'Name Aliases'!$A$2:$A$1000,'Name Aliases'!$B$2:$B$1000),""))</f>
        <v/>
      </c>
      <c r="Q596" s="21">
        <f>IF(ISBLANK($C596),"",$B596)</f>
        <v/>
      </c>
      <c r="R596" s="20">
        <f>IF(ISBLANK($C596),"",IF(ISBLANK($I596),$D596,$I596))</f>
        <v/>
      </c>
      <c r="S596" s="22">
        <f>IF(ISBLANK($C596),"",$F596 - $G596)</f>
        <v/>
      </c>
      <c r="T596" s="20">
        <f>IF(ISBLANK($C596),"",C596)</f>
        <v/>
      </c>
      <c r="U596" s="20">
        <f>IF(ISBLANK($C596),"",$D$1)</f>
        <v/>
      </c>
      <c r="V596" s="22">
        <f t="array" ref="V596">IF(ISBLANK($B596),"",IF(ISBLANK($K596),IF(XLOOKUP($W596,'Category Mapping'!$C:$C,'Category Mapping'!$B:$B)="Travel",XLOOKUP($P596,'Department Listing'!$A:$A,'Department Listing'!$M:$M),XLOOKUP($W596,'Category Mapping'!$C:$C,'Category Mapping'!$D:$D)),$K596))</f>
        <v/>
      </c>
      <c r="W596" s="22">
        <f>IF(ISBLANK($B596),"",IF(ISBLANK($L596),RIGHT($E596,LEN($E596) - FIND("^",SUBSTITUTE($E596,":","^",LEN($E596) - LEN(SUBSTITUTE($E596,":",""))))),$L596))</f>
        <v/>
      </c>
      <c r="X596" s="22">
        <f>IF(ISBLANK($J596),$V596&amp;$W596,$J596)</f>
        <v/>
      </c>
      <c r="Y596" s="23">
        <f t="array" ref="Y596">IF(ISBLANK($M596),IFERROR(XLOOKUP($P596,'Department Listing'!$A:$A,'Department Listing'!$L:$L),""),$M596)</f>
        <v/>
      </c>
      <c r="Z596" s="11">
        <f>IF(ISBLANK($B596),"",MATCH($X596,COA!$B:$B,0))</f>
        <v/>
      </c>
    </row>
    <row r="597" ht="15.75" customHeight="1" s="52">
      <c r="B597" s="27" t="n"/>
      <c r="C597" s="10" t="n"/>
      <c r="D597" s="10" t="n"/>
      <c r="E597" s="28" t="n"/>
      <c r="F597" s="10" t="n"/>
      <c r="G597" s="10" t="n"/>
      <c r="H597" s="10" t="n"/>
      <c r="I597" s="9" t="n"/>
      <c r="J597" s="9" t="n"/>
      <c r="K597" s="9" t="n"/>
      <c r="L597" s="9" t="n"/>
      <c r="M597" s="9" t="n"/>
      <c r="N597" s="20" t="n"/>
      <c r="O597" s="20">
        <f>IF(C597="", "", TRIM(RIGHT(C597, LEN(C597) - FIND("@@", SUBSTITUTE(C597, "-", "@@", LEN(C597) - LEN(SUBSTITUTE(C597, "-", "")))))))</f>
        <v/>
      </c>
      <c r="P597" s="20">
        <f t="array" ref="P597">IFERROR(XLOOKUP(O597,'Department Listing'!$O$1:$O$395,'Department Listing'!$A$1:$A$395),IFERROR(XLOOKUP(O597,'Name Aliases'!$A$2:$A$1000,'Name Aliases'!$B$2:$B$1000),""))</f>
        <v/>
      </c>
      <c r="Q597" s="21">
        <f>IF(ISBLANK($C597),"",$B597)</f>
        <v/>
      </c>
      <c r="R597" s="20">
        <f>IF(ISBLANK($C597),"",IF(ISBLANK($I597),$D597,$I597))</f>
        <v/>
      </c>
      <c r="S597" s="22">
        <f>IF(ISBLANK($C597),"",$F597 - $G597)</f>
        <v/>
      </c>
      <c r="T597" s="20">
        <f>IF(ISBLANK($C597),"",C597)</f>
        <v/>
      </c>
      <c r="U597" s="20">
        <f>IF(ISBLANK($C597),"",$D$1)</f>
        <v/>
      </c>
      <c r="V597" s="22">
        <f t="array" ref="V597">IF(ISBLANK($B597),"",IF(ISBLANK($K597),IF(XLOOKUP($W597,'Category Mapping'!$C:$C,'Category Mapping'!$B:$B)="Travel",XLOOKUP($P597,'Department Listing'!$A:$A,'Department Listing'!$M:$M),XLOOKUP($W597,'Category Mapping'!$C:$C,'Category Mapping'!$D:$D)),$K597))</f>
        <v/>
      </c>
      <c r="W597" s="22">
        <f>IF(ISBLANK($B597),"",IF(ISBLANK($L597),RIGHT($E597,LEN($E597) - FIND("^",SUBSTITUTE($E597,":","^",LEN($E597) - LEN(SUBSTITUTE($E597,":",""))))),$L597))</f>
        <v/>
      </c>
      <c r="X597" s="22">
        <f>IF(ISBLANK($J597),$V597&amp;$W597,$J597)</f>
        <v/>
      </c>
      <c r="Y597" s="23">
        <f t="array" ref="Y597">IF(ISBLANK($M597),IFERROR(XLOOKUP($P597,'Department Listing'!$A:$A,'Department Listing'!$L:$L),""),$M597)</f>
        <v/>
      </c>
      <c r="Z597" s="11">
        <f>IF(ISBLANK($B597),"",MATCH($X597,COA!$B:$B,0))</f>
        <v/>
      </c>
    </row>
    <row r="598" ht="15.75" customHeight="1" s="52">
      <c r="B598" s="27" t="n"/>
      <c r="C598" s="10" t="n"/>
      <c r="D598" s="10" t="n"/>
      <c r="E598" s="28" t="n"/>
      <c r="F598" s="10" t="n"/>
      <c r="G598" s="10" t="n"/>
      <c r="H598" s="10" t="n"/>
      <c r="I598" s="9" t="n"/>
      <c r="J598" s="9" t="n"/>
      <c r="K598" s="9" t="n"/>
      <c r="L598" s="9" t="n"/>
      <c r="M598" s="9" t="n"/>
      <c r="N598" s="20" t="n"/>
      <c r="O598" s="20">
        <f>IF(C598="", "", TRIM(RIGHT(C598, LEN(C598) - FIND("@@", SUBSTITUTE(C598, "-", "@@", LEN(C598) - LEN(SUBSTITUTE(C598, "-", "")))))))</f>
        <v/>
      </c>
      <c r="P598" s="20">
        <f t="array" ref="P598">IFERROR(XLOOKUP(O598,'Department Listing'!$O$1:$O$395,'Department Listing'!$A$1:$A$395),IFERROR(XLOOKUP(O598,'Name Aliases'!$A$2:$A$1000,'Name Aliases'!$B$2:$B$1000),""))</f>
        <v/>
      </c>
      <c r="Q598" s="21">
        <f>IF(ISBLANK($C598),"",$B598)</f>
        <v/>
      </c>
      <c r="R598" s="20">
        <f>IF(ISBLANK($C598),"",IF(ISBLANK($I598),$D598,$I598))</f>
        <v/>
      </c>
      <c r="S598" s="22">
        <f>IF(ISBLANK($C598),"",$F598 - $G598)</f>
        <v/>
      </c>
      <c r="T598" s="20">
        <f>IF(ISBLANK($C598),"",C598)</f>
        <v/>
      </c>
      <c r="U598" s="20">
        <f>IF(ISBLANK($C598),"",$D$1)</f>
        <v/>
      </c>
      <c r="V598" s="22">
        <f t="array" ref="V598">IF(ISBLANK($B598),"",IF(ISBLANK($K598),IF(XLOOKUP($W598,'Category Mapping'!$C:$C,'Category Mapping'!$B:$B)="Travel",XLOOKUP($P598,'Department Listing'!$A:$A,'Department Listing'!$M:$M),XLOOKUP($W598,'Category Mapping'!$C:$C,'Category Mapping'!$D:$D)),$K598))</f>
        <v/>
      </c>
      <c r="W598" s="22">
        <f>IF(ISBLANK($B598),"",IF(ISBLANK($L598),RIGHT($E598,LEN($E598) - FIND("^",SUBSTITUTE($E598,":","^",LEN($E598) - LEN(SUBSTITUTE($E598,":",""))))),$L598))</f>
        <v/>
      </c>
      <c r="X598" s="22">
        <f>IF(ISBLANK($J598),$V598&amp;$W598,$J598)</f>
        <v/>
      </c>
      <c r="Y598" s="23">
        <f t="array" ref="Y598">IF(ISBLANK($M598),IFERROR(XLOOKUP($P598,'Department Listing'!$A:$A,'Department Listing'!$L:$L),""),$M598)</f>
        <v/>
      </c>
      <c r="Z598" s="11">
        <f>IF(ISBLANK($B598),"",MATCH($X598,COA!$B:$B,0))</f>
        <v/>
      </c>
    </row>
    <row r="599" ht="15.75" customHeight="1" s="52">
      <c r="B599" s="27" t="n"/>
      <c r="C599" s="10" t="n"/>
      <c r="D599" s="10" t="n"/>
      <c r="E599" s="28" t="n"/>
      <c r="F599" s="10" t="n"/>
      <c r="G599" s="10" t="n"/>
      <c r="H599" s="10" t="n"/>
      <c r="I599" s="9" t="n"/>
      <c r="J599" s="9" t="n"/>
      <c r="K599" s="9" t="n"/>
      <c r="L599" s="9" t="n"/>
      <c r="M599" s="9" t="n"/>
      <c r="N599" s="20" t="n"/>
      <c r="O599" s="20">
        <f>IF(C599="", "", TRIM(RIGHT(C599, LEN(C599) - FIND("@@", SUBSTITUTE(C599, "-", "@@", LEN(C599) - LEN(SUBSTITUTE(C599, "-", "")))))))</f>
        <v/>
      </c>
      <c r="P599" s="20">
        <f t="array" ref="P599">IFERROR(XLOOKUP(O599,'Department Listing'!$O$1:$O$395,'Department Listing'!$A$1:$A$395),IFERROR(XLOOKUP(O599,'Name Aliases'!$A$2:$A$1000,'Name Aliases'!$B$2:$B$1000),""))</f>
        <v/>
      </c>
      <c r="Q599" s="21">
        <f>IF(ISBLANK($C599),"",$B599)</f>
        <v/>
      </c>
      <c r="R599" s="20">
        <f>IF(ISBLANK($C599),"",IF(ISBLANK($I599),$D599,$I599))</f>
        <v/>
      </c>
      <c r="S599" s="22">
        <f>IF(ISBLANK($C599),"",$F599 - $G599)</f>
        <v/>
      </c>
      <c r="T599" s="20">
        <f>IF(ISBLANK($C599),"",C599)</f>
        <v/>
      </c>
      <c r="U599" s="20">
        <f>IF(ISBLANK($C599),"",$D$1)</f>
        <v/>
      </c>
      <c r="V599" s="22">
        <f t="array" ref="V599">IF(ISBLANK($B599),"",IF(ISBLANK($K599),IF(XLOOKUP($W599,'Category Mapping'!$C:$C,'Category Mapping'!$B:$B)="Travel",XLOOKUP($P599,'Department Listing'!$A:$A,'Department Listing'!$M:$M),XLOOKUP($W599,'Category Mapping'!$C:$C,'Category Mapping'!$D:$D)),$K599))</f>
        <v/>
      </c>
      <c r="W599" s="22">
        <f>IF(ISBLANK($B599),"",IF(ISBLANK($L599),RIGHT($E599,LEN($E599) - FIND("^",SUBSTITUTE($E599,":","^",LEN($E599) - LEN(SUBSTITUTE($E599,":",""))))),$L599))</f>
        <v/>
      </c>
      <c r="X599" s="22">
        <f>IF(ISBLANK($J599),$V599&amp;$W599,$J599)</f>
        <v/>
      </c>
      <c r="Y599" s="23">
        <f t="array" ref="Y599">IF(ISBLANK($M599),IFERROR(XLOOKUP($P599,'Department Listing'!$A:$A,'Department Listing'!$L:$L),""),$M599)</f>
        <v/>
      </c>
      <c r="Z599" s="11">
        <f>IF(ISBLANK($B599),"",MATCH($X599,COA!$B:$B,0))</f>
        <v/>
      </c>
    </row>
    <row r="600" ht="15.75" customHeight="1" s="52">
      <c r="B600" s="27" t="n"/>
      <c r="C600" s="10" t="n"/>
      <c r="D600" s="10" t="n"/>
      <c r="E600" s="28" t="n"/>
      <c r="F600" s="10" t="n"/>
      <c r="G600" s="10" t="n"/>
      <c r="H600" s="10" t="n"/>
      <c r="I600" s="9" t="n"/>
      <c r="J600" s="9" t="n"/>
      <c r="K600" s="9" t="n"/>
      <c r="L600" s="9" t="n"/>
      <c r="M600" s="9" t="n"/>
      <c r="N600" s="20" t="n"/>
      <c r="O600" s="20">
        <f>IF(C600="", "", TRIM(RIGHT(C600, LEN(C600) - FIND("@@", SUBSTITUTE(C600, "-", "@@", LEN(C600) - LEN(SUBSTITUTE(C600, "-", "")))))))</f>
        <v/>
      </c>
      <c r="P600" s="20">
        <f t="array" ref="P600">IFERROR(XLOOKUP(O600,'Department Listing'!$O$1:$O$395,'Department Listing'!$A$1:$A$395),IFERROR(XLOOKUP(O600,'Name Aliases'!$A$2:$A$1000,'Name Aliases'!$B$2:$B$1000),""))</f>
        <v/>
      </c>
      <c r="Q600" s="21">
        <f>IF(ISBLANK($C600),"",$B600)</f>
        <v/>
      </c>
      <c r="R600" s="20">
        <f>IF(ISBLANK($C600),"",IF(ISBLANK($I600),$D600,$I600))</f>
        <v/>
      </c>
      <c r="S600" s="22">
        <f>IF(ISBLANK($C600),"",$F600 - $G600)</f>
        <v/>
      </c>
      <c r="T600" s="20">
        <f>IF(ISBLANK($C600),"",C600)</f>
        <v/>
      </c>
      <c r="U600" s="20">
        <f>IF(ISBLANK($C600),"",$D$1)</f>
        <v/>
      </c>
      <c r="V600" s="22">
        <f t="array" ref="V600">IF(ISBLANK($B600),"",IF(ISBLANK($K600),IF(XLOOKUP($W600,'Category Mapping'!$C:$C,'Category Mapping'!$B:$B)="Travel",XLOOKUP($P600,'Department Listing'!$A:$A,'Department Listing'!$M:$M),XLOOKUP($W600,'Category Mapping'!$C:$C,'Category Mapping'!$D:$D)),$K600))</f>
        <v/>
      </c>
      <c r="W600" s="22">
        <f>IF(ISBLANK($B600),"",IF(ISBLANK($L600),RIGHT($E600,LEN($E600) - FIND("^",SUBSTITUTE($E600,":","^",LEN($E600) - LEN(SUBSTITUTE($E600,":",""))))),$L600))</f>
        <v/>
      </c>
      <c r="X600" s="22">
        <f>IF(ISBLANK($J600),$V600&amp;$W600,$J600)</f>
        <v/>
      </c>
      <c r="Y600" s="23">
        <f t="array" ref="Y600">IF(ISBLANK($M600),IFERROR(XLOOKUP($P600,'Department Listing'!$A:$A,'Department Listing'!$L:$L),""),$M600)</f>
        <v/>
      </c>
      <c r="Z600" s="11">
        <f>IF(ISBLANK($B600),"",MATCH($X600,COA!$B:$B,0))</f>
        <v/>
      </c>
    </row>
    <row r="601" ht="15.75" customHeight="1" s="52">
      <c r="B601" s="27" t="n"/>
      <c r="C601" s="10" t="n"/>
      <c r="D601" s="10" t="n"/>
      <c r="E601" s="28" t="n"/>
      <c r="F601" s="10" t="n"/>
      <c r="G601" s="10" t="n"/>
      <c r="H601" s="10" t="n"/>
      <c r="I601" s="9" t="n"/>
      <c r="J601" s="9" t="n"/>
      <c r="K601" s="9" t="n"/>
      <c r="L601" s="9" t="n"/>
      <c r="M601" s="9" t="n"/>
      <c r="N601" s="20" t="n"/>
      <c r="O601" s="20">
        <f>IF(C601="", "", TRIM(RIGHT(C601, LEN(C601) - FIND("@@", SUBSTITUTE(C601, "-", "@@", LEN(C601) - LEN(SUBSTITUTE(C601, "-", "")))))))</f>
        <v/>
      </c>
      <c r="P601" s="20">
        <f t="array" ref="P601">IFERROR(XLOOKUP(O601,'Department Listing'!$O$1:$O$395,'Department Listing'!$A$1:$A$395),IFERROR(XLOOKUP(O601,'Name Aliases'!$A$2:$A$1000,'Name Aliases'!$B$2:$B$1000),""))</f>
        <v/>
      </c>
      <c r="Q601" s="21">
        <f>IF(ISBLANK($C601),"",$B601)</f>
        <v/>
      </c>
      <c r="R601" s="20">
        <f>IF(ISBLANK($C601),"",IF(ISBLANK($I601),$D601,$I601))</f>
        <v/>
      </c>
      <c r="S601" s="22">
        <f>IF(ISBLANK($C601),"",$F601 - $G601)</f>
        <v/>
      </c>
      <c r="T601" s="20">
        <f>IF(ISBLANK($C601),"",C601)</f>
        <v/>
      </c>
      <c r="U601" s="20">
        <f>IF(ISBLANK($C601),"",$D$1)</f>
        <v/>
      </c>
      <c r="V601" s="22">
        <f t="array" ref="V601">IF(ISBLANK($B601),"",IF(ISBLANK($K601),IF(XLOOKUP($W601,'Category Mapping'!$C:$C,'Category Mapping'!$B:$B)="Travel",XLOOKUP($P601,'Department Listing'!$A:$A,'Department Listing'!$M:$M),XLOOKUP($W601,'Category Mapping'!$C:$C,'Category Mapping'!$D:$D)),$K601))</f>
        <v/>
      </c>
      <c r="W601" s="22">
        <f>IF(ISBLANK($B601),"",IF(ISBLANK($L601),RIGHT($E601,LEN($E601) - FIND("^",SUBSTITUTE($E601,":","^",LEN($E601) - LEN(SUBSTITUTE($E601,":",""))))),$L601))</f>
        <v/>
      </c>
      <c r="X601" s="22">
        <f>IF(ISBLANK($J601),$V601&amp;$W601,$J601)</f>
        <v/>
      </c>
      <c r="Y601" s="23">
        <f t="array" ref="Y601">IF(ISBLANK($M601),IFERROR(XLOOKUP($P601,'Department Listing'!$A:$A,'Department Listing'!$L:$L),""),$M601)</f>
        <v/>
      </c>
      <c r="Z601" s="11">
        <f>IF(ISBLANK($B601),"",MATCH($X601,COA!$B:$B,0))</f>
        <v/>
      </c>
    </row>
    <row r="602" ht="15.75" customHeight="1" s="52">
      <c r="B602" s="27" t="n"/>
      <c r="C602" s="10" t="n"/>
      <c r="D602" s="10" t="n"/>
      <c r="E602" s="28" t="n"/>
      <c r="F602" s="10" t="n"/>
      <c r="G602" s="10" t="n"/>
      <c r="H602" s="10" t="n"/>
      <c r="I602" s="9" t="n"/>
      <c r="J602" s="9" t="n"/>
      <c r="K602" s="9" t="n"/>
      <c r="L602" s="9" t="n"/>
      <c r="M602" s="9" t="n"/>
      <c r="N602" s="20" t="n"/>
      <c r="O602" s="20">
        <f>IF(C602="", "", TRIM(RIGHT(C602, LEN(C602) - FIND("@@", SUBSTITUTE(C602, "-", "@@", LEN(C602) - LEN(SUBSTITUTE(C602, "-", "")))))))</f>
        <v/>
      </c>
      <c r="P602" s="20">
        <f t="array" ref="P602">IFERROR(XLOOKUP(O602,'Department Listing'!$O$1:$O$395,'Department Listing'!$A$1:$A$395),IFERROR(XLOOKUP(O602,'Name Aliases'!$A$2:$A$1000,'Name Aliases'!$B$2:$B$1000),""))</f>
        <v/>
      </c>
      <c r="Q602" s="21">
        <f>IF(ISBLANK($C602),"",$B602)</f>
        <v/>
      </c>
      <c r="R602" s="20">
        <f>IF(ISBLANK($C602),"",IF(ISBLANK($I602),$D602,$I602))</f>
        <v/>
      </c>
      <c r="S602" s="22">
        <f>IF(ISBLANK($C602),"",$F602 - $G602)</f>
        <v/>
      </c>
      <c r="T602" s="20">
        <f>IF(ISBLANK($C602),"",C602)</f>
        <v/>
      </c>
      <c r="U602" s="20">
        <f>IF(ISBLANK($C602),"",$D$1)</f>
        <v/>
      </c>
      <c r="V602" s="22">
        <f t="array" ref="V602">IF(ISBLANK($B602),"",IF(ISBLANK($K602),IF(XLOOKUP($W602,'Category Mapping'!$C:$C,'Category Mapping'!$B:$B)="Travel",XLOOKUP($P602,'Department Listing'!$A:$A,'Department Listing'!$M:$M),XLOOKUP($W602,'Category Mapping'!$C:$C,'Category Mapping'!$D:$D)),$K602))</f>
        <v/>
      </c>
      <c r="W602" s="22">
        <f>IF(ISBLANK($B602),"",IF(ISBLANK($L602),RIGHT($E602,LEN($E602) - FIND("^",SUBSTITUTE($E602,":","^",LEN($E602) - LEN(SUBSTITUTE($E602,":",""))))),$L602))</f>
        <v/>
      </c>
      <c r="X602" s="22">
        <f>IF(ISBLANK($J602),$V602&amp;$W602,$J602)</f>
        <v/>
      </c>
      <c r="Y602" s="23">
        <f t="array" ref="Y602">IF(ISBLANK($M602),IFERROR(XLOOKUP($P602,'Department Listing'!$A:$A,'Department Listing'!$L:$L),""),$M602)</f>
        <v/>
      </c>
      <c r="Z602" s="11">
        <f>IF(ISBLANK($B602),"",MATCH($X602,COA!$B:$B,0))</f>
        <v/>
      </c>
    </row>
    <row r="603" ht="15.75" customHeight="1" s="52">
      <c r="B603" s="27" t="n"/>
      <c r="C603" s="10" t="n"/>
      <c r="D603" s="10" t="n"/>
      <c r="E603" s="28" t="n"/>
      <c r="F603" s="10" t="n"/>
      <c r="G603" s="10" t="n"/>
      <c r="H603" s="10" t="n"/>
      <c r="I603" s="9" t="n"/>
      <c r="J603" s="9" t="n"/>
      <c r="K603" s="9" t="n"/>
      <c r="L603" s="9" t="n"/>
      <c r="M603" s="9" t="n"/>
      <c r="N603" s="20" t="n"/>
      <c r="O603" s="20">
        <f>IF(C603="", "", TRIM(RIGHT(C603, LEN(C603) - FIND("@@", SUBSTITUTE(C603, "-", "@@", LEN(C603) - LEN(SUBSTITUTE(C603, "-", "")))))))</f>
        <v/>
      </c>
      <c r="P603" s="20">
        <f t="array" ref="P603">IFERROR(XLOOKUP(O603,'Department Listing'!$O$1:$O$395,'Department Listing'!$A$1:$A$395),IFERROR(XLOOKUP(O603,'Name Aliases'!$A$2:$A$1000,'Name Aliases'!$B$2:$B$1000),""))</f>
        <v/>
      </c>
      <c r="Q603" s="21">
        <f>IF(ISBLANK($C603),"",$B603)</f>
        <v/>
      </c>
      <c r="R603" s="20">
        <f>IF(ISBLANK($C603),"",IF(ISBLANK($I603),$D603,$I603))</f>
        <v/>
      </c>
      <c r="S603" s="22">
        <f>IF(ISBLANK($C603),"",$F603 - $G603)</f>
        <v/>
      </c>
      <c r="T603" s="20">
        <f>IF(ISBLANK($C603),"",C603)</f>
        <v/>
      </c>
      <c r="U603" s="20">
        <f>IF(ISBLANK($C603),"",$D$1)</f>
        <v/>
      </c>
      <c r="V603" s="22">
        <f t="array" ref="V603">IF(ISBLANK($B603),"",IF(ISBLANK($K603),IF(XLOOKUP($W603,'Category Mapping'!$C:$C,'Category Mapping'!$B:$B)="Travel",XLOOKUP($P603,'Department Listing'!$A:$A,'Department Listing'!$M:$M),XLOOKUP($W603,'Category Mapping'!$C:$C,'Category Mapping'!$D:$D)),$K603))</f>
        <v/>
      </c>
      <c r="W603" s="22">
        <f>IF(ISBLANK($B603),"",IF(ISBLANK($L603),RIGHT($E603,LEN($E603) - FIND("^",SUBSTITUTE($E603,":","^",LEN($E603) - LEN(SUBSTITUTE($E603,":",""))))),$L603))</f>
        <v/>
      </c>
      <c r="X603" s="22">
        <f>IF(ISBLANK($J603),$V603&amp;$W603,$J603)</f>
        <v/>
      </c>
      <c r="Y603" s="23">
        <f t="array" ref="Y603">IF(ISBLANK($M603),IFERROR(XLOOKUP($P603,'Department Listing'!$A:$A,'Department Listing'!$L:$L),""),$M603)</f>
        <v/>
      </c>
      <c r="Z603" s="11">
        <f>IF(ISBLANK($B603),"",MATCH($X603,COA!$B:$B,0))</f>
        <v/>
      </c>
    </row>
    <row r="604" ht="15.75" customHeight="1" s="52">
      <c r="B604" s="27" t="n"/>
      <c r="C604" s="10" t="n"/>
      <c r="D604" s="10" t="n"/>
      <c r="E604" s="28" t="n"/>
      <c r="F604" s="10" t="n"/>
      <c r="G604" s="10" t="n"/>
      <c r="H604" s="10" t="n"/>
      <c r="I604" s="9" t="n"/>
      <c r="J604" s="9" t="n"/>
      <c r="K604" s="9" t="n"/>
      <c r="L604" s="9" t="n"/>
      <c r="M604" s="9" t="n"/>
      <c r="N604" s="20" t="n"/>
      <c r="O604" s="20">
        <f>IF(C604="", "", TRIM(RIGHT(C604, LEN(C604) - FIND("@@", SUBSTITUTE(C604, "-", "@@", LEN(C604) - LEN(SUBSTITUTE(C604, "-", "")))))))</f>
        <v/>
      </c>
      <c r="P604" s="20">
        <f t="array" ref="P604">IFERROR(XLOOKUP(O604,'Department Listing'!$O$1:$O$395,'Department Listing'!$A$1:$A$395),IFERROR(XLOOKUP(O604,'Name Aliases'!$A$2:$A$1000,'Name Aliases'!$B$2:$B$1000),""))</f>
        <v/>
      </c>
      <c r="Q604" s="21">
        <f>IF(ISBLANK($C604),"",$B604)</f>
        <v/>
      </c>
      <c r="R604" s="20">
        <f>IF(ISBLANK($C604),"",IF(ISBLANK($I604),$D604,$I604))</f>
        <v/>
      </c>
      <c r="S604" s="22">
        <f>IF(ISBLANK($C604),"",$F604 - $G604)</f>
        <v/>
      </c>
      <c r="T604" s="20">
        <f>IF(ISBLANK($C604),"",C604)</f>
        <v/>
      </c>
      <c r="U604" s="20">
        <f>IF(ISBLANK($C604),"",$D$1)</f>
        <v/>
      </c>
      <c r="V604" s="22">
        <f t="array" ref="V604">IF(ISBLANK($B604),"",IF(ISBLANK($K604),IF(XLOOKUP($W604,'Category Mapping'!$C:$C,'Category Mapping'!$B:$B)="Travel",XLOOKUP($P604,'Department Listing'!$A:$A,'Department Listing'!$M:$M),XLOOKUP($W604,'Category Mapping'!$C:$C,'Category Mapping'!$D:$D)),$K604))</f>
        <v/>
      </c>
      <c r="W604" s="22">
        <f>IF(ISBLANK($B604),"",IF(ISBLANK($L604),RIGHT($E604,LEN($E604) - FIND("^",SUBSTITUTE($E604,":","^",LEN($E604) - LEN(SUBSTITUTE($E604,":",""))))),$L604))</f>
        <v/>
      </c>
      <c r="X604" s="22">
        <f>IF(ISBLANK($J604),$V604&amp;$W604,$J604)</f>
        <v/>
      </c>
      <c r="Y604" s="23">
        <f t="array" ref="Y604">IF(ISBLANK($M604),IFERROR(XLOOKUP($P604,'Department Listing'!$A:$A,'Department Listing'!$L:$L),""),$M604)</f>
        <v/>
      </c>
      <c r="Z604" s="11">
        <f>IF(ISBLANK($B604),"",MATCH($X604,COA!$B:$B,0))</f>
        <v/>
      </c>
    </row>
    <row r="605" ht="15.75" customHeight="1" s="52">
      <c r="B605" s="27" t="n"/>
      <c r="C605" s="10" t="n"/>
      <c r="D605" s="10" t="n"/>
      <c r="E605" s="28" t="n"/>
      <c r="F605" s="10" t="n"/>
      <c r="G605" s="10" t="n"/>
      <c r="H605" s="10" t="n"/>
      <c r="I605" s="9" t="n"/>
      <c r="J605" s="9" t="n"/>
      <c r="K605" s="9" t="n"/>
      <c r="L605" s="9" t="n"/>
      <c r="M605" s="9" t="n"/>
      <c r="N605" s="20" t="n"/>
      <c r="O605" s="20">
        <f>IF(C605="", "", TRIM(RIGHT(C605, LEN(C605) - FIND("@@", SUBSTITUTE(C605, "-", "@@", LEN(C605) - LEN(SUBSTITUTE(C605, "-", "")))))))</f>
        <v/>
      </c>
      <c r="P605" s="20">
        <f t="array" ref="P605">IFERROR(XLOOKUP(O605,'Department Listing'!$O$1:$O$395,'Department Listing'!$A$1:$A$395),IFERROR(XLOOKUP(O605,'Name Aliases'!$A$2:$A$1000,'Name Aliases'!$B$2:$B$1000),""))</f>
        <v/>
      </c>
      <c r="Q605" s="21">
        <f>IF(ISBLANK($C605),"",$B605)</f>
        <v/>
      </c>
      <c r="R605" s="20">
        <f>IF(ISBLANK($C605),"",IF(ISBLANK($I605),$D605,$I605))</f>
        <v/>
      </c>
      <c r="S605" s="22">
        <f>IF(ISBLANK($C605),"",$F605 - $G605)</f>
        <v/>
      </c>
      <c r="T605" s="20">
        <f>IF(ISBLANK($C605),"",C605)</f>
        <v/>
      </c>
      <c r="U605" s="20">
        <f>IF(ISBLANK($C605),"",$D$1)</f>
        <v/>
      </c>
      <c r="V605" s="22">
        <f t="array" ref="V605">IF(ISBLANK($B605),"",IF(ISBLANK($K605),IF(XLOOKUP($W605,'Category Mapping'!$C:$C,'Category Mapping'!$B:$B)="Travel",XLOOKUP($P605,'Department Listing'!$A:$A,'Department Listing'!$M:$M),XLOOKUP($W605,'Category Mapping'!$C:$C,'Category Mapping'!$D:$D)),$K605))</f>
        <v/>
      </c>
      <c r="W605" s="22">
        <f>IF(ISBLANK($B605),"",IF(ISBLANK($L605),RIGHT($E605,LEN($E605) - FIND("^",SUBSTITUTE($E605,":","^",LEN($E605) - LEN(SUBSTITUTE($E605,":",""))))),$L605))</f>
        <v/>
      </c>
      <c r="X605" s="22">
        <f>IF(ISBLANK($J605),$V605&amp;$W605,$J605)</f>
        <v/>
      </c>
      <c r="Y605" s="23">
        <f t="array" ref="Y605">IF(ISBLANK($M605),IFERROR(XLOOKUP($P605,'Department Listing'!$A:$A,'Department Listing'!$L:$L),""),$M605)</f>
        <v/>
      </c>
      <c r="Z605" s="11">
        <f>IF(ISBLANK($B605),"",MATCH($X605,COA!$B:$B,0))</f>
        <v/>
      </c>
    </row>
    <row r="606" ht="15.75" customHeight="1" s="52">
      <c r="B606" s="27" t="n"/>
      <c r="C606" s="10" t="n"/>
      <c r="D606" s="10" t="n"/>
      <c r="E606" s="28" t="n"/>
      <c r="F606" s="10" t="n"/>
      <c r="G606" s="10" t="n"/>
      <c r="H606" s="10" t="n"/>
      <c r="I606" s="9" t="n"/>
      <c r="J606" s="9" t="n"/>
      <c r="K606" s="9" t="n"/>
      <c r="L606" s="9" t="n"/>
      <c r="M606" s="9" t="n"/>
      <c r="N606" s="20" t="n"/>
      <c r="O606" s="20">
        <f>IF(C606="", "", TRIM(RIGHT(C606, LEN(C606) - FIND("@@", SUBSTITUTE(C606, "-", "@@", LEN(C606) - LEN(SUBSTITUTE(C606, "-", "")))))))</f>
        <v/>
      </c>
      <c r="P606" s="20">
        <f t="array" ref="P606">IFERROR(XLOOKUP(O606,'Department Listing'!$O$1:$O$395,'Department Listing'!$A$1:$A$395),IFERROR(XLOOKUP(O606,'Name Aliases'!$A$2:$A$1000,'Name Aliases'!$B$2:$B$1000),""))</f>
        <v/>
      </c>
      <c r="Q606" s="21">
        <f>IF(ISBLANK($C606),"",$B606)</f>
        <v/>
      </c>
      <c r="R606" s="20">
        <f>IF(ISBLANK($C606),"",IF(ISBLANK($I606),$D606,$I606))</f>
        <v/>
      </c>
      <c r="S606" s="22">
        <f>IF(ISBLANK($C606),"",$F606 - $G606)</f>
        <v/>
      </c>
      <c r="T606" s="20">
        <f>IF(ISBLANK($C606),"",C606)</f>
        <v/>
      </c>
      <c r="U606" s="20">
        <f>IF(ISBLANK($C606),"",$D$1)</f>
        <v/>
      </c>
      <c r="V606" s="22">
        <f t="array" ref="V606">IF(ISBLANK($B606),"",IF(ISBLANK($K606),IF(XLOOKUP($W606,'Category Mapping'!$C:$C,'Category Mapping'!$B:$B)="Travel",XLOOKUP($P606,'Department Listing'!$A:$A,'Department Listing'!$M:$M),XLOOKUP($W606,'Category Mapping'!$C:$C,'Category Mapping'!$D:$D)),$K606))</f>
        <v/>
      </c>
      <c r="W606" s="22">
        <f>IF(ISBLANK($B606),"",IF(ISBLANK($L606),RIGHT($E606,LEN($E606) - FIND("^",SUBSTITUTE($E606,":","^",LEN($E606) - LEN(SUBSTITUTE($E606,":",""))))),$L606))</f>
        <v/>
      </c>
      <c r="X606" s="22">
        <f>IF(ISBLANK($J606),$V606&amp;$W606,$J606)</f>
        <v/>
      </c>
      <c r="Y606" s="23">
        <f t="array" ref="Y606">IF(ISBLANK($M606),IFERROR(XLOOKUP($P606,'Department Listing'!$A:$A,'Department Listing'!$L:$L),""),$M606)</f>
        <v/>
      </c>
      <c r="Z606" s="11">
        <f>IF(ISBLANK($B606),"",MATCH($X606,COA!$B:$B,0))</f>
        <v/>
      </c>
    </row>
    <row r="607" ht="15.75" customHeight="1" s="52">
      <c r="B607" s="27" t="n"/>
      <c r="C607" s="10" t="n"/>
      <c r="D607" s="10" t="n"/>
      <c r="E607" s="28" t="n"/>
      <c r="F607" s="10" t="n"/>
      <c r="G607" s="10" t="n"/>
      <c r="H607" s="10" t="n"/>
      <c r="I607" s="9" t="n"/>
      <c r="J607" s="9" t="n"/>
      <c r="K607" s="9" t="n"/>
      <c r="L607" s="9" t="n"/>
      <c r="M607" s="9" t="n"/>
      <c r="N607" s="20" t="n"/>
      <c r="O607" s="20">
        <f>IF(C607="", "", TRIM(RIGHT(C607, LEN(C607) - FIND("@@", SUBSTITUTE(C607, "-", "@@", LEN(C607) - LEN(SUBSTITUTE(C607, "-", "")))))))</f>
        <v/>
      </c>
      <c r="P607" s="20">
        <f t="array" ref="P607">IFERROR(XLOOKUP(O607,'Department Listing'!$O$1:$O$395,'Department Listing'!$A$1:$A$395),IFERROR(XLOOKUP(O607,'Name Aliases'!$A$2:$A$1000,'Name Aliases'!$B$2:$B$1000),""))</f>
        <v/>
      </c>
      <c r="Q607" s="21">
        <f>IF(ISBLANK($C607),"",$B607)</f>
        <v/>
      </c>
      <c r="R607" s="20">
        <f>IF(ISBLANK($C607),"",IF(ISBLANK($I607),$D607,$I607))</f>
        <v/>
      </c>
      <c r="S607" s="22">
        <f>IF(ISBLANK($C607),"",$F607 - $G607)</f>
        <v/>
      </c>
      <c r="T607" s="20">
        <f>IF(ISBLANK($C607),"",C607)</f>
        <v/>
      </c>
      <c r="U607" s="20">
        <f>IF(ISBLANK($C607),"",$D$1)</f>
        <v/>
      </c>
      <c r="V607" s="22">
        <f t="array" ref="V607">IF(ISBLANK($B607),"",IF(ISBLANK($K607),IF(XLOOKUP($W607,'Category Mapping'!$C:$C,'Category Mapping'!$B:$B)="Travel",XLOOKUP($P607,'Department Listing'!$A:$A,'Department Listing'!$M:$M),XLOOKUP($W607,'Category Mapping'!$C:$C,'Category Mapping'!$D:$D)),$K607))</f>
        <v/>
      </c>
      <c r="W607" s="22">
        <f>IF(ISBLANK($B607),"",IF(ISBLANK($L607),RIGHT($E607,LEN($E607) - FIND("^",SUBSTITUTE($E607,":","^",LEN($E607) - LEN(SUBSTITUTE($E607,":",""))))),$L607))</f>
        <v/>
      </c>
      <c r="X607" s="22">
        <f>IF(ISBLANK($J607),$V607&amp;$W607,$J607)</f>
        <v/>
      </c>
      <c r="Y607" s="23">
        <f t="array" ref="Y607">IF(ISBLANK($M607),IFERROR(XLOOKUP($P607,'Department Listing'!$A:$A,'Department Listing'!$L:$L),""),$M607)</f>
        <v/>
      </c>
      <c r="Z607" s="11">
        <f>IF(ISBLANK($B607),"",MATCH($X607,COA!$B:$B,0))</f>
        <v/>
      </c>
    </row>
    <row r="608" ht="15.75" customHeight="1" s="52">
      <c r="B608" s="27" t="n"/>
      <c r="C608" s="10" t="n"/>
      <c r="D608" s="10" t="n"/>
      <c r="E608" s="28" t="n"/>
      <c r="F608" s="10" t="n"/>
      <c r="G608" s="10" t="n"/>
      <c r="H608" s="10" t="n"/>
      <c r="I608" s="9" t="n"/>
      <c r="J608" s="9" t="n"/>
      <c r="K608" s="9" t="n"/>
      <c r="L608" s="9" t="n"/>
      <c r="M608" s="9" t="n"/>
      <c r="N608" s="20" t="n"/>
      <c r="O608" s="20">
        <f>IF(C608="", "", TRIM(RIGHT(C608, LEN(C608) - FIND("@@", SUBSTITUTE(C608, "-", "@@", LEN(C608) - LEN(SUBSTITUTE(C608, "-", "")))))))</f>
        <v/>
      </c>
      <c r="P608" s="20">
        <f t="array" ref="P608">IFERROR(XLOOKUP(O608,'Department Listing'!$O$1:$O$395,'Department Listing'!$A$1:$A$395),IFERROR(XLOOKUP(O608,'Name Aliases'!$A$2:$A$1000,'Name Aliases'!$B$2:$B$1000),""))</f>
        <v/>
      </c>
      <c r="Q608" s="21">
        <f>IF(ISBLANK($C608),"",$B608)</f>
        <v/>
      </c>
      <c r="R608" s="20">
        <f>IF(ISBLANK($C608),"",IF(ISBLANK($I608),$D608,$I608))</f>
        <v/>
      </c>
      <c r="S608" s="22">
        <f>IF(ISBLANK($C608),"",$F608 - $G608)</f>
        <v/>
      </c>
      <c r="T608" s="20">
        <f>IF(ISBLANK($C608),"",C608)</f>
        <v/>
      </c>
      <c r="U608" s="20">
        <f>IF(ISBLANK($C608),"",$D$1)</f>
        <v/>
      </c>
      <c r="V608" s="22">
        <f t="array" ref="V608">IF(ISBLANK($B608),"",IF(ISBLANK($K608),IF(XLOOKUP($W608,'Category Mapping'!$C:$C,'Category Mapping'!$B:$B)="Travel",XLOOKUP($P608,'Department Listing'!$A:$A,'Department Listing'!$M:$M),XLOOKUP($W608,'Category Mapping'!$C:$C,'Category Mapping'!$D:$D)),$K608))</f>
        <v/>
      </c>
      <c r="W608" s="22">
        <f>IF(ISBLANK($B608),"",IF(ISBLANK($L608),RIGHT($E608,LEN($E608) - FIND("^",SUBSTITUTE($E608,":","^",LEN($E608) - LEN(SUBSTITUTE($E608,":",""))))),$L608))</f>
        <v/>
      </c>
      <c r="X608" s="22">
        <f>IF(ISBLANK($J608),$V608&amp;$W608,$J608)</f>
        <v/>
      </c>
      <c r="Y608" s="23">
        <f t="array" ref="Y608">IF(ISBLANK($M608),IFERROR(XLOOKUP($P608,'Department Listing'!$A:$A,'Department Listing'!$L:$L),""),$M608)</f>
        <v/>
      </c>
      <c r="Z608" s="11">
        <f>IF(ISBLANK($B608),"",MATCH($X608,COA!$B:$B,0))</f>
        <v/>
      </c>
    </row>
    <row r="609" ht="15.75" customHeight="1" s="52">
      <c r="B609" s="27" t="n"/>
      <c r="C609" s="10" t="n"/>
      <c r="D609" s="10" t="n"/>
      <c r="E609" s="28" t="n"/>
      <c r="F609" s="10" t="n"/>
      <c r="G609" s="10" t="n"/>
      <c r="H609" s="10" t="n"/>
      <c r="I609" s="9" t="n"/>
      <c r="J609" s="9" t="n"/>
      <c r="K609" s="9" t="n"/>
      <c r="L609" s="9" t="n"/>
      <c r="M609" s="9" t="n"/>
      <c r="N609" s="20" t="n"/>
      <c r="O609" s="20">
        <f>IF(C609="", "", TRIM(RIGHT(C609, LEN(C609) - FIND("@@", SUBSTITUTE(C609, "-", "@@", LEN(C609) - LEN(SUBSTITUTE(C609, "-", "")))))))</f>
        <v/>
      </c>
      <c r="P609" s="20">
        <f t="array" ref="P609">IFERROR(XLOOKUP(O609,'Department Listing'!$O$1:$O$395,'Department Listing'!$A$1:$A$395),IFERROR(XLOOKUP(O609,'Name Aliases'!$A$2:$A$1000,'Name Aliases'!$B$2:$B$1000),""))</f>
        <v/>
      </c>
      <c r="Q609" s="21">
        <f>IF(ISBLANK($C609),"",$B609)</f>
        <v/>
      </c>
      <c r="R609" s="20">
        <f>IF(ISBLANK($C609),"",IF(ISBLANK($I609),$D609,$I609))</f>
        <v/>
      </c>
      <c r="S609" s="22">
        <f>IF(ISBLANK($C609),"",$F609 - $G609)</f>
        <v/>
      </c>
      <c r="T609" s="20">
        <f>IF(ISBLANK($C609),"",C609)</f>
        <v/>
      </c>
      <c r="U609" s="20">
        <f>IF(ISBLANK($C609),"",$D$1)</f>
        <v/>
      </c>
      <c r="V609" s="22">
        <f t="array" ref="V609">IF(ISBLANK($B609),"",IF(ISBLANK($K609),IF(XLOOKUP($W609,'Category Mapping'!$C:$C,'Category Mapping'!$B:$B)="Travel",XLOOKUP($P609,'Department Listing'!$A:$A,'Department Listing'!$M:$M),XLOOKUP($W609,'Category Mapping'!$C:$C,'Category Mapping'!$D:$D)),$K609))</f>
        <v/>
      </c>
      <c r="W609" s="22">
        <f>IF(ISBLANK($B609),"",IF(ISBLANK($L609),RIGHT($E609,LEN($E609) - FIND("^",SUBSTITUTE($E609,":","^",LEN($E609) - LEN(SUBSTITUTE($E609,":",""))))),$L609))</f>
        <v/>
      </c>
      <c r="X609" s="22">
        <f>IF(ISBLANK($J609),$V609&amp;$W609,$J609)</f>
        <v/>
      </c>
      <c r="Y609" s="23">
        <f t="array" ref="Y609">IF(ISBLANK($M609),IFERROR(XLOOKUP($P609,'Department Listing'!$A:$A,'Department Listing'!$L:$L),""),$M609)</f>
        <v/>
      </c>
      <c r="Z609" s="11">
        <f>IF(ISBLANK($B609),"",MATCH($X609,COA!$B:$B,0))</f>
        <v/>
      </c>
    </row>
    <row r="610" ht="15.75" customHeight="1" s="52">
      <c r="B610" s="27" t="n"/>
      <c r="C610" s="10" t="n"/>
      <c r="D610" s="10" t="n"/>
      <c r="E610" s="28" t="n"/>
      <c r="F610" s="10" t="n"/>
      <c r="G610" s="10" t="n"/>
      <c r="H610" s="10" t="n"/>
      <c r="I610" s="9" t="n"/>
      <c r="J610" s="9" t="n"/>
      <c r="K610" s="9" t="n"/>
      <c r="L610" s="9" t="n"/>
      <c r="M610" s="9" t="n"/>
      <c r="N610" s="20" t="n"/>
      <c r="O610" s="20">
        <f>IF(C610="", "", TRIM(RIGHT(C610, LEN(C610) - FIND("@@", SUBSTITUTE(C610, "-", "@@", LEN(C610) - LEN(SUBSTITUTE(C610, "-", "")))))))</f>
        <v/>
      </c>
      <c r="P610" s="20">
        <f t="array" ref="P610">IFERROR(XLOOKUP(O610,'Department Listing'!$O$1:$O$395,'Department Listing'!$A$1:$A$395),IFERROR(XLOOKUP(O610,'Name Aliases'!$A$2:$A$1000,'Name Aliases'!$B$2:$B$1000),""))</f>
        <v/>
      </c>
      <c r="Q610" s="21">
        <f>IF(ISBLANK($C610),"",$B610)</f>
        <v/>
      </c>
      <c r="R610" s="20">
        <f>IF(ISBLANK($C610),"",IF(ISBLANK($I610),$D610,$I610))</f>
        <v/>
      </c>
      <c r="S610" s="22">
        <f>IF(ISBLANK($C610),"",$F610 - $G610)</f>
        <v/>
      </c>
      <c r="T610" s="20">
        <f>IF(ISBLANK($C610),"",C610)</f>
        <v/>
      </c>
      <c r="U610" s="20">
        <f>IF(ISBLANK($C610),"",$D$1)</f>
        <v/>
      </c>
      <c r="V610" s="22">
        <f t="array" ref="V610">IF(ISBLANK($B610),"",IF(ISBLANK($K610),IF(XLOOKUP($W610,'Category Mapping'!$C:$C,'Category Mapping'!$B:$B)="Travel",XLOOKUP($P610,'Department Listing'!$A:$A,'Department Listing'!$M:$M),XLOOKUP($W610,'Category Mapping'!$C:$C,'Category Mapping'!$D:$D)),$K610))</f>
        <v/>
      </c>
      <c r="W610" s="22">
        <f>IF(ISBLANK($B610),"",IF(ISBLANK($L610),RIGHT($E610,LEN($E610) - FIND("^",SUBSTITUTE($E610,":","^",LEN($E610) - LEN(SUBSTITUTE($E610,":",""))))),$L610))</f>
        <v/>
      </c>
      <c r="X610" s="22">
        <f>IF(ISBLANK($J610),$V610&amp;$W610,$J610)</f>
        <v/>
      </c>
      <c r="Y610" s="23">
        <f t="array" ref="Y610">IF(ISBLANK($M610),IFERROR(XLOOKUP($P610,'Department Listing'!$A:$A,'Department Listing'!$L:$L),""),$M610)</f>
        <v/>
      </c>
      <c r="Z610" s="11">
        <f>IF(ISBLANK($B610),"",MATCH($X610,COA!$B:$B,0))</f>
        <v/>
      </c>
    </row>
    <row r="611" ht="15.75" customHeight="1" s="52">
      <c r="B611" s="27" t="n"/>
      <c r="C611" s="10" t="n"/>
      <c r="D611" s="10" t="n"/>
      <c r="E611" s="28" t="n"/>
      <c r="F611" s="10" t="n"/>
      <c r="G611" s="10" t="n"/>
      <c r="H611" s="10" t="n"/>
      <c r="I611" s="9" t="n"/>
      <c r="J611" s="9" t="n"/>
      <c r="K611" s="9" t="n"/>
      <c r="L611" s="9" t="n"/>
      <c r="M611" s="9" t="n"/>
      <c r="N611" s="20" t="n"/>
      <c r="O611" s="20">
        <f>IF(C611="", "", TRIM(RIGHT(C611, LEN(C611) - FIND("@@", SUBSTITUTE(C611, "-", "@@", LEN(C611) - LEN(SUBSTITUTE(C611, "-", "")))))))</f>
        <v/>
      </c>
      <c r="P611" s="20">
        <f t="array" ref="P611">IFERROR(XLOOKUP(O611,'Department Listing'!$O$1:$O$395,'Department Listing'!$A$1:$A$395),IFERROR(XLOOKUP(O611,'Name Aliases'!$A$2:$A$1000,'Name Aliases'!$B$2:$B$1000),""))</f>
        <v/>
      </c>
      <c r="Q611" s="21">
        <f>IF(ISBLANK($C611),"",$B611)</f>
        <v/>
      </c>
      <c r="R611" s="20">
        <f>IF(ISBLANK($C611),"",IF(ISBLANK($I611),$D611,$I611))</f>
        <v/>
      </c>
      <c r="S611" s="22">
        <f>IF(ISBLANK($C611),"",$F611 - $G611)</f>
        <v/>
      </c>
      <c r="T611" s="20">
        <f>IF(ISBLANK($C611),"",C611)</f>
        <v/>
      </c>
      <c r="U611" s="20">
        <f>IF(ISBLANK($C611),"",$D$1)</f>
        <v/>
      </c>
      <c r="V611" s="22">
        <f t="array" ref="V611">IF(ISBLANK($B611),"",IF(ISBLANK($K611),IF(XLOOKUP($W611,'Category Mapping'!$C:$C,'Category Mapping'!$B:$B)="Travel",XLOOKUP($P611,'Department Listing'!$A:$A,'Department Listing'!$M:$M),XLOOKUP($W611,'Category Mapping'!$C:$C,'Category Mapping'!$D:$D)),$K611))</f>
        <v/>
      </c>
      <c r="W611" s="22">
        <f>IF(ISBLANK($B611),"",IF(ISBLANK($L611),RIGHT($E611,LEN($E611) - FIND("^",SUBSTITUTE($E611,":","^",LEN($E611) - LEN(SUBSTITUTE($E611,":",""))))),$L611))</f>
        <v/>
      </c>
      <c r="X611" s="22">
        <f>IF(ISBLANK($J611),$V611&amp;$W611,$J611)</f>
        <v/>
      </c>
      <c r="Y611" s="23">
        <f t="array" ref="Y611">IF(ISBLANK($M611),IFERROR(XLOOKUP($P611,'Department Listing'!$A:$A,'Department Listing'!$L:$L),""),$M611)</f>
        <v/>
      </c>
      <c r="Z611" s="11">
        <f>IF(ISBLANK($B611),"",MATCH($X611,COA!$B:$B,0))</f>
        <v/>
      </c>
    </row>
    <row r="612" ht="15.75" customHeight="1" s="52">
      <c r="B612" s="27" t="n"/>
      <c r="C612" s="10" t="n"/>
      <c r="D612" s="10" t="n"/>
      <c r="E612" s="28" t="n"/>
      <c r="F612" s="10" t="n"/>
      <c r="G612" s="10" t="n"/>
      <c r="H612" s="10" t="n"/>
      <c r="I612" s="9" t="n"/>
      <c r="J612" s="9" t="n"/>
      <c r="K612" s="9" t="n"/>
      <c r="L612" s="9" t="n"/>
      <c r="M612" s="9" t="n"/>
      <c r="N612" s="20" t="n"/>
      <c r="O612" s="20">
        <f>IF(C612="", "", TRIM(RIGHT(C612, LEN(C612) - FIND("@@", SUBSTITUTE(C612, "-", "@@", LEN(C612) - LEN(SUBSTITUTE(C612, "-", "")))))))</f>
        <v/>
      </c>
      <c r="P612" s="20">
        <f t="array" ref="P612">IFERROR(XLOOKUP(O612,'Department Listing'!$O$1:$O$395,'Department Listing'!$A$1:$A$395),IFERROR(XLOOKUP(O612,'Name Aliases'!$A$2:$A$1000,'Name Aliases'!$B$2:$B$1000),""))</f>
        <v/>
      </c>
      <c r="Q612" s="21">
        <f>IF(ISBLANK($C612),"",$B612)</f>
        <v/>
      </c>
      <c r="R612" s="20">
        <f>IF(ISBLANK($C612),"",IF(ISBLANK($I612),$D612,$I612))</f>
        <v/>
      </c>
      <c r="S612" s="22">
        <f>IF(ISBLANK($C612),"",$F612 - $G612)</f>
        <v/>
      </c>
      <c r="T612" s="20">
        <f>IF(ISBLANK($C612),"",C612)</f>
        <v/>
      </c>
      <c r="U612" s="20">
        <f>IF(ISBLANK($C612),"",$D$1)</f>
        <v/>
      </c>
      <c r="V612" s="22">
        <f t="array" ref="V612">IF(ISBLANK($B612),"",IF(ISBLANK($K612),IF(XLOOKUP($W612,'Category Mapping'!$C:$C,'Category Mapping'!$B:$B)="Travel",XLOOKUP($P612,'Department Listing'!$A:$A,'Department Listing'!$M:$M),XLOOKUP($W612,'Category Mapping'!$C:$C,'Category Mapping'!$D:$D)),$K612))</f>
        <v/>
      </c>
      <c r="W612" s="22">
        <f>IF(ISBLANK($B612),"",IF(ISBLANK($L612),RIGHT($E612,LEN($E612) - FIND("^",SUBSTITUTE($E612,":","^",LEN($E612) - LEN(SUBSTITUTE($E612,":",""))))),$L612))</f>
        <v/>
      </c>
      <c r="X612" s="22">
        <f>IF(ISBLANK($J612),$V612&amp;$W612,$J612)</f>
        <v/>
      </c>
      <c r="Y612" s="23">
        <f t="array" ref="Y612">IF(ISBLANK($M612),IFERROR(XLOOKUP($P612,'Department Listing'!$A:$A,'Department Listing'!$L:$L),""),$M612)</f>
        <v/>
      </c>
      <c r="Z612" s="11">
        <f>IF(ISBLANK($B612),"",MATCH($X612,COA!$B:$B,0))</f>
        <v/>
      </c>
    </row>
    <row r="613" ht="15.75" customHeight="1" s="52">
      <c r="B613" s="27" t="n"/>
      <c r="C613" s="10" t="n"/>
      <c r="D613" s="10" t="n"/>
      <c r="E613" s="28" t="n"/>
      <c r="F613" s="10" t="n"/>
      <c r="G613" s="10" t="n"/>
      <c r="H613" s="10" t="n"/>
      <c r="I613" s="9" t="n"/>
      <c r="J613" s="9" t="n"/>
      <c r="K613" s="9" t="n"/>
      <c r="L613" s="9" t="n"/>
      <c r="M613" s="9" t="n"/>
      <c r="N613" s="20" t="n"/>
      <c r="O613" s="20">
        <f>IF(C613="", "", TRIM(RIGHT(C613, LEN(C613) - FIND("@@", SUBSTITUTE(C613, "-", "@@", LEN(C613) - LEN(SUBSTITUTE(C613, "-", "")))))))</f>
        <v/>
      </c>
      <c r="P613" s="20">
        <f t="array" ref="P613">IFERROR(XLOOKUP(O613,'Department Listing'!$O$1:$O$395,'Department Listing'!$A$1:$A$395),IFERROR(XLOOKUP(O613,'Name Aliases'!$A$2:$A$1000,'Name Aliases'!$B$2:$B$1000),""))</f>
        <v/>
      </c>
      <c r="Q613" s="21">
        <f>IF(ISBLANK($C613),"",$B613)</f>
        <v/>
      </c>
      <c r="R613" s="20">
        <f>IF(ISBLANK($C613),"",IF(ISBLANK($I613),$D613,$I613))</f>
        <v/>
      </c>
      <c r="S613" s="22">
        <f>IF(ISBLANK($C613),"",$F613 - $G613)</f>
        <v/>
      </c>
      <c r="T613" s="20">
        <f>IF(ISBLANK($C613),"",C613)</f>
        <v/>
      </c>
      <c r="U613" s="20">
        <f>IF(ISBLANK($C613),"",$D$1)</f>
        <v/>
      </c>
      <c r="V613" s="22">
        <f t="array" ref="V613">IF(ISBLANK($B613),"",IF(ISBLANK($K613),IF(XLOOKUP($W613,'Category Mapping'!$C:$C,'Category Mapping'!$B:$B)="Travel",XLOOKUP($P613,'Department Listing'!$A:$A,'Department Listing'!$M:$M),XLOOKUP($W613,'Category Mapping'!$C:$C,'Category Mapping'!$D:$D)),$K613))</f>
        <v/>
      </c>
      <c r="W613" s="22">
        <f>IF(ISBLANK($B613),"",IF(ISBLANK($L613),RIGHT($E613,LEN($E613) - FIND("^",SUBSTITUTE($E613,":","^",LEN($E613) - LEN(SUBSTITUTE($E613,":",""))))),$L613))</f>
        <v/>
      </c>
      <c r="X613" s="22">
        <f>IF(ISBLANK($J613),$V613&amp;$W613,$J613)</f>
        <v/>
      </c>
      <c r="Y613" s="23">
        <f t="array" ref="Y613">IF(ISBLANK($M613),IFERROR(XLOOKUP($P613,'Department Listing'!$A:$A,'Department Listing'!$L:$L),""),$M613)</f>
        <v/>
      </c>
      <c r="Z613" s="11">
        <f>IF(ISBLANK($B613),"",MATCH($X613,COA!$B:$B,0))</f>
        <v/>
      </c>
    </row>
    <row r="614" ht="15.75" customHeight="1" s="52">
      <c r="B614" s="27" t="n"/>
      <c r="C614" s="10" t="n"/>
      <c r="D614" s="10" t="n"/>
      <c r="E614" s="28" t="n"/>
      <c r="F614" s="10" t="n"/>
      <c r="G614" s="10" t="n"/>
      <c r="H614" s="10" t="n"/>
      <c r="I614" s="9" t="n"/>
      <c r="J614" s="9" t="n"/>
      <c r="K614" s="9" t="n"/>
      <c r="L614" s="9" t="n"/>
      <c r="M614" s="9" t="n"/>
      <c r="N614" s="20" t="n"/>
      <c r="O614" s="20">
        <f>IF(C614="", "", TRIM(RIGHT(C614, LEN(C614) - FIND("@@", SUBSTITUTE(C614, "-", "@@", LEN(C614) - LEN(SUBSTITUTE(C614, "-", "")))))))</f>
        <v/>
      </c>
      <c r="P614" s="20">
        <f t="array" ref="P614">IFERROR(XLOOKUP(O614,'Department Listing'!$O$1:$O$395,'Department Listing'!$A$1:$A$395),IFERROR(XLOOKUP(O614,'Name Aliases'!$A$2:$A$1000,'Name Aliases'!$B$2:$B$1000),""))</f>
        <v/>
      </c>
      <c r="Q614" s="21">
        <f>IF(ISBLANK($C614),"",$B614)</f>
        <v/>
      </c>
      <c r="R614" s="20">
        <f>IF(ISBLANK($C614),"",IF(ISBLANK($I614),$D614,$I614))</f>
        <v/>
      </c>
      <c r="S614" s="22">
        <f>IF(ISBLANK($C614),"",$F614 - $G614)</f>
        <v/>
      </c>
      <c r="T614" s="20">
        <f>IF(ISBLANK($C614),"",C614)</f>
        <v/>
      </c>
      <c r="U614" s="20">
        <f>IF(ISBLANK($C614),"",$D$1)</f>
        <v/>
      </c>
      <c r="V614" s="22">
        <f t="array" ref="V614">IF(ISBLANK($B614),"",IF(ISBLANK($K614),IF(XLOOKUP($W614,'Category Mapping'!$C:$C,'Category Mapping'!$B:$B)="Travel",XLOOKUP($P614,'Department Listing'!$A:$A,'Department Listing'!$M:$M),XLOOKUP($W614,'Category Mapping'!$C:$C,'Category Mapping'!$D:$D)),$K614))</f>
        <v/>
      </c>
      <c r="W614" s="22">
        <f>IF(ISBLANK($B614),"",IF(ISBLANK($L614),RIGHT($E614,LEN($E614) - FIND("^",SUBSTITUTE($E614,":","^",LEN($E614) - LEN(SUBSTITUTE($E614,":",""))))),$L614))</f>
        <v/>
      </c>
      <c r="X614" s="22">
        <f>IF(ISBLANK($J614),$V614&amp;$W614,$J614)</f>
        <v/>
      </c>
      <c r="Y614" s="23">
        <f t="array" ref="Y614">IF(ISBLANK($M614),IFERROR(XLOOKUP($P614,'Department Listing'!$A:$A,'Department Listing'!$L:$L),""),$M614)</f>
        <v/>
      </c>
      <c r="Z614" s="11">
        <f>IF(ISBLANK($B614),"",MATCH($X614,COA!$B:$B,0))</f>
        <v/>
      </c>
    </row>
    <row r="615" ht="15.75" customHeight="1" s="52">
      <c r="B615" s="27" t="n"/>
      <c r="C615" s="10" t="n"/>
      <c r="D615" s="10" t="n"/>
      <c r="E615" s="28" t="n"/>
      <c r="F615" s="10" t="n"/>
      <c r="G615" s="10" t="n"/>
      <c r="H615" s="10" t="n"/>
      <c r="I615" s="9" t="n"/>
      <c r="J615" s="9" t="n"/>
      <c r="K615" s="9" t="n"/>
      <c r="L615" s="9" t="n"/>
      <c r="M615" s="9" t="n"/>
      <c r="N615" s="20" t="n"/>
      <c r="O615" s="20">
        <f>IF(C615="", "", TRIM(RIGHT(C615, LEN(C615) - FIND("@@", SUBSTITUTE(C615, "-", "@@", LEN(C615) - LEN(SUBSTITUTE(C615, "-", "")))))))</f>
        <v/>
      </c>
      <c r="P615" s="20">
        <f t="array" ref="P615">IFERROR(XLOOKUP(O615,'Department Listing'!$O$1:$O$395,'Department Listing'!$A$1:$A$395),IFERROR(XLOOKUP(O615,'Name Aliases'!$A$2:$A$1000,'Name Aliases'!$B$2:$B$1000),""))</f>
        <v/>
      </c>
      <c r="Q615" s="21">
        <f>IF(ISBLANK($C615),"",$B615)</f>
        <v/>
      </c>
      <c r="R615" s="20">
        <f>IF(ISBLANK($C615),"",IF(ISBLANK($I615),$D615,$I615))</f>
        <v/>
      </c>
      <c r="S615" s="22">
        <f>IF(ISBLANK($C615),"",$F615 - $G615)</f>
        <v/>
      </c>
      <c r="T615" s="20">
        <f>IF(ISBLANK($C615),"",C615)</f>
        <v/>
      </c>
      <c r="U615" s="20">
        <f>IF(ISBLANK($C615),"",$D$1)</f>
        <v/>
      </c>
      <c r="V615" s="22">
        <f t="array" ref="V615">IF(ISBLANK($B615),"",IF(ISBLANK($K615),IF(XLOOKUP($W615,'Category Mapping'!$C:$C,'Category Mapping'!$B:$B)="Travel",XLOOKUP($P615,'Department Listing'!$A:$A,'Department Listing'!$M:$M),XLOOKUP($W615,'Category Mapping'!$C:$C,'Category Mapping'!$D:$D)),$K615))</f>
        <v/>
      </c>
      <c r="W615" s="22">
        <f>IF(ISBLANK($B615),"",IF(ISBLANK($L615),RIGHT($E615,LEN($E615) - FIND("^",SUBSTITUTE($E615,":","^",LEN($E615) - LEN(SUBSTITUTE($E615,":",""))))),$L615))</f>
        <v/>
      </c>
      <c r="X615" s="22">
        <f>IF(ISBLANK($J615),$V615&amp;$W615,$J615)</f>
        <v/>
      </c>
      <c r="Y615" s="23">
        <f t="array" ref="Y615">IF(ISBLANK($M615),IFERROR(XLOOKUP($P615,'Department Listing'!$A:$A,'Department Listing'!$L:$L),""),$M615)</f>
        <v/>
      </c>
      <c r="Z615" s="11">
        <f>IF(ISBLANK($B615),"",MATCH($X615,COA!$B:$B,0))</f>
        <v/>
      </c>
    </row>
    <row r="616" ht="15.75" customHeight="1" s="52">
      <c r="B616" s="27" t="n"/>
      <c r="C616" s="10" t="n"/>
      <c r="D616" s="10" t="n"/>
      <c r="E616" s="28" t="n"/>
      <c r="F616" s="10" t="n"/>
      <c r="G616" s="10" t="n"/>
      <c r="H616" s="10" t="n"/>
      <c r="I616" s="9" t="n"/>
      <c r="J616" s="9" t="n"/>
      <c r="K616" s="9" t="n"/>
      <c r="L616" s="9" t="n"/>
      <c r="M616" s="9" t="n"/>
      <c r="N616" s="20" t="n"/>
      <c r="O616" s="20">
        <f>IF(C616="", "", TRIM(RIGHT(C616, LEN(C616) - FIND("@@", SUBSTITUTE(C616, "-", "@@", LEN(C616) - LEN(SUBSTITUTE(C616, "-", "")))))))</f>
        <v/>
      </c>
      <c r="P616" s="20">
        <f t="array" ref="P616">IFERROR(XLOOKUP(O616,'Department Listing'!$O$1:$O$395,'Department Listing'!$A$1:$A$395),IFERROR(XLOOKUP(O616,'Name Aliases'!$A$2:$A$1000,'Name Aliases'!$B$2:$B$1000),""))</f>
        <v/>
      </c>
      <c r="Q616" s="21">
        <f>IF(ISBLANK($C616),"",$B616)</f>
        <v/>
      </c>
      <c r="R616" s="20">
        <f>IF(ISBLANK($C616),"",IF(ISBLANK($I616),$D616,$I616))</f>
        <v/>
      </c>
      <c r="S616" s="22">
        <f>IF(ISBLANK($C616),"",$F616 - $G616)</f>
        <v/>
      </c>
      <c r="T616" s="20">
        <f>IF(ISBLANK($C616),"",C616)</f>
        <v/>
      </c>
      <c r="U616" s="20">
        <f>IF(ISBLANK($C616),"",$D$1)</f>
        <v/>
      </c>
      <c r="V616" s="22">
        <f t="array" ref="V616">IF(ISBLANK($B616),"",IF(ISBLANK($K616),IF(XLOOKUP($W616,'Category Mapping'!$C:$C,'Category Mapping'!$B:$B)="Travel",XLOOKUP($P616,'Department Listing'!$A:$A,'Department Listing'!$M:$M),XLOOKUP($W616,'Category Mapping'!$C:$C,'Category Mapping'!$D:$D)),$K616))</f>
        <v/>
      </c>
      <c r="W616" s="22">
        <f>IF(ISBLANK($B616),"",IF(ISBLANK($L616),RIGHT($E616,LEN($E616) - FIND("^",SUBSTITUTE($E616,":","^",LEN($E616) - LEN(SUBSTITUTE($E616,":",""))))),$L616))</f>
        <v/>
      </c>
      <c r="X616" s="22">
        <f>IF(ISBLANK($J616),$V616&amp;$W616,$J616)</f>
        <v/>
      </c>
      <c r="Y616" s="23">
        <f t="array" ref="Y616">IF(ISBLANK($M616),IFERROR(XLOOKUP($P616,'Department Listing'!$A:$A,'Department Listing'!$L:$L),""),$M616)</f>
        <v/>
      </c>
      <c r="Z616" s="11">
        <f>IF(ISBLANK($B616),"",MATCH($X616,COA!$B:$B,0))</f>
        <v/>
      </c>
    </row>
    <row r="617" ht="15.75" customHeight="1" s="52">
      <c r="B617" s="27" t="n"/>
      <c r="C617" s="10" t="n"/>
      <c r="D617" s="10" t="n"/>
      <c r="E617" s="28" t="n"/>
      <c r="F617" s="10" t="n"/>
      <c r="G617" s="10" t="n"/>
      <c r="H617" s="10" t="n"/>
      <c r="I617" s="9" t="n"/>
      <c r="J617" s="9" t="n"/>
      <c r="K617" s="9" t="n"/>
      <c r="L617" s="9" t="n"/>
      <c r="M617" s="9" t="n"/>
      <c r="N617" s="20" t="n"/>
      <c r="O617" s="20">
        <f>IF(C617="", "", TRIM(RIGHT(C617, LEN(C617) - FIND("@@", SUBSTITUTE(C617, "-", "@@", LEN(C617) - LEN(SUBSTITUTE(C617, "-", "")))))))</f>
        <v/>
      </c>
      <c r="P617" s="20">
        <f t="array" ref="P617">IFERROR(XLOOKUP(O617,'Department Listing'!$O$1:$O$395,'Department Listing'!$A$1:$A$395),IFERROR(XLOOKUP(O617,'Name Aliases'!$A$2:$A$1000,'Name Aliases'!$B$2:$B$1000),""))</f>
        <v/>
      </c>
      <c r="Q617" s="21">
        <f>IF(ISBLANK($C617),"",$B617)</f>
        <v/>
      </c>
      <c r="R617" s="20">
        <f>IF(ISBLANK($C617),"",IF(ISBLANK($I617),$D617,$I617))</f>
        <v/>
      </c>
      <c r="S617" s="22">
        <f>IF(ISBLANK($C617),"",$F617 - $G617)</f>
        <v/>
      </c>
      <c r="T617" s="20">
        <f>IF(ISBLANK($C617),"",C617)</f>
        <v/>
      </c>
      <c r="U617" s="20">
        <f>IF(ISBLANK($C617),"",$D$1)</f>
        <v/>
      </c>
      <c r="V617" s="22">
        <f t="array" ref="V617">IF(ISBLANK($B617),"",IF(ISBLANK($K617),IF(XLOOKUP($W617,'Category Mapping'!$C:$C,'Category Mapping'!$B:$B)="Travel",XLOOKUP($P617,'Department Listing'!$A:$A,'Department Listing'!$M:$M),XLOOKUP($W617,'Category Mapping'!$C:$C,'Category Mapping'!$D:$D)),$K617))</f>
        <v/>
      </c>
      <c r="W617" s="22">
        <f>IF(ISBLANK($B617),"",IF(ISBLANK($L617),RIGHT($E617,LEN($E617) - FIND("^",SUBSTITUTE($E617,":","^",LEN($E617) - LEN(SUBSTITUTE($E617,":",""))))),$L617))</f>
        <v/>
      </c>
      <c r="X617" s="22">
        <f>IF(ISBLANK($J617),$V617&amp;$W617,$J617)</f>
        <v/>
      </c>
      <c r="Y617" s="23">
        <f t="array" ref="Y617">IF(ISBLANK($M617),IFERROR(XLOOKUP($P617,'Department Listing'!$A:$A,'Department Listing'!$L:$L),""),$M617)</f>
        <v/>
      </c>
      <c r="Z617" s="11">
        <f>IF(ISBLANK($B617),"",MATCH($X617,COA!$B:$B,0))</f>
        <v/>
      </c>
    </row>
    <row r="618" ht="15.75" customHeight="1" s="52">
      <c r="B618" s="27" t="n"/>
      <c r="C618" s="10" t="n"/>
      <c r="D618" s="10" t="n"/>
      <c r="E618" s="28" t="n"/>
      <c r="F618" s="10" t="n"/>
      <c r="G618" s="10" t="n"/>
      <c r="H618" s="10" t="n"/>
      <c r="I618" s="9" t="n"/>
      <c r="J618" s="9" t="n"/>
      <c r="K618" s="9" t="n"/>
      <c r="L618" s="9" t="n"/>
      <c r="M618" s="9" t="n"/>
      <c r="N618" s="20" t="n"/>
      <c r="O618" s="20">
        <f>IF(C618="", "", TRIM(RIGHT(C618, LEN(C618) - FIND("@@", SUBSTITUTE(C618, "-", "@@", LEN(C618) - LEN(SUBSTITUTE(C618, "-", "")))))))</f>
        <v/>
      </c>
      <c r="P618" s="20">
        <f t="array" ref="P618">IFERROR(XLOOKUP(O618,'Department Listing'!$O$1:$O$395,'Department Listing'!$A$1:$A$395),IFERROR(XLOOKUP(O618,'Name Aliases'!$A$2:$A$1000,'Name Aliases'!$B$2:$B$1000),""))</f>
        <v/>
      </c>
      <c r="Q618" s="21">
        <f>IF(ISBLANK($C618),"",$B618)</f>
        <v/>
      </c>
      <c r="R618" s="20">
        <f>IF(ISBLANK($C618),"",IF(ISBLANK($I618),$D618,$I618))</f>
        <v/>
      </c>
      <c r="S618" s="22">
        <f>IF(ISBLANK($C618),"",$F618 - $G618)</f>
        <v/>
      </c>
      <c r="T618" s="20">
        <f>IF(ISBLANK($C618),"",C618)</f>
        <v/>
      </c>
      <c r="U618" s="20">
        <f>IF(ISBLANK($C618),"",$D$1)</f>
        <v/>
      </c>
      <c r="V618" s="22">
        <f t="array" ref="V618">IF(ISBLANK($B618),"",IF(ISBLANK($K618),IF(XLOOKUP($W618,'Category Mapping'!$C:$C,'Category Mapping'!$B:$B)="Travel",XLOOKUP($P618,'Department Listing'!$A:$A,'Department Listing'!$M:$M),XLOOKUP($W618,'Category Mapping'!$C:$C,'Category Mapping'!$D:$D)),$K618))</f>
        <v/>
      </c>
      <c r="W618" s="22">
        <f>IF(ISBLANK($B618),"",IF(ISBLANK($L618),RIGHT($E618,LEN($E618) - FIND("^",SUBSTITUTE($E618,":","^",LEN($E618) - LEN(SUBSTITUTE($E618,":",""))))),$L618))</f>
        <v/>
      </c>
      <c r="X618" s="22">
        <f>IF(ISBLANK($J618),$V618&amp;$W618,$J618)</f>
        <v/>
      </c>
      <c r="Y618" s="23">
        <f t="array" ref="Y618">IF(ISBLANK($M618),IFERROR(XLOOKUP($P618,'Department Listing'!$A:$A,'Department Listing'!$L:$L),""),$M618)</f>
        <v/>
      </c>
      <c r="Z618" s="11">
        <f>IF(ISBLANK($B618),"",MATCH($X618,COA!$B:$B,0))</f>
        <v/>
      </c>
    </row>
    <row r="619" ht="15.75" customHeight="1" s="52">
      <c r="B619" s="27" t="n"/>
      <c r="C619" s="10" t="n"/>
      <c r="D619" s="10" t="n"/>
      <c r="E619" s="28" t="n"/>
      <c r="F619" s="10" t="n"/>
      <c r="G619" s="10" t="n"/>
      <c r="H619" s="10" t="n"/>
      <c r="I619" s="9" t="n"/>
      <c r="J619" s="9" t="n"/>
      <c r="K619" s="9" t="n"/>
      <c r="L619" s="9" t="n"/>
      <c r="M619" s="9" t="n"/>
      <c r="N619" s="20" t="n"/>
      <c r="O619" s="20">
        <f>IF(C619="", "", TRIM(RIGHT(C619, LEN(C619) - FIND("@@", SUBSTITUTE(C619, "-", "@@", LEN(C619) - LEN(SUBSTITUTE(C619, "-", "")))))))</f>
        <v/>
      </c>
      <c r="P619" s="20">
        <f t="array" ref="P619">IFERROR(XLOOKUP(O619,'Department Listing'!$O$1:$O$395,'Department Listing'!$A$1:$A$395),IFERROR(XLOOKUP(O619,'Name Aliases'!$A$2:$A$1000,'Name Aliases'!$B$2:$B$1000),""))</f>
        <v/>
      </c>
      <c r="Q619" s="21">
        <f>IF(ISBLANK($C619),"",$B619)</f>
        <v/>
      </c>
      <c r="R619" s="20">
        <f>IF(ISBLANK($C619),"",IF(ISBLANK($I619),$D619,$I619))</f>
        <v/>
      </c>
      <c r="S619" s="22">
        <f>IF(ISBLANK($C619),"",$F619 - $G619)</f>
        <v/>
      </c>
      <c r="T619" s="20">
        <f>IF(ISBLANK($C619),"",C619)</f>
        <v/>
      </c>
      <c r="U619" s="20">
        <f>IF(ISBLANK($C619),"",$D$1)</f>
        <v/>
      </c>
      <c r="V619" s="22">
        <f t="array" ref="V619">IF(ISBLANK($B619),"",IF(ISBLANK($K619),IF(XLOOKUP($W619,'Category Mapping'!$C:$C,'Category Mapping'!$B:$B)="Travel",XLOOKUP($P619,'Department Listing'!$A:$A,'Department Listing'!$M:$M),XLOOKUP($W619,'Category Mapping'!$C:$C,'Category Mapping'!$D:$D)),$K619))</f>
        <v/>
      </c>
      <c r="W619" s="22">
        <f>IF(ISBLANK($B619),"",IF(ISBLANK($L619),RIGHT($E619,LEN($E619) - FIND("^",SUBSTITUTE($E619,":","^",LEN($E619) - LEN(SUBSTITUTE($E619,":",""))))),$L619))</f>
        <v/>
      </c>
      <c r="X619" s="22">
        <f>IF(ISBLANK($J619),$V619&amp;$W619,$J619)</f>
        <v/>
      </c>
      <c r="Y619" s="23">
        <f t="array" ref="Y619">IF(ISBLANK($M619),IFERROR(XLOOKUP($P619,'Department Listing'!$A:$A,'Department Listing'!$L:$L),""),$M619)</f>
        <v/>
      </c>
      <c r="Z619" s="11">
        <f>IF(ISBLANK($B619),"",MATCH($X619,COA!$B:$B,0))</f>
        <v/>
      </c>
    </row>
    <row r="620" ht="15.75" customHeight="1" s="52">
      <c r="B620" s="27" t="n"/>
      <c r="C620" s="10" t="n"/>
      <c r="D620" s="10" t="n"/>
      <c r="E620" s="28" t="n"/>
      <c r="F620" s="10" t="n"/>
      <c r="G620" s="10" t="n"/>
      <c r="H620" s="10" t="n"/>
      <c r="I620" s="9" t="n"/>
      <c r="J620" s="9" t="n"/>
      <c r="K620" s="9" t="n"/>
      <c r="L620" s="9" t="n"/>
      <c r="M620" s="9" t="n"/>
      <c r="N620" s="20" t="n"/>
      <c r="O620" s="20">
        <f>IF(C620="", "", TRIM(RIGHT(C620, LEN(C620) - FIND("@@", SUBSTITUTE(C620, "-", "@@", LEN(C620) - LEN(SUBSTITUTE(C620, "-", "")))))))</f>
        <v/>
      </c>
      <c r="P620" s="20">
        <f t="array" ref="P620">IFERROR(XLOOKUP(O620,'Department Listing'!$O$1:$O$395,'Department Listing'!$A$1:$A$395),IFERROR(XLOOKUP(O620,'Name Aliases'!$A$2:$A$1000,'Name Aliases'!$B$2:$B$1000),""))</f>
        <v/>
      </c>
      <c r="Q620" s="21">
        <f>IF(ISBLANK($C620),"",$B620)</f>
        <v/>
      </c>
      <c r="R620" s="20">
        <f>IF(ISBLANK($C620),"",IF(ISBLANK($I620),$D620,$I620))</f>
        <v/>
      </c>
      <c r="S620" s="22">
        <f>IF(ISBLANK($C620),"",$F620 - $G620)</f>
        <v/>
      </c>
      <c r="T620" s="20">
        <f>IF(ISBLANK($C620),"",C620)</f>
        <v/>
      </c>
      <c r="U620" s="20">
        <f>IF(ISBLANK($C620),"",$D$1)</f>
        <v/>
      </c>
      <c r="V620" s="22">
        <f t="array" ref="V620">IF(ISBLANK($B620),"",IF(ISBLANK($K620),IF(XLOOKUP($W620,'Category Mapping'!$C:$C,'Category Mapping'!$B:$B)="Travel",XLOOKUP($P620,'Department Listing'!$A:$A,'Department Listing'!$M:$M),XLOOKUP($W620,'Category Mapping'!$C:$C,'Category Mapping'!$D:$D)),$K620))</f>
        <v/>
      </c>
      <c r="W620" s="22">
        <f>IF(ISBLANK($B620),"",IF(ISBLANK($L620),RIGHT($E620,LEN($E620) - FIND("^",SUBSTITUTE($E620,":","^",LEN($E620) - LEN(SUBSTITUTE($E620,":",""))))),$L620))</f>
        <v/>
      </c>
      <c r="X620" s="22">
        <f>IF(ISBLANK($J620),$V620&amp;$W620,$J620)</f>
        <v/>
      </c>
      <c r="Y620" s="23">
        <f t="array" ref="Y620">IF(ISBLANK($M620),IFERROR(XLOOKUP($P620,'Department Listing'!$A:$A,'Department Listing'!$L:$L),""),$M620)</f>
        <v/>
      </c>
      <c r="Z620" s="11">
        <f>IF(ISBLANK($B620),"",MATCH($X620,COA!$B:$B,0))</f>
        <v/>
      </c>
    </row>
    <row r="621" ht="15.75" customHeight="1" s="52">
      <c r="B621" s="27" t="n"/>
      <c r="C621" s="10" t="n"/>
      <c r="D621" s="10" t="n"/>
      <c r="E621" s="28" t="n"/>
      <c r="F621" s="10" t="n"/>
      <c r="G621" s="10" t="n"/>
      <c r="H621" s="10" t="n"/>
      <c r="I621" s="9" t="n"/>
      <c r="J621" s="9" t="n"/>
      <c r="K621" s="9" t="n"/>
      <c r="L621" s="9" t="n"/>
      <c r="M621" s="9" t="n"/>
      <c r="N621" s="20" t="n"/>
      <c r="O621" s="20">
        <f>IF(C621="", "", TRIM(RIGHT(C621, LEN(C621) - FIND("@@", SUBSTITUTE(C621, "-", "@@", LEN(C621) - LEN(SUBSTITUTE(C621, "-", "")))))))</f>
        <v/>
      </c>
      <c r="P621" s="20">
        <f t="array" ref="P621">IFERROR(XLOOKUP(O621,'Department Listing'!$O$1:$O$395,'Department Listing'!$A$1:$A$395),IFERROR(XLOOKUP(O621,'Name Aliases'!$A$2:$A$1000,'Name Aliases'!$B$2:$B$1000),""))</f>
        <v/>
      </c>
      <c r="Q621" s="21">
        <f>IF(ISBLANK($C621),"",$B621)</f>
        <v/>
      </c>
      <c r="R621" s="20">
        <f>IF(ISBLANK($C621),"",IF(ISBLANK($I621),$D621,$I621))</f>
        <v/>
      </c>
      <c r="S621" s="22">
        <f>IF(ISBLANK($C621),"",$F621 - $G621)</f>
        <v/>
      </c>
      <c r="T621" s="20">
        <f>IF(ISBLANK($C621),"",C621)</f>
        <v/>
      </c>
      <c r="U621" s="20">
        <f>IF(ISBLANK($C621),"",$D$1)</f>
        <v/>
      </c>
      <c r="V621" s="22">
        <f t="array" ref="V621">IF(ISBLANK($B621),"",IF(ISBLANK($K621),IF(XLOOKUP($W621,'Category Mapping'!$C:$C,'Category Mapping'!$B:$B)="Travel",XLOOKUP($P621,'Department Listing'!$A:$A,'Department Listing'!$M:$M),XLOOKUP($W621,'Category Mapping'!$C:$C,'Category Mapping'!$D:$D)),$K621))</f>
        <v/>
      </c>
      <c r="W621" s="22">
        <f>IF(ISBLANK($B621),"",IF(ISBLANK($L621),RIGHT($E621,LEN($E621) - FIND("^",SUBSTITUTE($E621,":","^",LEN($E621) - LEN(SUBSTITUTE($E621,":",""))))),$L621))</f>
        <v/>
      </c>
      <c r="X621" s="22">
        <f>IF(ISBLANK($J621),$V621&amp;$W621,$J621)</f>
        <v/>
      </c>
      <c r="Y621" s="23">
        <f t="array" ref="Y621">IF(ISBLANK($M621),IFERROR(XLOOKUP($P621,'Department Listing'!$A:$A,'Department Listing'!$L:$L),""),$M621)</f>
        <v/>
      </c>
      <c r="Z621" s="11">
        <f>IF(ISBLANK($B621),"",MATCH($X621,COA!$B:$B,0))</f>
        <v/>
      </c>
    </row>
    <row r="622" ht="15.75" customHeight="1" s="52">
      <c r="B622" s="27" t="n"/>
      <c r="C622" s="10" t="n"/>
      <c r="D622" s="10" t="n"/>
      <c r="E622" s="28" t="n"/>
      <c r="F622" s="10" t="n"/>
      <c r="G622" s="10" t="n"/>
      <c r="H622" s="10" t="n"/>
      <c r="I622" s="9" t="n"/>
      <c r="J622" s="9" t="n"/>
      <c r="K622" s="9" t="n"/>
      <c r="L622" s="9" t="n"/>
      <c r="M622" s="9" t="n"/>
      <c r="N622" s="20" t="n"/>
      <c r="O622" s="20">
        <f>IF(C622="", "", TRIM(RIGHT(C622, LEN(C622) - FIND("@@", SUBSTITUTE(C622, "-", "@@", LEN(C622) - LEN(SUBSTITUTE(C622, "-", "")))))))</f>
        <v/>
      </c>
      <c r="P622" s="20">
        <f t="array" ref="P622">IFERROR(XLOOKUP(O622,'Department Listing'!$O$1:$O$395,'Department Listing'!$A$1:$A$395),IFERROR(XLOOKUP(O622,'Name Aliases'!$A$2:$A$1000,'Name Aliases'!$B$2:$B$1000),""))</f>
        <v/>
      </c>
      <c r="Q622" s="21">
        <f>IF(ISBLANK($C622),"",$B622)</f>
        <v/>
      </c>
      <c r="R622" s="20">
        <f>IF(ISBLANK($C622),"",IF(ISBLANK($I622),$D622,$I622))</f>
        <v/>
      </c>
      <c r="S622" s="22">
        <f>IF(ISBLANK($C622),"",$F622 - $G622)</f>
        <v/>
      </c>
      <c r="T622" s="20">
        <f>IF(ISBLANK($C622),"",C622)</f>
        <v/>
      </c>
      <c r="U622" s="20">
        <f>IF(ISBLANK($C622),"",$D$1)</f>
        <v/>
      </c>
      <c r="V622" s="22">
        <f t="array" ref="V622">IF(ISBLANK($B622),"",IF(ISBLANK($K622),IF(XLOOKUP($W622,'Category Mapping'!$C:$C,'Category Mapping'!$B:$B)="Travel",XLOOKUP($P622,'Department Listing'!$A:$A,'Department Listing'!$M:$M),XLOOKUP($W622,'Category Mapping'!$C:$C,'Category Mapping'!$D:$D)),$K622))</f>
        <v/>
      </c>
      <c r="W622" s="22">
        <f>IF(ISBLANK($B622),"",IF(ISBLANK($L622),RIGHT($E622,LEN($E622) - FIND("^",SUBSTITUTE($E622,":","^",LEN($E622) - LEN(SUBSTITUTE($E622,":",""))))),$L622))</f>
        <v/>
      </c>
      <c r="X622" s="22">
        <f>IF(ISBLANK($J622),$V622&amp;$W622,$J622)</f>
        <v/>
      </c>
      <c r="Y622" s="23">
        <f t="array" ref="Y622">IF(ISBLANK($M622),IFERROR(XLOOKUP($P622,'Department Listing'!$A:$A,'Department Listing'!$L:$L),""),$M622)</f>
        <v/>
      </c>
      <c r="Z622" s="11">
        <f>IF(ISBLANK($B622),"",MATCH($X622,COA!$B:$B,0))</f>
        <v/>
      </c>
    </row>
    <row r="623" ht="15.75" customHeight="1" s="52">
      <c r="B623" s="27" t="n"/>
      <c r="C623" s="10" t="n"/>
      <c r="D623" s="10" t="n"/>
      <c r="E623" s="28" t="n"/>
      <c r="F623" s="10" t="n"/>
      <c r="G623" s="10" t="n"/>
      <c r="H623" s="10" t="n"/>
      <c r="I623" s="9" t="n"/>
      <c r="J623" s="9" t="n"/>
      <c r="K623" s="9" t="n"/>
      <c r="L623" s="9" t="n"/>
      <c r="M623" s="9" t="n"/>
      <c r="N623" s="20" t="n"/>
      <c r="O623" s="20">
        <f>IF(C623="", "", TRIM(RIGHT(C623, LEN(C623) - FIND("@@", SUBSTITUTE(C623, "-", "@@", LEN(C623) - LEN(SUBSTITUTE(C623, "-", "")))))))</f>
        <v/>
      </c>
      <c r="P623" s="20">
        <f t="array" ref="P623">IFERROR(XLOOKUP(O623,'Department Listing'!$O$1:$O$395,'Department Listing'!$A$1:$A$395),IFERROR(XLOOKUP(O623,'Name Aliases'!$A$2:$A$1000,'Name Aliases'!$B$2:$B$1000),""))</f>
        <v/>
      </c>
      <c r="Q623" s="21">
        <f>IF(ISBLANK($C623),"",$B623)</f>
        <v/>
      </c>
      <c r="R623" s="20">
        <f>IF(ISBLANK($C623),"",IF(ISBLANK($I623),$D623,$I623))</f>
        <v/>
      </c>
      <c r="S623" s="22">
        <f>IF(ISBLANK($C623),"",$F623 - $G623)</f>
        <v/>
      </c>
      <c r="T623" s="20">
        <f>IF(ISBLANK($C623),"",C623)</f>
        <v/>
      </c>
      <c r="U623" s="20">
        <f>IF(ISBLANK($C623),"",$D$1)</f>
        <v/>
      </c>
      <c r="V623" s="22">
        <f t="array" ref="V623">IF(ISBLANK($B623),"",IF(ISBLANK($K623),IF(XLOOKUP($W623,'Category Mapping'!$C:$C,'Category Mapping'!$B:$B)="Travel",XLOOKUP($P623,'Department Listing'!$A:$A,'Department Listing'!$M:$M),XLOOKUP($W623,'Category Mapping'!$C:$C,'Category Mapping'!$D:$D)),$K623))</f>
        <v/>
      </c>
      <c r="W623" s="22">
        <f>IF(ISBLANK($B623),"",IF(ISBLANK($L623),RIGHT($E623,LEN($E623) - FIND("^",SUBSTITUTE($E623,":","^",LEN($E623) - LEN(SUBSTITUTE($E623,":",""))))),$L623))</f>
        <v/>
      </c>
      <c r="X623" s="22">
        <f>IF(ISBLANK($J623),$V623&amp;$W623,$J623)</f>
        <v/>
      </c>
      <c r="Y623" s="23">
        <f t="array" ref="Y623">IF(ISBLANK($M623),IFERROR(XLOOKUP($P623,'Department Listing'!$A:$A,'Department Listing'!$L:$L),""),$M623)</f>
        <v/>
      </c>
      <c r="Z623" s="11">
        <f>IF(ISBLANK($B623),"",MATCH($X623,COA!$B:$B,0))</f>
        <v/>
      </c>
    </row>
    <row r="624" ht="15.75" customHeight="1" s="52">
      <c r="B624" s="27" t="n"/>
      <c r="C624" s="10" t="n"/>
      <c r="D624" s="10" t="n"/>
      <c r="E624" s="28" t="n"/>
      <c r="F624" s="10" t="n"/>
      <c r="G624" s="10" t="n"/>
      <c r="H624" s="10" t="n"/>
      <c r="I624" s="9" t="n"/>
      <c r="J624" s="9" t="n"/>
      <c r="K624" s="9" t="n"/>
      <c r="L624" s="9" t="n"/>
      <c r="M624" s="9" t="n"/>
      <c r="N624" s="20" t="n"/>
      <c r="O624" s="20">
        <f>IF(C624="", "", TRIM(RIGHT(C624, LEN(C624) - FIND("@@", SUBSTITUTE(C624, "-", "@@", LEN(C624) - LEN(SUBSTITUTE(C624, "-", "")))))))</f>
        <v/>
      </c>
      <c r="P624" s="20">
        <f t="array" ref="P624">IFERROR(XLOOKUP(O624,'Department Listing'!$O$1:$O$395,'Department Listing'!$A$1:$A$395),IFERROR(XLOOKUP(O624,'Name Aliases'!$A$2:$A$1000,'Name Aliases'!$B$2:$B$1000),""))</f>
        <v/>
      </c>
      <c r="Q624" s="21">
        <f>IF(ISBLANK($C624),"",$B624)</f>
        <v/>
      </c>
      <c r="R624" s="20">
        <f>IF(ISBLANK($C624),"",IF(ISBLANK($I624),$D624,$I624))</f>
        <v/>
      </c>
      <c r="S624" s="22">
        <f>IF(ISBLANK($C624),"",$F624 - $G624)</f>
        <v/>
      </c>
      <c r="T624" s="20">
        <f>IF(ISBLANK($C624),"",C624)</f>
        <v/>
      </c>
      <c r="U624" s="20">
        <f>IF(ISBLANK($C624),"",$D$1)</f>
        <v/>
      </c>
      <c r="V624" s="22">
        <f t="array" ref="V624">IF(ISBLANK($B624),"",IF(ISBLANK($K624),IF(XLOOKUP($W624,'Category Mapping'!$C:$C,'Category Mapping'!$B:$B)="Travel",XLOOKUP($P624,'Department Listing'!$A:$A,'Department Listing'!$M:$M),XLOOKUP($W624,'Category Mapping'!$C:$C,'Category Mapping'!$D:$D)),$K624))</f>
        <v/>
      </c>
      <c r="W624" s="22">
        <f>IF(ISBLANK($B624),"",IF(ISBLANK($L624),RIGHT($E624,LEN($E624) - FIND("^",SUBSTITUTE($E624,":","^",LEN($E624) - LEN(SUBSTITUTE($E624,":",""))))),$L624))</f>
        <v/>
      </c>
      <c r="X624" s="22">
        <f>IF(ISBLANK($J624),$V624&amp;$W624,$J624)</f>
        <v/>
      </c>
      <c r="Y624" s="23">
        <f t="array" ref="Y624">IF(ISBLANK($M624),IFERROR(XLOOKUP($P624,'Department Listing'!$A:$A,'Department Listing'!$L:$L),""),$M624)</f>
        <v/>
      </c>
      <c r="Z624" s="11">
        <f>IF(ISBLANK($B624),"",MATCH($X624,COA!$B:$B,0))</f>
        <v/>
      </c>
    </row>
    <row r="625" ht="15.75" customHeight="1" s="52">
      <c r="B625" s="27" t="n"/>
      <c r="C625" s="10" t="n"/>
      <c r="D625" s="10" t="n"/>
      <c r="E625" s="28" t="n"/>
      <c r="F625" s="10" t="n"/>
      <c r="G625" s="10" t="n"/>
      <c r="H625" s="10" t="n"/>
      <c r="I625" s="9" t="n"/>
      <c r="J625" s="9" t="n"/>
      <c r="K625" s="9" t="n"/>
      <c r="L625" s="9" t="n"/>
      <c r="M625" s="9" t="n"/>
      <c r="N625" s="20" t="n"/>
      <c r="O625" s="20">
        <f>IF(C625="", "", TRIM(RIGHT(C625, LEN(C625) - FIND("@@", SUBSTITUTE(C625, "-", "@@", LEN(C625) - LEN(SUBSTITUTE(C625, "-", "")))))))</f>
        <v/>
      </c>
      <c r="P625" s="20">
        <f t="array" ref="P625">IFERROR(XLOOKUP(O625,'Department Listing'!$O$1:$O$395,'Department Listing'!$A$1:$A$395),IFERROR(XLOOKUP(O625,'Name Aliases'!$A$2:$A$1000,'Name Aliases'!$B$2:$B$1000),""))</f>
        <v/>
      </c>
      <c r="Q625" s="21">
        <f>IF(ISBLANK($C625),"",$B625)</f>
        <v/>
      </c>
      <c r="R625" s="20">
        <f>IF(ISBLANK($C625),"",IF(ISBLANK($I625),$D625,$I625))</f>
        <v/>
      </c>
      <c r="S625" s="22">
        <f>IF(ISBLANK($C625),"",$F625 - $G625)</f>
        <v/>
      </c>
      <c r="T625" s="20">
        <f>IF(ISBLANK($C625),"",C625)</f>
        <v/>
      </c>
      <c r="U625" s="20">
        <f>IF(ISBLANK($C625),"",$D$1)</f>
        <v/>
      </c>
      <c r="V625" s="22">
        <f t="array" ref="V625">IF(ISBLANK($B625),"",IF(ISBLANK($K625),IF(XLOOKUP($W625,'Category Mapping'!$C:$C,'Category Mapping'!$B:$B)="Travel",XLOOKUP($P625,'Department Listing'!$A:$A,'Department Listing'!$M:$M),XLOOKUP($W625,'Category Mapping'!$C:$C,'Category Mapping'!$D:$D)),$K625))</f>
        <v/>
      </c>
      <c r="W625" s="22">
        <f>IF(ISBLANK($B625),"",IF(ISBLANK($L625),RIGHT($E625,LEN($E625) - FIND("^",SUBSTITUTE($E625,":","^",LEN($E625) - LEN(SUBSTITUTE($E625,":",""))))),$L625))</f>
        <v/>
      </c>
      <c r="X625" s="22">
        <f>IF(ISBLANK($J625),$V625&amp;$W625,$J625)</f>
        <v/>
      </c>
      <c r="Y625" s="23">
        <f t="array" ref="Y625">IF(ISBLANK($M625),IFERROR(XLOOKUP($P625,'Department Listing'!$A:$A,'Department Listing'!$L:$L),""),$M625)</f>
        <v/>
      </c>
      <c r="Z625" s="11">
        <f>IF(ISBLANK($B625),"",MATCH($X625,COA!$B:$B,0))</f>
        <v/>
      </c>
    </row>
    <row r="626" ht="15.75" customHeight="1" s="52">
      <c r="B626" s="27" t="n"/>
      <c r="C626" s="10" t="n"/>
      <c r="D626" s="10" t="n"/>
      <c r="E626" s="28" t="n"/>
      <c r="F626" s="10" t="n"/>
      <c r="G626" s="10" t="n"/>
      <c r="H626" s="10" t="n"/>
      <c r="I626" s="9" t="n"/>
      <c r="J626" s="9" t="n"/>
      <c r="K626" s="9" t="n"/>
      <c r="L626" s="9" t="n"/>
      <c r="M626" s="9" t="n"/>
      <c r="N626" s="20" t="n"/>
      <c r="O626" s="20">
        <f>IF(C626="", "", TRIM(RIGHT(C626, LEN(C626) - FIND("@@", SUBSTITUTE(C626, "-", "@@", LEN(C626) - LEN(SUBSTITUTE(C626, "-", "")))))))</f>
        <v/>
      </c>
      <c r="P626" s="20">
        <f t="array" ref="P626">IFERROR(XLOOKUP(O626,'Department Listing'!$O$1:$O$395,'Department Listing'!$A$1:$A$395),IFERROR(XLOOKUP(O626,'Name Aliases'!$A$2:$A$1000,'Name Aliases'!$B$2:$B$1000),""))</f>
        <v/>
      </c>
      <c r="Q626" s="21">
        <f>IF(ISBLANK($C626),"",$B626)</f>
        <v/>
      </c>
      <c r="R626" s="20">
        <f>IF(ISBLANK($C626),"",IF(ISBLANK($I626),$D626,$I626))</f>
        <v/>
      </c>
      <c r="S626" s="22">
        <f>IF(ISBLANK($C626),"",$F626 - $G626)</f>
        <v/>
      </c>
      <c r="T626" s="20">
        <f>IF(ISBLANK($C626),"",C626)</f>
        <v/>
      </c>
      <c r="U626" s="20">
        <f>IF(ISBLANK($C626),"",$D$1)</f>
        <v/>
      </c>
      <c r="V626" s="22">
        <f t="array" ref="V626">IF(ISBLANK($B626),"",IF(ISBLANK($K626),IF(XLOOKUP($W626,'Category Mapping'!$C:$C,'Category Mapping'!$B:$B)="Travel",XLOOKUP($P626,'Department Listing'!$A:$A,'Department Listing'!$M:$M),XLOOKUP($W626,'Category Mapping'!$C:$C,'Category Mapping'!$D:$D)),$K626))</f>
        <v/>
      </c>
      <c r="W626" s="22">
        <f>IF(ISBLANK($B626),"",IF(ISBLANK($L626),RIGHT($E626,LEN($E626) - FIND("^",SUBSTITUTE($E626,":","^",LEN($E626) - LEN(SUBSTITUTE($E626,":",""))))),$L626))</f>
        <v/>
      </c>
      <c r="X626" s="22">
        <f>IF(ISBLANK($J626),$V626&amp;$W626,$J626)</f>
        <v/>
      </c>
      <c r="Y626" s="23">
        <f t="array" ref="Y626">IF(ISBLANK($M626),IFERROR(XLOOKUP($P626,'Department Listing'!$A:$A,'Department Listing'!$L:$L),""),$M626)</f>
        <v/>
      </c>
      <c r="Z626" s="11">
        <f>IF(ISBLANK($B626),"",MATCH($X626,COA!$B:$B,0))</f>
        <v/>
      </c>
    </row>
    <row r="627" ht="15.75" customHeight="1" s="52">
      <c r="B627" s="27" t="n"/>
      <c r="C627" s="10" t="n"/>
      <c r="D627" s="10" t="n"/>
      <c r="E627" s="28" t="n"/>
      <c r="F627" s="10" t="n"/>
      <c r="G627" s="10" t="n"/>
      <c r="H627" s="10" t="n"/>
      <c r="I627" s="9" t="n"/>
      <c r="J627" s="9" t="n"/>
      <c r="K627" s="9" t="n"/>
      <c r="L627" s="9" t="n"/>
      <c r="M627" s="9" t="n"/>
      <c r="N627" s="20" t="n"/>
      <c r="O627" s="20">
        <f>IF(C627="", "", TRIM(RIGHT(C627, LEN(C627) - FIND("@@", SUBSTITUTE(C627, "-", "@@", LEN(C627) - LEN(SUBSTITUTE(C627, "-", "")))))))</f>
        <v/>
      </c>
      <c r="P627" s="20">
        <f t="array" ref="P627">IFERROR(XLOOKUP(O627,'Department Listing'!$O$1:$O$395,'Department Listing'!$A$1:$A$395),IFERROR(XLOOKUP(O627,'Name Aliases'!$A$2:$A$1000,'Name Aliases'!$B$2:$B$1000),""))</f>
        <v/>
      </c>
      <c r="Q627" s="21">
        <f>IF(ISBLANK($C627),"",$B627)</f>
        <v/>
      </c>
      <c r="R627" s="20">
        <f>IF(ISBLANK($C627),"",IF(ISBLANK($I627),$D627,$I627))</f>
        <v/>
      </c>
      <c r="S627" s="22">
        <f>IF(ISBLANK($C627),"",$F627 - $G627)</f>
        <v/>
      </c>
      <c r="T627" s="20">
        <f>IF(ISBLANK($C627),"",C627)</f>
        <v/>
      </c>
      <c r="U627" s="20">
        <f>IF(ISBLANK($C627),"",$D$1)</f>
        <v/>
      </c>
      <c r="V627" s="22">
        <f t="array" ref="V627">IF(ISBLANK($B627),"",IF(ISBLANK($K627),IF(XLOOKUP($W627,'Category Mapping'!$C:$C,'Category Mapping'!$B:$B)="Travel",XLOOKUP($P627,'Department Listing'!$A:$A,'Department Listing'!$M:$M),XLOOKUP($W627,'Category Mapping'!$C:$C,'Category Mapping'!$D:$D)),$K627))</f>
        <v/>
      </c>
      <c r="W627" s="22">
        <f>IF(ISBLANK($B627),"",IF(ISBLANK($L627),RIGHT($E627,LEN($E627) - FIND("^",SUBSTITUTE($E627,":","^",LEN($E627) - LEN(SUBSTITUTE($E627,":",""))))),$L627))</f>
        <v/>
      </c>
      <c r="X627" s="22">
        <f>IF(ISBLANK($J627),$V627&amp;$W627,$J627)</f>
        <v/>
      </c>
      <c r="Y627" s="23">
        <f t="array" ref="Y627">IF(ISBLANK($M627),IFERROR(XLOOKUP($P627,'Department Listing'!$A:$A,'Department Listing'!$L:$L),""),$M627)</f>
        <v/>
      </c>
      <c r="Z627" s="11">
        <f>IF(ISBLANK($B627),"",MATCH($X627,COA!$B:$B,0))</f>
        <v/>
      </c>
    </row>
    <row r="628" ht="15.75" customHeight="1" s="52">
      <c r="B628" s="27" t="n"/>
      <c r="C628" s="10" t="n"/>
      <c r="D628" s="10" t="n"/>
      <c r="E628" s="28" t="n"/>
      <c r="F628" s="10" t="n"/>
      <c r="G628" s="10" t="n"/>
      <c r="H628" s="10" t="n"/>
      <c r="I628" s="9" t="n"/>
      <c r="J628" s="9" t="n"/>
      <c r="K628" s="9" t="n"/>
      <c r="L628" s="9" t="n"/>
      <c r="M628" s="9" t="n"/>
      <c r="N628" s="20" t="n"/>
      <c r="O628" s="20">
        <f>IF(C628="", "", TRIM(RIGHT(C628, LEN(C628) - FIND("@@", SUBSTITUTE(C628, "-", "@@", LEN(C628) - LEN(SUBSTITUTE(C628, "-", "")))))))</f>
        <v/>
      </c>
      <c r="P628" s="20">
        <f t="array" ref="P628">IFERROR(XLOOKUP(O628,'Department Listing'!$O$1:$O$395,'Department Listing'!$A$1:$A$395),IFERROR(XLOOKUP(O628,'Name Aliases'!$A$2:$A$1000,'Name Aliases'!$B$2:$B$1000),""))</f>
        <v/>
      </c>
      <c r="Q628" s="21">
        <f>IF(ISBLANK($C628),"",$B628)</f>
        <v/>
      </c>
      <c r="R628" s="20">
        <f>IF(ISBLANK($C628),"",IF(ISBLANK($I628),$D628,$I628))</f>
        <v/>
      </c>
      <c r="S628" s="22">
        <f>IF(ISBLANK($C628),"",$F628 - $G628)</f>
        <v/>
      </c>
      <c r="T628" s="20">
        <f>IF(ISBLANK($C628),"",C628)</f>
        <v/>
      </c>
      <c r="U628" s="20">
        <f>IF(ISBLANK($C628),"",$D$1)</f>
        <v/>
      </c>
      <c r="V628" s="22">
        <f t="array" ref="V628">IF(ISBLANK($B628),"",IF(ISBLANK($K628),IF(XLOOKUP($W628,'Category Mapping'!$C:$C,'Category Mapping'!$B:$B)="Travel",XLOOKUP($P628,'Department Listing'!$A:$A,'Department Listing'!$M:$M),XLOOKUP($W628,'Category Mapping'!$C:$C,'Category Mapping'!$D:$D)),$K628))</f>
        <v/>
      </c>
      <c r="W628" s="22">
        <f>IF(ISBLANK($B628),"",IF(ISBLANK($L628),RIGHT($E628,LEN($E628) - FIND("^",SUBSTITUTE($E628,":","^",LEN($E628) - LEN(SUBSTITUTE($E628,":",""))))),$L628))</f>
        <v/>
      </c>
      <c r="X628" s="22">
        <f>IF(ISBLANK($J628),$V628&amp;$W628,$J628)</f>
        <v/>
      </c>
      <c r="Y628" s="23">
        <f t="array" ref="Y628">IF(ISBLANK($M628),IFERROR(XLOOKUP($P628,'Department Listing'!$A:$A,'Department Listing'!$L:$L),""),$M628)</f>
        <v/>
      </c>
      <c r="Z628" s="11">
        <f>IF(ISBLANK($B628),"",MATCH($X628,COA!$B:$B,0))</f>
        <v/>
      </c>
    </row>
    <row r="629" ht="15.75" customHeight="1" s="52">
      <c r="B629" s="27" t="n"/>
      <c r="C629" s="10" t="n"/>
      <c r="D629" s="10" t="n"/>
      <c r="E629" s="28" t="n"/>
      <c r="F629" s="10" t="n"/>
      <c r="G629" s="10" t="n"/>
      <c r="H629" s="10" t="n"/>
      <c r="I629" s="9" t="n"/>
      <c r="J629" s="9" t="n"/>
      <c r="K629" s="9" t="n"/>
      <c r="L629" s="9" t="n"/>
      <c r="M629" s="9" t="n"/>
      <c r="N629" s="20" t="n"/>
      <c r="O629" s="20">
        <f>IF(C629="", "", TRIM(RIGHT(C629, LEN(C629) - FIND("@@", SUBSTITUTE(C629, "-", "@@", LEN(C629) - LEN(SUBSTITUTE(C629, "-", "")))))))</f>
        <v/>
      </c>
      <c r="P629" s="20">
        <f t="array" ref="P629">IFERROR(XLOOKUP(O629,'Department Listing'!$O$1:$O$395,'Department Listing'!$A$1:$A$395),IFERROR(XLOOKUP(O629,'Name Aliases'!$A$2:$A$1000,'Name Aliases'!$B$2:$B$1000),""))</f>
        <v/>
      </c>
      <c r="Q629" s="21">
        <f>IF(ISBLANK($C629),"",$B629)</f>
        <v/>
      </c>
      <c r="R629" s="20">
        <f>IF(ISBLANK($C629),"",IF(ISBLANK($I629),$D629,$I629))</f>
        <v/>
      </c>
      <c r="S629" s="22">
        <f>IF(ISBLANK($C629),"",$F629 - $G629)</f>
        <v/>
      </c>
      <c r="T629" s="20">
        <f>IF(ISBLANK($C629),"",C629)</f>
        <v/>
      </c>
      <c r="U629" s="20">
        <f>IF(ISBLANK($C629),"",$D$1)</f>
        <v/>
      </c>
      <c r="V629" s="22">
        <f t="array" ref="V629">IF(ISBLANK($B629),"",IF(ISBLANK($K629),IF(XLOOKUP($W629,'Category Mapping'!$C:$C,'Category Mapping'!$B:$B)="Travel",XLOOKUP($P629,'Department Listing'!$A:$A,'Department Listing'!$M:$M),XLOOKUP($W629,'Category Mapping'!$C:$C,'Category Mapping'!$D:$D)),$K629))</f>
        <v/>
      </c>
      <c r="W629" s="22">
        <f>IF(ISBLANK($B629),"",IF(ISBLANK($L629),RIGHT($E629,LEN($E629) - FIND("^",SUBSTITUTE($E629,":","^",LEN($E629) - LEN(SUBSTITUTE($E629,":",""))))),$L629))</f>
        <v/>
      </c>
      <c r="X629" s="22">
        <f>IF(ISBLANK($J629),$V629&amp;$W629,$J629)</f>
        <v/>
      </c>
      <c r="Y629" s="23">
        <f t="array" ref="Y629">IF(ISBLANK($M629),IFERROR(XLOOKUP($P629,'Department Listing'!$A:$A,'Department Listing'!$L:$L),""),$M629)</f>
        <v/>
      </c>
      <c r="Z629" s="11">
        <f>IF(ISBLANK($B629),"",MATCH($X629,COA!$B:$B,0))</f>
        <v/>
      </c>
    </row>
    <row r="630" ht="15.75" customHeight="1" s="52">
      <c r="B630" s="27" t="n"/>
      <c r="C630" s="10" t="n"/>
      <c r="D630" s="10" t="n"/>
      <c r="E630" s="28" t="n"/>
      <c r="F630" s="10" t="n"/>
      <c r="G630" s="10" t="n"/>
      <c r="H630" s="10" t="n"/>
      <c r="I630" s="9" t="n"/>
      <c r="J630" s="9" t="n"/>
      <c r="K630" s="9" t="n"/>
      <c r="L630" s="9" t="n"/>
      <c r="M630" s="9" t="n"/>
      <c r="N630" s="20" t="n"/>
      <c r="O630" s="20">
        <f>IF(C630="", "", TRIM(RIGHT(C630, LEN(C630) - FIND("@@", SUBSTITUTE(C630, "-", "@@", LEN(C630) - LEN(SUBSTITUTE(C630, "-", "")))))))</f>
        <v/>
      </c>
      <c r="P630" s="20">
        <f t="array" ref="P630">IFERROR(XLOOKUP(O630,'Department Listing'!$O$1:$O$395,'Department Listing'!$A$1:$A$395),IFERROR(XLOOKUP(O630,'Name Aliases'!$A$2:$A$1000,'Name Aliases'!$B$2:$B$1000),""))</f>
        <v/>
      </c>
      <c r="Q630" s="21">
        <f>IF(ISBLANK($C630),"",$B630)</f>
        <v/>
      </c>
      <c r="R630" s="20">
        <f>IF(ISBLANK($C630),"",IF(ISBLANK($I630),$D630,$I630))</f>
        <v/>
      </c>
      <c r="S630" s="22">
        <f>IF(ISBLANK($C630),"",$F630 - $G630)</f>
        <v/>
      </c>
      <c r="T630" s="20">
        <f>IF(ISBLANK($C630),"",C630)</f>
        <v/>
      </c>
      <c r="U630" s="20">
        <f>IF(ISBLANK($C630),"",$D$1)</f>
        <v/>
      </c>
      <c r="V630" s="22">
        <f t="array" ref="V630">IF(ISBLANK($B630),"",IF(ISBLANK($K630),IF(XLOOKUP($W630,'Category Mapping'!$C:$C,'Category Mapping'!$B:$B)="Travel",XLOOKUP($P630,'Department Listing'!$A:$A,'Department Listing'!$M:$M),XLOOKUP($W630,'Category Mapping'!$C:$C,'Category Mapping'!$D:$D)),$K630))</f>
        <v/>
      </c>
      <c r="W630" s="22">
        <f>IF(ISBLANK($B630),"",IF(ISBLANK($L630),RIGHT($E630,LEN($E630) - FIND("^",SUBSTITUTE($E630,":","^",LEN($E630) - LEN(SUBSTITUTE($E630,":",""))))),$L630))</f>
        <v/>
      </c>
      <c r="X630" s="22">
        <f>IF(ISBLANK($J630),$V630&amp;$W630,$J630)</f>
        <v/>
      </c>
      <c r="Y630" s="23">
        <f t="array" ref="Y630">IF(ISBLANK($M630),IFERROR(XLOOKUP($P630,'Department Listing'!$A:$A,'Department Listing'!$L:$L),""),$M630)</f>
        <v/>
      </c>
      <c r="Z630" s="11">
        <f>IF(ISBLANK($B630),"",MATCH($X630,COA!$B:$B,0))</f>
        <v/>
      </c>
    </row>
    <row r="631" ht="15.75" customHeight="1" s="52">
      <c r="B631" s="27" t="n"/>
      <c r="C631" s="10" t="n"/>
      <c r="D631" s="10" t="n"/>
      <c r="E631" s="28" t="n"/>
      <c r="F631" s="10" t="n"/>
      <c r="G631" s="10" t="n"/>
      <c r="H631" s="10" t="n"/>
      <c r="I631" s="9" t="n"/>
      <c r="J631" s="9" t="n"/>
      <c r="K631" s="9" t="n"/>
      <c r="L631" s="9" t="n"/>
      <c r="M631" s="9" t="n"/>
      <c r="N631" s="20" t="n"/>
      <c r="O631" s="20">
        <f>IF(C631="", "", TRIM(RIGHT(C631, LEN(C631) - FIND("@@", SUBSTITUTE(C631, "-", "@@", LEN(C631) - LEN(SUBSTITUTE(C631, "-", "")))))))</f>
        <v/>
      </c>
      <c r="P631" s="20">
        <f t="array" ref="P631">IFERROR(XLOOKUP(O631,'Department Listing'!$O$1:$O$395,'Department Listing'!$A$1:$A$395),IFERROR(XLOOKUP(O631,'Name Aliases'!$A$2:$A$1000,'Name Aliases'!$B$2:$B$1000),""))</f>
        <v/>
      </c>
      <c r="Q631" s="21">
        <f>IF(ISBLANK($C631),"",$B631)</f>
        <v/>
      </c>
      <c r="R631" s="20">
        <f>IF(ISBLANK($C631),"",IF(ISBLANK($I631),$D631,$I631))</f>
        <v/>
      </c>
      <c r="S631" s="22">
        <f>IF(ISBLANK($C631),"",$F631 - $G631)</f>
        <v/>
      </c>
      <c r="T631" s="20">
        <f>IF(ISBLANK($C631),"",C631)</f>
        <v/>
      </c>
      <c r="U631" s="20">
        <f>IF(ISBLANK($C631),"",$D$1)</f>
        <v/>
      </c>
      <c r="V631" s="22">
        <f t="array" ref="V631">IF(ISBLANK($B631),"",IF(ISBLANK($K631),IF(XLOOKUP($W631,'Category Mapping'!$C:$C,'Category Mapping'!$B:$B)="Travel",XLOOKUP($P631,'Department Listing'!$A:$A,'Department Listing'!$M:$M),XLOOKUP($W631,'Category Mapping'!$C:$C,'Category Mapping'!$D:$D)),$K631))</f>
        <v/>
      </c>
      <c r="W631" s="22">
        <f>IF(ISBLANK($B631),"",IF(ISBLANK($L631),RIGHT($E631,LEN($E631) - FIND("^",SUBSTITUTE($E631,":","^",LEN($E631) - LEN(SUBSTITUTE($E631,":",""))))),$L631))</f>
        <v/>
      </c>
      <c r="X631" s="22">
        <f>IF(ISBLANK($J631),$V631&amp;$W631,$J631)</f>
        <v/>
      </c>
      <c r="Y631" s="23">
        <f t="array" ref="Y631">IF(ISBLANK($M631),IFERROR(XLOOKUP($P631,'Department Listing'!$A:$A,'Department Listing'!$L:$L),""),$M631)</f>
        <v/>
      </c>
      <c r="Z631" s="11">
        <f>IF(ISBLANK($B631),"",MATCH($X631,COA!$B:$B,0))</f>
        <v/>
      </c>
    </row>
    <row r="632" ht="15.75" customHeight="1" s="52">
      <c r="B632" s="27" t="n"/>
      <c r="C632" s="10" t="n"/>
      <c r="D632" s="10" t="n"/>
      <c r="E632" s="28" t="n"/>
      <c r="F632" s="10" t="n"/>
      <c r="G632" s="10" t="n"/>
      <c r="H632" s="10" t="n"/>
      <c r="I632" s="9" t="n"/>
      <c r="J632" s="9" t="n"/>
      <c r="K632" s="9" t="n"/>
      <c r="L632" s="9" t="n"/>
      <c r="M632" s="9" t="n"/>
      <c r="N632" s="20" t="n"/>
      <c r="O632" s="20">
        <f>IF(C632="", "", TRIM(RIGHT(C632, LEN(C632) - FIND("@@", SUBSTITUTE(C632, "-", "@@", LEN(C632) - LEN(SUBSTITUTE(C632, "-", "")))))))</f>
        <v/>
      </c>
      <c r="P632" s="20">
        <f t="array" ref="P632">IFERROR(XLOOKUP(O632,'Department Listing'!$O$1:$O$395,'Department Listing'!$A$1:$A$395),IFERROR(XLOOKUP(O632,'Name Aliases'!$A$2:$A$1000,'Name Aliases'!$B$2:$B$1000),""))</f>
        <v/>
      </c>
      <c r="Q632" s="21">
        <f>IF(ISBLANK($C632),"",$B632)</f>
        <v/>
      </c>
      <c r="R632" s="20">
        <f>IF(ISBLANK($C632),"",IF(ISBLANK($I632),$D632,$I632))</f>
        <v/>
      </c>
      <c r="S632" s="22">
        <f>IF(ISBLANK($C632),"",$F632 - $G632)</f>
        <v/>
      </c>
      <c r="T632" s="20">
        <f>IF(ISBLANK($C632),"",C632)</f>
        <v/>
      </c>
      <c r="U632" s="20">
        <f>IF(ISBLANK($C632),"",$D$1)</f>
        <v/>
      </c>
      <c r="V632" s="22">
        <f t="array" ref="V632">IF(ISBLANK($B632),"",IF(ISBLANK($K632),IF(XLOOKUP($W632,'Category Mapping'!$C:$C,'Category Mapping'!$B:$B)="Travel",XLOOKUP($P632,'Department Listing'!$A:$A,'Department Listing'!$M:$M),XLOOKUP($W632,'Category Mapping'!$C:$C,'Category Mapping'!$D:$D)),$K632))</f>
        <v/>
      </c>
      <c r="W632" s="22">
        <f>IF(ISBLANK($B632),"",IF(ISBLANK($L632),RIGHT($E632,LEN($E632) - FIND("^",SUBSTITUTE($E632,":","^",LEN($E632) - LEN(SUBSTITUTE($E632,":",""))))),$L632))</f>
        <v/>
      </c>
      <c r="X632" s="22">
        <f>IF(ISBLANK($J632),$V632&amp;$W632,$J632)</f>
        <v/>
      </c>
      <c r="Y632" s="23">
        <f t="array" ref="Y632">IF(ISBLANK($M632),IFERROR(XLOOKUP($P632,'Department Listing'!$A:$A,'Department Listing'!$L:$L),""),$M632)</f>
        <v/>
      </c>
      <c r="Z632" s="11">
        <f>IF(ISBLANK($B632),"",MATCH($X632,COA!$B:$B,0))</f>
        <v/>
      </c>
    </row>
    <row r="633" ht="15.75" customHeight="1" s="52">
      <c r="B633" s="27" t="n"/>
      <c r="C633" s="10" t="n"/>
      <c r="D633" s="10" t="n"/>
      <c r="E633" s="28" t="n"/>
      <c r="F633" s="10" t="n"/>
      <c r="G633" s="10" t="n"/>
      <c r="H633" s="10" t="n"/>
      <c r="I633" s="9" t="n"/>
      <c r="J633" s="9" t="n"/>
      <c r="K633" s="9" t="n"/>
      <c r="L633" s="9" t="n"/>
      <c r="M633" s="9" t="n"/>
      <c r="N633" s="20" t="n"/>
      <c r="O633" s="20">
        <f>IF(C633="", "", TRIM(RIGHT(C633, LEN(C633) - FIND("@@", SUBSTITUTE(C633, "-", "@@", LEN(C633) - LEN(SUBSTITUTE(C633, "-", "")))))))</f>
        <v/>
      </c>
      <c r="P633" s="20">
        <f t="array" ref="P633">IFERROR(XLOOKUP(O633,'Department Listing'!$O$1:$O$395,'Department Listing'!$A$1:$A$395),IFERROR(XLOOKUP(O633,'Name Aliases'!$A$2:$A$1000,'Name Aliases'!$B$2:$B$1000),""))</f>
        <v/>
      </c>
      <c r="Q633" s="21">
        <f>IF(ISBLANK($C633),"",$B633)</f>
        <v/>
      </c>
      <c r="R633" s="20">
        <f>IF(ISBLANK($C633),"",IF(ISBLANK($I633),$D633,$I633))</f>
        <v/>
      </c>
      <c r="S633" s="22">
        <f>IF(ISBLANK($C633),"",$F633 - $G633)</f>
        <v/>
      </c>
      <c r="T633" s="20">
        <f>IF(ISBLANK($C633),"",C633)</f>
        <v/>
      </c>
      <c r="U633" s="20">
        <f>IF(ISBLANK($C633),"",$D$1)</f>
        <v/>
      </c>
      <c r="V633" s="22">
        <f t="array" ref="V633">IF(ISBLANK($B633),"",IF(ISBLANK($K633),IF(XLOOKUP($W633,'Category Mapping'!$C:$C,'Category Mapping'!$B:$B)="Travel",XLOOKUP($P633,'Department Listing'!$A:$A,'Department Listing'!$M:$M),XLOOKUP($W633,'Category Mapping'!$C:$C,'Category Mapping'!$D:$D)),$K633))</f>
        <v/>
      </c>
      <c r="W633" s="22">
        <f>IF(ISBLANK($B633),"",IF(ISBLANK($L633),RIGHT($E633,LEN($E633) - FIND("^",SUBSTITUTE($E633,":","^",LEN($E633) - LEN(SUBSTITUTE($E633,":",""))))),$L633))</f>
        <v/>
      </c>
      <c r="X633" s="22">
        <f>IF(ISBLANK($J633),$V633&amp;$W633,$J633)</f>
        <v/>
      </c>
      <c r="Y633" s="23">
        <f t="array" ref="Y633">IF(ISBLANK($M633),IFERROR(XLOOKUP($P633,'Department Listing'!$A:$A,'Department Listing'!$L:$L),""),$M633)</f>
        <v/>
      </c>
      <c r="Z633" s="11">
        <f>IF(ISBLANK($B633),"",MATCH($X633,COA!$B:$B,0))</f>
        <v/>
      </c>
    </row>
    <row r="634" ht="15.75" customHeight="1" s="52">
      <c r="B634" s="27" t="n"/>
      <c r="C634" s="10" t="n"/>
      <c r="D634" s="10" t="n"/>
      <c r="E634" s="28" t="n"/>
      <c r="F634" s="10" t="n"/>
      <c r="G634" s="10" t="n"/>
      <c r="H634" s="10" t="n"/>
      <c r="I634" s="9" t="n"/>
      <c r="J634" s="9" t="n"/>
      <c r="K634" s="9" t="n"/>
      <c r="L634" s="9" t="n"/>
      <c r="M634" s="9" t="n"/>
      <c r="N634" s="20" t="n"/>
      <c r="O634" s="20">
        <f>IF(C634="", "", TRIM(RIGHT(C634, LEN(C634) - FIND("@@", SUBSTITUTE(C634, "-", "@@", LEN(C634) - LEN(SUBSTITUTE(C634, "-", "")))))))</f>
        <v/>
      </c>
      <c r="P634" s="20">
        <f t="array" ref="P634">IFERROR(XLOOKUP(O634,'Department Listing'!$O$1:$O$395,'Department Listing'!$A$1:$A$395),IFERROR(XLOOKUP(O634,'Name Aliases'!$A$2:$A$1000,'Name Aliases'!$B$2:$B$1000),""))</f>
        <v/>
      </c>
      <c r="Q634" s="21">
        <f>IF(ISBLANK($C634),"",$B634)</f>
        <v/>
      </c>
      <c r="R634" s="20">
        <f>IF(ISBLANK($C634),"",IF(ISBLANK($I634),$D634,$I634))</f>
        <v/>
      </c>
      <c r="S634" s="22">
        <f>IF(ISBLANK($C634),"",$F634 - $G634)</f>
        <v/>
      </c>
      <c r="T634" s="20">
        <f>IF(ISBLANK($C634),"",C634)</f>
        <v/>
      </c>
      <c r="U634" s="20">
        <f>IF(ISBLANK($C634),"",$D$1)</f>
        <v/>
      </c>
      <c r="V634" s="22">
        <f t="array" ref="V634">IF(ISBLANK($B634),"",IF(ISBLANK($K634),IF(XLOOKUP($W634,'Category Mapping'!$C:$C,'Category Mapping'!$B:$B)="Travel",XLOOKUP($P634,'Department Listing'!$A:$A,'Department Listing'!$M:$M),XLOOKUP($W634,'Category Mapping'!$C:$C,'Category Mapping'!$D:$D)),$K634))</f>
        <v/>
      </c>
      <c r="W634" s="22">
        <f>IF(ISBLANK($B634),"",IF(ISBLANK($L634),RIGHT($E634,LEN($E634) - FIND("^",SUBSTITUTE($E634,":","^",LEN($E634) - LEN(SUBSTITUTE($E634,":",""))))),$L634))</f>
        <v/>
      </c>
      <c r="X634" s="22">
        <f>IF(ISBLANK($J634),$V634&amp;$W634,$J634)</f>
        <v/>
      </c>
      <c r="Y634" s="23">
        <f t="array" ref="Y634">IF(ISBLANK($M634),IFERROR(XLOOKUP($P634,'Department Listing'!$A:$A,'Department Listing'!$L:$L),""),$M634)</f>
        <v/>
      </c>
      <c r="Z634" s="11">
        <f>IF(ISBLANK($B634),"",MATCH($X634,COA!$B:$B,0))</f>
        <v/>
      </c>
    </row>
    <row r="635" ht="15.75" customHeight="1" s="52">
      <c r="B635" s="27" t="n"/>
      <c r="C635" s="10" t="n"/>
      <c r="D635" s="10" t="n"/>
      <c r="E635" s="28" t="n"/>
      <c r="F635" s="10" t="n"/>
      <c r="G635" s="10" t="n"/>
      <c r="H635" s="10" t="n"/>
      <c r="I635" s="9" t="n"/>
      <c r="J635" s="9" t="n"/>
      <c r="K635" s="9" t="n"/>
      <c r="L635" s="9" t="n"/>
      <c r="M635" s="9" t="n"/>
      <c r="N635" s="20" t="n"/>
      <c r="O635" s="20">
        <f>IF(C635="", "", TRIM(RIGHT(C635, LEN(C635) - FIND("@@", SUBSTITUTE(C635, "-", "@@", LEN(C635) - LEN(SUBSTITUTE(C635, "-", "")))))))</f>
        <v/>
      </c>
      <c r="P635" s="20">
        <f t="array" ref="P635">IFERROR(XLOOKUP(O635,'Department Listing'!$O$1:$O$395,'Department Listing'!$A$1:$A$395),IFERROR(XLOOKUP(O635,'Name Aliases'!$A$2:$A$1000,'Name Aliases'!$B$2:$B$1000),""))</f>
        <v/>
      </c>
      <c r="Q635" s="21">
        <f>IF(ISBLANK($C635),"",$B635)</f>
        <v/>
      </c>
      <c r="R635" s="20">
        <f>IF(ISBLANK($C635),"",IF(ISBLANK($I635),$D635,$I635))</f>
        <v/>
      </c>
      <c r="S635" s="22">
        <f>IF(ISBLANK($C635),"",$F635 - $G635)</f>
        <v/>
      </c>
      <c r="T635" s="20">
        <f>IF(ISBLANK($C635),"",C635)</f>
        <v/>
      </c>
      <c r="U635" s="20">
        <f>IF(ISBLANK($C635),"",$D$1)</f>
        <v/>
      </c>
      <c r="V635" s="22">
        <f t="array" ref="V635">IF(ISBLANK($B635),"",IF(ISBLANK($K635),IF(XLOOKUP($W635,'Category Mapping'!$C:$C,'Category Mapping'!$B:$B)="Travel",XLOOKUP($P635,'Department Listing'!$A:$A,'Department Listing'!$M:$M),XLOOKUP($W635,'Category Mapping'!$C:$C,'Category Mapping'!$D:$D)),$K635))</f>
        <v/>
      </c>
      <c r="W635" s="22">
        <f>IF(ISBLANK($B635),"",IF(ISBLANK($L635),RIGHT($E635,LEN($E635) - FIND("^",SUBSTITUTE($E635,":","^",LEN($E635) - LEN(SUBSTITUTE($E635,":",""))))),$L635))</f>
        <v/>
      </c>
      <c r="X635" s="22">
        <f>IF(ISBLANK($J635),$V635&amp;$W635,$J635)</f>
        <v/>
      </c>
      <c r="Y635" s="23">
        <f t="array" ref="Y635">IF(ISBLANK($M635),IFERROR(XLOOKUP($P635,'Department Listing'!$A:$A,'Department Listing'!$L:$L),""),$M635)</f>
        <v/>
      </c>
      <c r="Z635" s="11">
        <f>IF(ISBLANK($B635),"",MATCH($X635,COA!$B:$B,0))</f>
        <v/>
      </c>
    </row>
    <row r="636" ht="15.75" customHeight="1" s="52">
      <c r="B636" s="27" t="n"/>
      <c r="C636" s="10" t="n"/>
      <c r="D636" s="10" t="n"/>
      <c r="E636" s="28" t="n"/>
      <c r="F636" s="10" t="n"/>
      <c r="G636" s="10" t="n"/>
      <c r="H636" s="10" t="n"/>
      <c r="I636" s="9" t="n"/>
      <c r="J636" s="9" t="n"/>
      <c r="K636" s="9" t="n"/>
      <c r="L636" s="9" t="n"/>
      <c r="M636" s="9" t="n"/>
      <c r="N636" s="20" t="n"/>
      <c r="O636" s="20">
        <f>IF(C636="", "", TRIM(RIGHT(C636, LEN(C636) - FIND("@@", SUBSTITUTE(C636, "-", "@@", LEN(C636) - LEN(SUBSTITUTE(C636, "-", "")))))))</f>
        <v/>
      </c>
      <c r="P636" s="20">
        <f t="array" ref="P636">IFERROR(XLOOKUP(O636,'Department Listing'!$O$1:$O$395,'Department Listing'!$A$1:$A$395),IFERROR(XLOOKUP(O636,'Name Aliases'!$A$2:$A$1000,'Name Aliases'!$B$2:$B$1000),""))</f>
        <v/>
      </c>
      <c r="Q636" s="21">
        <f>IF(ISBLANK($C636),"",$B636)</f>
        <v/>
      </c>
      <c r="R636" s="20">
        <f>IF(ISBLANK($C636),"",IF(ISBLANK($I636),$D636,$I636))</f>
        <v/>
      </c>
      <c r="S636" s="22">
        <f>IF(ISBLANK($C636),"",$F636 - $G636)</f>
        <v/>
      </c>
      <c r="T636" s="20">
        <f>IF(ISBLANK($C636),"",C636)</f>
        <v/>
      </c>
      <c r="U636" s="20">
        <f>IF(ISBLANK($C636),"",$D$1)</f>
        <v/>
      </c>
      <c r="V636" s="22">
        <f t="array" ref="V636">IF(ISBLANK($B636),"",IF(ISBLANK($K636),IF(XLOOKUP($W636,'Category Mapping'!$C:$C,'Category Mapping'!$B:$B)="Travel",XLOOKUP($P636,'Department Listing'!$A:$A,'Department Listing'!$M:$M),XLOOKUP($W636,'Category Mapping'!$C:$C,'Category Mapping'!$D:$D)),$K636))</f>
        <v/>
      </c>
      <c r="W636" s="22">
        <f>IF(ISBLANK($B636),"",IF(ISBLANK($L636),RIGHT($E636,LEN($E636) - FIND("^",SUBSTITUTE($E636,":","^",LEN($E636) - LEN(SUBSTITUTE($E636,":",""))))),$L636))</f>
        <v/>
      </c>
      <c r="X636" s="22">
        <f>IF(ISBLANK($J636),$V636&amp;$W636,$J636)</f>
        <v/>
      </c>
      <c r="Y636" s="23">
        <f t="array" ref="Y636">IF(ISBLANK($M636),IFERROR(XLOOKUP($P636,'Department Listing'!$A:$A,'Department Listing'!$L:$L),""),$M636)</f>
        <v/>
      </c>
      <c r="Z636" s="11">
        <f>IF(ISBLANK($B636),"",MATCH($X636,COA!$B:$B,0))</f>
        <v/>
      </c>
    </row>
    <row r="637" ht="15.75" customHeight="1" s="52">
      <c r="B637" s="27" t="n"/>
      <c r="C637" s="10" t="n"/>
      <c r="D637" s="10" t="n"/>
      <c r="E637" s="28" t="n"/>
      <c r="F637" s="10" t="n"/>
      <c r="G637" s="10" t="n"/>
      <c r="H637" s="10" t="n"/>
      <c r="I637" s="9" t="n"/>
      <c r="J637" s="9" t="n"/>
      <c r="K637" s="9" t="n"/>
      <c r="L637" s="9" t="n"/>
      <c r="M637" s="9" t="n"/>
      <c r="N637" s="20" t="n"/>
      <c r="O637" s="20">
        <f>IF(C637="", "", TRIM(RIGHT(C637, LEN(C637) - FIND("@@", SUBSTITUTE(C637, "-", "@@", LEN(C637) - LEN(SUBSTITUTE(C637, "-", "")))))))</f>
        <v/>
      </c>
      <c r="P637" s="20">
        <f t="array" ref="P637">IFERROR(XLOOKUP(O637,'Department Listing'!$O$1:$O$395,'Department Listing'!$A$1:$A$395),IFERROR(XLOOKUP(O637,'Name Aliases'!$A$2:$A$1000,'Name Aliases'!$B$2:$B$1000),""))</f>
        <v/>
      </c>
      <c r="Q637" s="21">
        <f>IF(ISBLANK($C637),"",$B637)</f>
        <v/>
      </c>
      <c r="R637" s="20">
        <f>IF(ISBLANK($C637),"",IF(ISBLANK($I637),$D637,$I637))</f>
        <v/>
      </c>
      <c r="S637" s="22">
        <f>IF(ISBLANK($C637),"",$F637 - $G637)</f>
        <v/>
      </c>
      <c r="T637" s="20">
        <f>IF(ISBLANK($C637),"",C637)</f>
        <v/>
      </c>
      <c r="U637" s="20">
        <f>IF(ISBLANK($C637),"",$D$1)</f>
        <v/>
      </c>
      <c r="V637" s="22">
        <f t="array" ref="V637">IF(ISBLANK($B637),"",IF(ISBLANK($K637),IF(XLOOKUP($W637,'Category Mapping'!$C:$C,'Category Mapping'!$B:$B)="Travel",XLOOKUP($P637,'Department Listing'!$A:$A,'Department Listing'!$M:$M),XLOOKUP($W637,'Category Mapping'!$C:$C,'Category Mapping'!$D:$D)),$K637))</f>
        <v/>
      </c>
      <c r="W637" s="22">
        <f>IF(ISBLANK($B637),"",IF(ISBLANK($L637),RIGHT($E637,LEN($E637) - FIND("^",SUBSTITUTE($E637,":","^",LEN($E637) - LEN(SUBSTITUTE($E637,":",""))))),$L637))</f>
        <v/>
      </c>
      <c r="X637" s="22">
        <f>IF(ISBLANK($J637),$V637&amp;$W637,$J637)</f>
        <v/>
      </c>
      <c r="Y637" s="23">
        <f t="array" ref="Y637">IF(ISBLANK($M637),IFERROR(XLOOKUP($P637,'Department Listing'!$A:$A,'Department Listing'!$L:$L),""),$M637)</f>
        <v/>
      </c>
      <c r="Z637" s="11">
        <f>IF(ISBLANK($B637),"",MATCH($X637,COA!$B:$B,0))</f>
        <v/>
      </c>
    </row>
    <row r="638" ht="15.75" customHeight="1" s="52">
      <c r="B638" s="27" t="n"/>
      <c r="C638" s="10" t="n"/>
      <c r="D638" s="10" t="n"/>
      <c r="E638" s="28" t="n"/>
      <c r="F638" s="10" t="n"/>
      <c r="G638" s="10" t="n"/>
      <c r="H638" s="10" t="n"/>
      <c r="I638" s="9" t="n"/>
      <c r="J638" s="9" t="n"/>
      <c r="K638" s="9" t="n"/>
      <c r="L638" s="9" t="n"/>
      <c r="M638" s="9" t="n"/>
      <c r="N638" s="20" t="n"/>
      <c r="O638" s="20">
        <f>IF(C638="", "", TRIM(RIGHT(C638, LEN(C638) - FIND("@@", SUBSTITUTE(C638, "-", "@@", LEN(C638) - LEN(SUBSTITUTE(C638, "-", "")))))))</f>
        <v/>
      </c>
      <c r="P638" s="20">
        <f t="array" ref="P638">IFERROR(XLOOKUP(O638,'Department Listing'!$O$1:$O$395,'Department Listing'!$A$1:$A$395),IFERROR(XLOOKUP(O638,'Name Aliases'!$A$2:$A$1000,'Name Aliases'!$B$2:$B$1000),""))</f>
        <v/>
      </c>
      <c r="Q638" s="21">
        <f>IF(ISBLANK($C638),"",$B638)</f>
        <v/>
      </c>
      <c r="R638" s="20">
        <f>IF(ISBLANK($C638),"",IF(ISBLANK($I638),$D638,$I638))</f>
        <v/>
      </c>
      <c r="S638" s="22">
        <f>IF(ISBLANK($C638),"",$F638 - $G638)</f>
        <v/>
      </c>
      <c r="T638" s="20">
        <f>IF(ISBLANK($C638),"",C638)</f>
        <v/>
      </c>
      <c r="U638" s="20">
        <f>IF(ISBLANK($C638),"",$D$1)</f>
        <v/>
      </c>
      <c r="V638" s="22">
        <f t="array" ref="V638">IF(ISBLANK($B638),"",IF(ISBLANK($K638),IF(XLOOKUP($W638,'Category Mapping'!$C:$C,'Category Mapping'!$B:$B)="Travel",XLOOKUP($P638,'Department Listing'!$A:$A,'Department Listing'!$M:$M),XLOOKUP($W638,'Category Mapping'!$C:$C,'Category Mapping'!$D:$D)),$K638))</f>
        <v/>
      </c>
      <c r="W638" s="22">
        <f>IF(ISBLANK($B638),"",IF(ISBLANK($L638),RIGHT($E638,LEN($E638) - FIND("^",SUBSTITUTE($E638,":","^",LEN($E638) - LEN(SUBSTITUTE($E638,":",""))))),$L638))</f>
        <v/>
      </c>
      <c r="X638" s="22">
        <f>IF(ISBLANK($J638),$V638&amp;$W638,$J638)</f>
        <v/>
      </c>
      <c r="Y638" s="23">
        <f t="array" ref="Y638">IF(ISBLANK($M638),IFERROR(XLOOKUP($P638,'Department Listing'!$A:$A,'Department Listing'!$L:$L),""),$M638)</f>
        <v/>
      </c>
      <c r="Z638" s="11">
        <f>IF(ISBLANK($B638),"",MATCH($X638,COA!$B:$B,0))</f>
        <v/>
      </c>
    </row>
    <row r="639" ht="15.75" customHeight="1" s="52">
      <c r="B639" s="27" t="n"/>
      <c r="C639" s="10" t="n"/>
      <c r="D639" s="10" t="n"/>
      <c r="E639" s="28" t="n"/>
      <c r="F639" s="10" t="n"/>
      <c r="G639" s="10" t="n"/>
      <c r="H639" s="10" t="n"/>
      <c r="I639" s="9" t="n"/>
      <c r="J639" s="9" t="n"/>
      <c r="K639" s="9" t="n"/>
      <c r="L639" s="9" t="n"/>
      <c r="M639" s="9" t="n"/>
      <c r="N639" s="20" t="n"/>
      <c r="O639" s="20">
        <f>IF(C639="", "", TRIM(RIGHT(C639, LEN(C639) - FIND("@@", SUBSTITUTE(C639, "-", "@@", LEN(C639) - LEN(SUBSTITUTE(C639, "-", "")))))))</f>
        <v/>
      </c>
      <c r="P639" s="20">
        <f t="array" ref="P639">IFERROR(XLOOKUP(O639,'Department Listing'!$O$1:$O$395,'Department Listing'!$A$1:$A$395),IFERROR(XLOOKUP(O639,'Name Aliases'!$A$2:$A$1000,'Name Aliases'!$B$2:$B$1000),""))</f>
        <v/>
      </c>
      <c r="Q639" s="21">
        <f>IF(ISBLANK($C639),"",$B639)</f>
        <v/>
      </c>
      <c r="R639" s="20">
        <f>IF(ISBLANK($C639),"",IF(ISBLANK($I639),$D639,$I639))</f>
        <v/>
      </c>
      <c r="S639" s="22">
        <f>IF(ISBLANK($C639),"",$F639 - $G639)</f>
        <v/>
      </c>
      <c r="T639" s="20">
        <f>IF(ISBLANK($C639),"",C639)</f>
        <v/>
      </c>
      <c r="U639" s="20">
        <f>IF(ISBLANK($C639),"",$D$1)</f>
        <v/>
      </c>
      <c r="V639" s="22">
        <f t="array" ref="V639">IF(ISBLANK($B639),"",IF(ISBLANK($K639),IF(XLOOKUP($W639,'Category Mapping'!$C:$C,'Category Mapping'!$B:$B)="Travel",XLOOKUP($P639,'Department Listing'!$A:$A,'Department Listing'!$M:$M),XLOOKUP($W639,'Category Mapping'!$C:$C,'Category Mapping'!$D:$D)),$K639))</f>
        <v/>
      </c>
      <c r="W639" s="22">
        <f>IF(ISBLANK($B639),"",IF(ISBLANK($L639),RIGHT($E639,LEN($E639) - FIND("^",SUBSTITUTE($E639,":","^",LEN($E639) - LEN(SUBSTITUTE($E639,":",""))))),$L639))</f>
        <v/>
      </c>
      <c r="X639" s="22">
        <f>IF(ISBLANK($J639),$V639&amp;$W639,$J639)</f>
        <v/>
      </c>
      <c r="Y639" s="23">
        <f t="array" ref="Y639">IF(ISBLANK($M639),IFERROR(XLOOKUP($P639,'Department Listing'!$A:$A,'Department Listing'!$L:$L),""),$M639)</f>
        <v/>
      </c>
      <c r="Z639" s="11">
        <f>IF(ISBLANK($B639),"",MATCH($X639,COA!$B:$B,0))</f>
        <v/>
      </c>
    </row>
    <row r="640" ht="15.75" customHeight="1" s="52">
      <c r="B640" s="27" t="n"/>
      <c r="C640" s="10" t="n"/>
      <c r="D640" s="10" t="n"/>
      <c r="E640" s="28" t="n"/>
      <c r="F640" s="10" t="n"/>
      <c r="G640" s="10" t="n"/>
      <c r="H640" s="10" t="n"/>
      <c r="I640" s="9" t="n"/>
      <c r="J640" s="9" t="n"/>
      <c r="K640" s="9" t="n"/>
      <c r="L640" s="9" t="n"/>
      <c r="M640" s="9" t="n"/>
      <c r="N640" s="20" t="n"/>
      <c r="O640" s="20">
        <f>IF(C640="", "", TRIM(RIGHT(C640, LEN(C640) - FIND("@@", SUBSTITUTE(C640, "-", "@@", LEN(C640) - LEN(SUBSTITUTE(C640, "-", "")))))))</f>
        <v/>
      </c>
      <c r="P640" s="20">
        <f t="array" ref="P640">IFERROR(XLOOKUP(O640,'Department Listing'!$O$1:$O$395,'Department Listing'!$A$1:$A$395),IFERROR(XLOOKUP(O640,'Name Aliases'!$A$2:$A$1000,'Name Aliases'!$B$2:$B$1000),""))</f>
        <v/>
      </c>
      <c r="Q640" s="21">
        <f>IF(ISBLANK($C640),"",$B640)</f>
        <v/>
      </c>
      <c r="R640" s="20">
        <f>IF(ISBLANK($C640),"",IF(ISBLANK($I640),$D640,$I640))</f>
        <v/>
      </c>
      <c r="S640" s="22">
        <f>IF(ISBLANK($C640),"",$F640 - $G640)</f>
        <v/>
      </c>
      <c r="T640" s="20">
        <f>IF(ISBLANK($C640),"",C640)</f>
        <v/>
      </c>
      <c r="U640" s="20">
        <f>IF(ISBLANK($C640),"",$D$1)</f>
        <v/>
      </c>
      <c r="V640" s="22">
        <f t="array" ref="V640">IF(ISBLANK($B640),"",IF(ISBLANK($K640),IF(XLOOKUP($W640,'Category Mapping'!$C:$C,'Category Mapping'!$B:$B)="Travel",XLOOKUP($P640,'Department Listing'!$A:$A,'Department Listing'!$M:$M),XLOOKUP($W640,'Category Mapping'!$C:$C,'Category Mapping'!$D:$D)),$K640))</f>
        <v/>
      </c>
      <c r="W640" s="22">
        <f>IF(ISBLANK($B640),"",IF(ISBLANK($L640),RIGHT($E640,LEN($E640) - FIND("^",SUBSTITUTE($E640,":","^",LEN($E640) - LEN(SUBSTITUTE($E640,":",""))))),$L640))</f>
        <v/>
      </c>
      <c r="X640" s="22">
        <f>IF(ISBLANK($J640),$V640&amp;$W640,$J640)</f>
        <v/>
      </c>
      <c r="Y640" s="23">
        <f t="array" ref="Y640">IF(ISBLANK($M640),IFERROR(XLOOKUP($P640,'Department Listing'!$A:$A,'Department Listing'!$L:$L),""),$M640)</f>
        <v/>
      </c>
      <c r="Z640" s="11">
        <f>IF(ISBLANK($B640),"",MATCH($X640,COA!$B:$B,0))</f>
        <v/>
      </c>
    </row>
    <row r="641" ht="15.75" customHeight="1" s="52">
      <c r="B641" s="27" t="n"/>
      <c r="C641" s="10" t="n"/>
      <c r="D641" s="10" t="n"/>
      <c r="E641" s="28" t="n"/>
      <c r="F641" s="10" t="n"/>
      <c r="G641" s="10" t="n"/>
      <c r="H641" s="10" t="n"/>
      <c r="I641" s="9" t="n"/>
      <c r="J641" s="9" t="n"/>
      <c r="K641" s="9" t="n"/>
      <c r="L641" s="9" t="n"/>
      <c r="M641" s="9" t="n"/>
      <c r="N641" s="20" t="n"/>
      <c r="O641" s="20">
        <f>IF(C641="", "", TRIM(RIGHT(C641, LEN(C641) - FIND("@@", SUBSTITUTE(C641, "-", "@@", LEN(C641) - LEN(SUBSTITUTE(C641, "-", "")))))))</f>
        <v/>
      </c>
      <c r="P641" s="20">
        <f t="array" ref="P641">IFERROR(XLOOKUP(O641,'Department Listing'!$O$1:$O$395,'Department Listing'!$A$1:$A$395),IFERROR(XLOOKUP(O641,'Name Aliases'!$A$2:$A$1000,'Name Aliases'!$B$2:$B$1000),""))</f>
        <v/>
      </c>
      <c r="Q641" s="21">
        <f>IF(ISBLANK($C641),"",$B641)</f>
        <v/>
      </c>
      <c r="R641" s="20">
        <f>IF(ISBLANK($C641),"",IF(ISBLANK($I641),$D641,$I641))</f>
        <v/>
      </c>
      <c r="S641" s="22">
        <f>IF(ISBLANK($C641),"",$F641 - $G641)</f>
        <v/>
      </c>
      <c r="T641" s="20">
        <f>IF(ISBLANK($C641),"",C641)</f>
        <v/>
      </c>
      <c r="U641" s="20">
        <f>IF(ISBLANK($C641),"",$D$1)</f>
        <v/>
      </c>
      <c r="V641" s="22">
        <f t="array" ref="V641">IF(ISBLANK($B641),"",IF(ISBLANK($K641),IF(XLOOKUP($W641,'Category Mapping'!$C:$C,'Category Mapping'!$B:$B)="Travel",XLOOKUP($P641,'Department Listing'!$A:$A,'Department Listing'!$M:$M),XLOOKUP($W641,'Category Mapping'!$C:$C,'Category Mapping'!$D:$D)),$K641))</f>
        <v/>
      </c>
      <c r="W641" s="22">
        <f>IF(ISBLANK($B641),"",IF(ISBLANK($L641),RIGHT($E641,LEN($E641) - FIND("^",SUBSTITUTE($E641,":","^",LEN($E641) - LEN(SUBSTITUTE($E641,":",""))))),$L641))</f>
        <v/>
      </c>
      <c r="X641" s="22">
        <f>IF(ISBLANK($J641),$V641&amp;$W641,$J641)</f>
        <v/>
      </c>
      <c r="Y641" s="23">
        <f t="array" ref="Y641">IF(ISBLANK($M641),IFERROR(XLOOKUP($P641,'Department Listing'!$A:$A,'Department Listing'!$L:$L),""),$M641)</f>
        <v/>
      </c>
      <c r="Z641" s="11">
        <f>IF(ISBLANK($B641),"",MATCH($X641,COA!$B:$B,0))</f>
        <v/>
      </c>
    </row>
    <row r="642" ht="15.75" customHeight="1" s="52">
      <c r="B642" s="27" t="n"/>
      <c r="C642" s="10" t="n"/>
      <c r="D642" s="10" t="n"/>
      <c r="E642" s="28" t="n"/>
      <c r="F642" s="10" t="n"/>
      <c r="G642" s="10" t="n"/>
      <c r="H642" s="10" t="n"/>
      <c r="I642" s="9" t="n"/>
      <c r="J642" s="9" t="n"/>
      <c r="K642" s="9" t="n"/>
      <c r="L642" s="9" t="n"/>
      <c r="M642" s="9" t="n"/>
      <c r="N642" s="20" t="n"/>
      <c r="O642" s="20">
        <f>IF(C642="", "", TRIM(RIGHT(C642, LEN(C642) - FIND("@@", SUBSTITUTE(C642, "-", "@@", LEN(C642) - LEN(SUBSTITUTE(C642, "-", "")))))))</f>
        <v/>
      </c>
      <c r="P642" s="20">
        <f t="array" ref="P642">IFERROR(XLOOKUP(O642,'Department Listing'!$O$1:$O$395,'Department Listing'!$A$1:$A$395),IFERROR(XLOOKUP(O642,'Name Aliases'!$A$2:$A$1000,'Name Aliases'!$B$2:$B$1000),""))</f>
        <v/>
      </c>
      <c r="Q642" s="21">
        <f>IF(ISBLANK($C642),"",$B642)</f>
        <v/>
      </c>
      <c r="R642" s="20">
        <f>IF(ISBLANK($C642),"",IF(ISBLANK($I642),$D642,$I642))</f>
        <v/>
      </c>
      <c r="S642" s="22">
        <f>IF(ISBLANK($C642),"",$F642 - $G642)</f>
        <v/>
      </c>
      <c r="T642" s="20">
        <f>IF(ISBLANK($C642),"",C642)</f>
        <v/>
      </c>
      <c r="U642" s="20">
        <f>IF(ISBLANK($C642),"",$D$1)</f>
        <v/>
      </c>
      <c r="V642" s="22">
        <f t="array" ref="V642">IF(ISBLANK($B642),"",IF(ISBLANK($K642),IF(XLOOKUP($W642,'Category Mapping'!$C:$C,'Category Mapping'!$B:$B)="Travel",XLOOKUP($P642,'Department Listing'!$A:$A,'Department Listing'!$M:$M),XLOOKUP($W642,'Category Mapping'!$C:$C,'Category Mapping'!$D:$D)),$K642))</f>
        <v/>
      </c>
      <c r="W642" s="22">
        <f>IF(ISBLANK($B642),"",IF(ISBLANK($L642),RIGHT($E642,LEN($E642) - FIND("^",SUBSTITUTE($E642,":","^",LEN($E642) - LEN(SUBSTITUTE($E642,":",""))))),$L642))</f>
        <v/>
      </c>
      <c r="X642" s="22">
        <f>IF(ISBLANK($J642),$V642&amp;$W642,$J642)</f>
        <v/>
      </c>
      <c r="Y642" s="23">
        <f t="array" ref="Y642">IF(ISBLANK($M642),IFERROR(XLOOKUP($P642,'Department Listing'!$A:$A,'Department Listing'!$L:$L),""),$M642)</f>
        <v/>
      </c>
      <c r="Z642" s="11">
        <f>IF(ISBLANK($B642),"",MATCH($X642,COA!$B:$B,0))</f>
        <v/>
      </c>
    </row>
    <row r="643" ht="15.75" customHeight="1" s="52">
      <c r="B643" s="27" t="n"/>
      <c r="C643" s="10" t="n"/>
      <c r="D643" s="10" t="n"/>
      <c r="E643" s="28" t="n"/>
      <c r="F643" s="10" t="n"/>
      <c r="G643" s="10" t="n"/>
      <c r="H643" s="10" t="n"/>
      <c r="I643" s="9" t="n"/>
      <c r="J643" s="9" t="n"/>
      <c r="K643" s="9" t="n"/>
      <c r="L643" s="9" t="n"/>
      <c r="M643" s="9" t="n"/>
      <c r="N643" s="20" t="n"/>
      <c r="O643" s="20">
        <f>IF(C643="", "", TRIM(RIGHT(C643, LEN(C643) - FIND("@@", SUBSTITUTE(C643, "-", "@@", LEN(C643) - LEN(SUBSTITUTE(C643, "-", "")))))))</f>
        <v/>
      </c>
      <c r="P643" s="20">
        <f t="array" ref="P643">IFERROR(XLOOKUP(O643,'Department Listing'!$O$1:$O$395,'Department Listing'!$A$1:$A$395),IFERROR(XLOOKUP(O643,'Name Aliases'!$A$2:$A$1000,'Name Aliases'!$B$2:$B$1000),""))</f>
        <v/>
      </c>
      <c r="Q643" s="21">
        <f>IF(ISBLANK($C643),"",$B643)</f>
        <v/>
      </c>
      <c r="R643" s="20">
        <f>IF(ISBLANK($C643),"",IF(ISBLANK($I643),$D643,$I643))</f>
        <v/>
      </c>
      <c r="S643" s="22">
        <f>IF(ISBLANK($C643),"",$F643 - $G643)</f>
        <v/>
      </c>
      <c r="T643" s="20">
        <f>IF(ISBLANK($C643),"",C643)</f>
        <v/>
      </c>
      <c r="U643" s="20">
        <f>IF(ISBLANK($C643),"",$D$1)</f>
        <v/>
      </c>
      <c r="V643" s="22">
        <f t="array" ref="V643">IF(ISBLANK($B643),"",IF(ISBLANK($K643),IF(XLOOKUP($W643,'Category Mapping'!$C:$C,'Category Mapping'!$B:$B)="Travel",XLOOKUP($P643,'Department Listing'!$A:$A,'Department Listing'!$M:$M),XLOOKUP($W643,'Category Mapping'!$C:$C,'Category Mapping'!$D:$D)),$K643))</f>
        <v/>
      </c>
      <c r="W643" s="22">
        <f>IF(ISBLANK($B643),"",IF(ISBLANK($L643),RIGHT($E643,LEN($E643) - FIND("^",SUBSTITUTE($E643,":","^",LEN($E643) - LEN(SUBSTITUTE($E643,":",""))))),$L643))</f>
        <v/>
      </c>
      <c r="X643" s="22">
        <f>IF(ISBLANK($J643),$V643&amp;$W643,$J643)</f>
        <v/>
      </c>
      <c r="Y643" s="23">
        <f t="array" ref="Y643">IF(ISBLANK($M643),IFERROR(XLOOKUP($P643,'Department Listing'!$A:$A,'Department Listing'!$L:$L),""),$M643)</f>
        <v/>
      </c>
      <c r="Z643" s="11">
        <f>IF(ISBLANK($B643),"",MATCH($X643,COA!$B:$B,0))</f>
        <v/>
      </c>
    </row>
    <row r="644" ht="15.75" customHeight="1" s="52">
      <c r="B644" s="27" t="n"/>
      <c r="C644" s="10" t="n"/>
      <c r="D644" s="10" t="n"/>
      <c r="E644" s="28" t="n"/>
      <c r="F644" s="10" t="n"/>
      <c r="G644" s="10" t="n"/>
      <c r="H644" s="10" t="n"/>
      <c r="I644" s="9" t="n"/>
      <c r="J644" s="9" t="n"/>
      <c r="K644" s="9" t="n"/>
      <c r="L644" s="9" t="n"/>
      <c r="M644" s="9" t="n"/>
      <c r="N644" s="20" t="n"/>
      <c r="O644" s="20">
        <f>IF(C644="", "", TRIM(RIGHT(C644, LEN(C644) - FIND("@@", SUBSTITUTE(C644, "-", "@@", LEN(C644) - LEN(SUBSTITUTE(C644, "-", "")))))))</f>
        <v/>
      </c>
      <c r="P644" s="20">
        <f t="array" ref="P644">IFERROR(XLOOKUP(O644,'Department Listing'!$O$1:$O$395,'Department Listing'!$A$1:$A$395),IFERROR(XLOOKUP(O644,'Name Aliases'!$A$2:$A$1000,'Name Aliases'!$B$2:$B$1000),""))</f>
        <v/>
      </c>
      <c r="Q644" s="21">
        <f>IF(ISBLANK($C644),"",$B644)</f>
        <v/>
      </c>
      <c r="R644" s="20">
        <f>IF(ISBLANK($C644),"",IF(ISBLANK($I644),$D644,$I644))</f>
        <v/>
      </c>
      <c r="S644" s="22">
        <f>IF(ISBLANK($C644),"",$F644 - $G644)</f>
        <v/>
      </c>
      <c r="T644" s="20">
        <f>IF(ISBLANK($C644),"",C644)</f>
        <v/>
      </c>
      <c r="U644" s="20">
        <f>IF(ISBLANK($C644),"",$D$1)</f>
        <v/>
      </c>
      <c r="V644" s="22">
        <f t="array" ref="V644">IF(ISBLANK($B644),"",IF(ISBLANK($K644),IF(XLOOKUP($W644,'Category Mapping'!$C:$C,'Category Mapping'!$B:$B)="Travel",XLOOKUP($P644,'Department Listing'!$A:$A,'Department Listing'!$M:$M),XLOOKUP($W644,'Category Mapping'!$C:$C,'Category Mapping'!$D:$D)),$K644))</f>
        <v/>
      </c>
      <c r="W644" s="22">
        <f>IF(ISBLANK($B644),"",IF(ISBLANK($L644),RIGHT($E644,LEN($E644) - FIND("^",SUBSTITUTE($E644,":","^",LEN($E644) - LEN(SUBSTITUTE($E644,":",""))))),$L644))</f>
        <v/>
      </c>
      <c r="X644" s="22">
        <f>IF(ISBLANK($J644),$V644&amp;$W644,$J644)</f>
        <v/>
      </c>
      <c r="Y644" s="23">
        <f t="array" ref="Y644">IF(ISBLANK($M644),IFERROR(XLOOKUP($P644,'Department Listing'!$A:$A,'Department Listing'!$L:$L),""),$M644)</f>
        <v/>
      </c>
      <c r="Z644" s="11">
        <f>IF(ISBLANK($B644),"",MATCH($X644,COA!$B:$B,0))</f>
        <v/>
      </c>
    </row>
    <row r="645" ht="15.75" customHeight="1" s="52">
      <c r="B645" s="27" t="n"/>
      <c r="C645" s="10" t="n"/>
      <c r="D645" s="10" t="n"/>
      <c r="E645" s="28" t="n"/>
      <c r="F645" s="10" t="n"/>
      <c r="G645" s="10" t="n"/>
      <c r="H645" s="10" t="n"/>
      <c r="I645" s="9" t="n"/>
      <c r="J645" s="9" t="n"/>
      <c r="K645" s="9" t="n"/>
      <c r="L645" s="9" t="n"/>
      <c r="M645" s="9" t="n"/>
      <c r="N645" s="20" t="n"/>
      <c r="O645" s="20">
        <f>IF(C645="", "", TRIM(RIGHT(C645, LEN(C645) - FIND("@@", SUBSTITUTE(C645, "-", "@@", LEN(C645) - LEN(SUBSTITUTE(C645, "-", "")))))))</f>
        <v/>
      </c>
      <c r="P645" s="20">
        <f t="array" ref="P645">IFERROR(XLOOKUP(O645,'Department Listing'!$O$1:$O$395,'Department Listing'!$A$1:$A$395),IFERROR(XLOOKUP(O645,'Name Aliases'!$A$2:$A$1000,'Name Aliases'!$B$2:$B$1000),""))</f>
        <v/>
      </c>
      <c r="Q645" s="21">
        <f>IF(ISBLANK($C645),"",$B645)</f>
        <v/>
      </c>
      <c r="R645" s="20">
        <f>IF(ISBLANK($C645),"",IF(ISBLANK($I645),$D645,$I645))</f>
        <v/>
      </c>
      <c r="S645" s="22">
        <f>IF(ISBLANK($C645),"",$F645 - $G645)</f>
        <v/>
      </c>
      <c r="T645" s="20">
        <f>IF(ISBLANK($C645),"",C645)</f>
        <v/>
      </c>
      <c r="U645" s="20">
        <f>IF(ISBLANK($C645),"",$D$1)</f>
        <v/>
      </c>
      <c r="V645" s="22">
        <f t="array" ref="V645">IF(ISBLANK($B645),"",IF(ISBLANK($K645),IF(XLOOKUP($W645,'Category Mapping'!$C:$C,'Category Mapping'!$B:$B)="Travel",XLOOKUP($P645,'Department Listing'!$A:$A,'Department Listing'!$M:$M),XLOOKUP($W645,'Category Mapping'!$C:$C,'Category Mapping'!$D:$D)),$K645))</f>
        <v/>
      </c>
      <c r="W645" s="22">
        <f>IF(ISBLANK($B645),"",IF(ISBLANK($L645),RIGHT($E645,LEN($E645) - FIND("^",SUBSTITUTE($E645,":","^",LEN($E645) - LEN(SUBSTITUTE($E645,":",""))))),$L645))</f>
        <v/>
      </c>
      <c r="X645" s="22">
        <f>IF(ISBLANK($J645),$V645&amp;$W645,$J645)</f>
        <v/>
      </c>
      <c r="Y645" s="23">
        <f t="array" ref="Y645">IF(ISBLANK($M645),IFERROR(XLOOKUP($P645,'Department Listing'!$A:$A,'Department Listing'!$L:$L),""),$M645)</f>
        <v/>
      </c>
      <c r="Z645" s="11">
        <f>IF(ISBLANK($B645),"",MATCH($X645,COA!$B:$B,0))</f>
        <v/>
      </c>
    </row>
    <row r="646" ht="15.75" customHeight="1" s="52">
      <c r="B646" s="27" t="n"/>
      <c r="C646" s="10" t="n"/>
      <c r="D646" s="10" t="n"/>
      <c r="E646" s="28" t="n"/>
      <c r="F646" s="10" t="n"/>
      <c r="G646" s="10" t="n"/>
      <c r="H646" s="10" t="n"/>
      <c r="I646" s="9" t="n"/>
      <c r="J646" s="9" t="n"/>
      <c r="K646" s="9" t="n"/>
      <c r="L646" s="9" t="n"/>
      <c r="M646" s="9" t="n"/>
      <c r="N646" s="20" t="n"/>
      <c r="O646" s="20">
        <f>IF(C646="", "", TRIM(RIGHT(C646, LEN(C646) - FIND("@@", SUBSTITUTE(C646, "-", "@@", LEN(C646) - LEN(SUBSTITUTE(C646, "-", "")))))))</f>
        <v/>
      </c>
      <c r="P646" s="20">
        <f t="array" ref="P646">IFERROR(XLOOKUP(O646,'Department Listing'!$O$1:$O$395,'Department Listing'!$A$1:$A$395),IFERROR(XLOOKUP(O646,'Name Aliases'!$A$2:$A$1000,'Name Aliases'!$B$2:$B$1000),""))</f>
        <v/>
      </c>
      <c r="Q646" s="21">
        <f>IF(ISBLANK($C646),"",$B646)</f>
        <v/>
      </c>
      <c r="R646" s="20">
        <f>IF(ISBLANK($C646),"",IF(ISBLANK($I646),$D646,$I646))</f>
        <v/>
      </c>
      <c r="S646" s="22">
        <f>IF(ISBLANK($C646),"",$F646 - $G646)</f>
        <v/>
      </c>
      <c r="T646" s="20">
        <f>IF(ISBLANK($C646),"",C646)</f>
        <v/>
      </c>
      <c r="U646" s="20">
        <f>IF(ISBLANK($C646),"",$D$1)</f>
        <v/>
      </c>
      <c r="V646" s="22">
        <f t="array" ref="V646">IF(ISBLANK($B646),"",IF(ISBLANK($K646),IF(XLOOKUP($W646,'Category Mapping'!$C:$C,'Category Mapping'!$B:$B)="Travel",XLOOKUP($P646,'Department Listing'!$A:$A,'Department Listing'!$M:$M),XLOOKUP($W646,'Category Mapping'!$C:$C,'Category Mapping'!$D:$D)),$K646))</f>
        <v/>
      </c>
      <c r="W646" s="22">
        <f>IF(ISBLANK($B646),"",IF(ISBLANK($L646),RIGHT($E646,LEN($E646) - FIND("^",SUBSTITUTE($E646,":","^",LEN($E646) - LEN(SUBSTITUTE($E646,":",""))))),$L646))</f>
        <v/>
      </c>
      <c r="X646" s="22">
        <f>IF(ISBLANK($J646),$V646&amp;$W646,$J646)</f>
        <v/>
      </c>
      <c r="Y646" s="23">
        <f t="array" ref="Y646">IF(ISBLANK($M646),IFERROR(XLOOKUP($P646,'Department Listing'!$A:$A,'Department Listing'!$L:$L),""),$M646)</f>
        <v/>
      </c>
      <c r="Z646" s="11">
        <f>IF(ISBLANK($B646),"",MATCH($X646,COA!$B:$B,0))</f>
        <v/>
      </c>
    </row>
    <row r="647" ht="15.75" customHeight="1" s="52">
      <c r="B647" s="27" t="n"/>
      <c r="C647" s="10" t="n"/>
      <c r="D647" s="10" t="n"/>
      <c r="E647" s="28" t="n"/>
      <c r="F647" s="10" t="n"/>
      <c r="G647" s="10" t="n"/>
      <c r="H647" s="10" t="n"/>
      <c r="I647" s="9" t="n"/>
      <c r="J647" s="9" t="n"/>
      <c r="K647" s="9" t="n"/>
      <c r="L647" s="9" t="n"/>
      <c r="M647" s="9" t="n"/>
      <c r="N647" s="20" t="n"/>
      <c r="O647" s="20">
        <f>IF(C647="", "", TRIM(RIGHT(C647, LEN(C647) - FIND("@@", SUBSTITUTE(C647, "-", "@@", LEN(C647) - LEN(SUBSTITUTE(C647, "-", "")))))))</f>
        <v/>
      </c>
      <c r="P647" s="20">
        <f t="array" ref="P647">IFERROR(XLOOKUP(O647,'Department Listing'!$O$1:$O$395,'Department Listing'!$A$1:$A$395),IFERROR(XLOOKUP(O647,'Name Aliases'!$A$2:$A$1000,'Name Aliases'!$B$2:$B$1000),""))</f>
        <v/>
      </c>
      <c r="Q647" s="21">
        <f>IF(ISBLANK($C647),"",$B647)</f>
        <v/>
      </c>
      <c r="R647" s="20">
        <f>IF(ISBLANK($C647),"",IF(ISBLANK($I647),$D647,$I647))</f>
        <v/>
      </c>
      <c r="S647" s="22">
        <f>IF(ISBLANK($C647),"",$F647 - $G647)</f>
        <v/>
      </c>
      <c r="T647" s="20">
        <f>IF(ISBLANK($C647),"",C647)</f>
        <v/>
      </c>
      <c r="U647" s="20">
        <f>IF(ISBLANK($C647),"",$D$1)</f>
        <v/>
      </c>
      <c r="V647" s="22">
        <f t="array" ref="V647">IF(ISBLANK($B647),"",IF(ISBLANK($K647),IF(XLOOKUP($W647,'Category Mapping'!$C:$C,'Category Mapping'!$B:$B)="Travel",XLOOKUP($P647,'Department Listing'!$A:$A,'Department Listing'!$M:$M),XLOOKUP($W647,'Category Mapping'!$C:$C,'Category Mapping'!$D:$D)),$K647))</f>
        <v/>
      </c>
      <c r="W647" s="22">
        <f>IF(ISBLANK($B647),"",IF(ISBLANK($L647),RIGHT($E647,LEN($E647) - FIND("^",SUBSTITUTE($E647,":","^",LEN($E647) - LEN(SUBSTITUTE($E647,":",""))))),$L647))</f>
        <v/>
      </c>
      <c r="X647" s="22">
        <f>IF(ISBLANK($J647),$V647&amp;$W647,$J647)</f>
        <v/>
      </c>
      <c r="Y647" s="23">
        <f t="array" ref="Y647">IF(ISBLANK($M647),IFERROR(XLOOKUP($P647,'Department Listing'!$A:$A,'Department Listing'!$L:$L),""),$M647)</f>
        <v/>
      </c>
      <c r="Z647" s="11">
        <f>IF(ISBLANK($B647),"",MATCH($X647,COA!$B:$B,0))</f>
        <v/>
      </c>
    </row>
    <row r="648" ht="15.75" customHeight="1" s="52">
      <c r="B648" s="27" t="n"/>
      <c r="C648" s="10" t="n"/>
      <c r="D648" s="10" t="n"/>
      <c r="E648" s="28" t="n"/>
      <c r="F648" s="10" t="n"/>
      <c r="G648" s="10" t="n"/>
      <c r="H648" s="10" t="n"/>
      <c r="I648" s="9" t="n"/>
      <c r="J648" s="9" t="n"/>
      <c r="K648" s="9" t="n"/>
      <c r="L648" s="9" t="n"/>
      <c r="M648" s="9" t="n"/>
      <c r="N648" s="20" t="n"/>
      <c r="O648" s="20">
        <f>IF(C648="", "", TRIM(RIGHT(C648, LEN(C648) - FIND("@@", SUBSTITUTE(C648, "-", "@@", LEN(C648) - LEN(SUBSTITUTE(C648, "-", "")))))))</f>
        <v/>
      </c>
      <c r="P648" s="20">
        <f t="array" ref="P648">IFERROR(XLOOKUP(O648,'Department Listing'!$O$1:$O$395,'Department Listing'!$A$1:$A$395),IFERROR(XLOOKUP(O648,'Name Aliases'!$A$2:$A$1000,'Name Aliases'!$B$2:$B$1000),""))</f>
        <v/>
      </c>
      <c r="Q648" s="21">
        <f>IF(ISBLANK($C648),"",$B648)</f>
        <v/>
      </c>
      <c r="R648" s="20">
        <f>IF(ISBLANK($C648),"",IF(ISBLANK($I648),$D648,$I648))</f>
        <v/>
      </c>
      <c r="S648" s="22">
        <f>IF(ISBLANK($C648),"",$F648 - $G648)</f>
        <v/>
      </c>
      <c r="T648" s="20">
        <f>IF(ISBLANK($C648),"",C648)</f>
        <v/>
      </c>
      <c r="U648" s="20">
        <f>IF(ISBLANK($C648),"",$D$1)</f>
        <v/>
      </c>
      <c r="V648" s="22">
        <f t="array" ref="V648">IF(ISBLANK($B648),"",IF(ISBLANK($K648),IF(XLOOKUP($W648,'Category Mapping'!$C:$C,'Category Mapping'!$B:$B)="Travel",XLOOKUP($P648,'Department Listing'!$A:$A,'Department Listing'!$M:$M),XLOOKUP($W648,'Category Mapping'!$C:$C,'Category Mapping'!$D:$D)),$K648))</f>
        <v/>
      </c>
      <c r="W648" s="22">
        <f>IF(ISBLANK($B648),"",IF(ISBLANK($L648),RIGHT($E648,LEN($E648) - FIND("^",SUBSTITUTE($E648,":","^",LEN($E648) - LEN(SUBSTITUTE($E648,":",""))))),$L648))</f>
        <v/>
      </c>
      <c r="X648" s="22">
        <f>IF(ISBLANK($J648),$V648&amp;$W648,$J648)</f>
        <v/>
      </c>
      <c r="Y648" s="23">
        <f t="array" ref="Y648">IF(ISBLANK($M648),IFERROR(XLOOKUP($P648,'Department Listing'!$A:$A,'Department Listing'!$L:$L),""),$M648)</f>
        <v/>
      </c>
      <c r="Z648" s="11">
        <f>IF(ISBLANK($B648),"",MATCH($X648,COA!$B:$B,0))</f>
        <v/>
      </c>
    </row>
    <row r="649" ht="15.75" customHeight="1" s="52">
      <c r="B649" s="27" t="n"/>
      <c r="C649" s="10" t="n"/>
      <c r="D649" s="10" t="n"/>
      <c r="E649" s="28" t="n"/>
      <c r="F649" s="10" t="n"/>
      <c r="G649" s="10" t="n"/>
      <c r="H649" s="10" t="n"/>
      <c r="I649" s="9" t="n"/>
      <c r="J649" s="9" t="n"/>
      <c r="K649" s="9" t="n"/>
      <c r="L649" s="9" t="n"/>
      <c r="M649" s="9" t="n"/>
      <c r="N649" s="20" t="n"/>
      <c r="O649" s="20">
        <f>IF(C649="", "", TRIM(RIGHT(C649, LEN(C649) - FIND("@@", SUBSTITUTE(C649, "-", "@@", LEN(C649) - LEN(SUBSTITUTE(C649, "-", "")))))))</f>
        <v/>
      </c>
      <c r="P649" s="20">
        <f t="array" ref="P649">IFERROR(XLOOKUP(O649,'Department Listing'!$O$1:$O$395,'Department Listing'!$A$1:$A$395),IFERROR(XLOOKUP(O649,'Name Aliases'!$A$2:$A$1000,'Name Aliases'!$B$2:$B$1000),""))</f>
        <v/>
      </c>
      <c r="Q649" s="21">
        <f>IF(ISBLANK($C649),"",$B649)</f>
        <v/>
      </c>
      <c r="R649" s="20">
        <f>IF(ISBLANK($C649),"",IF(ISBLANK($I649),$D649,$I649))</f>
        <v/>
      </c>
      <c r="S649" s="22">
        <f>IF(ISBLANK($C649),"",$F649 - $G649)</f>
        <v/>
      </c>
      <c r="T649" s="20">
        <f>IF(ISBLANK($C649),"",C649)</f>
        <v/>
      </c>
      <c r="U649" s="20">
        <f>IF(ISBLANK($C649),"",$D$1)</f>
        <v/>
      </c>
      <c r="V649" s="22">
        <f t="array" ref="V649">IF(ISBLANK($B649),"",IF(ISBLANK($K649),IF(XLOOKUP($W649,'Category Mapping'!$C:$C,'Category Mapping'!$B:$B)="Travel",XLOOKUP($P649,'Department Listing'!$A:$A,'Department Listing'!$M:$M),XLOOKUP($W649,'Category Mapping'!$C:$C,'Category Mapping'!$D:$D)),$K649))</f>
        <v/>
      </c>
      <c r="W649" s="22">
        <f>IF(ISBLANK($B649),"",IF(ISBLANK($L649),RIGHT($E649,LEN($E649) - FIND("^",SUBSTITUTE($E649,":","^",LEN($E649) - LEN(SUBSTITUTE($E649,":",""))))),$L649))</f>
        <v/>
      </c>
      <c r="X649" s="22">
        <f>IF(ISBLANK($J649),$V649&amp;$W649,$J649)</f>
        <v/>
      </c>
      <c r="Y649" s="23">
        <f t="array" ref="Y649">IF(ISBLANK($M649),IFERROR(XLOOKUP($P649,'Department Listing'!$A:$A,'Department Listing'!$L:$L),""),$M649)</f>
        <v/>
      </c>
      <c r="Z649" s="11">
        <f>IF(ISBLANK($B649),"",MATCH($X649,COA!$B:$B,0))</f>
        <v/>
      </c>
    </row>
    <row r="650" ht="15.75" customHeight="1" s="52">
      <c r="B650" s="27" t="n"/>
      <c r="C650" s="10" t="n"/>
      <c r="D650" s="10" t="n"/>
      <c r="E650" s="28" t="n"/>
      <c r="F650" s="10" t="n"/>
      <c r="G650" s="10" t="n"/>
      <c r="H650" s="10" t="n"/>
      <c r="I650" s="9" t="n"/>
      <c r="J650" s="9" t="n"/>
      <c r="K650" s="9" t="n"/>
      <c r="L650" s="9" t="n"/>
      <c r="M650" s="9" t="n"/>
      <c r="N650" s="20" t="n"/>
      <c r="O650" s="20">
        <f>IF(C650="", "", TRIM(RIGHT(C650, LEN(C650) - FIND("@@", SUBSTITUTE(C650, "-", "@@", LEN(C650) - LEN(SUBSTITUTE(C650, "-", "")))))))</f>
        <v/>
      </c>
      <c r="P650" s="20">
        <f t="array" ref="P650">IFERROR(XLOOKUP(O650,'Department Listing'!$O$1:$O$395,'Department Listing'!$A$1:$A$395),IFERROR(XLOOKUP(O650,'Name Aliases'!$A$2:$A$1000,'Name Aliases'!$B$2:$B$1000),""))</f>
        <v/>
      </c>
      <c r="Q650" s="21">
        <f>IF(ISBLANK($C650),"",$B650)</f>
        <v/>
      </c>
      <c r="R650" s="20">
        <f>IF(ISBLANK($C650),"",IF(ISBLANK($I650),$D650,$I650))</f>
        <v/>
      </c>
      <c r="S650" s="22">
        <f>IF(ISBLANK($C650),"",$F650 - $G650)</f>
        <v/>
      </c>
      <c r="T650" s="20">
        <f>IF(ISBLANK($C650),"",C650)</f>
        <v/>
      </c>
      <c r="U650" s="20">
        <f>IF(ISBLANK($C650),"",$D$1)</f>
        <v/>
      </c>
      <c r="V650" s="22">
        <f t="array" ref="V650">IF(ISBLANK($B650),"",IF(ISBLANK($K650),IF(XLOOKUP($W650,'Category Mapping'!$C:$C,'Category Mapping'!$B:$B)="Travel",XLOOKUP($P650,'Department Listing'!$A:$A,'Department Listing'!$M:$M),XLOOKUP($W650,'Category Mapping'!$C:$C,'Category Mapping'!$D:$D)),$K650))</f>
        <v/>
      </c>
      <c r="W650" s="22">
        <f>IF(ISBLANK($B650),"",IF(ISBLANK($L650),RIGHT($E650,LEN($E650) - FIND("^",SUBSTITUTE($E650,":","^",LEN($E650) - LEN(SUBSTITUTE($E650,":",""))))),$L650))</f>
        <v/>
      </c>
      <c r="X650" s="22">
        <f>IF(ISBLANK($J650),$V650&amp;$W650,$J650)</f>
        <v/>
      </c>
      <c r="Y650" s="23">
        <f t="array" ref="Y650">IF(ISBLANK($M650),IFERROR(XLOOKUP($P650,'Department Listing'!$A:$A,'Department Listing'!$L:$L),""),$M650)</f>
        <v/>
      </c>
      <c r="Z650" s="11">
        <f>IF(ISBLANK($B650),"",MATCH($X650,COA!$B:$B,0))</f>
        <v/>
      </c>
    </row>
    <row r="651" ht="15.75" customHeight="1" s="52">
      <c r="B651" s="27" t="n"/>
      <c r="C651" s="10" t="n"/>
      <c r="D651" s="10" t="n"/>
      <c r="E651" s="28" t="n"/>
      <c r="F651" s="10" t="n"/>
      <c r="G651" s="10" t="n"/>
      <c r="H651" s="10" t="n"/>
      <c r="I651" s="9" t="n"/>
      <c r="J651" s="9" t="n"/>
      <c r="K651" s="9" t="n"/>
      <c r="L651" s="9" t="n"/>
      <c r="M651" s="9" t="n"/>
      <c r="N651" s="20" t="n"/>
      <c r="O651" s="20">
        <f>IF(C651="", "", TRIM(RIGHT(C651, LEN(C651) - FIND("@@", SUBSTITUTE(C651, "-", "@@", LEN(C651) - LEN(SUBSTITUTE(C651, "-", "")))))))</f>
        <v/>
      </c>
      <c r="P651" s="20">
        <f t="array" ref="P651">IFERROR(XLOOKUP(O651,'Department Listing'!$O$1:$O$395,'Department Listing'!$A$1:$A$395),IFERROR(XLOOKUP(O651,'Name Aliases'!$A$2:$A$1000,'Name Aliases'!$B$2:$B$1000),""))</f>
        <v/>
      </c>
      <c r="Q651" s="21">
        <f>IF(ISBLANK($C651),"",$B651)</f>
        <v/>
      </c>
      <c r="R651" s="20">
        <f>IF(ISBLANK($C651),"",IF(ISBLANK($I651),$D651,$I651))</f>
        <v/>
      </c>
      <c r="S651" s="22">
        <f>IF(ISBLANK($C651),"",$F651 - $G651)</f>
        <v/>
      </c>
      <c r="T651" s="20">
        <f>IF(ISBLANK($C651),"",C651)</f>
        <v/>
      </c>
      <c r="U651" s="20">
        <f>IF(ISBLANK($C651),"",$D$1)</f>
        <v/>
      </c>
      <c r="V651" s="22">
        <f t="array" ref="V651">IF(ISBLANK($B651),"",IF(ISBLANK($K651),IF(XLOOKUP($W651,'Category Mapping'!$C:$C,'Category Mapping'!$B:$B)="Travel",XLOOKUP($P651,'Department Listing'!$A:$A,'Department Listing'!$M:$M),XLOOKUP($W651,'Category Mapping'!$C:$C,'Category Mapping'!$D:$D)),$K651))</f>
        <v/>
      </c>
      <c r="W651" s="22">
        <f>IF(ISBLANK($B651),"",IF(ISBLANK($L651),RIGHT($E651,LEN($E651) - FIND("^",SUBSTITUTE($E651,":","^",LEN($E651) - LEN(SUBSTITUTE($E651,":",""))))),$L651))</f>
        <v/>
      </c>
      <c r="X651" s="22">
        <f>IF(ISBLANK($J651),$V651&amp;$W651,$J651)</f>
        <v/>
      </c>
      <c r="Y651" s="23">
        <f t="array" ref="Y651">IF(ISBLANK($M651),IFERROR(XLOOKUP($P651,'Department Listing'!$A:$A,'Department Listing'!$L:$L),""),$M651)</f>
        <v/>
      </c>
      <c r="Z651" s="11">
        <f>IF(ISBLANK($B651),"",MATCH($X651,COA!$B:$B,0))</f>
        <v/>
      </c>
    </row>
    <row r="652" ht="15.75" customHeight="1" s="52">
      <c r="B652" s="27" t="n"/>
      <c r="C652" s="10" t="n"/>
      <c r="D652" s="10" t="n"/>
      <c r="E652" s="28" t="n"/>
      <c r="F652" s="10" t="n"/>
      <c r="G652" s="10" t="n"/>
      <c r="H652" s="10" t="n"/>
      <c r="I652" s="9" t="n"/>
      <c r="J652" s="9" t="n"/>
      <c r="K652" s="9" t="n"/>
      <c r="L652" s="9" t="n"/>
      <c r="M652" s="9" t="n"/>
      <c r="N652" s="20" t="n"/>
      <c r="O652" s="20">
        <f>IF(C652="", "", TRIM(RIGHT(C652, LEN(C652) - FIND("@@", SUBSTITUTE(C652, "-", "@@", LEN(C652) - LEN(SUBSTITUTE(C652, "-", "")))))))</f>
        <v/>
      </c>
      <c r="P652" s="20">
        <f t="array" ref="P652">IFERROR(XLOOKUP(O652,'Department Listing'!$O$1:$O$395,'Department Listing'!$A$1:$A$395),IFERROR(XLOOKUP(O652,'Name Aliases'!$A$2:$A$1000,'Name Aliases'!$B$2:$B$1000),""))</f>
        <v/>
      </c>
      <c r="Q652" s="21">
        <f>IF(ISBLANK($C652),"",$B652)</f>
        <v/>
      </c>
      <c r="R652" s="20">
        <f>IF(ISBLANK($C652),"",IF(ISBLANK($I652),$D652,$I652))</f>
        <v/>
      </c>
      <c r="S652" s="22">
        <f>IF(ISBLANK($C652),"",$F652 - $G652)</f>
        <v/>
      </c>
      <c r="T652" s="20">
        <f>IF(ISBLANK($C652),"",C652)</f>
        <v/>
      </c>
      <c r="U652" s="20">
        <f>IF(ISBLANK($C652),"",$D$1)</f>
        <v/>
      </c>
      <c r="V652" s="22">
        <f t="array" ref="V652">IF(ISBLANK($B652),"",IF(ISBLANK($K652),IF(XLOOKUP($W652,'Category Mapping'!$C:$C,'Category Mapping'!$B:$B)="Travel",XLOOKUP($P652,'Department Listing'!$A:$A,'Department Listing'!$M:$M),XLOOKUP($W652,'Category Mapping'!$C:$C,'Category Mapping'!$D:$D)),$K652))</f>
        <v/>
      </c>
      <c r="W652" s="22">
        <f>IF(ISBLANK($B652),"",IF(ISBLANK($L652),RIGHT($E652,LEN($E652) - FIND("^",SUBSTITUTE($E652,":","^",LEN($E652) - LEN(SUBSTITUTE($E652,":",""))))),$L652))</f>
        <v/>
      </c>
      <c r="X652" s="22">
        <f>IF(ISBLANK($J652),$V652&amp;$W652,$J652)</f>
        <v/>
      </c>
      <c r="Y652" s="23">
        <f t="array" ref="Y652">IF(ISBLANK($M652),IFERROR(XLOOKUP($P652,'Department Listing'!$A:$A,'Department Listing'!$L:$L),""),$M652)</f>
        <v/>
      </c>
      <c r="Z652" s="11">
        <f>IF(ISBLANK($B652),"",MATCH($X652,COA!$B:$B,0))</f>
        <v/>
      </c>
    </row>
    <row r="653" ht="15.75" customHeight="1" s="52">
      <c r="B653" s="27" t="n"/>
      <c r="C653" s="10" t="n"/>
      <c r="D653" s="10" t="n"/>
      <c r="E653" s="28" t="n"/>
      <c r="F653" s="10" t="n"/>
      <c r="G653" s="10" t="n"/>
      <c r="H653" s="10" t="n"/>
      <c r="I653" s="9" t="n"/>
      <c r="J653" s="9" t="n"/>
      <c r="K653" s="9" t="n"/>
      <c r="L653" s="9" t="n"/>
      <c r="M653" s="9" t="n"/>
      <c r="N653" s="20" t="n"/>
      <c r="O653" s="20">
        <f>IF(C653="", "", TRIM(RIGHT(C653, LEN(C653) - FIND("@@", SUBSTITUTE(C653, "-", "@@", LEN(C653) - LEN(SUBSTITUTE(C653, "-", "")))))))</f>
        <v/>
      </c>
      <c r="P653" s="20">
        <f t="array" ref="P653">IFERROR(XLOOKUP(O653,'Department Listing'!$O$1:$O$395,'Department Listing'!$A$1:$A$395),IFERROR(XLOOKUP(O653,'Name Aliases'!$A$2:$A$1000,'Name Aliases'!$B$2:$B$1000),""))</f>
        <v/>
      </c>
      <c r="Q653" s="21">
        <f>IF(ISBLANK($C653),"",$B653)</f>
        <v/>
      </c>
      <c r="R653" s="20">
        <f>IF(ISBLANK($C653),"",IF(ISBLANK($I653),$D653,$I653))</f>
        <v/>
      </c>
      <c r="S653" s="22">
        <f>IF(ISBLANK($C653),"",$F653 - $G653)</f>
        <v/>
      </c>
      <c r="T653" s="20">
        <f>IF(ISBLANK($C653),"",C653)</f>
        <v/>
      </c>
      <c r="U653" s="20">
        <f>IF(ISBLANK($C653),"",$D$1)</f>
        <v/>
      </c>
      <c r="V653" s="22">
        <f t="array" ref="V653">IF(ISBLANK($B653),"",IF(ISBLANK($K653),IF(XLOOKUP($W653,'Category Mapping'!$C:$C,'Category Mapping'!$B:$B)="Travel",XLOOKUP($P653,'Department Listing'!$A:$A,'Department Listing'!$M:$M),XLOOKUP($W653,'Category Mapping'!$C:$C,'Category Mapping'!$D:$D)),$K653))</f>
        <v/>
      </c>
      <c r="W653" s="22">
        <f>IF(ISBLANK($B653),"",IF(ISBLANK($L653),RIGHT($E653,LEN($E653) - FIND("^",SUBSTITUTE($E653,":","^",LEN($E653) - LEN(SUBSTITUTE($E653,":",""))))),$L653))</f>
        <v/>
      </c>
      <c r="X653" s="22">
        <f>IF(ISBLANK($J653),$V653&amp;$W653,$J653)</f>
        <v/>
      </c>
      <c r="Y653" s="23">
        <f t="array" ref="Y653">IF(ISBLANK($M653),IFERROR(XLOOKUP($P653,'Department Listing'!$A:$A,'Department Listing'!$L:$L),""),$M653)</f>
        <v/>
      </c>
      <c r="Z653" s="11">
        <f>IF(ISBLANK($B653),"",MATCH($X653,COA!$B:$B,0))</f>
        <v/>
      </c>
    </row>
    <row r="654" ht="15.75" customHeight="1" s="52">
      <c r="B654" s="27" t="n"/>
      <c r="C654" s="10" t="n"/>
      <c r="D654" s="10" t="n"/>
      <c r="E654" s="28" t="n"/>
      <c r="F654" s="10" t="n"/>
      <c r="G654" s="10" t="n"/>
      <c r="H654" s="10" t="n"/>
      <c r="I654" s="9" t="n"/>
      <c r="J654" s="9" t="n"/>
      <c r="K654" s="9" t="n"/>
      <c r="L654" s="9" t="n"/>
      <c r="M654" s="9" t="n"/>
      <c r="N654" s="20" t="n"/>
      <c r="O654" s="20">
        <f>IF(C654="", "", TRIM(RIGHT(C654, LEN(C654) - FIND("@@", SUBSTITUTE(C654, "-", "@@", LEN(C654) - LEN(SUBSTITUTE(C654, "-", "")))))))</f>
        <v/>
      </c>
      <c r="P654" s="20">
        <f t="array" ref="P654">IFERROR(XLOOKUP(O654,'Department Listing'!$O$1:$O$395,'Department Listing'!$A$1:$A$395),IFERROR(XLOOKUP(O654,'Name Aliases'!$A$2:$A$1000,'Name Aliases'!$B$2:$B$1000),""))</f>
        <v/>
      </c>
      <c r="Q654" s="21">
        <f>IF(ISBLANK($C654),"",$B654)</f>
        <v/>
      </c>
      <c r="R654" s="20">
        <f>IF(ISBLANK($C654),"",IF(ISBLANK($I654),$D654,$I654))</f>
        <v/>
      </c>
      <c r="S654" s="22">
        <f>IF(ISBLANK($C654),"",$F654 - $G654)</f>
        <v/>
      </c>
      <c r="T654" s="20">
        <f>IF(ISBLANK($C654),"",C654)</f>
        <v/>
      </c>
      <c r="U654" s="20">
        <f>IF(ISBLANK($C654),"",$D$1)</f>
        <v/>
      </c>
      <c r="V654" s="22">
        <f t="array" ref="V654">IF(ISBLANK($B654),"",IF(ISBLANK($K654),IF(XLOOKUP($W654,'Category Mapping'!$C:$C,'Category Mapping'!$B:$B)="Travel",XLOOKUP($P654,'Department Listing'!$A:$A,'Department Listing'!$M:$M),XLOOKUP($W654,'Category Mapping'!$C:$C,'Category Mapping'!$D:$D)),$K654))</f>
        <v/>
      </c>
      <c r="W654" s="22">
        <f>IF(ISBLANK($B654),"",IF(ISBLANK($L654),RIGHT($E654,LEN($E654) - FIND("^",SUBSTITUTE($E654,":","^",LEN($E654) - LEN(SUBSTITUTE($E654,":",""))))),$L654))</f>
        <v/>
      </c>
      <c r="X654" s="22">
        <f>IF(ISBLANK($J654),$V654&amp;$W654,$J654)</f>
        <v/>
      </c>
      <c r="Y654" s="23">
        <f t="array" ref="Y654">IF(ISBLANK($M654),IFERROR(XLOOKUP($P654,'Department Listing'!$A:$A,'Department Listing'!$L:$L),""),$M654)</f>
        <v/>
      </c>
      <c r="Z654" s="11">
        <f>IF(ISBLANK($B654),"",MATCH($X654,COA!$B:$B,0))</f>
        <v/>
      </c>
    </row>
    <row r="655" ht="15.75" customHeight="1" s="52">
      <c r="B655" s="27" t="n"/>
      <c r="C655" s="10" t="n"/>
      <c r="D655" s="10" t="n"/>
      <c r="E655" s="28" t="n"/>
      <c r="F655" s="10" t="n"/>
      <c r="G655" s="10" t="n"/>
      <c r="H655" s="10" t="n"/>
      <c r="I655" s="9" t="n"/>
      <c r="J655" s="9" t="n"/>
      <c r="K655" s="9" t="n"/>
      <c r="L655" s="9" t="n"/>
      <c r="M655" s="9" t="n"/>
      <c r="N655" s="20" t="n"/>
      <c r="O655" s="20">
        <f>IF(C655="", "", TRIM(RIGHT(C655, LEN(C655) - FIND("@@", SUBSTITUTE(C655, "-", "@@", LEN(C655) - LEN(SUBSTITUTE(C655, "-", "")))))))</f>
        <v/>
      </c>
      <c r="P655" s="20">
        <f t="array" ref="P655">IFERROR(XLOOKUP(O655,'Department Listing'!$O$1:$O$395,'Department Listing'!$A$1:$A$395),IFERROR(XLOOKUP(O655,'Name Aliases'!$A$2:$A$1000,'Name Aliases'!$B$2:$B$1000),""))</f>
        <v/>
      </c>
      <c r="Q655" s="21">
        <f>IF(ISBLANK($C655),"",$B655)</f>
        <v/>
      </c>
      <c r="R655" s="20">
        <f>IF(ISBLANK($C655),"",IF(ISBLANK($I655),$D655,$I655))</f>
        <v/>
      </c>
      <c r="S655" s="22">
        <f>IF(ISBLANK($C655),"",$F655 - $G655)</f>
        <v/>
      </c>
      <c r="T655" s="20">
        <f>IF(ISBLANK($C655),"",C655)</f>
        <v/>
      </c>
      <c r="U655" s="20">
        <f>IF(ISBLANK($C655),"",$D$1)</f>
        <v/>
      </c>
      <c r="V655" s="22">
        <f t="array" ref="V655">IF(ISBLANK($B655),"",IF(ISBLANK($K655),IF(XLOOKUP($W655,'Category Mapping'!$C:$C,'Category Mapping'!$B:$B)="Travel",XLOOKUP($P655,'Department Listing'!$A:$A,'Department Listing'!$M:$M),XLOOKUP($W655,'Category Mapping'!$C:$C,'Category Mapping'!$D:$D)),$K655))</f>
        <v/>
      </c>
      <c r="W655" s="22">
        <f>IF(ISBLANK($B655),"",IF(ISBLANK($L655),RIGHT($E655,LEN($E655) - FIND("^",SUBSTITUTE($E655,":","^",LEN($E655) - LEN(SUBSTITUTE($E655,":",""))))),$L655))</f>
        <v/>
      </c>
      <c r="X655" s="22">
        <f>IF(ISBLANK($J655),$V655&amp;$W655,$J655)</f>
        <v/>
      </c>
      <c r="Y655" s="23">
        <f t="array" ref="Y655">IF(ISBLANK($M655),IFERROR(XLOOKUP($P655,'Department Listing'!$A:$A,'Department Listing'!$L:$L),""),$M655)</f>
        <v/>
      </c>
      <c r="Z655" s="11">
        <f>IF(ISBLANK($B655),"",MATCH($X655,COA!$B:$B,0))</f>
        <v/>
      </c>
    </row>
    <row r="656" ht="15.75" customHeight="1" s="52">
      <c r="B656" s="27" t="n"/>
      <c r="C656" s="10" t="n"/>
      <c r="D656" s="10" t="n"/>
      <c r="E656" s="28" t="n"/>
      <c r="F656" s="10" t="n"/>
      <c r="G656" s="10" t="n"/>
      <c r="H656" s="10" t="n"/>
      <c r="I656" s="9" t="n"/>
      <c r="J656" s="9" t="n"/>
      <c r="K656" s="9" t="n"/>
      <c r="L656" s="9" t="n"/>
      <c r="M656" s="9" t="n"/>
      <c r="N656" s="20" t="n"/>
      <c r="O656" s="20">
        <f>IF(C656="", "", TRIM(RIGHT(C656, LEN(C656) - FIND("@@", SUBSTITUTE(C656, "-", "@@", LEN(C656) - LEN(SUBSTITUTE(C656, "-", "")))))))</f>
        <v/>
      </c>
      <c r="P656" s="20">
        <f t="array" ref="P656">IFERROR(XLOOKUP(O656,'Department Listing'!$O$1:$O$395,'Department Listing'!$A$1:$A$395),IFERROR(XLOOKUP(O656,'Name Aliases'!$A$2:$A$1000,'Name Aliases'!$B$2:$B$1000),""))</f>
        <v/>
      </c>
      <c r="Q656" s="21">
        <f>IF(ISBLANK($C656),"",$B656)</f>
        <v/>
      </c>
      <c r="R656" s="20">
        <f>IF(ISBLANK($C656),"",IF(ISBLANK($I656),$D656,$I656))</f>
        <v/>
      </c>
      <c r="S656" s="22">
        <f>IF(ISBLANK($C656),"",$F656 - $G656)</f>
        <v/>
      </c>
      <c r="T656" s="20">
        <f>IF(ISBLANK($C656),"",C656)</f>
        <v/>
      </c>
      <c r="U656" s="20">
        <f>IF(ISBLANK($C656),"",$D$1)</f>
        <v/>
      </c>
      <c r="V656" s="22">
        <f t="array" ref="V656">IF(ISBLANK($B656),"",IF(ISBLANK($K656),IF(XLOOKUP($W656,'Category Mapping'!$C:$C,'Category Mapping'!$B:$B)="Travel",XLOOKUP($P656,'Department Listing'!$A:$A,'Department Listing'!$M:$M),XLOOKUP($W656,'Category Mapping'!$C:$C,'Category Mapping'!$D:$D)),$K656))</f>
        <v/>
      </c>
      <c r="W656" s="22">
        <f>IF(ISBLANK($B656),"",IF(ISBLANK($L656),RIGHT($E656,LEN($E656) - FIND("^",SUBSTITUTE($E656,":","^",LEN($E656) - LEN(SUBSTITUTE($E656,":",""))))),$L656))</f>
        <v/>
      </c>
      <c r="X656" s="22">
        <f>IF(ISBLANK($J656),$V656&amp;$W656,$J656)</f>
        <v/>
      </c>
      <c r="Y656" s="23">
        <f t="array" ref="Y656">IF(ISBLANK($M656),IFERROR(XLOOKUP($P656,'Department Listing'!$A:$A,'Department Listing'!$L:$L),""),$M656)</f>
        <v/>
      </c>
      <c r="Z656" s="11">
        <f>IF(ISBLANK($B656),"",MATCH($X656,COA!$B:$B,0))</f>
        <v/>
      </c>
    </row>
    <row r="657" ht="15.75" customHeight="1" s="52">
      <c r="B657" s="27" t="n"/>
      <c r="C657" s="10" t="n"/>
      <c r="D657" s="10" t="n"/>
      <c r="E657" s="28" t="n"/>
      <c r="F657" s="10" t="n"/>
      <c r="G657" s="10" t="n"/>
      <c r="H657" s="10" t="n"/>
      <c r="I657" s="9" t="n"/>
      <c r="J657" s="9" t="n"/>
      <c r="K657" s="9" t="n"/>
      <c r="L657" s="9" t="n"/>
      <c r="M657" s="9" t="n"/>
      <c r="N657" s="20" t="n"/>
      <c r="O657" s="20">
        <f>IF(C657="", "", TRIM(RIGHT(C657, LEN(C657) - FIND("@@", SUBSTITUTE(C657, "-", "@@", LEN(C657) - LEN(SUBSTITUTE(C657, "-", "")))))))</f>
        <v/>
      </c>
      <c r="P657" s="20">
        <f t="array" ref="P657">IFERROR(XLOOKUP(O657,'Department Listing'!$O$1:$O$395,'Department Listing'!$A$1:$A$395),IFERROR(XLOOKUP(O657,'Name Aliases'!$A$2:$A$1000,'Name Aliases'!$B$2:$B$1000),""))</f>
        <v/>
      </c>
      <c r="Q657" s="21">
        <f>IF(ISBLANK($C657),"",$B657)</f>
        <v/>
      </c>
      <c r="R657" s="20">
        <f>IF(ISBLANK($C657),"",IF(ISBLANK($I657),$D657,$I657))</f>
        <v/>
      </c>
      <c r="S657" s="22">
        <f>IF(ISBLANK($C657),"",$F657 - $G657)</f>
        <v/>
      </c>
      <c r="T657" s="20">
        <f>IF(ISBLANK($C657),"",C657)</f>
        <v/>
      </c>
      <c r="U657" s="20">
        <f>IF(ISBLANK($C657),"",$D$1)</f>
        <v/>
      </c>
      <c r="V657" s="22">
        <f t="array" ref="V657">IF(ISBLANK($B657),"",IF(ISBLANK($K657),IF(XLOOKUP($W657,'Category Mapping'!$C:$C,'Category Mapping'!$B:$B)="Travel",XLOOKUP($P657,'Department Listing'!$A:$A,'Department Listing'!$M:$M),XLOOKUP($W657,'Category Mapping'!$C:$C,'Category Mapping'!$D:$D)),$K657))</f>
        <v/>
      </c>
      <c r="W657" s="22">
        <f>IF(ISBLANK($B657),"",IF(ISBLANK($L657),RIGHT($E657,LEN($E657) - FIND("^",SUBSTITUTE($E657,":","^",LEN($E657) - LEN(SUBSTITUTE($E657,":",""))))),$L657))</f>
        <v/>
      </c>
      <c r="X657" s="22">
        <f>IF(ISBLANK($J657),$V657&amp;$W657,$J657)</f>
        <v/>
      </c>
      <c r="Y657" s="23">
        <f t="array" ref="Y657">IF(ISBLANK($M657),IFERROR(XLOOKUP($P657,'Department Listing'!$A:$A,'Department Listing'!$L:$L),""),$M657)</f>
        <v/>
      </c>
      <c r="Z657" s="11">
        <f>IF(ISBLANK($B657),"",MATCH($X657,COA!$B:$B,0))</f>
        <v/>
      </c>
    </row>
    <row r="658" ht="15.75" customHeight="1" s="52">
      <c r="B658" s="27" t="n"/>
      <c r="C658" s="10" t="n"/>
      <c r="D658" s="10" t="n"/>
      <c r="E658" s="28" t="n"/>
      <c r="F658" s="10" t="n"/>
      <c r="G658" s="10" t="n"/>
      <c r="H658" s="10" t="n"/>
      <c r="I658" s="9" t="n"/>
      <c r="J658" s="9" t="n"/>
      <c r="K658" s="9" t="n"/>
      <c r="L658" s="9" t="n"/>
      <c r="M658" s="9" t="n"/>
      <c r="N658" s="20" t="n"/>
      <c r="O658" s="20">
        <f>IF(C658="", "", TRIM(RIGHT(C658, LEN(C658) - FIND("@@", SUBSTITUTE(C658, "-", "@@", LEN(C658) - LEN(SUBSTITUTE(C658, "-", "")))))))</f>
        <v/>
      </c>
      <c r="P658" s="20">
        <f t="array" ref="P658">IFERROR(XLOOKUP(O658,'Department Listing'!$O$1:$O$395,'Department Listing'!$A$1:$A$395),IFERROR(XLOOKUP(O658,'Name Aliases'!$A$2:$A$1000,'Name Aliases'!$B$2:$B$1000),""))</f>
        <v/>
      </c>
      <c r="Q658" s="21">
        <f>IF(ISBLANK($C658),"",$B658)</f>
        <v/>
      </c>
      <c r="R658" s="20">
        <f>IF(ISBLANK($C658),"",IF(ISBLANK($I658),$D658,$I658))</f>
        <v/>
      </c>
      <c r="S658" s="22">
        <f>IF(ISBLANK($C658),"",$F658 - $G658)</f>
        <v/>
      </c>
      <c r="T658" s="20">
        <f>IF(ISBLANK($C658),"",C658)</f>
        <v/>
      </c>
      <c r="U658" s="20">
        <f>IF(ISBLANK($C658),"",$D$1)</f>
        <v/>
      </c>
      <c r="V658" s="22">
        <f t="array" ref="V658">IF(ISBLANK($B658),"",IF(ISBLANK($K658),IF(XLOOKUP($W658,'Category Mapping'!$C:$C,'Category Mapping'!$B:$B)="Travel",XLOOKUP($P658,'Department Listing'!$A:$A,'Department Listing'!$M:$M),XLOOKUP($W658,'Category Mapping'!$C:$C,'Category Mapping'!$D:$D)),$K658))</f>
        <v/>
      </c>
      <c r="W658" s="22">
        <f>IF(ISBLANK($B658),"",IF(ISBLANK($L658),RIGHT($E658,LEN($E658) - FIND("^",SUBSTITUTE($E658,":","^",LEN($E658) - LEN(SUBSTITUTE($E658,":",""))))),$L658))</f>
        <v/>
      </c>
      <c r="X658" s="22">
        <f>IF(ISBLANK($J658),$V658&amp;$W658,$J658)</f>
        <v/>
      </c>
      <c r="Y658" s="23">
        <f t="array" ref="Y658">IF(ISBLANK($M658),IFERROR(XLOOKUP($P658,'Department Listing'!$A:$A,'Department Listing'!$L:$L),""),$M658)</f>
        <v/>
      </c>
      <c r="Z658" s="11">
        <f>IF(ISBLANK($B658),"",MATCH($X658,COA!$B:$B,0))</f>
        <v/>
      </c>
    </row>
    <row r="659" ht="15.75" customHeight="1" s="52">
      <c r="B659" s="27" t="n"/>
      <c r="C659" s="10" t="n"/>
      <c r="D659" s="10" t="n"/>
      <c r="E659" s="28" t="n"/>
      <c r="F659" s="10" t="n"/>
      <c r="G659" s="10" t="n"/>
      <c r="H659" s="10" t="n"/>
      <c r="I659" s="9" t="n"/>
      <c r="J659" s="9" t="n"/>
      <c r="K659" s="9" t="n"/>
      <c r="L659" s="9" t="n"/>
      <c r="M659" s="9" t="n"/>
      <c r="N659" s="20" t="n"/>
      <c r="O659" s="20">
        <f>IF(C659="", "", TRIM(RIGHT(C659, LEN(C659) - FIND("@@", SUBSTITUTE(C659, "-", "@@", LEN(C659) - LEN(SUBSTITUTE(C659, "-", "")))))))</f>
        <v/>
      </c>
      <c r="P659" s="20">
        <f t="array" ref="P659">IFERROR(XLOOKUP(O659,'Department Listing'!$O$1:$O$395,'Department Listing'!$A$1:$A$395),IFERROR(XLOOKUP(O659,'Name Aliases'!$A$2:$A$1000,'Name Aliases'!$B$2:$B$1000),""))</f>
        <v/>
      </c>
      <c r="Q659" s="21">
        <f>IF(ISBLANK($C659),"",$B659)</f>
        <v/>
      </c>
      <c r="R659" s="20">
        <f>IF(ISBLANK($C659),"",IF(ISBLANK($I659),$D659,$I659))</f>
        <v/>
      </c>
      <c r="S659" s="22">
        <f>IF(ISBLANK($C659),"",$F659 - $G659)</f>
        <v/>
      </c>
      <c r="T659" s="20">
        <f>IF(ISBLANK($C659),"",C659)</f>
        <v/>
      </c>
      <c r="U659" s="20">
        <f>IF(ISBLANK($C659),"",$D$1)</f>
        <v/>
      </c>
      <c r="V659" s="22">
        <f t="array" ref="V659">IF(ISBLANK($B659),"",IF(ISBLANK($K659),IF(XLOOKUP($W659,'Category Mapping'!$C:$C,'Category Mapping'!$B:$B)="Travel",XLOOKUP($P659,'Department Listing'!$A:$A,'Department Listing'!$M:$M),XLOOKUP($W659,'Category Mapping'!$C:$C,'Category Mapping'!$D:$D)),$K659))</f>
        <v/>
      </c>
      <c r="W659" s="22">
        <f>IF(ISBLANK($B659),"",IF(ISBLANK($L659),RIGHT($E659,LEN($E659) - FIND("^",SUBSTITUTE($E659,":","^",LEN($E659) - LEN(SUBSTITUTE($E659,":",""))))),$L659))</f>
        <v/>
      </c>
      <c r="X659" s="22">
        <f>IF(ISBLANK($J659),$V659&amp;$W659,$J659)</f>
        <v/>
      </c>
      <c r="Y659" s="23">
        <f t="array" ref="Y659">IF(ISBLANK($M659),IFERROR(XLOOKUP($P659,'Department Listing'!$A:$A,'Department Listing'!$L:$L),""),$M659)</f>
        <v/>
      </c>
      <c r="Z659" s="11">
        <f>IF(ISBLANK($B659),"",MATCH($X659,COA!$B:$B,0))</f>
        <v/>
      </c>
    </row>
    <row r="660" ht="15.75" customHeight="1" s="52">
      <c r="E660" s="26" t="n"/>
    </row>
    <row r="661" ht="15.75" customHeight="1" s="52">
      <c r="E661" s="26" t="n"/>
    </row>
    <row r="662" ht="15.75" customHeight="1" s="52">
      <c r="E662" s="26" t="n"/>
    </row>
    <row r="663" ht="15.75" customHeight="1" s="52">
      <c r="E663" s="26" t="n"/>
    </row>
    <row r="664" ht="15.75" customHeight="1" s="52">
      <c r="E664" s="26" t="n"/>
    </row>
    <row r="665" ht="15.75" customHeight="1" s="52">
      <c r="E665" s="26" t="n"/>
    </row>
    <row r="666" ht="15.75" customHeight="1" s="52">
      <c r="E666" s="26" t="n"/>
    </row>
    <row r="667" ht="15.75" customHeight="1" s="52">
      <c r="E667" s="26" t="n"/>
    </row>
    <row r="668" ht="15.75" customHeight="1" s="52">
      <c r="E668" s="26" t="n"/>
    </row>
    <row r="669" ht="15.75" customHeight="1" s="52">
      <c r="E669" s="26" t="n"/>
    </row>
    <row r="670" ht="15.75" customHeight="1" s="52">
      <c r="E670" s="26" t="n"/>
    </row>
    <row r="671" ht="15.75" customHeight="1" s="52">
      <c r="E671" s="26" t="n"/>
    </row>
    <row r="672" ht="15.75" customHeight="1" s="52">
      <c r="E672" s="26" t="n"/>
    </row>
    <row r="673" ht="15.75" customHeight="1" s="52">
      <c r="E673" s="26" t="n"/>
    </row>
    <row r="674" ht="15.75" customHeight="1" s="52">
      <c r="E674" s="26" t="n"/>
    </row>
    <row r="675" ht="15.75" customHeight="1" s="52">
      <c r="E675" s="26" t="n"/>
    </row>
    <row r="676" ht="15.75" customHeight="1" s="52">
      <c r="E676" s="26" t="n"/>
    </row>
    <row r="677" ht="15.75" customHeight="1" s="52">
      <c r="E677" s="26" t="n"/>
    </row>
    <row r="678" ht="15.75" customHeight="1" s="52">
      <c r="E678" s="26" t="n"/>
    </row>
    <row r="679" ht="15.75" customHeight="1" s="52">
      <c r="E679" s="26" t="n"/>
    </row>
    <row r="680" ht="15.75" customHeight="1" s="52">
      <c r="E680" s="26" t="n"/>
    </row>
    <row r="681" ht="15.75" customHeight="1" s="52">
      <c r="E681" s="26" t="n"/>
    </row>
    <row r="682" ht="15.75" customHeight="1" s="52">
      <c r="E682" s="26" t="n"/>
    </row>
    <row r="683" ht="15.75" customHeight="1" s="52">
      <c r="E683" s="26" t="n"/>
    </row>
    <row r="684" ht="15.75" customHeight="1" s="52">
      <c r="E684" s="26" t="n"/>
    </row>
    <row r="685" ht="15.75" customHeight="1" s="52">
      <c r="E685" s="26" t="n"/>
    </row>
    <row r="686" ht="15.75" customHeight="1" s="52">
      <c r="E686" s="26" t="n"/>
    </row>
    <row r="687" ht="15.75" customHeight="1" s="52">
      <c r="E687" s="26" t="n"/>
    </row>
    <row r="688" ht="15.75" customHeight="1" s="52">
      <c r="E688" s="26" t="n"/>
    </row>
    <row r="689" ht="15.75" customHeight="1" s="52">
      <c r="E689" s="26" t="n"/>
    </row>
    <row r="690" ht="15.75" customHeight="1" s="52">
      <c r="E690" s="26" t="n"/>
    </row>
    <row r="691" ht="15.75" customHeight="1" s="52">
      <c r="E691" s="26" t="n"/>
    </row>
    <row r="692" ht="15.75" customHeight="1" s="52">
      <c r="E692" s="26" t="n"/>
    </row>
    <row r="693" ht="15.75" customHeight="1" s="52">
      <c r="E693" s="26" t="n"/>
    </row>
    <row r="694" ht="15.75" customHeight="1" s="52">
      <c r="E694" s="26" t="n"/>
    </row>
    <row r="695" ht="15.75" customHeight="1" s="52">
      <c r="E695" s="26" t="n"/>
    </row>
    <row r="696" ht="15.75" customHeight="1" s="52">
      <c r="E696" s="26" t="n"/>
    </row>
    <row r="697" ht="15.75" customHeight="1" s="52">
      <c r="E697" s="26" t="n"/>
    </row>
    <row r="698" ht="15.75" customHeight="1" s="52">
      <c r="E698" s="26" t="n"/>
    </row>
    <row r="699" ht="15.75" customHeight="1" s="52">
      <c r="E699" s="26" t="n"/>
    </row>
    <row r="700" ht="15.75" customHeight="1" s="52">
      <c r="E700" s="26" t="n"/>
    </row>
    <row r="701" ht="15.75" customHeight="1" s="52">
      <c r="E701" s="26" t="n"/>
    </row>
    <row r="702" ht="15.75" customHeight="1" s="52">
      <c r="E702" s="26" t="n"/>
    </row>
    <row r="703" ht="15.75" customHeight="1" s="52">
      <c r="E703" s="26" t="n"/>
    </row>
    <row r="704" ht="15.75" customHeight="1" s="52">
      <c r="E704" s="26" t="n"/>
    </row>
    <row r="705" ht="15.75" customHeight="1" s="52">
      <c r="E705" s="26" t="n"/>
    </row>
    <row r="706" ht="15.75" customHeight="1" s="52">
      <c r="E706" s="26" t="n"/>
    </row>
    <row r="707" ht="15.75" customHeight="1" s="52">
      <c r="E707" s="26" t="n"/>
    </row>
    <row r="708" ht="15.75" customHeight="1" s="52">
      <c r="E708" s="26" t="n"/>
    </row>
    <row r="709" ht="15.75" customHeight="1" s="52">
      <c r="E709" s="26" t="n"/>
    </row>
    <row r="710" ht="15.75" customHeight="1" s="52">
      <c r="E710" s="26" t="n"/>
    </row>
    <row r="711" ht="15.75" customHeight="1" s="52">
      <c r="E711" s="26" t="n"/>
    </row>
    <row r="712" ht="15.75" customHeight="1" s="52">
      <c r="E712" s="26" t="n"/>
    </row>
    <row r="713" ht="15.75" customHeight="1" s="52">
      <c r="E713" s="26" t="n"/>
    </row>
    <row r="714" ht="15.75" customHeight="1" s="52">
      <c r="E714" s="26" t="n"/>
    </row>
    <row r="715" ht="15.75" customHeight="1" s="52">
      <c r="E715" s="26" t="n"/>
    </row>
    <row r="716" ht="15.75" customHeight="1" s="52">
      <c r="E716" s="26" t="n"/>
    </row>
    <row r="717" ht="15.75" customHeight="1" s="52">
      <c r="E717" s="26" t="n"/>
    </row>
    <row r="718" ht="15.75" customHeight="1" s="52">
      <c r="E718" s="26" t="n"/>
    </row>
    <row r="719" ht="15.75" customHeight="1" s="52">
      <c r="E719" s="26" t="n"/>
    </row>
    <row r="720" ht="15.75" customHeight="1" s="52">
      <c r="E720" s="26" t="n"/>
    </row>
    <row r="721" ht="15.75" customHeight="1" s="52">
      <c r="E721" s="26" t="n"/>
    </row>
    <row r="722" ht="15.75" customHeight="1" s="52">
      <c r="E722" s="26" t="n"/>
    </row>
    <row r="723" ht="15.75" customHeight="1" s="52">
      <c r="E723" s="26" t="n"/>
    </row>
    <row r="724" ht="15.75" customHeight="1" s="52">
      <c r="E724" s="26" t="n"/>
    </row>
    <row r="725" ht="15.75" customHeight="1" s="52">
      <c r="E725" s="26" t="n"/>
    </row>
    <row r="726" ht="15.75" customHeight="1" s="52">
      <c r="E726" s="26" t="n"/>
    </row>
    <row r="727" ht="15.75" customHeight="1" s="52">
      <c r="E727" s="26" t="n"/>
    </row>
    <row r="728" ht="15.75" customHeight="1" s="52">
      <c r="E728" s="26" t="n"/>
    </row>
    <row r="729" ht="15.75" customHeight="1" s="52">
      <c r="E729" s="26" t="n"/>
    </row>
    <row r="730" ht="15.75" customHeight="1" s="52">
      <c r="E730" s="26" t="n"/>
    </row>
    <row r="731" ht="15.75" customHeight="1" s="52">
      <c r="E731" s="26" t="n"/>
    </row>
    <row r="732" ht="15.75" customHeight="1" s="52">
      <c r="E732" s="26" t="n"/>
    </row>
    <row r="733" ht="15.75" customHeight="1" s="52">
      <c r="E733" s="26" t="n"/>
    </row>
    <row r="734" ht="15.75" customHeight="1" s="52">
      <c r="E734" s="26" t="n"/>
    </row>
    <row r="735" ht="15.75" customHeight="1" s="52">
      <c r="E735" s="26" t="n"/>
    </row>
    <row r="736" ht="15.75" customHeight="1" s="52">
      <c r="E736" s="26" t="n"/>
    </row>
    <row r="737" ht="15.75" customHeight="1" s="52">
      <c r="E737" s="26" t="n"/>
    </row>
    <row r="738" ht="15.75" customHeight="1" s="52">
      <c r="E738" s="26" t="n"/>
    </row>
    <row r="739" ht="15.75" customHeight="1" s="52">
      <c r="E739" s="26" t="n"/>
    </row>
    <row r="740" ht="15.75" customHeight="1" s="52">
      <c r="E740" s="26" t="n"/>
    </row>
    <row r="741" ht="15.75" customHeight="1" s="52">
      <c r="E741" s="26" t="n"/>
    </row>
    <row r="742" ht="15.75" customHeight="1" s="52">
      <c r="E742" s="26" t="n"/>
    </row>
    <row r="743" ht="15.75" customHeight="1" s="52">
      <c r="E743" s="26" t="n"/>
    </row>
    <row r="744" ht="15.75" customHeight="1" s="52">
      <c r="E744" s="26" t="n"/>
    </row>
    <row r="745" ht="15.75" customHeight="1" s="52">
      <c r="E745" s="26" t="n"/>
    </row>
    <row r="746" ht="15.75" customHeight="1" s="52">
      <c r="E746" s="26" t="n"/>
    </row>
    <row r="747" ht="15.75" customHeight="1" s="52">
      <c r="E747" s="26" t="n"/>
    </row>
    <row r="748" ht="15.75" customHeight="1" s="52">
      <c r="E748" s="26" t="n"/>
    </row>
    <row r="749" ht="15.75" customHeight="1" s="52">
      <c r="E749" s="26" t="n"/>
    </row>
    <row r="750" ht="15.75" customHeight="1" s="52">
      <c r="E750" s="26" t="n"/>
    </row>
    <row r="751" ht="15.75" customHeight="1" s="52">
      <c r="E751" s="26" t="n"/>
    </row>
    <row r="752" ht="15.75" customHeight="1" s="52">
      <c r="E752" s="26" t="n"/>
    </row>
    <row r="753" ht="15.75" customHeight="1" s="52">
      <c r="E753" s="26" t="n"/>
    </row>
    <row r="754" ht="15.75" customHeight="1" s="52">
      <c r="E754" s="26" t="n"/>
    </row>
    <row r="755" ht="15.75" customHeight="1" s="52">
      <c r="E755" s="26" t="n"/>
    </row>
    <row r="756" ht="15.75" customHeight="1" s="52">
      <c r="E756" s="26" t="n"/>
    </row>
    <row r="757" ht="15.75" customHeight="1" s="52">
      <c r="E757" s="26" t="n"/>
    </row>
    <row r="758" ht="15.75" customHeight="1" s="52">
      <c r="E758" s="26" t="n"/>
    </row>
    <row r="759" ht="15.75" customHeight="1" s="52">
      <c r="E759" s="26" t="n"/>
    </row>
    <row r="760" ht="15.75" customHeight="1" s="52">
      <c r="E760" s="26" t="n"/>
    </row>
    <row r="761" ht="15.75" customHeight="1" s="52">
      <c r="E761" s="26" t="n"/>
    </row>
    <row r="762" ht="15.75" customHeight="1" s="52">
      <c r="E762" s="26" t="n"/>
    </row>
    <row r="763" ht="15.75" customHeight="1" s="52">
      <c r="E763" s="26" t="n"/>
    </row>
    <row r="764" ht="15.75" customHeight="1" s="52">
      <c r="E764" s="26" t="n"/>
    </row>
    <row r="765" ht="15.75" customHeight="1" s="52">
      <c r="E765" s="26" t="n"/>
    </row>
    <row r="766" ht="15.75" customHeight="1" s="52">
      <c r="E766" s="26" t="n"/>
    </row>
    <row r="767" ht="15.75" customHeight="1" s="52">
      <c r="E767" s="26" t="n"/>
    </row>
    <row r="768" ht="15.75" customHeight="1" s="52">
      <c r="E768" s="26" t="n"/>
    </row>
    <row r="769" ht="15.75" customHeight="1" s="52">
      <c r="E769" s="26" t="n"/>
    </row>
    <row r="770" ht="15.75" customHeight="1" s="52">
      <c r="E770" s="26" t="n"/>
    </row>
    <row r="771" ht="15.75" customHeight="1" s="52">
      <c r="E771" s="26" t="n"/>
    </row>
    <row r="772" ht="15.75" customHeight="1" s="52">
      <c r="E772" s="26" t="n"/>
    </row>
    <row r="773" ht="15.75" customHeight="1" s="52">
      <c r="E773" s="26" t="n"/>
    </row>
    <row r="774" ht="15.75" customHeight="1" s="52">
      <c r="E774" s="26" t="n"/>
    </row>
    <row r="775" ht="15.75" customHeight="1" s="52">
      <c r="E775" s="26" t="n"/>
    </row>
    <row r="776" ht="15.75" customHeight="1" s="52">
      <c r="E776" s="26" t="n"/>
    </row>
    <row r="777" ht="15.75" customHeight="1" s="52">
      <c r="E777" s="26" t="n"/>
    </row>
    <row r="778" ht="15.75" customHeight="1" s="52">
      <c r="E778" s="26" t="n"/>
    </row>
    <row r="779" ht="15.75" customHeight="1" s="52">
      <c r="E779" s="26" t="n"/>
    </row>
    <row r="780" ht="15.75" customHeight="1" s="52">
      <c r="E780" s="26" t="n"/>
    </row>
    <row r="781" ht="15.75" customHeight="1" s="52">
      <c r="E781" s="26" t="n"/>
    </row>
    <row r="782" ht="15.75" customHeight="1" s="52">
      <c r="E782" s="26" t="n"/>
    </row>
    <row r="783" ht="15.75" customHeight="1" s="52">
      <c r="E783" s="26" t="n"/>
    </row>
    <row r="784" ht="15.75" customHeight="1" s="52">
      <c r="E784" s="26" t="n"/>
    </row>
    <row r="785" ht="15.75" customHeight="1" s="52">
      <c r="E785" s="26" t="n"/>
    </row>
    <row r="786" ht="15.75" customHeight="1" s="52">
      <c r="E786" s="26" t="n"/>
    </row>
    <row r="787" ht="15.75" customHeight="1" s="52">
      <c r="E787" s="26" t="n"/>
    </row>
    <row r="788" ht="15.75" customHeight="1" s="52">
      <c r="E788" s="26" t="n"/>
    </row>
    <row r="789" ht="15.75" customHeight="1" s="52">
      <c r="E789" s="26" t="n"/>
    </row>
    <row r="790" ht="15.75" customHeight="1" s="52">
      <c r="E790" s="26" t="n"/>
    </row>
    <row r="791" ht="15.75" customHeight="1" s="52">
      <c r="E791" s="26" t="n"/>
    </row>
    <row r="792" ht="15.75" customHeight="1" s="52">
      <c r="E792" s="26" t="n"/>
    </row>
    <row r="793" ht="15.75" customHeight="1" s="52">
      <c r="E793" s="26" t="n"/>
    </row>
    <row r="794" ht="15.75" customHeight="1" s="52">
      <c r="E794" s="26" t="n"/>
    </row>
    <row r="795" ht="15.75" customHeight="1" s="52">
      <c r="E795" s="26" t="n"/>
    </row>
    <row r="796" ht="15.75" customHeight="1" s="52">
      <c r="E796" s="26" t="n"/>
    </row>
    <row r="797" ht="15.75" customHeight="1" s="52">
      <c r="E797" s="26" t="n"/>
    </row>
    <row r="798" ht="15.75" customHeight="1" s="52">
      <c r="E798" s="26" t="n"/>
    </row>
    <row r="799" ht="15.75" customHeight="1" s="52">
      <c r="E799" s="26" t="n"/>
    </row>
    <row r="800" ht="15.75" customHeight="1" s="52">
      <c r="E800" s="26" t="n"/>
    </row>
    <row r="801" ht="15.75" customHeight="1" s="52">
      <c r="E801" s="26" t="n"/>
    </row>
    <row r="802" ht="15.75" customHeight="1" s="52">
      <c r="E802" s="26" t="n"/>
    </row>
    <row r="803" ht="15.75" customHeight="1" s="52">
      <c r="E803" s="26" t="n"/>
    </row>
    <row r="804" ht="15.75" customHeight="1" s="52">
      <c r="E804" s="26" t="n"/>
    </row>
    <row r="805" ht="15.75" customHeight="1" s="52">
      <c r="E805" s="26" t="n"/>
    </row>
    <row r="806" ht="15.75" customHeight="1" s="52">
      <c r="E806" s="26" t="n"/>
    </row>
    <row r="807" ht="15.75" customHeight="1" s="52">
      <c r="E807" s="26" t="n"/>
    </row>
    <row r="808" ht="15.75" customHeight="1" s="52">
      <c r="E808" s="26" t="n"/>
    </row>
    <row r="809" ht="15.75" customHeight="1" s="52">
      <c r="E809" s="26" t="n"/>
    </row>
    <row r="810" ht="15.75" customHeight="1" s="52">
      <c r="E810" s="26" t="n"/>
    </row>
    <row r="811" ht="15.75" customHeight="1" s="52">
      <c r="E811" s="26" t="n"/>
    </row>
    <row r="812" ht="15.75" customHeight="1" s="52">
      <c r="E812" s="26" t="n"/>
    </row>
    <row r="813" ht="15.75" customHeight="1" s="52">
      <c r="E813" s="26" t="n"/>
    </row>
    <row r="814" ht="15.75" customHeight="1" s="52">
      <c r="E814" s="26" t="n"/>
    </row>
    <row r="815" ht="15.75" customHeight="1" s="52">
      <c r="E815" s="26" t="n"/>
    </row>
    <row r="816" ht="15.75" customHeight="1" s="52">
      <c r="E816" s="26" t="n"/>
    </row>
    <row r="817" ht="15.75" customHeight="1" s="52">
      <c r="E817" s="26" t="n"/>
    </row>
    <row r="818" ht="15.75" customHeight="1" s="52">
      <c r="E818" s="26" t="n"/>
    </row>
    <row r="819" ht="15.75" customHeight="1" s="52">
      <c r="E819" s="26" t="n"/>
    </row>
    <row r="820" ht="15.75" customHeight="1" s="52">
      <c r="E820" s="26" t="n"/>
    </row>
    <row r="821" ht="15.75" customHeight="1" s="52">
      <c r="E821" s="26" t="n"/>
    </row>
    <row r="822" ht="15.75" customHeight="1" s="52">
      <c r="E822" s="26" t="n"/>
    </row>
    <row r="823" ht="15.75" customHeight="1" s="52">
      <c r="E823" s="26" t="n"/>
    </row>
    <row r="824" ht="15.75" customHeight="1" s="52">
      <c r="E824" s="26" t="n"/>
    </row>
    <row r="825" ht="15.75" customHeight="1" s="52">
      <c r="E825" s="26" t="n"/>
    </row>
    <row r="826" ht="15.75" customHeight="1" s="52">
      <c r="E826" s="26" t="n"/>
    </row>
    <row r="827" ht="15.75" customHeight="1" s="52">
      <c r="E827" s="26" t="n"/>
    </row>
    <row r="828" ht="15.75" customHeight="1" s="52">
      <c r="E828" s="26" t="n"/>
    </row>
    <row r="829" ht="15.75" customHeight="1" s="52">
      <c r="E829" s="26" t="n"/>
    </row>
    <row r="830" ht="15.75" customHeight="1" s="52">
      <c r="E830" s="26" t="n"/>
    </row>
    <row r="831" ht="15.75" customHeight="1" s="52">
      <c r="E831" s="26" t="n"/>
    </row>
    <row r="832" ht="15.75" customHeight="1" s="52">
      <c r="E832" s="26" t="n"/>
    </row>
    <row r="833" ht="15.75" customHeight="1" s="52">
      <c r="E833" s="26" t="n"/>
    </row>
    <row r="834" ht="15.75" customHeight="1" s="52">
      <c r="E834" s="26" t="n"/>
    </row>
    <row r="835" ht="15.75" customHeight="1" s="52">
      <c r="E835" s="26" t="n"/>
    </row>
    <row r="836" ht="15.75" customHeight="1" s="52">
      <c r="E836" s="26" t="n"/>
    </row>
    <row r="837" ht="15.75" customHeight="1" s="52">
      <c r="E837" s="26" t="n"/>
    </row>
    <row r="838" ht="15.75" customHeight="1" s="52">
      <c r="E838" s="26" t="n"/>
    </row>
    <row r="839" ht="15.75" customHeight="1" s="52">
      <c r="E839" s="26" t="n"/>
    </row>
    <row r="840" ht="15.75" customHeight="1" s="52">
      <c r="E840" s="26" t="n"/>
    </row>
    <row r="841" ht="15.75" customHeight="1" s="52">
      <c r="E841" s="26" t="n"/>
    </row>
    <row r="842" ht="15.75" customHeight="1" s="52">
      <c r="E842" s="26" t="n"/>
    </row>
    <row r="843" ht="15.75" customHeight="1" s="52">
      <c r="E843" s="26" t="n"/>
    </row>
    <row r="844" ht="15.75" customHeight="1" s="52">
      <c r="E844" s="26" t="n"/>
    </row>
    <row r="845" ht="15.75" customHeight="1" s="52">
      <c r="E845" s="26" t="n"/>
    </row>
    <row r="846" ht="15.75" customHeight="1" s="52">
      <c r="E846" s="26" t="n"/>
    </row>
    <row r="847" ht="15.75" customHeight="1" s="52">
      <c r="E847" s="26" t="n"/>
    </row>
    <row r="848" ht="15.75" customHeight="1" s="52">
      <c r="E848" s="26" t="n"/>
    </row>
    <row r="849" ht="15.75" customHeight="1" s="52">
      <c r="E849" s="26" t="n"/>
    </row>
    <row r="850" ht="15.75" customHeight="1" s="52">
      <c r="E850" s="26" t="n"/>
    </row>
    <row r="851" ht="15.75" customHeight="1" s="52">
      <c r="E851" s="26" t="n"/>
    </row>
    <row r="852" ht="15.75" customHeight="1" s="52">
      <c r="E852" s="26" t="n"/>
    </row>
    <row r="853" ht="15.75" customHeight="1" s="52">
      <c r="E853" s="26" t="n"/>
    </row>
    <row r="854" ht="15.75" customHeight="1" s="52">
      <c r="E854" s="26" t="n"/>
    </row>
    <row r="855" ht="15.75" customHeight="1" s="52">
      <c r="E855" s="26" t="n"/>
    </row>
    <row r="856" ht="15.75" customHeight="1" s="52">
      <c r="E856" s="26" t="n"/>
    </row>
    <row r="857" ht="15.75" customHeight="1" s="52">
      <c r="E857" s="26" t="n"/>
    </row>
    <row r="858" ht="15.75" customHeight="1" s="52">
      <c r="E858" s="26" t="n"/>
    </row>
    <row r="859" ht="15.75" customHeight="1" s="52">
      <c r="E859" s="26" t="n"/>
    </row>
    <row r="860" ht="15.75" customHeight="1" s="52">
      <c r="E860" s="26" t="n"/>
    </row>
    <row r="861" ht="15.75" customHeight="1" s="52">
      <c r="E861" s="26" t="n"/>
    </row>
    <row r="862" ht="15.75" customHeight="1" s="52">
      <c r="E862" s="26" t="n"/>
    </row>
    <row r="863" ht="15.75" customHeight="1" s="52">
      <c r="E863" s="26" t="n"/>
    </row>
    <row r="864" ht="15.75" customHeight="1" s="52">
      <c r="E864" s="26" t="n"/>
    </row>
    <row r="865" ht="15.75" customHeight="1" s="52">
      <c r="E865" s="26" t="n"/>
    </row>
    <row r="866" ht="15.75" customHeight="1" s="52">
      <c r="E866" s="26" t="n"/>
    </row>
    <row r="867" ht="15.75" customHeight="1" s="52">
      <c r="E867" s="26" t="n"/>
    </row>
    <row r="868" ht="15.75" customHeight="1" s="52">
      <c r="E868" s="26" t="n"/>
    </row>
    <row r="869" ht="15.75" customHeight="1" s="52">
      <c r="E869" s="26" t="n"/>
    </row>
    <row r="870" ht="15.75" customHeight="1" s="52">
      <c r="E870" s="26" t="n"/>
    </row>
    <row r="871" ht="15.75" customHeight="1" s="52">
      <c r="E871" s="26" t="n"/>
    </row>
    <row r="872" ht="15.75" customHeight="1" s="52">
      <c r="E872" s="26" t="n"/>
    </row>
    <row r="873" ht="15.75" customHeight="1" s="52">
      <c r="E873" s="26" t="n"/>
    </row>
    <row r="874" ht="15.75" customHeight="1" s="52">
      <c r="E874" s="26" t="n"/>
    </row>
    <row r="875" ht="15.75" customHeight="1" s="52">
      <c r="E875" s="26" t="n"/>
    </row>
    <row r="876" ht="15.75" customHeight="1" s="52">
      <c r="E876" s="26" t="n"/>
    </row>
    <row r="877" ht="15.75" customHeight="1" s="52">
      <c r="E877" s="26" t="n"/>
    </row>
    <row r="878" ht="15.75" customHeight="1" s="52">
      <c r="E878" s="26" t="n"/>
    </row>
    <row r="879" ht="15.75" customHeight="1" s="52">
      <c r="E879" s="26" t="n"/>
    </row>
    <row r="880" ht="15.75" customHeight="1" s="52">
      <c r="E880" s="26" t="n"/>
    </row>
    <row r="881" ht="15.75" customHeight="1" s="52">
      <c r="E881" s="26" t="n"/>
    </row>
    <row r="882" ht="15.75" customHeight="1" s="52">
      <c r="E882" s="26" t="n"/>
    </row>
    <row r="883" ht="15.75" customHeight="1" s="52">
      <c r="E883" s="26" t="n"/>
    </row>
    <row r="884" ht="15.75" customHeight="1" s="52">
      <c r="E884" s="26" t="n"/>
    </row>
    <row r="885" ht="15.75" customHeight="1" s="52">
      <c r="E885" s="26" t="n"/>
    </row>
    <row r="886" ht="15.75" customHeight="1" s="52">
      <c r="E886" s="26" t="n"/>
    </row>
    <row r="887" ht="15.75" customHeight="1" s="52">
      <c r="E887" s="26" t="n"/>
    </row>
    <row r="888" ht="15.75" customHeight="1" s="52">
      <c r="E888" s="26" t="n"/>
    </row>
    <row r="889" ht="15.75" customHeight="1" s="52">
      <c r="E889" s="26" t="n"/>
    </row>
    <row r="890" ht="15.75" customHeight="1" s="52">
      <c r="E890" s="26" t="n"/>
    </row>
    <row r="891" ht="15.75" customHeight="1" s="52">
      <c r="E891" s="26" t="n"/>
    </row>
    <row r="892" ht="15.75" customHeight="1" s="52">
      <c r="E892" s="26" t="n"/>
    </row>
    <row r="893" ht="15.75" customHeight="1" s="52">
      <c r="E893" s="26" t="n"/>
    </row>
    <row r="894" ht="15.75" customHeight="1" s="52">
      <c r="E894" s="26" t="n"/>
    </row>
    <row r="895" ht="15.75" customHeight="1" s="52">
      <c r="E895" s="26" t="n"/>
    </row>
    <row r="896" ht="15.75" customHeight="1" s="52">
      <c r="E896" s="26" t="n"/>
    </row>
    <row r="897" ht="15.75" customHeight="1" s="52">
      <c r="E897" s="26" t="n"/>
    </row>
    <row r="898" ht="15.75" customHeight="1" s="52">
      <c r="E898" s="26" t="n"/>
    </row>
    <row r="899" ht="15.75" customHeight="1" s="52">
      <c r="E899" s="26" t="n"/>
    </row>
    <row r="900" ht="15.75" customHeight="1" s="52">
      <c r="E900" s="26" t="n"/>
    </row>
    <row r="901" ht="15.75" customHeight="1" s="52">
      <c r="E901" s="26" t="n"/>
    </row>
    <row r="902" ht="15.75" customHeight="1" s="52">
      <c r="E902" s="26" t="n"/>
    </row>
    <row r="903" ht="15.75" customHeight="1" s="52">
      <c r="E903" s="26" t="n"/>
    </row>
    <row r="904" ht="15.75" customHeight="1" s="52">
      <c r="E904" s="26" t="n"/>
    </row>
    <row r="905" ht="15.75" customHeight="1" s="52">
      <c r="E905" s="26" t="n"/>
    </row>
    <row r="906" ht="15.75" customHeight="1" s="52">
      <c r="E906" s="26" t="n"/>
    </row>
    <row r="907" ht="15.75" customHeight="1" s="52">
      <c r="E907" s="26" t="n"/>
    </row>
    <row r="908" ht="15.75" customHeight="1" s="52">
      <c r="E908" s="26" t="n"/>
    </row>
    <row r="909" ht="15.75" customHeight="1" s="52">
      <c r="E909" s="26" t="n"/>
    </row>
    <row r="910" ht="15.75" customHeight="1" s="52">
      <c r="E910" s="26" t="n"/>
    </row>
    <row r="911" ht="15.75" customHeight="1" s="52">
      <c r="E911" s="26" t="n"/>
    </row>
    <row r="912" ht="15.75" customHeight="1" s="52">
      <c r="E912" s="26" t="n"/>
    </row>
    <row r="913" ht="15.75" customHeight="1" s="52">
      <c r="E913" s="26" t="n"/>
    </row>
    <row r="914" ht="15.75" customHeight="1" s="52">
      <c r="E914" s="26" t="n"/>
    </row>
    <row r="915" ht="15.75" customHeight="1" s="52">
      <c r="E915" s="26" t="n"/>
    </row>
    <row r="916" ht="15.75" customHeight="1" s="52">
      <c r="E916" s="26" t="n"/>
    </row>
    <row r="917" ht="15.75" customHeight="1" s="52">
      <c r="E917" s="26" t="n"/>
    </row>
    <row r="918" ht="15.75" customHeight="1" s="52">
      <c r="E918" s="26" t="n"/>
    </row>
    <row r="919" ht="15.75" customHeight="1" s="52">
      <c r="E919" s="26" t="n"/>
    </row>
    <row r="920" ht="15.75" customHeight="1" s="52">
      <c r="E920" s="26" t="n"/>
    </row>
    <row r="921" ht="15.75" customHeight="1" s="52">
      <c r="E921" s="26" t="n"/>
    </row>
    <row r="922" ht="15.75" customHeight="1" s="52">
      <c r="E922" s="26" t="n"/>
    </row>
    <row r="923" ht="15.75" customHeight="1" s="52">
      <c r="E923" s="26" t="n"/>
    </row>
    <row r="924" ht="15.75" customHeight="1" s="52">
      <c r="E924" s="26" t="n"/>
    </row>
    <row r="925" ht="15.75" customHeight="1" s="52">
      <c r="E925" s="26" t="n"/>
    </row>
    <row r="926" ht="15.75" customHeight="1" s="52">
      <c r="E926" s="26" t="n"/>
    </row>
    <row r="927" ht="15.75" customHeight="1" s="52">
      <c r="E927" s="26" t="n"/>
    </row>
    <row r="928" ht="15.75" customHeight="1" s="52">
      <c r="E928" s="26" t="n"/>
    </row>
    <row r="929" ht="15.75" customHeight="1" s="52">
      <c r="E929" s="26" t="n"/>
    </row>
    <row r="930" ht="15.75" customHeight="1" s="52">
      <c r="E930" s="26" t="n"/>
    </row>
    <row r="931" ht="15.75" customHeight="1" s="52">
      <c r="E931" s="26" t="n"/>
    </row>
    <row r="932" ht="15.75" customHeight="1" s="52">
      <c r="E932" s="26" t="n"/>
    </row>
    <row r="933" ht="15.75" customHeight="1" s="52">
      <c r="E933" s="26" t="n"/>
    </row>
    <row r="934" ht="15.75" customHeight="1" s="52">
      <c r="E934" s="26" t="n"/>
    </row>
    <row r="935" ht="15.75" customHeight="1" s="52">
      <c r="E935" s="26" t="n"/>
    </row>
    <row r="936" ht="15.75" customHeight="1" s="52">
      <c r="E936" s="26" t="n"/>
    </row>
    <row r="937" ht="15.75" customHeight="1" s="52">
      <c r="E937" s="26" t="n"/>
    </row>
    <row r="938" ht="15.75" customHeight="1" s="52">
      <c r="E938" s="26" t="n"/>
    </row>
    <row r="939" ht="15.75" customHeight="1" s="52">
      <c r="E939" s="26" t="n"/>
    </row>
    <row r="940" ht="15.75" customHeight="1" s="52">
      <c r="E940" s="26" t="n"/>
    </row>
    <row r="941" ht="15.75" customHeight="1" s="52">
      <c r="E941" s="26" t="n"/>
    </row>
    <row r="942" ht="15.75" customHeight="1" s="52">
      <c r="E942" s="26" t="n"/>
    </row>
    <row r="943" ht="15.75" customHeight="1" s="52">
      <c r="E943" s="26" t="n"/>
    </row>
    <row r="944" ht="15.75" customHeight="1" s="52">
      <c r="E944" s="26" t="n"/>
    </row>
    <row r="945" ht="15.75" customHeight="1" s="52">
      <c r="E945" s="26" t="n"/>
    </row>
    <row r="946" ht="15.75" customHeight="1" s="52">
      <c r="E946" s="26" t="n"/>
    </row>
    <row r="947" ht="15.75" customHeight="1" s="52">
      <c r="E947" s="26" t="n"/>
    </row>
    <row r="948" ht="15.75" customHeight="1" s="52">
      <c r="E948" s="26" t="n"/>
    </row>
    <row r="949" ht="15.75" customHeight="1" s="52">
      <c r="E949" s="26" t="n"/>
    </row>
    <row r="950" ht="15.75" customHeight="1" s="52">
      <c r="E950" s="26" t="n"/>
    </row>
    <row r="951" ht="15.75" customHeight="1" s="52">
      <c r="E951" s="26" t="n"/>
    </row>
    <row r="952" ht="15.75" customHeight="1" s="52">
      <c r="E952" s="26" t="n"/>
    </row>
    <row r="953" ht="15.75" customHeight="1" s="52">
      <c r="E953" s="26" t="n"/>
    </row>
    <row r="954" ht="15.75" customHeight="1" s="52">
      <c r="E954" s="26" t="n"/>
    </row>
    <row r="955" ht="15.75" customHeight="1" s="52">
      <c r="E955" s="26" t="n"/>
    </row>
    <row r="956" ht="15.75" customHeight="1" s="52">
      <c r="E956" s="26" t="n"/>
    </row>
    <row r="957" ht="15.75" customHeight="1" s="52">
      <c r="E957" s="26" t="n"/>
    </row>
    <row r="958" ht="15.75" customHeight="1" s="52">
      <c r="E958" s="26" t="n"/>
    </row>
    <row r="959" ht="15.75" customHeight="1" s="52">
      <c r="E959" s="26" t="n"/>
    </row>
    <row r="960" ht="15.75" customHeight="1" s="52">
      <c r="E960" s="26" t="n"/>
    </row>
    <row r="961" ht="15.75" customHeight="1" s="52">
      <c r="E961" s="26" t="n"/>
    </row>
    <row r="962" ht="15.75" customHeight="1" s="52">
      <c r="E962" s="26" t="n"/>
    </row>
    <row r="963" ht="15.75" customHeight="1" s="52">
      <c r="E963" s="26" t="n"/>
    </row>
    <row r="964" ht="15.75" customHeight="1" s="52">
      <c r="E964" s="26" t="n"/>
    </row>
    <row r="965" ht="15.75" customHeight="1" s="52">
      <c r="E965" s="26" t="n"/>
    </row>
    <row r="966" ht="15.75" customHeight="1" s="52">
      <c r="E966" s="26" t="n"/>
    </row>
    <row r="967" ht="15.75" customHeight="1" s="52">
      <c r="E967" s="26" t="n"/>
    </row>
    <row r="968" ht="15.75" customHeight="1" s="52">
      <c r="E968" s="26" t="n"/>
    </row>
    <row r="969" ht="15.75" customHeight="1" s="52">
      <c r="E969" s="26" t="n"/>
    </row>
    <row r="970" ht="15.75" customHeight="1" s="52">
      <c r="E970" s="26" t="n"/>
    </row>
    <row r="971" ht="15.75" customHeight="1" s="52">
      <c r="E971" s="26" t="n"/>
    </row>
    <row r="972" ht="15.75" customHeight="1" s="52">
      <c r="E972" s="26" t="n"/>
    </row>
    <row r="973" ht="15.75" customHeight="1" s="52">
      <c r="E973" s="26" t="n"/>
    </row>
    <row r="974" ht="15.75" customHeight="1" s="52">
      <c r="E974" s="26" t="n"/>
    </row>
    <row r="975" ht="15.75" customHeight="1" s="52">
      <c r="E975" s="26" t="n"/>
    </row>
    <row r="976" ht="15.75" customHeight="1" s="52">
      <c r="E976" s="26" t="n"/>
    </row>
    <row r="977" ht="15.75" customHeight="1" s="52">
      <c r="E977" s="26" t="n"/>
    </row>
    <row r="978" ht="15.75" customHeight="1" s="52">
      <c r="E978" s="26" t="n"/>
    </row>
    <row r="979" ht="15.75" customHeight="1" s="52">
      <c r="E979" s="26" t="n"/>
    </row>
    <row r="980" ht="15.75" customHeight="1" s="52">
      <c r="E980" s="26" t="n"/>
    </row>
    <row r="981" ht="15.75" customHeight="1" s="52">
      <c r="E981" s="26" t="n"/>
    </row>
    <row r="982" ht="15.75" customHeight="1" s="52">
      <c r="E982" s="26" t="n"/>
    </row>
    <row r="983" ht="15.75" customHeight="1" s="52">
      <c r="E983" s="26" t="n"/>
    </row>
    <row r="984" ht="15.75" customHeight="1" s="52">
      <c r="E984" s="26" t="n"/>
    </row>
    <row r="985" ht="15.75" customHeight="1" s="52">
      <c r="E985" s="26" t="n"/>
    </row>
    <row r="986" ht="15.75" customHeight="1" s="52">
      <c r="E986" s="26" t="n"/>
    </row>
    <row r="987" ht="15.75" customHeight="1" s="52">
      <c r="E987" s="26" t="n"/>
    </row>
    <row r="988" ht="15.75" customHeight="1" s="52">
      <c r="E988" s="26" t="n"/>
    </row>
    <row r="989" ht="15.75" customHeight="1" s="52">
      <c r="E989" s="26" t="n"/>
    </row>
    <row r="990" ht="15.75" customHeight="1" s="52">
      <c r="E990" s="26" t="n"/>
    </row>
    <row r="991" ht="15.75" customHeight="1" s="52">
      <c r="E991" s="26" t="n"/>
    </row>
    <row r="992" ht="15.75" customHeight="1" s="52">
      <c r="E992" s="26" t="n"/>
    </row>
    <row r="993" ht="15.75" customHeight="1" s="52">
      <c r="E993" s="26" t="n"/>
    </row>
    <row r="994" ht="15.75" customHeight="1" s="52">
      <c r="E994" s="26" t="n"/>
    </row>
    <row r="995" ht="15.75" customHeight="1" s="52">
      <c r="E995" s="26" t="n"/>
    </row>
    <row r="996" ht="15.75" customHeight="1" s="52">
      <c r="E996" s="26" t="n"/>
    </row>
    <row r="997" ht="15.75" customHeight="1" s="52">
      <c r="E997" s="26" t="n"/>
    </row>
    <row r="998" ht="15.75" customHeight="1" s="52">
      <c r="E998" s="26" t="n"/>
    </row>
    <row r="999" ht="15.75" customHeight="1" s="52">
      <c r="E999" s="26" t="n"/>
    </row>
    <row r="1000" ht="15.75" customHeight="1" s="52">
      <c r="E1000" s="26" t="n"/>
    </row>
  </sheetData>
  <autoFilter ref="$B$3:$Z$659">
    <sortState ref="B3:Z659">
      <sortCondition ref="C3:C659"/>
    </sortState>
  </autoFilter>
  <mergeCells count="1">
    <mergeCell ref="B2:G2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13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.710000000000001" customWidth="1" style="52" min="1" max="1"/>
    <col width="15.14" customWidth="1" style="52" min="2" max="2"/>
    <col width="27.14" customWidth="1" style="52" min="3" max="3"/>
    <col width="31.71" customWidth="1" style="52" min="4" max="4"/>
    <col width="8.710000000000001" customWidth="1" style="52" min="5" max="5"/>
    <col width="12.71" customWidth="1" style="52" min="6" max="6"/>
    <col width="29.43" customWidth="1" style="52" min="7" max="7"/>
    <col width="18.14" customWidth="1" style="52" min="8" max="8"/>
    <col width="8.710000000000001" customWidth="1" style="52" min="9" max="26"/>
  </cols>
  <sheetData>
    <row r="2" ht="30" customHeight="1" s="52">
      <c r="A2" s="29" t="n"/>
      <c r="B2" s="30" t="inlineStr">
        <is>
          <t>Card Number
 (last 4 Digits)</t>
        </is>
      </c>
      <c r="C2" s="29" t="inlineStr">
        <is>
          <t>Card Name</t>
        </is>
      </c>
      <c r="D2" s="29" t="inlineStr">
        <is>
          <t>Department</t>
        </is>
      </c>
      <c r="E2" s="29" t="inlineStr">
        <is>
          <t>EE ID</t>
        </is>
      </c>
      <c r="F2" s="29" t="n"/>
      <c r="G2" s="29" t="n"/>
      <c r="H2" s="29" t="inlineStr">
        <is>
          <t>Amex Accounts</t>
        </is>
      </c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>
      <c r="B3" s="11" t="inlineStr">
        <is>
          <t>2011</t>
        </is>
      </c>
      <c r="C3" s="11" t="inlineStr">
        <is>
          <t>Matt Keyes</t>
        </is>
      </c>
      <c r="D3" s="11" t="inlineStr">
        <is>
          <t>200- Datadog:230- Sales</t>
        </is>
      </c>
      <c r="E3" s="31" t="n">
        <v>104</v>
      </c>
      <c r="H3" s="11" t="inlineStr">
        <is>
          <t>Amex Plat 2 *51005</t>
        </is>
      </c>
    </row>
    <row r="4">
      <c r="B4" s="11" t="inlineStr">
        <is>
          <t>2219</t>
        </is>
      </c>
      <c r="C4" s="11" t="inlineStr">
        <is>
          <t>Toni Manning</t>
        </is>
      </c>
      <c r="D4" s="11" t="inlineStr">
        <is>
          <t>100- Operations:120- Marketing</t>
        </is>
      </c>
      <c r="E4" s="32" t="n">
        <v>121</v>
      </c>
      <c r="H4" s="11" t="inlineStr">
        <is>
          <t>Amex Plat *12006</t>
        </is>
      </c>
    </row>
    <row r="5">
      <c r="B5" s="11" t="inlineStr">
        <is>
          <t>3159</t>
        </is>
      </c>
      <c r="C5" s="11" t="inlineStr">
        <is>
          <t>John Taylor</t>
        </is>
      </c>
      <c r="D5" s="11" t="inlineStr">
        <is>
          <t>300- ServiceNow:330- Sales</t>
        </is>
      </c>
      <c r="E5" s="32" t="n">
        <v>118</v>
      </c>
      <c r="H5" s="11" t="inlineStr">
        <is>
          <t>Amex Centurion *01008</t>
        </is>
      </c>
    </row>
    <row r="6">
      <c r="B6" s="11" t="n"/>
      <c r="C6" s="11" t="n"/>
      <c r="D6" s="11" t="n"/>
      <c r="E6" s="32" t="n"/>
      <c r="H6" s="18" t="inlineStr">
        <is>
          <t>Brex Credit Card</t>
        </is>
      </c>
    </row>
    <row r="7">
      <c r="B7" s="11" t="inlineStr">
        <is>
          <t>2193</t>
        </is>
      </c>
      <c r="C7" s="11" t="inlineStr">
        <is>
          <t>Jacob McKenna</t>
        </is>
      </c>
      <c r="D7" s="11" t="inlineStr">
        <is>
          <t>300- ServiceNow:320- Engineering</t>
        </is>
      </c>
      <c r="E7" s="32" t="n">
        <v>120</v>
      </c>
      <c r="H7" s="11" t="inlineStr">
        <is>
          <t>Amex Delta *13003</t>
        </is>
      </c>
    </row>
    <row r="8">
      <c r="B8" s="11" t="inlineStr">
        <is>
          <t>1302</t>
        </is>
      </c>
      <c r="C8" s="11" t="inlineStr">
        <is>
          <t>Andrew Bissel</t>
        </is>
      </c>
      <c r="D8" s="11" t="inlineStr">
        <is>
          <t>200- Datadog:220- Engineering</t>
        </is>
      </c>
      <c r="E8" s="32" t="n">
        <v>135</v>
      </c>
    </row>
    <row r="9">
      <c r="B9" s="11" t="inlineStr">
        <is>
          <t>2110</t>
        </is>
      </c>
      <c r="C9" s="11" t="inlineStr">
        <is>
          <t>Chris Breiner</t>
        </is>
      </c>
      <c r="D9" s="11" t="inlineStr">
        <is>
          <t>200- Datadog:230- Sales</t>
        </is>
      </c>
      <c r="E9" s="31" t="n">
        <v>115</v>
      </c>
    </row>
    <row r="10">
      <c r="B10" s="11" t="inlineStr">
        <is>
          <t>2094</t>
        </is>
      </c>
      <c r="C10" s="11" t="inlineStr">
        <is>
          <t>Jon Lawer</t>
        </is>
      </c>
      <c r="D10" s="11" t="inlineStr">
        <is>
          <t>300- ServiceNow:330- Sales</t>
        </is>
      </c>
      <c r="E10" s="31" t="n">
        <v>113</v>
      </c>
    </row>
    <row r="11">
      <c r="B11" s="11" t="inlineStr">
        <is>
          <t>2243</t>
        </is>
      </c>
      <c r="C11" s="11" t="inlineStr">
        <is>
          <t>Scott Lane</t>
        </is>
      </c>
      <c r="D11" s="11" t="inlineStr">
        <is>
          <t>300- ServiceNow:330- Sales</t>
        </is>
      </c>
      <c r="E11" s="32" t="n">
        <v>132</v>
      </c>
    </row>
    <row r="12">
      <c r="B12" s="11" t="inlineStr">
        <is>
          <t>2169</t>
        </is>
      </c>
      <c r="C12" s="11" t="inlineStr">
        <is>
          <t>R Faria De Oliveira</t>
        </is>
      </c>
      <c r="D12" s="11" t="inlineStr">
        <is>
          <t>200- Datadog:220- Engineering</t>
        </is>
      </c>
      <c r="E12" s="31" t="n">
        <v>125</v>
      </c>
    </row>
    <row r="13">
      <c r="B13" s="33" t="inlineStr">
        <is>
          <t>2086</t>
        </is>
      </c>
      <c r="C13" s="11" t="inlineStr">
        <is>
          <t>Richard Upshall</t>
        </is>
      </c>
      <c r="D13" s="11" t="inlineStr">
        <is>
          <t>200- Datadog:230- Sales</t>
        </is>
      </c>
      <c r="E13" s="32" t="n">
        <v>112</v>
      </c>
    </row>
    <row r="14">
      <c r="B14" s="33" t="inlineStr">
        <is>
          <t>2201</t>
        </is>
      </c>
      <c r="C14" s="11" t="inlineStr">
        <is>
          <t>Eric Ledyard</t>
        </is>
      </c>
      <c r="D14" s="11" t="inlineStr">
        <is>
          <t>100- Operations:110- G&amp;A</t>
        </is>
      </c>
      <c r="E14" s="32" t="n">
        <v>123</v>
      </c>
    </row>
    <row r="15">
      <c r="B15" s="11" t="inlineStr">
        <is>
          <t>2006</t>
        </is>
      </c>
      <c r="C15" s="11" t="inlineStr">
        <is>
          <t>Tameem Hourani</t>
        </is>
      </c>
      <c r="D15" s="11" t="inlineStr">
        <is>
          <t>100- Operations:110- G&amp;A</t>
        </is>
      </c>
      <c r="E15" s="32" t="n">
        <v>1</v>
      </c>
    </row>
    <row r="16">
      <c r="B16" s="11" t="inlineStr">
        <is>
          <t>1933</t>
        </is>
      </c>
      <c r="C16" s="11" t="inlineStr">
        <is>
          <t>Nikita Ashok</t>
        </is>
      </c>
      <c r="D16" s="11" t="inlineStr">
        <is>
          <t>100- Operations:120- Marketing</t>
        </is>
      </c>
      <c r="E16" s="32" t="n">
        <v>111</v>
      </c>
    </row>
    <row r="17">
      <c r="B17" s="11" t="inlineStr">
        <is>
          <t>3418</t>
        </is>
      </c>
      <c r="C17" s="11" t="inlineStr">
        <is>
          <t>Alta Abel</t>
        </is>
      </c>
      <c r="D17" s="11" t="inlineStr">
        <is>
          <t>100- Operations:110- G&amp;A</t>
        </is>
      </c>
      <c r="E17" s="32" t="n">
        <v>69</v>
      </c>
    </row>
    <row r="18">
      <c r="B18" s="11" t="inlineStr">
        <is>
          <t>2675</t>
        </is>
      </c>
      <c r="C18" s="11" t="inlineStr">
        <is>
          <t>Chloe Brant</t>
        </is>
      </c>
      <c r="D18" s="11" t="inlineStr">
        <is>
          <t>300- ServiceNow:330- Sales</t>
        </is>
      </c>
      <c r="E18" s="32" t="n">
        <v>77</v>
      </c>
    </row>
    <row r="19">
      <c r="B19" s="11" t="inlineStr">
        <is>
          <t>2170</t>
        </is>
      </c>
      <c r="C19" s="11" t="inlineStr">
        <is>
          <t>Josh Van Harn</t>
        </is>
      </c>
      <c r="D19" s="11" t="inlineStr">
        <is>
          <t>300- ServiceNow:330- Sales</t>
        </is>
      </c>
      <c r="E19" s="32" t="n">
        <v>23</v>
      </c>
    </row>
    <row r="20">
      <c r="B20" s="11" t="inlineStr">
        <is>
          <t>1024</t>
        </is>
      </c>
      <c r="C20" s="11" t="inlineStr">
        <is>
          <t>Connor Bracket</t>
        </is>
      </c>
      <c r="D20" s="11" t="inlineStr">
        <is>
          <t>300- ServiceNow:330- Sales</t>
        </is>
      </c>
      <c r="E20" s="31" t="n">
        <v>3</v>
      </c>
    </row>
    <row r="21" ht="15.75" customHeight="1" s="52">
      <c r="B21" s="11" t="inlineStr">
        <is>
          <t>2923</t>
        </is>
      </c>
      <c r="C21" s="11" t="inlineStr">
        <is>
          <t>Elyse Neumeier</t>
        </is>
      </c>
      <c r="D21" s="11" t="inlineStr">
        <is>
          <t>100- Operations:110- G&amp;A</t>
        </is>
      </c>
      <c r="E21" s="32" t="n">
        <v>98</v>
      </c>
    </row>
    <row r="22" ht="15.75" customHeight="1" s="52">
      <c r="B22" s="11" t="inlineStr">
        <is>
          <t>3137</t>
        </is>
      </c>
      <c r="C22" s="11" t="inlineStr">
        <is>
          <t>Ashley Karpel</t>
        </is>
      </c>
      <c r="D22" s="11" t="inlineStr">
        <is>
          <t>300- ServiceNow:330- Sales</t>
        </is>
      </c>
      <c r="E22" s="32" t="n">
        <v>42</v>
      </c>
    </row>
    <row r="23" ht="15.75" customHeight="1" s="52">
      <c r="B23" s="11" t="inlineStr">
        <is>
          <t>3780</t>
        </is>
      </c>
      <c r="C23" s="11" t="inlineStr">
        <is>
          <t>Ayaan Israni</t>
        </is>
      </c>
      <c r="D23" s="11" t="inlineStr">
        <is>
          <t>100- Operations:110- G&amp;A</t>
        </is>
      </c>
      <c r="E23" s="32" t="n">
        <v>84</v>
      </c>
    </row>
    <row r="24" ht="15.75" customHeight="1" s="52">
      <c r="B24" s="11" t="inlineStr">
        <is>
          <t>3376</t>
        </is>
      </c>
      <c r="C24" s="11" t="inlineStr">
        <is>
          <t>Tomas Cespedes</t>
        </is>
      </c>
      <c r="D24" s="11" t="inlineStr">
        <is>
          <t>200- Datadog:220- Engineering</t>
        </is>
      </c>
      <c r="E24" s="32" t="n">
        <v>18</v>
      </c>
    </row>
    <row r="25" ht="15.75" customHeight="1" s="52">
      <c r="B25" s="11" t="inlineStr">
        <is>
          <t>1511</t>
        </is>
      </c>
      <c r="C25" s="11" t="inlineStr">
        <is>
          <t>Elias Kapetanopolous</t>
        </is>
      </c>
      <c r="D25" s="11" t="inlineStr">
        <is>
          <t>300- ServiceNow:320- Engineering</t>
        </is>
      </c>
      <c r="E25" s="31" t="n">
        <v>12</v>
      </c>
    </row>
    <row r="26" ht="15.75" customHeight="1" s="52">
      <c r="B26" s="11" t="inlineStr">
        <is>
          <t>2394</t>
        </is>
      </c>
      <c r="C26" s="11" t="inlineStr">
        <is>
          <t>Reuben Stump</t>
        </is>
      </c>
      <c r="D26" s="11" t="inlineStr">
        <is>
          <t>200- Datadog:220- Engineering</t>
        </is>
      </c>
      <c r="E26" s="32" t="n">
        <v>10</v>
      </c>
    </row>
    <row r="27" ht="15.75" customHeight="1" s="52">
      <c r="B27" s="11" t="inlineStr">
        <is>
          <t>1057</t>
        </is>
      </c>
      <c r="C27" s="11" t="inlineStr">
        <is>
          <t>Alexandra Hourani</t>
        </is>
      </c>
      <c r="D27" s="11" t="inlineStr">
        <is>
          <t>100- Operations:110- G&amp;A</t>
        </is>
      </c>
      <c r="E27" s="32" t="n">
        <v>46</v>
      </c>
    </row>
    <row r="28" ht="15.75" customHeight="1" s="52">
      <c r="B28" s="11" t="inlineStr">
        <is>
          <t>2436</t>
        </is>
      </c>
      <c r="C28" s="11" t="inlineStr">
        <is>
          <t>Danny Bench</t>
        </is>
      </c>
      <c r="D28" s="11" t="inlineStr">
        <is>
          <t>300- ServiceNow:320- Engineering</t>
        </is>
      </c>
      <c r="E28" s="31" t="n">
        <v>66</v>
      </c>
    </row>
    <row r="29" ht="15.75" customHeight="1" s="52">
      <c r="B29" s="11" t="inlineStr">
        <is>
          <t>2774</t>
        </is>
      </c>
      <c r="C29" s="11" t="inlineStr">
        <is>
          <t>Austin Sanderford</t>
        </is>
      </c>
      <c r="D29" s="11" t="inlineStr">
        <is>
          <t>300- ServiceNow:320- Engineering</t>
        </is>
      </c>
      <c r="E29" s="31" t="n">
        <v>87</v>
      </c>
    </row>
    <row r="30" ht="15.75" customHeight="1" s="52">
      <c r="B30" s="11" t="inlineStr">
        <is>
          <t>2212</t>
        </is>
      </c>
      <c r="C30" s="11" t="inlineStr">
        <is>
          <t>Michael Christensen</t>
        </is>
      </c>
      <c r="D30" s="11" t="inlineStr">
        <is>
          <t>200- Datadog:220- Engineering</t>
        </is>
      </c>
      <c r="E30" s="32" t="n">
        <v>58</v>
      </c>
    </row>
    <row r="31" ht="15.75" customHeight="1" s="52">
      <c r="B31" s="11" t="inlineStr">
        <is>
          <t>1347</t>
        </is>
      </c>
      <c r="C31" s="11" t="inlineStr">
        <is>
          <t>Mitch Nethercott</t>
        </is>
      </c>
      <c r="D31" s="11" t="inlineStr">
        <is>
          <t>200- Datadog:220- Engineering</t>
        </is>
      </c>
      <c r="E31" s="31" t="n">
        <v>25</v>
      </c>
    </row>
    <row r="32" ht="15.75" customHeight="1" s="52">
      <c r="B32" s="11" t="inlineStr">
        <is>
          <t>2204</t>
        </is>
      </c>
      <c r="C32" s="11" t="inlineStr">
        <is>
          <t>Jesse Eddy</t>
        </is>
      </c>
      <c r="D32" s="11" t="inlineStr">
        <is>
          <t>200- Datadog:230- Sales</t>
        </is>
      </c>
      <c r="E32" s="32" t="n">
        <v>15</v>
      </c>
    </row>
    <row r="33" ht="15.75" customHeight="1" s="52">
      <c r="B33" s="11" t="inlineStr">
        <is>
          <t>1941</t>
        </is>
      </c>
      <c r="C33" s="11" t="inlineStr">
        <is>
          <t>Joseph Phalan</t>
        </is>
      </c>
      <c r="D33" s="11" t="inlineStr">
        <is>
          <t>300- ServiceNow:310- Delivery</t>
        </is>
      </c>
      <c r="E33" s="32" t="n">
        <v>95</v>
      </c>
    </row>
    <row r="34" ht="15.75" customHeight="1" s="52">
      <c r="B34" s="11" t="inlineStr">
        <is>
          <t>1032</t>
        </is>
      </c>
      <c r="C34" s="11" t="inlineStr">
        <is>
          <t>Jon Giara</t>
        </is>
      </c>
      <c r="D34" s="11" t="inlineStr">
        <is>
          <t>300- ServiceNow:320- Engineering</t>
        </is>
      </c>
      <c r="E34" s="31" t="n">
        <v>2</v>
      </c>
    </row>
    <row r="35" ht="15.75" customHeight="1" s="52">
      <c r="B35" s="11" t="inlineStr">
        <is>
          <t>2253</t>
        </is>
      </c>
      <c r="C35" s="11" t="inlineStr">
        <is>
          <t>Logan Rohloff</t>
        </is>
      </c>
      <c r="D35" s="11" t="inlineStr">
        <is>
          <t>200- Datadog:220- Engineering</t>
        </is>
      </c>
      <c r="E35" s="32" t="n">
        <v>8</v>
      </c>
    </row>
    <row r="36" ht="15.75" customHeight="1" s="52">
      <c r="B36" s="33" t="inlineStr">
        <is>
          <t>1487</t>
        </is>
      </c>
      <c r="C36" s="11" t="inlineStr">
        <is>
          <t>Colin Galanaugh</t>
        </is>
      </c>
      <c r="D36" s="11" t="inlineStr">
        <is>
          <t>200- Datadog:230- Sales</t>
        </is>
      </c>
      <c r="E36" s="32" t="n">
        <v>19</v>
      </c>
    </row>
    <row r="37" ht="15.75" customHeight="1" s="52">
      <c r="B37" s="33" t="inlineStr">
        <is>
          <t>2386</t>
        </is>
      </c>
      <c r="C37" s="11" t="inlineStr">
        <is>
          <t>Shakara Whitehead</t>
        </is>
      </c>
      <c r="D37" s="11" t="inlineStr">
        <is>
          <t>300- ServiceNow:320- Engineering</t>
        </is>
      </c>
      <c r="E37" s="32" t="n">
        <v>50</v>
      </c>
    </row>
    <row r="38" ht="15.75" customHeight="1" s="52">
      <c r="B38" s="33" t="inlineStr">
        <is>
          <t>1560</t>
        </is>
      </c>
      <c r="C38" s="11" t="inlineStr">
        <is>
          <t>Ben Savage</t>
        </is>
      </c>
      <c r="D38" s="11" t="inlineStr">
        <is>
          <t>300- ServiceNow:320- Engineering</t>
        </is>
      </c>
      <c r="E38" s="32" t="n">
        <v>71</v>
      </c>
    </row>
    <row r="39" ht="15.75" customHeight="1" s="52">
      <c r="B39" s="33" t="inlineStr">
        <is>
          <t>1826</t>
        </is>
      </c>
      <c r="C39" s="18" t="inlineStr">
        <is>
          <t>Luis Gallego</t>
        </is>
      </c>
      <c r="D39" s="11" t="inlineStr">
        <is>
          <t>200- Datadog:220- Engineering</t>
        </is>
      </c>
      <c r="E39" s="31" t="n">
        <v>89</v>
      </c>
    </row>
    <row r="40" ht="15.75" customHeight="1" s="52">
      <c r="B40" s="33" t="inlineStr">
        <is>
          <t>1354</t>
        </is>
      </c>
      <c r="C40" s="18" t="inlineStr">
        <is>
          <t>Mitch Deaner</t>
        </is>
      </c>
      <c r="D40" s="11" t="inlineStr">
        <is>
          <t>300- ServiceNow:320- Engineering</t>
        </is>
      </c>
      <c r="E40" s="31" t="n">
        <v>26</v>
      </c>
    </row>
    <row r="41" ht="15.75" customHeight="1" s="52">
      <c r="B41" s="33" t="inlineStr">
        <is>
          <t>1453</t>
        </is>
      </c>
      <c r="C41" s="18" t="inlineStr">
        <is>
          <t>Cameron Buckner</t>
        </is>
      </c>
      <c r="D41" s="11" t="inlineStr">
        <is>
          <t>200- Datadog:220- Engineering</t>
        </is>
      </c>
      <c r="E41" s="32" t="n">
        <v>56</v>
      </c>
    </row>
    <row r="42" ht="15.75" customHeight="1" s="52">
      <c r="B42" s="33" t="inlineStr">
        <is>
          <t>2998</t>
        </is>
      </c>
      <c r="C42" s="18" t="inlineStr">
        <is>
          <t>Jay Barker</t>
        </is>
      </c>
      <c r="D42" s="11" t="inlineStr">
        <is>
          <t>200- Datadog:220- Engineering</t>
        </is>
      </c>
      <c r="E42" s="32" t="n">
        <v>102</v>
      </c>
    </row>
    <row r="43" ht="15.75" customHeight="1" s="52">
      <c r="B43" s="33" t="inlineStr">
        <is>
          <t>1271</t>
        </is>
      </c>
      <c r="C43" s="18" t="inlineStr">
        <is>
          <t>Paul Kim</t>
        </is>
      </c>
      <c r="D43" s="11" t="inlineStr">
        <is>
          <t>200- Datadog:220- Engineering</t>
        </is>
      </c>
      <c r="E43" s="32" t="n">
        <v>31</v>
      </c>
    </row>
    <row r="44" ht="15.75" customHeight="1" s="52">
      <c r="B44" s="33" t="inlineStr">
        <is>
          <t>1503</t>
        </is>
      </c>
      <c r="C44" s="18" t="inlineStr">
        <is>
          <t>Dor Vaknin</t>
        </is>
      </c>
      <c r="D44" s="11" t="inlineStr">
        <is>
          <t>300- ServiceNow:320- Engineering</t>
        </is>
      </c>
      <c r="E44" s="32" t="n">
        <v>28</v>
      </c>
    </row>
    <row r="45" ht="15.75" customHeight="1" s="52">
      <c r="B45" s="33" t="inlineStr">
        <is>
          <t>1610</t>
        </is>
      </c>
      <c r="C45" s="18" t="inlineStr">
        <is>
          <t>Dan Hamilton</t>
        </is>
      </c>
      <c r="D45" s="18" t="inlineStr">
        <is>
          <t>200- Datadog:210- Delivery</t>
        </is>
      </c>
      <c r="E45" s="31" t="n">
        <v>70</v>
      </c>
    </row>
    <row r="46" ht="15.75" customHeight="1" s="52">
      <c r="B46" s="33" t="inlineStr">
        <is>
          <t>1305</t>
        </is>
      </c>
      <c r="C46" s="18" t="inlineStr">
        <is>
          <t>Pallavi Gupta</t>
        </is>
      </c>
      <c r="D46" s="11" t="inlineStr">
        <is>
          <t>300- ServiceNow:320- Engineering</t>
        </is>
      </c>
      <c r="E46" s="32" t="n">
        <v>41</v>
      </c>
    </row>
    <row r="47" ht="15.75" customHeight="1" s="52">
      <c r="B47" s="33" t="inlineStr">
        <is>
          <t>2078</t>
        </is>
      </c>
      <c r="C47" s="18" t="inlineStr">
        <is>
          <t>Vincent Planz</t>
        </is>
      </c>
      <c r="D47" s="11" t="inlineStr">
        <is>
          <t>100- Operations:110- G&amp;A</t>
        </is>
      </c>
      <c r="E47" s="32" t="n">
        <v>107</v>
      </c>
    </row>
    <row r="48" ht="15.75" customHeight="1" s="52">
      <c r="B48" s="18" t="inlineStr">
        <is>
          <t>1138</t>
        </is>
      </c>
      <c r="C48" s="18" t="inlineStr">
        <is>
          <t>Rebecca Kelly</t>
        </is>
      </c>
      <c r="D48" s="11" t="inlineStr">
        <is>
          <t>100- Operations:110- G&amp;A</t>
        </is>
      </c>
      <c r="E48" s="32" t="n">
        <v>117</v>
      </c>
    </row>
    <row r="49" ht="15.75" customHeight="1" s="52">
      <c r="B49" s="18" t="inlineStr">
        <is>
          <t>2268</t>
        </is>
      </c>
      <c r="C49" s="18" t="inlineStr">
        <is>
          <t>Will Wen</t>
        </is>
      </c>
      <c r="D49" s="11" t="inlineStr">
        <is>
          <t>200- Datadog:220- Engineering</t>
        </is>
      </c>
      <c r="E49" s="31" t="n">
        <v>128</v>
      </c>
    </row>
    <row r="50" ht="15.75" customHeight="1" s="52">
      <c r="B50" s="18" t="inlineStr">
        <is>
          <t>1054</t>
        </is>
      </c>
      <c r="C50" s="18" t="inlineStr">
        <is>
          <t>Robert Kurahashi</t>
        </is>
      </c>
      <c r="D50" s="11" t="inlineStr">
        <is>
          <t>300- ServiceNow:330- Sales</t>
        </is>
      </c>
      <c r="E50" s="32" t="n">
        <v>105</v>
      </c>
    </row>
    <row r="51" ht="15.75" customHeight="1" s="52">
      <c r="B51" s="18" t="inlineStr">
        <is>
          <t>3019</t>
        </is>
      </c>
      <c r="C51" s="18" t="inlineStr">
        <is>
          <t>Matt Keyes</t>
        </is>
      </c>
      <c r="D51" s="11" t="inlineStr">
        <is>
          <t>200- Datadog:230- Sales</t>
        </is>
      </c>
      <c r="E51" s="32" t="n">
        <v>104</v>
      </c>
    </row>
    <row r="52" ht="15.75" customHeight="1" s="52">
      <c r="B52" s="18" t="inlineStr">
        <is>
          <t>1047</t>
        </is>
      </c>
      <c r="C52" s="18" t="inlineStr">
        <is>
          <t>Daniel Roy</t>
        </is>
      </c>
      <c r="D52" s="11" t="inlineStr">
        <is>
          <t>200- Datadog:220- Engineering</t>
        </is>
      </c>
      <c r="E52" s="31" t="n">
        <v>101</v>
      </c>
    </row>
    <row r="53" ht="15.75" customHeight="1" s="52">
      <c r="B53" s="18" t="inlineStr">
        <is>
          <t>2227</t>
        </is>
      </c>
      <c r="C53" s="18" t="inlineStr">
        <is>
          <t>Rick Leonard</t>
        </is>
      </c>
      <c r="D53" s="11" t="inlineStr">
        <is>
          <t>300- ServiceNow:330- Sales</t>
        </is>
      </c>
      <c r="E53" s="32" t="n">
        <v>127</v>
      </c>
    </row>
    <row r="54" ht="15.75" customHeight="1" s="52">
      <c r="B54" s="33" t="inlineStr">
        <is>
          <t>1537</t>
        </is>
      </c>
      <c r="C54" s="18" t="inlineStr">
        <is>
          <t>Evan Guby</t>
        </is>
      </c>
      <c r="D54" s="11" t="inlineStr">
        <is>
          <t>300- ServiceNow:320- Engineering</t>
        </is>
      </c>
      <c r="E54" s="32" t="n">
        <v>61</v>
      </c>
    </row>
    <row r="55" ht="15.75" customHeight="1" s="52">
      <c r="B55" s="18" t="inlineStr">
        <is>
          <t>1743</t>
        </is>
      </c>
      <c r="C55" s="18" t="inlineStr">
        <is>
          <t>Zachary Kenyon</t>
        </is>
      </c>
      <c r="D55" s="11" t="inlineStr">
        <is>
          <t>300- ServiceNow:320- Engineering</t>
        </is>
      </c>
      <c r="E55" s="32" t="n">
        <v>83</v>
      </c>
    </row>
    <row r="56" ht="15.75" customHeight="1" s="52">
      <c r="B56" s="18" t="inlineStr">
        <is>
          <t>2014</t>
        </is>
      </c>
      <c r="C56" s="18" t="inlineStr">
        <is>
          <t>Jeff Mu</t>
        </is>
      </c>
      <c r="D56" s="11" t="inlineStr">
        <is>
          <t>300- ServiceNow:320- Engineering</t>
        </is>
      </c>
      <c r="E56" s="31" t="n">
        <v>4</v>
      </c>
    </row>
    <row r="57" ht="15.75" customHeight="1" s="52">
      <c r="B57" s="18" t="inlineStr">
        <is>
          <t>2857</t>
        </is>
      </c>
      <c r="C57" s="18" t="inlineStr">
        <is>
          <t>Bob Kolosky</t>
        </is>
      </c>
      <c r="D57" s="11" t="inlineStr">
        <is>
          <t>300- ServiceNow:320- Engineering</t>
        </is>
      </c>
      <c r="E57" s="31" t="n">
        <v>91</v>
      </c>
    </row>
    <row r="58" ht="15.75" customHeight="1" s="52">
      <c r="B58" s="18" t="inlineStr">
        <is>
          <t>2162</t>
        </is>
      </c>
      <c r="C58" s="18" t="inlineStr">
        <is>
          <t>Kyle Brueckner</t>
        </is>
      </c>
      <c r="D58" s="11" t="inlineStr">
        <is>
          <t>300- ServiceNow:320- Engineering</t>
        </is>
      </c>
      <c r="E58" s="32" t="n">
        <v>39</v>
      </c>
    </row>
    <row r="59" ht="15.75" customHeight="1" s="52">
      <c r="B59" s="18" t="inlineStr">
        <is>
          <t>1297</t>
        </is>
      </c>
      <c r="C59" s="18" t="inlineStr">
        <is>
          <t>Patrick Dennis</t>
        </is>
      </c>
      <c r="D59" s="11" t="inlineStr">
        <is>
          <t>300- ServiceNow:310- Delivery</t>
        </is>
      </c>
      <c r="E59" s="32" t="n">
        <v>65</v>
      </c>
    </row>
    <row r="60" ht="15.75" customHeight="1" s="52">
      <c r="B60" s="18" t="inlineStr">
        <is>
          <t>3228</t>
        </is>
      </c>
      <c r="C60" s="18" t="inlineStr">
        <is>
          <t>Matt Hyman</t>
        </is>
      </c>
      <c r="D60" s="11" t="inlineStr">
        <is>
          <t>300- ServiceNow:330- Sales</t>
        </is>
      </c>
      <c r="E60" s="31" t="n">
        <v>24</v>
      </c>
    </row>
    <row r="61" ht="15.75" customHeight="1" s="52">
      <c r="B61" s="18" t="inlineStr">
        <is>
          <t>2029</t>
        </is>
      </c>
      <c r="C61" s="18" t="inlineStr">
        <is>
          <t>Leslee Brady</t>
        </is>
      </c>
      <c r="D61" s="11" t="inlineStr">
        <is>
          <t>300- ServiceNow:330- Sales</t>
        </is>
      </c>
      <c r="E61" s="32" t="n">
        <v>103</v>
      </c>
    </row>
    <row r="62" ht="15.75" customHeight="1" s="52">
      <c r="B62" s="18" t="inlineStr">
        <is>
          <t>1328</t>
        </is>
      </c>
      <c r="C62" s="18" t="inlineStr">
        <is>
          <t>Ryan Peirce</t>
        </is>
      </c>
      <c r="D62" s="11" t="inlineStr">
        <is>
          <t>200- Datadog:230- Sales</t>
        </is>
      </c>
      <c r="E62" s="32" t="n">
        <v>138</v>
      </c>
    </row>
    <row r="63" ht="15.75" customHeight="1" s="52">
      <c r="B63" s="18" t="inlineStr">
        <is>
          <t>1146</t>
        </is>
      </c>
      <c r="C63" s="18" t="inlineStr">
        <is>
          <t>Kirolous Shihataa</t>
        </is>
      </c>
      <c r="D63" s="11" t="inlineStr">
        <is>
          <t>300- ServiceNow:320- Engineering</t>
        </is>
      </c>
      <c r="E63" s="32" t="n">
        <v>124</v>
      </c>
    </row>
    <row r="64" ht="15.75" customHeight="1" s="52">
      <c r="B64" s="18" t="inlineStr">
        <is>
          <t>2284</t>
        </is>
      </c>
      <c r="C64" s="18" t="inlineStr">
        <is>
          <t>David Seney</t>
        </is>
      </c>
      <c r="D64" s="18" t="inlineStr">
        <is>
          <t>200- Datadog:210- Delivery</t>
        </is>
      </c>
      <c r="E64" s="32" t="n">
        <v>131</v>
      </c>
    </row>
    <row r="65" ht="15.75" customHeight="1" s="52">
      <c r="B65" s="18" t="inlineStr">
        <is>
          <t>1294</t>
        </is>
      </c>
      <c r="C65" s="18" t="inlineStr">
        <is>
          <t>Scott Essler</t>
        </is>
      </c>
      <c r="D65" s="11" t="inlineStr">
        <is>
          <t>200- Datadog:230- Sales</t>
        </is>
      </c>
      <c r="E65" s="32" t="n">
        <v>134</v>
      </c>
    </row>
    <row r="66" ht="15.75" customHeight="1" s="52">
      <c r="B66" s="18" t="inlineStr">
        <is>
          <t>2276</t>
        </is>
      </c>
      <c r="C66" s="18" t="inlineStr">
        <is>
          <t>Michele Cox</t>
        </is>
      </c>
      <c r="D66" s="11" t="inlineStr">
        <is>
          <t>300- ServiceNow:310- Delivery</t>
        </is>
      </c>
      <c r="E66" s="32" t="n">
        <v>130</v>
      </c>
    </row>
    <row r="67" ht="15.75" customHeight="1" s="52">
      <c r="B67" s="18" t="inlineStr">
        <is>
          <t>1310</t>
        </is>
      </c>
      <c r="C67" s="18" t="inlineStr">
        <is>
          <t>Patrick Donovan</t>
        </is>
      </c>
      <c r="D67" s="18" t="inlineStr">
        <is>
          <t>200- Datadog:210- Delivery</t>
        </is>
      </c>
      <c r="E67" s="32" t="n">
        <v>137</v>
      </c>
    </row>
    <row r="68" ht="15.75" customHeight="1" s="52">
      <c r="B68" s="18" t="inlineStr">
        <is>
          <t>2733</t>
        </is>
      </c>
      <c r="C68" s="18" t="inlineStr">
        <is>
          <t>Jessy Lamontagne</t>
        </is>
      </c>
      <c r="D68" s="11" t="inlineStr">
        <is>
          <t>200- Datadog:230- Sales</t>
        </is>
      </c>
      <c r="E68" s="32" t="n">
        <v>79</v>
      </c>
    </row>
    <row r="69" ht="15.75" customHeight="1" s="52">
      <c r="B69" s="18" t="inlineStr">
        <is>
          <t>2238</t>
        </is>
      </c>
      <c r="C69" s="18" t="inlineStr">
        <is>
          <t>Lyndsey Cohen</t>
        </is>
      </c>
      <c r="D69" s="11" t="inlineStr">
        <is>
          <t>300- ServiceNow:320- Engineering</t>
        </is>
      </c>
      <c r="E69" s="32" t="n">
        <v>27</v>
      </c>
    </row>
    <row r="70" ht="15.75" customHeight="1" s="52">
      <c r="B70" s="18" t="inlineStr">
        <is>
          <t>1529</t>
        </is>
      </c>
      <c r="C70" s="18" t="inlineStr">
        <is>
          <t>Erik Williams</t>
        </is>
      </c>
      <c r="D70" s="11" t="inlineStr">
        <is>
          <t>100- Operations:110- G&amp;A</t>
        </is>
      </c>
      <c r="E70" s="32" t="n">
        <v>7</v>
      </c>
    </row>
    <row r="71" ht="15.75" customHeight="1" s="52">
      <c r="B71" s="18" t="inlineStr">
        <is>
          <t>1461</t>
        </is>
      </c>
      <c r="C71" s="18" t="inlineStr">
        <is>
          <t>Christian Moua</t>
        </is>
      </c>
      <c r="D71" s="11" t="inlineStr">
        <is>
          <t>300- ServiceNow:320- Engineering</t>
        </is>
      </c>
      <c r="E71" s="32" t="n">
        <v>14</v>
      </c>
    </row>
    <row r="72" ht="15.75" customHeight="1" s="52">
      <c r="B72" s="18" t="inlineStr">
        <is>
          <t>1875</t>
        </is>
      </c>
      <c r="C72" s="18" t="inlineStr">
        <is>
          <t>Valdas Simanauskas</t>
        </is>
      </c>
      <c r="D72" s="11" t="inlineStr">
        <is>
          <t>300- ServiceNow:320- Engineering</t>
        </is>
      </c>
      <c r="E72" s="32" t="n">
        <v>93</v>
      </c>
    </row>
    <row r="73" ht="15.75" customHeight="1" s="52">
      <c r="B73" s="18" t="inlineStr">
        <is>
          <t>2097</t>
        </is>
      </c>
      <c r="C73" s="18" t="inlineStr">
        <is>
          <t>Alex Glenn</t>
        </is>
      </c>
      <c r="D73" s="11" t="inlineStr">
        <is>
          <t>200- Datadog:220- Engineering</t>
        </is>
      </c>
      <c r="E73" s="31" t="n">
        <v>34</v>
      </c>
    </row>
    <row r="74" ht="15.75" customHeight="1" s="52">
      <c r="B74" s="18" t="inlineStr">
        <is>
          <t>1446</t>
        </is>
      </c>
      <c r="C74" s="18" t="inlineStr">
        <is>
          <t>Caleb Cordes</t>
        </is>
      </c>
      <c r="D74" s="11" t="inlineStr">
        <is>
          <t>300- ServiceNow:320- Engineering</t>
        </is>
      </c>
      <c r="E74" s="32" t="n">
        <v>29</v>
      </c>
    </row>
    <row r="75" ht="15.75" customHeight="1" s="52">
      <c r="B75" s="18" t="inlineStr">
        <is>
          <t>1263</t>
        </is>
      </c>
      <c r="C75" s="18" t="inlineStr">
        <is>
          <t>Pooja Manjeshwar</t>
        </is>
      </c>
      <c r="D75" s="11" t="inlineStr">
        <is>
          <t>300- ServiceNow:320- Engineering</t>
        </is>
      </c>
      <c r="E75" s="31" t="n">
        <v>60</v>
      </c>
    </row>
    <row r="76" ht="15.75" customHeight="1" s="52">
      <c r="B76" s="18" t="inlineStr">
        <is>
          <t>2121</t>
        </is>
      </c>
      <c r="C76" s="18" t="inlineStr">
        <is>
          <t>Bill Gilleran</t>
        </is>
      </c>
      <c r="D76" s="11" t="inlineStr">
        <is>
          <t>200- Datadog:220- Engineering</t>
        </is>
      </c>
      <c r="E76" s="31" t="n">
        <v>53</v>
      </c>
    </row>
    <row r="77" ht="15.75" customHeight="1" s="52">
      <c r="B77" s="18" t="inlineStr">
        <is>
          <t>2102</t>
        </is>
      </c>
      <c r="C77" s="18" t="inlineStr">
        <is>
          <t>Aaron Rhodes</t>
        </is>
      </c>
      <c r="D77" s="11" t="inlineStr">
        <is>
          <t>200- Datadog:220- Engineering</t>
        </is>
      </c>
      <c r="E77" s="32" t="n">
        <v>109</v>
      </c>
    </row>
    <row r="78" ht="15.75" customHeight="1" s="52">
      <c r="B78" s="18" t="inlineStr">
        <is>
          <t>2235</t>
        </is>
      </c>
      <c r="C78" s="18" t="inlineStr">
        <is>
          <t>Siddharth Nigam</t>
        </is>
      </c>
      <c r="D78" s="11" t="inlineStr">
        <is>
          <t>200- Datadog:220- Engineering</t>
        </is>
      </c>
      <c r="E78" s="32" t="n">
        <v>126</v>
      </c>
    </row>
    <row r="79" ht="15.75" customHeight="1" s="52">
      <c r="B79" s="33" t="inlineStr">
        <is>
          <t>1005</t>
        </is>
      </c>
      <c r="C79" s="11" t="inlineStr">
        <is>
          <t>Tameem Hourani</t>
        </is>
      </c>
      <c r="D79" s="11" t="inlineStr">
        <is>
          <t>100- Operations:110- G&amp;A</t>
        </is>
      </c>
      <c r="E79" s="32" t="n">
        <v>1</v>
      </c>
    </row>
    <row r="80" ht="15.75" customHeight="1" s="52">
      <c r="B80" s="33" t="inlineStr">
        <is>
          <t>2402</t>
        </is>
      </c>
      <c r="C80" s="18" t="inlineStr">
        <is>
          <t>Reese Boisse</t>
        </is>
      </c>
      <c r="D80" s="11" t="inlineStr">
        <is>
          <t>300- ServiceNow:330- Sales</t>
        </is>
      </c>
      <c r="E80" s="32" t="n">
        <v>9</v>
      </c>
    </row>
    <row r="81" ht="15.75" customHeight="1" s="52">
      <c r="B81" s="18" t="inlineStr">
        <is>
          <t>2334</t>
        </is>
      </c>
      <c r="C81" s="11" t="inlineStr">
        <is>
          <t>Daniel Mooney</t>
        </is>
      </c>
      <c r="D81" s="11" t="inlineStr">
        <is>
          <t>300- ServiceNow:330- Sales</t>
        </is>
      </c>
      <c r="E81" s="32" t="n">
        <v>141</v>
      </c>
    </row>
    <row r="82" ht="15.75" customHeight="1" s="52">
      <c r="B82" s="18" t="inlineStr">
        <is>
          <t>2342</t>
        </is>
      </c>
      <c r="C82" s="11" t="inlineStr">
        <is>
          <t>Matt Morris</t>
        </is>
      </c>
      <c r="D82" s="11" t="inlineStr">
        <is>
          <t>300- ServiceNow:330- Sales</t>
        </is>
      </c>
      <c r="E82" s="31" t="n">
        <v>67</v>
      </c>
    </row>
    <row r="83" ht="15.75" customHeight="1" s="52">
      <c r="B83" s="33" t="inlineStr">
        <is>
          <t>2359</t>
        </is>
      </c>
      <c r="C83" s="11" t="inlineStr">
        <is>
          <t>Ronald Pruitt</t>
        </is>
      </c>
      <c r="D83" s="11" t="inlineStr">
        <is>
          <t>200- Datadog:230- Sales</t>
        </is>
      </c>
      <c r="E83" s="32" t="n">
        <v>140</v>
      </c>
    </row>
    <row r="84" ht="15.75" customHeight="1" s="52">
      <c r="B84" s="33" t="inlineStr">
        <is>
          <t>2642</t>
        </is>
      </c>
      <c r="C84" s="11" t="inlineStr">
        <is>
          <t>Robert Witty</t>
        </is>
      </c>
      <c r="D84" s="11" t="inlineStr">
        <is>
          <t>300- ServiceNow:320- Engineering</t>
        </is>
      </c>
      <c r="E84" s="32" t="n">
        <v>74</v>
      </c>
    </row>
    <row r="85" ht="15.75" customHeight="1" s="52">
      <c r="B85" s="18" t="inlineStr">
        <is>
          <t>1369</t>
        </is>
      </c>
      <c r="C85" s="11" t="inlineStr">
        <is>
          <t>Henri Hatch</t>
        </is>
      </c>
      <c r="D85" s="11" t="inlineStr">
        <is>
          <t>300- ServiceNow:320- Engineering</t>
        </is>
      </c>
      <c r="E85" s="32" t="n">
        <v>63</v>
      </c>
    </row>
    <row r="86" ht="15.75" customHeight="1" s="52">
      <c r="B86" s="18" t="inlineStr">
        <is>
          <t>2375</t>
        </is>
      </c>
      <c r="C86" s="11" t="inlineStr">
        <is>
          <t>Bekim Protopapa</t>
        </is>
      </c>
      <c r="D86" s="11" t="inlineStr">
        <is>
          <t>200- Datadog:230- Sales</t>
        </is>
      </c>
      <c r="E86" s="32" t="n">
        <v>142</v>
      </c>
    </row>
    <row r="87" ht="15.75" customHeight="1" s="52">
      <c r="B87" s="33" t="inlineStr">
        <is>
          <t>3178</t>
        </is>
      </c>
      <c r="C87" s="11" t="inlineStr">
        <is>
          <t>Josh Van Harn</t>
        </is>
      </c>
      <c r="D87" s="11" t="inlineStr">
        <is>
          <t>300- ServiceNow:330- Sales</t>
        </is>
      </c>
      <c r="E87" s="32" t="n">
        <v>23</v>
      </c>
    </row>
    <row r="88" ht="15.75" customHeight="1" s="52">
      <c r="B88" s="33" t="inlineStr">
        <is>
          <t>2816</t>
        </is>
      </c>
      <c r="C88" s="11" t="inlineStr">
        <is>
          <t>Danielle Severs</t>
        </is>
      </c>
      <c r="D88" s="11" t="inlineStr">
        <is>
          <t>300- ServiceNow:310- Delivery</t>
        </is>
      </c>
      <c r="E88" s="32" t="n">
        <v>85</v>
      </c>
    </row>
    <row r="89" ht="15.75" customHeight="1" s="52">
      <c r="B89" s="33" t="inlineStr">
        <is>
          <t>1008</t>
        </is>
      </c>
      <c r="C89" s="11" t="inlineStr">
        <is>
          <t>Tameem Hourani</t>
        </is>
      </c>
      <c r="D89" s="11" t="inlineStr">
        <is>
          <t>100- Operations:110- G&amp;A</t>
        </is>
      </c>
      <c r="E89" s="32" t="n">
        <v>1</v>
      </c>
    </row>
    <row r="90" ht="15.75" customHeight="1" s="52">
      <c r="B90" s="33" t="inlineStr">
        <is>
          <t>1016</t>
        </is>
      </c>
      <c r="C90" s="11" t="inlineStr">
        <is>
          <t>Alexandra Hourani</t>
        </is>
      </c>
      <c r="D90" s="11" t="inlineStr">
        <is>
          <t>100- Operations:110- G&amp;A</t>
        </is>
      </c>
      <c r="E90" s="32" t="n">
        <v>46</v>
      </c>
    </row>
    <row r="91" ht="15.75" customHeight="1" s="52">
      <c r="B91" s="33" t="inlineStr">
        <is>
          <t>1393</t>
        </is>
      </c>
      <c r="C91" s="11" t="inlineStr">
        <is>
          <t>Kara Sims</t>
        </is>
      </c>
      <c r="D91" s="11" t="inlineStr">
        <is>
          <t>100- Operations:120- Marketing</t>
        </is>
      </c>
      <c r="E91" s="31" t="n">
        <v>144</v>
      </c>
    </row>
    <row r="92" ht="15.75" customHeight="1" s="52">
      <c r="B92" s="33" t="inlineStr">
        <is>
          <t>1401</t>
        </is>
      </c>
      <c r="C92" s="11" t="inlineStr">
        <is>
          <t>Todd Rizley</t>
        </is>
      </c>
      <c r="D92" s="11" t="inlineStr">
        <is>
          <t>200- Datadog:230- Sales</t>
        </is>
      </c>
      <c r="E92" s="32" t="n">
        <v>145</v>
      </c>
    </row>
    <row r="93" ht="15.75" customHeight="1" s="52">
      <c r="B93" s="18" t="inlineStr">
        <is>
          <t>1427</t>
        </is>
      </c>
      <c r="C93" s="11" t="inlineStr">
        <is>
          <t>Gary Passaglia</t>
        </is>
      </c>
      <c r="D93" s="11" t="inlineStr">
        <is>
          <t>300- ServiceNow:330- Sales</t>
        </is>
      </c>
      <c r="E93" s="32" t="n">
        <v>148</v>
      </c>
    </row>
    <row r="94" ht="15.75" customHeight="1" s="52">
      <c r="B94" s="33" t="inlineStr">
        <is>
          <t>1040</t>
        </is>
      </c>
      <c r="C94" s="11" t="inlineStr">
        <is>
          <t>Canaan Hourani</t>
        </is>
      </c>
      <c r="D94" s="11" t="inlineStr">
        <is>
          <t>100- Operations:110- G&amp;A</t>
        </is>
      </c>
      <c r="E94" s="32" t="n">
        <v>47</v>
      </c>
    </row>
    <row r="95" ht="15.75" customHeight="1" s="52">
      <c r="B95" s="33" t="inlineStr">
        <is>
          <t>1435</t>
        </is>
      </c>
      <c r="C95" s="11" t="inlineStr">
        <is>
          <t>Hannah Farley</t>
        </is>
      </c>
      <c r="D95" s="11" t="inlineStr">
        <is>
          <t>300- ServiceNow:310- Delivery</t>
        </is>
      </c>
      <c r="E95" s="32" t="n">
        <v>149</v>
      </c>
    </row>
    <row r="96" ht="15.75" customHeight="1" s="52">
      <c r="B96" s="33" t="inlineStr">
        <is>
          <t>1419</t>
        </is>
      </c>
      <c r="C96" s="11" t="inlineStr">
        <is>
          <t>Ryan Mcstravick</t>
        </is>
      </c>
      <c r="D96" s="11" t="inlineStr">
        <is>
          <t>300- ServiceNow:320- Engineering</t>
        </is>
      </c>
      <c r="E96" s="32" t="n">
        <v>146</v>
      </c>
    </row>
    <row r="97" ht="15.75" customHeight="1" s="52">
      <c r="B97" s="33" t="inlineStr">
        <is>
          <t>1443</t>
        </is>
      </c>
      <c r="C97" s="11" t="inlineStr">
        <is>
          <t>Anthony Tambash</t>
        </is>
      </c>
      <c r="D97" s="11" t="inlineStr">
        <is>
          <t>300- ServiceNow:320- Engineering</t>
        </is>
      </c>
      <c r="E97" s="32" t="n">
        <v>152</v>
      </c>
    </row>
    <row r="98" ht="15.75" customHeight="1" s="52">
      <c r="B98" s="18" t="inlineStr">
        <is>
          <t>2980</t>
        </is>
      </c>
      <c r="C98" s="11" t="inlineStr">
        <is>
          <t>Tanner Ylvisaker</t>
        </is>
      </c>
      <c r="D98" s="11" t="inlineStr">
        <is>
          <t>300- ServiceNow:320- Engineering</t>
        </is>
      </c>
      <c r="E98" s="32" t="n">
        <v>99</v>
      </c>
    </row>
    <row r="99" ht="15.75" customHeight="1" s="52">
      <c r="B99" s="18" t="inlineStr">
        <is>
          <t>1339</t>
        </is>
      </c>
      <c r="C99" s="11" t="inlineStr">
        <is>
          <t>Nadege Le Goff</t>
        </is>
      </c>
      <c r="D99" s="11" t="inlineStr">
        <is>
          <t>300- ServiceNow:310- Delivery</t>
        </is>
      </c>
      <c r="E99" s="32" t="n">
        <v>37</v>
      </c>
    </row>
    <row r="100" ht="15.75" customHeight="1" s="52">
      <c r="B100" s="18" t="inlineStr">
        <is>
          <t>2063</t>
        </is>
      </c>
      <c r="C100" s="11" t="inlineStr">
        <is>
          <t>Ana Baciu</t>
        </is>
      </c>
      <c r="D100" s="11" t="inlineStr">
        <is>
          <t>300- ServiceNow:310- Delivery</t>
        </is>
      </c>
      <c r="E100" s="32" t="n">
        <v>110</v>
      </c>
    </row>
    <row r="101" ht="15.75" customHeight="1" s="52">
      <c r="B101" s="33" t="inlineStr">
        <is>
          <t>1468</t>
        </is>
      </c>
      <c r="C101" s="11" t="inlineStr">
        <is>
          <t>Ryan Henrich</t>
        </is>
      </c>
      <c r="D101" s="11" t="inlineStr">
        <is>
          <t>200- Datadog:230- Sales</t>
        </is>
      </c>
      <c r="E101" s="32" t="n">
        <v>154</v>
      </c>
    </row>
    <row r="102" ht="15.75" customHeight="1" s="52">
      <c r="B102" s="18" t="inlineStr">
        <is>
          <t>1500</t>
        </is>
      </c>
      <c r="C102" s="11" t="inlineStr">
        <is>
          <t>Ben Roberts</t>
        </is>
      </c>
      <c r="D102" s="11" t="inlineStr">
        <is>
          <t>200- Datadog:220- Engineering</t>
        </is>
      </c>
      <c r="E102" s="31" t="n">
        <v>159</v>
      </c>
    </row>
    <row r="103" ht="15.75" customHeight="1" s="52">
      <c r="B103" s="18" t="inlineStr">
        <is>
          <t>1476</t>
        </is>
      </c>
      <c r="C103" s="11" t="inlineStr">
        <is>
          <t>Dwight Henderson Jr</t>
        </is>
      </c>
      <c r="D103" s="11" t="inlineStr">
        <is>
          <t>200- Datadog:230- Sales</t>
        </is>
      </c>
      <c r="E103" s="32" t="n">
        <v>156</v>
      </c>
    </row>
    <row r="104" ht="15.75" customHeight="1" s="52">
      <c r="B104" s="33" t="inlineStr">
        <is>
          <t>1534</t>
        </is>
      </c>
      <c r="C104" s="11" t="inlineStr">
        <is>
          <t>Allison Schwenn</t>
        </is>
      </c>
      <c r="D104" s="11" t="inlineStr">
        <is>
          <t>100- Operations:110- G&amp;A</t>
        </is>
      </c>
      <c r="E104" s="32" t="n">
        <v>147</v>
      </c>
    </row>
    <row r="105" ht="15.75" customHeight="1" s="52">
      <c r="B105" s="18" t="inlineStr">
        <is>
          <t>1450</t>
        </is>
      </c>
      <c r="C105" s="11" t="inlineStr">
        <is>
          <t>Robert Lankford</t>
        </is>
      </c>
      <c r="D105" s="11" t="inlineStr">
        <is>
          <t>300- ServiceNow:320- Engineering</t>
        </is>
      </c>
      <c r="E105" s="32" t="n">
        <v>155</v>
      </c>
    </row>
    <row r="106" ht="15.75" customHeight="1" s="52">
      <c r="B106" s="18" t="inlineStr">
        <is>
          <t>2524</t>
        </is>
      </c>
      <c r="C106" s="11" t="inlineStr">
        <is>
          <t>Kevin Montes De Oca</t>
        </is>
      </c>
      <c r="D106" s="11" t="inlineStr">
        <is>
          <t>300- ServiceNow:320- Engineering</t>
        </is>
      </c>
      <c r="E106" s="32" t="n">
        <v>165</v>
      </c>
    </row>
    <row r="107" ht="15.75" customHeight="1" s="52">
      <c r="B107" s="18" t="inlineStr">
        <is>
          <t>1567</t>
        </is>
      </c>
      <c r="C107" s="11" t="inlineStr">
        <is>
          <t>Gabe Sanna</t>
        </is>
      </c>
      <c r="D107" s="11" t="inlineStr">
        <is>
          <t>200- Datadog:220- Engineering</t>
        </is>
      </c>
      <c r="E107" s="31" t="n">
        <v>168</v>
      </c>
    </row>
    <row r="108" ht="15.75" customHeight="1" s="52">
      <c r="B108" s="18" t="inlineStr">
        <is>
          <t>1559</t>
        </is>
      </c>
      <c r="C108" s="18" t="inlineStr">
        <is>
          <t>Jonathan Stricklin</t>
        </is>
      </c>
      <c r="D108" s="11" t="inlineStr">
        <is>
          <t>300- ServiceNow:320- Engineering</t>
        </is>
      </c>
      <c r="E108" s="32" t="n">
        <v>167</v>
      </c>
    </row>
    <row r="109" ht="15.75" customHeight="1" s="52">
      <c r="B109" s="18" t="inlineStr">
        <is>
          <t>1575</t>
        </is>
      </c>
      <c r="C109" s="18" t="inlineStr">
        <is>
          <t>Jason Speet</t>
        </is>
      </c>
      <c r="D109" s="11" t="inlineStr">
        <is>
          <t>300- ServiceNow:320- Engineering</t>
        </is>
      </c>
      <c r="E109" s="32" t="n">
        <v>169</v>
      </c>
    </row>
    <row r="110" ht="15.75" customHeight="1" s="52">
      <c r="B110" s="18" t="inlineStr">
        <is>
          <t>2516</t>
        </is>
      </c>
      <c r="C110" s="18" t="inlineStr">
        <is>
          <t>Adam Hansen</t>
        </is>
      </c>
      <c r="D110" s="11" t="inlineStr">
        <is>
          <t>300- ServiceNow:320- Engineering</t>
        </is>
      </c>
      <c r="E110" s="32" t="n">
        <v>164</v>
      </c>
    </row>
    <row r="111" ht="15.75" customHeight="1" s="52">
      <c r="B111" s="18" t="inlineStr">
        <is>
          <t>2615</t>
        </is>
      </c>
      <c r="C111" s="18" t="inlineStr">
        <is>
          <t>Kanneti Jhansi</t>
        </is>
      </c>
      <c r="D111" s="11" t="inlineStr">
        <is>
          <t>200- Datadog:220- Engineering</t>
        </is>
      </c>
      <c r="E111" s="32" t="n">
        <v>171</v>
      </c>
    </row>
    <row r="112" ht="15.75" customHeight="1" s="52">
      <c r="B112" s="18" t="inlineStr">
        <is>
          <t>2607</t>
        </is>
      </c>
      <c r="C112" s="18" t="inlineStr">
        <is>
          <t>Jason Fox</t>
        </is>
      </c>
      <c r="D112" s="11" t="inlineStr">
        <is>
          <t>200- Datadog:220- Engineering</t>
        </is>
      </c>
      <c r="E112" s="32" t="n">
        <v>172</v>
      </c>
    </row>
    <row r="113" ht="15.75" customHeight="1" s="52">
      <c r="B113" s="18" t="inlineStr">
        <is>
          <t>2623</t>
        </is>
      </c>
      <c r="C113" s="18" t="inlineStr">
        <is>
          <t>Mickenzi Krpec</t>
        </is>
      </c>
      <c r="D113" s="11" t="inlineStr">
        <is>
          <t>100- Operations:110- G&amp;A</t>
        </is>
      </c>
      <c r="E113" s="32" t="n">
        <v>170</v>
      </c>
    </row>
    <row r="114" ht="15.75" customHeight="1" s="52">
      <c r="B114" s="18" t="inlineStr">
        <is>
          <t>1542</t>
        </is>
      </c>
      <c r="C114" s="18" t="inlineStr">
        <is>
          <t>Michael Scalia</t>
        </is>
      </c>
      <c r="D114" s="11" t="inlineStr">
        <is>
          <t>300- ServiceNow:320- Engineering</t>
        </is>
      </c>
      <c r="E114" s="32" t="n">
        <v>166</v>
      </c>
    </row>
    <row r="115" ht="15.75" customHeight="1" s="52">
      <c r="B115" s="18" t="inlineStr">
        <is>
          <t>1583</t>
        </is>
      </c>
      <c r="C115" s="18" t="inlineStr">
        <is>
          <t>Daniel Throckmorton</t>
        </is>
      </c>
      <c r="D115" s="11" t="inlineStr">
        <is>
          <t>300- ServiceNow:320- Engineering</t>
        </is>
      </c>
      <c r="E115" s="32" t="n">
        <v>157</v>
      </c>
    </row>
    <row r="116" ht="15.75" customHeight="1" s="52">
      <c r="B116" s="18" t="inlineStr">
        <is>
          <t>2485</t>
        </is>
      </c>
      <c r="C116" s="18" t="inlineStr">
        <is>
          <t>Colin Galanaugh</t>
        </is>
      </c>
      <c r="D116" s="11" t="inlineStr">
        <is>
          <t>200- Datadog:230- Sales</t>
        </is>
      </c>
      <c r="E116" s="32" t="n">
        <v>19</v>
      </c>
    </row>
    <row r="117" ht="15.75" customHeight="1" s="52">
      <c r="B117" s="18" t="inlineStr">
        <is>
          <t>1641</t>
        </is>
      </c>
      <c r="C117" s="18" t="inlineStr">
        <is>
          <t>Meghan Murray</t>
        </is>
      </c>
      <c r="D117" s="11" t="inlineStr">
        <is>
          <t>300- ServiceNow:310- Delivery</t>
        </is>
      </c>
      <c r="E117" s="32" t="n">
        <v>175</v>
      </c>
    </row>
    <row r="118" ht="15.75" customHeight="1" s="52">
      <c r="B118" s="18" t="inlineStr">
        <is>
          <t>1658</t>
        </is>
      </c>
      <c r="C118" s="18" t="inlineStr">
        <is>
          <t>Austin Nadler</t>
        </is>
      </c>
      <c r="D118" s="11" t="inlineStr">
        <is>
          <t>300- ServiceNow:320- Engineering</t>
        </is>
      </c>
      <c r="E118" s="32" t="n">
        <v>176</v>
      </c>
    </row>
    <row r="119" ht="15.75" customHeight="1" s="52">
      <c r="B119" s="18" t="inlineStr">
        <is>
          <t>1682</t>
        </is>
      </c>
      <c r="C119" s="11" t="inlineStr">
        <is>
          <t>Andrew Warrick</t>
        </is>
      </c>
      <c r="D119" s="11" t="inlineStr">
        <is>
          <t>300- ServiceNow:320- Engineering</t>
        </is>
      </c>
      <c r="E119" s="32" t="n">
        <v>180</v>
      </c>
    </row>
    <row r="120" ht="15.75" customHeight="1" s="52">
      <c r="B120" s="18" t="inlineStr">
        <is>
          <t>1674</t>
        </is>
      </c>
      <c r="C120" s="11" t="inlineStr">
        <is>
          <t>Matt Descoteaux</t>
        </is>
      </c>
      <c r="D120" s="11" t="inlineStr">
        <is>
          <t>300- ServiceNow:320- Engineering</t>
        </is>
      </c>
      <c r="E120" s="31" t="n">
        <v>179</v>
      </c>
    </row>
    <row r="121" ht="15.75" customHeight="1" s="52">
      <c r="B121" s="33" t="inlineStr">
        <is>
          <t>1666</t>
        </is>
      </c>
      <c r="C121" s="11" t="inlineStr">
        <is>
          <t xml:space="preserve">Dhanraj Poojari </t>
        </is>
      </c>
      <c r="D121" s="11" t="inlineStr">
        <is>
          <t>300- ServiceNow:320- Engineering</t>
        </is>
      </c>
      <c r="E121" s="31" t="n">
        <v>178</v>
      </c>
    </row>
    <row r="122" ht="15.75" customHeight="1" s="52">
      <c r="B122" s="33" t="inlineStr">
        <is>
          <t>1690</t>
        </is>
      </c>
      <c r="C122" s="11" t="inlineStr">
        <is>
          <t>Lauren Lechleitner</t>
        </is>
      </c>
      <c r="D122" s="11" t="inlineStr">
        <is>
          <t>100- Operations:110- G&amp;A</t>
        </is>
      </c>
      <c r="E122" s="32" t="n">
        <v>160</v>
      </c>
    </row>
    <row r="123" ht="15.75" customHeight="1" s="52">
      <c r="B123" s="33" t="inlineStr">
        <is>
          <t>1757</t>
        </is>
      </c>
      <c r="C123" s="11" t="inlineStr">
        <is>
          <t>Jackson Donahoe</t>
        </is>
      </c>
      <c r="D123" s="11" t="inlineStr">
        <is>
          <t>200- Datadog:230- Sales</t>
        </is>
      </c>
      <c r="E123" s="32" t="n">
        <v>143</v>
      </c>
    </row>
    <row r="124" ht="15.75" customHeight="1" s="52">
      <c r="B124" s="33" t="inlineStr">
        <is>
          <t>1765</t>
        </is>
      </c>
      <c r="C124" s="11" t="inlineStr">
        <is>
          <t>Jacob Villareal</t>
        </is>
      </c>
      <c r="D124" s="11" t="inlineStr">
        <is>
          <t>300- ServiceNow:320- Engineering</t>
        </is>
      </c>
      <c r="E124" s="31" t="n">
        <v>196</v>
      </c>
    </row>
    <row r="125" ht="15.75" customHeight="1" s="52">
      <c r="B125" s="33" t="inlineStr">
        <is>
          <t>1799</t>
        </is>
      </c>
      <c r="C125" s="18" t="inlineStr">
        <is>
          <t xml:space="preserve">Jacob Woolf </t>
        </is>
      </c>
      <c r="D125" s="11" t="inlineStr">
        <is>
          <t>300- ServiceNow:320- Engineering</t>
        </is>
      </c>
      <c r="E125" s="32" t="n">
        <v>194</v>
      </c>
    </row>
    <row r="126" ht="15.75" customHeight="1" s="52">
      <c r="B126" s="33" t="inlineStr">
        <is>
          <t>1823</t>
        </is>
      </c>
      <c r="C126" s="11" t="inlineStr">
        <is>
          <t>Teresa Bobst</t>
        </is>
      </c>
      <c r="E126" s="32" t="n">
        <v>188</v>
      </c>
    </row>
    <row r="127" ht="15.75" customHeight="1" s="52">
      <c r="B127" s="33" t="inlineStr">
        <is>
          <t>1856</t>
        </is>
      </c>
      <c r="C127" s="11" t="inlineStr">
        <is>
          <t>Tim Lee</t>
        </is>
      </c>
      <c r="E127" s="32" t="n">
        <v>213</v>
      </c>
    </row>
    <row r="128" ht="15.75" customHeight="1" s="52">
      <c r="B128" s="33" t="inlineStr">
        <is>
          <t>2813</t>
        </is>
      </c>
      <c r="C128" s="11" t="inlineStr">
        <is>
          <t>Ona Kolosky</t>
        </is>
      </c>
      <c r="D128" s="11" t="inlineStr">
        <is>
          <t>300- ServiceNow:320- Engineering</t>
        </is>
      </c>
      <c r="E128" s="32" t="n">
        <v>198</v>
      </c>
    </row>
    <row r="129" ht="15.75" customHeight="1" s="52">
      <c r="B129" s="33" t="inlineStr">
        <is>
          <t>1864</t>
        </is>
      </c>
      <c r="C129" s="18" t="inlineStr">
        <is>
          <t>Timothy Lau</t>
        </is>
      </c>
      <c r="D129" s="11" t="inlineStr">
        <is>
          <t>200- Datadog:220- Engineering</t>
        </is>
      </c>
      <c r="E129" s="32" t="n">
        <v>210</v>
      </c>
    </row>
    <row r="130" ht="15.75" customHeight="1" s="52">
      <c r="B130" s="33" t="inlineStr">
        <is>
          <t>1872</t>
        </is>
      </c>
      <c r="C130" s="11" t="inlineStr">
        <is>
          <t xml:space="preserve">Sakshi Sasalate </t>
        </is>
      </c>
      <c r="D130" s="11" t="inlineStr">
        <is>
          <t>300- ServiceNow:320- Engineering</t>
        </is>
      </c>
      <c r="E130" s="31" t="n">
        <v>209</v>
      </c>
    </row>
    <row r="131" ht="15.75" customHeight="1" s="52">
      <c r="B131" s="33" t="inlineStr">
        <is>
          <t>1724</t>
        </is>
      </c>
      <c r="C131" s="11" t="inlineStr">
        <is>
          <t>Sarah Dwyer</t>
        </is>
      </c>
      <c r="D131" s="18" t="inlineStr">
        <is>
          <t>200- Datadog:210- Delivery</t>
        </is>
      </c>
      <c r="E131" s="31" t="n">
        <v>183</v>
      </c>
    </row>
    <row r="132" ht="15.75" customHeight="1" s="52">
      <c r="B132" s="34" t="inlineStr">
        <is>
          <t>0151</t>
        </is>
      </c>
      <c r="C132" s="18" t="inlineStr">
        <is>
          <t>Eric Rabkin</t>
        </is>
      </c>
      <c r="D132" s="18" t="inlineStr">
        <is>
          <t>100- Operations:110- G&amp;A</t>
        </is>
      </c>
      <c r="E132" s="11" t="n">
        <v>246</v>
      </c>
    </row>
    <row r="133" ht="15.75" customHeight="1" s="52">
      <c r="C133" s="18" t="inlineStr">
        <is>
          <t>Kyle Bense</t>
        </is>
      </c>
      <c r="D133" s="18" t="inlineStr">
        <is>
          <t>300- ServiceNow:320- Engineering</t>
        </is>
      </c>
      <c r="E133" s="33" t="inlineStr">
        <is>
          <t>252</t>
        </is>
      </c>
    </row>
    <row r="134" ht="15.75" customHeight="1" s="52">
      <c r="C134" s="18" t="inlineStr">
        <is>
          <t>James O'Shaughnessy</t>
        </is>
      </c>
      <c r="D134" s="18" t="inlineStr">
        <is>
          <t>300- ServiceNow:310- Delivery</t>
        </is>
      </c>
      <c r="E134" s="33" t="inlineStr">
        <is>
          <t>239</t>
        </is>
      </c>
    </row>
    <row r="135" ht="15.75" customHeight="1" s="52">
      <c r="C135" s="18" t="inlineStr">
        <is>
          <t>Cody Sanderford</t>
        </is>
      </c>
      <c r="D135" s="18" t="inlineStr">
        <is>
          <t>300- ServiceNow:320- Engineering</t>
        </is>
      </c>
      <c r="E135" s="33" t="inlineStr">
        <is>
          <t>245</t>
        </is>
      </c>
    </row>
    <row r="136" ht="15.75" customHeight="1" s="52">
      <c r="C136" s="18" t="inlineStr">
        <is>
          <t>Harry Tomczyk</t>
        </is>
      </c>
      <c r="D136" s="18" t="inlineStr">
        <is>
          <t>300- ServiceNow:330- Sales</t>
        </is>
      </c>
      <c r="E136" s="33" t="inlineStr">
        <is>
          <t>251</t>
        </is>
      </c>
    </row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autoFilter ref="$B$2:$E$135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D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1"/>
    <col width="12.86" customWidth="1" style="52" min="2" max="2"/>
    <col width="24.71" customWidth="1" style="52" min="3" max="3"/>
    <col width="8.710000000000001" customWidth="1" style="52" min="4" max="26"/>
  </cols>
  <sheetData>
    <row r="3">
      <c r="B3" s="18" t="inlineStr">
        <is>
          <t>Account Type</t>
        </is>
      </c>
      <c r="C3" s="18" t="inlineStr">
        <is>
          <t>Sub Account</t>
        </is>
      </c>
      <c r="D3" s="11" t="inlineStr">
        <is>
          <t>Parent Category</t>
        </is>
      </c>
    </row>
    <row r="4">
      <c r="B4" s="18" t="inlineStr">
        <is>
          <t>Travel</t>
        </is>
      </c>
      <c r="C4" s="18" t="inlineStr">
        <is>
          <t>Airfare</t>
        </is>
      </c>
    </row>
    <row r="5">
      <c r="B5" s="18" t="inlineStr">
        <is>
          <t>G&amp;A</t>
        </is>
      </c>
      <c r="C5" s="18" t="inlineStr">
        <is>
          <t>Contractors</t>
        </is>
      </c>
      <c r="D5" s="18" t="inlineStr">
        <is>
          <t>General &amp; Administrative:</t>
        </is>
      </c>
    </row>
    <row r="6">
      <c r="B6" s="18" t="inlineStr">
        <is>
          <t>G&amp;A</t>
        </is>
      </c>
      <c r="C6" s="18" t="inlineStr">
        <is>
          <t>Dues &amp; Subscriptions</t>
        </is>
      </c>
      <c r="D6" s="18" t="inlineStr">
        <is>
          <t>General &amp; Administrative:Office Expenses:</t>
        </is>
      </c>
    </row>
    <row r="7">
      <c r="B7" s="18" t="inlineStr">
        <is>
          <t>Travel</t>
        </is>
      </c>
      <c r="C7" s="18" t="inlineStr">
        <is>
          <t>Ground Transportation</t>
        </is>
      </c>
    </row>
    <row r="8">
      <c r="B8" s="18" t="inlineStr">
        <is>
          <t>G&amp;A</t>
        </is>
      </c>
      <c r="C8" s="18" t="inlineStr">
        <is>
          <t>Hardware &amp; Peripherals</t>
        </is>
      </c>
      <c r="D8" s="18" t="inlineStr">
        <is>
          <t>General &amp; Administrative:Office Expenses:</t>
        </is>
      </c>
    </row>
    <row r="9">
      <c r="B9" s="18" t="inlineStr">
        <is>
          <t>Travel</t>
        </is>
      </c>
      <c r="C9" s="18" t="inlineStr">
        <is>
          <t>Lodging</t>
        </is>
      </c>
    </row>
    <row r="10">
      <c r="B10" s="18" t="inlineStr">
        <is>
          <t>Travel</t>
        </is>
      </c>
      <c r="C10" s="18" t="inlineStr">
        <is>
          <t>Meals &amp; Entertainment</t>
        </is>
      </c>
    </row>
    <row r="11">
      <c r="B11" s="18" t="inlineStr">
        <is>
          <t>G&amp;A</t>
        </is>
      </c>
      <c r="C11" s="18" t="inlineStr">
        <is>
          <t>Office Supplies</t>
        </is>
      </c>
      <c r="D11" s="18" t="inlineStr">
        <is>
          <t>General &amp; Administrative:Office Expenses:</t>
        </is>
      </c>
    </row>
    <row r="12">
      <c r="B12" s="18" t="inlineStr">
        <is>
          <t>S&amp;M</t>
        </is>
      </c>
      <c r="C12" s="18" t="inlineStr">
        <is>
          <t>Other Marketing Expenses</t>
        </is>
      </c>
      <c r="D12" s="18" t="inlineStr">
        <is>
          <t>Sales &amp; Marketing:Marketing Expenses:</t>
        </is>
      </c>
    </row>
    <row r="13">
      <c r="B13" s="18" t="inlineStr">
        <is>
          <t>Travel</t>
        </is>
      </c>
      <c r="C13" s="18" t="inlineStr">
        <is>
          <t>Other Travel Expenses</t>
        </is>
      </c>
    </row>
    <row r="14">
      <c r="B14" s="18" t="inlineStr">
        <is>
          <t>G&amp;A</t>
        </is>
      </c>
      <c r="C14" s="18" t="inlineStr">
        <is>
          <t>Shipping Expense</t>
        </is>
      </c>
      <c r="D14" s="18" t="inlineStr">
        <is>
          <t>General &amp; Administrative:Office Expenses:</t>
        </is>
      </c>
    </row>
    <row r="15">
      <c r="B15" s="18" t="inlineStr">
        <is>
          <t>G&amp;A</t>
        </is>
      </c>
      <c r="C15" s="18" t="inlineStr">
        <is>
          <t>Software Licenses</t>
        </is>
      </c>
      <c r="D15" s="18" t="inlineStr">
        <is>
          <t>General &amp; Administrative:</t>
        </is>
      </c>
    </row>
    <row r="16">
      <c r="B16" s="18" t="inlineStr">
        <is>
          <t>G&amp;A</t>
        </is>
      </c>
      <c r="C16" s="18" t="inlineStr">
        <is>
          <t>Misc. Taxes &amp; Licenses</t>
        </is>
      </c>
      <c r="D16" s="18" t="inlineStr">
        <is>
          <t>General &amp; Administrative:</t>
        </is>
      </c>
    </row>
    <row r="17">
      <c r="B17" s="18" t="inlineStr">
        <is>
          <t>G&amp;A</t>
        </is>
      </c>
      <c r="C17" s="18" t="inlineStr">
        <is>
          <t>Utilities</t>
        </is>
      </c>
      <c r="D17" s="18" t="inlineStr">
        <is>
          <t>General &amp; Administrative:Office Expenses:</t>
        </is>
      </c>
    </row>
    <row r="18">
      <c r="B18" s="18" t="inlineStr">
        <is>
          <t>G&amp;A</t>
        </is>
      </c>
      <c r="C18" s="18" t="inlineStr">
        <is>
          <t>Communication Expense</t>
        </is>
      </c>
      <c r="D18" s="18" t="inlineStr">
        <is>
          <t>General &amp; Administrative:Office Expenses:</t>
        </is>
      </c>
    </row>
    <row r="19">
      <c r="B19" s="18" t="inlineStr">
        <is>
          <t>G&amp;A</t>
        </is>
      </c>
      <c r="C19" s="18" t="inlineStr">
        <is>
          <t>Charitable Contribution</t>
        </is>
      </c>
      <c r="D19" s="18" t="inlineStr">
        <is>
          <t>General &amp; Administrative:</t>
        </is>
      </c>
    </row>
    <row r="20">
      <c r="B20" s="18" t="inlineStr">
        <is>
          <t>G&amp;A</t>
        </is>
      </c>
      <c r="C20" s="18" t="inlineStr">
        <is>
          <t>General &amp; Administrative:Office Expenses:Rent &amp; Lease</t>
        </is>
      </c>
      <c r="D20" s="18" t="inlineStr">
        <is>
          <t>General &amp; Administrative:</t>
        </is>
      </c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" customWidth="1" style="52" min="1" max="1"/>
    <col width="74.56999999999999" customWidth="1" style="52" min="2" max="2"/>
    <col width="8.710000000000001" customWidth="1" style="52" min="3" max="26"/>
  </cols>
  <sheetData>
    <row r="1" ht="18.75" customHeight="1" s="52">
      <c r="A1" s="35" t="n"/>
      <c r="B1" s="36" t="inlineStr">
        <is>
          <t>All QBO Accounts</t>
        </is>
      </c>
    </row>
    <row r="2">
      <c r="B2" s="37" t="n">
        <v>45904</v>
      </c>
    </row>
    <row r="3" ht="6.75" customHeight="1" s="52"/>
    <row r="4">
      <c r="B4" s="18" t="inlineStr">
        <is>
          <t>BOA Checking 4855</t>
        </is>
      </c>
    </row>
    <row r="5">
      <c r="B5" s="18" t="inlineStr">
        <is>
          <t>Brex Checking</t>
        </is>
      </c>
    </row>
    <row r="6">
      <c r="B6" s="18" t="inlineStr">
        <is>
          <t>Cash</t>
        </is>
      </c>
    </row>
    <row r="7">
      <c r="B7" s="18" t="inlineStr">
        <is>
          <t>Checking (Citizens)</t>
        </is>
      </c>
    </row>
    <row r="8">
      <c r="B8" s="18" t="inlineStr">
        <is>
          <t>Northern Bank Checking 3097</t>
        </is>
      </c>
    </row>
    <row r="9">
      <c r="B9" s="18" t="inlineStr">
        <is>
          <t>Accounts Receivable</t>
        </is>
      </c>
    </row>
    <row r="10">
      <c r="B10" s="18" t="inlineStr">
        <is>
          <t>Accounts Receivable (A/R)</t>
        </is>
      </c>
    </row>
    <row r="11">
      <c r="B11" s="18" t="inlineStr">
        <is>
          <t>Accounts Receivable (A/R) - CAD</t>
        </is>
      </c>
    </row>
    <row r="12">
      <c r="B12" s="18" t="inlineStr">
        <is>
          <t>Accounts Receivable (A/R) - EUR</t>
        </is>
      </c>
    </row>
    <row r="13">
      <c r="B13" s="18" t="inlineStr">
        <is>
          <t>Accounts Receivable (A/R) - GBP</t>
        </is>
      </c>
    </row>
    <row r="14">
      <c r="B14" s="18" t="inlineStr">
        <is>
          <t>Asset Clearing</t>
        </is>
      </c>
    </row>
    <row r="15">
      <c r="B15" s="18" t="inlineStr">
        <is>
          <t>Credit Card Receivables (deleted)</t>
        </is>
      </c>
    </row>
    <row r="16">
      <c r="B16" s="18" t="inlineStr">
        <is>
          <t>Inventory Asset</t>
        </is>
      </c>
    </row>
    <row r="17">
      <c r="B17" s="18" t="inlineStr">
        <is>
          <t>Miscellaneous Receivables</t>
        </is>
      </c>
    </row>
    <row r="18">
      <c r="B18" s="18" t="inlineStr">
        <is>
          <t>Other Prepaid Expenses</t>
        </is>
      </c>
    </row>
    <row r="19">
      <c r="B19" s="18" t="inlineStr">
        <is>
          <t>Prepaid Expenses</t>
        </is>
      </c>
    </row>
    <row r="20">
      <c r="B20" s="18" t="inlineStr">
        <is>
          <t>Prepaid Insurance</t>
        </is>
      </c>
    </row>
    <row r="21" ht="15.75" customHeight="1" s="52">
      <c r="B21" s="18" t="inlineStr">
        <is>
          <t>Prepaid Travel</t>
        </is>
      </c>
    </row>
    <row r="22" ht="15.75" customHeight="1" s="52">
      <c r="B22" s="18" t="inlineStr">
        <is>
          <t>ST Loan Receivable</t>
        </is>
      </c>
    </row>
    <row r="23" ht="15.75" customHeight="1" s="52">
      <c r="B23" s="18" t="inlineStr">
        <is>
          <t>Unbilled Receivables</t>
        </is>
      </c>
    </row>
    <row r="24" ht="15.75" customHeight="1" s="52">
      <c r="B24" s="18" t="inlineStr">
        <is>
          <t>Uncategorized Asset</t>
        </is>
      </c>
    </row>
    <row r="25" ht="15.75" customHeight="1" s="52">
      <c r="B25" s="18" t="inlineStr">
        <is>
          <t>Undeposited Funds</t>
        </is>
      </c>
    </row>
    <row r="26" ht="15.75" customHeight="1" s="52">
      <c r="B26" s="18" t="inlineStr">
        <is>
          <t>A/A- Developed Software</t>
        </is>
      </c>
    </row>
    <row r="27" ht="15.75" customHeight="1" s="52">
      <c r="B27" s="18" t="inlineStr">
        <is>
          <t>A/D- Equipment</t>
        </is>
      </c>
    </row>
    <row r="28" ht="15.75" customHeight="1" s="52">
      <c r="B28" s="18" t="inlineStr">
        <is>
          <t>A/D- Furniture &amp; Fixtures</t>
        </is>
      </c>
    </row>
    <row r="29" ht="15.75" customHeight="1" s="52">
      <c r="B29" s="18" t="inlineStr">
        <is>
          <t>A/D- ROU Asset- Office</t>
        </is>
      </c>
    </row>
    <row r="30" ht="15.75" customHeight="1" s="52">
      <c r="B30" s="18" t="inlineStr">
        <is>
          <t>Accumulated Amortization</t>
        </is>
      </c>
    </row>
    <row r="31" ht="15.75" customHeight="1" s="52">
      <c r="B31" s="18" t="inlineStr">
        <is>
          <t>Accumulated Depreciated</t>
        </is>
      </c>
    </row>
    <row r="32" ht="15.75" customHeight="1" s="52">
      <c r="B32" s="18" t="inlineStr">
        <is>
          <t>Developed Software</t>
        </is>
      </c>
    </row>
    <row r="33" ht="15.75" customHeight="1" s="52">
      <c r="B33" s="18" t="inlineStr">
        <is>
          <t>Equipment</t>
        </is>
      </c>
    </row>
    <row r="34" ht="15.75" customHeight="1" s="52">
      <c r="B34" s="18" t="inlineStr">
        <is>
          <t>Fixed Assets</t>
        </is>
      </c>
    </row>
    <row r="35" ht="15.75" customHeight="1" s="52">
      <c r="B35" s="18" t="inlineStr">
        <is>
          <t>Furniture &amp; Fixtures</t>
        </is>
      </c>
    </row>
    <row r="36" ht="15.75" customHeight="1" s="52">
      <c r="B36" s="18" t="inlineStr">
        <is>
          <t>Intangible Assets</t>
        </is>
      </c>
    </row>
    <row r="37" ht="15.75" customHeight="1" s="52">
      <c r="B37" s="18" t="inlineStr">
        <is>
          <t>ROU Asset- Office</t>
        </is>
      </c>
    </row>
    <row r="38" ht="15.75" customHeight="1" s="52">
      <c r="B38" s="18" t="inlineStr">
        <is>
          <t>Vendor Deposits</t>
        </is>
      </c>
    </row>
    <row r="39" ht="15.75" customHeight="1" s="52">
      <c r="B39" s="18" t="inlineStr">
        <is>
          <t>Accounts Payable</t>
        </is>
      </c>
    </row>
    <row r="40" ht="15.75" customHeight="1" s="52">
      <c r="B40" s="18" t="inlineStr">
        <is>
          <t>Accounts Payable (A/P)</t>
        </is>
      </c>
    </row>
    <row r="41" ht="15.75" customHeight="1" s="52">
      <c r="B41" s="18" t="inlineStr">
        <is>
          <t>Accounts Payable (A/P) - AUD</t>
        </is>
      </c>
    </row>
    <row r="42" ht="15.75" customHeight="1" s="52">
      <c r="B42" s="18" t="inlineStr">
        <is>
          <t>Accounts Payable (A/P) - GBP</t>
        </is>
      </c>
    </row>
    <row r="43" ht="15.75" customHeight="1" s="52">
      <c r="B43" s="18" t="inlineStr">
        <is>
          <t>Amex Centurion *01008</t>
        </is>
      </c>
    </row>
    <row r="44" ht="15.75" customHeight="1" s="52">
      <c r="B44" s="18" t="inlineStr">
        <is>
          <t>Amex Delta *13003</t>
        </is>
      </c>
    </row>
    <row r="45" ht="15.75" customHeight="1" s="52">
      <c r="B45" s="18" t="inlineStr">
        <is>
          <t>Amex Plat *12006</t>
        </is>
      </c>
    </row>
    <row r="46" ht="15.75" customHeight="1" s="52">
      <c r="B46" s="18" t="inlineStr">
        <is>
          <t>Amex Plat 2 *51005</t>
        </is>
      </c>
    </row>
    <row r="47" ht="15.75" customHeight="1" s="52">
      <c r="B47" s="18" t="inlineStr">
        <is>
          <t>BofA Corp Acct CC (deleted)</t>
        </is>
      </c>
    </row>
    <row r="48" ht="15.75" customHeight="1" s="52">
      <c r="B48" s="18" t="inlineStr">
        <is>
          <t>Brex Credit Card</t>
        </is>
      </c>
    </row>
    <row r="49" ht="15.75" customHeight="1" s="52">
      <c r="B49" s="18" t="inlineStr">
        <is>
          <t>Credit Cards</t>
        </is>
      </c>
    </row>
    <row r="50" ht="15.75" customHeight="1" s="52">
      <c r="B50" s="18" t="inlineStr">
        <is>
          <t>Money Owed Tameem (deleted)</t>
        </is>
      </c>
    </row>
    <row r="51" ht="15.75" customHeight="1" s="52">
      <c r="B51" s="18" t="inlineStr">
        <is>
          <t>401k Liability</t>
        </is>
      </c>
    </row>
    <row r="52" ht="15.75" customHeight="1" s="52">
      <c r="B52" s="18" t="inlineStr">
        <is>
          <t>Accrued Bonus</t>
        </is>
      </c>
    </row>
    <row r="53" ht="15.75" customHeight="1" s="52">
      <c r="B53" s="18" t="inlineStr">
        <is>
          <t>Accrued Commission</t>
        </is>
      </c>
    </row>
    <row r="54" ht="15.75" customHeight="1" s="52">
      <c r="B54" s="18" t="inlineStr">
        <is>
          <t>Accrued Liabilities</t>
        </is>
      </c>
    </row>
    <row r="55" ht="15.75" customHeight="1" s="52">
      <c r="B55" s="18" t="inlineStr">
        <is>
          <t>Accrued Payroll</t>
        </is>
      </c>
    </row>
    <row r="56" ht="15.75" customHeight="1" s="52">
      <c r="B56" s="18" t="inlineStr">
        <is>
          <t>Accrued Severance</t>
        </is>
      </c>
    </row>
    <row r="57" ht="15.75" customHeight="1" s="52">
      <c r="B57" s="18" t="inlineStr">
        <is>
          <t>Deferred MSP Revenue</t>
        </is>
      </c>
    </row>
    <row r="58" ht="15.75" customHeight="1" s="52">
      <c r="B58" s="18" t="inlineStr">
        <is>
          <t>Deferred Services Revenue</t>
        </is>
      </c>
    </row>
    <row r="59" ht="15.75" customHeight="1" s="52">
      <c r="B59" s="18" t="inlineStr">
        <is>
          <t>Deferred Software Revenue</t>
        </is>
      </c>
    </row>
    <row r="60" ht="15.75" customHeight="1" s="52">
      <c r="B60" s="18" t="inlineStr">
        <is>
          <t>Federal Income Tax Payable</t>
        </is>
      </c>
    </row>
    <row r="61" ht="15.75" customHeight="1" s="52">
      <c r="B61" s="18" t="inlineStr">
        <is>
          <t>Fringe Benefits Liability</t>
        </is>
      </c>
    </row>
    <row r="62" ht="15.75" customHeight="1" s="52">
      <c r="B62" s="18" t="inlineStr">
        <is>
          <t>Health Insurance Liability</t>
        </is>
      </c>
    </row>
    <row r="63" ht="15.75" customHeight="1" s="52">
      <c r="B63" s="18" t="inlineStr">
        <is>
          <t>Interest Payable</t>
        </is>
      </c>
    </row>
    <row r="64" ht="15.75" customHeight="1" s="52">
      <c r="B64" s="18" t="inlineStr">
        <is>
          <t>Massachusetts Department of Revenue Payable</t>
        </is>
      </c>
    </row>
    <row r="65" ht="15.75" customHeight="1" s="52">
      <c r="B65" s="18" t="inlineStr">
        <is>
          <t>Other Current Liabilities</t>
        </is>
      </c>
    </row>
    <row r="66" ht="15.75" customHeight="1" s="52">
      <c r="B66" s="18" t="inlineStr">
        <is>
          <t>Out Of Scope Agency Payable</t>
        </is>
      </c>
    </row>
    <row r="67" ht="15.75" customHeight="1" s="52">
      <c r="B67" s="18" t="inlineStr">
        <is>
          <t>Payroll Clearing</t>
        </is>
      </c>
    </row>
    <row r="68" ht="15.75" customHeight="1" s="52">
      <c r="B68" s="18" t="inlineStr">
        <is>
          <t>Payroll Tax Liability</t>
        </is>
      </c>
    </row>
    <row r="69" ht="15.75" customHeight="1" s="52">
      <c r="B69" s="18" t="inlineStr">
        <is>
          <t>Quickbooks Loan 150k (deleted)</t>
        </is>
      </c>
    </row>
    <row r="70" ht="15.75" customHeight="1" s="52">
      <c r="B70" s="18" t="inlineStr">
        <is>
          <t>Sales Tax Payable</t>
        </is>
      </c>
    </row>
    <row r="71" ht="15.75" customHeight="1" s="52">
      <c r="B71" s="18" t="inlineStr">
        <is>
          <t>Short term Lease Liability</t>
        </is>
      </c>
    </row>
    <row r="72" ht="15.75" customHeight="1" s="52">
      <c r="B72" s="18" t="inlineStr">
        <is>
          <t>State Income Tax Payable</t>
        </is>
      </c>
    </row>
    <row r="73" ht="15.75" customHeight="1" s="52">
      <c r="B73" s="18" t="inlineStr">
        <is>
          <t>BOA LOC $4M</t>
        </is>
      </c>
    </row>
    <row r="74" ht="15.75" customHeight="1" s="52">
      <c r="B74" s="18" t="inlineStr">
        <is>
          <t>Founder LOC</t>
        </is>
      </c>
    </row>
    <row r="75" ht="15.75" customHeight="1" s="52">
      <c r="B75" s="18" t="inlineStr">
        <is>
          <t>Furniture Financing</t>
        </is>
      </c>
    </row>
    <row r="76" ht="15.75" customHeight="1" s="52">
      <c r="B76" s="18" t="inlineStr">
        <is>
          <t>Long Term Lease Liability</t>
        </is>
      </c>
    </row>
    <row r="77" ht="15.75" customHeight="1" s="52">
      <c r="B77" s="18" t="inlineStr">
        <is>
          <t>Mulligan $2M Loan</t>
        </is>
      </c>
    </row>
    <row r="78" ht="15.75" customHeight="1" s="52">
      <c r="B78" s="18" t="inlineStr">
        <is>
          <t>Northern Bank LOC</t>
        </is>
      </c>
    </row>
    <row r="79" ht="15.75" customHeight="1" s="52">
      <c r="B79" s="18" t="inlineStr">
        <is>
          <t>Northern Bank Term Loan</t>
        </is>
      </c>
    </row>
    <row r="80" ht="15.75" customHeight="1" s="52">
      <c r="B80" s="18" t="inlineStr">
        <is>
          <t>Notes Payable</t>
        </is>
      </c>
    </row>
    <row r="81" ht="15.75" customHeight="1" s="52">
      <c r="B81" s="18" t="inlineStr">
        <is>
          <t>Paypal Loan 100k (deleted)</t>
        </is>
      </c>
    </row>
    <row r="82" ht="15.75" customHeight="1" s="52">
      <c r="B82" s="18" t="inlineStr">
        <is>
          <t>Quickbooks Loan (deleted)</t>
        </is>
      </c>
    </row>
    <row r="83" ht="15.75" customHeight="1" s="52">
      <c r="B83" s="18" t="inlineStr">
        <is>
          <t>Opening Balance Equity</t>
        </is>
      </c>
    </row>
    <row r="84" ht="15.75" customHeight="1" s="52">
      <c r="B84" s="18" t="inlineStr">
        <is>
          <t>Owner's Equity</t>
        </is>
      </c>
    </row>
    <row r="85" ht="15.75" customHeight="1" s="52">
      <c r="B85" s="18" t="inlineStr">
        <is>
          <t>Owner's Investment (deleted)</t>
        </is>
      </c>
    </row>
    <row r="86" ht="15.75" customHeight="1" s="52">
      <c r="B86" s="18" t="inlineStr">
        <is>
          <t>Owner's Pay &amp; Personal Expenses (deleted)</t>
        </is>
      </c>
    </row>
    <row r="87" ht="15.75" customHeight="1" s="52">
      <c r="B87" s="18" t="inlineStr">
        <is>
          <t>Retained Earnings</t>
        </is>
      </c>
    </row>
    <row r="88" ht="15.75" customHeight="1" s="52">
      <c r="B88" s="18" t="inlineStr">
        <is>
          <t>Billable Expense Income-2</t>
        </is>
      </c>
    </row>
    <row r="89" ht="15.75" customHeight="1" s="52">
      <c r="B89" s="18" t="inlineStr">
        <is>
          <t>Billable Expense Income-2 ( 148 ) (deleted)</t>
        </is>
      </c>
    </row>
    <row r="90" ht="15.75" customHeight="1" s="52">
      <c r="B90" s="18" t="inlineStr">
        <is>
          <t>MSP Revenue</t>
        </is>
      </c>
    </row>
    <row r="91" ht="15.75" customHeight="1" s="52">
      <c r="B91" s="18" t="inlineStr">
        <is>
          <t>MSP Revenue:Managed Datadog</t>
        </is>
      </c>
    </row>
    <row r="92" ht="15.75" customHeight="1" s="52">
      <c r="B92" s="18" t="inlineStr">
        <is>
          <t>MSP Revenue:Managed Security</t>
        </is>
      </c>
    </row>
    <row r="93" ht="15.75" customHeight="1" s="52">
      <c r="B93" s="18" t="inlineStr">
        <is>
          <t>Other Miscellaneous Revenue</t>
        </is>
      </c>
    </row>
    <row r="94" ht="15.75" customHeight="1" s="52">
      <c r="B94" s="18" t="inlineStr">
        <is>
          <t>Other Miscellaneous Revenue:Bank Deposit</t>
        </is>
      </c>
    </row>
    <row r="95" ht="15.75" customHeight="1" s="52">
      <c r="B95" s="18" t="inlineStr">
        <is>
          <t>Other Miscellaneous Revenue:Billable Expense Income</t>
        </is>
      </c>
    </row>
    <row r="96" ht="15.75" customHeight="1" s="52">
      <c r="B96" s="18" t="inlineStr">
        <is>
          <t>Other Miscellaneous Revenue:Billable Expense Income-1</t>
        </is>
      </c>
    </row>
    <row r="97" ht="15.75" customHeight="1" s="52">
      <c r="B97" s="18" t="inlineStr">
        <is>
          <t>Other Miscellaneous Revenue:QuickBooks Payments Sales</t>
        </is>
      </c>
    </row>
    <row r="98" ht="15.75" customHeight="1" s="52">
      <c r="B98" s="18" t="inlineStr">
        <is>
          <t>Other Miscellaneous Revenue:Sales of Product Income</t>
        </is>
      </c>
    </row>
    <row r="99" ht="15.75" customHeight="1" s="52">
      <c r="B99" s="18" t="inlineStr">
        <is>
          <t>Other Miscellaneous Revenue:Shipping Income</t>
        </is>
      </c>
    </row>
    <row r="100" ht="15.75" customHeight="1" s="52">
      <c r="B100" s="18" t="inlineStr">
        <is>
          <t>Other Miscellaneous Revenue:Uncategorized Income</t>
        </is>
      </c>
    </row>
    <row r="101" ht="15.75" customHeight="1" s="52">
      <c r="B101" s="18" t="inlineStr">
        <is>
          <t>Sales of Product Income-1</t>
        </is>
      </c>
    </row>
    <row r="102" ht="15.75" customHeight="1" s="52">
      <c r="B102" s="18" t="inlineStr">
        <is>
          <t>Services Revenue</t>
        </is>
      </c>
    </row>
    <row r="103" ht="15.75" customHeight="1" s="52">
      <c r="B103" s="18" t="inlineStr">
        <is>
          <t>Services Revenue:Deposits</t>
        </is>
      </c>
    </row>
    <row r="104" ht="15.75" customHeight="1" s="52">
      <c r="B104" s="18" t="inlineStr">
        <is>
          <t>Services Revenue:Fixed Fee</t>
        </is>
      </c>
    </row>
    <row r="105" ht="15.75" customHeight="1" s="52">
      <c r="B105" s="18" t="inlineStr">
        <is>
          <t>Services Revenue:Sales</t>
        </is>
      </c>
    </row>
    <row r="106" ht="15.75" customHeight="1" s="52">
      <c r="B106" s="18" t="inlineStr">
        <is>
          <t>Services Revenue:Time &amp; Materials</t>
        </is>
      </c>
    </row>
    <row r="107" ht="15.75" customHeight="1" s="52">
      <c r="B107" s="18" t="inlineStr">
        <is>
          <t>Software Revenue</t>
        </is>
      </c>
    </row>
    <row r="108" ht="15.75" customHeight="1" s="52">
      <c r="B108" s="18" t="inlineStr">
        <is>
          <t>Software Revenue:Datadog Marketplace</t>
        </is>
      </c>
    </row>
    <row r="109" ht="15.75" customHeight="1" s="52">
      <c r="B109" s="18" t="inlineStr">
        <is>
          <t>Software Revenue:Other Software Revenue</t>
        </is>
      </c>
    </row>
    <row r="110" ht="15.75" customHeight="1" s="52">
      <c r="B110" s="18" t="inlineStr">
        <is>
          <t>Unapplied Cash Payment Income</t>
        </is>
      </c>
    </row>
    <row r="111" ht="15.75" customHeight="1" s="52">
      <c r="B111" s="18" t="inlineStr">
        <is>
          <t>Cost of Goods Sold</t>
        </is>
      </c>
    </row>
    <row r="112" ht="15.75" customHeight="1" s="52">
      <c r="B112" s="18" t="inlineStr">
        <is>
          <t>Cost of Goods Sold:COGS- Personnel Expense</t>
        </is>
      </c>
    </row>
    <row r="113" ht="15.75" customHeight="1" s="52">
      <c r="B113" s="18" t="inlineStr">
        <is>
          <t>Cost of Goods Sold:COGS- Personnel Expense:401k Match</t>
        </is>
      </c>
    </row>
    <row r="114" ht="15.75" customHeight="1" s="52">
      <c r="B114" s="18" t="inlineStr">
        <is>
          <t>Cost of Goods Sold:COGS- Personnel Expense:Benefits</t>
        </is>
      </c>
    </row>
    <row r="115" ht="15.75" customHeight="1" s="52">
      <c r="B115" s="18" t="inlineStr">
        <is>
          <t>Cost of Goods Sold:COGS- Personnel Expense:Bonuses</t>
        </is>
      </c>
    </row>
    <row r="116" ht="15.75" customHeight="1" s="52">
      <c r="B116" s="18" t="inlineStr">
        <is>
          <t>Cost of Goods Sold:COGS- Personnel Expense:Commissions</t>
        </is>
      </c>
    </row>
    <row r="117" ht="15.75" customHeight="1" s="52">
      <c r="B117" s="18" t="inlineStr">
        <is>
          <t>Cost of Goods Sold:COGS- Personnel Expense:Other Personnel Costs</t>
        </is>
      </c>
    </row>
    <row r="118" ht="15.75" customHeight="1" s="52">
      <c r="B118" s="18" t="inlineStr">
        <is>
          <t>Cost of Goods Sold:COGS- Personnel Expense:Payroll Fees</t>
        </is>
      </c>
    </row>
    <row r="119" ht="15.75" customHeight="1" s="52">
      <c r="B119" s="18" t="inlineStr">
        <is>
          <t>Cost of Goods Sold:COGS- Personnel Expense:Payroll Taxes</t>
        </is>
      </c>
    </row>
    <row r="120" ht="15.75" customHeight="1" s="52">
      <c r="B120" s="18" t="inlineStr">
        <is>
          <t>Cost of Goods Sold:COGS- Personnel Expense:Salaries &amp; Wages</t>
        </is>
      </c>
    </row>
    <row r="121" ht="15.75" customHeight="1" s="52">
      <c r="B121" s="18" t="inlineStr">
        <is>
          <t>Cost of Goods Sold:COGS- Personnel Expense:Severance</t>
        </is>
      </c>
    </row>
    <row r="122" ht="15.75" customHeight="1" s="52">
      <c r="B122" s="18" t="inlineStr">
        <is>
          <t>Cost of Goods Sold:COGS- Travel Expenses</t>
        </is>
      </c>
    </row>
    <row r="123" ht="15.75" customHeight="1" s="52">
      <c r="B123" s="11" t="inlineStr">
        <is>
          <t>Cost of Goods Sold:COGS- Travel Expenses:Airfare</t>
        </is>
      </c>
    </row>
    <row r="124" ht="15.75" customHeight="1" s="52">
      <c r="B124" s="18" t="inlineStr">
        <is>
          <t>Cost of Goods Sold:COGS- Travel Expenses:Ground Transportation</t>
        </is>
      </c>
    </row>
    <row r="125" ht="15.75" customHeight="1" s="52">
      <c r="B125" s="18" t="inlineStr">
        <is>
          <t>Cost of Goods Sold:COGS- Travel Expenses:Lodging</t>
        </is>
      </c>
    </row>
    <row r="126" ht="15.75" customHeight="1" s="52">
      <c r="B126" s="18" t="inlineStr">
        <is>
          <t>Cost of Goods Sold:COGS- Travel Expenses:Meals &amp; Entertainment</t>
        </is>
      </c>
    </row>
    <row r="127" ht="15.75" customHeight="1" s="52">
      <c r="B127" s="18" t="inlineStr">
        <is>
          <t>Cost of Goods Sold:COGS- Travel Expenses:Other Travel Expenses</t>
        </is>
      </c>
    </row>
    <row r="128" ht="15.75" customHeight="1" s="52">
      <c r="B128" s="18" t="inlineStr">
        <is>
          <t>Cost of Goods Sold:Other COGS</t>
        </is>
      </c>
    </row>
    <row r="129" ht="15.75" customHeight="1" s="52">
      <c r="B129" s="18" t="inlineStr">
        <is>
          <t>Cost of Goods Sold:Other COGS:Contractors</t>
        </is>
      </c>
    </row>
    <row r="130" ht="15.75" customHeight="1" s="52">
      <c r="B130" s="18" t="inlineStr">
        <is>
          <t>General &amp; Administrative</t>
        </is>
      </c>
    </row>
    <row r="131" ht="15.75" customHeight="1" s="52">
      <c r="B131" s="18" t="inlineStr">
        <is>
          <t>General &amp; Administrative:Ask My Accountant (deleted)</t>
        </is>
      </c>
    </row>
    <row r="132" ht="15.75" customHeight="1" s="52">
      <c r="B132" s="18" t="inlineStr">
        <is>
          <t>General &amp; Administrative:Bad Debt Expense</t>
        </is>
      </c>
    </row>
    <row r="133" ht="15.75" customHeight="1" s="52">
      <c r="B133" s="18" t="inlineStr">
        <is>
          <t>General &amp; Administrative:Bank Charges &amp; Fees</t>
        </is>
      </c>
    </row>
    <row r="134" ht="15.75" customHeight="1" s="52">
      <c r="B134" s="18" t="inlineStr">
        <is>
          <t>General &amp; Administrative:Charitable Contribution</t>
        </is>
      </c>
    </row>
    <row r="135" ht="15.75" customHeight="1" s="52">
      <c r="B135" s="18" t="inlineStr">
        <is>
          <t>General &amp; Administrative:Contractors</t>
        </is>
      </c>
    </row>
    <row r="136" ht="15.75" customHeight="1" s="52">
      <c r="B136" s="18" t="inlineStr">
        <is>
          <t>General &amp; Administrative:Employee Training &amp; Development</t>
        </is>
      </c>
    </row>
    <row r="137" ht="15.75" customHeight="1" s="52">
      <c r="B137" s="18" t="inlineStr">
        <is>
          <t>General &amp; Administrative:G&amp;A- Personnel Expenses</t>
        </is>
      </c>
    </row>
    <row r="138" ht="15.75" customHeight="1" s="52">
      <c r="B138" s="11" t="inlineStr">
        <is>
          <t>General &amp; Administrative:G&amp;A- Personnel Expenses:401k Match</t>
        </is>
      </c>
    </row>
    <row r="139" ht="15.75" customHeight="1" s="52">
      <c r="B139" s="18" t="inlineStr">
        <is>
          <t>General &amp; Administrative:G&amp;A- Personnel Expenses:Benefits</t>
        </is>
      </c>
    </row>
    <row r="140" ht="15.75" customHeight="1" s="52">
      <c r="B140" s="18" t="inlineStr">
        <is>
          <t>General &amp; Administrative:G&amp;A- Personnel Expenses:Bonuses</t>
        </is>
      </c>
    </row>
    <row r="141" ht="15.75" customHeight="1" s="52">
      <c r="B141" s="18" t="inlineStr">
        <is>
          <t>General &amp; Administrative:G&amp;A- Personnel Expenses:Commissions</t>
        </is>
      </c>
    </row>
    <row r="142" ht="15.75" customHeight="1" s="52">
      <c r="B142" s="18" t="inlineStr">
        <is>
          <t>General &amp; Administrative:G&amp;A- Personnel Expenses:Other Personnel Costs</t>
        </is>
      </c>
    </row>
    <row r="143" ht="15.75" customHeight="1" s="52">
      <c r="B143" s="18" t="inlineStr">
        <is>
          <t>General &amp; Administrative:G&amp;A- Personnel Expenses:Payroll Fee</t>
        </is>
      </c>
    </row>
    <row r="144" ht="15.75" customHeight="1" s="52">
      <c r="B144" s="18" t="inlineStr">
        <is>
          <t>General &amp; Administrative:G&amp;A- Personnel Expenses:Payroll Taxes</t>
        </is>
      </c>
    </row>
    <row r="145" ht="15.75" customHeight="1" s="52">
      <c r="B145" s="18" t="inlineStr">
        <is>
          <t>General &amp; Administrative:G&amp;A- Personnel Expenses:Salaries &amp; Wages</t>
        </is>
      </c>
    </row>
    <row r="146" ht="15.75" customHeight="1" s="52">
      <c r="B146" s="18" t="inlineStr">
        <is>
          <t>General &amp; Administrative:G&amp;A- Personnel Expenses:Severance</t>
        </is>
      </c>
    </row>
    <row r="147" ht="15.75" customHeight="1" s="52">
      <c r="B147" s="18" t="inlineStr">
        <is>
          <t>General &amp; Administrative:G&amp;A- Travel Expenses</t>
        </is>
      </c>
    </row>
    <row r="148" ht="15.75" customHeight="1" s="52">
      <c r="B148" s="18" t="inlineStr">
        <is>
          <t>General &amp; Administrative:G&amp;A- Travel Expenses:Airfare</t>
        </is>
      </c>
    </row>
    <row r="149" ht="15.75" customHeight="1" s="52">
      <c r="B149" s="18" t="inlineStr">
        <is>
          <t>General &amp; Administrative:G&amp;A- Travel Expenses:Ground Transportation</t>
        </is>
      </c>
    </row>
    <row r="150" ht="15.75" customHeight="1" s="52">
      <c r="B150" s="18" t="inlineStr">
        <is>
          <t>General &amp; Administrative:G&amp;A- Travel Expenses:Lodging</t>
        </is>
      </c>
    </row>
    <row r="151" ht="15.75" customHeight="1" s="52">
      <c r="B151" s="18" t="inlineStr">
        <is>
          <t>General &amp; Administrative:G&amp;A- Travel Expenses:Meals &amp; Entertainment</t>
        </is>
      </c>
    </row>
    <row r="152" ht="15.75" customHeight="1" s="52">
      <c r="B152" s="18" t="inlineStr">
        <is>
          <t>General &amp; Administrative:G&amp;A- Travel Expenses:Other Travel Expenses</t>
        </is>
      </c>
    </row>
    <row r="153" ht="15.75" customHeight="1" s="52">
      <c r="B153" s="18" t="inlineStr">
        <is>
          <t>General &amp; Administrative:Insurance</t>
        </is>
      </c>
    </row>
    <row r="154" ht="15.75" customHeight="1" s="52">
      <c r="B154" s="18" t="inlineStr">
        <is>
          <t>General &amp; Administrative:Job Supplies (deleted)</t>
        </is>
      </c>
    </row>
    <row r="155" ht="15.75" customHeight="1" s="52">
      <c r="B155" s="18" t="inlineStr">
        <is>
          <t>General &amp; Administrative:Legal &amp; Professional Services</t>
        </is>
      </c>
    </row>
    <row r="156" ht="15.75" customHeight="1" s="52">
      <c r="B156" s="18" t="inlineStr">
        <is>
          <t>General &amp; Administrative:Misc. Taxes &amp; Licenses</t>
        </is>
      </c>
    </row>
    <row r="157" ht="15.75" customHeight="1" s="52">
      <c r="B157" s="18" t="inlineStr">
        <is>
          <t>General &amp; Administrative:Office Expenses</t>
        </is>
      </c>
    </row>
    <row r="158" ht="15.75" customHeight="1" s="52">
      <c r="B158" s="18" t="inlineStr">
        <is>
          <t>General &amp; Administrative:Office Expenses:Communication Expense</t>
        </is>
      </c>
    </row>
    <row r="159" ht="15.75" customHeight="1" s="52">
      <c r="B159" s="18" t="inlineStr">
        <is>
          <t>General &amp; Administrative:Office Expenses:Dues &amp; Subscriptions</t>
        </is>
      </c>
    </row>
    <row r="160" ht="15.75" customHeight="1" s="52">
      <c r="B160" s="18" t="inlineStr">
        <is>
          <t>General &amp; Administrative:Office Expenses:Hardware &amp; Peripherals</t>
        </is>
      </c>
    </row>
    <row r="161" ht="15.75" customHeight="1" s="52">
      <c r="B161" s="18" t="inlineStr">
        <is>
          <t>General &amp; Administrative:Office Expenses:Office Supplies</t>
        </is>
      </c>
    </row>
    <row r="162" ht="15.75" customHeight="1" s="52">
      <c r="B162" s="18" t="inlineStr">
        <is>
          <t>General &amp; Administrative:Office Expenses:Rent &amp; Lease</t>
        </is>
      </c>
    </row>
    <row r="163" ht="15.75" customHeight="1" s="52">
      <c r="B163" s="18" t="inlineStr">
        <is>
          <t>General &amp; Administrative:Office Expenses:Shipping Expense</t>
        </is>
      </c>
    </row>
    <row r="164" ht="15.75" customHeight="1" s="52">
      <c r="B164" s="18" t="inlineStr">
        <is>
          <t>General &amp; Administrative:Office Expenses:Utilities</t>
        </is>
      </c>
    </row>
    <row r="165" ht="15.75" customHeight="1" s="52">
      <c r="B165" s="18" t="inlineStr">
        <is>
          <t>General &amp; Administrative:Other Business Expenses</t>
        </is>
      </c>
    </row>
    <row r="166" ht="15.75" customHeight="1" s="52">
      <c r="B166" s="18" t="inlineStr">
        <is>
          <t>General &amp; Administrative:Purchases (deleted)</t>
        </is>
      </c>
    </row>
    <row r="167" ht="15.75" customHeight="1" s="52">
      <c r="B167" s="18" t="inlineStr">
        <is>
          <t>General &amp; Administrative:Recruiting Expenses</t>
        </is>
      </c>
    </row>
    <row r="168" ht="15.75" customHeight="1" s="52">
      <c r="B168" s="18" t="inlineStr">
        <is>
          <t>General &amp; Administrative:Reimbursable Expenses (deleted)</t>
        </is>
      </c>
    </row>
    <row r="169" ht="15.75" customHeight="1" s="52">
      <c r="B169" s="18" t="inlineStr">
        <is>
          <t>General &amp; Administrative:Repairs &amp; Maintenance</t>
        </is>
      </c>
    </row>
    <row r="170" ht="15.75" customHeight="1" s="52">
      <c r="B170" s="18" t="inlineStr">
        <is>
          <t>General &amp; Administrative:Software Licenses</t>
        </is>
      </c>
    </row>
    <row r="171" ht="15.75" customHeight="1" s="52">
      <c r="B171" s="18" t="inlineStr">
        <is>
          <t>General &amp; Administrative:Uncategorized Expense</t>
        </is>
      </c>
    </row>
    <row r="172" ht="15.75" customHeight="1" s="52">
      <c r="B172" s="18" t="inlineStr">
        <is>
          <t>Personnel Expenses</t>
        </is>
      </c>
    </row>
    <row r="173" ht="15.75" customHeight="1" s="52">
      <c r="B173" s="18" t="inlineStr">
        <is>
          <t>Personnel Expenses:401k Match</t>
        </is>
      </c>
    </row>
    <row r="174" ht="15.75" customHeight="1" s="52">
      <c r="B174" s="18" t="inlineStr">
        <is>
          <t>Personnel Expenses:Benefits</t>
        </is>
      </c>
    </row>
    <row r="175" ht="15.75" customHeight="1" s="52">
      <c r="B175" s="18" t="inlineStr">
        <is>
          <t>Personnel Expenses:Bonuses</t>
        </is>
      </c>
    </row>
    <row r="176" ht="15.75" customHeight="1" s="52">
      <c r="B176" s="18" t="inlineStr">
        <is>
          <t>Personnel Expenses:Commissions</t>
        </is>
      </c>
    </row>
    <row r="177" ht="15.75" customHeight="1" s="52">
      <c r="B177" s="18" t="inlineStr">
        <is>
          <t>Personnel Expenses:Other Personnel Costs</t>
        </is>
      </c>
    </row>
    <row r="178" ht="15.75" customHeight="1" s="52">
      <c r="B178" s="18" t="inlineStr">
        <is>
          <t>Personnel Expenses:Payroll</t>
        </is>
      </c>
    </row>
    <row r="179" ht="15.75" customHeight="1" s="52">
      <c r="B179" s="18" t="inlineStr">
        <is>
          <t>Personnel Expenses:Payroll Fee</t>
        </is>
      </c>
    </row>
    <row r="180" ht="15.75" customHeight="1" s="52">
      <c r="B180" s="18" t="inlineStr">
        <is>
          <t>Personnel Expenses:Payroll Taxes</t>
        </is>
      </c>
    </row>
    <row r="181" ht="15.75" customHeight="1" s="52">
      <c r="B181" s="18" t="inlineStr">
        <is>
          <t>Personnel Expenses:Salaries &amp; Wages</t>
        </is>
      </c>
    </row>
    <row r="182" ht="15.75" customHeight="1" s="52">
      <c r="B182" s="18" t="inlineStr">
        <is>
          <t>Personnel Expenses:Severance</t>
        </is>
      </c>
    </row>
    <row r="183" ht="15.75" customHeight="1" s="52">
      <c r="B183" s="18" t="inlineStr">
        <is>
          <t>Purchases</t>
        </is>
      </c>
    </row>
    <row r="184" ht="15.75" customHeight="1" s="52">
      <c r="B184" s="18" t="inlineStr">
        <is>
          <t>Sales &amp; Marketing</t>
        </is>
      </c>
    </row>
    <row r="185" ht="15.75" customHeight="1" s="52">
      <c r="B185" s="18" t="inlineStr">
        <is>
          <t>Sales &amp; Marketing:Marketing Expenses</t>
        </is>
      </c>
    </row>
    <row r="186" ht="15.75" customHeight="1" s="52">
      <c r="B186" s="18" t="inlineStr">
        <is>
          <t>Sales &amp; Marketing:Marketing Expenses:Conferences &amp; Events</t>
        </is>
      </c>
    </row>
    <row r="187" ht="15.75" customHeight="1" s="52">
      <c r="B187" s="11" t="inlineStr">
        <is>
          <t>Sales &amp; Marketing:Marketing Expenses:Other Marketing Expenses</t>
        </is>
      </c>
    </row>
    <row r="188" ht="15.75" customHeight="1" s="52">
      <c r="B188" s="18" t="inlineStr">
        <is>
          <t>Sales &amp; Marketing:Sales &amp; Marketing- Personnel Expenses</t>
        </is>
      </c>
    </row>
    <row r="189" ht="15.75" customHeight="1" s="52">
      <c r="B189" s="18" t="inlineStr">
        <is>
          <t>Sales &amp; Marketing:Sales &amp; Marketing- Personnel Expenses:401k Match</t>
        </is>
      </c>
    </row>
    <row r="190" ht="15.75" customHeight="1" s="52">
      <c r="B190" s="18" t="inlineStr">
        <is>
          <t>Sales &amp; Marketing:Sales &amp; Marketing- Personnel Expenses:Benefits</t>
        </is>
      </c>
    </row>
    <row r="191" ht="15.75" customHeight="1" s="52">
      <c r="B191" s="18" t="inlineStr">
        <is>
          <t>Sales &amp; Marketing:Sales &amp; Marketing- Personnel Expenses:Bonuses</t>
        </is>
      </c>
    </row>
    <row r="192" ht="15.75" customHeight="1" s="52">
      <c r="B192" s="18" t="inlineStr">
        <is>
          <t>Sales &amp; Marketing:Sales &amp; Marketing- Personnel Expenses:Commissions</t>
        </is>
      </c>
    </row>
    <row r="193" ht="15.75" customHeight="1" s="52">
      <c r="B193" s="18" t="inlineStr">
        <is>
          <t>Sales &amp; Marketing:Sales &amp; Marketing- Personnel Expenses:Other Personnel Costs</t>
        </is>
      </c>
    </row>
    <row r="194" ht="15.75" customHeight="1" s="52">
      <c r="B194" s="18" t="inlineStr">
        <is>
          <t>Sales &amp; Marketing:Sales &amp; Marketing- Personnel Expenses:Payroll Fee</t>
        </is>
      </c>
    </row>
    <row r="195" ht="15.75" customHeight="1" s="52">
      <c r="B195" s="18" t="inlineStr">
        <is>
          <t>Sales &amp; Marketing:Sales &amp; Marketing- Personnel Expenses:Payroll Taxes</t>
        </is>
      </c>
    </row>
    <row r="196" ht="15.75" customHeight="1" s="52">
      <c r="B196" s="18" t="inlineStr">
        <is>
          <t>Sales &amp; Marketing:Sales &amp; Marketing- Personnel Expenses:Salaries &amp; Wages</t>
        </is>
      </c>
    </row>
    <row r="197" ht="15.75" customHeight="1" s="52">
      <c r="B197" s="18" t="inlineStr">
        <is>
          <t>Sales &amp; Marketing:Sales &amp; Marketing- Personnel Expenses:Severance</t>
        </is>
      </c>
    </row>
    <row r="198" ht="15.75" customHeight="1" s="52">
      <c r="B198" s="18" t="inlineStr">
        <is>
          <t>Sales &amp; Marketing:Sales &amp; Marketing- Travel Expenses</t>
        </is>
      </c>
    </row>
    <row r="199" ht="15.75" customHeight="1" s="52">
      <c r="B199" s="18" t="inlineStr">
        <is>
          <t>Sales &amp; Marketing:Sales &amp; Marketing- Travel Expenses:Airfare</t>
        </is>
      </c>
    </row>
    <row r="200" ht="15.75" customHeight="1" s="52">
      <c r="B200" s="18" t="inlineStr">
        <is>
          <t>Sales &amp; Marketing:Sales &amp; Marketing- Travel Expenses:Ground Transportation</t>
        </is>
      </c>
    </row>
    <row r="201" ht="15.75" customHeight="1" s="52">
      <c r="B201" s="18" t="inlineStr">
        <is>
          <t>Sales &amp; Marketing:Sales &amp; Marketing- Travel Expenses:Lodging</t>
        </is>
      </c>
    </row>
    <row r="202" ht="15.75" customHeight="1" s="52">
      <c r="B202" s="18" t="inlineStr">
        <is>
          <t>Sales &amp; Marketing:Sales &amp; Marketing- Travel Expenses:Meals &amp; Entertainment</t>
        </is>
      </c>
    </row>
    <row r="203" ht="15.75" customHeight="1" s="52">
      <c r="B203" s="18" t="inlineStr">
        <is>
          <t>Sales &amp; Marketing:Sales &amp; Marketing- Travel Expenses:Other Travel Expenses</t>
        </is>
      </c>
    </row>
    <row r="204" ht="15.75" customHeight="1" s="52">
      <c r="B204" s="18" t="inlineStr">
        <is>
          <t>Sales &amp; Marketing:Sales &amp; Marketing- Travel Expenses:Travel (deleted)</t>
        </is>
      </c>
    </row>
    <row r="205" ht="15.75" customHeight="1" s="52">
      <c r="B205" s="18" t="inlineStr">
        <is>
          <t>Unapplied Cash Bill Payment Expense</t>
        </is>
      </c>
    </row>
    <row r="206" ht="15.75" customHeight="1" s="52">
      <c r="B206" s="18" t="inlineStr">
        <is>
          <t>Other Income</t>
        </is>
      </c>
    </row>
    <row r="207" ht="15.75" customHeight="1" s="52">
      <c r="B207" s="18" t="inlineStr">
        <is>
          <t>Other Income:Dividends Received</t>
        </is>
      </c>
    </row>
    <row r="208" ht="15.75" customHeight="1" s="52">
      <c r="B208" s="18" t="inlineStr">
        <is>
          <t>Other Income:Interest Income</t>
        </is>
      </c>
    </row>
    <row r="209" ht="15.75" customHeight="1" s="52">
      <c r="B209" s="18" t="inlineStr">
        <is>
          <t>Other Income:Other Miscellaneous Income</t>
        </is>
      </c>
    </row>
    <row r="210" ht="15.75" customHeight="1" s="52">
      <c r="B210" s="18" t="inlineStr">
        <is>
          <t>Exchange Gain or Loss</t>
        </is>
      </c>
    </row>
    <row r="211" ht="15.75" customHeight="1" s="52">
      <c r="B211" s="18" t="inlineStr">
        <is>
          <t>Interest Expense</t>
        </is>
      </c>
    </row>
    <row r="212" ht="15.75" customHeight="1" s="52">
      <c r="B212" s="18" t="inlineStr">
        <is>
          <t>Other Expenses</t>
        </is>
      </c>
    </row>
    <row r="213" ht="15.75" customHeight="1" s="52">
      <c r="B213" s="18" t="inlineStr">
        <is>
          <t>Other Expenses:Amortization Expense</t>
        </is>
      </c>
    </row>
    <row r="214" ht="15.75" customHeight="1" s="52">
      <c r="B214" s="18" t="inlineStr">
        <is>
          <t>Other Expenses:Amortization Expense:Amort Exp- Developed Software</t>
        </is>
      </c>
    </row>
    <row r="215" ht="15.75" customHeight="1" s="52">
      <c r="B215" s="18" t="inlineStr">
        <is>
          <t>Other Expenses:Depreciation Expense</t>
        </is>
      </c>
    </row>
    <row r="216" ht="15.75" customHeight="1" s="52">
      <c r="B216" s="18" t="inlineStr">
        <is>
          <t>Other Expenses:Depreciation Expense:Depr Exp- Equipment</t>
        </is>
      </c>
    </row>
    <row r="217" ht="15.75" customHeight="1" s="52">
      <c r="B217" s="18" t="inlineStr">
        <is>
          <t>Other Expenses:Depreciation Expense:Depr Exp- Furniture &amp; Fixtures</t>
        </is>
      </c>
    </row>
    <row r="218" ht="15.75" customHeight="1" s="52">
      <c r="B218" s="18" t="inlineStr">
        <is>
          <t>Other Expenses:Depreciation Expense:Depr Exp- ROU Asset- Office</t>
        </is>
      </c>
    </row>
    <row r="219" ht="15.75" customHeight="1" s="52">
      <c r="B219" s="18" t="inlineStr">
        <is>
          <t>Other Expenses:Income Tax Expense</t>
        </is>
      </c>
    </row>
    <row r="220" ht="15.75" customHeight="1" s="52">
      <c r="B220" s="18" t="inlineStr">
        <is>
          <t>Other Expenses:Income Tax Expense:Federal Income Tax</t>
        </is>
      </c>
    </row>
    <row r="221" ht="15.75" customHeight="1" s="52">
      <c r="B221" s="18" t="inlineStr">
        <is>
          <t>Other Expenses:Income Tax Expense:State Income Tax</t>
        </is>
      </c>
    </row>
    <row r="222" ht="15.75" customHeight="1" s="52">
      <c r="B222" s="18" t="inlineStr">
        <is>
          <t>Other Expenses:Other Miscellaneous Expense</t>
        </is>
      </c>
    </row>
    <row r="223" ht="15.75" customHeight="1" s="52">
      <c r="B223" s="18" t="inlineStr">
        <is>
          <t>Other Expenses:Reconciliation Discrepancies</t>
        </is>
      </c>
    </row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2">
      <c r="B2" s="18" t="inlineStr">
        <is>
          <t>Purpose: Import Amex transactions with accurate department, account and description into QuickBooks Online</t>
        </is>
      </c>
    </row>
    <row r="4">
      <c r="B4" s="38" t="inlineStr">
        <is>
          <t>Instructions</t>
        </is>
      </c>
    </row>
    <row r="5">
      <c r="B5" s="18" t="inlineStr">
        <is>
          <t>1. Duplicate File and ensure file name has today's date and the Amex account being entered</t>
        </is>
      </c>
    </row>
    <row r="6">
      <c r="B6" s="18" t="inlineStr">
        <is>
          <t>2. Review credit card transactions in QuickBooks, and manually enter credit card credits using "Card Mapping" tab as a reference. Ensure Vendor Name, Account, Department fields are populated and you add " - " &amp; the Employee name to the end of the Memo field</t>
        </is>
      </c>
    </row>
    <row r="7">
      <c r="B7" s="18" t="inlineStr">
        <is>
          <t>3. CTRL+H Find and Replace "-" for " - "</t>
        </is>
      </c>
    </row>
    <row r="8">
      <c r="B8" s="18" t="inlineStr">
        <is>
          <t>4. Sort the transactions in QuickBooks based on Date</t>
        </is>
      </c>
    </row>
    <row r="9">
      <c r="B9" s="18" t="inlineStr">
        <is>
          <t>5. Export transactions from QuickBooks</t>
        </is>
      </c>
    </row>
    <row r="10">
      <c r="B10" s="18" t="inlineStr">
        <is>
          <t>6. Copy exported transactions, paste values in cells B-F of the "QBO Transactions" tab</t>
        </is>
      </c>
    </row>
    <row r="11">
      <c r="B11" s="18" t="inlineStr">
        <is>
          <t>7. Review Columns K-F of "QBO transactions" to ensure all cells are populated.</t>
        </is>
      </c>
    </row>
    <row r="12">
      <c r="B12" s="18" t="inlineStr">
        <is>
          <t>8. Ensure Column Q of "QBO Transactions" is showing the correct card account. Update in Cell D1 if incorrect</t>
        </is>
      </c>
    </row>
    <row r="13">
      <c r="B13" s="18" t="inlineStr">
        <is>
          <t>9. Filter Column R, Line Acct by each individual account to ensure transactions are coded accurately</t>
        </is>
      </c>
    </row>
    <row r="14">
      <c r="B14" s="18" t="inlineStr">
        <is>
          <t>10. Ensure transactions on "Credit Card Charge" tab, the transaction importer, match what's on "QBO Transactions" tab (transaction count and amount match)</t>
        </is>
      </c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style="52" min="1" max="1"/>
    <col width="28" customWidth="1" style="52" min="3" max="3"/>
    <col width="12" customWidth="1" style="52" min="4" max="4"/>
    <col width="40" customWidth="1" style="52" min="5" max="5"/>
  </cols>
  <sheetData>
    <row r="1">
      <c r="A1" s="56" t="inlineStr">
        <is>
          <t>Brex Name</t>
        </is>
      </c>
      <c r="B1" s="56" t="inlineStr">
        <is>
          <t>EE ID</t>
        </is>
      </c>
      <c r="C1" s="56" t="inlineStr">
        <is>
          <t>BambooHR Name</t>
        </is>
      </c>
      <c r="D1" s="56" t="inlineStr">
        <is>
          <t>Confirmed</t>
        </is>
      </c>
      <c r="E1" s="56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.43" customWidth="1" style="52" min="1" max="1"/>
    <col width="11.71" customWidth="1" style="52" min="2" max="3"/>
    <col width="20" customWidth="1" style="52" min="4" max="4"/>
    <col width="11.29" customWidth="1" style="52" min="5" max="5"/>
    <col width="14.29" customWidth="1" style="52" min="6" max="6"/>
    <col width="14.86" customWidth="1" style="52" min="7" max="7"/>
    <col width="15.57" customWidth="1" style="52" min="8" max="9"/>
    <col width="13.14" customWidth="1" style="52" min="10" max="11"/>
    <col width="29.86" customWidth="1" style="52" min="12" max="12"/>
    <col width="32.29" customWidth="1" style="52" min="13" max="13"/>
    <col width="28.43" customWidth="1" style="52" min="14" max="14"/>
    <col width="39.29" customWidth="1" style="52" min="15" max="15"/>
    <col width="9.140000000000001" customWidth="1" style="52" min="16" max="26"/>
  </cols>
  <sheetData>
    <row r="1" ht="30" customHeight="1" s="52">
      <c r="A1" s="39" t="inlineStr">
        <is>
          <t>Employee #</t>
        </is>
      </c>
      <c r="B1" s="39" t="inlineStr">
        <is>
          <t>First Name</t>
        </is>
      </c>
      <c r="C1" s="39" t="inlineStr">
        <is>
          <t>Last Name</t>
        </is>
      </c>
      <c r="D1" s="39" t="inlineStr">
        <is>
          <t>Last name, First name</t>
        </is>
      </c>
      <c r="E1" s="39" t="inlineStr">
        <is>
          <t>Hire Date</t>
        </is>
      </c>
      <c r="F1" s="39" t="inlineStr">
        <is>
          <t>Employment Status</t>
        </is>
      </c>
      <c r="G1" s="39" t="inlineStr">
        <is>
          <t>Employment Status: Date</t>
        </is>
      </c>
      <c r="H1" s="39" t="inlineStr">
        <is>
          <t>Division</t>
        </is>
      </c>
      <c r="I1" s="39" t="inlineStr">
        <is>
          <t>Department</t>
        </is>
      </c>
      <c r="J1" s="39" t="inlineStr">
        <is>
          <t>Location</t>
        </is>
      </c>
      <c r="K1" s="39" t="inlineStr">
        <is>
          <t>Billable Status</t>
        </is>
      </c>
      <c r="L1" s="39" t="inlineStr">
        <is>
          <t>QBO Department</t>
        </is>
      </c>
      <c r="M1" s="39" t="inlineStr">
        <is>
          <t>Prefix- Travel</t>
        </is>
      </c>
      <c r="N1" s="39" t="inlineStr">
        <is>
          <t>Prefix- Payroll</t>
        </is>
      </c>
      <c r="O1" s="40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31" t="n">
        <v>1</v>
      </c>
      <c r="B2" s="42" t="inlineStr">
        <is>
          <t>Tameem</t>
        </is>
      </c>
      <c r="C2" s="42" t="inlineStr">
        <is>
          <t>Hourani</t>
        </is>
      </c>
      <c r="D2" s="42" t="inlineStr">
        <is>
          <t>Hourani, Tameem</t>
        </is>
      </c>
      <c r="E2" s="43" t="n">
        <v>43651</v>
      </c>
      <c r="F2" s="42" t="inlineStr">
        <is>
          <t>Owner/Partner</t>
        </is>
      </c>
      <c r="G2" s="43" t="n">
        <v>43651</v>
      </c>
      <c r="H2" s="42" t="inlineStr">
        <is>
          <t>Operations</t>
        </is>
      </c>
      <c r="I2" s="42" t="inlineStr">
        <is>
          <t>Operations</t>
        </is>
      </c>
      <c r="J2" s="42" t="inlineStr">
        <is>
          <t>Boylston</t>
        </is>
      </c>
      <c r="K2" s="42" t="inlineStr">
        <is>
          <t>No</t>
        </is>
      </c>
      <c r="L2" s="42" t="inlineStr">
        <is>
          <t>400- Synechron:410- Digital platforms G&amp;A</t>
        </is>
      </c>
      <c r="M2" s="42" t="inlineStr">
        <is>
          <t>General &amp; Administrative:G&amp;A- Travel Expenses:</t>
        </is>
      </c>
      <c r="N2" s="42" t="inlineStr">
        <is>
          <t>General &amp; Administrative:G&amp;A- Personnel Expenses:</t>
        </is>
      </c>
      <c r="O2" s="44">
        <f>B2&amp;" "&amp;C2</f>
        <v/>
      </c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>
      <c r="A3" s="31" t="n">
        <v>2</v>
      </c>
      <c r="B3" s="42" t="inlineStr">
        <is>
          <t>Jonathan</t>
        </is>
      </c>
      <c r="C3" s="42" t="inlineStr">
        <is>
          <t>Giara</t>
        </is>
      </c>
      <c r="D3" s="42" t="inlineStr">
        <is>
          <t>Giara, Jonathan</t>
        </is>
      </c>
      <c r="E3" s="43" t="n">
        <v>43647</v>
      </c>
      <c r="F3" s="42" t="inlineStr">
        <is>
          <t>Full-Time</t>
        </is>
      </c>
      <c r="G3" s="43" t="n">
        <v>43773</v>
      </c>
      <c r="H3" s="42" t="inlineStr">
        <is>
          <t>ServiceNow</t>
        </is>
      </c>
      <c r="I3" s="42" t="inlineStr">
        <is>
          <t>Engineering</t>
        </is>
      </c>
      <c r="J3" s="42" t="inlineStr">
        <is>
          <t>Remote</t>
        </is>
      </c>
      <c r="K3" s="42" t="inlineStr">
        <is>
          <t>Yes</t>
        </is>
      </c>
      <c r="L3" s="42" t="inlineStr">
        <is>
          <t>300- ServiceNow:320- Engineering</t>
        </is>
      </c>
      <c r="M3" s="42" t="inlineStr">
        <is>
          <t>Cost of Goods Sold:COGS- Travel Expenses:</t>
        </is>
      </c>
      <c r="N3" s="42" t="inlineStr">
        <is>
          <t>Cost of Goods Sold:COGS- Personnel Expense:</t>
        </is>
      </c>
      <c r="O3" s="44">
        <f>B3&amp;" "&amp;C3</f>
        <v/>
      </c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>
      <c r="A4" s="31" t="n">
        <v>3</v>
      </c>
      <c r="B4" s="42" t="inlineStr">
        <is>
          <t>Connor</t>
        </is>
      </c>
      <c r="C4" s="42" t="inlineStr">
        <is>
          <t>Brackett</t>
        </is>
      </c>
      <c r="D4" s="42" t="inlineStr">
        <is>
          <t>Brackett, Connor</t>
        </is>
      </c>
      <c r="E4" s="43" t="n">
        <v>43773</v>
      </c>
      <c r="F4" s="42" t="inlineStr">
        <is>
          <t>Full-Time</t>
        </is>
      </c>
      <c r="G4" s="43" t="n">
        <v>43773</v>
      </c>
      <c r="H4" s="42" t="inlineStr">
        <is>
          <t>ServiceNow</t>
        </is>
      </c>
      <c r="I4" s="42" t="inlineStr">
        <is>
          <t>Sales</t>
        </is>
      </c>
      <c r="J4" s="42" t="inlineStr">
        <is>
          <t>Boylston</t>
        </is>
      </c>
      <c r="K4" s="42" t="inlineStr">
        <is>
          <t>No</t>
        </is>
      </c>
      <c r="L4" s="42" t="inlineStr">
        <is>
          <t>300- ServiceNow:330- Sales</t>
        </is>
      </c>
      <c r="M4" s="42" t="inlineStr">
        <is>
          <t>Sales &amp; Marketing:Sales &amp; Marketing- Travel Expenses:</t>
        </is>
      </c>
      <c r="N4" s="42" t="inlineStr">
        <is>
          <t>Sales &amp; Marketing:Sales &amp; Marketing- Personnel Expenses:</t>
        </is>
      </c>
      <c r="O4" s="44">
        <f>B4&amp;" "&amp;C4</f>
        <v/>
      </c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>
      <c r="A5" s="31" t="n">
        <v>4</v>
      </c>
      <c r="B5" s="42" t="inlineStr">
        <is>
          <t>Jeffrey</t>
        </is>
      </c>
      <c r="C5" s="42" t="inlineStr">
        <is>
          <t>Mu</t>
        </is>
      </c>
      <c r="D5" s="42" t="inlineStr">
        <is>
          <t>Mu, Jeffrey</t>
        </is>
      </c>
      <c r="E5" s="43" t="n">
        <v>43754</v>
      </c>
      <c r="F5" s="42" t="inlineStr">
        <is>
          <t>Full-Time</t>
        </is>
      </c>
      <c r="G5" s="43" t="n">
        <v>43754</v>
      </c>
      <c r="H5" s="42" t="inlineStr">
        <is>
          <t>ServiceNow</t>
        </is>
      </c>
      <c r="I5" s="42" t="inlineStr">
        <is>
          <t>Engineering</t>
        </is>
      </c>
      <c r="J5" s="42" t="inlineStr">
        <is>
          <t>Boylston</t>
        </is>
      </c>
      <c r="K5" s="42" t="inlineStr">
        <is>
          <t>Yes</t>
        </is>
      </c>
      <c r="L5" s="42" t="inlineStr">
        <is>
          <t>300- ServiceNow:320- Engineering</t>
        </is>
      </c>
      <c r="M5" s="42" t="inlineStr">
        <is>
          <t>Cost of Goods Sold:COGS- Travel Expenses:</t>
        </is>
      </c>
      <c r="N5" s="42" t="inlineStr">
        <is>
          <t>Cost of Goods Sold:COGS- Personnel Expense:</t>
        </is>
      </c>
      <c r="O5" s="44">
        <f>B5&amp;" "&amp;C5</f>
        <v/>
      </c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>
      <c r="A6" s="31" t="n">
        <v>5</v>
      </c>
      <c r="B6" s="42" t="inlineStr">
        <is>
          <t>James</t>
        </is>
      </c>
      <c r="C6" s="42" t="inlineStr">
        <is>
          <t>Craveiro</t>
        </is>
      </c>
      <c r="D6" s="42" t="inlineStr">
        <is>
          <t>Craveiro, James</t>
        </is>
      </c>
      <c r="E6" s="43" t="n">
        <v>43871</v>
      </c>
      <c r="F6" s="42" t="inlineStr">
        <is>
          <t>Terminated</t>
        </is>
      </c>
      <c r="G6" s="43" t="n">
        <v>44835</v>
      </c>
      <c r="H6" s="42" t="inlineStr">
        <is>
          <t>Datadog</t>
        </is>
      </c>
      <c r="I6" s="42" t="inlineStr">
        <is>
          <t>Engineering</t>
        </is>
      </c>
      <c r="J6" s="42" t="inlineStr">
        <is>
          <t>Remote</t>
        </is>
      </c>
      <c r="K6" s="42" t="inlineStr">
        <is>
          <t>Yes</t>
        </is>
      </c>
      <c r="L6" s="42" t="inlineStr">
        <is>
          <t>200- Datadog:220- Engineering</t>
        </is>
      </c>
      <c r="M6" s="42" t="inlineStr">
        <is>
          <t>Cost of Goods Sold:COGS- Travel Expenses:</t>
        </is>
      </c>
      <c r="N6" s="42" t="inlineStr">
        <is>
          <t>Cost of Goods Sold:COGS- Personnel Expense:</t>
        </is>
      </c>
      <c r="O6" s="44">
        <f>B6&amp;" "&amp;C6</f>
        <v/>
      </c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>
      <c r="A7" s="31" t="n">
        <v>6</v>
      </c>
      <c r="B7" s="42" t="inlineStr">
        <is>
          <t>Kristopher</t>
        </is>
      </c>
      <c r="C7" s="42" t="inlineStr">
        <is>
          <t>Borodiansky</t>
        </is>
      </c>
      <c r="D7" s="42" t="inlineStr">
        <is>
          <t>Borodiansky, Kristopher</t>
        </is>
      </c>
      <c r="E7" s="43" t="n">
        <v>43857</v>
      </c>
      <c r="F7" s="42" t="inlineStr">
        <is>
          <t>Terminated</t>
        </is>
      </c>
      <c r="G7" s="43" t="n">
        <v>43886</v>
      </c>
      <c r="H7" s="42" t="inlineStr">
        <is>
          <t>Datadog</t>
        </is>
      </c>
      <c r="I7" s="42" t="inlineStr">
        <is>
          <t>Engineering</t>
        </is>
      </c>
      <c r="J7" s="42" t="inlineStr">
        <is>
          <t>Remote</t>
        </is>
      </c>
      <c r="K7" s="42" t="inlineStr">
        <is>
          <t>Yes</t>
        </is>
      </c>
      <c r="L7" s="42" t="inlineStr">
        <is>
          <t>200- Datadog:220- Engineering</t>
        </is>
      </c>
      <c r="M7" s="42" t="inlineStr">
        <is>
          <t>Cost of Goods Sold:COGS- Travel Expenses:</t>
        </is>
      </c>
      <c r="N7" s="42" t="inlineStr">
        <is>
          <t>Cost of Goods Sold:COGS- Personnel Expense:</t>
        </is>
      </c>
      <c r="O7" s="44">
        <f>B7&amp;" "&amp;C7</f>
        <v/>
      </c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>
      <c r="A8" s="31" t="n">
        <v>7</v>
      </c>
      <c r="B8" s="42" t="inlineStr">
        <is>
          <t>Erik</t>
        </is>
      </c>
      <c r="C8" s="42" t="inlineStr">
        <is>
          <t>Williams</t>
        </is>
      </c>
      <c r="D8" s="42" t="inlineStr">
        <is>
          <t>Williams, Erik</t>
        </is>
      </c>
      <c r="E8" s="43" t="n">
        <v>43885</v>
      </c>
      <c r="F8" s="42" t="inlineStr">
        <is>
          <t>Full-Time</t>
        </is>
      </c>
      <c r="G8" s="43" t="n">
        <v>43885</v>
      </c>
      <c r="H8" s="42" t="inlineStr">
        <is>
          <t>Operations</t>
        </is>
      </c>
      <c r="I8" s="42" t="inlineStr">
        <is>
          <t>Strategy</t>
        </is>
      </c>
      <c r="J8" s="42" t="inlineStr">
        <is>
          <t>Remote</t>
        </is>
      </c>
      <c r="K8" s="42" t="inlineStr">
        <is>
          <t>Yes</t>
        </is>
      </c>
      <c r="L8" s="42" t="inlineStr">
        <is>
          <t>400- Synechron:410- Digital platforms G&amp;A</t>
        </is>
      </c>
      <c r="M8" s="42" t="inlineStr">
        <is>
          <t>Cost of Goods Sold:COGS- Travel Expenses:</t>
        </is>
      </c>
      <c r="N8" s="42" t="inlineStr">
        <is>
          <t>Cost of Goods Sold:COGS- Personnel Expense:</t>
        </is>
      </c>
      <c r="O8" s="44">
        <f>B8&amp;" "&amp;C8</f>
        <v/>
      </c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  <c r="Z8" s="51" t="n"/>
    </row>
    <row r="9">
      <c r="A9" s="31" t="n">
        <v>8</v>
      </c>
      <c r="B9" s="42" t="inlineStr">
        <is>
          <t>Logan</t>
        </is>
      </c>
      <c r="C9" s="42" t="inlineStr">
        <is>
          <t>Rohloff</t>
        </is>
      </c>
      <c r="D9" s="42" t="inlineStr">
        <is>
          <t>Rohloff, Logan</t>
        </is>
      </c>
      <c r="E9" s="43" t="n">
        <v>43906</v>
      </c>
      <c r="F9" s="42" t="inlineStr">
        <is>
          <t>Full-Time</t>
        </is>
      </c>
      <c r="G9" s="43" t="n">
        <v>43906</v>
      </c>
      <c r="H9" s="42" t="inlineStr">
        <is>
          <t>Datadog</t>
        </is>
      </c>
      <c r="I9" s="42" t="inlineStr">
        <is>
          <t>Engineering</t>
        </is>
      </c>
      <c r="J9" s="42" t="inlineStr">
        <is>
          <t>Remote</t>
        </is>
      </c>
      <c r="K9" s="42" t="inlineStr">
        <is>
          <t>Yes</t>
        </is>
      </c>
      <c r="L9" s="42" t="inlineStr">
        <is>
          <t>200- Datadog:220- Engineering</t>
        </is>
      </c>
      <c r="M9" s="42" t="inlineStr">
        <is>
          <t>Cost of Goods Sold:COGS- Travel Expenses:</t>
        </is>
      </c>
      <c r="N9" s="42" t="inlineStr">
        <is>
          <t>Cost of Goods Sold:COGS- Personnel Expense:</t>
        </is>
      </c>
      <c r="O9" s="44">
        <f>B9&amp;" "&amp;C9</f>
        <v/>
      </c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</row>
    <row r="10">
      <c r="A10" s="31" t="n">
        <v>9</v>
      </c>
      <c r="B10" s="42" t="inlineStr">
        <is>
          <t>Reese</t>
        </is>
      </c>
      <c r="C10" s="42" t="inlineStr">
        <is>
          <t>Boisse</t>
        </is>
      </c>
      <c r="D10" s="42" t="inlineStr">
        <is>
          <t>Boisse, Reese</t>
        </is>
      </c>
      <c r="E10" s="43" t="n">
        <v>43927</v>
      </c>
      <c r="F10" s="42" t="inlineStr">
        <is>
          <t>Full-Time</t>
        </is>
      </c>
      <c r="G10" s="43" t="n">
        <v>43927</v>
      </c>
      <c r="H10" s="42" t="inlineStr">
        <is>
          <t>ServiceNow</t>
        </is>
      </c>
      <c r="I10" s="42" t="inlineStr">
        <is>
          <t>Sales</t>
        </is>
      </c>
      <c r="J10" s="42" t="inlineStr">
        <is>
          <t>Boylston</t>
        </is>
      </c>
      <c r="K10" s="42" t="inlineStr">
        <is>
          <t>No</t>
        </is>
      </c>
      <c r="L10" s="42" t="inlineStr">
        <is>
          <t>300- ServiceNow:330- Sales</t>
        </is>
      </c>
      <c r="M10" s="42" t="inlineStr">
        <is>
          <t>Sales &amp; Marketing:Sales &amp; Marketing- Travel Expenses:</t>
        </is>
      </c>
      <c r="N10" s="42" t="inlineStr">
        <is>
          <t>Sales &amp; Marketing:Sales &amp; Marketing- Personnel Expenses:</t>
        </is>
      </c>
      <c r="O10" s="44">
        <f>B10&amp;" "&amp;C10</f>
        <v/>
      </c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</row>
    <row r="11">
      <c r="A11" s="31" t="n">
        <v>10</v>
      </c>
      <c r="B11" s="42" t="inlineStr">
        <is>
          <t>Reuben</t>
        </is>
      </c>
      <c r="C11" s="42" t="inlineStr">
        <is>
          <t>Stump</t>
        </is>
      </c>
      <c r="D11" s="42" t="inlineStr">
        <is>
          <t>Stump, Reuben</t>
        </is>
      </c>
      <c r="E11" s="43" t="n">
        <v>43985</v>
      </c>
      <c r="F11" s="42" t="inlineStr">
        <is>
          <t>Full-Time</t>
        </is>
      </c>
      <c r="G11" s="43" t="n">
        <v>43985</v>
      </c>
      <c r="H11" s="42" t="inlineStr">
        <is>
          <t>Datadog</t>
        </is>
      </c>
      <c r="I11" s="42" t="inlineStr">
        <is>
          <t>Engineering</t>
        </is>
      </c>
      <c r="J11" s="42" t="inlineStr">
        <is>
          <t>Remote</t>
        </is>
      </c>
      <c r="K11" s="42" t="inlineStr">
        <is>
          <t>Yes</t>
        </is>
      </c>
      <c r="L11" s="42" t="inlineStr">
        <is>
          <t>200- Datadog:220- Engineering</t>
        </is>
      </c>
      <c r="M11" s="42" t="inlineStr">
        <is>
          <t>Cost of Goods Sold:COGS- Travel Expenses:</t>
        </is>
      </c>
      <c r="N11" s="42" t="inlineStr">
        <is>
          <t>Cost of Goods Sold:COGS- Personnel Expense:</t>
        </is>
      </c>
      <c r="O11" s="44">
        <f>B11&amp;" "&amp;C11</f>
        <v/>
      </c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</row>
    <row r="12">
      <c r="A12" s="31" t="n">
        <v>11</v>
      </c>
      <c r="B12" s="42" t="inlineStr">
        <is>
          <t>Victoria</t>
        </is>
      </c>
      <c r="C12" s="42" t="inlineStr">
        <is>
          <t>Quinn</t>
        </is>
      </c>
      <c r="D12" s="42" t="inlineStr">
        <is>
          <t>Quinn, Victoria</t>
        </is>
      </c>
      <c r="E12" s="43" t="n">
        <v>43990</v>
      </c>
      <c r="F12" s="42" t="inlineStr">
        <is>
          <t>Terminated</t>
        </is>
      </c>
      <c r="G12" s="43" t="n">
        <v>45003</v>
      </c>
      <c r="H12" s="42" t="inlineStr">
        <is>
          <t>Operations</t>
        </is>
      </c>
      <c r="I12" s="42" t="inlineStr">
        <is>
          <t>Admin</t>
        </is>
      </c>
      <c r="J12" s="42" t="inlineStr">
        <is>
          <t>Remote</t>
        </is>
      </c>
      <c r="K12" s="42" t="inlineStr">
        <is>
          <t>No</t>
        </is>
      </c>
      <c r="L12" s="42" t="inlineStr">
        <is>
          <t>100- Operations:110- G&amp;A</t>
        </is>
      </c>
      <c r="M12" s="42" t="inlineStr">
        <is>
          <t>General &amp; Administrative:G&amp;A- Travel Expenses:</t>
        </is>
      </c>
      <c r="N12" s="42" t="inlineStr">
        <is>
          <t>General &amp; Administrative:G&amp;A- Personnel Expenses:</t>
        </is>
      </c>
      <c r="O12" s="44">
        <f>B12&amp;" "&amp;C12</f>
        <v/>
      </c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>
      <c r="A13" s="31" t="n">
        <v>12</v>
      </c>
      <c r="B13" s="42" t="inlineStr">
        <is>
          <t>Elias</t>
        </is>
      </c>
      <c r="C13" s="42" t="inlineStr">
        <is>
          <t>Kapetanopoulos</t>
        </is>
      </c>
      <c r="D13" s="42" t="inlineStr">
        <is>
          <t>Kapetanopoulos, Elias</t>
        </is>
      </c>
      <c r="E13" s="43" t="n">
        <v>44060</v>
      </c>
      <c r="F13" s="42" t="inlineStr">
        <is>
          <t>Full-Time</t>
        </is>
      </c>
      <c r="G13" s="43" t="n">
        <v>44060</v>
      </c>
      <c r="H13" s="42" t="inlineStr">
        <is>
          <t>ServiceNow</t>
        </is>
      </c>
      <c r="I13" s="42" t="inlineStr">
        <is>
          <t>Engineering</t>
        </is>
      </c>
      <c r="J13" s="42" t="inlineStr">
        <is>
          <t>Boylston</t>
        </is>
      </c>
      <c r="K13" s="42" t="inlineStr">
        <is>
          <t>No</t>
        </is>
      </c>
      <c r="L13" s="42" t="inlineStr">
        <is>
          <t>300- ServiceNow:320- Engineering</t>
        </is>
      </c>
      <c r="M13" s="42" t="inlineStr">
        <is>
          <t>General &amp; Administrative:G&amp;A- Travel Expenses:</t>
        </is>
      </c>
      <c r="N13" s="42" t="inlineStr">
        <is>
          <t>Sales &amp; Marketing:Sales &amp; Marketing- Personnel Expenses:</t>
        </is>
      </c>
      <c r="O13" s="44">
        <f>B13&amp;" "&amp;C13</f>
        <v/>
      </c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>
      <c r="A14" s="31" t="n">
        <v>13</v>
      </c>
      <c r="B14" s="42" t="inlineStr">
        <is>
          <t>Adnan</t>
        </is>
      </c>
      <c r="C14" s="42" t="inlineStr">
        <is>
          <t>Usman</t>
        </is>
      </c>
      <c r="D14" s="42" t="inlineStr">
        <is>
          <t>Usman, Adnan</t>
        </is>
      </c>
      <c r="E14" s="43" t="n">
        <v>44060</v>
      </c>
      <c r="F14" s="42" t="inlineStr">
        <is>
          <t>Terminated</t>
        </is>
      </c>
      <c r="G14" s="43" t="n">
        <v>44674</v>
      </c>
      <c r="H14" s="42" t="inlineStr">
        <is>
          <t>ServiceNow</t>
        </is>
      </c>
      <c r="I14" s="42" t="inlineStr">
        <is>
          <t>Sales</t>
        </is>
      </c>
      <c r="J14" s="42" t="inlineStr">
        <is>
          <t>Remote</t>
        </is>
      </c>
      <c r="K14" s="42" t="inlineStr">
        <is>
          <t>No</t>
        </is>
      </c>
      <c r="L14" s="42" t="inlineStr">
        <is>
          <t>300- ServiceNow:330- Sales</t>
        </is>
      </c>
      <c r="M14" s="42" t="inlineStr">
        <is>
          <t>Sales &amp; Marketing:Sales &amp; Marketing- Travel Expenses:</t>
        </is>
      </c>
      <c r="N14" s="42" t="inlineStr">
        <is>
          <t>Sales &amp; Marketing:Sales &amp; Marketing- Personnel Expenses:</t>
        </is>
      </c>
      <c r="O14" s="44">
        <f>B14&amp;" "&amp;C14</f>
        <v/>
      </c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>
      <c r="A15" s="31" t="n">
        <v>14</v>
      </c>
      <c r="B15" s="42" t="inlineStr">
        <is>
          <t>Christian</t>
        </is>
      </c>
      <c r="C15" s="42" t="inlineStr">
        <is>
          <t>Moua</t>
        </is>
      </c>
      <c r="D15" s="42" t="inlineStr">
        <is>
          <t>Moua, Christian</t>
        </is>
      </c>
      <c r="E15" s="43" t="n">
        <v>44088</v>
      </c>
      <c r="F15" s="42" t="inlineStr">
        <is>
          <t>Full-Time</t>
        </is>
      </c>
      <c r="G15" s="43" t="n">
        <v>44088</v>
      </c>
      <c r="H15" s="42" t="inlineStr">
        <is>
          <t>ServiceNow</t>
        </is>
      </c>
      <c r="I15" s="42" t="inlineStr">
        <is>
          <t>Engineering</t>
        </is>
      </c>
      <c r="J15" s="42" t="inlineStr">
        <is>
          <t>Boylston</t>
        </is>
      </c>
      <c r="K15" s="42" t="inlineStr">
        <is>
          <t>Yes</t>
        </is>
      </c>
      <c r="L15" s="42" t="inlineStr">
        <is>
          <t>300- ServiceNow:320- Engineering</t>
        </is>
      </c>
      <c r="M15" s="42" t="inlineStr">
        <is>
          <t>Cost of Goods Sold:COGS- Travel Expenses:</t>
        </is>
      </c>
      <c r="N15" s="42" t="inlineStr">
        <is>
          <t>Cost of Goods Sold:COGS- Personnel Expense:</t>
        </is>
      </c>
      <c r="O15" s="44">
        <f>B15&amp;" "&amp;C15</f>
        <v/>
      </c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>
      <c r="A16" s="31" t="n">
        <v>15</v>
      </c>
      <c r="B16" s="42" t="inlineStr">
        <is>
          <t>Jesse</t>
        </is>
      </c>
      <c r="C16" s="42" t="inlineStr">
        <is>
          <t>Eddy</t>
        </is>
      </c>
      <c r="D16" s="42" t="inlineStr">
        <is>
          <t>Eddy, Jesse</t>
        </is>
      </c>
      <c r="E16" s="43" t="n">
        <v>44102</v>
      </c>
      <c r="F16" s="42" t="inlineStr">
        <is>
          <t>Full-Time</t>
        </is>
      </c>
      <c r="G16" s="43" t="n">
        <v>44102</v>
      </c>
      <c r="H16" s="42" t="inlineStr">
        <is>
          <t>Datadog</t>
        </is>
      </c>
      <c r="I16" s="42" t="inlineStr">
        <is>
          <t>Sales</t>
        </is>
      </c>
      <c r="J16" s="42" t="inlineStr">
        <is>
          <t>Boylston</t>
        </is>
      </c>
      <c r="K16" s="42" t="inlineStr">
        <is>
          <t>No</t>
        </is>
      </c>
      <c r="L16" s="42" t="inlineStr">
        <is>
          <t>200- Datadog:230- Sales</t>
        </is>
      </c>
      <c r="M16" s="42" t="inlineStr">
        <is>
          <t>Sales &amp; Marketing:Sales &amp; Marketing- Travel Expenses:</t>
        </is>
      </c>
      <c r="N16" s="42" t="inlineStr">
        <is>
          <t>General &amp; Administrative:G&amp;A- Personnel Expenses:</t>
        </is>
      </c>
      <c r="O16" s="44">
        <f>B16&amp;" "&amp;C16</f>
        <v/>
      </c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</row>
    <row r="17">
      <c r="A17" s="31" t="n">
        <v>16</v>
      </c>
      <c r="B17" s="42" t="inlineStr">
        <is>
          <t>Maxime</t>
        </is>
      </c>
      <c r="C17" s="42" t="inlineStr">
        <is>
          <t>Berube</t>
        </is>
      </c>
      <c r="D17" s="42" t="inlineStr">
        <is>
          <t>Berube, Maxime</t>
        </is>
      </c>
      <c r="E17" s="43" t="n">
        <v>44102</v>
      </c>
      <c r="F17" s="42" t="inlineStr">
        <is>
          <t>Terminated</t>
        </is>
      </c>
      <c r="G17" s="43" t="n">
        <v>44226</v>
      </c>
      <c r="H17" s="42" t="inlineStr">
        <is>
          <t>Datadog</t>
        </is>
      </c>
      <c r="I17" s="42" t="inlineStr">
        <is>
          <t>Engineering</t>
        </is>
      </c>
      <c r="J17" s="42" t="inlineStr">
        <is>
          <t>Boylston</t>
        </is>
      </c>
      <c r="K17" s="42" t="inlineStr">
        <is>
          <t>Yes</t>
        </is>
      </c>
      <c r="L17" s="42" t="inlineStr">
        <is>
          <t>200- Datadog:220- Engineering</t>
        </is>
      </c>
      <c r="M17" s="42" t="inlineStr">
        <is>
          <t>Cost of Goods Sold:COGS- Travel Expenses:</t>
        </is>
      </c>
      <c r="N17" s="42" t="inlineStr">
        <is>
          <t>Cost of Goods Sold:COGS- Personnel Expense:</t>
        </is>
      </c>
      <c r="O17" s="44">
        <f>B17&amp;" "&amp;C17</f>
        <v/>
      </c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>
      <c r="A18" s="31" t="n">
        <v>17</v>
      </c>
      <c r="B18" s="42" t="inlineStr">
        <is>
          <t>Michael</t>
        </is>
      </c>
      <c r="C18" s="42" t="inlineStr">
        <is>
          <t>Thornton</t>
        </is>
      </c>
      <c r="D18" s="42" t="inlineStr">
        <is>
          <t>Thornton, Michael</t>
        </is>
      </c>
      <c r="E18" s="43" t="n">
        <v>44144</v>
      </c>
      <c r="F18" s="42" t="inlineStr">
        <is>
          <t>Terminated</t>
        </is>
      </c>
      <c r="G18" s="43" t="n">
        <v>44485</v>
      </c>
      <c r="H18" s="42" t="inlineStr">
        <is>
          <t>ServiceNow</t>
        </is>
      </c>
      <c r="I18" s="42" t="inlineStr">
        <is>
          <t>Engineering</t>
        </is>
      </c>
      <c r="J18" s="42" t="inlineStr">
        <is>
          <t>Boylston</t>
        </is>
      </c>
      <c r="K18" s="46" t="inlineStr">
        <is>
          <t>Yes</t>
        </is>
      </c>
      <c r="L18" s="42" t="inlineStr">
        <is>
          <t>300- ServiceNow:320- Engineering</t>
        </is>
      </c>
      <c r="M18" s="42" t="inlineStr">
        <is>
          <t>Cost of Goods Sold:COGS- Travel Expenses:</t>
        </is>
      </c>
      <c r="N18" s="42" t="inlineStr">
        <is>
          <t>Cost of Goods Sold:COGS- Personnel Expense:</t>
        </is>
      </c>
      <c r="O18" s="44">
        <f>B18&amp;" "&amp;C18</f>
        <v/>
      </c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>
      <c r="A19" s="31" t="n">
        <v>18</v>
      </c>
      <c r="B19" s="42" t="inlineStr">
        <is>
          <t>Tomas</t>
        </is>
      </c>
      <c r="C19" s="42" t="inlineStr">
        <is>
          <t>Cespedes</t>
        </is>
      </c>
      <c r="D19" s="42" t="inlineStr">
        <is>
          <t>Cespedes, Tomas</t>
        </is>
      </c>
      <c r="E19" s="43" t="n">
        <v>44151</v>
      </c>
      <c r="F19" s="42" t="inlineStr">
        <is>
          <t>Full-Time</t>
        </is>
      </c>
      <c r="G19" s="43" t="n">
        <v>44151</v>
      </c>
      <c r="H19" s="42" t="inlineStr">
        <is>
          <t>Datadog</t>
        </is>
      </c>
      <c r="I19" s="42" t="inlineStr">
        <is>
          <t>Sales</t>
        </is>
      </c>
      <c r="J19" s="42" t="inlineStr">
        <is>
          <t>Boylston</t>
        </is>
      </c>
      <c r="K19" s="42" t="inlineStr">
        <is>
          <t>No</t>
        </is>
      </c>
      <c r="L19" s="42" t="inlineStr">
        <is>
          <t>200- Datadog:230- Sales</t>
        </is>
      </c>
      <c r="M19" s="42" t="inlineStr">
        <is>
          <t>Sales &amp; Marketing:Sales &amp; Marketing- Travel Expenses:</t>
        </is>
      </c>
      <c r="N19" s="42" t="inlineStr">
        <is>
          <t>General &amp; Administrative:G&amp;A- Personnel Expenses:</t>
        </is>
      </c>
      <c r="O19" s="44">
        <f>B19&amp;" "&amp;C19</f>
        <v/>
      </c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>
      <c r="A20" s="31" t="n">
        <v>19</v>
      </c>
      <c r="B20" s="42" t="inlineStr">
        <is>
          <t>Colin</t>
        </is>
      </c>
      <c r="C20" s="42" t="inlineStr">
        <is>
          <t>Galanaugh</t>
        </is>
      </c>
      <c r="D20" s="42" t="inlineStr">
        <is>
          <t>Galanaugh, Colin</t>
        </is>
      </c>
      <c r="E20" s="43" t="n">
        <v>44228</v>
      </c>
      <c r="F20" s="42" t="inlineStr">
        <is>
          <t>Full-Time</t>
        </is>
      </c>
      <c r="G20" s="43" t="n">
        <v>44228</v>
      </c>
      <c r="H20" s="42" t="inlineStr">
        <is>
          <t>Datadog</t>
        </is>
      </c>
      <c r="I20" s="42" t="inlineStr">
        <is>
          <t>Sales</t>
        </is>
      </c>
      <c r="J20" s="42" t="inlineStr">
        <is>
          <t>Boylston</t>
        </is>
      </c>
      <c r="K20" s="42" t="inlineStr">
        <is>
          <t>No</t>
        </is>
      </c>
      <c r="L20" s="42" t="inlineStr">
        <is>
          <t>200- Datadog:230- Sales</t>
        </is>
      </c>
      <c r="M20" s="42" t="inlineStr">
        <is>
          <t>Sales &amp; Marketing:Sales &amp; Marketing- Travel Expenses:</t>
        </is>
      </c>
      <c r="N20" s="42" t="inlineStr">
        <is>
          <t>General &amp; Administrative:G&amp;A- Personnel Expenses:</t>
        </is>
      </c>
      <c r="O20" s="44">
        <f>B20&amp;" "&amp;C20</f>
        <v/>
      </c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15.75" customHeight="1" s="52">
      <c r="A21" s="31" t="n">
        <v>20</v>
      </c>
      <c r="B21" s="42" t="inlineStr">
        <is>
          <t>Charles</t>
        </is>
      </c>
      <c r="C21" s="42" t="inlineStr">
        <is>
          <t>Magnarelli</t>
        </is>
      </c>
      <c r="D21" s="42" t="inlineStr">
        <is>
          <t>Magnarelli, Charles</t>
        </is>
      </c>
      <c r="E21" s="43" t="n">
        <v>44228</v>
      </c>
      <c r="F21" s="42" t="inlineStr">
        <is>
          <t>Terminated</t>
        </is>
      </c>
      <c r="G21" s="43" t="n">
        <v>44254</v>
      </c>
      <c r="H21" s="42" t="inlineStr">
        <is>
          <t>Datadog</t>
        </is>
      </c>
      <c r="I21" s="42" t="inlineStr">
        <is>
          <t>Engineering</t>
        </is>
      </c>
      <c r="J21" s="42" t="inlineStr">
        <is>
          <t>Boylston</t>
        </is>
      </c>
      <c r="K21" s="42" t="inlineStr">
        <is>
          <t>Yes</t>
        </is>
      </c>
      <c r="L21" s="42" t="inlineStr">
        <is>
          <t>200- Datadog:220- Engineering</t>
        </is>
      </c>
      <c r="M21" s="42" t="inlineStr">
        <is>
          <t>Cost of Goods Sold:COGS- Travel Expenses:</t>
        </is>
      </c>
      <c r="N21" s="42" t="inlineStr">
        <is>
          <t>Cost of Goods Sold:COGS- Personnel Expense:</t>
        </is>
      </c>
      <c r="O21" s="44">
        <f>B21&amp;" "&amp;C21</f>
        <v/>
      </c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15.75" customHeight="1" s="52">
      <c r="A22" s="31" t="n">
        <v>21</v>
      </c>
      <c r="B22" s="42" t="inlineStr">
        <is>
          <t>Timothy</t>
        </is>
      </c>
      <c r="C22" s="42" t="inlineStr">
        <is>
          <t>Konick</t>
        </is>
      </c>
      <c r="D22" s="42" t="inlineStr">
        <is>
          <t>Konick, Timothy</t>
        </is>
      </c>
      <c r="E22" s="43" t="n">
        <v>44249</v>
      </c>
      <c r="F22" s="42" t="inlineStr">
        <is>
          <t>Terminated</t>
        </is>
      </c>
      <c r="G22" s="43" t="n">
        <v>44264</v>
      </c>
      <c r="H22" s="42" t="inlineStr">
        <is>
          <t>Datadog</t>
        </is>
      </c>
      <c r="I22" s="42" t="inlineStr">
        <is>
          <t>Engineering</t>
        </is>
      </c>
      <c r="J22" s="42" t="inlineStr">
        <is>
          <t>Boylston</t>
        </is>
      </c>
      <c r="K22" s="42" t="inlineStr">
        <is>
          <t>Yes</t>
        </is>
      </c>
      <c r="L22" s="42" t="inlineStr">
        <is>
          <t>200- Datadog:220- Engineering</t>
        </is>
      </c>
      <c r="M22" s="42" t="inlineStr">
        <is>
          <t>Cost of Goods Sold:COGS- Travel Expenses:</t>
        </is>
      </c>
      <c r="N22" s="42" t="inlineStr">
        <is>
          <t>Cost of Goods Sold:COGS- Personnel Expense:</t>
        </is>
      </c>
      <c r="O22" s="44">
        <f>B22&amp;" "&amp;C22</f>
        <v/>
      </c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15.75" customHeight="1" s="52">
      <c r="A23" s="31" t="n">
        <v>22</v>
      </c>
      <c r="B23" s="42" t="inlineStr">
        <is>
          <t>Dennis</t>
        </is>
      </c>
      <c r="C23" s="42" t="inlineStr">
        <is>
          <t>Wang</t>
        </is>
      </c>
      <c r="D23" s="42" t="inlineStr">
        <is>
          <t>Wang, Dennis</t>
        </is>
      </c>
      <c r="E23" s="43" t="n">
        <v>44284</v>
      </c>
      <c r="F23" s="42" t="inlineStr">
        <is>
          <t>Terminated</t>
        </is>
      </c>
      <c r="G23" s="43" t="n">
        <v>44373</v>
      </c>
      <c r="H23" s="42" t="inlineStr">
        <is>
          <t>Datadog</t>
        </is>
      </c>
      <c r="I23" s="42" t="inlineStr">
        <is>
          <t>Engineering</t>
        </is>
      </c>
      <c r="J23" s="42" t="inlineStr">
        <is>
          <t>Boylston</t>
        </is>
      </c>
      <c r="K23" s="42" t="inlineStr">
        <is>
          <t>Yes</t>
        </is>
      </c>
      <c r="L23" s="42" t="inlineStr">
        <is>
          <t>200- Datadog:220- Engineering</t>
        </is>
      </c>
      <c r="M23" s="42" t="inlineStr">
        <is>
          <t>Cost of Goods Sold:COGS- Travel Expenses:</t>
        </is>
      </c>
      <c r="N23" s="42" t="inlineStr">
        <is>
          <t>Cost of Goods Sold:COGS- Personnel Expense:</t>
        </is>
      </c>
      <c r="O23" s="44">
        <f>B23&amp;" "&amp;C23</f>
        <v/>
      </c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5.75" customHeight="1" s="52">
      <c r="A24" s="31" t="n">
        <v>23</v>
      </c>
      <c r="B24" s="42" t="inlineStr">
        <is>
          <t>Josh</t>
        </is>
      </c>
      <c r="C24" s="42" t="inlineStr">
        <is>
          <t>van Harn</t>
        </is>
      </c>
      <c r="D24" s="42" t="inlineStr">
        <is>
          <t>van Harn, Josh</t>
        </is>
      </c>
      <c r="E24" s="43" t="n">
        <v>44312</v>
      </c>
      <c r="F24" s="42" t="inlineStr">
        <is>
          <t>Full-Time</t>
        </is>
      </c>
      <c r="G24" s="43" t="n">
        <v>44312</v>
      </c>
      <c r="H24" s="42" t="inlineStr">
        <is>
          <t>ServiceNow</t>
        </is>
      </c>
      <c r="I24" s="42" t="inlineStr">
        <is>
          <t>Sales</t>
        </is>
      </c>
      <c r="J24" s="42" t="inlineStr">
        <is>
          <t>Remote</t>
        </is>
      </c>
      <c r="K24" s="42" t="inlineStr">
        <is>
          <t>No</t>
        </is>
      </c>
      <c r="L24" s="42" t="inlineStr">
        <is>
          <t>300- ServiceNow:330- Sales</t>
        </is>
      </c>
      <c r="M24" s="42" t="inlineStr">
        <is>
          <t>Sales &amp; Marketing:Sales &amp; Marketing- Travel Expenses:</t>
        </is>
      </c>
      <c r="N24" s="42" t="inlineStr">
        <is>
          <t>Sales &amp; Marketing:Sales &amp; Marketing- Personnel Expenses:</t>
        </is>
      </c>
      <c r="O24" s="44">
        <f>B24&amp;" "&amp;C24</f>
        <v/>
      </c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</row>
    <row r="25" ht="15.75" customHeight="1" s="52">
      <c r="A25" s="31" t="n">
        <v>24</v>
      </c>
      <c r="B25" s="42" t="inlineStr">
        <is>
          <t>Matt</t>
        </is>
      </c>
      <c r="C25" s="42" t="inlineStr">
        <is>
          <t>Hyman</t>
        </is>
      </c>
      <c r="D25" s="42" t="inlineStr">
        <is>
          <t>Hyman, Matthew</t>
        </is>
      </c>
      <c r="E25" s="43" t="n">
        <v>44348</v>
      </c>
      <c r="F25" s="42" t="inlineStr">
        <is>
          <t>Full-Time</t>
        </is>
      </c>
      <c r="G25" s="43" t="n">
        <v>44348</v>
      </c>
      <c r="H25" s="42" t="inlineStr">
        <is>
          <t>ServiceNow</t>
        </is>
      </c>
      <c r="I25" s="42" t="inlineStr">
        <is>
          <t>Sales</t>
        </is>
      </c>
      <c r="J25" s="42" t="inlineStr">
        <is>
          <t>Remote</t>
        </is>
      </c>
      <c r="K25" s="42" t="inlineStr">
        <is>
          <t>No</t>
        </is>
      </c>
      <c r="L25" s="42" t="inlineStr">
        <is>
          <t>300- ServiceNow:330- Sales</t>
        </is>
      </c>
      <c r="M25" s="42" t="inlineStr">
        <is>
          <t>Sales &amp; Marketing:Sales &amp; Marketing- Travel Expenses:</t>
        </is>
      </c>
      <c r="N25" s="42" t="inlineStr">
        <is>
          <t>Sales &amp; Marketing:Sales &amp; Marketing- Personnel Expenses:</t>
        </is>
      </c>
      <c r="O25" s="44">
        <f>B25&amp;" "&amp;C25</f>
        <v/>
      </c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</row>
    <row r="26" ht="15.75" customHeight="1" s="52">
      <c r="A26" s="31" t="n">
        <v>25</v>
      </c>
      <c r="B26" s="42" t="inlineStr">
        <is>
          <t>Mitchell</t>
        </is>
      </c>
      <c r="C26" s="42" t="inlineStr">
        <is>
          <t>Nethercott</t>
        </is>
      </c>
      <c r="D26" s="42" t="inlineStr">
        <is>
          <t>Nethercott, Mitchell</t>
        </is>
      </c>
      <c r="E26" s="43" t="n">
        <v>44361</v>
      </c>
      <c r="F26" s="42" t="inlineStr">
        <is>
          <t>Full-Time</t>
        </is>
      </c>
      <c r="G26" s="43" t="n">
        <v>44361</v>
      </c>
      <c r="H26" s="42" t="inlineStr">
        <is>
          <t>Datadog</t>
        </is>
      </c>
      <c r="I26" s="42" t="inlineStr">
        <is>
          <t>Engineering</t>
        </is>
      </c>
      <c r="J26" s="42" t="inlineStr">
        <is>
          <t>Boylston</t>
        </is>
      </c>
      <c r="K26" s="42" t="inlineStr">
        <is>
          <t>Yes</t>
        </is>
      </c>
      <c r="L26" s="42" t="inlineStr">
        <is>
          <t>200- Datadog:220- Engineering</t>
        </is>
      </c>
      <c r="M26" s="42" t="inlineStr">
        <is>
          <t>Cost of Goods Sold:COGS- Travel Expenses:</t>
        </is>
      </c>
      <c r="N26" s="42" t="inlineStr">
        <is>
          <t>Cost of Goods Sold:COGS- Personnel Expense:</t>
        </is>
      </c>
      <c r="O26" s="44">
        <f>B26&amp;" "&amp;C26</f>
        <v/>
      </c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</row>
    <row r="27" ht="15.75" customHeight="1" s="52">
      <c r="A27" s="31" t="n">
        <v>26</v>
      </c>
      <c r="B27" s="42" t="inlineStr">
        <is>
          <t>Mitchell</t>
        </is>
      </c>
      <c r="C27" s="42" t="inlineStr">
        <is>
          <t>Deaner</t>
        </is>
      </c>
      <c r="D27" s="42" t="inlineStr">
        <is>
          <t>Deaner, Mitchell</t>
        </is>
      </c>
      <c r="E27" s="43" t="n">
        <v>44383</v>
      </c>
      <c r="F27" s="42" t="inlineStr">
        <is>
          <t>Full-Time</t>
        </is>
      </c>
      <c r="G27" s="43" t="n">
        <v>44383</v>
      </c>
      <c r="H27" s="42" t="inlineStr">
        <is>
          <t>ServiceNow</t>
        </is>
      </c>
      <c r="I27" s="42" t="inlineStr">
        <is>
          <t>Engineering</t>
        </is>
      </c>
      <c r="J27" s="42" t="inlineStr">
        <is>
          <t>Non-US</t>
        </is>
      </c>
      <c r="K27" s="42" t="inlineStr">
        <is>
          <t>Yes</t>
        </is>
      </c>
      <c r="L27" s="42" t="inlineStr">
        <is>
          <t>300- ServiceNow:320- Engineering</t>
        </is>
      </c>
      <c r="M27" s="42" t="inlineStr">
        <is>
          <t>Cost of Goods Sold:COGS- Travel Expenses:</t>
        </is>
      </c>
      <c r="N27" s="42" t="inlineStr">
        <is>
          <t>Cost of Goods Sold:COGS- Personnel Expense:</t>
        </is>
      </c>
      <c r="O27" s="44">
        <f>B27&amp;" "&amp;C27</f>
        <v/>
      </c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</row>
    <row r="28" ht="15.75" customHeight="1" s="52">
      <c r="A28" s="31" t="n">
        <v>27</v>
      </c>
      <c r="B28" s="42" t="inlineStr">
        <is>
          <t>Lyndsey</t>
        </is>
      </c>
      <c r="C28" s="42" t="inlineStr">
        <is>
          <t>Cohen</t>
        </is>
      </c>
      <c r="D28" s="42" t="inlineStr">
        <is>
          <t>Cohen, Lyndsey</t>
        </is>
      </c>
      <c r="E28" s="43" t="n">
        <v>44383</v>
      </c>
      <c r="F28" s="42" t="inlineStr">
        <is>
          <t>Full-Time</t>
        </is>
      </c>
      <c r="G28" s="43" t="n">
        <v>44383</v>
      </c>
      <c r="H28" s="42" t="inlineStr">
        <is>
          <t>ServiceNow</t>
        </is>
      </c>
      <c r="I28" s="42" t="inlineStr">
        <is>
          <t>Engineering</t>
        </is>
      </c>
      <c r="J28" s="42" t="inlineStr">
        <is>
          <t>Remote</t>
        </is>
      </c>
      <c r="K28" s="42" t="inlineStr">
        <is>
          <t>Yes</t>
        </is>
      </c>
      <c r="L28" s="42" t="inlineStr">
        <is>
          <t>300- ServiceNow:320- Engineering</t>
        </is>
      </c>
      <c r="M28" s="42" t="inlineStr">
        <is>
          <t>Cost of Goods Sold:COGS- Travel Expenses:</t>
        </is>
      </c>
      <c r="N28" s="42" t="inlineStr">
        <is>
          <t>Cost of Goods Sold:COGS- Personnel Expense:</t>
        </is>
      </c>
      <c r="O28" s="44">
        <f>B28&amp;" "&amp;C28</f>
        <v/>
      </c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15.75" customHeight="1" s="52">
      <c r="A29" s="31" t="n">
        <v>28</v>
      </c>
      <c r="B29" s="42" t="inlineStr">
        <is>
          <t>Dor</t>
        </is>
      </c>
      <c r="C29" s="42" t="inlineStr">
        <is>
          <t>Vaknin</t>
        </is>
      </c>
      <c r="D29" s="42" t="inlineStr">
        <is>
          <t>Vaknin, Dor</t>
        </is>
      </c>
      <c r="E29" s="43" t="n">
        <v>44383</v>
      </c>
      <c r="F29" s="42" t="inlineStr">
        <is>
          <t>Full-Time</t>
        </is>
      </c>
      <c r="G29" s="43" t="n">
        <v>44383</v>
      </c>
      <c r="H29" s="42" t="inlineStr">
        <is>
          <t>ServiceNow</t>
        </is>
      </c>
      <c r="I29" s="42" t="inlineStr">
        <is>
          <t>Engineering</t>
        </is>
      </c>
      <c r="J29" s="42" t="inlineStr">
        <is>
          <t>Boylston</t>
        </is>
      </c>
      <c r="K29" s="42" t="inlineStr">
        <is>
          <t>Yes</t>
        </is>
      </c>
      <c r="L29" s="42" t="inlineStr">
        <is>
          <t>300- ServiceNow:320- Engineering</t>
        </is>
      </c>
      <c r="M29" s="42" t="inlineStr">
        <is>
          <t>Cost of Goods Sold:COGS- Travel Expenses:</t>
        </is>
      </c>
      <c r="N29" s="42" t="inlineStr">
        <is>
          <t>Cost of Goods Sold:COGS- Personnel Expense:</t>
        </is>
      </c>
      <c r="O29" s="44">
        <f>B29&amp;" "&amp;C29</f>
        <v/>
      </c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15.75" customHeight="1" s="52">
      <c r="A30" s="31" t="n">
        <v>29</v>
      </c>
      <c r="B30" s="42" t="inlineStr">
        <is>
          <t>Caleb</t>
        </is>
      </c>
      <c r="C30" s="42" t="inlineStr">
        <is>
          <t>Cordes</t>
        </is>
      </c>
      <c r="D30" s="42" t="inlineStr">
        <is>
          <t>Cordes, Caleb</t>
        </is>
      </c>
      <c r="E30" s="43" t="n">
        <v>44410</v>
      </c>
      <c r="F30" s="42" t="inlineStr">
        <is>
          <t>Terminated</t>
        </is>
      </c>
      <c r="G30" s="43" t="n">
        <v>45547</v>
      </c>
      <c r="H30" s="42" t="inlineStr">
        <is>
          <t>ServiceNow</t>
        </is>
      </c>
      <c r="I30" s="42" t="inlineStr">
        <is>
          <t>Engineering</t>
        </is>
      </c>
      <c r="J30" s="42" t="inlineStr">
        <is>
          <t>Remote</t>
        </is>
      </c>
      <c r="K30" s="42" t="inlineStr">
        <is>
          <t>Yes</t>
        </is>
      </c>
      <c r="L30" s="42" t="inlineStr">
        <is>
          <t>300- ServiceNow:320- Engineering</t>
        </is>
      </c>
      <c r="M30" s="42" t="inlineStr">
        <is>
          <t>Cost of Goods Sold:COGS- Travel Expenses:</t>
        </is>
      </c>
      <c r="N30" s="42" t="inlineStr">
        <is>
          <t>Cost of Goods Sold:COGS- Personnel Expense:</t>
        </is>
      </c>
      <c r="O30" s="44">
        <f>B30&amp;" "&amp;C30</f>
        <v/>
      </c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15.75" customHeight="1" s="52">
      <c r="A31" s="31" t="n">
        <v>30</v>
      </c>
      <c r="B31" s="42" t="inlineStr">
        <is>
          <t>Brian</t>
        </is>
      </c>
      <c r="C31" s="42" t="inlineStr">
        <is>
          <t>Zhu</t>
        </is>
      </c>
      <c r="D31" s="42" t="inlineStr">
        <is>
          <t>Zhu, Brian</t>
        </is>
      </c>
      <c r="E31" s="43" t="n">
        <v>44410</v>
      </c>
      <c r="F31" s="42" t="inlineStr">
        <is>
          <t>Terminated</t>
        </is>
      </c>
      <c r="G31" s="43" t="n">
        <v>45038</v>
      </c>
      <c r="H31" s="42" t="inlineStr">
        <is>
          <t>Datadog</t>
        </is>
      </c>
      <c r="I31" s="42" t="inlineStr">
        <is>
          <t>Project Management</t>
        </is>
      </c>
      <c r="J31" s="42" t="inlineStr">
        <is>
          <t>Boylston</t>
        </is>
      </c>
      <c r="K31" s="42" t="inlineStr">
        <is>
          <t>Yes</t>
        </is>
      </c>
      <c r="L31" s="42" t="inlineStr">
        <is>
          <t>200- Datadog:210- Delivery</t>
        </is>
      </c>
      <c r="M31" s="42" t="inlineStr">
        <is>
          <t>Cost of Goods Sold:COGS- Travel Expenses:</t>
        </is>
      </c>
      <c r="N31" s="42" t="inlineStr">
        <is>
          <t>Cost of Goods Sold:COGS- Personnel Expense:</t>
        </is>
      </c>
      <c r="O31" s="44">
        <f>B31&amp;" "&amp;C31</f>
        <v/>
      </c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15.75" customHeight="1" s="52">
      <c r="A32" s="31" t="n">
        <v>31</v>
      </c>
      <c r="B32" s="42" t="inlineStr">
        <is>
          <t>Paul</t>
        </is>
      </c>
      <c r="C32" s="42" t="inlineStr">
        <is>
          <t>Kim</t>
        </is>
      </c>
      <c r="D32" s="42" t="inlineStr">
        <is>
          <t>Kim, Paul</t>
        </is>
      </c>
      <c r="E32" s="43" t="n">
        <v>44410</v>
      </c>
      <c r="F32" s="42" t="inlineStr">
        <is>
          <t>Full-Time</t>
        </is>
      </c>
      <c r="G32" s="43" t="n">
        <v>44410</v>
      </c>
      <c r="H32" s="42" t="inlineStr">
        <is>
          <t>Datadog</t>
        </is>
      </c>
      <c r="I32" s="42" t="inlineStr">
        <is>
          <t>Engineering</t>
        </is>
      </c>
      <c r="J32" s="42" t="inlineStr">
        <is>
          <t>Boylston</t>
        </is>
      </c>
      <c r="K32" s="42" t="inlineStr">
        <is>
          <t>Yes</t>
        </is>
      </c>
      <c r="L32" s="42" t="inlineStr">
        <is>
          <t>200- Datadog:220- Engineering</t>
        </is>
      </c>
      <c r="M32" s="42" t="inlineStr">
        <is>
          <t>Cost of Goods Sold:COGS- Travel Expenses:</t>
        </is>
      </c>
      <c r="N32" s="42" t="inlineStr">
        <is>
          <t>Cost of Goods Sold:COGS- Personnel Expense:</t>
        </is>
      </c>
      <c r="O32" s="44">
        <f>B32&amp;" "&amp;C32</f>
        <v/>
      </c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15.75" customHeight="1" s="52">
      <c r="A33" s="31" t="n">
        <v>32</v>
      </c>
      <c r="B33" s="42" t="inlineStr">
        <is>
          <t>Victoria</t>
        </is>
      </c>
      <c r="C33" s="42" t="inlineStr">
        <is>
          <t>Baldwin</t>
        </is>
      </c>
      <c r="D33" s="42" t="inlineStr">
        <is>
          <t>Baldwin, Victoria</t>
        </is>
      </c>
      <c r="E33" s="43" t="n">
        <v>44417</v>
      </c>
      <c r="F33" s="42" t="inlineStr">
        <is>
          <t>Terminated</t>
        </is>
      </c>
      <c r="G33" s="43" t="n">
        <v>44428</v>
      </c>
      <c r="H33" s="42" t="inlineStr">
        <is>
          <t>ServiceNow</t>
        </is>
      </c>
      <c r="I33" s="42" t="inlineStr">
        <is>
          <t>Project Management</t>
        </is>
      </c>
      <c r="J33" s="42" t="inlineStr">
        <is>
          <t>Remote</t>
        </is>
      </c>
      <c r="K33" s="42" t="inlineStr">
        <is>
          <t>Yes</t>
        </is>
      </c>
      <c r="L33" s="42" t="inlineStr">
        <is>
          <t>300- ServiceNow:310- Delivery</t>
        </is>
      </c>
      <c r="M33" s="42" t="inlineStr">
        <is>
          <t>Cost of Goods Sold:COGS- Travel Expenses:</t>
        </is>
      </c>
      <c r="N33" s="42" t="inlineStr">
        <is>
          <t>Cost of Goods Sold:COGS- Personnel Expense:</t>
        </is>
      </c>
      <c r="O33" s="44">
        <f>B33&amp;" "&amp;C33</f>
        <v/>
      </c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15.75" customHeight="1" s="52">
      <c r="A34" s="31" t="n">
        <v>33</v>
      </c>
      <c r="B34" s="42" t="inlineStr">
        <is>
          <t>Isabela</t>
        </is>
      </c>
      <c r="C34" s="42" t="inlineStr">
        <is>
          <t>Vazquez</t>
        </is>
      </c>
      <c r="D34" s="42" t="inlineStr">
        <is>
          <t>Vazquez, Isabela</t>
        </is>
      </c>
      <c r="E34" s="43" t="n">
        <v>44452</v>
      </c>
      <c r="F34" s="42" t="inlineStr">
        <is>
          <t>Terminated</t>
        </is>
      </c>
      <c r="G34" s="43" t="n">
        <v>44862</v>
      </c>
      <c r="H34" s="42" t="inlineStr">
        <is>
          <t>Operations</t>
        </is>
      </c>
      <c r="I34" s="42" t="inlineStr">
        <is>
          <t>Marketing</t>
        </is>
      </c>
      <c r="J34" s="42" t="inlineStr">
        <is>
          <t>Boylston</t>
        </is>
      </c>
      <c r="K34" s="42" t="inlineStr">
        <is>
          <t>No</t>
        </is>
      </c>
      <c r="L34" s="42" t="inlineStr">
        <is>
          <t>100- Operations:120- Marketing</t>
        </is>
      </c>
      <c r="M34" s="42" t="inlineStr">
        <is>
          <t>Sales &amp; Marketing:Sales &amp; Marketing- Travel Expenses:</t>
        </is>
      </c>
      <c r="N34" s="42" t="inlineStr">
        <is>
          <t>Sales &amp; Marketing:Sales &amp; Marketing- Personnel Expenses:</t>
        </is>
      </c>
      <c r="O34" s="44">
        <f>B34&amp;" "&amp;C34</f>
        <v/>
      </c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15.75" customHeight="1" s="52">
      <c r="A35" s="31" t="n">
        <v>34</v>
      </c>
      <c r="B35" s="42" t="inlineStr">
        <is>
          <t>Alexander</t>
        </is>
      </c>
      <c r="C35" s="42" t="inlineStr">
        <is>
          <t>Glenn</t>
        </is>
      </c>
      <c r="D35" s="42" t="inlineStr">
        <is>
          <t>Glenn, Alexander</t>
        </is>
      </c>
      <c r="E35" s="43" t="n">
        <v>44452</v>
      </c>
      <c r="F35" s="42" t="inlineStr">
        <is>
          <t>Full-Time</t>
        </is>
      </c>
      <c r="G35" s="43" t="n">
        <v>44452</v>
      </c>
      <c r="H35" s="42" t="inlineStr">
        <is>
          <t>Datadog</t>
        </is>
      </c>
      <c r="I35" s="42" t="inlineStr">
        <is>
          <t>Engineering</t>
        </is>
      </c>
      <c r="J35" s="42" t="inlineStr">
        <is>
          <t>Boylston</t>
        </is>
      </c>
      <c r="K35" s="42" t="inlineStr">
        <is>
          <t>Yes</t>
        </is>
      </c>
      <c r="L35" s="42" t="inlineStr">
        <is>
          <t>200- Datadog:220- Engineering</t>
        </is>
      </c>
      <c r="M35" s="42" t="inlineStr">
        <is>
          <t>Cost of Goods Sold:COGS- Travel Expenses:</t>
        </is>
      </c>
      <c r="N35" s="42" t="inlineStr">
        <is>
          <t>Cost of Goods Sold:COGS- Personnel Expense:</t>
        </is>
      </c>
      <c r="O35" s="44">
        <f>B35&amp;" "&amp;C35</f>
        <v/>
      </c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15.75" customHeight="1" s="52">
      <c r="A36" s="31" t="n">
        <v>35</v>
      </c>
      <c r="B36" s="42" t="inlineStr">
        <is>
          <t>Trent</t>
        </is>
      </c>
      <c r="C36" s="42" t="inlineStr">
        <is>
          <t>Van Winkle</t>
        </is>
      </c>
      <c r="D36" s="42" t="inlineStr">
        <is>
          <t>Van Winkle, Trent</t>
        </is>
      </c>
      <c r="E36" s="43" t="n">
        <v>44445</v>
      </c>
      <c r="F36" s="42" t="inlineStr">
        <is>
          <t>Terminated</t>
        </is>
      </c>
      <c r="G36" s="43" t="n">
        <v>44597</v>
      </c>
      <c r="H36" s="42" t="inlineStr">
        <is>
          <t>ServiceNow</t>
        </is>
      </c>
      <c r="I36" s="42" t="inlineStr">
        <is>
          <t>Engineering</t>
        </is>
      </c>
      <c r="J36" s="42" t="inlineStr">
        <is>
          <t>Remote</t>
        </is>
      </c>
      <c r="K36" s="46" t="inlineStr">
        <is>
          <t>Yes</t>
        </is>
      </c>
      <c r="L36" s="42" t="inlineStr">
        <is>
          <t>300- ServiceNow:320- Engineering</t>
        </is>
      </c>
      <c r="M36" s="42" t="inlineStr">
        <is>
          <t>Cost of Goods Sold:COGS- Travel Expenses:</t>
        </is>
      </c>
      <c r="N36" s="42" t="inlineStr">
        <is>
          <t>Cost of Goods Sold:COGS- Personnel Expense:</t>
        </is>
      </c>
      <c r="O36" s="44">
        <f>B36&amp;" "&amp;C36</f>
        <v/>
      </c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15.75" customHeight="1" s="52">
      <c r="A37" s="31" t="n">
        <v>36</v>
      </c>
      <c r="B37" s="42" t="inlineStr">
        <is>
          <t>Panat</t>
        </is>
      </c>
      <c r="C37" s="42" t="inlineStr">
        <is>
          <t>Taranat</t>
        </is>
      </c>
      <c r="D37" s="42" t="inlineStr">
        <is>
          <t>Taranat, Panat</t>
        </is>
      </c>
      <c r="E37" s="43" t="n">
        <v>44452</v>
      </c>
      <c r="F37" s="42" t="inlineStr">
        <is>
          <t>Terminated</t>
        </is>
      </c>
      <c r="G37" s="43" t="n">
        <v>44575</v>
      </c>
      <c r="H37" s="42" t="inlineStr">
        <is>
          <t>Datadog</t>
        </is>
      </c>
      <c r="I37" s="42" t="inlineStr">
        <is>
          <t>Engineering</t>
        </is>
      </c>
      <c r="J37" s="42" t="inlineStr">
        <is>
          <t>Boylston</t>
        </is>
      </c>
      <c r="K37" s="42" t="inlineStr">
        <is>
          <t>Yes</t>
        </is>
      </c>
      <c r="L37" s="42" t="inlineStr">
        <is>
          <t>200- Datadog:220- Engineering</t>
        </is>
      </c>
      <c r="M37" s="42" t="inlineStr">
        <is>
          <t>Cost of Goods Sold:COGS- Travel Expenses:</t>
        </is>
      </c>
      <c r="N37" s="42" t="inlineStr">
        <is>
          <t>Cost of Goods Sold:COGS- Personnel Expense:</t>
        </is>
      </c>
      <c r="O37" s="44">
        <f>B37&amp;" "&amp;C37</f>
        <v/>
      </c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15.75" customHeight="1" s="52">
      <c r="A38" s="31" t="n">
        <v>37</v>
      </c>
      <c r="B38" s="42" t="inlineStr">
        <is>
          <t>Nadege</t>
        </is>
      </c>
      <c r="C38" s="42" t="inlineStr">
        <is>
          <t>Le Goff</t>
        </is>
      </c>
      <c r="D38" s="42" t="inlineStr">
        <is>
          <t>Le Goff, Nadege</t>
        </is>
      </c>
      <c r="E38" s="43" t="n">
        <v>44473</v>
      </c>
      <c r="F38" s="42" t="inlineStr">
        <is>
          <t>Full-Time</t>
        </is>
      </c>
      <c r="G38" s="43" t="n">
        <v>44473</v>
      </c>
      <c r="H38" s="42" t="inlineStr">
        <is>
          <t>ServiceNow</t>
        </is>
      </c>
      <c r="I38" s="42" t="inlineStr">
        <is>
          <t>Project Management</t>
        </is>
      </c>
      <c r="J38" s="42" t="inlineStr">
        <is>
          <t>Boylston</t>
        </is>
      </c>
      <c r="K38" s="42" t="inlineStr">
        <is>
          <t>Yes</t>
        </is>
      </c>
      <c r="L38" s="42" t="inlineStr">
        <is>
          <t>300- ServiceNow:310- Delivery</t>
        </is>
      </c>
      <c r="M38" s="42" t="inlineStr">
        <is>
          <t>Cost of Goods Sold:COGS- Travel Expenses:</t>
        </is>
      </c>
      <c r="N38" s="42" t="inlineStr">
        <is>
          <t>Cost of Goods Sold:COGS- Personnel Expense:</t>
        </is>
      </c>
      <c r="O38" s="44">
        <f>B38&amp;" "&amp;C38</f>
        <v/>
      </c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15.75" customHeight="1" s="52">
      <c r="A39" s="31" t="n">
        <v>38</v>
      </c>
      <c r="B39" s="42" t="inlineStr">
        <is>
          <t>Nick</t>
        </is>
      </c>
      <c r="C39" s="42" t="inlineStr">
        <is>
          <t>Vecellio</t>
        </is>
      </c>
      <c r="D39" s="42" t="inlineStr">
        <is>
          <t>Vecellio, Nick</t>
        </is>
      </c>
      <c r="E39" s="43" t="n">
        <v>44480</v>
      </c>
      <c r="F39" s="42" t="inlineStr">
        <is>
          <t>Terminated</t>
        </is>
      </c>
      <c r="G39" s="43" t="n">
        <v>45233</v>
      </c>
      <c r="H39" s="42" t="inlineStr">
        <is>
          <t>Datadog</t>
        </is>
      </c>
      <c r="I39" s="42" t="inlineStr">
        <is>
          <t>Sales</t>
        </is>
      </c>
      <c r="J39" s="42" t="inlineStr">
        <is>
          <t>Remote</t>
        </is>
      </c>
      <c r="K39" s="42" t="inlineStr">
        <is>
          <t>No</t>
        </is>
      </c>
      <c r="L39" s="42" t="inlineStr">
        <is>
          <t>200- Datadog:230- Sales</t>
        </is>
      </c>
      <c r="M39" s="42" t="inlineStr">
        <is>
          <t>Sales &amp; Marketing:Sales &amp; Marketing- Travel Expenses:</t>
        </is>
      </c>
      <c r="N39" s="42" t="inlineStr">
        <is>
          <t>General &amp; Administrative:G&amp;A- Personnel Expenses:</t>
        </is>
      </c>
      <c r="O39" s="44">
        <f>B39&amp;" "&amp;C39</f>
        <v/>
      </c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15.75" customHeight="1" s="52">
      <c r="A40" s="31" t="n">
        <v>39</v>
      </c>
      <c r="B40" s="42" t="inlineStr">
        <is>
          <t>Kyle</t>
        </is>
      </c>
      <c r="C40" s="42" t="inlineStr">
        <is>
          <t>Brueckner</t>
        </is>
      </c>
      <c r="D40" s="42" t="inlineStr">
        <is>
          <t>Brueckner, Kyle</t>
        </is>
      </c>
      <c r="E40" s="43" t="n">
        <v>44494</v>
      </c>
      <c r="F40" s="42" t="inlineStr">
        <is>
          <t>Full-Time</t>
        </is>
      </c>
      <c r="G40" s="43" t="n">
        <v>44494</v>
      </c>
      <c r="H40" s="42" t="inlineStr">
        <is>
          <t>ServiceNow</t>
        </is>
      </c>
      <c r="I40" s="42" t="inlineStr">
        <is>
          <t>Engineering</t>
        </is>
      </c>
      <c r="J40" s="42" t="inlineStr">
        <is>
          <t>Remote</t>
        </is>
      </c>
      <c r="K40" s="42" t="inlineStr">
        <is>
          <t>Yes</t>
        </is>
      </c>
      <c r="L40" s="42" t="inlineStr">
        <is>
          <t>300- ServiceNow:320- Engineering</t>
        </is>
      </c>
      <c r="M40" s="42" t="inlineStr">
        <is>
          <t>Cost of Goods Sold:COGS- Travel Expenses:</t>
        </is>
      </c>
      <c r="N40" s="42" t="inlineStr">
        <is>
          <t>Cost of Goods Sold:COGS- Personnel Expense:</t>
        </is>
      </c>
      <c r="O40" s="44">
        <f>B40&amp;" "&amp;C40</f>
        <v/>
      </c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15.75" customHeight="1" s="52">
      <c r="A41" s="31" t="n">
        <v>40</v>
      </c>
      <c r="B41" s="42" t="inlineStr">
        <is>
          <t>Luke</t>
        </is>
      </c>
      <c r="C41" s="42" t="inlineStr">
        <is>
          <t>Scanlan</t>
        </is>
      </c>
      <c r="D41" s="42" t="inlineStr">
        <is>
          <t>Scanlan, Luke</t>
        </is>
      </c>
      <c r="E41" s="43" t="n">
        <v>44494</v>
      </c>
      <c r="F41" s="42" t="inlineStr">
        <is>
          <t>Terminated</t>
        </is>
      </c>
      <c r="G41" s="43" t="n">
        <v>44847</v>
      </c>
      <c r="H41" s="42" t="inlineStr">
        <is>
          <t>ServiceNow</t>
        </is>
      </c>
      <c r="I41" s="42" t="inlineStr">
        <is>
          <t>Project Management</t>
        </is>
      </c>
      <c r="J41" s="42" t="inlineStr">
        <is>
          <t>Boylston</t>
        </is>
      </c>
      <c r="K41" s="42" t="inlineStr">
        <is>
          <t>Yes</t>
        </is>
      </c>
      <c r="L41" s="42" t="inlineStr">
        <is>
          <t>300- ServiceNow:310- Delivery</t>
        </is>
      </c>
      <c r="M41" s="42" t="inlineStr">
        <is>
          <t>Cost of Goods Sold:COGS- Travel Expenses:</t>
        </is>
      </c>
      <c r="N41" s="42" t="inlineStr">
        <is>
          <t>Cost of Goods Sold:COGS- Personnel Expense:</t>
        </is>
      </c>
      <c r="O41" s="44">
        <f>B41&amp;" "&amp;C41</f>
        <v/>
      </c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15.75" customHeight="1" s="52">
      <c r="A42" s="31" t="n">
        <v>41</v>
      </c>
      <c r="B42" s="42" t="inlineStr">
        <is>
          <t>Pallavi</t>
        </is>
      </c>
      <c r="C42" s="42" t="inlineStr">
        <is>
          <t>Gupta</t>
        </is>
      </c>
      <c r="D42" s="42" t="inlineStr">
        <is>
          <t>Gupta, Pallavi</t>
        </is>
      </c>
      <c r="E42" s="43" t="n">
        <v>44508</v>
      </c>
      <c r="F42" s="42" t="inlineStr">
        <is>
          <t>Terminated</t>
        </is>
      </c>
      <c r="G42" s="43" t="n">
        <v>45886</v>
      </c>
      <c r="H42" s="42" t="inlineStr">
        <is>
          <t>ServiceNow</t>
        </is>
      </c>
      <c r="I42" s="42" t="inlineStr">
        <is>
          <t>Engineering</t>
        </is>
      </c>
      <c r="J42" s="42" t="inlineStr">
        <is>
          <t>Remote</t>
        </is>
      </c>
      <c r="K42" s="42" t="inlineStr">
        <is>
          <t>Yes</t>
        </is>
      </c>
      <c r="L42" s="42" t="inlineStr">
        <is>
          <t>300- ServiceNow:320- Engineering</t>
        </is>
      </c>
      <c r="M42" s="42" t="inlineStr">
        <is>
          <t>Cost of Goods Sold:COGS- Travel Expenses:</t>
        </is>
      </c>
      <c r="N42" s="42" t="inlineStr">
        <is>
          <t>Cost of Goods Sold:COGS- Personnel Expense:</t>
        </is>
      </c>
      <c r="O42" s="44">
        <f>B42&amp;" "&amp;C42</f>
        <v/>
      </c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15.75" customHeight="1" s="52">
      <c r="A43" s="31" t="n">
        <v>42</v>
      </c>
      <c r="B43" s="42" t="inlineStr">
        <is>
          <t>Ashley</t>
        </is>
      </c>
      <c r="C43" s="42" t="inlineStr">
        <is>
          <t>Karpel</t>
        </is>
      </c>
      <c r="D43" s="42" t="inlineStr">
        <is>
          <t>Karpel, Ashley</t>
        </is>
      </c>
      <c r="E43" s="43" t="n">
        <v>44536</v>
      </c>
      <c r="F43" s="42" t="inlineStr">
        <is>
          <t>Full-Time</t>
        </is>
      </c>
      <c r="G43" s="43" t="n">
        <v>44536</v>
      </c>
      <c r="H43" s="42" t="inlineStr">
        <is>
          <t>ServiceNow</t>
        </is>
      </c>
      <c r="I43" s="42" t="inlineStr">
        <is>
          <t>Sales</t>
        </is>
      </c>
      <c r="J43" s="42" t="inlineStr">
        <is>
          <t>Boylston</t>
        </is>
      </c>
      <c r="K43" s="42" t="inlineStr">
        <is>
          <t>No</t>
        </is>
      </c>
      <c r="L43" s="42" t="inlineStr">
        <is>
          <t>300- ServiceNow:330- Sales</t>
        </is>
      </c>
      <c r="M43" s="42" t="inlineStr">
        <is>
          <t>Sales &amp; Marketing:Sales &amp; Marketing- Travel Expenses:</t>
        </is>
      </c>
      <c r="N43" s="42" t="inlineStr">
        <is>
          <t>Sales &amp; Marketing:Sales &amp; Marketing- Personnel Expenses:</t>
        </is>
      </c>
      <c r="O43" s="44">
        <f>B43&amp;" "&amp;C43</f>
        <v/>
      </c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15.75" customHeight="1" s="52">
      <c r="A44" s="31" t="n">
        <v>43</v>
      </c>
      <c r="B44" s="42" t="inlineStr">
        <is>
          <t>Paul</t>
        </is>
      </c>
      <c r="C44" s="42" t="inlineStr">
        <is>
          <t>Dixon</t>
        </is>
      </c>
      <c r="D44" s="42" t="inlineStr">
        <is>
          <t>Dixon, Paul</t>
        </is>
      </c>
      <c r="E44" s="43" t="n">
        <v>44564</v>
      </c>
      <c r="F44" s="42" t="inlineStr">
        <is>
          <t>Terminated</t>
        </is>
      </c>
      <c r="G44" s="43" t="n">
        <v>44744</v>
      </c>
      <c r="H44" s="42" t="inlineStr">
        <is>
          <t>ServiceNow</t>
        </is>
      </c>
      <c r="I44" s="42" t="inlineStr">
        <is>
          <t>Sales</t>
        </is>
      </c>
      <c r="J44" s="42" t="inlineStr">
        <is>
          <t>Remote</t>
        </is>
      </c>
      <c r="K44" s="42" t="inlineStr">
        <is>
          <t>No</t>
        </is>
      </c>
      <c r="L44" s="42" t="inlineStr">
        <is>
          <t>300- ServiceNow:330- Sales</t>
        </is>
      </c>
      <c r="M44" s="42" t="inlineStr">
        <is>
          <t>Sales &amp; Marketing:Sales &amp; Marketing- Travel Expenses:</t>
        </is>
      </c>
      <c r="N44" s="42" t="inlineStr">
        <is>
          <t>Sales &amp; Marketing:Sales &amp; Marketing- Personnel Expenses:</t>
        </is>
      </c>
      <c r="O44" s="44">
        <f>B44&amp;" "&amp;C44</f>
        <v/>
      </c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15.75" customHeight="1" s="52">
      <c r="A45" s="31" t="n">
        <v>44</v>
      </c>
      <c r="B45" s="42" t="inlineStr">
        <is>
          <t>James</t>
        </is>
      </c>
      <c r="C45" s="42" t="inlineStr">
        <is>
          <t>Lewis</t>
        </is>
      </c>
      <c r="D45" s="42" t="inlineStr">
        <is>
          <t>Lewis, James</t>
        </is>
      </c>
      <c r="E45" s="43" t="n">
        <v>44578</v>
      </c>
      <c r="F45" s="42" t="inlineStr">
        <is>
          <t>Terminated</t>
        </is>
      </c>
      <c r="G45" s="43" t="n">
        <v>45173</v>
      </c>
      <c r="H45" s="42" t="inlineStr">
        <is>
          <t>Operations</t>
        </is>
      </c>
      <c r="I45" s="42" t="inlineStr">
        <is>
          <t>Operations</t>
        </is>
      </c>
      <c r="J45" s="42" t="inlineStr">
        <is>
          <t>Remote</t>
        </is>
      </c>
      <c r="K45" s="42" t="inlineStr">
        <is>
          <t>No</t>
        </is>
      </c>
      <c r="L45" s="42" t="inlineStr">
        <is>
          <t>100- Operations:110- G&amp;A</t>
        </is>
      </c>
      <c r="M45" s="42" t="inlineStr">
        <is>
          <t>General &amp; Administrative:G&amp;A- Travel Expenses:</t>
        </is>
      </c>
      <c r="N45" s="42" t="inlineStr">
        <is>
          <t>General &amp; Administrative:G&amp;A- Personnel Expenses:</t>
        </is>
      </c>
      <c r="O45" s="44">
        <f>B45&amp;" "&amp;C45</f>
        <v/>
      </c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15.75" customHeight="1" s="52">
      <c r="A46" s="31" t="n">
        <v>45</v>
      </c>
      <c r="B46" s="42" t="inlineStr">
        <is>
          <t>Andrew</t>
        </is>
      </c>
      <c r="C46" s="42" t="inlineStr">
        <is>
          <t>Sieg</t>
        </is>
      </c>
      <c r="D46" s="42" t="inlineStr">
        <is>
          <t>Sieg, Andrew</t>
        </is>
      </c>
      <c r="E46" s="43" t="n">
        <v>44579</v>
      </c>
      <c r="F46" s="42" t="inlineStr">
        <is>
          <t>Terminated</t>
        </is>
      </c>
      <c r="G46" s="43" t="n">
        <v>44624</v>
      </c>
      <c r="H46" s="42" t="inlineStr">
        <is>
          <t>Datadog</t>
        </is>
      </c>
      <c r="I46" s="42" t="inlineStr">
        <is>
          <t>Engineering</t>
        </is>
      </c>
      <c r="J46" s="42" t="inlineStr">
        <is>
          <t>Remote</t>
        </is>
      </c>
      <c r="K46" s="42" t="inlineStr">
        <is>
          <t>Yes</t>
        </is>
      </c>
      <c r="L46" s="42" t="inlineStr">
        <is>
          <t>200- Datadog:220- Engineering</t>
        </is>
      </c>
      <c r="M46" s="42" t="inlineStr">
        <is>
          <t>Cost of Goods Sold:COGS- Travel Expenses:</t>
        </is>
      </c>
      <c r="N46" s="42" t="inlineStr">
        <is>
          <t>Cost of Goods Sold:COGS- Personnel Expense:</t>
        </is>
      </c>
      <c r="O46" s="44">
        <f>B46&amp;" "&amp;C46</f>
        <v/>
      </c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15.75" customHeight="1" s="52">
      <c r="A47" s="31" t="n">
        <v>46</v>
      </c>
      <c r="B47" s="42" t="inlineStr">
        <is>
          <t>Alexandra</t>
        </is>
      </c>
      <c r="C47" s="42" t="inlineStr">
        <is>
          <t>Hourani</t>
        </is>
      </c>
      <c r="D47" s="42" t="inlineStr">
        <is>
          <t>Hourani, Alexandra</t>
        </is>
      </c>
      <c r="E47" s="43" t="n">
        <v>44562</v>
      </c>
      <c r="F47" s="42" t="inlineStr">
        <is>
          <t>Full-Time</t>
        </is>
      </c>
      <c r="G47" s="43" t="n">
        <v>44562</v>
      </c>
      <c r="H47" s="42" t="inlineStr">
        <is>
          <t>Operations</t>
        </is>
      </c>
      <c r="I47" s="42" t="inlineStr">
        <is>
          <t>Admin</t>
        </is>
      </c>
      <c r="J47" s="42" t="inlineStr">
        <is>
          <t>Remote</t>
        </is>
      </c>
      <c r="K47" s="42" t="inlineStr">
        <is>
          <t>No</t>
        </is>
      </c>
      <c r="L47" s="42" t="inlineStr">
        <is>
          <t>100- Operations:110- G&amp;A</t>
        </is>
      </c>
      <c r="M47" s="42" t="inlineStr">
        <is>
          <t>General &amp; Administrative:G&amp;A- Travel Expenses:</t>
        </is>
      </c>
      <c r="N47" s="42" t="inlineStr">
        <is>
          <t>General &amp; Administrative:G&amp;A- Personnel Expenses:</t>
        </is>
      </c>
      <c r="O47" s="44">
        <f>B47&amp;" "&amp;C47</f>
        <v/>
      </c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15.75" customHeight="1" s="52">
      <c r="A48" s="31" t="n">
        <v>47</v>
      </c>
      <c r="B48" s="42" t="inlineStr">
        <is>
          <t>Canaan</t>
        </is>
      </c>
      <c r="C48" s="42" t="inlineStr">
        <is>
          <t>Hourani</t>
        </is>
      </c>
      <c r="D48" s="42" t="inlineStr">
        <is>
          <t>Hourani, Canaan</t>
        </is>
      </c>
      <c r="E48" s="43" t="n">
        <v>44562</v>
      </c>
      <c r="F48" s="42" t="inlineStr">
        <is>
          <t>Full-Time</t>
        </is>
      </c>
      <c r="G48" s="43" t="n">
        <v>44562</v>
      </c>
      <c r="H48" s="42" t="inlineStr">
        <is>
          <t>Operations</t>
        </is>
      </c>
      <c r="I48" s="42" t="inlineStr">
        <is>
          <t>Admin</t>
        </is>
      </c>
      <c r="J48" s="42" t="inlineStr">
        <is>
          <t>Remote</t>
        </is>
      </c>
      <c r="K48" s="42" t="inlineStr">
        <is>
          <t>No</t>
        </is>
      </c>
      <c r="L48" s="42" t="inlineStr">
        <is>
          <t>100- Operations:110- G&amp;A</t>
        </is>
      </c>
      <c r="M48" s="42" t="inlineStr">
        <is>
          <t>General &amp; Administrative:G&amp;A- Travel Expenses:</t>
        </is>
      </c>
      <c r="N48" s="42" t="inlineStr">
        <is>
          <t>General &amp; Administrative:G&amp;A- Personnel Expenses:</t>
        </is>
      </c>
      <c r="O48" s="44">
        <f>B48&amp;" "&amp;C48</f>
        <v/>
      </c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15.75" customHeight="1" s="52">
      <c r="A49" s="31" t="n">
        <v>48</v>
      </c>
      <c r="B49" s="42" t="inlineStr">
        <is>
          <t>James</t>
        </is>
      </c>
      <c r="C49" s="42" t="inlineStr">
        <is>
          <t>Murphy</t>
        </is>
      </c>
      <c r="D49" s="42" t="inlineStr">
        <is>
          <t>Murphy, James</t>
        </is>
      </c>
      <c r="E49" s="43" t="n">
        <v>44592</v>
      </c>
      <c r="F49" s="42" t="inlineStr">
        <is>
          <t>Terminated</t>
        </is>
      </c>
      <c r="G49" s="43" t="n">
        <v>44807</v>
      </c>
      <c r="H49" s="42" t="inlineStr">
        <is>
          <t>Datadog</t>
        </is>
      </c>
      <c r="I49" s="42" t="inlineStr">
        <is>
          <t>Project Management</t>
        </is>
      </c>
      <c r="J49" s="42" t="inlineStr">
        <is>
          <t>Boylston</t>
        </is>
      </c>
      <c r="K49" s="42" t="inlineStr">
        <is>
          <t>Yes</t>
        </is>
      </c>
      <c r="L49" s="42" t="inlineStr">
        <is>
          <t>200- Datadog:210- Delivery</t>
        </is>
      </c>
      <c r="M49" s="42" t="inlineStr">
        <is>
          <t>Cost of Goods Sold:COGS- Travel Expenses:</t>
        </is>
      </c>
      <c r="N49" s="42" t="inlineStr">
        <is>
          <t>Cost of Goods Sold:COGS- Personnel Expense:</t>
        </is>
      </c>
      <c r="O49" s="44">
        <f>B49&amp;" "&amp;C49</f>
        <v/>
      </c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15.75" customHeight="1" s="52">
      <c r="A50" s="31" t="n">
        <v>49</v>
      </c>
      <c r="B50" s="42" t="inlineStr">
        <is>
          <t>Christina</t>
        </is>
      </c>
      <c r="C50" s="42" t="inlineStr">
        <is>
          <t>Metri</t>
        </is>
      </c>
      <c r="D50" s="42" t="inlineStr">
        <is>
          <t>Metri, Christina</t>
        </is>
      </c>
      <c r="E50" s="43" t="n">
        <v>44599</v>
      </c>
      <c r="F50" s="42" t="inlineStr">
        <is>
          <t>Terminated</t>
        </is>
      </c>
      <c r="G50" s="43" t="n">
        <v>45198</v>
      </c>
      <c r="H50" s="42" t="inlineStr">
        <is>
          <t>Operations</t>
        </is>
      </c>
      <c r="I50" s="42" t="inlineStr">
        <is>
          <t>People Operations</t>
        </is>
      </c>
      <c r="J50" s="42" t="inlineStr">
        <is>
          <t>Boylston</t>
        </is>
      </c>
      <c r="K50" s="42" t="inlineStr">
        <is>
          <t>No</t>
        </is>
      </c>
      <c r="L50" s="42" t="inlineStr">
        <is>
          <t>100- Operations:110- G&amp;A</t>
        </is>
      </c>
      <c r="M50" s="42" t="inlineStr">
        <is>
          <t>General &amp; Administrative:G&amp;A- Travel Expenses:</t>
        </is>
      </c>
      <c r="N50" s="42" t="inlineStr">
        <is>
          <t>General &amp; Administrative:G&amp;A- Personnel Expenses:</t>
        </is>
      </c>
      <c r="O50" s="44">
        <f>B50&amp;" "&amp;C50</f>
        <v/>
      </c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15.75" customHeight="1" s="52">
      <c r="A51" s="31" t="n">
        <v>50</v>
      </c>
      <c r="B51" s="42" t="inlineStr">
        <is>
          <t>Shakara</t>
        </is>
      </c>
      <c r="C51" s="42" t="inlineStr">
        <is>
          <t>Whitehead</t>
        </is>
      </c>
      <c r="D51" s="42" t="inlineStr">
        <is>
          <t>Whitehead, Shakara</t>
        </is>
      </c>
      <c r="E51" s="43" t="n">
        <v>44599</v>
      </c>
      <c r="F51" s="42" t="inlineStr">
        <is>
          <t>Full-Time</t>
        </is>
      </c>
      <c r="G51" s="43" t="n">
        <v>44599</v>
      </c>
      <c r="H51" s="42" t="inlineStr">
        <is>
          <t>ServiceNow</t>
        </is>
      </c>
      <c r="I51" s="42" t="inlineStr">
        <is>
          <t>Engineering</t>
        </is>
      </c>
      <c r="J51" s="42" t="inlineStr">
        <is>
          <t>Remote</t>
        </is>
      </c>
      <c r="K51" s="42" t="inlineStr">
        <is>
          <t>Yes</t>
        </is>
      </c>
      <c r="L51" s="42" t="inlineStr">
        <is>
          <t>300- ServiceNow:320- Engineering</t>
        </is>
      </c>
      <c r="M51" s="42" t="inlineStr">
        <is>
          <t>Cost of Goods Sold:COGS- Travel Expenses:</t>
        </is>
      </c>
      <c r="N51" s="42" t="inlineStr">
        <is>
          <t>Cost of Goods Sold:COGS- Personnel Expense:</t>
        </is>
      </c>
      <c r="O51" s="44">
        <f>B51&amp;" "&amp;C51</f>
        <v/>
      </c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15.75" customHeight="1" s="52">
      <c r="A52" s="31" t="n">
        <v>51</v>
      </c>
      <c r="B52" s="42" t="inlineStr">
        <is>
          <t>Adonis</t>
        </is>
      </c>
      <c r="C52" s="42" t="inlineStr">
        <is>
          <t>Peguero</t>
        </is>
      </c>
      <c r="D52" s="42" t="inlineStr">
        <is>
          <t>Peguero, Adonis</t>
        </is>
      </c>
      <c r="E52" s="43" t="n">
        <v>44599</v>
      </c>
      <c r="F52" s="42" t="inlineStr">
        <is>
          <t>Terminated</t>
        </is>
      </c>
      <c r="G52" s="43" t="n">
        <v>45038</v>
      </c>
      <c r="H52" s="42" t="inlineStr">
        <is>
          <t>ServiceNow</t>
        </is>
      </c>
      <c r="I52" s="42" t="inlineStr">
        <is>
          <t>Engineering</t>
        </is>
      </c>
      <c r="J52" s="42" t="inlineStr">
        <is>
          <t>Remote</t>
        </is>
      </c>
      <c r="K52" s="46" t="inlineStr">
        <is>
          <t>Yes</t>
        </is>
      </c>
      <c r="L52" s="42" t="inlineStr">
        <is>
          <t>300- ServiceNow:320- Engineering</t>
        </is>
      </c>
      <c r="M52" s="42" t="inlineStr">
        <is>
          <t>Cost of Goods Sold:COGS- Travel Expenses:</t>
        </is>
      </c>
      <c r="N52" s="42" t="inlineStr">
        <is>
          <t>Cost of Goods Sold:COGS- Personnel Expense:</t>
        </is>
      </c>
      <c r="O52" s="44">
        <f>B52&amp;" "&amp;C52</f>
        <v/>
      </c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15.75" customHeight="1" s="52">
      <c r="A53" s="31" t="n">
        <v>52</v>
      </c>
      <c r="B53" s="42" t="inlineStr">
        <is>
          <t>Anaflor</t>
        </is>
      </c>
      <c r="C53" s="42" t="inlineStr">
        <is>
          <t>Pernalete</t>
        </is>
      </c>
      <c r="D53" s="42" t="inlineStr">
        <is>
          <t>Pernalete, Anaflor</t>
        </is>
      </c>
      <c r="E53" s="43" t="n">
        <v>44606</v>
      </c>
      <c r="F53" s="42" t="inlineStr">
        <is>
          <t>Terminated</t>
        </is>
      </c>
      <c r="G53" s="43" t="n">
        <v>45099</v>
      </c>
      <c r="H53" s="42" t="inlineStr">
        <is>
          <t>Datadog</t>
        </is>
      </c>
      <c r="I53" s="42" t="inlineStr">
        <is>
          <t>Engineering</t>
        </is>
      </c>
      <c r="J53" s="42" t="inlineStr">
        <is>
          <t>Remote</t>
        </is>
      </c>
      <c r="K53" s="42" t="inlineStr">
        <is>
          <t>Yes</t>
        </is>
      </c>
      <c r="L53" s="42" t="inlineStr">
        <is>
          <t>200- Datadog:220- Engineering</t>
        </is>
      </c>
      <c r="M53" s="42" t="inlineStr">
        <is>
          <t>Cost of Goods Sold:COGS- Travel Expenses:</t>
        </is>
      </c>
      <c r="N53" s="42" t="inlineStr">
        <is>
          <t>Cost of Goods Sold:COGS- Personnel Expense:</t>
        </is>
      </c>
      <c r="O53" s="44">
        <f>B53&amp;" "&amp;C53</f>
        <v/>
      </c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15.75" customHeight="1" s="52">
      <c r="A54" s="31" t="n">
        <v>53</v>
      </c>
      <c r="B54" s="42" t="inlineStr">
        <is>
          <t>William</t>
        </is>
      </c>
      <c r="C54" s="42" t="inlineStr">
        <is>
          <t>Gilleran</t>
        </is>
      </c>
      <c r="D54" s="42" t="inlineStr">
        <is>
          <t>Gilleran, William</t>
        </is>
      </c>
      <c r="E54" s="43" t="n">
        <v>44617</v>
      </c>
      <c r="F54" s="42" t="inlineStr">
        <is>
          <t>Terminated</t>
        </is>
      </c>
      <c r="G54" s="43" t="n">
        <v>45849</v>
      </c>
      <c r="H54" s="42" t="inlineStr">
        <is>
          <t>Datadog</t>
        </is>
      </c>
      <c r="I54" s="42" t="inlineStr">
        <is>
          <t>Engineering</t>
        </is>
      </c>
      <c r="J54" s="42" t="inlineStr">
        <is>
          <t>Boylston</t>
        </is>
      </c>
      <c r="K54" s="42" t="inlineStr">
        <is>
          <t>Yes</t>
        </is>
      </c>
      <c r="L54" s="42" t="inlineStr">
        <is>
          <t>200- Datadog:220- Engineering</t>
        </is>
      </c>
      <c r="M54" s="42" t="inlineStr">
        <is>
          <t>Cost of Goods Sold:COGS- Travel Expenses:</t>
        </is>
      </c>
      <c r="N54" s="42" t="inlineStr">
        <is>
          <t>Cost of Goods Sold:COGS- Personnel Expense:</t>
        </is>
      </c>
      <c r="O54" s="44">
        <f>B54&amp;" "&amp;C54</f>
        <v/>
      </c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15.75" customHeight="1" s="52">
      <c r="A55" s="31" t="n">
        <v>54</v>
      </c>
      <c r="B55" s="42" t="inlineStr">
        <is>
          <t>Anthony</t>
        </is>
      </c>
      <c r="C55" s="42" t="inlineStr">
        <is>
          <t>Younes</t>
        </is>
      </c>
      <c r="D55" s="42" t="inlineStr">
        <is>
          <t>Younes, Anthony</t>
        </is>
      </c>
      <c r="E55" s="43" t="n">
        <v>44621</v>
      </c>
      <c r="F55" s="42" t="inlineStr">
        <is>
          <t>Terminated</t>
        </is>
      </c>
      <c r="G55" s="43" t="n">
        <v>45240</v>
      </c>
      <c r="H55" s="42" t="inlineStr">
        <is>
          <t>Datadog</t>
        </is>
      </c>
      <c r="I55" s="42" t="inlineStr">
        <is>
          <t>Sales</t>
        </is>
      </c>
      <c r="J55" s="42" t="inlineStr">
        <is>
          <t>Boylston</t>
        </is>
      </c>
      <c r="K55" s="42" t="inlineStr">
        <is>
          <t>No</t>
        </is>
      </c>
      <c r="L55" s="42" t="inlineStr">
        <is>
          <t>200- Datadog:230- Sales</t>
        </is>
      </c>
      <c r="M55" s="42" t="inlineStr">
        <is>
          <t>Sales &amp; Marketing:Sales &amp; Marketing- Travel Expenses:</t>
        </is>
      </c>
      <c r="N55" s="42" t="inlineStr">
        <is>
          <t>General &amp; Administrative:G&amp;A- Personnel Expenses:</t>
        </is>
      </c>
      <c r="O55" s="44">
        <f>B55&amp;" "&amp;C55</f>
        <v/>
      </c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15.75" customHeight="1" s="52">
      <c r="A56" s="31" t="n">
        <v>55</v>
      </c>
      <c r="B56" s="42" t="inlineStr">
        <is>
          <t>Joseph</t>
        </is>
      </c>
      <c r="C56" s="42" t="inlineStr">
        <is>
          <t>Chima</t>
        </is>
      </c>
      <c r="D56" s="42" t="inlineStr">
        <is>
          <t>Chima, Joseph</t>
        </is>
      </c>
      <c r="E56" s="43" t="n">
        <v>44620</v>
      </c>
      <c r="F56" s="42" t="inlineStr">
        <is>
          <t>Terminated</t>
        </is>
      </c>
      <c r="G56" s="43" t="n">
        <v>44712</v>
      </c>
      <c r="H56" s="42" t="inlineStr">
        <is>
          <t>Datadog</t>
        </is>
      </c>
      <c r="I56" s="42" t="inlineStr">
        <is>
          <t>Engineering</t>
        </is>
      </c>
      <c r="J56" s="42" t="inlineStr">
        <is>
          <t>Boylston</t>
        </is>
      </c>
      <c r="K56" s="42" t="inlineStr">
        <is>
          <t>Yes</t>
        </is>
      </c>
      <c r="L56" s="42" t="inlineStr">
        <is>
          <t>200- Datadog:220- Engineering</t>
        </is>
      </c>
      <c r="M56" s="42" t="inlineStr">
        <is>
          <t>Cost of Goods Sold:COGS- Travel Expenses:</t>
        </is>
      </c>
      <c r="N56" s="42" t="inlineStr">
        <is>
          <t>Cost of Goods Sold:COGS- Personnel Expense:</t>
        </is>
      </c>
      <c r="O56" s="44">
        <f>B56&amp;" "&amp;C56</f>
        <v/>
      </c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15.75" customHeight="1" s="52">
      <c r="A57" s="31" t="n">
        <v>56</v>
      </c>
      <c r="B57" s="42" t="inlineStr">
        <is>
          <t>Cameron</t>
        </is>
      </c>
      <c r="C57" s="42" t="inlineStr">
        <is>
          <t>Buckner</t>
        </is>
      </c>
      <c r="D57" s="42" t="inlineStr">
        <is>
          <t>Buckner, Cameron</t>
        </is>
      </c>
      <c r="E57" s="43" t="n">
        <v>44627</v>
      </c>
      <c r="F57" s="42" t="inlineStr">
        <is>
          <t>Terminated</t>
        </is>
      </c>
      <c r="G57" s="43" t="n">
        <v>45373</v>
      </c>
      <c r="H57" s="42" t="inlineStr">
        <is>
          <t>Datadog</t>
        </is>
      </c>
      <c r="I57" s="42" t="inlineStr">
        <is>
          <t>Engineering</t>
        </is>
      </c>
      <c r="J57" s="42" t="inlineStr">
        <is>
          <t>Remote</t>
        </is>
      </c>
      <c r="K57" s="42" t="inlineStr">
        <is>
          <t>Yes</t>
        </is>
      </c>
      <c r="L57" s="42" t="inlineStr">
        <is>
          <t>200- Datadog:220- Engineering</t>
        </is>
      </c>
      <c r="M57" s="42" t="inlineStr">
        <is>
          <t>Cost of Goods Sold:COGS- Travel Expenses:</t>
        </is>
      </c>
      <c r="N57" s="42" t="inlineStr">
        <is>
          <t>Cost of Goods Sold:COGS- Personnel Expense:</t>
        </is>
      </c>
      <c r="O57" s="44">
        <f>B57&amp;" "&amp;C57</f>
        <v/>
      </c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15.75" customHeight="1" s="52">
      <c r="A58" s="31" t="n">
        <v>57</v>
      </c>
      <c r="B58" s="42" t="inlineStr">
        <is>
          <t>Alexander</t>
        </is>
      </c>
      <c r="C58" s="42" t="inlineStr">
        <is>
          <t>Mittell</t>
        </is>
      </c>
      <c r="D58" s="42" t="inlineStr">
        <is>
          <t>Mittell, Alexander</t>
        </is>
      </c>
      <c r="E58" s="43" t="n">
        <v>44634</v>
      </c>
      <c r="F58" s="42" t="inlineStr">
        <is>
          <t>Terminated</t>
        </is>
      </c>
      <c r="G58" s="43" t="n">
        <v>44996</v>
      </c>
      <c r="H58" s="42" t="inlineStr">
        <is>
          <t>ServiceNow</t>
        </is>
      </c>
      <c r="I58" s="42" t="inlineStr">
        <is>
          <t>Engineering</t>
        </is>
      </c>
      <c r="J58" s="42" t="inlineStr">
        <is>
          <t>Remote</t>
        </is>
      </c>
      <c r="K58" s="46" t="inlineStr">
        <is>
          <t>Yes</t>
        </is>
      </c>
      <c r="L58" s="42" t="inlineStr">
        <is>
          <t>300- ServiceNow:320- Engineering</t>
        </is>
      </c>
      <c r="M58" s="42" t="inlineStr">
        <is>
          <t>Cost of Goods Sold:COGS- Travel Expenses:</t>
        </is>
      </c>
      <c r="N58" s="42" t="inlineStr">
        <is>
          <t>Cost of Goods Sold:COGS- Personnel Expense:</t>
        </is>
      </c>
      <c r="O58" s="44">
        <f>B58&amp;" "&amp;C58</f>
        <v/>
      </c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15.75" customHeight="1" s="52">
      <c r="A59" s="31" t="n">
        <v>58</v>
      </c>
      <c r="B59" s="42" t="inlineStr">
        <is>
          <t>Michael</t>
        </is>
      </c>
      <c r="C59" s="42" t="inlineStr">
        <is>
          <t>Christensen</t>
        </is>
      </c>
      <c r="D59" s="42" t="inlineStr">
        <is>
          <t>Christensen, Michael</t>
        </is>
      </c>
      <c r="E59" s="43" t="n">
        <v>44641</v>
      </c>
      <c r="F59" s="42" t="inlineStr">
        <is>
          <t>Full-Time</t>
        </is>
      </c>
      <c r="G59" s="43" t="n">
        <v>44641</v>
      </c>
      <c r="H59" s="42" t="inlineStr">
        <is>
          <t>Datadog</t>
        </is>
      </c>
      <c r="I59" s="42" t="inlineStr">
        <is>
          <t>Engineering</t>
        </is>
      </c>
      <c r="J59" s="42" t="inlineStr">
        <is>
          <t>Remote</t>
        </is>
      </c>
      <c r="K59" s="42" t="inlineStr">
        <is>
          <t>Yes</t>
        </is>
      </c>
      <c r="L59" s="42" t="inlineStr">
        <is>
          <t>200- Datadog:220- Engineering</t>
        </is>
      </c>
      <c r="M59" s="42" t="inlineStr">
        <is>
          <t>Cost of Goods Sold:COGS- Travel Expenses:</t>
        </is>
      </c>
      <c r="N59" s="42" t="inlineStr">
        <is>
          <t>Cost of Goods Sold:COGS- Personnel Expense:</t>
        </is>
      </c>
      <c r="O59" s="44">
        <f>B59&amp;" "&amp;C59</f>
        <v/>
      </c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15.75" customHeight="1" s="52">
      <c r="A60" s="31" t="n">
        <v>59</v>
      </c>
      <c r="B60" s="42" t="inlineStr">
        <is>
          <t>Justin</t>
        </is>
      </c>
      <c r="C60" s="42" t="inlineStr">
        <is>
          <t>Shaver</t>
        </is>
      </c>
      <c r="D60" s="42" t="inlineStr">
        <is>
          <t>Shaver, Justin</t>
        </is>
      </c>
      <c r="E60" s="43" t="n">
        <v>44679</v>
      </c>
      <c r="F60" s="42" t="inlineStr">
        <is>
          <t>Terminated</t>
        </is>
      </c>
      <c r="G60" s="43" t="n">
        <v>44722</v>
      </c>
      <c r="H60" s="42" t="inlineStr">
        <is>
          <t>ServiceNow</t>
        </is>
      </c>
      <c r="I60" s="42" t="inlineStr">
        <is>
          <t>Engineering</t>
        </is>
      </c>
      <c r="J60" s="42" t="inlineStr">
        <is>
          <t>Remote</t>
        </is>
      </c>
      <c r="K60" s="46" t="inlineStr">
        <is>
          <t>Yes</t>
        </is>
      </c>
      <c r="L60" s="42" t="inlineStr">
        <is>
          <t>300- ServiceNow:320- Engineering</t>
        </is>
      </c>
      <c r="M60" s="42" t="inlineStr">
        <is>
          <t>Cost of Goods Sold:COGS- Travel Expenses:</t>
        </is>
      </c>
      <c r="N60" s="42" t="inlineStr">
        <is>
          <t>Cost of Goods Sold:COGS- Personnel Expense:</t>
        </is>
      </c>
      <c r="O60" s="44">
        <f>B60&amp;" "&amp;C60</f>
        <v/>
      </c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15.75" customHeight="1" s="52">
      <c r="A61" s="31" t="n">
        <v>60</v>
      </c>
      <c r="B61" s="42" t="inlineStr">
        <is>
          <t>Pooja</t>
        </is>
      </c>
      <c r="C61" s="42" t="inlineStr">
        <is>
          <t>Manjeshwar</t>
        </is>
      </c>
      <c r="D61" s="42" t="inlineStr">
        <is>
          <t>Manjeshwar, Pooja Pandurang</t>
        </is>
      </c>
      <c r="E61" s="43" t="n">
        <v>44679</v>
      </c>
      <c r="F61" s="42" t="inlineStr">
        <is>
          <t>Full-Time</t>
        </is>
      </c>
      <c r="G61" s="43" t="n">
        <v>44679</v>
      </c>
      <c r="H61" s="42" t="inlineStr">
        <is>
          <t>ServiceNow</t>
        </is>
      </c>
      <c r="I61" s="42" t="inlineStr">
        <is>
          <t>Engineering</t>
        </is>
      </c>
      <c r="J61" s="42" t="inlineStr">
        <is>
          <t>Boylston</t>
        </is>
      </c>
      <c r="K61" s="42" t="inlineStr">
        <is>
          <t>Yes</t>
        </is>
      </c>
      <c r="L61" s="42" t="inlineStr">
        <is>
          <t>300- ServiceNow:320- Engineering</t>
        </is>
      </c>
      <c r="M61" s="42" t="inlineStr">
        <is>
          <t>Cost of Goods Sold:COGS- Travel Expenses:</t>
        </is>
      </c>
      <c r="N61" s="42" t="inlineStr">
        <is>
          <t>Cost of Goods Sold:COGS- Personnel Expense:</t>
        </is>
      </c>
      <c r="O61" s="44">
        <f>B61&amp;" "&amp;C61</f>
        <v/>
      </c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15.75" customHeight="1" s="52">
      <c r="A62" s="31" t="n">
        <v>61</v>
      </c>
      <c r="B62" s="42" t="inlineStr">
        <is>
          <t>Evan</t>
        </is>
      </c>
      <c r="C62" s="42" t="inlineStr">
        <is>
          <t>Guby</t>
        </is>
      </c>
      <c r="D62" s="42" t="inlineStr">
        <is>
          <t>Guby, Evan</t>
        </is>
      </c>
      <c r="E62" s="43" t="n">
        <v>44679</v>
      </c>
      <c r="F62" s="42" t="inlineStr">
        <is>
          <t>Full-Time</t>
        </is>
      </c>
      <c r="G62" s="43" t="n">
        <v>44679</v>
      </c>
      <c r="H62" s="42" t="inlineStr">
        <is>
          <t>ServiceNow</t>
        </is>
      </c>
      <c r="I62" s="42" t="inlineStr">
        <is>
          <t>Engineering</t>
        </is>
      </c>
      <c r="J62" s="42" t="inlineStr">
        <is>
          <t>Remote</t>
        </is>
      </c>
      <c r="K62" s="42" t="inlineStr">
        <is>
          <t>Yes</t>
        </is>
      </c>
      <c r="L62" s="42" t="inlineStr">
        <is>
          <t>300- ServiceNow:320- Engineering</t>
        </is>
      </c>
      <c r="M62" s="42" t="inlineStr">
        <is>
          <t>Cost of Goods Sold:COGS- Travel Expenses:</t>
        </is>
      </c>
      <c r="N62" s="42" t="inlineStr">
        <is>
          <t>Cost of Goods Sold:COGS- Personnel Expense:</t>
        </is>
      </c>
      <c r="O62" s="44">
        <f>B62&amp;" "&amp;C62</f>
        <v/>
      </c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15.75" customHeight="1" s="52">
      <c r="A63" s="31" t="n">
        <v>62</v>
      </c>
      <c r="B63" s="42" t="inlineStr">
        <is>
          <t>Ashle</t>
        </is>
      </c>
      <c r="C63" s="42" t="inlineStr">
        <is>
          <t>Craig</t>
        </is>
      </c>
      <c r="D63" s="42" t="inlineStr">
        <is>
          <t>Craig, Ashle</t>
        </is>
      </c>
      <c r="E63" s="43" t="n">
        <v>44704</v>
      </c>
      <c r="F63" s="42" t="inlineStr">
        <is>
          <t>Terminated</t>
        </is>
      </c>
      <c r="G63" s="43" t="n">
        <v>44849</v>
      </c>
      <c r="H63" s="42" t="inlineStr">
        <is>
          <t>ServiceNow</t>
        </is>
      </c>
      <c r="I63" s="42" t="inlineStr">
        <is>
          <t>Engineering</t>
        </is>
      </c>
      <c r="J63" s="42" t="inlineStr">
        <is>
          <t>Remote</t>
        </is>
      </c>
      <c r="K63" s="46" t="inlineStr">
        <is>
          <t>Yes</t>
        </is>
      </c>
      <c r="L63" s="42" t="inlineStr">
        <is>
          <t>300- ServiceNow:320- Engineering</t>
        </is>
      </c>
      <c r="M63" s="42" t="inlineStr">
        <is>
          <t>Cost of Goods Sold:COGS- Travel Expenses:</t>
        </is>
      </c>
      <c r="N63" s="42" t="inlineStr">
        <is>
          <t>Cost of Goods Sold:COGS- Personnel Expense:</t>
        </is>
      </c>
      <c r="O63" s="44">
        <f>B63&amp;" "&amp;C63</f>
        <v/>
      </c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15.75" customHeight="1" s="52">
      <c r="A64" s="31" t="n">
        <v>63</v>
      </c>
      <c r="B64" s="42" t="inlineStr">
        <is>
          <t>Henri</t>
        </is>
      </c>
      <c r="C64" s="42" t="inlineStr">
        <is>
          <t>Hatch</t>
        </is>
      </c>
      <c r="D64" s="42" t="inlineStr">
        <is>
          <t>Hatch, Henri</t>
        </is>
      </c>
      <c r="E64" s="43" t="n">
        <v>45068</v>
      </c>
      <c r="F64" s="42" t="inlineStr">
        <is>
          <t>Full-Time</t>
        </is>
      </c>
      <c r="G64" s="43" t="n">
        <v>45306</v>
      </c>
      <c r="H64" s="42" t="inlineStr">
        <is>
          <t>Datadog</t>
        </is>
      </c>
      <c r="I64" s="42" t="inlineStr">
        <is>
          <t>Engineering</t>
        </is>
      </c>
      <c r="J64" s="42" t="inlineStr">
        <is>
          <t>Remote</t>
        </is>
      </c>
      <c r="K64" s="42" t="inlineStr">
        <is>
          <t>Yes</t>
        </is>
      </c>
      <c r="L64" s="42" t="inlineStr">
        <is>
          <t>200- Datadog:220- Engineering</t>
        </is>
      </c>
      <c r="M64" s="42" t="inlineStr">
        <is>
          <t>Cost of Goods Sold:COGS- Travel Expenses:</t>
        </is>
      </c>
      <c r="N64" s="42" t="inlineStr">
        <is>
          <t>Cost of Goods Sold:COGS- Personnel Expense:</t>
        </is>
      </c>
      <c r="O64" s="44">
        <f>B64&amp;" "&amp;C64</f>
        <v/>
      </c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15.75" customHeight="1" s="52">
      <c r="A65" s="31" t="n">
        <v>64</v>
      </c>
      <c r="B65" s="42" t="inlineStr">
        <is>
          <t>Dalton</t>
        </is>
      </c>
      <c r="C65" s="42" t="inlineStr">
        <is>
          <t>Ryan</t>
        </is>
      </c>
      <c r="D65" s="42" t="inlineStr">
        <is>
          <t>Ryan, Dalton</t>
        </is>
      </c>
      <c r="E65" s="43" t="n">
        <v>44725</v>
      </c>
      <c r="F65" s="42" t="inlineStr">
        <is>
          <t>Terminated</t>
        </is>
      </c>
      <c r="G65" s="43" t="n">
        <v>44975</v>
      </c>
      <c r="H65" s="42" t="inlineStr">
        <is>
          <t>Datadog</t>
        </is>
      </c>
      <c r="I65" s="42" t="inlineStr">
        <is>
          <t>Engineering</t>
        </is>
      </c>
      <c r="J65" s="42" t="inlineStr">
        <is>
          <t>Boylston</t>
        </is>
      </c>
      <c r="K65" s="42" t="inlineStr">
        <is>
          <t>Yes</t>
        </is>
      </c>
      <c r="L65" s="42" t="inlineStr">
        <is>
          <t>200- Datadog:220- Engineering</t>
        </is>
      </c>
      <c r="M65" s="42" t="inlineStr">
        <is>
          <t>Cost of Goods Sold:COGS- Travel Expenses:</t>
        </is>
      </c>
      <c r="N65" s="42" t="inlineStr">
        <is>
          <t>Cost of Goods Sold:COGS- Personnel Expense:</t>
        </is>
      </c>
      <c r="O65" s="44">
        <f>B65&amp;" "&amp;C65</f>
        <v/>
      </c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15.75" customHeight="1" s="52">
      <c r="A66" s="31" t="n">
        <v>65</v>
      </c>
      <c r="B66" s="42" t="inlineStr">
        <is>
          <t>Patrick</t>
        </is>
      </c>
      <c r="C66" s="42" t="inlineStr">
        <is>
          <t>Dennis</t>
        </is>
      </c>
      <c r="D66" s="42" t="inlineStr">
        <is>
          <t>Dennis, Patrick</t>
        </is>
      </c>
      <c r="E66" s="43" t="n">
        <v>44733</v>
      </c>
      <c r="F66" s="42" t="inlineStr">
        <is>
          <t>Full-Time</t>
        </is>
      </c>
      <c r="G66" s="43" t="n">
        <v>44733</v>
      </c>
      <c r="H66" s="42" t="inlineStr">
        <is>
          <t>ServiceNow</t>
        </is>
      </c>
      <c r="I66" s="42" t="inlineStr">
        <is>
          <t>Project Management</t>
        </is>
      </c>
      <c r="J66" s="42" t="inlineStr">
        <is>
          <t>Remote</t>
        </is>
      </c>
      <c r="K66" s="42" t="inlineStr">
        <is>
          <t>Yes</t>
        </is>
      </c>
      <c r="L66" s="42" t="inlineStr">
        <is>
          <t>300- ServiceNow:310- Delivery</t>
        </is>
      </c>
      <c r="M66" s="42" t="inlineStr">
        <is>
          <t>Cost of Goods Sold:COGS- Travel Expenses:</t>
        </is>
      </c>
      <c r="N66" s="42" t="inlineStr">
        <is>
          <t>Cost of Goods Sold:COGS- Personnel Expense:</t>
        </is>
      </c>
      <c r="O66" s="44">
        <f>B66&amp;" "&amp;C66</f>
        <v/>
      </c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15.75" customHeight="1" s="52">
      <c r="A67" s="31" t="n">
        <v>66</v>
      </c>
      <c r="B67" s="42" t="inlineStr">
        <is>
          <t>Daniel</t>
        </is>
      </c>
      <c r="C67" s="42" t="inlineStr">
        <is>
          <t>Bench</t>
        </is>
      </c>
      <c r="D67" s="42" t="inlineStr">
        <is>
          <t>Bench, Daniel</t>
        </is>
      </c>
      <c r="E67" s="43" t="n">
        <v>44739</v>
      </c>
      <c r="F67" s="42" t="inlineStr">
        <is>
          <t>Full-Time</t>
        </is>
      </c>
      <c r="G67" s="43" t="n">
        <v>44739</v>
      </c>
      <c r="H67" s="42" t="inlineStr">
        <is>
          <t>ServiceNow</t>
        </is>
      </c>
      <c r="I67" s="42" t="inlineStr">
        <is>
          <t>Engineering</t>
        </is>
      </c>
      <c r="J67" s="42" t="inlineStr">
        <is>
          <t>Remote</t>
        </is>
      </c>
      <c r="K67" s="42" t="inlineStr">
        <is>
          <t>Yes</t>
        </is>
      </c>
      <c r="L67" s="42" t="inlineStr">
        <is>
          <t>300- ServiceNow:320- Engineering</t>
        </is>
      </c>
      <c r="M67" s="42" t="inlineStr">
        <is>
          <t>Cost of Goods Sold:COGS- Travel Expenses:</t>
        </is>
      </c>
      <c r="N67" s="42" t="inlineStr">
        <is>
          <t>Cost of Goods Sold:COGS- Personnel Expense:</t>
        </is>
      </c>
      <c r="O67" s="44">
        <f>B67&amp;" "&amp;C67</f>
        <v/>
      </c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15.75" customHeight="1" s="52">
      <c r="A68" s="31" t="n">
        <v>67</v>
      </c>
      <c r="B68" s="42" t="inlineStr">
        <is>
          <t>Matthew</t>
        </is>
      </c>
      <c r="C68" s="42" t="inlineStr">
        <is>
          <t>Morris</t>
        </is>
      </c>
      <c r="D68" s="42" t="inlineStr">
        <is>
          <t>Morris, Matthew</t>
        </is>
      </c>
      <c r="E68" s="43" t="n">
        <v>44732</v>
      </c>
      <c r="F68" s="42" t="inlineStr">
        <is>
          <t>Full-Time</t>
        </is>
      </c>
      <c r="G68" s="43" t="n">
        <v>44732</v>
      </c>
      <c r="H68" s="42" t="inlineStr">
        <is>
          <t>ServiceNow</t>
        </is>
      </c>
      <c r="I68" s="42" t="inlineStr">
        <is>
          <t>Sales</t>
        </is>
      </c>
      <c r="J68" s="42" t="inlineStr">
        <is>
          <t>Remote</t>
        </is>
      </c>
      <c r="K68" s="42" t="inlineStr">
        <is>
          <t>No</t>
        </is>
      </c>
      <c r="L68" s="42" t="inlineStr">
        <is>
          <t>300- ServiceNow:330- Sales</t>
        </is>
      </c>
      <c r="M68" s="42" t="inlineStr">
        <is>
          <t>Sales &amp; Marketing:Sales &amp; Marketing- Travel Expenses:</t>
        </is>
      </c>
      <c r="N68" s="42" t="inlineStr">
        <is>
          <t>Sales &amp; Marketing:Sales &amp; Marketing- Personnel Expenses:</t>
        </is>
      </c>
      <c r="O68" s="44">
        <f>B68&amp;" "&amp;C68</f>
        <v/>
      </c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15.75" customHeight="1" s="52">
      <c r="A69" s="31" t="n">
        <v>68</v>
      </c>
      <c r="B69" s="42" t="inlineStr">
        <is>
          <t>Alexander</t>
        </is>
      </c>
      <c r="C69" s="42" t="inlineStr">
        <is>
          <t>Bennett</t>
        </is>
      </c>
      <c r="D69" s="42" t="inlineStr">
        <is>
          <t>Bennett, Alexander</t>
        </is>
      </c>
      <c r="E69" s="43" t="n">
        <v>44747</v>
      </c>
      <c r="F69" s="42" t="inlineStr">
        <is>
          <t>Terminated</t>
        </is>
      </c>
      <c r="G69" s="43" t="n">
        <v>44806</v>
      </c>
      <c r="H69" s="42" t="inlineStr">
        <is>
          <t>ServiceNow</t>
        </is>
      </c>
      <c r="I69" s="42" t="inlineStr">
        <is>
          <t>Engineering</t>
        </is>
      </c>
      <c r="J69" s="42" t="inlineStr">
        <is>
          <t>Remote</t>
        </is>
      </c>
      <c r="K69" s="46" t="inlineStr">
        <is>
          <t>Yes</t>
        </is>
      </c>
      <c r="L69" s="42" t="inlineStr">
        <is>
          <t>300- ServiceNow:320- Engineering</t>
        </is>
      </c>
      <c r="M69" s="42" t="inlineStr">
        <is>
          <t>Cost of Goods Sold:COGS- Travel Expenses:</t>
        </is>
      </c>
      <c r="N69" s="42" t="inlineStr">
        <is>
          <t>Cost of Goods Sold:COGS- Personnel Expense:</t>
        </is>
      </c>
      <c r="O69" s="44">
        <f>B69&amp;" "&amp;C69</f>
        <v/>
      </c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15.75" customHeight="1" s="52">
      <c r="A70" s="31" t="n">
        <v>69</v>
      </c>
      <c r="B70" s="42" t="inlineStr">
        <is>
          <t>Alta</t>
        </is>
      </c>
      <c r="C70" s="42" t="inlineStr">
        <is>
          <t>Abel</t>
        </is>
      </c>
      <c r="D70" s="42" t="inlineStr">
        <is>
          <t>Abel, Alta</t>
        </is>
      </c>
      <c r="E70" s="43" t="n">
        <v>44753</v>
      </c>
      <c r="F70" s="42" t="inlineStr">
        <is>
          <t>Full-Time</t>
        </is>
      </c>
      <c r="G70" s="43" t="n">
        <v>44753</v>
      </c>
      <c r="H70" s="42" t="inlineStr">
        <is>
          <t>Operations</t>
        </is>
      </c>
      <c r="I70" s="42" t="inlineStr">
        <is>
          <t>People Operations</t>
        </is>
      </c>
      <c r="J70" s="42" t="inlineStr">
        <is>
          <t>Boylston</t>
        </is>
      </c>
      <c r="K70" s="42" t="inlineStr">
        <is>
          <t>No</t>
        </is>
      </c>
      <c r="L70" s="42" t="inlineStr">
        <is>
          <t>400- Synechron:410- Digital platforms G&amp;A</t>
        </is>
      </c>
      <c r="M70" s="42" t="inlineStr">
        <is>
          <t>General &amp; Administrative:G&amp;A- Travel Expenses:</t>
        </is>
      </c>
      <c r="N70" s="42" t="inlineStr">
        <is>
          <t>General &amp; Administrative:G&amp;A- Personnel Expenses:</t>
        </is>
      </c>
      <c r="O70" s="44">
        <f>B70&amp;" "&amp;C70</f>
        <v/>
      </c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15.75" customHeight="1" s="52">
      <c r="A71" s="31" t="n">
        <v>70</v>
      </c>
      <c r="B71" s="42" t="inlineStr">
        <is>
          <t>Daniel</t>
        </is>
      </c>
      <c r="C71" s="42" t="inlineStr">
        <is>
          <t>Hamilton</t>
        </is>
      </c>
      <c r="D71" s="42" t="inlineStr">
        <is>
          <t>Hamilton, Daniel</t>
        </is>
      </c>
      <c r="E71" s="43" t="n">
        <v>44767</v>
      </c>
      <c r="F71" s="42" t="inlineStr">
        <is>
          <t>Full-Time</t>
        </is>
      </c>
      <c r="G71" s="43" t="n">
        <v>44767</v>
      </c>
      <c r="H71" s="42" t="inlineStr">
        <is>
          <t>Datadog</t>
        </is>
      </c>
      <c r="I71" s="42" t="inlineStr">
        <is>
          <t>Project Management</t>
        </is>
      </c>
      <c r="J71" s="42" t="inlineStr">
        <is>
          <t>Boylston</t>
        </is>
      </c>
      <c r="K71" s="42" t="inlineStr">
        <is>
          <t>Yes</t>
        </is>
      </c>
      <c r="L71" s="42" t="inlineStr">
        <is>
          <t>200- Datadog:210- Delivery</t>
        </is>
      </c>
      <c r="M71" s="42" t="inlineStr">
        <is>
          <t>Cost of Goods Sold:COGS- Travel Expenses:</t>
        </is>
      </c>
      <c r="N71" s="42" t="inlineStr">
        <is>
          <t>Cost of Goods Sold:COGS- Personnel Expense:</t>
        </is>
      </c>
      <c r="O71" s="44">
        <f>B71&amp;" "&amp;C71</f>
        <v/>
      </c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15.75" customHeight="1" s="52">
      <c r="A72" s="31" t="n">
        <v>71</v>
      </c>
      <c r="B72" s="42" t="inlineStr">
        <is>
          <t>Ben</t>
        </is>
      </c>
      <c r="C72" s="42" t="inlineStr">
        <is>
          <t>Savage</t>
        </is>
      </c>
      <c r="D72" s="42" t="inlineStr">
        <is>
          <t>Savage, Ben</t>
        </is>
      </c>
      <c r="E72" s="43" t="n">
        <v>44772</v>
      </c>
      <c r="F72" s="42" t="inlineStr">
        <is>
          <t>Full-Time</t>
        </is>
      </c>
      <c r="G72" s="43" t="n">
        <v>44772</v>
      </c>
      <c r="H72" s="42" t="inlineStr">
        <is>
          <t>ServiceNow</t>
        </is>
      </c>
      <c r="I72" s="42" t="inlineStr">
        <is>
          <t>Engineering</t>
        </is>
      </c>
      <c r="J72" s="42" t="inlineStr">
        <is>
          <t>Remote</t>
        </is>
      </c>
      <c r="K72" s="42" t="inlineStr">
        <is>
          <t>Yes</t>
        </is>
      </c>
      <c r="L72" s="42" t="inlineStr">
        <is>
          <t>300- ServiceNow:320- Engineering</t>
        </is>
      </c>
      <c r="M72" s="42" t="inlineStr">
        <is>
          <t>Cost of Goods Sold:COGS- Travel Expenses:</t>
        </is>
      </c>
      <c r="N72" s="42" t="inlineStr">
        <is>
          <t>Cost of Goods Sold:COGS- Personnel Expense:</t>
        </is>
      </c>
      <c r="O72" s="44">
        <f>B72&amp;" "&amp;C72</f>
        <v/>
      </c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15.75" customHeight="1" s="52">
      <c r="A73" s="31" t="n">
        <v>72</v>
      </c>
      <c r="B73" s="42" t="inlineStr">
        <is>
          <t>Julian</t>
        </is>
      </c>
      <c r="C73" s="42" t="inlineStr">
        <is>
          <t>Wukitsch</t>
        </is>
      </c>
      <c r="D73" s="42" t="inlineStr">
        <is>
          <t>Wukitsch, Julian</t>
        </is>
      </c>
      <c r="E73" s="43" t="n">
        <v>44781</v>
      </c>
      <c r="F73" s="42" t="inlineStr">
        <is>
          <t>Terminated</t>
        </is>
      </c>
      <c r="G73" s="43" t="n">
        <v>45001</v>
      </c>
      <c r="H73" s="42" t="inlineStr">
        <is>
          <t>Datadog</t>
        </is>
      </c>
      <c r="I73" s="42" t="inlineStr">
        <is>
          <t>Sales</t>
        </is>
      </c>
      <c r="J73" s="42" t="inlineStr">
        <is>
          <t>Remote</t>
        </is>
      </c>
      <c r="K73" s="42" t="inlineStr">
        <is>
          <t>No</t>
        </is>
      </c>
      <c r="L73" s="42" t="inlineStr">
        <is>
          <t>200- Datadog:230- Sales</t>
        </is>
      </c>
      <c r="M73" s="42" t="inlineStr">
        <is>
          <t>Sales &amp; Marketing:Sales &amp; Marketing- Travel Expenses:</t>
        </is>
      </c>
      <c r="N73" s="42" t="inlineStr">
        <is>
          <t>General &amp; Administrative:G&amp;A- Personnel Expenses:</t>
        </is>
      </c>
      <c r="O73" s="44">
        <f>B73&amp;" "&amp;C73</f>
        <v/>
      </c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15.75" customHeight="1" s="52">
      <c r="A74" s="31" t="n">
        <v>73</v>
      </c>
      <c r="B74" s="42" t="inlineStr">
        <is>
          <t>Thomas</t>
        </is>
      </c>
      <c r="C74" s="42" t="inlineStr">
        <is>
          <t>Sobczak</t>
        </is>
      </c>
      <c r="D74" s="42" t="inlineStr">
        <is>
          <t>Sobczak, Thomas</t>
        </is>
      </c>
      <c r="E74" s="43" t="n">
        <v>44788</v>
      </c>
      <c r="F74" s="42" t="inlineStr">
        <is>
          <t>Terminated</t>
        </is>
      </c>
      <c r="G74" s="43" t="n">
        <v>45038</v>
      </c>
      <c r="H74" s="42" t="inlineStr">
        <is>
          <t>ServiceNow</t>
        </is>
      </c>
      <c r="I74" s="42" t="inlineStr">
        <is>
          <t>Project Management</t>
        </is>
      </c>
      <c r="J74" s="42" t="inlineStr">
        <is>
          <t>Remote</t>
        </is>
      </c>
      <c r="K74" s="42" t="inlineStr">
        <is>
          <t>Yes</t>
        </is>
      </c>
      <c r="L74" s="42" t="inlineStr">
        <is>
          <t>300- ServiceNow:310- Delivery</t>
        </is>
      </c>
      <c r="M74" s="42" t="inlineStr">
        <is>
          <t>Cost of Goods Sold:COGS- Travel Expenses:</t>
        </is>
      </c>
      <c r="N74" s="42" t="inlineStr">
        <is>
          <t>Cost of Goods Sold:COGS- Personnel Expense:</t>
        </is>
      </c>
      <c r="O74" s="44">
        <f>B74&amp;" "&amp;C74</f>
        <v/>
      </c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15.75" customHeight="1" s="52">
      <c r="A75" s="31" t="n">
        <v>74</v>
      </c>
      <c r="B75" s="42" t="inlineStr">
        <is>
          <t>Robert</t>
        </is>
      </c>
      <c r="C75" s="42" t="inlineStr">
        <is>
          <t>Witty</t>
        </is>
      </c>
      <c r="D75" s="42" t="inlineStr">
        <is>
          <t>Witty, Robert</t>
        </is>
      </c>
      <c r="E75" s="43" t="n">
        <v>44795</v>
      </c>
      <c r="F75" s="42" t="inlineStr">
        <is>
          <t>Full-Time</t>
        </is>
      </c>
      <c r="G75" s="43" t="n">
        <v>44795</v>
      </c>
      <c r="H75" s="42" t="inlineStr">
        <is>
          <t>ServiceNow</t>
        </is>
      </c>
      <c r="I75" s="42" t="inlineStr">
        <is>
          <t>Engineering</t>
        </is>
      </c>
      <c r="J75" s="42" t="inlineStr">
        <is>
          <t>Remote</t>
        </is>
      </c>
      <c r="K75" s="42" t="inlineStr">
        <is>
          <t>Yes</t>
        </is>
      </c>
      <c r="L75" s="42" t="inlineStr">
        <is>
          <t>300- ServiceNow:320- Engineering</t>
        </is>
      </c>
      <c r="M75" s="42" t="inlineStr">
        <is>
          <t>Cost of Goods Sold:COGS- Travel Expenses:</t>
        </is>
      </c>
      <c r="N75" s="42" t="inlineStr">
        <is>
          <t>Cost of Goods Sold:COGS- Personnel Expense:</t>
        </is>
      </c>
      <c r="O75" s="44">
        <f>B75&amp;" "&amp;C75</f>
        <v/>
      </c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15.75" customHeight="1" s="52">
      <c r="A76" s="31" t="n">
        <v>75</v>
      </c>
      <c r="B76" s="42" t="inlineStr">
        <is>
          <t>Benjamin</t>
        </is>
      </c>
      <c r="C76" s="42" t="inlineStr">
        <is>
          <t>Verrill</t>
        </is>
      </c>
      <c r="D76" s="42" t="inlineStr">
        <is>
          <t>Verrill, Benjamin</t>
        </is>
      </c>
      <c r="E76" s="43" t="n">
        <v>44788</v>
      </c>
      <c r="F76" s="42" t="inlineStr">
        <is>
          <t>Terminated</t>
        </is>
      </c>
      <c r="G76" s="43" t="n">
        <v>45201</v>
      </c>
      <c r="H76" s="42" t="inlineStr">
        <is>
          <t>Datadog</t>
        </is>
      </c>
      <c r="I76" s="42" t="inlineStr">
        <is>
          <t>Sales</t>
        </is>
      </c>
      <c r="J76" s="42" t="inlineStr">
        <is>
          <t>Remote</t>
        </is>
      </c>
      <c r="K76" s="42" t="inlineStr">
        <is>
          <t>No</t>
        </is>
      </c>
      <c r="L76" s="42" t="inlineStr">
        <is>
          <t>200- Datadog:230- Sales</t>
        </is>
      </c>
      <c r="M76" s="42" t="inlineStr">
        <is>
          <t>Sales &amp; Marketing:Sales &amp; Marketing- Travel Expenses:</t>
        </is>
      </c>
      <c r="N76" s="42" t="inlineStr">
        <is>
          <t>General &amp; Administrative:G&amp;A- Personnel Expenses:</t>
        </is>
      </c>
      <c r="O76" s="44">
        <f>B76&amp;" "&amp;C76</f>
        <v/>
      </c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15.75" customHeight="1" s="52">
      <c r="A77" s="31" t="n">
        <v>76</v>
      </c>
      <c r="B77" s="42" t="inlineStr">
        <is>
          <t>Courtney</t>
        </is>
      </c>
      <c r="C77" s="42" t="inlineStr">
        <is>
          <t>Wesh</t>
        </is>
      </c>
      <c r="D77" s="42" t="inlineStr">
        <is>
          <t>Wesh, Courtney</t>
        </is>
      </c>
      <c r="E77" s="43" t="n">
        <v>44805</v>
      </c>
      <c r="F77" s="42" t="inlineStr">
        <is>
          <t>Terminated</t>
        </is>
      </c>
      <c r="G77" s="43" t="n">
        <v>44835</v>
      </c>
      <c r="H77" s="42" t="inlineStr">
        <is>
          <t>Datadog</t>
        </is>
      </c>
      <c r="I77" s="42" t="inlineStr">
        <is>
          <t>Project Management</t>
        </is>
      </c>
      <c r="J77" s="42" t="inlineStr">
        <is>
          <t>Remote</t>
        </is>
      </c>
      <c r="K77" s="42" t="inlineStr">
        <is>
          <t>Yes</t>
        </is>
      </c>
      <c r="L77" s="42" t="inlineStr">
        <is>
          <t>200- Datadog:210- Delivery</t>
        </is>
      </c>
      <c r="M77" s="42" t="inlineStr">
        <is>
          <t>Cost of Goods Sold:COGS- Travel Expenses:</t>
        </is>
      </c>
      <c r="N77" s="42" t="inlineStr">
        <is>
          <t>Cost of Goods Sold:COGS- Personnel Expense:</t>
        </is>
      </c>
      <c r="O77" s="44">
        <f>B77&amp;" "&amp;C77</f>
        <v/>
      </c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15.75" customHeight="1" s="52">
      <c r="A78" s="31" t="n">
        <v>77</v>
      </c>
      <c r="B78" s="42" t="inlineStr">
        <is>
          <t>Chloe</t>
        </is>
      </c>
      <c r="C78" s="42" t="inlineStr">
        <is>
          <t>Brant</t>
        </is>
      </c>
      <c r="D78" s="42" t="inlineStr">
        <is>
          <t>Brant, Chloe</t>
        </is>
      </c>
      <c r="E78" s="43" t="n">
        <v>44810</v>
      </c>
      <c r="F78" s="42" t="inlineStr">
        <is>
          <t>Full-Time</t>
        </is>
      </c>
      <c r="G78" s="43" t="n">
        <v>44810</v>
      </c>
      <c r="H78" s="42" t="inlineStr">
        <is>
          <t>ServiceNow</t>
        </is>
      </c>
      <c r="I78" s="42" t="inlineStr">
        <is>
          <t>Sales</t>
        </is>
      </c>
      <c r="J78" s="42" t="inlineStr">
        <is>
          <t>Remote</t>
        </is>
      </c>
      <c r="K78" s="42" t="inlineStr">
        <is>
          <t>No</t>
        </is>
      </c>
      <c r="L78" s="42" t="inlineStr">
        <is>
          <t>300- ServiceNow:330- Sales</t>
        </is>
      </c>
      <c r="M78" s="42" t="inlineStr">
        <is>
          <t>Sales &amp; Marketing:Sales &amp; Marketing- Travel Expenses:</t>
        </is>
      </c>
      <c r="N78" s="42" t="inlineStr">
        <is>
          <t>Sales &amp; Marketing:Sales &amp; Marketing- Personnel Expenses:</t>
        </is>
      </c>
      <c r="O78" s="44">
        <f>B78&amp;" "&amp;C78</f>
        <v/>
      </c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15.75" customHeight="1" s="52">
      <c r="A79" s="31" t="n">
        <v>78</v>
      </c>
      <c r="B79" s="42" t="inlineStr">
        <is>
          <t>Max</t>
        </is>
      </c>
      <c r="C79" s="42" t="inlineStr">
        <is>
          <t>Clark</t>
        </is>
      </c>
      <c r="D79" s="42" t="inlineStr">
        <is>
          <t>Clark, Max</t>
        </is>
      </c>
      <c r="E79" s="43" t="n">
        <v>44810</v>
      </c>
      <c r="F79" s="42" t="inlineStr">
        <is>
          <t>Terminated</t>
        </is>
      </c>
      <c r="G79" s="43" t="n">
        <v>45296</v>
      </c>
      <c r="H79" s="42" t="inlineStr">
        <is>
          <t>Datadog</t>
        </is>
      </c>
      <c r="I79" s="42" t="inlineStr">
        <is>
          <t>Sales</t>
        </is>
      </c>
      <c r="J79" s="42" t="inlineStr">
        <is>
          <t>Remote</t>
        </is>
      </c>
      <c r="K79" s="42" t="inlineStr">
        <is>
          <t>No</t>
        </is>
      </c>
      <c r="L79" s="42" t="inlineStr">
        <is>
          <t>200- Datadog:230- Sales</t>
        </is>
      </c>
      <c r="M79" s="42" t="inlineStr">
        <is>
          <t>Sales &amp; Marketing:Sales &amp; Marketing- Travel Expenses:</t>
        </is>
      </c>
      <c r="N79" s="42" t="inlineStr">
        <is>
          <t>General &amp; Administrative:G&amp;A- Personnel Expenses:</t>
        </is>
      </c>
      <c r="O79" s="44">
        <f>B79&amp;" "&amp;C79</f>
        <v/>
      </c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15.75" customHeight="1" s="52">
      <c r="A80" s="31" t="n">
        <v>79</v>
      </c>
      <c r="B80" s="42" t="inlineStr">
        <is>
          <t>Jessy</t>
        </is>
      </c>
      <c r="C80" s="42" t="inlineStr">
        <is>
          <t>Lamontagne</t>
        </is>
      </c>
      <c r="D80" s="42" t="inlineStr">
        <is>
          <t>Lamontagne, Jessy</t>
        </is>
      </c>
      <c r="E80" s="43" t="n">
        <v>44810</v>
      </c>
      <c r="F80" s="42" t="inlineStr">
        <is>
          <t>Full-Time</t>
        </is>
      </c>
      <c r="G80" s="43" t="n">
        <v>44810</v>
      </c>
      <c r="H80" s="42" t="inlineStr">
        <is>
          <t>Datadog</t>
        </is>
      </c>
      <c r="I80" s="42" t="inlineStr">
        <is>
          <t>Sales</t>
        </is>
      </c>
      <c r="J80" s="42" t="inlineStr">
        <is>
          <t>Boylston</t>
        </is>
      </c>
      <c r="K80" s="42" t="inlineStr">
        <is>
          <t>No</t>
        </is>
      </c>
      <c r="L80" s="42" t="inlineStr">
        <is>
          <t>200- Datadog:230- Sales</t>
        </is>
      </c>
      <c r="M80" s="42" t="inlineStr">
        <is>
          <t>Sales &amp; Marketing:Sales &amp; Marketing- Travel Expenses:</t>
        </is>
      </c>
      <c r="N80" s="42" t="inlineStr">
        <is>
          <t>General &amp; Administrative:G&amp;A- Personnel Expenses:</t>
        </is>
      </c>
      <c r="O80" s="44">
        <f>B80&amp;" "&amp;C80</f>
        <v/>
      </c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15.75" customHeight="1" s="52">
      <c r="A81" s="31" t="n">
        <v>80</v>
      </c>
      <c r="B81" s="42" t="inlineStr">
        <is>
          <t>Afeez</t>
        </is>
      </c>
      <c r="C81" s="42" t="inlineStr">
        <is>
          <t>Nosiru</t>
        </is>
      </c>
      <c r="D81" s="42" t="inlineStr">
        <is>
          <t>Nosiru, Afeez</t>
        </is>
      </c>
      <c r="E81" s="43" t="n">
        <v>44823</v>
      </c>
      <c r="F81" s="42" t="inlineStr">
        <is>
          <t>Terminated</t>
        </is>
      </c>
      <c r="G81" s="43" t="n">
        <v>44826</v>
      </c>
      <c r="H81" s="42" t="inlineStr">
        <is>
          <t>Datadog</t>
        </is>
      </c>
      <c r="I81" s="42" t="inlineStr">
        <is>
          <t>Engineering</t>
        </is>
      </c>
      <c r="J81" s="42" t="inlineStr">
        <is>
          <t>Remote</t>
        </is>
      </c>
      <c r="K81" s="42" t="inlineStr">
        <is>
          <t>Yes</t>
        </is>
      </c>
      <c r="L81" s="42" t="inlineStr">
        <is>
          <t>200- Datadog:220- Engineering</t>
        </is>
      </c>
      <c r="M81" s="42" t="inlineStr">
        <is>
          <t>Cost of Goods Sold:COGS- Travel Expenses:</t>
        </is>
      </c>
      <c r="N81" s="42" t="inlineStr">
        <is>
          <t>Cost of Goods Sold:COGS- Personnel Expense:</t>
        </is>
      </c>
      <c r="O81" s="44">
        <f>B81&amp;" "&amp;C81</f>
        <v/>
      </c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15.75" customHeight="1" s="52">
      <c r="A82" s="31" t="n">
        <v>81</v>
      </c>
      <c r="B82" s="42" t="inlineStr">
        <is>
          <t>Obi</t>
        </is>
      </c>
      <c r="C82" s="42" t="inlineStr">
        <is>
          <t>Ebbis</t>
        </is>
      </c>
      <c r="D82" s="42" t="inlineStr">
        <is>
          <t>Ebbis, Obi</t>
        </is>
      </c>
      <c r="E82" s="43" t="n">
        <v>44823</v>
      </c>
      <c r="F82" s="42" t="inlineStr">
        <is>
          <t>Terminated</t>
        </is>
      </c>
      <c r="G82" s="43" t="n">
        <v>44849</v>
      </c>
      <c r="H82" s="42" t="inlineStr">
        <is>
          <t>Datadog</t>
        </is>
      </c>
      <c r="I82" s="42" t="inlineStr">
        <is>
          <t>Engineering</t>
        </is>
      </c>
      <c r="J82" s="42" t="inlineStr">
        <is>
          <t>Remote</t>
        </is>
      </c>
      <c r="K82" s="42" t="inlineStr">
        <is>
          <t>Yes</t>
        </is>
      </c>
      <c r="L82" s="42" t="inlineStr">
        <is>
          <t>200- Datadog:220- Engineering</t>
        </is>
      </c>
      <c r="M82" s="42" t="inlineStr">
        <is>
          <t>Cost of Goods Sold:COGS- Travel Expenses:</t>
        </is>
      </c>
      <c r="N82" s="42" t="inlineStr">
        <is>
          <t>Cost of Goods Sold:COGS- Personnel Expense:</t>
        </is>
      </c>
      <c r="O82" s="44">
        <f>B82&amp;" "&amp;C82</f>
        <v/>
      </c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15.75" customHeight="1" s="52">
      <c r="A83" s="31" t="n">
        <v>82</v>
      </c>
      <c r="B83" s="42" t="inlineStr">
        <is>
          <t>Lora</t>
        </is>
      </c>
      <c r="C83" s="42" t="inlineStr">
        <is>
          <t>Rose</t>
        </is>
      </c>
      <c r="D83" s="42" t="inlineStr">
        <is>
          <t>Rose, Lora</t>
        </is>
      </c>
      <c r="E83" s="43" t="n">
        <v>44845</v>
      </c>
      <c r="F83" s="42" t="inlineStr">
        <is>
          <t>Terminated</t>
        </is>
      </c>
      <c r="G83" s="43" t="n">
        <v>45038</v>
      </c>
      <c r="H83" s="42" t="inlineStr">
        <is>
          <t>Datadog</t>
        </is>
      </c>
      <c r="I83" s="42" t="inlineStr">
        <is>
          <t>Project Management</t>
        </is>
      </c>
      <c r="J83" s="42" t="inlineStr">
        <is>
          <t>Remote</t>
        </is>
      </c>
      <c r="K83" s="42" t="inlineStr">
        <is>
          <t>Yes</t>
        </is>
      </c>
      <c r="L83" s="42" t="inlineStr">
        <is>
          <t>200- Datadog:210- Delivery</t>
        </is>
      </c>
      <c r="M83" s="42" t="inlineStr">
        <is>
          <t>Cost of Goods Sold:COGS- Travel Expenses:</t>
        </is>
      </c>
      <c r="N83" s="42" t="inlineStr">
        <is>
          <t>Cost of Goods Sold:COGS- Personnel Expense:</t>
        </is>
      </c>
      <c r="O83" s="44">
        <f>B83&amp;" "&amp;C83</f>
        <v/>
      </c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15.75" customHeight="1" s="52">
      <c r="A84" s="31" t="n">
        <v>83</v>
      </c>
      <c r="B84" s="42" t="inlineStr">
        <is>
          <t>Zachary</t>
        </is>
      </c>
      <c r="C84" s="42" t="inlineStr">
        <is>
          <t>Kenyon</t>
        </is>
      </c>
      <c r="D84" s="42" t="inlineStr">
        <is>
          <t>Kenyon, Zachary</t>
        </is>
      </c>
      <c r="E84" s="43" t="n">
        <v>44851</v>
      </c>
      <c r="F84" s="42" t="inlineStr">
        <is>
          <t>Full-Time</t>
        </is>
      </c>
      <c r="G84" s="43" t="n">
        <v>44851</v>
      </c>
      <c r="H84" s="42" t="inlineStr">
        <is>
          <t>ServiceNow</t>
        </is>
      </c>
      <c r="I84" s="42" t="inlineStr">
        <is>
          <t>Engineering</t>
        </is>
      </c>
      <c r="J84" s="42" t="inlineStr">
        <is>
          <t>Remote</t>
        </is>
      </c>
      <c r="K84" s="42" t="inlineStr">
        <is>
          <t>Yes</t>
        </is>
      </c>
      <c r="L84" s="42" t="inlineStr">
        <is>
          <t>300- ServiceNow:320- Engineering</t>
        </is>
      </c>
      <c r="M84" s="42" t="inlineStr">
        <is>
          <t>Cost of Goods Sold:COGS- Travel Expenses:</t>
        </is>
      </c>
      <c r="N84" s="42" t="inlineStr">
        <is>
          <t>Cost of Goods Sold:COGS- Personnel Expense:</t>
        </is>
      </c>
      <c r="O84" s="44">
        <f>B84&amp;" "&amp;C84</f>
        <v/>
      </c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15.75" customHeight="1" s="52">
      <c r="A85" s="31" t="n">
        <v>84</v>
      </c>
      <c r="B85" s="42" t="inlineStr">
        <is>
          <t>Ayaan</t>
        </is>
      </c>
      <c r="C85" s="42" t="inlineStr">
        <is>
          <t>Israni</t>
        </is>
      </c>
      <c r="D85" s="42" t="inlineStr">
        <is>
          <t>Israni, Ayaan</t>
        </is>
      </c>
      <c r="E85" s="43" t="n">
        <v>44872</v>
      </c>
      <c r="F85" s="42" t="inlineStr">
        <is>
          <t>Full-Time</t>
        </is>
      </c>
      <c r="G85" s="43" t="n">
        <v>44872</v>
      </c>
      <c r="H85" s="42" t="inlineStr">
        <is>
          <t>Operations</t>
        </is>
      </c>
      <c r="I85" s="42" t="inlineStr">
        <is>
          <t>Strategy</t>
        </is>
      </c>
      <c r="J85" s="42" t="inlineStr">
        <is>
          <t>Boylston</t>
        </is>
      </c>
      <c r="K85" s="42" t="inlineStr">
        <is>
          <t>No</t>
        </is>
      </c>
      <c r="L85" s="42" t="inlineStr">
        <is>
          <t>100- Operations:110- G&amp;A</t>
        </is>
      </c>
      <c r="M85" s="42" t="inlineStr">
        <is>
          <t>General &amp; Administrative:G&amp;A- Travel Expenses:</t>
        </is>
      </c>
      <c r="N85" s="42" t="inlineStr">
        <is>
          <t>General &amp; Administrative:G&amp;A- Personnel Expenses:</t>
        </is>
      </c>
      <c r="O85" s="44">
        <f>B85&amp;" "&amp;C85</f>
        <v/>
      </c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15.75" customHeight="1" s="52">
      <c r="A86" s="31" t="n">
        <v>85</v>
      </c>
      <c r="B86" s="42" t="inlineStr">
        <is>
          <t>Danielle</t>
        </is>
      </c>
      <c r="C86" s="42" t="inlineStr">
        <is>
          <t>Severs</t>
        </is>
      </c>
      <c r="D86" s="42" t="inlineStr">
        <is>
          <t>Severs, Danielle</t>
        </is>
      </c>
      <c r="E86" s="43" t="n">
        <v>44872</v>
      </c>
      <c r="F86" s="42" t="inlineStr">
        <is>
          <t>Full-Time</t>
        </is>
      </c>
      <c r="G86" s="43" t="n">
        <v>44872</v>
      </c>
      <c r="H86" s="42" t="inlineStr">
        <is>
          <t>ServiceNow</t>
        </is>
      </c>
      <c r="I86" s="42" t="inlineStr">
        <is>
          <t>Project Management</t>
        </is>
      </c>
      <c r="J86" s="42" t="inlineStr">
        <is>
          <t>Remote</t>
        </is>
      </c>
      <c r="K86" s="42" t="inlineStr">
        <is>
          <t>Yes</t>
        </is>
      </c>
      <c r="L86" s="42" t="inlineStr">
        <is>
          <t>300- ServiceNow:310- Delivery</t>
        </is>
      </c>
      <c r="M86" s="42" t="inlineStr">
        <is>
          <t>Cost of Goods Sold:COGS- Travel Expenses:</t>
        </is>
      </c>
      <c r="N86" s="42" t="inlineStr">
        <is>
          <t>Cost of Goods Sold:COGS- Personnel Expense:</t>
        </is>
      </c>
      <c r="O86" s="44">
        <f>B86&amp;" "&amp;C86</f>
        <v/>
      </c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15.75" customHeight="1" s="52">
      <c r="A87" s="31" t="n">
        <v>86</v>
      </c>
      <c r="B87" s="42" t="inlineStr">
        <is>
          <t>Nolan</t>
        </is>
      </c>
      <c r="C87" s="42" t="inlineStr">
        <is>
          <t>Corcoran</t>
        </is>
      </c>
      <c r="D87" s="42" t="inlineStr">
        <is>
          <t>Corcoran, Nolan</t>
        </is>
      </c>
      <c r="E87" s="43" t="n">
        <v>44872</v>
      </c>
      <c r="F87" s="42" t="inlineStr">
        <is>
          <t>Terminated</t>
        </is>
      </c>
      <c r="G87" s="43" t="n">
        <v>44988</v>
      </c>
      <c r="H87" s="42" t="inlineStr">
        <is>
          <t>Datadog</t>
        </is>
      </c>
      <c r="I87" s="42" t="inlineStr">
        <is>
          <t>Engineering</t>
        </is>
      </c>
      <c r="J87" s="42" t="inlineStr">
        <is>
          <t>Remote</t>
        </is>
      </c>
      <c r="K87" s="42" t="inlineStr">
        <is>
          <t>Yes</t>
        </is>
      </c>
      <c r="L87" s="42" t="inlineStr">
        <is>
          <t>200- Datadog:220- Engineering</t>
        </is>
      </c>
      <c r="M87" s="42" t="inlineStr">
        <is>
          <t>Cost of Goods Sold:COGS- Travel Expenses:</t>
        </is>
      </c>
      <c r="N87" s="42" t="inlineStr">
        <is>
          <t>Cost of Goods Sold:COGS- Personnel Expense:</t>
        </is>
      </c>
      <c r="O87" s="44">
        <f>B87&amp;" "&amp;C87</f>
        <v/>
      </c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15.75" customHeight="1" s="52">
      <c r="A88" s="31" t="n">
        <v>87</v>
      </c>
      <c r="B88" s="42" t="inlineStr">
        <is>
          <t>William</t>
        </is>
      </c>
      <c r="C88" s="42" t="inlineStr">
        <is>
          <t>Sanderford</t>
        </is>
      </c>
      <c r="D88" s="42" t="inlineStr">
        <is>
          <t>Sanderford, William</t>
        </is>
      </c>
      <c r="E88" s="43" t="n">
        <v>44873</v>
      </c>
      <c r="F88" s="42" t="inlineStr">
        <is>
          <t>Full-Time</t>
        </is>
      </c>
      <c r="G88" s="43" t="n">
        <v>44873</v>
      </c>
      <c r="H88" s="42" t="inlineStr">
        <is>
          <t>ServiceNow</t>
        </is>
      </c>
      <c r="I88" s="42" t="inlineStr">
        <is>
          <t>Engineering</t>
        </is>
      </c>
      <c r="J88" s="42" t="inlineStr">
        <is>
          <t>Remote</t>
        </is>
      </c>
      <c r="K88" s="42" t="inlineStr">
        <is>
          <t>Yes</t>
        </is>
      </c>
      <c r="L88" s="42" t="inlineStr">
        <is>
          <t>300- ServiceNow:320- Engineering</t>
        </is>
      </c>
      <c r="M88" s="42" t="inlineStr">
        <is>
          <t>Cost of Goods Sold:COGS- Travel Expenses:</t>
        </is>
      </c>
      <c r="N88" s="42" t="inlineStr">
        <is>
          <t>Cost of Goods Sold:COGS- Personnel Expense:</t>
        </is>
      </c>
      <c r="O88" s="44">
        <f>B88&amp;" "&amp;C88</f>
        <v/>
      </c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15.75" customHeight="1" s="52">
      <c r="A89" s="31" t="n">
        <v>88</v>
      </c>
      <c r="B89" s="42" t="inlineStr">
        <is>
          <t>Dana</t>
        </is>
      </c>
      <c r="C89" s="42" t="inlineStr">
        <is>
          <t>Aft</t>
        </is>
      </c>
      <c r="D89" s="42" t="inlineStr">
        <is>
          <t>Aft, Dana</t>
        </is>
      </c>
      <c r="E89" s="43" t="n">
        <v>44879</v>
      </c>
      <c r="F89" s="42" t="inlineStr">
        <is>
          <t>Terminated</t>
        </is>
      </c>
      <c r="G89" s="43" t="n">
        <v>45275</v>
      </c>
      <c r="H89" s="42" t="inlineStr">
        <is>
          <t>ServiceNow</t>
        </is>
      </c>
      <c r="I89" s="42" t="inlineStr">
        <is>
          <t>Engineering</t>
        </is>
      </c>
      <c r="J89" s="42" t="inlineStr">
        <is>
          <t>Remote</t>
        </is>
      </c>
      <c r="K89" s="42" t="inlineStr">
        <is>
          <t>Yes</t>
        </is>
      </c>
      <c r="L89" s="42" t="inlineStr">
        <is>
          <t>300- ServiceNow:320- Engineering</t>
        </is>
      </c>
      <c r="M89" s="42" t="inlineStr">
        <is>
          <t>Cost of Goods Sold:COGS- Travel Expenses:</t>
        </is>
      </c>
      <c r="N89" s="42" t="inlineStr">
        <is>
          <t>Cost of Goods Sold:COGS- Personnel Expense:</t>
        </is>
      </c>
      <c r="O89" s="44">
        <f>B89&amp;" "&amp;C89</f>
        <v/>
      </c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15.75" customHeight="1" s="52">
      <c r="A90" s="31" t="n">
        <v>89</v>
      </c>
      <c r="B90" s="42" t="inlineStr">
        <is>
          <t>Luis</t>
        </is>
      </c>
      <c r="C90" s="42" t="inlineStr">
        <is>
          <t>Gallego Cardona</t>
        </is>
      </c>
      <c r="D90" s="42" t="inlineStr">
        <is>
          <t>Gallego Cardona, Luis</t>
        </is>
      </c>
      <c r="E90" s="43" t="n">
        <v>44879</v>
      </c>
      <c r="F90" s="42" t="inlineStr">
        <is>
          <t>Full-Time</t>
        </is>
      </c>
      <c r="G90" s="43" t="n">
        <v>44879</v>
      </c>
      <c r="H90" s="42" t="inlineStr">
        <is>
          <t>Datadog</t>
        </is>
      </c>
      <c r="I90" s="42" t="inlineStr">
        <is>
          <t>Engineering</t>
        </is>
      </c>
      <c r="J90" s="42" t="inlineStr">
        <is>
          <t>Remote</t>
        </is>
      </c>
      <c r="K90" s="42" t="inlineStr">
        <is>
          <t>Yes</t>
        </is>
      </c>
      <c r="L90" s="42" t="inlineStr">
        <is>
          <t>200- Datadog:220- Engineering</t>
        </is>
      </c>
      <c r="M90" s="42" t="inlineStr">
        <is>
          <t>Cost of Goods Sold:COGS- Travel Expenses:</t>
        </is>
      </c>
      <c r="N90" s="42" t="inlineStr">
        <is>
          <t>Cost of Goods Sold:COGS- Personnel Expense:</t>
        </is>
      </c>
      <c r="O90" s="44">
        <f>B90&amp;" "&amp;C90</f>
        <v/>
      </c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15.75" customHeight="1" s="52">
      <c r="A91" s="31" t="n">
        <v>90</v>
      </c>
      <c r="B91" s="42" t="inlineStr">
        <is>
          <t>Brent</t>
        </is>
      </c>
      <c r="C91" s="42" t="inlineStr">
        <is>
          <t>Falk</t>
        </is>
      </c>
      <c r="D91" s="42" t="inlineStr">
        <is>
          <t>Falk, Brent</t>
        </is>
      </c>
      <c r="E91" s="43" t="n">
        <v>44896</v>
      </c>
      <c r="F91" s="42" t="inlineStr">
        <is>
          <t>Terminated</t>
        </is>
      </c>
      <c r="G91" s="43" t="n">
        <v>45296</v>
      </c>
      <c r="H91" s="42" t="inlineStr">
        <is>
          <t>Datadog</t>
        </is>
      </c>
      <c r="I91" s="42" t="inlineStr">
        <is>
          <t>Engineering</t>
        </is>
      </c>
      <c r="J91" s="42" t="inlineStr">
        <is>
          <t>Boylston</t>
        </is>
      </c>
      <c r="K91" s="42" t="inlineStr">
        <is>
          <t>Yes</t>
        </is>
      </c>
      <c r="L91" s="42" t="inlineStr">
        <is>
          <t>200- Datadog:220- Engineering</t>
        </is>
      </c>
      <c r="M91" s="42" t="inlineStr">
        <is>
          <t>Cost of Goods Sold:COGS- Travel Expenses:</t>
        </is>
      </c>
      <c r="N91" s="42" t="inlineStr">
        <is>
          <t>Cost of Goods Sold:COGS- Personnel Expense:</t>
        </is>
      </c>
      <c r="O91" s="44">
        <f>B91&amp;" "&amp;C91</f>
        <v/>
      </c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15.75" customHeight="1" s="52">
      <c r="A92" s="31" t="n">
        <v>91</v>
      </c>
      <c r="B92" s="42" t="inlineStr">
        <is>
          <t>Robert</t>
        </is>
      </c>
      <c r="C92" s="42" t="inlineStr">
        <is>
          <t>Kolosky</t>
        </is>
      </c>
      <c r="D92" s="42" t="inlineStr">
        <is>
          <t>Kolosky, Robert</t>
        </is>
      </c>
      <c r="E92" s="43" t="n">
        <v>44900</v>
      </c>
      <c r="F92" s="42" t="inlineStr">
        <is>
          <t>Full-Time</t>
        </is>
      </c>
      <c r="G92" s="43" t="n">
        <v>44900</v>
      </c>
      <c r="H92" s="42" t="inlineStr">
        <is>
          <t>ServiceNow</t>
        </is>
      </c>
      <c r="I92" s="42" t="inlineStr">
        <is>
          <t>Engineering</t>
        </is>
      </c>
      <c r="J92" s="42" t="inlineStr">
        <is>
          <t>Remote</t>
        </is>
      </c>
      <c r="K92" s="42" t="inlineStr">
        <is>
          <t>Yes</t>
        </is>
      </c>
      <c r="L92" s="42" t="inlineStr">
        <is>
          <t>300- ServiceNow:320- Engineering</t>
        </is>
      </c>
      <c r="M92" s="42" t="inlineStr">
        <is>
          <t>Cost of Goods Sold:COGS- Travel Expenses:</t>
        </is>
      </c>
      <c r="N92" s="42" t="inlineStr">
        <is>
          <t>Cost of Goods Sold:COGS- Personnel Expense:</t>
        </is>
      </c>
      <c r="O92" s="44">
        <f>B92&amp;" "&amp;C92</f>
        <v/>
      </c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15.75" customHeight="1" s="52">
      <c r="A93" s="31" t="n">
        <v>92</v>
      </c>
      <c r="B93" s="42" t="inlineStr">
        <is>
          <t>Jose</t>
        </is>
      </c>
      <c r="C93" s="42" t="inlineStr">
        <is>
          <t>Reyes</t>
        </is>
      </c>
      <c r="D93" s="42" t="inlineStr">
        <is>
          <t>Reyes, Jose</t>
        </is>
      </c>
      <c r="E93" s="43" t="n">
        <v>44900</v>
      </c>
      <c r="F93" s="42" t="inlineStr">
        <is>
          <t>Terminated</t>
        </is>
      </c>
      <c r="G93" s="43" t="n">
        <v>45038</v>
      </c>
      <c r="H93" s="42" t="inlineStr">
        <is>
          <t>ServiceNow</t>
        </is>
      </c>
      <c r="I93" s="42" t="inlineStr">
        <is>
          <t>Engineering</t>
        </is>
      </c>
      <c r="J93" s="42" t="inlineStr">
        <is>
          <t>Remote</t>
        </is>
      </c>
      <c r="K93" s="46" t="inlineStr">
        <is>
          <t>Yes</t>
        </is>
      </c>
      <c r="L93" s="42" t="inlineStr">
        <is>
          <t>300- ServiceNow:320- Engineering</t>
        </is>
      </c>
      <c r="M93" s="42" t="inlineStr">
        <is>
          <t>Cost of Goods Sold:COGS- Travel Expenses:</t>
        </is>
      </c>
      <c r="N93" s="42" t="inlineStr">
        <is>
          <t>Cost of Goods Sold:COGS- Personnel Expense:</t>
        </is>
      </c>
      <c r="O93" s="44">
        <f>B93&amp;" "&amp;C93</f>
        <v/>
      </c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15.75" customHeight="1" s="52">
      <c r="A94" s="31" t="n">
        <v>93</v>
      </c>
      <c r="B94" s="42" t="inlineStr">
        <is>
          <t>Valdas</t>
        </is>
      </c>
      <c r="C94" s="42" t="inlineStr">
        <is>
          <t>Simanauskas</t>
        </is>
      </c>
      <c r="D94" s="42" t="inlineStr">
        <is>
          <t>Simanauskas, Valdas</t>
        </is>
      </c>
      <c r="E94" s="43" t="n">
        <v>44903</v>
      </c>
      <c r="F94" s="42" t="inlineStr">
        <is>
          <t>Terminated</t>
        </is>
      </c>
      <c r="G94" s="43" t="n">
        <v>45380</v>
      </c>
      <c r="H94" s="42" t="inlineStr">
        <is>
          <t>ServiceNow</t>
        </is>
      </c>
      <c r="I94" s="42" t="inlineStr">
        <is>
          <t>Engineering</t>
        </is>
      </c>
      <c r="J94" s="42" t="inlineStr">
        <is>
          <t>Boylston</t>
        </is>
      </c>
      <c r="K94" s="42" t="inlineStr">
        <is>
          <t>Yes</t>
        </is>
      </c>
      <c r="L94" s="42" t="inlineStr">
        <is>
          <t>300- ServiceNow:320- Engineering</t>
        </is>
      </c>
      <c r="M94" s="42" t="inlineStr">
        <is>
          <t>Cost of Goods Sold:COGS- Travel Expenses:</t>
        </is>
      </c>
      <c r="N94" s="42" t="inlineStr">
        <is>
          <t>Cost of Goods Sold:COGS- Personnel Expense:</t>
        </is>
      </c>
      <c r="O94" s="44">
        <f>B94&amp;" "&amp;C94</f>
        <v/>
      </c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15.75" customHeight="1" s="52">
      <c r="A95" s="31" t="n">
        <v>94</v>
      </c>
      <c r="B95" s="42" t="inlineStr">
        <is>
          <t>Michael</t>
        </is>
      </c>
      <c r="C95" s="42" t="inlineStr">
        <is>
          <t>Skelton</t>
        </is>
      </c>
      <c r="D95" s="42" t="inlineStr">
        <is>
          <t>Skelton, Michael</t>
        </is>
      </c>
      <c r="E95" s="43" t="n">
        <v>44925</v>
      </c>
      <c r="F95" s="42" t="inlineStr">
        <is>
          <t>Terminated</t>
        </is>
      </c>
      <c r="G95" s="43" t="n">
        <v>45052</v>
      </c>
      <c r="H95" s="42" t="inlineStr">
        <is>
          <t>ServiceNow</t>
        </is>
      </c>
      <c r="I95" s="42" t="inlineStr">
        <is>
          <t>Sales</t>
        </is>
      </c>
      <c r="J95" s="42" t="inlineStr">
        <is>
          <t>Remote</t>
        </is>
      </c>
      <c r="K95" s="42" t="inlineStr">
        <is>
          <t>No</t>
        </is>
      </c>
      <c r="L95" s="42" t="inlineStr">
        <is>
          <t>300- ServiceNow:330- Sales</t>
        </is>
      </c>
      <c r="M95" s="42" t="inlineStr">
        <is>
          <t>Sales &amp; Marketing:Sales &amp; Marketing- Travel Expenses:</t>
        </is>
      </c>
      <c r="N95" s="42" t="inlineStr">
        <is>
          <t>Sales &amp; Marketing:Sales &amp; Marketing- Personnel Expenses:</t>
        </is>
      </c>
      <c r="O95" s="44">
        <f>B95&amp;" "&amp;C95</f>
        <v/>
      </c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15.75" customHeight="1" s="52">
      <c r="A96" s="31" t="n">
        <v>95</v>
      </c>
      <c r="B96" s="42" t="inlineStr">
        <is>
          <t>Joseph</t>
        </is>
      </c>
      <c r="C96" s="42" t="inlineStr">
        <is>
          <t>Phalan</t>
        </is>
      </c>
      <c r="D96" s="42" t="inlineStr">
        <is>
          <t>Phalan, Joseph</t>
        </is>
      </c>
      <c r="E96" s="43" t="n">
        <v>44949</v>
      </c>
      <c r="F96" s="42" t="inlineStr">
        <is>
          <t>Terminated</t>
        </is>
      </c>
      <c r="G96" s="43" t="n">
        <v>45674</v>
      </c>
      <c r="H96" s="42" t="inlineStr">
        <is>
          <t>ServiceNow</t>
        </is>
      </c>
      <c r="I96" s="42" t="inlineStr">
        <is>
          <t>Project Management</t>
        </is>
      </c>
      <c r="J96" s="42" t="inlineStr">
        <is>
          <t>Boylston</t>
        </is>
      </c>
      <c r="K96" s="42" t="inlineStr">
        <is>
          <t>Yes</t>
        </is>
      </c>
      <c r="L96" s="42" t="inlineStr">
        <is>
          <t>300- ServiceNow:310- Delivery</t>
        </is>
      </c>
      <c r="M96" s="42" t="inlineStr">
        <is>
          <t>Cost of Goods Sold:COGS- Travel Expenses:</t>
        </is>
      </c>
      <c r="N96" s="42" t="inlineStr">
        <is>
          <t>Cost of Goods Sold:COGS- Personnel Expense:</t>
        </is>
      </c>
      <c r="O96" s="44">
        <f>B96&amp;" "&amp;C96</f>
        <v/>
      </c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15.75" customHeight="1" s="52">
      <c r="A97" s="31" t="n">
        <v>96</v>
      </c>
      <c r="B97" s="42" t="inlineStr">
        <is>
          <t>Alexandra</t>
        </is>
      </c>
      <c r="C97" s="42" t="inlineStr">
        <is>
          <t>Kapetanopoulos</t>
        </is>
      </c>
      <c r="D97" s="42" t="inlineStr">
        <is>
          <t>Kapetanopoulos, Alexandra</t>
        </is>
      </c>
      <c r="E97" s="43" t="n">
        <v>44956</v>
      </c>
      <c r="F97" s="42" t="inlineStr">
        <is>
          <t>Terminated</t>
        </is>
      </c>
      <c r="G97" s="43" t="n">
        <v>44975</v>
      </c>
      <c r="H97" s="42" t="inlineStr">
        <is>
          <t>ServiceNow</t>
        </is>
      </c>
      <c r="I97" s="42" t="inlineStr">
        <is>
          <t>Project Management</t>
        </is>
      </c>
      <c r="J97" s="42" t="inlineStr">
        <is>
          <t>Boylston</t>
        </is>
      </c>
      <c r="K97" s="42" t="inlineStr">
        <is>
          <t>Yes</t>
        </is>
      </c>
      <c r="L97" s="42" t="inlineStr">
        <is>
          <t>300- ServiceNow:310- Delivery</t>
        </is>
      </c>
      <c r="M97" s="42" t="inlineStr">
        <is>
          <t>Cost of Goods Sold:COGS- Travel Expenses:</t>
        </is>
      </c>
      <c r="N97" s="42" t="inlineStr">
        <is>
          <t>Cost of Goods Sold:COGS- Personnel Expense:</t>
        </is>
      </c>
      <c r="O97" s="44">
        <f>B97&amp;" "&amp;C97</f>
        <v/>
      </c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15.75" customHeight="1" s="52">
      <c r="A98" s="31" t="n">
        <v>97</v>
      </c>
      <c r="B98" s="42" t="inlineStr">
        <is>
          <t>Kelly</t>
        </is>
      </c>
      <c r="C98" s="42" t="inlineStr">
        <is>
          <t>Catteau</t>
        </is>
      </c>
      <c r="D98" s="42" t="inlineStr">
        <is>
          <t>Catteau, Kelly</t>
        </is>
      </c>
      <c r="E98" s="43" t="n">
        <v>44957</v>
      </c>
      <c r="F98" s="42" t="inlineStr">
        <is>
          <t>Terminated</t>
        </is>
      </c>
      <c r="G98" s="43" t="n">
        <v>45201</v>
      </c>
      <c r="H98" s="42" t="inlineStr">
        <is>
          <t>Datadog</t>
        </is>
      </c>
      <c r="I98" s="42" t="inlineStr">
        <is>
          <t>Project Management</t>
        </is>
      </c>
      <c r="J98" s="42" t="inlineStr">
        <is>
          <t>Remote</t>
        </is>
      </c>
      <c r="K98" s="42" t="inlineStr">
        <is>
          <t>Yes</t>
        </is>
      </c>
      <c r="L98" s="42" t="inlineStr">
        <is>
          <t>200- Datadog:210- Delivery</t>
        </is>
      </c>
      <c r="M98" s="42" t="inlineStr">
        <is>
          <t>Cost of Goods Sold:COGS- Travel Expenses:</t>
        </is>
      </c>
      <c r="N98" s="42" t="inlineStr">
        <is>
          <t>Cost of Goods Sold:COGS- Personnel Expense:</t>
        </is>
      </c>
      <c r="O98" s="44">
        <f>B98&amp;" "&amp;C98</f>
        <v/>
      </c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15.75" customHeight="1" s="52">
      <c r="A99" s="31" t="n">
        <v>98</v>
      </c>
      <c r="B99" s="42" t="inlineStr">
        <is>
          <t>Elyse</t>
        </is>
      </c>
      <c r="C99" s="42" t="inlineStr">
        <is>
          <t>Neumeier</t>
        </is>
      </c>
      <c r="D99" s="42" t="inlineStr">
        <is>
          <t>Neumeier, Elyse</t>
        </is>
      </c>
      <c r="E99" s="43" t="n">
        <v>44963</v>
      </c>
      <c r="F99" s="42" t="inlineStr">
        <is>
          <t>Full-Time</t>
        </is>
      </c>
      <c r="G99" s="43" t="n">
        <v>44963</v>
      </c>
      <c r="H99" s="42" t="inlineStr">
        <is>
          <t>Operations</t>
        </is>
      </c>
      <c r="I99" s="42" t="inlineStr">
        <is>
          <t>Operations</t>
        </is>
      </c>
      <c r="J99" s="42" t="inlineStr">
        <is>
          <t>Boylston</t>
        </is>
      </c>
      <c r="K99" s="42" t="inlineStr">
        <is>
          <t>No</t>
        </is>
      </c>
      <c r="L99" s="42" t="inlineStr">
        <is>
          <t>100- Operations:110- G&amp;A</t>
        </is>
      </c>
      <c r="M99" s="42" t="inlineStr">
        <is>
          <t>General &amp; Administrative:G&amp;A- Travel Expenses:</t>
        </is>
      </c>
      <c r="N99" s="42" t="inlineStr">
        <is>
          <t>General &amp; Administrative:G&amp;A- Personnel Expenses:</t>
        </is>
      </c>
      <c r="O99" s="44">
        <f>B99&amp;" "&amp;C99</f>
        <v/>
      </c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15.75" customHeight="1" s="52">
      <c r="A100" s="31" t="n">
        <v>99</v>
      </c>
      <c r="B100" s="42" t="inlineStr">
        <is>
          <t>Tanner</t>
        </is>
      </c>
      <c r="C100" s="42" t="inlineStr">
        <is>
          <t>Ylvisaker</t>
        </is>
      </c>
      <c r="D100" s="42" t="inlineStr">
        <is>
          <t>Ylvisaker, Tanner</t>
        </is>
      </c>
      <c r="E100" s="43" t="n">
        <v>44984</v>
      </c>
      <c r="F100" s="42" t="inlineStr">
        <is>
          <t>Full-Time</t>
        </is>
      </c>
      <c r="G100" s="43" t="n">
        <v>44984</v>
      </c>
      <c r="H100" s="42" t="inlineStr">
        <is>
          <t>ServiceNow</t>
        </is>
      </c>
      <c r="I100" s="42" t="inlineStr">
        <is>
          <t>Engineering</t>
        </is>
      </c>
      <c r="J100" s="42" t="inlineStr">
        <is>
          <t>Remote</t>
        </is>
      </c>
      <c r="K100" s="42" t="inlineStr">
        <is>
          <t>Yes</t>
        </is>
      </c>
      <c r="L100" s="42" t="inlineStr">
        <is>
          <t>300- ServiceNow:320- Engineering</t>
        </is>
      </c>
      <c r="M100" s="42" t="inlineStr">
        <is>
          <t>Cost of Goods Sold:COGS- Travel Expenses:</t>
        </is>
      </c>
      <c r="N100" s="42" t="inlineStr">
        <is>
          <t>Cost of Goods Sold:COGS- Personnel Expense:</t>
        </is>
      </c>
      <c r="O100" s="44">
        <f>B100&amp;" "&amp;C100</f>
        <v/>
      </c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15.75" customHeight="1" s="52">
      <c r="A101" s="31" t="n">
        <v>100</v>
      </c>
      <c r="B101" s="42" t="inlineStr">
        <is>
          <t>Heidi</t>
        </is>
      </c>
      <c r="C101" s="42" t="inlineStr">
        <is>
          <t>Gold</t>
        </is>
      </c>
      <c r="D101" s="42" t="inlineStr">
        <is>
          <t>Gold, Heidi</t>
        </is>
      </c>
      <c r="E101" s="43" t="n">
        <v>44984</v>
      </c>
      <c r="F101" s="42" t="inlineStr">
        <is>
          <t>Full-Time</t>
        </is>
      </c>
      <c r="G101" s="43" t="n">
        <v>44984</v>
      </c>
      <c r="H101" s="42" t="inlineStr">
        <is>
          <t>Datadog</t>
        </is>
      </c>
      <c r="I101" s="42" t="inlineStr">
        <is>
          <t>Project Management</t>
        </is>
      </c>
      <c r="J101" s="42" t="inlineStr">
        <is>
          <t>Boylston</t>
        </is>
      </c>
      <c r="K101" s="42" t="inlineStr">
        <is>
          <t>Yes</t>
        </is>
      </c>
      <c r="L101" s="42" t="inlineStr">
        <is>
          <t>200- Datadog:210- Delivery</t>
        </is>
      </c>
      <c r="M101" s="42" t="inlineStr">
        <is>
          <t>Cost of Goods Sold:COGS- Travel Expenses:</t>
        </is>
      </c>
      <c r="N101" s="42" t="inlineStr">
        <is>
          <t>Cost of Goods Sold:COGS- Personnel Expense:</t>
        </is>
      </c>
      <c r="O101" s="44">
        <f>B101&amp;" "&amp;C101</f>
        <v/>
      </c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15.75" customHeight="1" s="52">
      <c r="A102" s="31" t="n">
        <v>101</v>
      </c>
      <c r="B102" s="42" t="inlineStr">
        <is>
          <t>Daniel</t>
        </is>
      </c>
      <c r="C102" s="42" t="inlineStr">
        <is>
          <t>Roy</t>
        </is>
      </c>
      <c r="D102" s="42" t="inlineStr">
        <is>
          <t>Roy, Dan</t>
        </is>
      </c>
      <c r="E102" s="43" t="n">
        <v>44984</v>
      </c>
      <c r="F102" s="42" t="inlineStr">
        <is>
          <t>Full-Time</t>
        </is>
      </c>
      <c r="G102" s="43" t="n">
        <v>44984</v>
      </c>
      <c r="H102" s="42" t="inlineStr">
        <is>
          <t>Datadog</t>
        </is>
      </c>
      <c r="I102" s="42" t="inlineStr">
        <is>
          <t>Engineering</t>
        </is>
      </c>
      <c r="J102" s="42" t="inlineStr">
        <is>
          <t>Boylston</t>
        </is>
      </c>
      <c r="K102" s="42" t="inlineStr">
        <is>
          <t>Yes</t>
        </is>
      </c>
      <c r="L102" s="42" t="inlineStr">
        <is>
          <t>200- Datadog:220- Engineering</t>
        </is>
      </c>
      <c r="M102" s="42" t="inlineStr">
        <is>
          <t>Cost of Goods Sold:COGS- Travel Expenses:</t>
        </is>
      </c>
      <c r="N102" s="42" t="inlineStr">
        <is>
          <t>Cost of Goods Sold:COGS- Personnel Expense:</t>
        </is>
      </c>
      <c r="O102" s="44">
        <f>B102&amp;" "&amp;C102</f>
        <v/>
      </c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15.75" customHeight="1" s="52">
      <c r="A103" s="31" t="n">
        <v>102</v>
      </c>
      <c r="B103" s="42" t="inlineStr">
        <is>
          <t>Jay</t>
        </is>
      </c>
      <c r="C103" s="42" t="inlineStr">
        <is>
          <t>Barker</t>
        </is>
      </c>
      <c r="D103" s="42" t="inlineStr">
        <is>
          <t>Barker, Jay</t>
        </is>
      </c>
      <c r="E103" s="43" t="n">
        <v>44991</v>
      </c>
      <c r="F103" s="42" t="inlineStr">
        <is>
          <t>Full-Time</t>
        </is>
      </c>
      <c r="G103" s="43" t="n">
        <v>44991</v>
      </c>
      <c r="H103" s="42" t="inlineStr">
        <is>
          <t>Datadog</t>
        </is>
      </c>
      <c r="I103" s="42" t="inlineStr">
        <is>
          <t>Engineering</t>
        </is>
      </c>
      <c r="J103" s="42" t="inlineStr">
        <is>
          <t>Boylston</t>
        </is>
      </c>
      <c r="K103" s="42" t="inlineStr">
        <is>
          <t>No</t>
        </is>
      </c>
      <c r="L103" s="42" t="inlineStr">
        <is>
          <t>200- Datadog:220- Engineering</t>
        </is>
      </c>
      <c r="M103" s="42" t="inlineStr">
        <is>
          <t>General &amp; Administrative:G&amp;A- Travel Expenses:</t>
        </is>
      </c>
      <c r="N103" s="42" t="inlineStr">
        <is>
          <t>General &amp; Administrative:G&amp;A- Personnel Expenses:</t>
        </is>
      </c>
      <c r="O103" s="44">
        <f>B103&amp;" "&amp;C103</f>
        <v/>
      </c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15.75" customHeight="1" s="52">
      <c r="A104" s="31" t="n">
        <v>103</v>
      </c>
      <c r="B104" s="42" t="inlineStr">
        <is>
          <t>Leslee</t>
        </is>
      </c>
      <c r="C104" s="42" t="inlineStr">
        <is>
          <t>Brady</t>
        </is>
      </c>
      <c r="D104" s="42" t="inlineStr">
        <is>
          <t>Brady, Leslee</t>
        </is>
      </c>
      <c r="E104" s="43" t="n">
        <v>44991</v>
      </c>
      <c r="F104" s="42" t="inlineStr">
        <is>
          <t>Full-Time</t>
        </is>
      </c>
      <c r="G104" s="43" t="n">
        <v>44991</v>
      </c>
      <c r="H104" s="42" t="inlineStr">
        <is>
          <t>Operations</t>
        </is>
      </c>
      <c r="I104" s="42" t="inlineStr">
        <is>
          <t>Marketing</t>
        </is>
      </c>
      <c r="J104" s="42" t="inlineStr">
        <is>
          <t>Remote</t>
        </is>
      </c>
      <c r="K104" s="42" t="inlineStr">
        <is>
          <t>No</t>
        </is>
      </c>
      <c r="L104" s="42" t="inlineStr">
        <is>
          <t>100- Operations:120- Marketing</t>
        </is>
      </c>
      <c r="M104" s="42" t="inlineStr">
        <is>
          <t>Sales &amp; Marketing:Sales &amp; Marketing- Travel Expenses:</t>
        </is>
      </c>
      <c r="N104" s="42" t="inlineStr">
        <is>
          <t>Sales &amp; Marketing:Sales &amp; Marketing- Personnel Expenses:</t>
        </is>
      </c>
      <c r="O104" s="44">
        <f>B104&amp;" "&amp;C104</f>
        <v/>
      </c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15.75" customHeight="1" s="52">
      <c r="A105" s="31" t="n">
        <v>104</v>
      </c>
      <c r="B105" s="42" t="inlineStr">
        <is>
          <t>Matthew</t>
        </is>
      </c>
      <c r="C105" s="42" t="inlineStr">
        <is>
          <t>Keyes</t>
        </is>
      </c>
      <c r="D105" s="42" t="inlineStr">
        <is>
          <t>Keyes, Matthew</t>
        </is>
      </c>
      <c r="E105" s="43" t="n">
        <v>45019</v>
      </c>
      <c r="F105" s="42" t="inlineStr">
        <is>
          <t>Terminated</t>
        </is>
      </c>
      <c r="G105" s="43" t="n">
        <v>45903</v>
      </c>
      <c r="H105" s="42" t="inlineStr">
        <is>
          <t>Datadog</t>
        </is>
      </c>
      <c r="I105" s="42" t="inlineStr">
        <is>
          <t>Sales</t>
        </is>
      </c>
      <c r="J105" s="42" t="inlineStr">
        <is>
          <t>Remote</t>
        </is>
      </c>
      <c r="K105" s="42" t="inlineStr">
        <is>
          <t>No</t>
        </is>
      </c>
      <c r="L105" s="42" t="inlineStr">
        <is>
          <t>200- Datadog:230- Sales</t>
        </is>
      </c>
      <c r="M105" s="42" t="inlineStr">
        <is>
          <t>Sales &amp; Marketing:Sales &amp; Marketing- Travel Expenses:</t>
        </is>
      </c>
      <c r="N105" s="42" t="inlineStr">
        <is>
          <t>General &amp; Administrative:G&amp;A- Personnel Expenses:</t>
        </is>
      </c>
      <c r="O105" s="44">
        <f>B105&amp;" "&amp;C105</f>
        <v/>
      </c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15.75" customHeight="1" s="52">
      <c r="A106" s="31" t="n">
        <v>105</v>
      </c>
      <c r="B106" s="42" t="inlineStr">
        <is>
          <t>Robert</t>
        </is>
      </c>
      <c r="C106" s="42" t="inlineStr">
        <is>
          <t>Kurahashi</t>
        </is>
      </c>
      <c r="D106" s="42" t="inlineStr">
        <is>
          <t>Kurahashi, Robert</t>
        </is>
      </c>
      <c r="E106" s="43" t="n">
        <v>45040</v>
      </c>
      <c r="F106" s="42" t="inlineStr">
        <is>
          <t>Terminated</t>
        </is>
      </c>
      <c r="G106" s="43" t="n">
        <v>45657</v>
      </c>
      <c r="H106" s="42" t="inlineStr">
        <is>
          <t>ServiceNow</t>
        </is>
      </c>
      <c r="I106" s="42" t="inlineStr">
        <is>
          <t>Sales</t>
        </is>
      </c>
      <c r="J106" s="42" t="inlineStr">
        <is>
          <t>Remote</t>
        </is>
      </c>
      <c r="K106" s="42" t="inlineStr">
        <is>
          <t>No</t>
        </is>
      </c>
      <c r="L106" s="42" t="inlineStr">
        <is>
          <t>300- ServiceNow:330- Sales</t>
        </is>
      </c>
      <c r="M106" s="42" t="inlineStr">
        <is>
          <t>Sales &amp; Marketing:Sales &amp; Marketing- Travel Expenses:</t>
        </is>
      </c>
      <c r="N106" s="42" t="inlineStr">
        <is>
          <t>Sales &amp; Marketing:Sales &amp; Marketing- Personnel Expenses:</t>
        </is>
      </c>
      <c r="O106" s="44">
        <f>B106&amp;" "&amp;C106</f>
        <v/>
      </c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15.75" customHeight="1" s="52">
      <c r="A107" s="31" t="n">
        <v>106</v>
      </c>
      <c r="B107" s="42" t="inlineStr">
        <is>
          <t>Veera Venkata Satya Varaprasada Rao</t>
        </is>
      </c>
      <c r="C107" s="42" t="inlineStr">
        <is>
          <t>Imandi</t>
        </is>
      </c>
      <c r="D107" s="42" t="inlineStr">
        <is>
          <t>Imandi, Veera Venkata Satya Varaprasada Rao</t>
        </is>
      </c>
      <c r="E107" s="43" t="n">
        <v>45044</v>
      </c>
      <c r="F107" s="42" t="inlineStr">
        <is>
          <t>Terminated</t>
        </is>
      </c>
      <c r="G107" s="43" t="n">
        <v>45247</v>
      </c>
      <c r="H107" s="42" t="inlineStr">
        <is>
          <t>Datadog</t>
        </is>
      </c>
      <c r="I107" s="42" t="inlineStr">
        <is>
          <t>Sales</t>
        </is>
      </c>
      <c r="J107" s="42" t="inlineStr">
        <is>
          <t>Boylston</t>
        </is>
      </c>
      <c r="K107" s="42" t="inlineStr">
        <is>
          <t>No</t>
        </is>
      </c>
      <c r="L107" s="42" t="inlineStr">
        <is>
          <t>200- Datadog:230- Sales</t>
        </is>
      </c>
      <c r="M107" s="42" t="inlineStr">
        <is>
          <t>Sales &amp; Marketing:Sales &amp; Marketing- Travel Expenses:</t>
        </is>
      </c>
      <c r="N107" s="42" t="inlineStr">
        <is>
          <t>General &amp; Administrative:G&amp;A- Personnel Expenses:</t>
        </is>
      </c>
      <c r="O107" s="44">
        <f>B107&amp;" "&amp;C107</f>
        <v/>
      </c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15.75" customHeight="1" s="52">
      <c r="A108" s="31" t="n">
        <v>107</v>
      </c>
      <c r="B108" s="42" t="inlineStr">
        <is>
          <t>Vincent</t>
        </is>
      </c>
      <c r="C108" s="42" t="inlineStr">
        <is>
          <t>Planz</t>
        </is>
      </c>
      <c r="D108" s="42" t="inlineStr">
        <is>
          <t>Planz, Vincent</t>
        </is>
      </c>
      <c r="E108" s="43" t="n">
        <v>45054</v>
      </c>
      <c r="F108" s="42" t="inlineStr">
        <is>
          <t>Full-Time</t>
        </is>
      </c>
      <c r="G108" s="43" t="n">
        <v>45054</v>
      </c>
      <c r="H108" s="42" t="inlineStr">
        <is>
          <t>Operations</t>
        </is>
      </c>
      <c r="I108" s="42" t="inlineStr">
        <is>
          <t>Finance</t>
        </is>
      </c>
      <c r="J108" s="42" t="inlineStr">
        <is>
          <t>Boylston</t>
        </is>
      </c>
      <c r="K108" s="42" t="inlineStr">
        <is>
          <t>No</t>
        </is>
      </c>
      <c r="L108" s="42" t="inlineStr">
        <is>
          <t>100- Operations:110- G&amp;A</t>
        </is>
      </c>
      <c r="M108" s="42" t="inlineStr">
        <is>
          <t>General &amp; Administrative:G&amp;A- Travel Expenses:</t>
        </is>
      </c>
      <c r="N108" s="42" t="inlineStr">
        <is>
          <t>General &amp; Administrative:G&amp;A- Personnel Expenses:</t>
        </is>
      </c>
      <c r="O108" s="44">
        <f>B108&amp;" "&amp;C108</f>
        <v/>
      </c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15.75" customHeight="1" s="52">
      <c r="A109" s="31" t="n">
        <v>109</v>
      </c>
      <c r="B109" s="42" t="inlineStr">
        <is>
          <t>Aaron</t>
        </is>
      </c>
      <c r="C109" s="42" t="inlineStr">
        <is>
          <t>Rhodes</t>
        </is>
      </c>
      <c r="D109" s="42" t="inlineStr">
        <is>
          <t>Rhodes, Aaron</t>
        </is>
      </c>
      <c r="E109" s="43" t="n">
        <v>45068</v>
      </c>
      <c r="F109" s="42" t="inlineStr">
        <is>
          <t>Full-Time</t>
        </is>
      </c>
      <c r="G109" s="43" t="n">
        <v>45068</v>
      </c>
      <c r="H109" s="42" t="inlineStr">
        <is>
          <t>Datadog</t>
        </is>
      </c>
      <c r="I109" s="42" t="inlineStr">
        <is>
          <t>Engineering</t>
        </is>
      </c>
      <c r="J109" s="42" t="inlineStr">
        <is>
          <t>Boylston</t>
        </is>
      </c>
      <c r="K109" s="42" t="inlineStr">
        <is>
          <t>Yes</t>
        </is>
      </c>
      <c r="L109" s="42" t="inlineStr">
        <is>
          <t>200- Datadog:220- Engineering</t>
        </is>
      </c>
      <c r="M109" s="42" t="inlineStr">
        <is>
          <t>Cost of Goods Sold:COGS- Travel Expenses:</t>
        </is>
      </c>
      <c r="N109" s="42" t="inlineStr">
        <is>
          <t>Cost of Goods Sold:COGS- Personnel Expense:</t>
        </is>
      </c>
      <c r="O109" s="44">
        <f>B109&amp;" "&amp;C109</f>
        <v/>
      </c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15.75" customHeight="1" s="52">
      <c r="A110" s="31" t="n">
        <v>110</v>
      </c>
      <c r="B110" s="42" t="inlineStr">
        <is>
          <t>Ana</t>
        </is>
      </c>
      <c r="C110" s="42" t="inlineStr">
        <is>
          <t>Baciu</t>
        </is>
      </c>
      <c r="D110" s="42" t="inlineStr">
        <is>
          <t>Baciu, Ana</t>
        </is>
      </c>
      <c r="E110" s="43" t="n">
        <v>44137</v>
      </c>
      <c r="F110" s="42" t="inlineStr">
        <is>
          <t>Full-Time</t>
        </is>
      </c>
      <c r="G110" s="43" t="n">
        <v>44137</v>
      </c>
      <c r="H110" s="42" t="inlineStr">
        <is>
          <t>ServiceNow</t>
        </is>
      </c>
      <c r="I110" s="42" t="inlineStr">
        <is>
          <t>Project Management</t>
        </is>
      </c>
      <c r="J110" s="42" t="inlineStr">
        <is>
          <t>Non-US</t>
        </is>
      </c>
      <c r="K110" s="42" t="inlineStr">
        <is>
          <t>Yes</t>
        </is>
      </c>
      <c r="L110" s="42" t="inlineStr">
        <is>
          <t>300- ServiceNow:310- Delivery</t>
        </is>
      </c>
      <c r="M110" s="42" t="inlineStr">
        <is>
          <t>Cost of Goods Sold:COGS- Travel Expenses:</t>
        </is>
      </c>
      <c r="N110" s="42" t="inlineStr">
        <is>
          <t>Cost of Goods Sold:COGS- Personnel Expense:</t>
        </is>
      </c>
      <c r="O110" s="44">
        <f>B110&amp;" "&amp;C110</f>
        <v/>
      </c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15.75" customHeight="1" s="52">
      <c r="A111" s="31" t="n">
        <v>111</v>
      </c>
      <c r="B111" s="42" t="inlineStr">
        <is>
          <t>Nikita</t>
        </is>
      </c>
      <c r="C111" s="42" t="inlineStr">
        <is>
          <t>Ashok</t>
        </is>
      </c>
      <c r="D111" s="42" t="inlineStr">
        <is>
          <t>Ashok, Nikita</t>
        </is>
      </c>
      <c r="E111" s="43" t="n">
        <v>44838</v>
      </c>
      <c r="F111" s="42" t="inlineStr">
        <is>
          <t>Full-Time</t>
        </is>
      </c>
      <c r="G111" s="43" t="n">
        <v>44838</v>
      </c>
      <c r="H111" s="42" t="inlineStr">
        <is>
          <t>Operations</t>
        </is>
      </c>
      <c r="I111" s="42" t="inlineStr">
        <is>
          <t>Marketing</t>
        </is>
      </c>
      <c r="J111" s="42" t="inlineStr">
        <is>
          <t>Non-US</t>
        </is>
      </c>
      <c r="K111" s="42" t="inlineStr">
        <is>
          <t>No</t>
        </is>
      </c>
      <c r="L111" s="42" t="inlineStr">
        <is>
          <t>100- Operations:120- Marketing</t>
        </is>
      </c>
      <c r="M111" s="42" t="inlineStr">
        <is>
          <t>Sales &amp; Marketing:Sales &amp; Marketing- Travel Expenses:</t>
        </is>
      </c>
      <c r="N111" s="42" t="inlineStr">
        <is>
          <t>Sales &amp; Marketing:Sales &amp; Marketing- Personnel Expenses:</t>
        </is>
      </c>
      <c r="O111" s="44">
        <f>B111&amp;" "&amp;C111</f>
        <v/>
      </c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15.75" customHeight="1" s="52">
      <c r="A112" s="31" t="n">
        <v>112</v>
      </c>
      <c r="B112" s="42" t="inlineStr">
        <is>
          <t>Richard</t>
        </is>
      </c>
      <c r="C112" s="42" t="inlineStr">
        <is>
          <t>Upshall</t>
        </is>
      </c>
      <c r="D112" s="42" t="inlineStr">
        <is>
          <t>Upshall, Richard</t>
        </is>
      </c>
      <c r="E112" s="43" t="n">
        <v>45040</v>
      </c>
      <c r="F112" s="42" t="inlineStr">
        <is>
          <t>Terminated</t>
        </is>
      </c>
      <c r="G112" s="43" t="n">
        <v>45884</v>
      </c>
      <c r="H112" s="42" t="inlineStr">
        <is>
          <t>Datadog</t>
        </is>
      </c>
      <c r="I112" s="42" t="inlineStr">
        <is>
          <t>Sales</t>
        </is>
      </c>
      <c r="J112" s="42" t="inlineStr">
        <is>
          <t>Non-US</t>
        </is>
      </c>
      <c r="K112" s="42" t="inlineStr">
        <is>
          <t>No</t>
        </is>
      </c>
      <c r="L112" s="42" t="inlineStr">
        <is>
          <t>200- Datadog:230- Sales</t>
        </is>
      </c>
      <c r="M112" s="42" t="inlineStr">
        <is>
          <t>Sales &amp; Marketing:Sales &amp; Marketing- Travel Expenses:</t>
        </is>
      </c>
      <c r="N112" s="42" t="inlineStr">
        <is>
          <t>General &amp; Administrative:G&amp;A- Personnel Expenses:</t>
        </is>
      </c>
      <c r="O112" s="44">
        <f>B112&amp;" "&amp;C112</f>
        <v/>
      </c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15.75" customHeight="1" s="52">
      <c r="A113" s="31" t="n">
        <v>113</v>
      </c>
      <c r="B113" s="42" t="inlineStr">
        <is>
          <t>Jonathan</t>
        </is>
      </c>
      <c r="C113" s="42" t="inlineStr">
        <is>
          <t>Lawer</t>
        </is>
      </c>
      <c r="D113" s="42" t="inlineStr">
        <is>
          <t>Lawer, Jonathan</t>
        </is>
      </c>
      <c r="E113" s="43" t="n">
        <v>45068</v>
      </c>
      <c r="F113" s="42" t="inlineStr">
        <is>
          <t>Terminated</t>
        </is>
      </c>
      <c r="G113" s="43" t="n">
        <v>45450</v>
      </c>
      <c r="H113" s="42" t="inlineStr">
        <is>
          <t>ServiceNow</t>
        </is>
      </c>
      <c r="I113" s="42" t="inlineStr">
        <is>
          <t>Sales</t>
        </is>
      </c>
      <c r="J113" s="42" t="inlineStr">
        <is>
          <t>Remote</t>
        </is>
      </c>
      <c r="K113" s="42" t="inlineStr">
        <is>
          <t>No</t>
        </is>
      </c>
      <c r="L113" s="42" t="inlineStr">
        <is>
          <t>300- ServiceNow:330- Sales</t>
        </is>
      </c>
      <c r="M113" s="42" t="inlineStr">
        <is>
          <t>Sales &amp; Marketing:Sales &amp; Marketing- Travel Expenses:</t>
        </is>
      </c>
      <c r="N113" s="42" t="inlineStr">
        <is>
          <t>Sales &amp; Marketing:Sales &amp; Marketing- Personnel Expenses:</t>
        </is>
      </c>
      <c r="O113" s="44">
        <f>B113&amp;" "&amp;C113</f>
        <v/>
      </c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15.75" customHeight="1" s="52">
      <c r="A114" s="31" t="n">
        <v>114</v>
      </c>
      <c r="B114" s="42" t="inlineStr">
        <is>
          <t>Stephen</t>
        </is>
      </c>
      <c r="C114" s="42" t="inlineStr">
        <is>
          <t>Pacini</t>
        </is>
      </c>
      <c r="D114" s="42" t="inlineStr">
        <is>
          <t>Pacini, Stephen</t>
        </is>
      </c>
      <c r="E114" s="43" t="n">
        <v>45089</v>
      </c>
      <c r="F114" s="42" t="inlineStr">
        <is>
          <t>Terminated</t>
        </is>
      </c>
      <c r="G114" s="43" t="n">
        <v>45184</v>
      </c>
      <c r="H114" s="42" t="inlineStr">
        <is>
          <t>Datadog</t>
        </is>
      </c>
      <c r="I114" s="42" t="inlineStr">
        <is>
          <t>Project Management</t>
        </is>
      </c>
      <c r="J114" s="42" t="inlineStr">
        <is>
          <t>Boylston</t>
        </is>
      </c>
      <c r="K114" s="42" t="inlineStr">
        <is>
          <t>Yes</t>
        </is>
      </c>
      <c r="L114" s="42" t="inlineStr">
        <is>
          <t>200- Datadog:210- Delivery</t>
        </is>
      </c>
      <c r="M114" s="42" t="inlineStr">
        <is>
          <t>Cost of Goods Sold:COGS- Travel Expenses:</t>
        </is>
      </c>
      <c r="N114" s="42" t="inlineStr">
        <is>
          <t>Cost of Goods Sold:COGS- Personnel Expense:</t>
        </is>
      </c>
      <c r="O114" s="44">
        <f>B114&amp;" "&amp;C114</f>
        <v/>
      </c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15.75" customHeight="1" s="52">
      <c r="A115" s="31" t="n">
        <v>115</v>
      </c>
      <c r="B115" s="42" t="inlineStr">
        <is>
          <t>Christopher</t>
        </is>
      </c>
      <c r="C115" s="42" t="inlineStr">
        <is>
          <t>Breiner</t>
        </is>
      </c>
      <c r="D115" s="42" t="inlineStr">
        <is>
          <t>Breiner, Christopher</t>
        </is>
      </c>
      <c r="E115" s="43" t="n">
        <v>45089</v>
      </c>
      <c r="F115" s="42" t="inlineStr">
        <is>
          <t>Terminated</t>
        </is>
      </c>
      <c r="G115" s="43" t="n">
        <v>45779</v>
      </c>
      <c r="H115" s="42" t="inlineStr">
        <is>
          <t>Datadog</t>
        </is>
      </c>
      <c r="I115" s="42" t="inlineStr">
        <is>
          <t>Sales</t>
        </is>
      </c>
      <c r="J115" s="42" t="inlineStr">
        <is>
          <t>Remote</t>
        </is>
      </c>
      <c r="K115" s="42" t="inlineStr">
        <is>
          <t>No</t>
        </is>
      </c>
      <c r="L115" s="42" t="inlineStr">
        <is>
          <t>200- Datadog:230- Sales</t>
        </is>
      </c>
      <c r="M115" s="42" t="inlineStr">
        <is>
          <t>Sales &amp; Marketing:Sales &amp; Marketing- Travel Expenses:</t>
        </is>
      </c>
      <c r="N115" s="42" t="inlineStr">
        <is>
          <t>General &amp; Administrative:G&amp;A- Personnel Expenses:</t>
        </is>
      </c>
      <c r="O115" s="44">
        <f>B115&amp;" "&amp;C115</f>
        <v/>
      </c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15.75" customHeight="1" s="52">
      <c r="A116" s="31" t="n">
        <v>116</v>
      </c>
      <c r="B116" s="42" t="inlineStr">
        <is>
          <t>William</t>
        </is>
      </c>
      <c r="C116" s="42" t="inlineStr">
        <is>
          <t>Watson</t>
        </is>
      </c>
      <c r="D116" s="42" t="inlineStr">
        <is>
          <t>Watson, Wallace</t>
        </is>
      </c>
      <c r="E116" s="43" t="n">
        <v>45082</v>
      </c>
      <c r="F116" s="42" t="inlineStr">
        <is>
          <t>Full-Time</t>
        </is>
      </c>
      <c r="G116" s="43" t="n">
        <v>45778</v>
      </c>
      <c r="H116" s="42" t="inlineStr">
        <is>
          <t>ServiceNow</t>
        </is>
      </c>
      <c r="I116" s="42" t="inlineStr">
        <is>
          <t>Engineering</t>
        </is>
      </c>
      <c r="J116" s="42" t="inlineStr">
        <is>
          <t>Non-US</t>
        </is>
      </c>
      <c r="K116" s="42" t="inlineStr">
        <is>
          <t>Yes</t>
        </is>
      </c>
      <c r="L116" s="42" t="inlineStr">
        <is>
          <t>300- ServiceNow:320- Engineering</t>
        </is>
      </c>
      <c r="M116" s="42" t="inlineStr">
        <is>
          <t>Cost of Goods Sold:COGS- Travel Expenses:</t>
        </is>
      </c>
      <c r="N116" s="42" t="inlineStr">
        <is>
          <t>Cost of Goods Sold:COGS- Personnel Expense:</t>
        </is>
      </c>
      <c r="O116" s="44">
        <f>B116&amp;" "&amp;C116</f>
        <v/>
      </c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15.75" customHeight="1" s="52">
      <c r="A117" s="31" t="n">
        <v>117</v>
      </c>
      <c r="B117" s="42" t="inlineStr">
        <is>
          <t>Rebecca</t>
        </is>
      </c>
      <c r="C117" s="42" t="inlineStr">
        <is>
          <t>Kelly</t>
        </is>
      </c>
      <c r="D117" s="42" t="inlineStr">
        <is>
          <t>Kelly, Rebecca</t>
        </is>
      </c>
      <c r="E117" s="43" t="n">
        <v>45097</v>
      </c>
      <c r="F117" s="42" t="inlineStr">
        <is>
          <t>Terminated</t>
        </is>
      </c>
      <c r="G117" s="43" t="n">
        <v>45506</v>
      </c>
      <c r="H117" s="42" t="inlineStr">
        <is>
          <t>Operations</t>
        </is>
      </c>
      <c r="I117" s="42" t="inlineStr">
        <is>
          <t>People Operations</t>
        </is>
      </c>
      <c r="J117" s="42" t="inlineStr">
        <is>
          <t>Boylston</t>
        </is>
      </c>
      <c r="K117" s="42" t="inlineStr">
        <is>
          <t>No</t>
        </is>
      </c>
      <c r="L117" s="42" t="inlineStr">
        <is>
          <t>100- Operations:110- G&amp;A</t>
        </is>
      </c>
      <c r="M117" s="42" t="inlineStr">
        <is>
          <t>General &amp; Administrative:G&amp;A- Travel Expenses:</t>
        </is>
      </c>
      <c r="N117" s="42" t="inlineStr">
        <is>
          <t>General &amp; Administrative:G&amp;A- Personnel Expenses:</t>
        </is>
      </c>
      <c r="O117" s="44">
        <f>B117&amp;" "&amp;C117</f>
        <v/>
      </c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15.75" customHeight="1" s="52">
      <c r="A118" s="31" t="n">
        <v>118</v>
      </c>
      <c r="B118" s="42" t="inlineStr">
        <is>
          <t>John</t>
        </is>
      </c>
      <c r="C118" s="42" t="inlineStr">
        <is>
          <t>Taylor</t>
        </is>
      </c>
      <c r="D118" s="42" t="inlineStr">
        <is>
          <t>Taylor, John</t>
        </is>
      </c>
      <c r="E118" s="43" t="n">
        <v>45107</v>
      </c>
      <c r="F118" s="42" t="inlineStr">
        <is>
          <t>Full-Time</t>
        </is>
      </c>
      <c r="G118" s="43" t="n">
        <v>45107</v>
      </c>
      <c r="H118" s="42" t="inlineStr">
        <is>
          <t>ServiceNow</t>
        </is>
      </c>
      <c r="I118" s="42" t="inlineStr">
        <is>
          <t>Sales</t>
        </is>
      </c>
      <c r="J118" s="42" t="inlineStr">
        <is>
          <t>Remote</t>
        </is>
      </c>
      <c r="K118" s="42" t="inlineStr">
        <is>
          <t>No</t>
        </is>
      </c>
      <c r="L118" s="42" t="inlineStr">
        <is>
          <t>300- ServiceNow:330- Sales</t>
        </is>
      </c>
      <c r="M118" s="42" t="inlineStr">
        <is>
          <t>Sales &amp; Marketing:Sales &amp; Marketing- Travel Expenses:</t>
        </is>
      </c>
      <c r="N118" s="42" t="inlineStr">
        <is>
          <t>Sales &amp; Marketing:Sales &amp; Marketing- Personnel Expenses:</t>
        </is>
      </c>
      <c r="O118" s="44">
        <f>B118&amp;" "&amp;C118</f>
        <v/>
      </c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15.75" customHeight="1" s="52">
      <c r="A119" s="31" t="n">
        <v>119</v>
      </c>
      <c r="B119" s="42" t="inlineStr">
        <is>
          <t>Hei Po</t>
        </is>
      </c>
      <c r="C119" s="42" t="inlineStr">
        <is>
          <t>Yiu</t>
        </is>
      </c>
      <c r="D119" s="42" t="inlineStr">
        <is>
          <t>Yiu, Hei Po</t>
        </is>
      </c>
      <c r="E119" s="43" t="n">
        <v>45131</v>
      </c>
      <c r="F119" s="42" t="inlineStr">
        <is>
          <t>Terminated</t>
        </is>
      </c>
      <c r="G119" s="43" t="n">
        <v>45657</v>
      </c>
      <c r="H119" s="42" t="inlineStr">
        <is>
          <t>Datadog</t>
        </is>
      </c>
      <c r="I119" s="42" t="inlineStr">
        <is>
          <t>Engineering</t>
        </is>
      </c>
      <c r="J119" s="42" t="inlineStr">
        <is>
          <t>Remote</t>
        </is>
      </c>
      <c r="K119" s="42" t="inlineStr">
        <is>
          <t>Yes</t>
        </is>
      </c>
      <c r="L119" s="42" t="inlineStr">
        <is>
          <t>200- Datadog:220- Engineering</t>
        </is>
      </c>
      <c r="M119" s="42" t="inlineStr">
        <is>
          <t>Cost of Goods Sold:COGS- Travel Expenses:</t>
        </is>
      </c>
      <c r="N119" s="42" t="inlineStr">
        <is>
          <t>Cost of Goods Sold:COGS- Personnel Expense:</t>
        </is>
      </c>
      <c r="O119" s="44">
        <f>B119&amp;" "&amp;C119</f>
        <v/>
      </c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15.75" customHeight="1" s="52">
      <c r="A120" s="31" t="n">
        <v>120</v>
      </c>
      <c r="B120" s="42" t="inlineStr">
        <is>
          <t>Jacob</t>
        </is>
      </c>
      <c r="C120" s="42" t="inlineStr">
        <is>
          <t>McKenna</t>
        </is>
      </c>
      <c r="D120" s="42" t="inlineStr">
        <is>
          <t>McKenna, Jacob</t>
        </is>
      </c>
      <c r="E120" s="43" t="n">
        <v>45145</v>
      </c>
      <c r="F120" s="42" t="inlineStr">
        <is>
          <t>Full-Time</t>
        </is>
      </c>
      <c r="G120" s="43" t="n">
        <v>45145</v>
      </c>
      <c r="H120" s="42" t="inlineStr">
        <is>
          <t>ServiceNow</t>
        </is>
      </c>
      <c r="I120" s="42" t="inlineStr">
        <is>
          <t>Engineering</t>
        </is>
      </c>
      <c r="J120" s="42" t="inlineStr">
        <is>
          <t>Remote</t>
        </is>
      </c>
      <c r="K120" s="42" t="inlineStr">
        <is>
          <t>Yes</t>
        </is>
      </c>
      <c r="L120" s="42" t="inlineStr">
        <is>
          <t>300- ServiceNow:320- Engineering</t>
        </is>
      </c>
      <c r="M120" s="42" t="inlineStr">
        <is>
          <t>Cost of Goods Sold:COGS- Travel Expenses:</t>
        </is>
      </c>
      <c r="N120" s="42" t="inlineStr">
        <is>
          <t>Cost of Goods Sold:COGS- Personnel Expense:</t>
        </is>
      </c>
      <c r="O120" s="44">
        <f>B120&amp;" "&amp;C120</f>
        <v/>
      </c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15.75" customHeight="1" s="52">
      <c r="A121" s="31" t="n">
        <v>121</v>
      </c>
      <c r="B121" s="42" t="inlineStr">
        <is>
          <t>Toni</t>
        </is>
      </c>
      <c r="C121" s="42" t="inlineStr">
        <is>
          <t>Manning</t>
        </is>
      </c>
      <c r="D121" s="42" t="inlineStr">
        <is>
          <t>Manning, Toni</t>
        </is>
      </c>
      <c r="E121" s="43" t="n">
        <v>45174</v>
      </c>
      <c r="F121" s="42" t="inlineStr">
        <is>
          <t>Full-Time</t>
        </is>
      </c>
      <c r="G121" s="43" t="n">
        <v>45173</v>
      </c>
      <c r="H121" s="42" t="inlineStr">
        <is>
          <t>Operations</t>
        </is>
      </c>
      <c r="I121" s="42" t="inlineStr">
        <is>
          <t>Marketing</t>
        </is>
      </c>
      <c r="J121" s="42" t="inlineStr">
        <is>
          <t>Non-US</t>
        </is>
      </c>
      <c r="K121" s="42" t="inlineStr">
        <is>
          <t>No</t>
        </is>
      </c>
      <c r="L121" s="42" t="inlineStr">
        <is>
          <t>100- Operations:120- Marketing</t>
        </is>
      </c>
      <c r="M121" s="42" t="inlineStr">
        <is>
          <t>Sales &amp; Marketing:Sales &amp; Marketing- Travel Expenses:</t>
        </is>
      </c>
      <c r="N121" s="42" t="inlineStr">
        <is>
          <t>Sales &amp; Marketing:Sales &amp; Marketing- Personnel Expenses:</t>
        </is>
      </c>
      <c r="O121" s="44">
        <f>B121&amp;" "&amp;C121</f>
        <v/>
      </c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15.75" customHeight="1" s="52">
      <c r="A122" s="31" t="n">
        <v>123</v>
      </c>
      <c r="B122" s="42" t="inlineStr">
        <is>
          <t>William</t>
        </is>
      </c>
      <c r="C122" s="42" t="inlineStr">
        <is>
          <t>Ledyard</t>
        </is>
      </c>
      <c r="D122" s="42" t="inlineStr">
        <is>
          <t>Ledyard, William</t>
        </is>
      </c>
      <c r="E122" s="43" t="n">
        <v>45162</v>
      </c>
      <c r="F122" s="42" t="inlineStr">
        <is>
          <t>Terminated</t>
        </is>
      </c>
      <c r="G122" s="43" t="n">
        <v>45506</v>
      </c>
      <c r="H122" s="42" t="inlineStr">
        <is>
          <t>ServiceNow</t>
        </is>
      </c>
      <c r="I122" s="42" t="inlineStr">
        <is>
          <t>Sales</t>
        </is>
      </c>
      <c r="J122" s="42" t="inlineStr">
        <is>
          <t>Remote</t>
        </is>
      </c>
      <c r="K122" s="42" t="inlineStr">
        <is>
          <t>No</t>
        </is>
      </c>
      <c r="L122" s="42" t="inlineStr">
        <is>
          <t>100- Operations:110- G&amp;A</t>
        </is>
      </c>
      <c r="M122" s="42" t="inlineStr">
        <is>
          <t>Sales &amp; Marketing:Sales &amp; Marketing- Travel Expenses:</t>
        </is>
      </c>
      <c r="N122" s="42" t="inlineStr">
        <is>
          <t>Sales &amp; Marketing:Sales &amp; Marketing- Personnel Expenses:</t>
        </is>
      </c>
      <c r="O122" s="44">
        <f>B122&amp;" "&amp;C122</f>
        <v/>
      </c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15.75" customHeight="1" s="52">
      <c r="A123" s="31" t="n">
        <v>124</v>
      </c>
      <c r="B123" s="42" t="inlineStr">
        <is>
          <t>Kirolous</t>
        </is>
      </c>
      <c r="C123" s="42" t="inlineStr">
        <is>
          <t>Shihataa</t>
        </is>
      </c>
      <c r="D123" s="42" t="inlineStr">
        <is>
          <t>Shihataa, Kirolous</t>
        </is>
      </c>
      <c r="E123" s="43" t="n">
        <v>45125</v>
      </c>
      <c r="F123" s="42" t="inlineStr">
        <is>
          <t>Full-Time</t>
        </is>
      </c>
      <c r="G123" s="43" t="n">
        <v>45125</v>
      </c>
      <c r="H123" s="42" t="inlineStr">
        <is>
          <t>ServiceNow</t>
        </is>
      </c>
      <c r="I123" s="42" t="inlineStr">
        <is>
          <t>Engineering</t>
        </is>
      </c>
      <c r="J123" s="42" t="inlineStr">
        <is>
          <t>Remote</t>
        </is>
      </c>
      <c r="K123" s="42" t="inlineStr">
        <is>
          <t>Yes</t>
        </is>
      </c>
      <c r="L123" s="42" t="inlineStr">
        <is>
          <t>300- ServiceNow:320- Engineering</t>
        </is>
      </c>
      <c r="M123" s="42" t="inlineStr">
        <is>
          <t>Cost of Goods Sold:COGS- Travel Expenses:</t>
        </is>
      </c>
      <c r="N123" s="42" t="inlineStr">
        <is>
          <t>Cost of Goods Sold:COGS- Personnel Expense:</t>
        </is>
      </c>
      <c r="O123" s="44">
        <f>B123&amp;" "&amp;C123</f>
        <v/>
      </c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15.75" customHeight="1" s="52">
      <c r="A124" s="31" t="n">
        <v>125</v>
      </c>
      <c r="B124" s="42" t="inlineStr">
        <is>
          <t>Robert</t>
        </is>
      </c>
      <c r="C124" s="42" t="inlineStr">
        <is>
          <t>Faria de Oliveira</t>
        </is>
      </c>
      <c r="D124" s="42" t="inlineStr">
        <is>
          <t>Faria de Oliveira, Robert</t>
        </is>
      </c>
      <c r="E124" s="43" t="n">
        <v>45138</v>
      </c>
      <c r="F124" s="42" t="inlineStr">
        <is>
          <t>Full-Time</t>
        </is>
      </c>
      <c r="G124" s="43" t="n">
        <v>45138</v>
      </c>
      <c r="H124" s="42" t="inlineStr">
        <is>
          <t>Datadog</t>
        </is>
      </c>
      <c r="I124" s="42" t="inlineStr">
        <is>
          <t>Engineering</t>
        </is>
      </c>
      <c r="J124" s="42" t="inlineStr">
        <is>
          <t>Remote</t>
        </is>
      </c>
      <c r="K124" s="42" t="inlineStr">
        <is>
          <t>Yes</t>
        </is>
      </c>
      <c r="L124" s="42" t="inlineStr">
        <is>
          <t>200- Datadog:220- Engineering</t>
        </is>
      </c>
      <c r="M124" s="42" t="inlineStr">
        <is>
          <t>Cost of Goods Sold:COGS- Travel Expenses:</t>
        </is>
      </c>
      <c r="N124" s="42" t="inlineStr">
        <is>
          <t>Cost of Goods Sold:COGS- Personnel Expense:</t>
        </is>
      </c>
      <c r="O124" s="44">
        <f>B124&amp;" "&amp;C124</f>
        <v/>
      </c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15.75" customHeight="1" s="52">
      <c r="A125" s="31" t="n">
        <v>126</v>
      </c>
      <c r="B125" s="42" t="inlineStr">
        <is>
          <t>Siddharth</t>
        </is>
      </c>
      <c r="C125" s="42" t="inlineStr">
        <is>
          <t>Nigam</t>
        </is>
      </c>
      <c r="D125" s="42" t="inlineStr">
        <is>
          <t>Nigam, Siddharth</t>
        </is>
      </c>
      <c r="E125" s="43" t="n">
        <v>45194</v>
      </c>
      <c r="F125" s="42" t="inlineStr">
        <is>
          <t>Terminated</t>
        </is>
      </c>
      <c r="G125" s="43" t="n">
        <v>45730</v>
      </c>
      <c r="H125" s="42" t="inlineStr">
        <is>
          <t>Datadog</t>
        </is>
      </c>
      <c r="I125" s="42" t="inlineStr">
        <is>
          <t>Engineering</t>
        </is>
      </c>
      <c r="J125" s="42" t="inlineStr">
        <is>
          <t>Boylston</t>
        </is>
      </c>
      <c r="K125" s="42" t="inlineStr">
        <is>
          <t>Yes</t>
        </is>
      </c>
      <c r="L125" s="42" t="inlineStr">
        <is>
          <t>200- Datadog:220- Engineering</t>
        </is>
      </c>
      <c r="M125" s="42" t="inlineStr">
        <is>
          <t>Cost of Goods Sold:COGS- Travel Expenses:</t>
        </is>
      </c>
      <c r="N125" s="42" t="inlineStr">
        <is>
          <t>Cost of Goods Sold:COGS- Personnel Expense:</t>
        </is>
      </c>
      <c r="O125" s="44">
        <f>B125&amp;" "&amp;C125</f>
        <v/>
      </c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15.75" customHeight="1" s="52">
      <c r="A126" s="31" t="n">
        <v>127</v>
      </c>
      <c r="B126" s="42" t="inlineStr">
        <is>
          <t>Rick</t>
        </is>
      </c>
      <c r="C126" s="42" t="inlineStr">
        <is>
          <t>Leonard</t>
        </is>
      </c>
      <c r="D126" s="42" t="inlineStr">
        <is>
          <t>Leonard, Rick</t>
        </is>
      </c>
      <c r="E126" s="43" t="n">
        <v>45174</v>
      </c>
      <c r="F126" s="42" t="inlineStr">
        <is>
          <t>Full-Time</t>
        </is>
      </c>
      <c r="G126" s="43" t="n">
        <v>45174</v>
      </c>
      <c r="H126" s="42" t="inlineStr">
        <is>
          <t>ServiceNow</t>
        </is>
      </c>
      <c r="I126" s="42" t="inlineStr">
        <is>
          <t>Sales</t>
        </is>
      </c>
      <c r="J126" s="42" t="inlineStr">
        <is>
          <t>Remote</t>
        </is>
      </c>
      <c r="K126" s="42" t="inlineStr">
        <is>
          <t>No</t>
        </is>
      </c>
      <c r="L126" s="42" t="inlineStr">
        <is>
          <t>300- ServiceNow:330- Sales</t>
        </is>
      </c>
      <c r="M126" s="42" t="inlineStr">
        <is>
          <t>Sales &amp; Marketing:Sales &amp; Marketing- Travel Expenses:</t>
        </is>
      </c>
      <c r="N126" s="42" t="inlineStr">
        <is>
          <t>Sales &amp; Marketing:Sales &amp; Marketing- Personnel Expenses:</t>
        </is>
      </c>
      <c r="O126" s="44">
        <f>B126&amp;" "&amp;C126</f>
        <v/>
      </c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15.75" customHeight="1" s="52">
      <c r="A127" s="31" t="n">
        <v>128</v>
      </c>
      <c r="B127" s="42" t="inlineStr">
        <is>
          <t>Yuan</t>
        </is>
      </c>
      <c r="C127" s="42" t="inlineStr">
        <is>
          <t>Wen</t>
        </is>
      </c>
      <c r="D127" s="42" t="inlineStr">
        <is>
          <t>Wen, Yuan</t>
        </is>
      </c>
      <c r="E127" s="43" t="n">
        <v>45152</v>
      </c>
      <c r="F127" s="42" t="inlineStr">
        <is>
          <t>Terminated</t>
        </is>
      </c>
      <c r="G127" s="43" t="n">
        <v>45406</v>
      </c>
      <c r="H127" s="42" t="inlineStr">
        <is>
          <t>Datadog</t>
        </is>
      </c>
      <c r="I127" s="42" t="inlineStr">
        <is>
          <t>Engineering</t>
        </is>
      </c>
      <c r="J127" s="42" t="inlineStr">
        <is>
          <t>Boylston</t>
        </is>
      </c>
      <c r="K127" s="42" t="inlineStr">
        <is>
          <t>Yes</t>
        </is>
      </c>
      <c r="L127" s="42" t="inlineStr">
        <is>
          <t>200- Datadog:220- Engineering</t>
        </is>
      </c>
      <c r="M127" s="42" t="inlineStr">
        <is>
          <t>Cost of Goods Sold:COGS- Travel Expenses:</t>
        </is>
      </c>
      <c r="N127" s="42" t="inlineStr">
        <is>
          <t>Cost of Goods Sold:COGS- Personnel Expense:</t>
        </is>
      </c>
      <c r="O127" s="44">
        <f>B127&amp;" "&amp;C127</f>
        <v/>
      </c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15.75" customHeight="1" s="52">
      <c r="A128" s="31" t="n">
        <v>129</v>
      </c>
      <c r="B128" s="42" t="inlineStr">
        <is>
          <t>Test4</t>
        </is>
      </c>
      <c r="C128" s="42" t="inlineStr">
        <is>
          <t>McTester</t>
        </is>
      </c>
      <c r="D128" s="42" t="inlineStr">
        <is>
          <t>McTester, Test4</t>
        </is>
      </c>
      <c r="E128" s="43" t="n">
        <v>45200</v>
      </c>
      <c r="F128" s="42" t="inlineStr">
        <is>
          <t>Terminated</t>
        </is>
      </c>
      <c r="G128" s="43" t="n">
        <v>45200</v>
      </c>
      <c r="H128" s="42" t="inlineStr">
        <is>
          <t>Operations</t>
        </is>
      </c>
      <c r="I128" s="42" t="inlineStr">
        <is>
          <t>Operations</t>
        </is>
      </c>
      <c r="J128" s="42" t="inlineStr">
        <is>
          <t>Boylston</t>
        </is>
      </c>
      <c r="K128" s="42" t="inlineStr">
        <is>
          <t>No</t>
        </is>
      </c>
      <c r="L128" s="42" t="inlineStr">
        <is>
          <t>100- Operations:110- G&amp;A</t>
        </is>
      </c>
      <c r="M128" s="42" t="inlineStr">
        <is>
          <t>General &amp; Administrative:G&amp;A- Travel Expenses:</t>
        </is>
      </c>
      <c r="N128" s="42" t="inlineStr">
        <is>
          <t>General &amp; Administrative:G&amp;A- Personnel Expenses:</t>
        </is>
      </c>
      <c r="O128" s="44">
        <f>B128&amp;" "&amp;C128</f>
        <v/>
      </c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15.75" customHeight="1" s="52">
      <c r="A129" s="31" t="n">
        <v>130</v>
      </c>
      <c r="B129" s="42" t="inlineStr">
        <is>
          <t>Michele</t>
        </is>
      </c>
      <c r="C129" s="42" t="inlineStr">
        <is>
          <t>Cox</t>
        </is>
      </c>
      <c r="D129" s="42" t="inlineStr">
        <is>
          <t>Cox, Michele</t>
        </is>
      </c>
      <c r="E129" s="43" t="n">
        <v>45194</v>
      </c>
      <c r="F129" s="42" t="inlineStr">
        <is>
          <t>Full-Time</t>
        </is>
      </c>
      <c r="G129" s="43" t="n">
        <v>45194</v>
      </c>
      <c r="H129" s="42" t="inlineStr">
        <is>
          <t>ServiceNow</t>
        </is>
      </c>
      <c r="I129" s="42" t="inlineStr">
        <is>
          <t>Project Management</t>
        </is>
      </c>
      <c r="J129" s="42" t="inlineStr">
        <is>
          <t>Boylston</t>
        </is>
      </c>
      <c r="K129" s="42" t="inlineStr">
        <is>
          <t>Yes</t>
        </is>
      </c>
      <c r="L129" s="42" t="inlineStr">
        <is>
          <t>300- ServiceNow:310- Delivery</t>
        </is>
      </c>
      <c r="M129" s="42" t="inlineStr">
        <is>
          <t>Cost of Goods Sold:COGS- Travel Expenses:</t>
        </is>
      </c>
      <c r="N129" s="42" t="inlineStr">
        <is>
          <t>Cost of Goods Sold:COGS- Personnel Expense:</t>
        </is>
      </c>
      <c r="O129" s="44">
        <f>B129&amp;" "&amp;C129</f>
        <v/>
      </c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15.75" customHeight="1" s="52">
      <c r="A130" s="31" t="n">
        <v>131</v>
      </c>
      <c r="B130" s="42" t="inlineStr">
        <is>
          <t>David</t>
        </is>
      </c>
      <c r="C130" s="42" t="inlineStr">
        <is>
          <t>Seney</t>
        </is>
      </c>
      <c r="D130" s="42" t="inlineStr">
        <is>
          <t>Seney, David</t>
        </is>
      </c>
      <c r="E130" s="43" t="n">
        <v>45201</v>
      </c>
      <c r="F130" s="42" t="inlineStr">
        <is>
          <t>Full-Time</t>
        </is>
      </c>
      <c r="G130" s="43" t="n">
        <v>45201</v>
      </c>
      <c r="H130" s="42" t="inlineStr">
        <is>
          <t>Datadog</t>
        </is>
      </c>
      <c r="I130" s="42" t="inlineStr">
        <is>
          <t>Project Management</t>
        </is>
      </c>
      <c r="J130" s="42" t="inlineStr">
        <is>
          <t>Boylston</t>
        </is>
      </c>
      <c r="K130" s="42" t="inlineStr">
        <is>
          <t>Yes</t>
        </is>
      </c>
      <c r="L130" s="42" t="inlineStr">
        <is>
          <t>200- Datadog:210- Delivery</t>
        </is>
      </c>
      <c r="M130" s="42" t="inlineStr">
        <is>
          <t>Cost of Goods Sold:COGS- Travel Expenses:</t>
        </is>
      </c>
      <c r="N130" s="42" t="inlineStr">
        <is>
          <t>Cost of Goods Sold:COGS- Personnel Expense:</t>
        </is>
      </c>
      <c r="O130" s="44">
        <f>B130&amp;" "&amp;C130</f>
        <v/>
      </c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15.75" customHeight="1" s="52">
      <c r="A131" s="31" t="n">
        <v>132</v>
      </c>
      <c r="B131" s="42" t="inlineStr">
        <is>
          <t>Scott</t>
        </is>
      </c>
      <c r="C131" s="42" t="inlineStr">
        <is>
          <t>Lane</t>
        </is>
      </c>
      <c r="D131" s="42" t="inlineStr">
        <is>
          <t>Lane, Scott</t>
        </is>
      </c>
      <c r="E131" s="43" t="n">
        <v>45200</v>
      </c>
      <c r="F131" s="42" t="inlineStr">
        <is>
          <t>Terminated</t>
        </is>
      </c>
      <c r="G131" s="43" t="n">
        <v>45383</v>
      </c>
      <c r="H131" s="42" t="inlineStr">
        <is>
          <t>ServiceNow</t>
        </is>
      </c>
      <c r="I131" s="42" t="inlineStr">
        <is>
          <t>Sales</t>
        </is>
      </c>
      <c r="J131" s="42" t="inlineStr">
        <is>
          <t>Remote</t>
        </is>
      </c>
      <c r="K131" s="42" t="inlineStr">
        <is>
          <t>No</t>
        </is>
      </c>
      <c r="L131" s="42" t="inlineStr">
        <is>
          <t>300- ServiceNow:330- Sales</t>
        </is>
      </c>
      <c r="M131" s="42" t="inlineStr">
        <is>
          <t>Sales &amp; Marketing:Sales &amp; Marketing- Travel Expenses:</t>
        </is>
      </c>
      <c r="N131" s="42" t="inlineStr">
        <is>
          <t>Sales &amp; Marketing:Sales &amp; Marketing- Personnel Expenses:</t>
        </is>
      </c>
      <c r="O131" s="44">
        <f>B131&amp;" "&amp;C131</f>
        <v/>
      </c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15.75" customHeight="1" s="52">
      <c r="A132" s="31" t="n">
        <v>133</v>
      </c>
      <c r="B132" s="42" t="inlineStr">
        <is>
          <t>Ayla</t>
        </is>
      </c>
      <c r="C132" s="42" t="inlineStr">
        <is>
          <t>Hourani</t>
        </is>
      </c>
      <c r="D132" s="42" t="inlineStr">
        <is>
          <t>Hourani, Ayla</t>
        </is>
      </c>
      <c r="E132" s="43" t="n">
        <v>44927</v>
      </c>
      <c r="F132" s="42" t="inlineStr">
        <is>
          <t>Contractor/Consultant</t>
        </is>
      </c>
      <c r="G132" s="43" t="n">
        <v>45596</v>
      </c>
      <c r="H132" s="42" t="inlineStr">
        <is>
          <t>Operations</t>
        </is>
      </c>
      <c r="I132" s="42" t="inlineStr">
        <is>
          <t>Marketing</t>
        </is>
      </c>
      <c r="J132" s="42" t="inlineStr">
        <is>
          <t>Non-US</t>
        </is>
      </c>
      <c r="K132" s="42" t="inlineStr">
        <is>
          <t>No</t>
        </is>
      </c>
      <c r="L132" s="42" t="inlineStr">
        <is>
          <t>100- Operations:120- Marketing</t>
        </is>
      </c>
      <c r="M132" s="42" t="inlineStr">
        <is>
          <t>Sales &amp; Marketing:Sales &amp; Marketing- Travel Expenses:</t>
        </is>
      </c>
      <c r="N132" s="42" t="inlineStr">
        <is>
          <t>Sales &amp; Marketing:Sales &amp; Marketing- Personnel Expenses:</t>
        </is>
      </c>
      <c r="O132" s="44">
        <f>B132&amp;" "&amp;C132</f>
        <v/>
      </c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15.75" customHeight="1" s="52">
      <c r="A133" s="31" t="n">
        <v>134</v>
      </c>
      <c r="B133" s="42" t="inlineStr">
        <is>
          <t>Scott</t>
        </is>
      </c>
      <c r="C133" s="42" t="inlineStr">
        <is>
          <t>Essler</t>
        </is>
      </c>
      <c r="D133" s="42" t="inlineStr">
        <is>
          <t>Essler, Scott</t>
        </is>
      </c>
      <c r="E133" s="43" t="n">
        <v>45201</v>
      </c>
      <c r="F133" s="42" t="inlineStr">
        <is>
          <t>Full-Time</t>
        </is>
      </c>
      <c r="G133" s="43" t="n">
        <v>45201</v>
      </c>
      <c r="H133" s="42" t="inlineStr">
        <is>
          <t>Datadog</t>
        </is>
      </c>
      <c r="I133" s="42" t="inlineStr">
        <is>
          <t>Sales</t>
        </is>
      </c>
      <c r="J133" s="42" t="inlineStr">
        <is>
          <t>Boylston</t>
        </is>
      </c>
      <c r="K133" s="42" t="inlineStr">
        <is>
          <t>No</t>
        </is>
      </c>
      <c r="L133" s="42" t="inlineStr">
        <is>
          <t>200- Datadog:230- Sales</t>
        </is>
      </c>
      <c r="M133" s="42" t="inlineStr">
        <is>
          <t>Sales &amp; Marketing:Sales &amp; Marketing- Travel Expenses:</t>
        </is>
      </c>
      <c r="N133" s="42" t="inlineStr">
        <is>
          <t>General &amp; Administrative:G&amp;A- Personnel Expenses:</t>
        </is>
      </c>
      <c r="O133" s="44">
        <f>B133&amp;" "&amp;C133</f>
        <v/>
      </c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15.75" customHeight="1" s="52">
      <c r="A134" s="31" t="n">
        <v>135</v>
      </c>
      <c r="B134" s="42" t="inlineStr">
        <is>
          <t>Andrew</t>
        </is>
      </c>
      <c r="C134" s="42" t="inlineStr">
        <is>
          <t>Bissel</t>
        </is>
      </c>
      <c r="D134" s="42" t="inlineStr">
        <is>
          <t>Bissel, Andrew</t>
        </is>
      </c>
      <c r="E134" s="43" t="n">
        <v>45209</v>
      </c>
      <c r="F134" s="42" t="inlineStr">
        <is>
          <t>Full-Time</t>
        </is>
      </c>
      <c r="G134" s="43" t="n">
        <v>45209</v>
      </c>
      <c r="H134" s="42" t="inlineStr">
        <is>
          <t>Datadog</t>
        </is>
      </c>
      <c r="I134" s="42" t="inlineStr">
        <is>
          <t>Engineering</t>
        </is>
      </c>
      <c r="J134" s="42" t="inlineStr">
        <is>
          <t>Boylston</t>
        </is>
      </c>
      <c r="K134" s="42" t="inlineStr">
        <is>
          <t>Yes</t>
        </is>
      </c>
      <c r="L134" s="42" t="inlineStr">
        <is>
          <t>200- Datadog:220- Engineering</t>
        </is>
      </c>
      <c r="M134" s="42" t="inlineStr">
        <is>
          <t>Cost of Goods Sold:COGS- Travel Expenses:</t>
        </is>
      </c>
      <c r="N134" s="42" t="inlineStr">
        <is>
          <t>Cost of Goods Sold:COGS- Personnel Expense:</t>
        </is>
      </c>
      <c r="O134" s="44">
        <f>B134&amp;" "&amp;C134</f>
        <v/>
      </c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15.75" customHeight="1" s="52">
      <c r="A135" s="31" t="n">
        <v>136</v>
      </c>
      <c r="B135" s="42" t="inlineStr">
        <is>
          <t>Sarah</t>
        </is>
      </c>
      <c r="C135" s="42" t="inlineStr">
        <is>
          <t>Hanlon</t>
        </is>
      </c>
      <c r="D135" s="42" t="inlineStr">
        <is>
          <t>Hanlon, Sarah</t>
        </is>
      </c>
      <c r="E135" s="43" t="n">
        <v>45047</v>
      </c>
      <c r="F135" s="42" t="inlineStr">
        <is>
          <t>Terminated</t>
        </is>
      </c>
      <c r="G135" s="43" t="n">
        <v>45169</v>
      </c>
      <c r="H135" s="42" t="inlineStr">
        <is>
          <t>Operations</t>
        </is>
      </c>
      <c r="I135" s="42" t="inlineStr">
        <is>
          <t>People Operations</t>
        </is>
      </c>
      <c r="J135" s="42" t="inlineStr">
        <is>
          <t>Boylston</t>
        </is>
      </c>
      <c r="K135" s="42" t="inlineStr">
        <is>
          <t>No</t>
        </is>
      </c>
      <c r="L135" s="42" t="inlineStr">
        <is>
          <t>100- Operations:110- G&amp;A</t>
        </is>
      </c>
      <c r="M135" s="42" t="inlineStr">
        <is>
          <t>General &amp; Administrative:G&amp;A- Travel Expenses:</t>
        </is>
      </c>
      <c r="N135" s="42" t="inlineStr">
        <is>
          <t>General &amp; Administrative:G&amp;A- Personnel Expenses:</t>
        </is>
      </c>
      <c r="O135" s="44">
        <f>B135&amp;" "&amp;C135</f>
        <v/>
      </c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15.75" customHeight="1" s="52">
      <c r="A136" s="31" t="n">
        <v>137</v>
      </c>
      <c r="B136" s="42" t="inlineStr">
        <is>
          <t>Patrick</t>
        </is>
      </c>
      <c r="C136" s="42" t="inlineStr">
        <is>
          <t>Donovan</t>
        </is>
      </c>
      <c r="D136" s="42" t="inlineStr">
        <is>
          <t>Donovan, Patrick</t>
        </is>
      </c>
      <c r="E136" s="43" t="n">
        <v>45229</v>
      </c>
      <c r="F136" s="42" t="inlineStr">
        <is>
          <t>Full-Time</t>
        </is>
      </c>
      <c r="G136" s="43" t="n">
        <v>45229</v>
      </c>
      <c r="H136" s="42" t="inlineStr">
        <is>
          <t>Datadog</t>
        </is>
      </c>
      <c r="I136" s="42" t="inlineStr">
        <is>
          <t>Project Management</t>
        </is>
      </c>
      <c r="J136" s="42" t="inlineStr">
        <is>
          <t>Boylston</t>
        </is>
      </c>
      <c r="K136" s="42" t="inlineStr">
        <is>
          <t>Yes</t>
        </is>
      </c>
      <c r="L136" s="42" t="inlineStr">
        <is>
          <t>200- Datadog:210- Delivery</t>
        </is>
      </c>
      <c r="M136" s="42" t="inlineStr">
        <is>
          <t>Cost of Goods Sold:COGS- Travel Expenses:</t>
        </is>
      </c>
      <c r="N136" s="42" t="inlineStr">
        <is>
          <t>Cost of Goods Sold:COGS- Personnel Expense:</t>
        </is>
      </c>
      <c r="O136" s="44">
        <f>B136&amp;" "&amp;C136</f>
        <v/>
      </c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15.75" customHeight="1" s="52">
      <c r="A137" s="31" t="n">
        <v>138</v>
      </c>
      <c r="B137" s="42" t="inlineStr">
        <is>
          <t>Ryan</t>
        </is>
      </c>
      <c r="C137" s="42" t="inlineStr">
        <is>
          <t>Peirce</t>
        </is>
      </c>
      <c r="D137" s="42" t="inlineStr">
        <is>
          <t>Peirce, Ryan</t>
        </is>
      </c>
      <c r="E137" s="43" t="n">
        <v>45250</v>
      </c>
      <c r="F137" s="42" t="inlineStr">
        <is>
          <t>Terminated</t>
        </is>
      </c>
      <c r="G137" s="43" t="n">
        <v>45464</v>
      </c>
      <c r="H137" s="42" t="inlineStr">
        <is>
          <t>Datadog</t>
        </is>
      </c>
      <c r="I137" s="42" t="inlineStr">
        <is>
          <t>Sales</t>
        </is>
      </c>
      <c r="J137" s="42" t="inlineStr">
        <is>
          <t>Remote</t>
        </is>
      </c>
      <c r="K137" s="42" t="inlineStr">
        <is>
          <t>No</t>
        </is>
      </c>
      <c r="L137" s="42" t="inlineStr">
        <is>
          <t>200- Datadog:230- Sales</t>
        </is>
      </c>
      <c r="M137" s="42" t="inlineStr">
        <is>
          <t>Sales &amp; Marketing:Sales &amp; Marketing- Travel Expenses:</t>
        </is>
      </c>
      <c r="N137" s="42" t="inlineStr">
        <is>
          <t>General &amp; Administrative:G&amp;A- Personnel Expenses:</t>
        </is>
      </c>
      <c r="O137" s="44">
        <f>B137&amp;" "&amp;C137</f>
        <v/>
      </c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15.75" customHeight="1" s="52">
      <c r="A138" s="31" t="n">
        <v>140</v>
      </c>
      <c r="B138" s="42" t="inlineStr">
        <is>
          <t>Ronald</t>
        </is>
      </c>
      <c r="C138" s="42" t="inlineStr">
        <is>
          <t>Pruitt</t>
        </is>
      </c>
      <c r="D138" s="42" t="inlineStr">
        <is>
          <t>Pruitt, Ronald</t>
        </is>
      </c>
      <c r="E138" s="43" t="n">
        <v>45307</v>
      </c>
      <c r="F138" s="42" t="inlineStr">
        <is>
          <t>Terminated</t>
        </is>
      </c>
      <c r="G138" s="43" t="n">
        <v>45863</v>
      </c>
      <c r="H138" s="42" t="inlineStr">
        <is>
          <t>Datadog</t>
        </is>
      </c>
      <c r="I138" s="42" t="inlineStr">
        <is>
          <t>Sales</t>
        </is>
      </c>
      <c r="J138" s="42" t="inlineStr">
        <is>
          <t>Boylston</t>
        </is>
      </c>
      <c r="K138" s="42" t="inlineStr">
        <is>
          <t>No</t>
        </is>
      </c>
      <c r="L138" s="42" t="inlineStr">
        <is>
          <t>200- Datadog:230- Sales</t>
        </is>
      </c>
      <c r="M138" s="42" t="inlineStr">
        <is>
          <t>Sales &amp; Marketing:Sales &amp; Marketing- Travel Expenses:</t>
        </is>
      </c>
      <c r="N138" s="42" t="inlineStr">
        <is>
          <t>General &amp; Administrative:G&amp;A- Personnel Expenses:</t>
        </is>
      </c>
      <c r="O138" s="44">
        <f>B138&amp;" "&amp;C138</f>
        <v/>
      </c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15.75" customHeight="1" s="52">
      <c r="A139" s="31" t="n">
        <v>141</v>
      </c>
      <c r="B139" s="42" t="inlineStr">
        <is>
          <t>Daniel</t>
        </is>
      </c>
      <c r="C139" s="42" t="inlineStr">
        <is>
          <t>Mooney</t>
        </is>
      </c>
      <c r="D139" s="42" t="inlineStr">
        <is>
          <t>Mooney, Daniel</t>
        </is>
      </c>
      <c r="E139" s="43" t="n">
        <v>45299</v>
      </c>
      <c r="F139" s="42" t="inlineStr">
        <is>
          <t>Full-Time</t>
        </is>
      </c>
      <c r="G139" s="43" t="n">
        <v>45299</v>
      </c>
      <c r="H139" s="42" t="inlineStr">
        <is>
          <t>ServiceNow</t>
        </is>
      </c>
      <c r="I139" s="42" t="inlineStr">
        <is>
          <t>Sales</t>
        </is>
      </c>
      <c r="J139" s="42" t="inlineStr">
        <is>
          <t>Non-US</t>
        </is>
      </c>
      <c r="K139" s="42" t="inlineStr">
        <is>
          <t>No</t>
        </is>
      </c>
      <c r="L139" s="42" t="inlineStr">
        <is>
          <t>300- ServiceNow:330- Sales</t>
        </is>
      </c>
      <c r="M139" s="42" t="inlineStr">
        <is>
          <t>Sales &amp; Marketing:Sales &amp; Marketing- Travel Expenses:</t>
        </is>
      </c>
      <c r="N139" s="42" t="inlineStr">
        <is>
          <t>Sales &amp; Marketing:Sales &amp; Marketing- Personnel Expenses:</t>
        </is>
      </c>
      <c r="O139" s="44">
        <f>B139&amp;" "&amp;C139</f>
        <v/>
      </c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15.75" customHeight="1" s="52">
      <c r="A140" s="31" t="n">
        <v>142</v>
      </c>
      <c r="B140" s="42" t="inlineStr">
        <is>
          <t>Bekim</t>
        </is>
      </c>
      <c r="C140" s="42" t="inlineStr">
        <is>
          <t>Protopapa</t>
        </is>
      </c>
      <c r="D140" s="42" t="inlineStr">
        <is>
          <t>Protopapa, Bekim</t>
        </is>
      </c>
      <c r="E140" s="43" t="n">
        <v>45348</v>
      </c>
      <c r="F140" s="42" t="inlineStr">
        <is>
          <t>Terminated</t>
        </is>
      </c>
      <c r="G140" s="43" t="n">
        <v>45562</v>
      </c>
      <c r="H140" s="42" t="inlineStr">
        <is>
          <t>Datadog</t>
        </is>
      </c>
      <c r="I140" s="42" t="inlineStr">
        <is>
          <t>Sales</t>
        </is>
      </c>
      <c r="J140" s="42" t="inlineStr">
        <is>
          <t>Boylston</t>
        </is>
      </c>
      <c r="K140" s="42" t="inlineStr">
        <is>
          <t>No</t>
        </is>
      </c>
      <c r="L140" s="42" t="inlineStr">
        <is>
          <t>200- Datadog:230- Sales</t>
        </is>
      </c>
      <c r="M140" s="42" t="inlineStr">
        <is>
          <t>Sales &amp; Marketing:Sales &amp; Marketing- Travel Expenses:</t>
        </is>
      </c>
      <c r="N140" s="42" t="inlineStr">
        <is>
          <t>General &amp; Administrative:G&amp;A- Personnel Expenses:</t>
        </is>
      </c>
      <c r="O140" s="44">
        <f>B140&amp;" "&amp;C140</f>
        <v/>
      </c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15.75" customHeight="1" s="52">
      <c r="A141" s="31" t="n">
        <v>143</v>
      </c>
      <c r="B141" s="42" t="inlineStr">
        <is>
          <t>Jackson</t>
        </is>
      </c>
      <c r="C141" s="42" t="inlineStr">
        <is>
          <t>Donahoe</t>
        </is>
      </c>
      <c r="D141" s="42" t="inlineStr">
        <is>
          <t>Donahoe, Jackson</t>
        </is>
      </c>
      <c r="E141" s="43" t="n">
        <v>45425</v>
      </c>
      <c r="F141" s="42" t="inlineStr">
        <is>
          <t>Full-Time</t>
        </is>
      </c>
      <c r="G141" s="43" t="n">
        <v>45810</v>
      </c>
      <c r="H141" s="42" t="inlineStr">
        <is>
          <t>Datadog</t>
        </is>
      </c>
      <c r="I141" s="42" t="inlineStr">
        <is>
          <t>Sales</t>
        </is>
      </c>
      <c r="J141" s="42" t="inlineStr">
        <is>
          <t>Boylston</t>
        </is>
      </c>
      <c r="K141" s="42" t="inlineStr">
        <is>
          <t>No</t>
        </is>
      </c>
      <c r="L141" s="42" t="inlineStr">
        <is>
          <t>200- Datadog:230- Sales</t>
        </is>
      </c>
      <c r="M141" s="42" t="inlineStr">
        <is>
          <t>Sales &amp; Marketing:Sales &amp; Marketing- Travel Expenses:</t>
        </is>
      </c>
      <c r="N141" s="42" t="inlineStr">
        <is>
          <t>General &amp; Administrative:G&amp;A- Personnel Expenses:</t>
        </is>
      </c>
      <c r="O141" s="44">
        <f>B141&amp;" "&amp;C141</f>
        <v/>
      </c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15.75" customHeight="1" s="52">
      <c r="A142" s="31" t="n">
        <v>144</v>
      </c>
      <c r="B142" s="42" t="inlineStr">
        <is>
          <t>Karalyn</t>
        </is>
      </c>
      <c r="C142" s="42" t="inlineStr">
        <is>
          <t>Sims</t>
        </is>
      </c>
      <c r="D142" s="42" t="inlineStr">
        <is>
          <t>Sims, Karalyn</t>
        </is>
      </c>
      <c r="E142" s="43" t="n">
        <v>45425</v>
      </c>
      <c r="F142" s="42" t="inlineStr">
        <is>
          <t>Full-Time</t>
        </is>
      </c>
      <c r="G142" s="43" t="n">
        <v>45425</v>
      </c>
      <c r="H142" s="42" t="inlineStr">
        <is>
          <t>Operations</t>
        </is>
      </c>
      <c r="I142" s="42" t="inlineStr">
        <is>
          <t>Marketing</t>
        </is>
      </c>
      <c r="J142" s="42" t="inlineStr">
        <is>
          <t>Boylston</t>
        </is>
      </c>
      <c r="K142" s="42" t="inlineStr">
        <is>
          <t>No</t>
        </is>
      </c>
      <c r="L142" s="42" t="inlineStr">
        <is>
          <t>100- Operations:120- Marketing</t>
        </is>
      </c>
      <c r="M142" s="42" t="inlineStr">
        <is>
          <t>Sales &amp; Marketing:Sales &amp; Marketing- Travel Expenses:</t>
        </is>
      </c>
      <c r="N142" s="42" t="inlineStr">
        <is>
          <t>Sales &amp; Marketing:Sales &amp; Marketing- Personnel Expenses:</t>
        </is>
      </c>
      <c r="O142" s="44">
        <f>B142&amp;" "&amp;C142</f>
        <v/>
      </c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15.75" customHeight="1" s="52">
      <c r="A143" s="31" t="n">
        <v>145</v>
      </c>
      <c r="B143" s="42" t="inlineStr">
        <is>
          <t>Todd</t>
        </is>
      </c>
      <c r="C143" s="42" t="inlineStr">
        <is>
          <t>Rizley</t>
        </is>
      </c>
      <c r="D143" s="42" t="inlineStr">
        <is>
          <t>Rizley, Todd</t>
        </is>
      </c>
      <c r="E143" s="43" t="n">
        <v>45440</v>
      </c>
      <c r="F143" s="42" t="inlineStr">
        <is>
          <t>Terminated</t>
        </is>
      </c>
      <c r="G143" s="43" t="n">
        <v>45709</v>
      </c>
      <c r="H143" s="42" t="inlineStr">
        <is>
          <t>Datadog</t>
        </is>
      </c>
      <c r="I143" s="42" t="inlineStr">
        <is>
          <t>Sales</t>
        </is>
      </c>
      <c r="J143" s="42" t="inlineStr">
        <is>
          <t>Remote</t>
        </is>
      </c>
      <c r="K143" s="42" t="inlineStr">
        <is>
          <t>No</t>
        </is>
      </c>
      <c r="L143" s="42" t="inlineStr">
        <is>
          <t>200- Datadog:230- Sales</t>
        </is>
      </c>
      <c r="M143" s="42" t="inlineStr">
        <is>
          <t>Sales &amp; Marketing:Sales &amp; Marketing- Travel Expenses:</t>
        </is>
      </c>
      <c r="N143" s="42" t="inlineStr">
        <is>
          <t>General &amp; Administrative:G&amp;A- Personnel Expenses:</t>
        </is>
      </c>
      <c r="O143" s="44">
        <f>B143&amp;" "&amp;C143</f>
        <v/>
      </c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15.75" customHeight="1" s="52">
      <c r="A144" s="31" t="n">
        <v>146</v>
      </c>
      <c r="B144" s="42" t="inlineStr">
        <is>
          <t>Ryan</t>
        </is>
      </c>
      <c r="C144" s="42" t="inlineStr">
        <is>
          <t>McStravick</t>
        </is>
      </c>
      <c r="D144" s="42" t="inlineStr">
        <is>
          <t>McStravick, Ryan</t>
        </is>
      </c>
      <c r="E144" s="43" t="n">
        <v>45446</v>
      </c>
      <c r="F144" s="42" t="inlineStr">
        <is>
          <t>Full-Time</t>
        </is>
      </c>
      <c r="G144" s="43" t="n">
        <v>45446</v>
      </c>
      <c r="H144" s="42" t="inlineStr">
        <is>
          <t>ServiceNow</t>
        </is>
      </c>
      <c r="I144" s="42" t="inlineStr">
        <is>
          <t>Engineering</t>
        </is>
      </c>
      <c r="J144" s="42" t="inlineStr">
        <is>
          <t>Remote</t>
        </is>
      </c>
      <c r="K144" s="42" t="inlineStr">
        <is>
          <t>Yes</t>
        </is>
      </c>
      <c r="L144" s="42" t="inlineStr">
        <is>
          <t>300- ServiceNow:320- Engineering</t>
        </is>
      </c>
      <c r="M144" s="42" t="inlineStr">
        <is>
          <t>Cost of Goods Sold:COGS- Travel Expenses:</t>
        </is>
      </c>
      <c r="N144" s="42" t="inlineStr">
        <is>
          <t>Cost of Goods Sold:COGS- Personnel Expense:</t>
        </is>
      </c>
      <c r="O144" s="44">
        <f>B144&amp;" "&amp;C144</f>
        <v/>
      </c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15.75" customHeight="1" s="52">
      <c r="A145" s="31" t="n">
        <v>147</v>
      </c>
      <c r="B145" s="42" t="inlineStr">
        <is>
          <t>Allison</t>
        </is>
      </c>
      <c r="C145" s="42" t="inlineStr">
        <is>
          <t>Schwenn</t>
        </is>
      </c>
      <c r="D145" s="42" t="inlineStr">
        <is>
          <t>Schwenn, Allison</t>
        </is>
      </c>
      <c r="E145" s="43" t="n">
        <v>45443</v>
      </c>
      <c r="F145" s="42" t="inlineStr">
        <is>
          <t>Full-Time</t>
        </is>
      </c>
      <c r="G145" s="43" t="n">
        <v>45443</v>
      </c>
      <c r="H145" s="42" t="inlineStr">
        <is>
          <t>Operations</t>
        </is>
      </c>
      <c r="I145" s="42" t="inlineStr">
        <is>
          <t>Admin</t>
        </is>
      </c>
      <c r="J145" s="42" t="inlineStr">
        <is>
          <t>Boylston</t>
        </is>
      </c>
      <c r="K145" s="42" t="inlineStr">
        <is>
          <t>No</t>
        </is>
      </c>
      <c r="L145" s="42" t="inlineStr">
        <is>
          <t>100- Operations:110- G&amp;A</t>
        </is>
      </c>
      <c r="M145" s="42" t="inlineStr">
        <is>
          <t>General &amp; Administrative:G&amp;A- Travel Expenses:</t>
        </is>
      </c>
      <c r="N145" s="42" t="inlineStr">
        <is>
          <t>General &amp; Administrative:G&amp;A- Personnel Expenses:</t>
        </is>
      </c>
      <c r="O145" s="44">
        <f>B145&amp;" "&amp;C145</f>
        <v/>
      </c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15.75" customHeight="1" s="52">
      <c r="A146" s="31" t="n">
        <v>148</v>
      </c>
      <c r="B146" s="42" t="inlineStr">
        <is>
          <t>Gary</t>
        </is>
      </c>
      <c r="C146" s="42" t="inlineStr">
        <is>
          <t>Passaglia</t>
        </is>
      </c>
      <c r="D146" s="42" t="inlineStr">
        <is>
          <t>Passaglia, Gary</t>
        </is>
      </c>
      <c r="E146" s="43" t="n">
        <v>45460</v>
      </c>
      <c r="F146" s="42" t="inlineStr">
        <is>
          <t>Full-Time</t>
        </is>
      </c>
      <c r="G146" s="43" t="n">
        <v>45460</v>
      </c>
      <c r="H146" s="42" t="inlineStr">
        <is>
          <t>ServiceNow</t>
        </is>
      </c>
      <c r="I146" s="42" t="inlineStr">
        <is>
          <t>Sales</t>
        </is>
      </c>
      <c r="J146" s="42" t="inlineStr">
        <is>
          <t>Remote</t>
        </is>
      </c>
      <c r="K146" s="42" t="inlineStr">
        <is>
          <t>No</t>
        </is>
      </c>
      <c r="L146" s="42" t="inlineStr">
        <is>
          <t>300- ServiceNow:330- Sales</t>
        </is>
      </c>
      <c r="M146" s="42" t="inlineStr">
        <is>
          <t>Sales &amp; Marketing:Sales &amp; Marketing- Travel Expenses:</t>
        </is>
      </c>
      <c r="N146" s="42" t="inlineStr">
        <is>
          <t>Sales &amp; Marketing:Sales &amp; Marketing- Personnel Expenses:</t>
        </is>
      </c>
      <c r="O146" s="44">
        <f>B146&amp;" "&amp;C146</f>
        <v/>
      </c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15.75" customHeight="1" s="52">
      <c r="A147" s="31" t="n">
        <v>149</v>
      </c>
      <c r="B147" s="42" t="inlineStr">
        <is>
          <t>Hannah</t>
        </is>
      </c>
      <c r="C147" s="42" t="inlineStr">
        <is>
          <t>Farley</t>
        </is>
      </c>
      <c r="D147" s="42" t="inlineStr">
        <is>
          <t>Farley, Hannah</t>
        </is>
      </c>
      <c r="E147" s="43" t="n">
        <v>45474</v>
      </c>
      <c r="F147" s="42" t="inlineStr">
        <is>
          <t>Full-Time</t>
        </is>
      </c>
      <c r="G147" s="43" t="n">
        <v>45474</v>
      </c>
      <c r="H147" s="42" t="inlineStr">
        <is>
          <t>ServiceNow</t>
        </is>
      </c>
      <c r="I147" s="42" t="inlineStr">
        <is>
          <t>Project Management</t>
        </is>
      </c>
      <c r="J147" s="42" t="inlineStr">
        <is>
          <t>Boylston</t>
        </is>
      </c>
      <c r="K147" s="42" t="inlineStr">
        <is>
          <t>Yes</t>
        </is>
      </c>
      <c r="L147" s="42" t="inlineStr">
        <is>
          <t>300- ServiceNow:310- Delivery</t>
        </is>
      </c>
      <c r="M147" s="42" t="inlineStr">
        <is>
          <t>Cost of Goods Sold:COGS- Travel Expenses:</t>
        </is>
      </c>
      <c r="N147" s="42" t="inlineStr">
        <is>
          <t>Cost of Goods Sold:COGS- Personnel Expense:</t>
        </is>
      </c>
      <c r="O147" s="44">
        <f>B147&amp;" "&amp;C147</f>
        <v/>
      </c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15.75" customHeight="1" s="52">
      <c r="A148" s="31" t="n">
        <v>150</v>
      </c>
      <c r="B148" s="42" t="inlineStr">
        <is>
          <t>Raed</t>
        </is>
      </c>
      <c r="C148" s="42" t="inlineStr">
        <is>
          <t>Hourani</t>
        </is>
      </c>
      <c r="D148" s="42" t="inlineStr">
        <is>
          <t>Hourani, Raed</t>
        </is>
      </c>
      <c r="E148" s="43" t="n">
        <v>45474</v>
      </c>
      <c r="F148" s="42" t="inlineStr">
        <is>
          <t>Full-Time</t>
        </is>
      </c>
      <c r="G148" s="43" t="n">
        <v>45474</v>
      </c>
      <c r="H148" s="42" t="inlineStr">
        <is>
          <t>Operations</t>
        </is>
      </c>
      <c r="I148" s="42" t="inlineStr">
        <is>
          <t>Admin</t>
        </is>
      </c>
      <c r="J148" s="42" t="inlineStr">
        <is>
          <t>Boylston</t>
        </is>
      </c>
      <c r="K148" s="42" t="inlineStr">
        <is>
          <t>No</t>
        </is>
      </c>
      <c r="L148" s="42" t="inlineStr">
        <is>
          <t>100- Operations:110- G&amp;A</t>
        </is>
      </c>
      <c r="M148" s="42" t="inlineStr">
        <is>
          <t>General &amp; Administrative:G&amp;A- Travel Expenses:</t>
        </is>
      </c>
      <c r="N148" s="42" t="inlineStr">
        <is>
          <t>General &amp; Administrative:G&amp;A- Personnel Expenses:</t>
        </is>
      </c>
      <c r="O148" s="44">
        <f>B148&amp;" "&amp;C148</f>
        <v/>
      </c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15.75" customHeight="1" s="52">
      <c r="A149" s="31" t="n">
        <v>151</v>
      </c>
      <c r="B149" s="42" t="inlineStr">
        <is>
          <t>Kawthar</t>
        </is>
      </c>
      <c r="C149" s="42" t="inlineStr">
        <is>
          <t>Jawhar</t>
        </is>
      </c>
      <c r="D149" s="42" t="inlineStr">
        <is>
          <t>Jawhar, Kawthar</t>
        </is>
      </c>
      <c r="E149" s="43" t="n">
        <v>45474</v>
      </c>
      <c r="F149" s="42" t="inlineStr">
        <is>
          <t>Full-Time</t>
        </is>
      </c>
      <c r="G149" s="43" t="n">
        <v>45474</v>
      </c>
      <c r="H149" s="42" t="inlineStr">
        <is>
          <t>Operations</t>
        </is>
      </c>
      <c r="I149" s="42" t="inlineStr">
        <is>
          <t>Admin</t>
        </is>
      </c>
      <c r="J149" s="42" t="inlineStr">
        <is>
          <t>Boylston</t>
        </is>
      </c>
      <c r="K149" s="42" t="inlineStr">
        <is>
          <t>No</t>
        </is>
      </c>
      <c r="L149" s="42" t="inlineStr">
        <is>
          <t>100- Operations:110- G&amp;A</t>
        </is>
      </c>
      <c r="M149" s="42" t="inlineStr">
        <is>
          <t>General &amp; Administrative:G&amp;A- Travel Expenses:</t>
        </is>
      </c>
      <c r="N149" s="42" t="inlineStr">
        <is>
          <t>General &amp; Administrative:G&amp;A- Personnel Expenses:</t>
        </is>
      </c>
      <c r="O149" s="44">
        <f>B149&amp;" "&amp;C149</f>
        <v/>
      </c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15.75" customHeight="1" s="52">
      <c r="A150" s="31" t="n">
        <v>152</v>
      </c>
      <c r="B150" s="42" t="inlineStr">
        <is>
          <t>Anthony</t>
        </is>
      </c>
      <c r="C150" s="42" t="inlineStr">
        <is>
          <t>Tambash</t>
        </is>
      </c>
      <c r="D150" s="42" t="inlineStr">
        <is>
          <t>Tambash, Anthony</t>
        </is>
      </c>
      <c r="E150" s="43" t="n">
        <v>45495</v>
      </c>
      <c r="F150" s="42" t="inlineStr">
        <is>
          <t>Full-Time</t>
        </is>
      </c>
      <c r="G150" s="43" t="n">
        <v>45495</v>
      </c>
      <c r="H150" s="42" t="inlineStr">
        <is>
          <t>ServiceNow</t>
        </is>
      </c>
      <c r="I150" s="42" t="inlineStr">
        <is>
          <t>Engineering</t>
        </is>
      </c>
      <c r="J150" s="42" t="inlineStr">
        <is>
          <t>Remote</t>
        </is>
      </c>
      <c r="K150" s="42" t="inlineStr">
        <is>
          <t>Yes</t>
        </is>
      </c>
      <c r="L150" s="42" t="inlineStr">
        <is>
          <t>300- ServiceNow:320- Engineering</t>
        </is>
      </c>
      <c r="M150" s="42" t="inlineStr">
        <is>
          <t>Cost of Goods Sold:COGS- Travel Expenses:</t>
        </is>
      </c>
      <c r="N150" s="42" t="inlineStr">
        <is>
          <t>Cost of Goods Sold:COGS- Personnel Expense:</t>
        </is>
      </c>
      <c r="O150" s="44">
        <f>B150&amp;" "&amp;C150</f>
        <v/>
      </c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15.75" customHeight="1" s="52">
      <c r="A151" s="31" t="n">
        <v>153</v>
      </c>
      <c r="B151" s="42" t="inlineStr">
        <is>
          <t>Maritess</t>
        </is>
      </c>
      <c r="C151" s="42" t="inlineStr">
        <is>
          <t>Desrosiers</t>
        </is>
      </c>
      <c r="D151" s="42" t="inlineStr">
        <is>
          <t>Desrosiers, Maritess</t>
        </is>
      </c>
      <c r="E151" s="43" t="n">
        <v>45486</v>
      </c>
      <c r="F151" s="42" t="inlineStr">
        <is>
          <t>Terminated</t>
        </is>
      </c>
      <c r="G151" s="43" t="n">
        <v>45500</v>
      </c>
      <c r="H151" s="42" t="inlineStr">
        <is>
          <t>Operations</t>
        </is>
      </c>
      <c r="I151" s="42" t="inlineStr">
        <is>
          <t>Admin</t>
        </is>
      </c>
      <c r="J151" s="42" t="inlineStr">
        <is>
          <t>Boylston</t>
        </is>
      </c>
      <c r="K151" s="42" t="inlineStr">
        <is>
          <t>No</t>
        </is>
      </c>
      <c r="L151" s="42" t="inlineStr">
        <is>
          <t>100- Operations:110- G&amp;A</t>
        </is>
      </c>
      <c r="M151" s="42" t="inlineStr">
        <is>
          <t>General &amp; Administrative:G&amp;A- Travel Expenses:</t>
        </is>
      </c>
      <c r="N151" s="42" t="inlineStr">
        <is>
          <t>General &amp; Administrative:G&amp;A- Personnel Expenses:</t>
        </is>
      </c>
      <c r="O151" s="44">
        <f>B151&amp;" "&amp;C151</f>
        <v/>
      </c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15.75" customHeight="1" s="52">
      <c r="A152" s="31" t="n">
        <v>154</v>
      </c>
      <c r="B152" s="42" t="inlineStr">
        <is>
          <t>Ryan</t>
        </is>
      </c>
      <c r="C152" s="42" t="inlineStr">
        <is>
          <t>Henrich</t>
        </is>
      </c>
      <c r="D152" s="42" t="inlineStr">
        <is>
          <t>Henrich, Ryan</t>
        </is>
      </c>
      <c r="E152" s="43" t="n">
        <v>45502</v>
      </c>
      <c r="F152" s="42" t="inlineStr">
        <is>
          <t>Full-Time</t>
        </is>
      </c>
      <c r="G152" s="43" t="n">
        <v>45502</v>
      </c>
      <c r="H152" s="42" t="inlineStr">
        <is>
          <t>Datadog</t>
        </is>
      </c>
      <c r="I152" s="42" t="inlineStr">
        <is>
          <t>Sales</t>
        </is>
      </c>
      <c r="J152" s="42" t="inlineStr">
        <is>
          <t>Remote</t>
        </is>
      </c>
      <c r="K152" s="42" t="inlineStr">
        <is>
          <t>No</t>
        </is>
      </c>
      <c r="L152" s="42" t="inlineStr">
        <is>
          <t>200- Datadog:230- Sales</t>
        </is>
      </c>
      <c r="M152" s="42" t="inlineStr">
        <is>
          <t>Sales &amp; Marketing:Sales &amp; Marketing- Travel Expenses:</t>
        </is>
      </c>
      <c r="N152" s="42" t="inlineStr">
        <is>
          <t>General &amp; Administrative:G&amp;A- Personnel Expenses:</t>
        </is>
      </c>
      <c r="O152" s="44">
        <f>B152&amp;" "&amp;C152</f>
        <v/>
      </c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15.75" customHeight="1" s="52">
      <c r="A153" s="31" t="n">
        <v>155</v>
      </c>
      <c r="B153" s="42" t="inlineStr">
        <is>
          <t>Robert</t>
        </is>
      </c>
      <c r="C153" s="42" t="inlineStr">
        <is>
          <t>Lankford</t>
        </is>
      </c>
      <c r="D153" s="42" t="inlineStr">
        <is>
          <t>Lankford, Robert</t>
        </is>
      </c>
      <c r="E153" s="43" t="n">
        <v>45505</v>
      </c>
      <c r="F153" s="42" t="inlineStr">
        <is>
          <t>Full-Time</t>
        </is>
      </c>
      <c r="G153" s="43" t="n">
        <v>45505</v>
      </c>
      <c r="H153" s="42" t="inlineStr">
        <is>
          <t>ServiceNow</t>
        </is>
      </c>
      <c r="I153" s="42" t="inlineStr">
        <is>
          <t>Engineering</t>
        </is>
      </c>
      <c r="J153" s="42" t="inlineStr">
        <is>
          <t>Remote</t>
        </is>
      </c>
      <c r="K153" s="42" t="inlineStr">
        <is>
          <t>Yes</t>
        </is>
      </c>
      <c r="L153" s="42" t="inlineStr">
        <is>
          <t>300- ServiceNow:320- Engineering</t>
        </is>
      </c>
      <c r="M153" s="42" t="inlineStr">
        <is>
          <t>Cost of Goods Sold:COGS- Travel Expenses:</t>
        </is>
      </c>
      <c r="N153" s="42" t="inlineStr">
        <is>
          <t>Cost of Goods Sold:COGS- Personnel Expense:</t>
        </is>
      </c>
      <c r="O153" s="44">
        <f>B153&amp;" "&amp;C153</f>
        <v/>
      </c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15.75" customHeight="1" s="52">
      <c r="A154" s="31" t="n">
        <v>156</v>
      </c>
      <c r="B154" s="42" t="inlineStr">
        <is>
          <t>Dwight</t>
        </is>
      </c>
      <c r="C154" s="42" t="inlineStr">
        <is>
          <t>Henderson</t>
        </is>
      </c>
      <c r="D154" s="42" t="inlineStr">
        <is>
          <t>Henderson, Dwight</t>
        </is>
      </c>
      <c r="E154" s="43" t="n">
        <v>45516</v>
      </c>
      <c r="F154" s="42" t="inlineStr">
        <is>
          <t>Full-Time</t>
        </is>
      </c>
      <c r="G154" s="43" t="n">
        <v>45516</v>
      </c>
      <c r="H154" s="42" t="inlineStr">
        <is>
          <t>Datadog</t>
        </is>
      </c>
      <c r="I154" s="42" t="inlineStr">
        <is>
          <t>Sales</t>
        </is>
      </c>
      <c r="J154" s="42" t="inlineStr">
        <is>
          <t>Boylston</t>
        </is>
      </c>
      <c r="K154" s="42" t="inlineStr">
        <is>
          <t>No</t>
        </is>
      </c>
      <c r="L154" s="42" t="inlineStr">
        <is>
          <t>200- Datadog:230- Sales</t>
        </is>
      </c>
      <c r="M154" s="42" t="inlineStr">
        <is>
          <t>Sales &amp; Marketing:Sales &amp; Marketing- Travel Expenses:</t>
        </is>
      </c>
      <c r="N154" s="42" t="inlineStr">
        <is>
          <t>General &amp; Administrative:G&amp;A- Personnel Expenses:</t>
        </is>
      </c>
      <c r="O154" s="44">
        <f>B154&amp;" "&amp;C154</f>
        <v/>
      </c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15.75" customHeight="1" s="52">
      <c r="A155" s="31" t="n">
        <v>157</v>
      </c>
      <c r="B155" s="42" t="inlineStr">
        <is>
          <t>Daniel</t>
        </is>
      </c>
      <c r="C155" s="42" t="inlineStr">
        <is>
          <t>Throckmorton</t>
        </is>
      </c>
      <c r="D155" s="42" t="inlineStr">
        <is>
          <t>Throckmorton, Daniel</t>
        </is>
      </c>
      <c r="E155" s="43" t="n">
        <v>45523</v>
      </c>
      <c r="F155" s="42" t="inlineStr">
        <is>
          <t>Full-Time</t>
        </is>
      </c>
      <c r="G155" s="43" t="n">
        <v>45523</v>
      </c>
      <c r="H155" s="42" t="inlineStr">
        <is>
          <t>ServiceNow</t>
        </is>
      </c>
      <c r="I155" s="42" t="inlineStr">
        <is>
          <t>Engineering</t>
        </is>
      </c>
      <c r="J155" s="42" t="inlineStr">
        <is>
          <t>Remote</t>
        </is>
      </c>
      <c r="K155" s="42" t="inlineStr">
        <is>
          <t>Yes</t>
        </is>
      </c>
      <c r="L155" s="42" t="inlineStr">
        <is>
          <t>300- ServiceNow:320- Engineering</t>
        </is>
      </c>
      <c r="M155" s="42" t="inlineStr">
        <is>
          <t>Cost of Goods Sold:COGS- Travel Expenses:</t>
        </is>
      </c>
      <c r="N155" s="42" t="inlineStr">
        <is>
          <t>Cost of Goods Sold:COGS- Personnel Expense:</t>
        </is>
      </c>
      <c r="O155" s="44">
        <f>B155&amp;" "&amp;C155</f>
        <v/>
      </c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15.75" customHeight="1" s="52">
      <c r="A156" s="31" t="n">
        <v>158</v>
      </c>
      <c r="B156" s="42" t="inlineStr">
        <is>
          <t>Jack</t>
        </is>
      </c>
      <c r="C156" s="42" t="inlineStr">
        <is>
          <t>Wurm</t>
        </is>
      </c>
      <c r="D156" s="42" t="inlineStr">
        <is>
          <t>Wurm, Jack</t>
        </is>
      </c>
      <c r="E156" s="43" t="n">
        <v>45523</v>
      </c>
      <c r="F156" s="42" t="inlineStr">
        <is>
          <t>Terminated</t>
        </is>
      </c>
      <c r="G156" s="43" t="n">
        <v>45532</v>
      </c>
      <c r="H156" s="42" t="inlineStr">
        <is>
          <t>ServiceNow</t>
        </is>
      </c>
      <c r="I156" s="42" t="inlineStr">
        <is>
          <t>Engineering</t>
        </is>
      </c>
      <c r="J156" s="42" t="inlineStr">
        <is>
          <t>Remote</t>
        </is>
      </c>
      <c r="K156" s="42" t="inlineStr">
        <is>
          <t>Yes</t>
        </is>
      </c>
      <c r="L156" s="42" t="inlineStr">
        <is>
          <t>300- ServiceNow:320- Engineering</t>
        </is>
      </c>
      <c r="M156" s="42" t="inlineStr">
        <is>
          <t>Cost of Goods Sold:COGS- Travel Expenses:</t>
        </is>
      </c>
      <c r="N156" s="42" t="inlineStr">
        <is>
          <t>Cost of Goods Sold:COGS- Personnel Expense:</t>
        </is>
      </c>
      <c r="O156" s="44">
        <f>B156&amp;" "&amp;C156</f>
        <v/>
      </c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15.75" customHeight="1" s="52">
      <c r="A157" s="31" t="n">
        <v>159</v>
      </c>
      <c r="B157" s="42" t="inlineStr">
        <is>
          <t>Benjamin</t>
        </is>
      </c>
      <c r="C157" s="42" t="inlineStr">
        <is>
          <t>Roberts</t>
        </is>
      </c>
      <c r="D157" s="42" t="inlineStr">
        <is>
          <t>Roberts, Benjamin</t>
        </is>
      </c>
      <c r="E157" s="43" t="n">
        <v>45533</v>
      </c>
      <c r="F157" s="42" t="inlineStr">
        <is>
          <t>Full-Time</t>
        </is>
      </c>
      <c r="G157" s="43" t="n">
        <v>45533</v>
      </c>
      <c r="H157" s="42" t="inlineStr">
        <is>
          <t>Datadog</t>
        </is>
      </c>
      <c r="I157" s="42" t="inlineStr">
        <is>
          <t>Engineering</t>
        </is>
      </c>
      <c r="J157" s="42" t="inlineStr">
        <is>
          <t>Boylston</t>
        </is>
      </c>
      <c r="K157" s="42" t="inlineStr">
        <is>
          <t>Yes</t>
        </is>
      </c>
      <c r="L157" s="42" t="inlineStr">
        <is>
          <t>200- Datadog:220- Engineering</t>
        </is>
      </c>
      <c r="M157" s="42" t="inlineStr">
        <is>
          <t>Cost of Goods Sold:COGS- Travel Expenses:</t>
        </is>
      </c>
      <c r="N157" s="42" t="inlineStr">
        <is>
          <t>Cost of Goods Sold:COGS- Personnel Expense:</t>
        </is>
      </c>
      <c r="O157" s="44">
        <f>B157&amp;" "&amp;C157</f>
        <v/>
      </c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15.75" customHeight="1" s="52">
      <c r="A158" s="31" t="n">
        <v>160</v>
      </c>
      <c r="B158" s="42" t="inlineStr">
        <is>
          <t>Lauren</t>
        </is>
      </c>
      <c r="C158" s="42" t="inlineStr">
        <is>
          <t>Lechleitner</t>
        </is>
      </c>
      <c r="D158" s="42" t="inlineStr">
        <is>
          <t>Lechleitner, Lauren</t>
        </is>
      </c>
      <c r="E158" s="43" t="n">
        <v>45524</v>
      </c>
      <c r="F158" s="42" t="inlineStr">
        <is>
          <t>Full-Time</t>
        </is>
      </c>
      <c r="G158" s="43" t="n">
        <v>45691</v>
      </c>
      <c r="H158" s="42" t="inlineStr">
        <is>
          <t>Operations</t>
        </is>
      </c>
      <c r="I158" s="42" t="inlineStr">
        <is>
          <t>People Operations</t>
        </is>
      </c>
      <c r="J158" s="42" t="inlineStr">
        <is>
          <t>Remote</t>
        </is>
      </c>
      <c r="K158" s="42" t="inlineStr">
        <is>
          <t>No</t>
        </is>
      </c>
      <c r="L158" s="42" t="inlineStr">
        <is>
          <t>100- Operations:110- G&amp;A</t>
        </is>
      </c>
      <c r="M158" s="42" t="inlineStr">
        <is>
          <t>General &amp; Administrative:G&amp;A- Travel Expenses:</t>
        </is>
      </c>
      <c r="N158" s="42" t="inlineStr">
        <is>
          <t>General &amp; Administrative:G&amp;A- Personnel Expenses:</t>
        </is>
      </c>
      <c r="O158" s="44">
        <f>B158&amp;" "&amp;C158</f>
        <v/>
      </c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15.75" customHeight="1" s="52">
      <c r="A159" s="31" t="n">
        <v>163</v>
      </c>
      <c r="B159" s="42" t="inlineStr">
        <is>
          <t>Rahul</t>
        </is>
      </c>
      <c r="C159" s="42" t="inlineStr">
        <is>
          <t>Bisht</t>
        </is>
      </c>
      <c r="D159" s="42" t="inlineStr">
        <is>
          <t>Bisht, Rahul</t>
        </is>
      </c>
      <c r="E159" s="43" t="n">
        <v>45539</v>
      </c>
      <c r="F159" s="42" t="inlineStr">
        <is>
          <t>Terminated</t>
        </is>
      </c>
      <c r="G159" s="43" t="n">
        <v>45657</v>
      </c>
      <c r="H159" s="42" t="inlineStr">
        <is>
          <t>ServiceNow</t>
        </is>
      </c>
      <c r="I159" s="42" t="inlineStr">
        <is>
          <t>Engineering</t>
        </is>
      </c>
      <c r="J159" s="42" t="inlineStr">
        <is>
          <t>Remote</t>
        </is>
      </c>
      <c r="K159" s="42" t="inlineStr">
        <is>
          <t>No</t>
        </is>
      </c>
      <c r="L159" s="42" t="inlineStr">
        <is>
          <t>300- ServiceNow:320- Engineering</t>
        </is>
      </c>
      <c r="M159" s="42" t="inlineStr">
        <is>
          <t>General &amp; Administrative:G&amp;A- Travel Expenses:</t>
        </is>
      </c>
      <c r="N159" s="42" t="inlineStr">
        <is>
          <t>Sales &amp; Marketing:Sales &amp; Marketing- Personnel Expenses:</t>
        </is>
      </c>
      <c r="O159" s="44">
        <f>B159&amp;" "&amp;C159</f>
        <v/>
      </c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15.75" customHeight="1" s="52">
      <c r="A160" s="31" t="n">
        <v>164</v>
      </c>
      <c r="B160" s="42" t="inlineStr">
        <is>
          <t>Adam</t>
        </is>
      </c>
      <c r="C160" s="42" t="inlineStr">
        <is>
          <t>Hansen</t>
        </is>
      </c>
      <c r="D160" s="42" t="inlineStr">
        <is>
          <t>Hansen, Adam</t>
        </is>
      </c>
      <c r="E160" s="43" t="n">
        <v>45565</v>
      </c>
      <c r="F160" s="42" t="inlineStr">
        <is>
          <t>Full-Time</t>
        </is>
      </c>
      <c r="G160" s="43" t="n">
        <v>45565</v>
      </c>
      <c r="H160" s="42" t="inlineStr">
        <is>
          <t>ServiceNow</t>
        </is>
      </c>
      <c r="I160" s="42" t="inlineStr">
        <is>
          <t>Engineering</t>
        </is>
      </c>
      <c r="J160" s="42" t="inlineStr">
        <is>
          <t>Remote</t>
        </is>
      </c>
      <c r="K160" s="42" t="inlineStr">
        <is>
          <t>Yes</t>
        </is>
      </c>
      <c r="L160" s="42" t="inlineStr">
        <is>
          <t>300- ServiceNow:320- Engineering</t>
        </is>
      </c>
      <c r="M160" s="42" t="inlineStr">
        <is>
          <t>Cost of Goods Sold:COGS- Travel Expenses:</t>
        </is>
      </c>
      <c r="N160" s="42" t="inlineStr">
        <is>
          <t>Cost of Goods Sold:COGS- Personnel Expense:</t>
        </is>
      </c>
      <c r="O160" s="44">
        <f>B160&amp;" "&amp;C160</f>
        <v/>
      </c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15.75" customHeight="1" s="52">
      <c r="A161" s="31" t="n">
        <v>165</v>
      </c>
      <c r="B161" s="42" t="inlineStr">
        <is>
          <t>Kevin</t>
        </is>
      </c>
      <c r="C161" s="42" t="inlineStr">
        <is>
          <t>Montes de Oca</t>
        </is>
      </c>
      <c r="D161" s="42" t="inlineStr">
        <is>
          <t>Montes de Oca, Kevin</t>
        </is>
      </c>
      <c r="E161" s="43" t="n">
        <v>45572</v>
      </c>
      <c r="F161" s="42" t="inlineStr">
        <is>
          <t>Full-Time</t>
        </is>
      </c>
      <c r="G161" s="43" t="n">
        <v>45572</v>
      </c>
      <c r="H161" s="42" t="inlineStr">
        <is>
          <t>ServiceNow</t>
        </is>
      </c>
      <c r="I161" s="42" t="inlineStr">
        <is>
          <t>Engineering</t>
        </is>
      </c>
      <c r="J161" s="42" t="inlineStr">
        <is>
          <t>Remote</t>
        </is>
      </c>
      <c r="K161" s="42" t="inlineStr">
        <is>
          <t>Yes</t>
        </is>
      </c>
      <c r="L161" s="42" t="inlineStr">
        <is>
          <t>300- ServiceNow:320- Engineering</t>
        </is>
      </c>
      <c r="M161" s="42" t="inlineStr">
        <is>
          <t>Cost of Goods Sold:COGS- Travel Expenses:</t>
        </is>
      </c>
      <c r="N161" s="42" t="inlineStr">
        <is>
          <t>Cost of Goods Sold:COGS- Personnel Expense:</t>
        </is>
      </c>
      <c r="O161" s="44">
        <f>B161&amp;" "&amp;C161</f>
        <v/>
      </c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15.75" customHeight="1" s="52">
      <c r="A162" s="31" t="n">
        <v>166</v>
      </c>
      <c r="B162" s="42" t="inlineStr">
        <is>
          <t>Michael</t>
        </is>
      </c>
      <c r="C162" s="42" t="inlineStr">
        <is>
          <t>Scalia</t>
        </is>
      </c>
      <c r="D162" s="42" t="inlineStr">
        <is>
          <t>Scalia, Michael</t>
        </is>
      </c>
      <c r="E162" s="43" t="n">
        <v>45600</v>
      </c>
      <c r="F162" s="42" t="inlineStr">
        <is>
          <t>Full-Time</t>
        </is>
      </c>
      <c r="G162" s="43" t="n">
        <v>45600</v>
      </c>
      <c r="H162" s="42" t="inlineStr">
        <is>
          <t>ServiceNow</t>
        </is>
      </c>
      <c r="I162" s="42" t="inlineStr">
        <is>
          <t>Engineering</t>
        </is>
      </c>
      <c r="J162" s="42" t="inlineStr">
        <is>
          <t>Boylston</t>
        </is>
      </c>
      <c r="K162" s="42" t="inlineStr">
        <is>
          <t>Yes</t>
        </is>
      </c>
      <c r="L162" s="42" t="inlineStr">
        <is>
          <t>300- ServiceNow:320- Engineering</t>
        </is>
      </c>
      <c r="M162" s="42" t="inlineStr">
        <is>
          <t>Cost of Goods Sold:COGS- Travel Expenses:</t>
        </is>
      </c>
      <c r="N162" s="42" t="inlineStr">
        <is>
          <t>Cost of Goods Sold:COGS- Personnel Expense:</t>
        </is>
      </c>
      <c r="O162" s="44">
        <f>B162&amp;" "&amp;C162</f>
        <v/>
      </c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15.75" customHeight="1" s="52">
      <c r="A163" s="31" t="n">
        <v>167</v>
      </c>
      <c r="B163" s="42" t="inlineStr">
        <is>
          <t>Jonathan</t>
        </is>
      </c>
      <c r="C163" s="42" t="inlineStr">
        <is>
          <t>Stricklin</t>
        </is>
      </c>
      <c r="D163" s="42" t="inlineStr">
        <is>
          <t>Stricklin, Jonathan</t>
        </is>
      </c>
      <c r="E163" s="43" t="n">
        <v>45607</v>
      </c>
      <c r="F163" s="42" t="inlineStr">
        <is>
          <t>Full-Time</t>
        </is>
      </c>
      <c r="G163" s="43" t="n">
        <v>45607</v>
      </c>
      <c r="H163" s="42" t="inlineStr">
        <is>
          <t>ServiceNow</t>
        </is>
      </c>
      <c r="I163" s="42" t="inlineStr">
        <is>
          <t>Engineering</t>
        </is>
      </c>
      <c r="J163" s="42" t="inlineStr">
        <is>
          <t>Remote</t>
        </is>
      </c>
      <c r="K163" s="42" t="inlineStr">
        <is>
          <t>Yes</t>
        </is>
      </c>
      <c r="L163" s="42" t="inlineStr">
        <is>
          <t>300- ServiceNow:320- Engineering</t>
        </is>
      </c>
      <c r="M163" s="42" t="inlineStr">
        <is>
          <t>Cost of Goods Sold:COGS- Travel Expenses:</t>
        </is>
      </c>
      <c r="N163" s="42" t="inlineStr">
        <is>
          <t>Cost of Goods Sold:COGS- Personnel Expense:</t>
        </is>
      </c>
      <c r="O163" s="44">
        <f>B163&amp;" "&amp;C163</f>
        <v/>
      </c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15.75" customHeight="1" s="52">
      <c r="A164" s="31" t="n">
        <v>168</v>
      </c>
      <c r="B164" s="42" t="inlineStr">
        <is>
          <t>Gabriel</t>
        </is>
      </c>
      <c r="C164" s="42" t="inlineStr">
        <is>
          <t>Sanna</t>
        </is>
      </c>
      <c r="D164" s="42" t="inlineStr">
        <is>
          <t>Sanna, Gabriel</t>
        </is>
      </c>
      <c r="E164" s="43" t="n">
        <v>45600</v>
      </c>
      <c r="F164" s="42" t="inlineStr">
        <is>
          <t>Full-Time</t>
        </is>
      </c>
      <c r="G164" s="43" t="n">
        <v>45600</v>
      </c>
      <c r="H164" s="42" t="inlineStr">
        <is>
          <t>Datadog</t>
        </is>
      </c>
      <c r="I164" s="42" t="inlineStr">
        <is>
          <t>Engineering</t>
        </is>
      </c>
      <c r="J164" s="42" t="inlineStr">
        <is>
          <t>Boylston</t>
        </is>
      </c>
      <c r="K164" s="42" t="inlineStr">
        <is>
          <t>Yes</t>
        </is>
      </c>
      <c r="L164" s="42" t="inlineStr">
        <is>
          <t>200- Datadog:220- Engineering</t>
        </is>
      </c>
      <c r="M164" s="42" t="inlineStr">
        <is>
          <t>Cost of Goods Sold:COGS- Travel Expenses:</t>
        </is>
      </c>
      <c r="N164" s="42" t="inlineStr">
        <is>
          <t>Cost of Goods Sold:COGS- Personnel Expense:</t>
        </is>
      </c>
      <c r="O164" s="44">
        <f>B164&amp;" "&amp;C164</f>
        <v/>
      </c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15.75" customHeight="1" s="52">
      <c r="A165" s="31" t="n">
        <v>169</v>
      </c>
      <c r="B165" s="42" t="inlineStr">
        <is>
          <t>Jason</t>
        </is>
      </c>
      <c r="C165" s="42" t="inlineStr">
        <is>
          <t>Speet</t>
        </is>
      </c>
      <c r="D165" s="42" t="inlineStr">
        <is>
          <t>Speet, Jason</t>
        </is>
      </c>
      <c r="E165" s="43" t="n">
        <v>45621</v>
      </c>
      <c r="F165" s="42" t="inlineStr">
        <is>
          <t>Full-Time</t>
        </is>
      </c>
      <c r="G165" s="43" t="n">
        <v>45621</v>
      </c>
      <c r="H165" s="42" t="inlineStr">
        <is>
          <t>ServiceNow</t>
        </is>
      </c>
      <c r="I165" s="42" t="inlineStr">
        <is>
          <t>Engineering</t>
        </is>
      </c>
      <c r="J165" s="42" t="inlineStr">
        <is>
          <t>Remote</t>
        </is>
      </c>
      <c r="K165" s="42" t="inlineStr">
        <is>
          <t>Yes</t>
        </is>
      </c>
      <c r="L165" s="42" t="inlineStr">
        <is>
          <t>300- ServiceNow:320- Engineering</t>
        </is>
      </c>
      <c r="M165" s="42" t="inlineStr">
        <is>
          <t>Cost of Goods Sold:COGS- Travel Expenses:</t>
        </is>
      </c>
      <c r="N165" s="42" t="inlineStr">
        <is>
          <t>Cost of Goods Sold:COGS- Personnel Expense:</t>
        </is>
      </c>
      <c r="O165" s="44">
        <f>B165&amp;" "&amp;C165</f>
        <v/>
      </c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15.75" customHeight="1" s="52">
      <c r="A166" s="31" t="n">
        <v>170</v>
      </c>
      <c r="B166" s="42" t="inlineStr">
        <is>
          <t>Mickenzi</t>
        </is>
      </c>
      <c r="C166" s="42" t="inlineStr">
        <is>
          <t>Krpec</t>
        </is>
      </c>
      <c r="D166" s="42" t="inlineStr">
        <is>
          <t>Krpec, Mickenzi</t>
        </is>
      </c>
      <c r="E166" s="43" t="n">
        <v>45621</v>
      </c>
      <c r="F166" s="42" t="inlineStr">
        <is>
          <t>Full-Time</t>
        </is>
      </c>
      <c r="G166" s="43" t="n">
        <v>45656</v>
      </c>
      <c r="H166" s="42" t="inlineStr">
        <is>
          <t>Operations</t>
        </is>
      </c>
      <c r="I166" s="42" t="inlineStr">
        <is>
          <t>Operations</t>
        </is>
      </c>
      <c r="J166" s="42" t="inlineStr">
        <is>
          <t>Boylston</t>
        </is>
      </c>
      <c r="K166" s="42" t="inlineStr">
        <is>
          <t>No</t>
        </is>
      </c>
      <c r="L166" s="42" t="inlineStr">
        <is>
          <t>100- Operations:110- G&amp;A</t>
        </is>
      </c>
      <c r="M166" s="42" t="inlineStr">
        <is>
          <t>General &amp; Administrative:G&amp;A- Travel Expenses:</t>
        </is>
      </c>
      <c r="N166" s="42" t="inlineStr">
        <is>
          <t>General &amp; Administrative:G&amp;A- Personnel Expenses:</t>
        </is>
      </c>
      <c r="O166" s="44">
        <f>B166&amp;" "&amp;C166</f>
        <v/>
      </c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15.75" customHeight="1" s="52">
      <c r="A167" s="31" t="n">
        <v>171</v>
      </c>
      <c r="B167" s="42" t="inlineStr">
        <is>
          <t>Kanneti</t>
        </is>
      </c>
      <c r="C167" s="42" t="inlineStr">
        <is>
          <t>Jhansi</t>
        </is>
      </c>
      <c r="D167" s="42" t="inlineStr">
        <is>
          <t>Jhansi, Kanneti</t>
        </is>
      </c>
      <c r="E167" s="43" t="n">
        <v>45628</v>
      </c>
      <c r="F167" s="42" t="inlineStr">
        <is>
          <t>Full-Time</t>
        </is>
      </c>
      <c r="G167" s="43" t="n">
        <v>45628</v>
      </c>
      <c r="H167" s="42" t="inlineStr">
        <is>
          <t>Datadog</t>
        </is>
      </c>
      <c r="I167" s="42" t="inlineStr">
        <is>
          <t>Engineering</t>
        </is>
      </c>
      <c r="J167" s="42" t="inlineStr">
        <is>
          <t>Boylston</t>
        </is>
      </c>
      <c r="K167" s="42" t="inlineStr">
        <is>
          <t>Yes</t>
        </is>
      </c>
      <c r="L167" s="42" t="inlineStr">
        <is>
          <t>200- Datadog:220- Engineering</t>
        </is>
      </c>
      <c r="M167" s="42" t="inlineStr">
        <is>
          <t>Cost of Goods Sold:COGS- Travel Expenses:</t>
        </is>
      </c>
      <c r="N167" s="42" t="inlineStr">
        <is>
          <t>Cost of Goods Sold:COGS- Personnel Expense:</t>
        </is>
      </c>
      <c r="O167" s="44">
        <f>B167&amp;" "&amp;C167</f>
        <v/>
      </c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15.75" customHeight="1" s="52">
      <c r="A168" s="31" t="n">
        <v>172</v>
      </c>
      <c r="B168" s="42" t="inlineStr">
        <is>
          <t>Jason</t>
        </is>
      </c>
      <c r="C168" s="42" t="inlineStr">
        <is>
          <t>Fox</t>
        </is>
      </c>
      <c r="D168" s="42" t="inlineStr">
        <is>
          <t>Fox, Jason</t>
        </is>
      </c>
      <c r="E168" s="43" t="n">
        <v>45635</v>
      </c>
      <c r="F168" s="42" t="inlineStr">
        <is>
          <t>Full-Time</t>
        </is>
      </c>
      <c r="G168" s="43" t="n">
        <v>45635</v>
      </c>
      <c r="H168" s="42" t="inlineStr">
        <is>
          <t>Datadog</t>
        </is>
      </c>
      <c r="I168" s="42" t="inlineStr">
        <is>
          <t>Engineering</t>
        </is>
      </c>
      <c r="J168" s="42" t="inlineStr">
        <is>
          <t>Boylston</t>
        </is>
      </c>
      <c r="K168" s="42" t="inlineStr">
        <is>
          <t>Yes</t>
        </is>
      </c>
      <c r="L168" s="42" t="inlineStr">
        <is>
          <t>200- Datadog:220- Engineering</t>
        </is>
      </c>
      <c r="M168" s="42" t="inlineStr">
        <is>
          <t>Cost of Goods Sold:COGS- Travel Expenses:</t>
        </is>
      </c>
      <c r="N168" s="42" t="inlineStr">
        <is>
          <t>Cost of Goods Sold:COGS- Personnel Expense:</t>
        </is>
      </c>
      <c r="O168" s="44">
        <f>B168&amp;" "&amp;C168</f>
        <v/>
      </c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15.75" customHeight="1" s="52">
      <c r="A169" s="31" t="n">
        <v>173</v>
      </c>
      <c r="B169" s="42" t="inlineStr">
        <is>
          <t>Michael</t>
        </is>
      </c>
      <c r="C169" s="42" t="inlineStr">
        <is>
          <t>Palmieri</t>
        </is>
      </c>
      <c r="D169" s="42" t="inlineStr">
        <is>
          <t>Palmieri, Michael</t>
        </is>
      </c>
      <c r="E169" s="43" t="n">
        <v>45628</v>
      </c>
      <c r="F169" s="42" t="inlineStr">
        <is>
          <t>Terminated</t>
        </is>
      </c>
      <c r="G169" s="43" t="n">
        <v>45901</v>
      </c>
      <c r="H169" s="42" t="inlineStr">
        <is>
          <t>Datadog</t>
        </is>
      </c>
      <c r="I169" s="42" t="inlineStr">
        <is>
          <t>Engineering</t>
        </is>
      </c>
      <c r="J169" s="42" t="inlineStr">
        <is>
          <t>Boylston</t>
        </is>
      </c>
      <c r="K169" s="42" t="inlineStr">
        <is>
          <t>Yes</t>
        </is>
      </c>
      <c r="L169" s="42" t="inlineStr">
        <is>
          <t>200- Datadog:220- Engineering</t>
        </is>
      </c>
      <c r="M169" s="42" t="inlineStr">
        <is>
          <t>Cost of Goods Sold:COGS- Travel Expenses:</t>
        </is>
      </c>
      <c r="N169" s="42" t="inlineStr">
        <is>
          <t>Cost of Goods Sold:COGS- Personnel Expense:</t>
        </is>
      </c>
      <c r="O169" s="44">
        <f>B169&amp;" "&amp;C169</f>
        <v/>
      </c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15.75" customHeight="1" s="52">
      <c r="A170" s="31" t="n">
        <v>174</v>
      </c>
      <c r="B170" s="42" t="inlineStr">
        <is>
          <t>Robert</t>
        </is>
      </c>
      <c r="C170" s="42" t="inlineStr">
        <is>
          <t>Smith</t>
        </is>
      </c>
      <c r="D170" s="42" t="inlineStr">
        <is>
          <t>Smith, Robert</t>
        </is>
      </c>
      <c r="E170" s="43" t="n">
        <v>45673</v>
      </c>
      <c r="F170" s="42" t="inlineStr">
        <is>
          <t>Terminated</t>
        </is>
      </c>
      <c r="G170" s="43" t="n">
        <v>45730</v>
      </c>
      <c r="H170" s="42" t="inlineStr">
        <is>
          <t>ServiceNow</t>
        </is>
      </c>
      <c r="I170" s="42" t="inlineStr">
        <is>
          <t>Engineering</t>
        </is>
      </c>
      <c r="J170" s="42" t="inlineStr">
        <is>
          <t>Remote</t>
        </is>
      </c>
      <c r="K170" s="42" t="inlineStr">
        <is>
          <t>Yes</t>
        </is>
      </c>
      <c r="L170" s="42" t="inlineStr">
        <is>
          <t>300- ServiceNow:320- Engineering</t>
        </is>
      </c>
      <c r="M170" s="42" t="inlineStr">
        <is>
          <t>Cost of Goods Sold:COGS- Travel Expenses:</t>
        </is>
      </c>
      <c r="N170" s="42" t="inlineStr">
        <is>
          <t>Cost of Goods Sold:COGS- Personnel Expense:</t>
        </is>
      </c>
      <c r="O170" s="44">
        <f>B170&amp;" "&amp;C170</f>
        <v/>
      </c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15.75" customHeight="1" s="52">
      <c r="A171" s="31" t="n">
        <v>175</v>
      </c>
      <c r="B171" s="42" t="inlineStr">
        <is>
          <t>Meghan</t>
        </is>
      </c>
      <c r="C171" s="42" t="inlineStr">
        <is>
          <t>Murray</t>
        </is>
      </c>
      <c r="D171" s="42" t="inlineStr">
        <is>
          <t>Murray, Meghan</t>
        </is>
      </c>
      <c r="E171" s="43" t="n">
        <v>45684</v>
      </c>
      <c r="F171" s="42" t="inlineStr">
        <is>
          <t>Full-Time</t>
        </is>
      </c>
      <c r="G171" s="43" t="n">
        <v>45684</v>
      </c>
      <c r="H171" s="42" t="inlineStr">
        <is>
          <t>ServiceNow</t>
        </is>
      </c>
      <c r="I171" s="42" t="inlineStr">
        <is>
          <t>Project Management</t>
        </is>
      </c>
      <c r="J171" s="42" t="inlineStr">
        <is>
          <t>Boylston</t>
        </is>
      </c>
      <c r="K171" s="42" t="inlineStr">
        <is>
          <t>Yes</t>
        </is>
      </c>
      <c r="L171" s="42" t="inlineStr">
        <is>
          <t>300- ServiceNow:310- Delivery</t>
        </is>
      </c>
      <c r="M171" s="42" t="inlineStr">
        <is>
          <t>Cost of Goods Sold:COGS- Travel Expenses:</t>
        </is>
      </c>
      <c r="N171" s="42" t="inlineStr">
        <is>
          <t>Cost of Goods Sold:COGS- Personnel Expense:</t>
        </is>
      </c>
      <c r="O171" s="44">
        <f>B171&amp;" "&amp;C171</f>
        <v/>
      </c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15.75" customHeight="1" s="52">
      <c r="A172" s="31" t="n">
        <v>176</v>
      </c>
      <c r="B172" s="42" t="inlineStr">
        <is>
          <t>Austin</t>
        </is>
      </c>
      <c r="C172" s="42" t="inlineStr">
        <is>
          <t>Nadler</t>
        </is>
      </c>
      <c r="D172" s="42" t="inlineStr">
        <is>
          <t>Nadler, Austin</t>
        </is>
      </c>
      <c r="E172" s="43" t="n">
        <v>45687</v>
      </c>
      <c r="F172" s="42" t="inlineStr">
        <is>
          <t>Full-Time</t>
        </is>
      </c>
      <c r="G172" s="43" t="n">
        <v>45687</v>
      </c>
      <c r="H172" s="42" t="inlineStr">
        <is>
          <t>ServiceNow</t>
        </is>
      </c>
      <c r="I172" s="42" t="inlineStr">
        <is>
          <t>Engineering</t>
        </is>
      </c>
      <c r="J172" s="42" t="inlineStr">
        <is>
          <t>Remote</t>
        </is>
      </c>
      <c r="K172" s="42" t="inlineStr">
        <is>
          <t>Yes</t>
        </is>
      </c>
      <c r="L172" s="42" t="inlineStr">
        <is>
          <t>300- ServiceNow:320- Engineering</t>
        </is>
      </c>
      <c r="M172" s="42" t="inlineStr">
        <is>
          <t>Cost of Goods Sold:COGS- Travel Expenses:</t>
        </is>
      </c>
      <c r="N172" s="42" t="inlineStr">
        <is>
          <t>Cost of Goods Sold:COGS- Personnel Expense:</t>
        </is>
      </c>
      <c r="O172" s="44">
        <f>B172&amp;" "&amp;C172</f>
        <v/>
      </c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15.75" customHeight="1" s="52">
      <c r="A173" s="31" t="n">
        <v>177</v>
      </c>
      <c r="B173" s="42" t="inlineStr">
        <is>
          <t>Frederick</t>
        </is>
      </c>
      <c r="C173" s="42" t="inlineStr">
        <is>
          <t>Simpson</t>
        </is>
      </c>
      <c r="D173" s="42" t="inlineStr">
        <is>
          <t>Simpson, Frederick</t>
        </is>
      </c>
      <c r="E173" s="43" t="n">
        <v>45789</v>
      </c>
      <c r="F173" s="42" t="inlineStr">
        <is>
          <t>Terminated</t>
        </is>
      </c>
      <c r="G173" s="43" t="n">
        <v>45890</v>
      </c>
      <c r="H173" s="42" t="inlineStr">
        <is>
          <t>Operations</t>
        </is>
      </c>
      <c r="I173" s="42" t="inlineStr">
        <is>
          <t>Operations</t>
        </is>
      </c>
      <c r="J173" s="42" t="inlineStr">
        <is>
          <t>Boylston</t>
        </is>
      </c>
      <c r="K173" s="42" t="inlineStr">
        <is>
          <t>No</t>
        </is>
      </c>
      <c r="L173" s="42" t="inlineStr">
        <is>
          <t>100- Operations:110- G&amp;A</t>
        </is>
      </c>
      <c r="M173" s="42" t="inlineStr">
        <is>
          <t>General &amp; Administrative:G&amp;A- Travel Expenses:</t>
        </is>
      </c>
      <c r="N173" s="42" t="inlineStr">
        <is>
          <t>General &amp; Administrative:G&amp;A- Personnel Expenses:</t>
        </is>
      </c>
      <c r="O173" s="44">
        <f>B173&amp;" "&amp;C173</f>
        <v/>
      </c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15.75" customHeight="1" s="52">
      <c r="A174" s="31" t="n">
        <v>178</v>
      </c>
      <c r="B174" s="42" t="inlineStr">
        <is>
          <t>Dhanraj</t>
        </is>
      </c>
      <c r="C174" s="42" t="inlineStr">
        <is>
          <t>Poojari</t>
        </is>
      </c>
      <c r="D174" s="42" t="inlineStr">
        <is>
          <t>Poojari, Dhanraj</t>
        </is>
      </c>
      <c r="E174" s="43" t="n">
        <v>45705</v>
      </c>
      <c r="F174" s="42" t="inlineStr">
        <is>
          <t>Full-Time</t>
        </is>
      </c>
      <c r="G174" s="43" t="n">
        <v>45705</v>
      </c>
      <c r="H174" s="42" t="inlineStr">
        <is>
          <t>ServiceNow</t>
        </is>
      </c>
      <c r="I174" s="42" t="inlineStr">
        <is>
          <t>Engineering</t>
        </is>
      </c>
      <c r="J174" s="42" t="inlineStr">
        <is>
          <t>Non-US</t>
        </is>
      </c>
      <c r="K174" s="42" t="inlineStr">
        <is>
          <t>Yes</t>
        </is>
      </c>
      <c r="L174" s="42" t="inlineStr">
        <is>
          <t>300- ServiceNow:320- Engineering</t>
        </is>
      </c>
      <c r="M174" s="42" t="inlineStr">
        <is>
          <t>Cost of Goods Sold:COGS- Travel Expenses:</t>
        </is>
      </c>
      <c r="N174" s="42" t="inlineStr">
        <is>
          <t>Cost of Goods Sold:COGS- Personnel Expense:</t>
        </is>
      </c>
      <c r="O174" s="44">
        <f>B174&amp;" "&amp;C174</f>
        <v/>
      </c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15.75" customHeight="1" s="52">
      <c r="A175" s="31" t="n">
        <v>179</v>
      </c>
      <c r="B175" s="42" t="inlineStr">
        <is>
          <t>Matthew</t>
        </is>
      </c>
      <c r="C175" s="42" t="inlineStr">
        <is>
          <t>Descoteaux</t>
        </is>
      </c>
      <c r="D175" s="42" t="inlineStr">
        <is>
          <t>Descoteaux, Matthew</t>
        </is>
      </c>
      <c r="E175" s="43" t="n">
        <v>45693</v>
      </c>
      <c r="F175" s="42" t="inlineStr">
        <is>
          <t>Full-Time</t>
        </is>
      </c>
      <c r="G175" s="43" t="n">
        <v>45693</v>
      </c>
      <c r="H175" s="42" t="inlineStr">
        <is>
          <t>ServiceNow</t>
        </is>
      </c>
      <c r="I175" s="42" t="inlineStr">
        <is>
          <t>Engineering</t>
        </is>
      </c>
      <c r="J175" s="42" t="inlineStr">
        <is>
          <t>Remote</t>
        </is>
      </c>
      <c r="K175" s="42" t="inlineStr">
        <is>
          <t>Yes</t>
        </is>
      </c>
      <c r="L175" s="42" t="inlineStr">
        <is>
          <t>300- ServiceNow:320- Engineering</t>
        </is>
      </c>
      <c r="M175" s="42" t="inlineStr">
        <is>
          <t>Cost of Goods Sold:COGS- Travel Expenses:</t>
        </is>
      </c>
      <c r="N175" s="42" t="inlineStr">
        <is>
          <t>Cost of Goods Sold:COGS- Personnel Expense:</t>
        </is>
      </c>
      <c r="O175" s="44">
        <f>B175&amp;" "&amp;C175</f>
        <v/>
      </c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15.75" customHeight="1" s="52">
      <c r="A176" s="31" t="n">
        <v>180</v>
      </c>
      <c r="B176" s="42" t="inlineStr">
        <is>
          <t>Andrew</t>
        </is>
      </c>
      <c r="C176" s="42" t="inlineStr">
        <is>
          <t>Warrick</t>
        </is>
      </c>
      <c r="D176" s="42" t="inlineStr">
        <is>
          <t>Warrick, Andrew</t>
        </is>
      </c>
      <c r="E176" s="43" t="n">
        <v>45693</v>
      </c>
      <c r="F176" s="42" t="inlineStr">
        <is>
          <t>Full-Time</t>
        </is>
      </c>
      <c r="G176" s="43" t="n">
        <v>45693</v>
      </c>
      <c r="H176" s="42" t="inlineStr">
        <is>
          <t>ServiceNow</t>
        </is>
      </c>
      <c r="I176" s="42" t="inlineStr">
        <is>
          <t>Engineering</t>
        </is>
      </c>
      <c r="J176" s="42" t="inlineStr">
        <is>
          <t>Remote</t>
        </is>
      </c>
      <c r="K176" s="42" t="inlineStr">
        <is>
          <t>Yes</t>
        </is>
      </c>
      <c r="L176" s="42" t="inlineStr">
        <is>
          <t>300- ServiceNow:320- Engineering</t>
        </is>
      </c>
      <c r="M176" s="42" t="inlineStr">
        <is>
          <t>Cost of Goods Sold:COGS- Travel Expenses:</t>
        </is>
      </c>
      <c r="N176" s="42" t="inlineStr">
        <is>
          <t>Cost of Goods Sold:COGS- Personnel Expense:</t>
        </is>
      </c>
      <c r="O176" s="44">
        <f>B176&amp;" "&amp;C176</f>
        <v/>
      </c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15.75" customHeight="1" s="52">
      <c r="A177" s="31" t="n">
        <v>181</v>
      </c>
      <c r="B177" s="42" t="inlineStr">
        <is>
          <t>Oliver</t>
        </is>
      </c>
      <c r="C177" s="42" t="inlineStr">
        <is>
          <t>McCaffrey</t>
        </is>
      </c>
      <c r="D177" s="42" t="inlineStr">
        <is>
          <t>McCaffrey, Oliver</t>
        </is>
      </c>
      <c r="E177" s="43" t="n">
        <v>45761</v>
      </c>
      <c r="F177" s="42" t="inlineStr">
        <is>
          <t>Full-Time</t>
        </is>
      </c>
      <c r="G177" s="43" t="n">
        <v>45761</v>
      </c>
      <c r="H177" s="42" t="inlineStr">
        <is>
          <t>ServiceNow</t>
        </is>
      </c>
      <c r="I177" s="42" t="inlineStr">
        <is>
          <t>Project Management</t>
        </is>
      </c>
      <c r="J177" s="42" t="inlineStr">
        <is>
          <t>Non-US</t>
        </is>
      </c>
      <c r="K177" s="42" t="inlineStr">
        <is>
          <t>Yes</t>
        </is>
      </c>
      <c r="L177" s="42" t="inlineStr">
        <is>
          <t>300- ServiceNow:310- Delivery</t>
        </is>
      </c>
      <c r="M177" s="42" t="inlineStr">
        <is>
          <t>Cost of Goods Sold:COGS- Travel Expenses:</t>
        </is>
      </c>
      <c r="N177" s="42" t="inlineStr">
        <is>
          <t>Cost of Goods Sold:COGS- Personnel Expense:</t>
        </is>
      </c>
      <c r="O177" s="44">
        <f>B177&amp;" "&amp;C177</f>
        <v/>
      </c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15.75" customHeight="1" s="52">
      <c r="A178" s="31" t="n">
        <v>182</v>
      </c>
      <c r="B178" s="42" t="inlineStr">
        <is>
          <t>Hamadi</t>
        </is>
      </c>
      <c r="C178" s="42" t="inlineStr">
        <is>
          <t>Cantave</t>
        </is>
      </c>
      <c r="D178" s="42" t="inlineStr">
        <is>
          <t>Cantave, Hamadi</t>
        </is>
      </c>
      <c r="E178" s="43" t="n">
        <v>45720</v>
      </c>
      <c r="F178" s="42" t="inlineStr">
        <is>
          <t>Terminated</t>
        </is>
      </c>
      <c r="G178" s="43" t="n">
        <v>45720</v>
      </c>
      <c r="H178" s="42" t="inlineStr">
        <is>
          <t>ServiceNow</t>
        </is>
      </c>
      <c r="I178" s="42" t="inlineStr">
        <is>
          <t>Project Management</t>
        </is>
      </c>
      <c r="J178" s="42" t="inlineStr">
        <is>
          <t>Boylston</t>
        </is>
      </c>
      <c r="K178" s="42" t="inlineStr">
        <is>
          <t>Yes</t>
        </is>
      </c>
      <c r="L178" s="42" t="inlineStr">
        <is>
          <t>300- ServiceNow:310- Delivery</t>
        </is>
      </c>
      <c r="M178" s="42" t="inlineStr">
        <is>
          <t>Cost of Goods Sold:COGS- Travel Expenses:</t>
        </is>
      </c>
      <c r="N178" s="42" t="inlineStr">
        <is>
          <t>Cost of Goods Sold:COGS- Personnel Expense:</t>
        </is>
      </c>
      <c r="O178" s="44">
        <f>B178&amp;" "&amp;C178</f>
        <v/>
      </c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15.75" customHeight="1" s="52">
      <c r="A179" s="31" t="n">
        <v>183</v>
      </c>
      <c r="B179" s="42" t="inlineStr">
        <is>
          <t>Sarah</t>
        </is>
      </c>
      <c r="C179" s="42" t="inlineStr">
        <is>
          <t>Dwyer</t>
        </is>
      </c>
      <c r="D179" s="42" t="inlineStr">
        <is>
          <t>Dwyer, Sarah</t>
        </is>
      </c>
      <c r="E179" s="43" t="n">
        <v>45734</v>
      </c>
      <c r="F179" s="42" t="inlineStr">
        <is>
          <t>Full-Time</t>
        </is>
      </c>
      <c r="G179" s="43" t="n">
        <v>45734</v>
      </c>
      <c r="H179" s="42" t="inlineStr">
        <is>
          <t>Datadog</t>
        </is>
      </c>
      <c r="I179" s="42" t="inlineStr">
        <is>
          <t>Project Management</t>
        </is>
      </c>
      <c r="J179" s="42" t="inlineStr">
        <is>
          <t>Boylston</t>
        </is>
      </c>
      <c r="K179" s="42" t="inlineStr">
        <is>
          <t>Yes</t>
        </is>
      </c>
      <c r="L179" s="42" t="inlineStr">
        <is>
          <t>200- Datadog:210- Delivery</t>
        </is>
      </c>
      <c r="M179" s="42" t="inlineStr">
        <is>
          <t>Cost of Goods Sold:COGS- Travel Expenses:</t>
        </is>
      </c>
      <c r="N179" s="42" t="inlineStr">
        <is>
          <t>Cost of Goods Sold:COGS- Personnel Expense:</t>
        </is>
      </c>
      <c r="O179" s="44">
        <f>B179&amp;" "&amp;C179</f>
        <v/>
      </c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15.75" customHeight="1" s="52">
      <c r="A180" s="31" t="n">
        <v>184</v>
      </c>
      <c r="B180" s="42" t="inlineStr">
        <is>
          <t>Zaynaldine</t>
        </is>
      </c>
      <c r="C180" s="42" t="inlineStr">
        <is>
          <t>Moselhy</t>
        </is>
      </c>
      <c r="D180" s="42" t="inlineStr">
        <is>
          <t>Moselhy, Zaynaldine</t>
        </is>
      </c>
      <c r="E180" s="43" t="n">
        <v>45804</v>
      </c>
      <c r="F180" s="42" t="inlineStr">
        <is>
          <t>Paid Intern</t>
        </is>
      </c>
      <c r="G180" s="43" t="n">
        <v>45804</v>
      </c>
      <c r="H180" s="42" t="inlineStr">
        <is>
          <t>Operations</t>
        </is>
      </c>
      <c r="I180" s="42" t="inlineStr">
        <is>
          <t>Strategy</t>
        </is>
      </c>
      <c r="J180" s="42" t="inlineStr">
        <is>
          <t>Boylston</t>
        </is>
      </c>
      <c r="K180" s="42" t="inlineStr">
        <is>
          <t>No</t>
        </is>
      </c>
      <c r="L180" s="42" t="inlineStr">
        <is>
          <t>100- Operations:110- G&amp;A</t>
        </is>
      </c>
      <c r="M180" s="42" t="inlineStr">
        <is>
          <t>General &amp; Administrative:G&amp;A- Travel Expenses:</t>
        </is>
      </c>
      <c r="N180" s="42" t="inlineStr">
        <is>
          <t>General &amp; Administrative:G&amp;A- Personnel Expenses:</t>
        </is>
      </c>
      <c r="O180" s="44">
        <f>B180&amp;" "&amp;C180</f>
        <v/>
      </c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15.75" customHeight="1" s="52">
      <c r="A181" s="31" t="n">
        <v>187</v>
      </c>
      <c r="B181" s="42" t="inlineStr">
        <is>
          <t>Kevin</t>
        </is>
      </c>
      <c r="C181" s="42" t="inlineStr">
        <is>
          <t>Ebert</t>
        </is>
      </c>
      <c r="D181" s="42" t="inlineStr">
        <is>
          <t>Ebert, Kevin</t>
        </is>
      </c>
      <c r="E181" s="43" t="n">
        <v>45748</v>
      </c>
      <c r="F181" s="42" t="inlineStr">
        <is>
          <t>Full-Time</t>
        </is>
      </c>
      <c r="G181" s="43" t="n">
        <v>45748</v>
      </c>
      <c r="H181" s="42" t="inlineStr">
        <is>
          <t>Operations</t>
        </is>
      </c>
      <c r="I181" s="42" t="inlineStr">
        <is>
          <t>Sales</t>
        </is>
      </c>
      <c r="J181" s="42" t="inlineStr">
        <is>
          <t>Boylston</t>
        </is>
      </c>
      <c r="K181" s="42" t="inlineStr">
        <is>
          <t>No</t>
        </is>
      </c>
      <c r="L181" s="42" t="inlineStr">
        <is>
          <t>100- Operations:110- G&amp;A</t>
        </is>
      </c>
      <c r="M181" s="42" t="inlineStr">
        <is>
          <t>General &amp; Administrative:G&amp;A- Travel Expenses:</t>
        </is>
      </c>
      <c r="N181" s="42" t="inlineStr">
        <is>
          <t>General &amp; Administrative:G&amp;A- Personnel Expenses:</t>
        </is>
      </c>
      <c r="O181" s="44">
        <f>B181&amp;" "&amp;C181</f>
        <v/>
      </c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15.75" customHeight="1" s="52">
      <c r="A182" s="31" t="n">
        <v>188</v>
      </c>
      <c r="B182" s="42" t="inlineStr">
        <is>
          <t>Teresa</t>
        </is>
      </c>
      <c r="C182" s="42" t="inlineStr">
        <is>
          <t>Bobst</t>
        </is>
      </c>
      <c r="D182" s="42" t="inlineStr">
        <is>
          <t>Bobst, Teresa</t>
        </is>
      </c>
      <c r="E182" s="43" t="n">
        <v>45768</v>
      </c>
      <c r="F182" s="42" t="inlineStr">
        <is>
          <t>Full-Time</t>
        </is>
      </c>
      <c r="G182" s="43" t="n">
        <v>45768</v>
      </c>
      <c r="H182" s="42" t="inlineStr">
        <is>
          <t>ServiceNow</t>
        </is>
      </c>
      <c r="I182" s="42" t="inlineStr">
        <is>
          <t>Engineering</t>
        </is>
      </c>
      <c r="J182" s="42" t="inlineStr">
        <is>
          <t>Remote</t>
        </is>
      </c>
      <c r="K182" s="42" t="inlineStr">
        <is>
          <t>Yes</t>
        </is>
      </c>
      <c r="L182" s="42" t="inlineStr">
        <is>
          <t>300- ServiceNow:320- Engineering</t>
        </is>
      </c>
      <c r="M182" s="42" t="inlineStr">
        <is>
          <t>Cost of Goods Sold:COGS- Travel Expenses:</t>
        </is>
      </c>
      <c r="N182" s="42" t="inlineStr">
        <is>
          <t>Cost of Goods Sold:COGS- Personnel Expense:</t>
        </is>
      </c>
      <c r="O182" s="44">
        <f>B182&amp;" "&amp;C182</f>
        <v/>
      </c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15.75" customHeight="1" s="52">
      <c r="A183" s="31" t="n">
        <v>189</v>
      </c>
      <c r="B183" s="42" t="inlineStr">
        <is>
          <t>Ryan</t>
        </is>
      </c>
      <c r="C183" s="42" t="inlineStr">
        <is>
          <t>Kelly</t>
        </is>
      </c>
      <c r="D183" s="42" t="inlineStr">
        <is>
          <t>Kelly, Ryan</t>
        </is>
      </c>
      <c r="E183" s="43" t="n">
        <v>45768</v>
      </c>
      <c r="F183" s="42" t="inlineStr">
        <is>
          <t>Full-Time</t>
        </is>
      </c>
      <c r="G183" s="43" t="n">
        <v>45768</v>
      </c>
      <c r="H183" s="42" t="inlineStr">
        <is>
          <t>Datadog</t>
        </is>
      </c>
      <c r="I183" s="42" t="inlineStr">
        <is>
          <t>Engineering</t>
        </is>
      </c>
      <c r="J183" s="42" t="inlineStr">
        <is>
          <t>Boylston</t>
        </is>
      </c>
      <c r="K183" s="42" t="inlineStr">
        <is>
          <t>Yes</t>
        </is>
      </c>
      <c r="L183" s="42" t="inlineStr">
        <is>
          <t>200- Datadog:220- Engineering</t>
        </is>
      </c>
      <c r="M183" s="42" t="inlineStr">
        <is>
          <t>Cost of Goods Sold:COGS- Travel Expenses:</t>
        </is>
      </c>
      <c r="N183" s="42" t="inlineStr">
        <is>
          <t>Cost of Goods Sold:COGS- Personnel Expense:</t>
        </is>
      </c>
      <c r="O183" s="44">
        <f>B183&amp;" "&amp;C183</f>
        <v/>
      </c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15.75" customHeight="1" s="52">
      <c r="A184" s="47" t="n">
        <v>190</v>
      </c>
      <c r="B184" s="48" t="inlineStr">
        <is>
          <t>Nestor</t>
        </is>
      </c>
      <c r="C184" s="48" t="inlineStr">
        <is>
          <t>Abad Rodriguez</t>
        </is>
      </c>
      <c r="D184" s="48" t="inlineStr">
        <is>
          <t>Abad Rodriguez, Nestor</t>
        </is>
      </c>
      <c r="E184" s="49" t="n">
        <v>45810</v>
      </c>
      <c r="F184" s="48" t="inlineStr">
        <is>
          <t>Full-Time</t>
        </is>
      </c>
      <c r="G184" s="49" t="n">
        <v>45810</v>
      </c>
      <c r="H184" s="48" t="inlineStr">
        <is>
          <t>ServiceNow</t>
        </is>
      </c>
      <c r="I184" s="48" t="inlineStr">
        <is>
          <t>Sales</t>
        </is>
      </c>
      <c r="J184" s="48" t="inlineStr">
        <is>
          <t>Non-US</t>
        </is>
      </c>
      <c r="K184" s="48" t="inlineStr">
        <is>
          <t>No</t>
        </is>
      </c>
      <c r="L184" s="48" t="inlineStr">
        <is>
          <t>300- ServiceNow:330- Sales</t>
        </is>
      </c>
      <c r="M184" s="48" t="inlineStr">
        <is>
          <t>Sales &amp; Marketing:Sales &amp; Marketing- Travel Expenses:</t>
        </is>
      </c>
      <c r="N184" s="48" t="inlineStr">
        <is>
          <t>Sales &amp; Marketing:Sales &amp; Marketing- Personnel Expenses:</t>
        </is>
      </c>
      <c r="O184" s="44">
        <f>B184&amp;" "&amp;C184</f>
        <v/>
      </c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15.75" customHeight="1" s="52">
      <c r="A185" s="31" t="n">
        <v>191</v>
      </c>
      <c r="B185" s="42" t="inlineStr">
        <is>
          <t>Tom</t>
        </is>
      </c>
      <c r="C185" s="42" t="inlineStr">
        <is>
          <t>He</t>
        </is>
      </c>
      <c r="D185" s="42" t="inlineStr">
        <is>
          <t>He, Tom</t>
        </is>
      </c>
      <c r="E185" s="43" t="n">
        <v>45789</v>
      </c>
      <c r="F185" s="42" t="inlineStr">
        <is>
          <t>Full-Time</t>
        </is>
      </c>
      <c r="G185" s="43" t="n">
        <v>45789</v>
      </c>
      <c r="H185" s="42" t="inlineStr">
        <is>
          <t>ServiceNow</t>
        </is>
      </c>
      <c r="I185" s="42" t="inlineStr">
        <is>
          <t>Engineering</t>
        </is>
      </c>
      <c r="J185" s="42" t="inlineStr">
        <is>
          <t>Boylston</t>
        </is>
      </c>
      <c r="K185" s="42" t="inlineStr">
        <is>
          <t>Yes</t>
        </is>
      </c>
      <c r="L185" s="42" t="inlineStr">
        <is>
          <t>300- ServiceNow:320- Engineering</t>
        </is>
      </c>
      <c r="M185" s="42" t="inlineStr">
        <is>
          <t>Cost of Goods Sold:COGS- Travel Expenses:</t>
        </is>
      </c>
      <c r="N185" s="42" t="inlineStr">
        <is>
          <t>Cost of Goods Sold:COGS- Personnel Expense:</t>
        </is>
      </c>
      <c r="O185" s="44">
        <f>B185&amp;" "&amp;C185</f>
        <v/>
      </c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15.75" customHeight="1" s="52">
      <c r="A186" s="31" t="n">
        <v>192</v>
      </c>
      <c r="B186" s="42" t="inlineStr">
        <is>
          <t>Eric</t>
        </is>
      </c>
      <c r="C186" s="42" t="inlineStr">
        <is>
          <t>Dossland</t>
        </is>
      </c>
      <c r="D186" s="42" t="inlineStr">
        <is>
          <t>Dossland, Eric</t>
        </is>
      </c>
      <c r="E186" s="43" t="n">
        <v>45789</v>
      </c>
      <c r="F186" s="42" t="inlineStr">
        <is>
          <t>Terminated</t>
        </is>
      </c>
      <c r="G186" s="43" t="n">
        <v>45877</v>
      </c>
      <c r="H186" s="42" t="inlineStr">
        <is>
          <t>ServiceNow</t>
        </is>
      </c>
      <c r="I186" s="42" t="inlineStr">
        <is>
          <t>Engineering</t>
        </is>
      </c>
      <c r="J186" s="42" t="inlineStr">
        <is>
          <t>Remote</t>
        </is>
      </c>
      <c r="K186" s="42" t="inlineStr">
        <is>
          <t>Yes</t>
        </is>
      </c>
      <c r="L186" s="42" t="inlineStr">
        <is>
          <t>300- ServiceNow:320- Engineering</t>
        </is>
      </c>
      <c r="M186" s="42" t="inlineStr">
        <is>
          <t>Cost of Goods Sold:COGS- Travel Expenses:</t>
        </is>
      </c>
      <c r="N186" s="42" t="inlineStr">
        <is>
          <t>Cost of Goods Sold:COGS- Personnel Expense:</t>
        </is>
      </c>
      <c r="O186" s="44">
        <f>B186&amp;" "&amp;C186</f>
        <v/>
      </c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15.75" customHeight="1" s="52">
      <c r="A187" s="31" t="n">
        <v>193</v>
      </c>
      <c r="B187" s="42" t="inlineStr">
        <is>
          <t>James</t>
        </is>
      </c>
      <c r="C187" s="42" t="inlineStr">
        <is>
          <t>Whitehead</t>
        </is>
      </c>
      <c r="D187" s="42" t="inlineStr">
        <is>
          <t>Whitehead, James</t>
        </is>
      </c>
      <c r="E187" s="43" t="n">
        <v>45831</v>
      </c>
      <c r="F187" s="42" t="inlineStr">
        <is>
          <t>Full-Time</t>
        </is>
      </c>
      <c r="G187" s="43" t="n">
        <v>45831</v>
      </c>
      <c r="H187" s="42" t="inlineStr">
        <is>
          <t>Datadog</t>
        </is>
      </c>
      <c r="I187" s="42" t="inlineStr">
        <is>
          <t>Engineering</t>
        </is>
      </c>
      <c r="J187" s="42" t="inlineStr">
        <is>
          <t>Non-US</t>
        </is>
      </c>
      <c r="K187" s="42" t="inlineStr">
        <is>
          <t>Yes</t>
        </is>
      </c>
      <c r="L187" s="42" t="inlineStr">
        <is>
          <t>200- Datadog:220- Engineering</t>
        </is>
      </c>
      <c r="M187" s="42" t="inlineStr">
        <is>
          <t>Cost of Goods Sold:COGS- Travel Expenses:</t>
        </is>
      </c>
      <c r="N187" s="42" t="inlineStr">
        <is>
          <t>Cost of Goods Sold:COGS- Personnel Expense:</t>
        </is>
      </c>
      <c r="O187" s="44">
        <f>B187&amp;" "&amp;C187</f>
        <v/>
      </c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15.75" customHeight="1" s="52">
      <c r="A188" s="31" t="n">
        <v>194</v>
      </c>
      <c r="B188" s="42" t="inlineStr">
        <is>
          <t>Jacob</t>
        </is>
      </c>
      <c r="C188" s="42" t="inlineStr">
        <is>
          <t>Woolf</t>
        </is>
      </c>
      <c r="D188" s="42" t="inlineStr">
        <is>
          <t>Woolf, Jacob</t>
        </is>
      </c>
      <c r="E188" s="43" t="n">
        <v>45810</v>
      </c>
      <c r="F188" s="42" t="inlineStr">
        <is>
          <t>Full-Time</t>
        </is>
      </c>
      <c r="G188" s="43" t="n">
        <v>45810</v>
      </c>
      <c r="H188" s="42" t="inlineStr">
        <is>
          <t>ServiceNow</t>
        </is>
      </c>
      <c r="I188" s="42" t="inlineStr">
        <is>
          <t>Engineering</t>
        </is>
      </c>
      <c r="J188" s="42" t="inlineStr">
        <is>
          <t>Remote</t>
        </is>
      </c>
      <c r="K188" s="42" t="inlineStr">
        <is>
          <t>Yes</t>
        </is>
      </c>
      <c r="L188" s="42" t="inlineStr">
        <is>
          <t>300- ServiceNow:320- Engineering</t>
        </is>
      </c>
      <c r="M188" s="42" t="inlineStr">
        <is>
          <t>Cost of Goods Sold:COGS- Travel Expenses:</t>
        </is>
      </c>
      <c r="N188" s="42" t="inlineStr">
        <is>
          <t>Cost of Goods Sold:COGS- Personnel Expense:</t>
        </is>
      </c>
      <c r="O188" s="44">
        <f>B188&amp;" "&amp;C188</f>
        <v/>
      </c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15.75" customHeight="1" s="52">
      <c r="A189" s="31" t="n">
        <v>195</v>
      </c>
      <c r="B189" s="42" t="inlineStr">
        <is>
          <t>Heidebritta</t>
        </is>
      </c>
      <c r="C189" s="42" t="inlineStr">
        <is>
          <t>Frank</t>
        </is>
      </c>
      <c r="D189" s="42" t="inlineStr">
        <is>
          <t>Frank, Heidebritta</t>
        </is>
      </c>
      <c r="E189" s="43" t="n">
        <v>45804</v>
      </c>
      <c r="F189" s="42" t="inlineStr">
        <is>
          <t>Full-Time</t>
        </is>
      </c>
      <c r="G189" s="43" t="n">
        <v>45804</v>
      </c>
      <c r="H189" s="42" t="inlineStr">
        <is>
          <t>ServiceNow</t>
        </is>
      </c>
      <c r="I189" s="42" t="inlineStr">
        <is>
          <t>Project Management</t>
        </is>
      </c>
      <c r="J189" s="42" t="inlineStr">
        <is>
          <t>Boylston</t>
        </is>
      </c>
      <c r="K189" s="42" t="inlineStr">
        <is>
          <t>Yes</t>
        </is>
      </c>
      <c r="L189" s="42" t="inlineStr">
        <is>
          <t>300- ServiceNow:310- Delivery</t>
        </is>
      </c>
      <c r="M189" s="42" t="inlineStr">
        <is>
          <t>Cost of Goods Sold:COGS- Travel Expenses:</t>
        </is>
      </c>
      <c r="N189" s="42" t="inlineStr">
        <is>
          <t>Cost of Goods Sold:COGS- Personnel Expense:</t>
        </is>
      </c>
      <c r="O189" s="44">
        <f>B189&amp;" "&amp;C189</f>
        <v/>
      </c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15.75" customHeight="1" s="52">
      <c r="A190" s="31" t="n">
        <v>196</v>
      </c>
      <c r="B190" s="42" t="inlineStr">
        <is>
          <t>Jacob</t>
        </is>
      </c>
      <c r="C190" s="42" t="inlineStr">
        <is>
          <t>Villarreal</t>
        </is>
      </c>
      <c r="D190" s="42" t="inlineStr">
        <is>
          <t>Villarreal, Jacob</t>
        </is>
      </c>
      <c r="E190" s="43" t="n">
        <v>45817</v>
      </c>
      <c r="F190" s="42" t="inlineStr">
        <is>
          <t>Full-Time</t>
        </is>
      </c>
      <c r="G190" s="43" t="n">
        <v>45817</v>
      </c>
      <c r="H190" s="42" t="inlineStr">
        <is>
          <t>ServiceNow</t>
        </is>
      </c>
      <c r="I190" s="42" t="inlineStr">
        <is>
          <t>Engineering</t>
        </is>
      </c>
      <c r="J190" s="42" t="inlineStr">
        <is>
          <t>Remote</t>
        </is>
      </c>
      <c r="K190" s="42" t="inlineStr">
        <is>
          <t>Yes</t>
        </is>
      </c>
      <c r="L190" s="42" t="inlineStr">
        <is>
          <t>300- ServiceNow:320- Engineering</t>
        </is>
      </c>
      <c r="M190" s="42" t="inlineStr">
        <is>
          <t>Cost of Goods Sold:COGS- Travel Expenses:</t>
        </is>
      </c>
      <c r="N190" s="42" t="inlineStr">
        <is>
          <t>Cost of Goods Sold:COGS- Personnel Expense:</t>
        </is>
      </c>
      <c r="O190" s="44">
        <f>B190&amp;" "&amp;C190</f>
        <v/>
      </c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15.75" customHeight="1" s="52">
      <c r="A191" s="31" t="n">
        <v>197</v>
      </c>
      <c r="B191" s="42" t="inlineStr">
        <is>
          <t>Sean</t>
        </is>
      </c>
      <c r="C191" s="42" t="inlineStr">
        <is>
          <t>McDonough</t>
        </is>
      </c>
      <c r="D191" s="42" t="inlineStr">
        <is>
          <t>McDonough, Sean</t>
        </is>
      </c>
      <c r="E191" s="43" t="n">
        <v>45859</v>
      </c>
      <c r="F191" s="42" t="inlineStr">
        <is>
          <t>Full-Time</t>
        </is>
      </c>
      <c r="G191" s="43" t="n">
        <v>45859</v>
      </c>
      <c r="H191" s="42" t="inlineStr">
        <is>
          <t>Datadog</t>
        </is>
      </c>
      <c r="I191" s="42" t="inlineStr">
        <is>
          <t>Engineering</t>
        </is>
      </c>
      <c r="J191" s="42" t="inlineStr">
        <is>
          <t>Boylston</t>
        </is>
      </c>
      <c r="K191" s="42" t="inlineStr">
        <is>
          <t>Yes</t>
        </is>
      </c>
      <c r="L191" s="42" t="inlineStr">
        <is>
          <t>200- Datadog:220- Engineering</t>
        </is>
      </c>
      <c r="M191" s="42" t="inlineStr">
        <is>
          <t>Cost of Goods Sold:COGS- Travel Expenses:</t>
        </is>
      </c>
      <c r="N191" s="42" t="inlineStr">
        <is>
          <t>Cost of Goods Sold:COGS- Personnel Expense:</t>
        </is>
      </c>
      <c r="O191" s="44">
        <f>B191&amp;" "&amp;C191</f>
        <v/>
      </c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15.75" customHeight="1" s="52">
      <c r="A192" s="31" t="n">
        <v>198</v>
      </c>
      <c r="B192" s="42" t="inlineStr">
        <is>
          <t>Ona</t>
        </is>
      </c>
      <c r="C192" s="42" t="inlineStr">
        <is>
          <t>Kolosky</t>
        </is>
      </c>
      <c r="D192" s="42" t="inlineStr">
        <is>
          <t>Kolosky, Ona</t>
        </is>
      </c>
      <c r="E192" s="43" t="n">
        <v>45849</v>
      </c>
      <c r="F192" s="42" t="inlineStr">
        <is>
          <t>Full-Time</t>
        </is>
      </c>
      <c r="G192" s="43" t="n">
        <v>45849</v>
      </c>
      <c r="H192" s="42" t="inlineStr">
        <is>
          <t>ServiceNow</t>
        </is>
      </c>
      <c r="I192" s="42" t="inlineStr">
        <is>
          <t>Engineering</t>
        </is>
      </c>
      <c r="J192" s="42" t="inlineStr">
        <is>
          <t>Remote</t>
        </is>
      </c>
      <c r="K192" s="42" t="inlineStr">
        <is>
          <t>Yes</t>
        </is>
      </c>
      <c r="L192" s="42" t="inlineStr">
        <is>
          <t>300- ServiceNow:320- Engineering</t>
        </is>
      </c>
      <c r="M192" s="42" t="inlineStr">
        <is>
          <t>Cost of Goods Sold:COGS- Travel Expenses:</t>
        </is>
      </c>
      <c r="N192" s="42" t="inlineStr">
        <is>
          <t>Cost of Goods Sold:COGS- Personnel Expense:</t>
        </is>
      </c>
      <c r="O192" s="44">
        <f>B192&amp;" "&amp;C192</f>
        <v/>
      </c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15.75" customHeight="1" s="52">
      <c r="A193" s="31" t="n">
        <v>199</v>
      </c>
      <c r="B193" s="42" t="inlineStr">
        <is>
          <t>Saurabh</t>
        </is>
      </c>
      <c r="C193" s="42" t="inlineStr">
        <is>
          <t>Premraj</t>
        </is>
      </c>
      <c r="D193" s="42" t="inlineStr">
        <is>
          <t>Premraj, Saurabh</t>
        </is>
      </c>
      <c r="E193" s="43" t="n">
        <v>45898</v>
      </c>
      <c r="F193" s="42" t="inlineStr">
        <is>
          <t>Full-Time</t>
        </is>
      </c>
      <c r="G193" s="43" t="n">
        <v>45898</v>
      </c>
      <c r="H193" s="42" t="inlineStr">
        <is>
          <t>Datadog</t>
        </is>
      </c>
      <c r="I193" s="42" t="inlineStr">
        <is>
          <t>Engineering</t>
        </is>
      </c>
      <c r="J193" s="42" t="inlineStr">
        <is>
          <t>Boylston</t>
        </is>
      </c>
      <c r="K193" s="42" t="inlineStr">
        <is>
          <t>Yes</t>
        </is>
      </c>
      <c r="L193" s="42" t="inlineStr">
        <is>
          <t>200- Datadog:220- Engineering</t>
        </is>
      </c>
      <c r="M193" s="42" t="inlineStr">
        <is>
          <t>Cost of Goods Sold:COGS- Travel Expenses:</t>
        </is>
      </c>
      <c r="N193" s="42" t="inlineStr">
        <is>
          <t>Cost of Goods Sold:COGS- Personnel Expense:</t>
        </is>
      </c>
      <c r="O193" s="44">
        <f>B193&amp;" "&amp;C193</f>
        <v/>
      </c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15.75" customHeight="1" s="52">
      <c r="A194" s="31" t="n">
        <v>200</v>
      </c>
      <c r="B194" s="42" t="inlineStr">
        <is>
          <t>Michael</t>
        </is>
      </c>
      <c r="C194" s="42" t="inlineStr">
        <is>
          <t>McCall</t>
        </is>
      </c>
      <c r="D194" s="42" t="inlineStr">
        <is>
          <t>McCall, Michael</t>
        </is>
      </c>
      <c r="E194" s="43" t="n">
        <v>45866</v>
      </c>
      <c r="F194" s="42" t="inlineStr">
        <is>
          <t>Full-Time</t>
        </is>
      </c>
      <c r="G194" s="43" t="n">
        <v>45866</v>
      </c>
      <c r="H194" s="42" t="inlineStr">
        <is>
          <t>ServiceNow</t>
        </is>
      </c>
      <c r="I194" s="42" t="inlineStr">
        <is>
          <t>Engineering</t>
        </is>
      </c>
      <c r="J194" s="42" t="inlineStr">
        <is>
          <t>Boylston</t>
        </is>
      </c>
      <c r="K194" s="42" t="inlineStr">
        <is>
          <t>Yes</t>
        </is>
      </c>
      <c r="L194" s="42" t="inlineStr">
        <is>
          <t>300- ServiceNow:320- Engineering</t>
        </is>
      </c>
      <c r="M194" s="42" t="inlineStr">
        <is>
          <t>Cost of Goods Sold:COGS- Travel Expenses:</t>
        </is>
      </c>
      <c r="N194" s="42" t="inlineStr">
        <is>
          <t>Cost of Goods Sold:COGS- Personnel Expense:</t>
        </is>
      </c>
      <c r="O194" s="44">
        <f>B194&amp;" "&amp;C194</f>
        <v/>
      </c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15.75" customHeight="1" s="52">
      <c r="A195" s="31" t="n">
        <v>201</v>
      </c>
      <c r="B195" s="42" t="inlineStr">
        <is>
          <t>Andrew</t>
        </is>
      </c>
      <c r="C195" s="42" t="inlineStr">
        <is>
          <t>Bowers</t>
        </is>
      </c>
      <c r="D195" s="42" t="inlineStr">
        <is>
          <t>Bowers, Andrew</t>
        </is>
      </c>
      <c r="E195" s="43" t="n">
        <v>45877</v>
      </c>
      <c r="F195" s="42" t="inlineStr">
        <is>
          <t>Full-Time</t>
        </is>
      </c>
      <c r="G195" s="43" t="n">
        <v>45877</v>
      </c>
      <c r="H195" s="42" t="inlineStr">
        <is>
          <t>ServiceNow</t>
        </is>
      </c>
      <c r="I195" s="42" t="inlineStr">
        <is>
          <t>Engineering</t>
        </is>
      </c>
      <c r="J195" s="42" t="inlineStr">
        <is>
          <t>Remote</t>
        </is>
      </c>
      <c r="K195" s="42" t="inlineStr">
        <is>
          <t>Yes</t>
        </is>
      </c>
      <c r="L195" s="42" t="inlineStr">
        <is>
          <t>300- ServiceNow:320- Engineering</t>
        </is>
      </c>
      <c r="M195" s="42" t="inlineStr">
        <is>
          <t>Cost of Goods Sold:COGS- Travel Expenses:</t>
        </is>
      </c>
      <c r="N195" s="42" t="inlineStr">
        <is>
          <t>Cost of Goods Sold:COGS- Personnel Expense:</t>
        </is>
      </c>
      <c r="O195" s="44">
        <f>B195&amp;" "&amp;C195</f>
        <v/>
      </c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15.75" customHeight="1" s="52">
      <c r="A196" s="31" t="n">
        <v>202</v>
      </c>
      <c r="B196" s="42" t="inlineStr">
        <is>
          <t>David</t>
        </is>
      </c>
      <c r="C196" s="42" t="inlineStr">
        <is>
          <t>Sachs</t>
        </is>
      </c>
      <c r="D196" s="42" t="inlineStr">
        <is>
          <t>Sachs, David</t>
        </is>
      </c>
      <c r="E196" s="43" t="n">
        <v>45887</v>
      </c>
      <c r="F196" s="42" t="inlineStr">
        <is>
          <t>Full-Time</t>
        </is>
      </c>
      <c r="G196" s="43" t="n">
        <v>45887</v>
      </c>
      <c r="H196" s="42" t="inlineStr">
        <is>
          <t>Datadog</t>
        </is>
      </c>
      <c r="I196" s="42" t="inlineStr">
        <is>
          <t>Engineering</t>
        </is>
      </c>
      <c r="J196" s="42" t="inlineStr">
        <is>
          <t>Boylston</t>
        </is>
      </c>
      <c r="K196" s="42" t="inlineStr">
        <is>
          <t>Yes</t>
        </is>
      </c>
      <c r="L196" s="42" t="inlineStr">
        <is>
          <t>200- Datadog:220- Engineering</t>
        </is>
      </c>
      <c r="M196" s="42" t="inlineStr">
        <is>
          <t>Cost of Goods Sold:COGS- Travel Expenses:</t>
        </is>
      </c>
      <c r="N196" s="42" t="inlineStr">
        <is>
          <t>Cost of Goods Sold:COGS- Personnel Expense:</t>
        </is>
      </c>
      <c r="O196" s="44">
        <f>B196&amp;" "&amp;C196</f>
        <v/>
      </c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15.75" customHeight="1" s="52">
      <c r="A197" s="31" t="n">
        <v>203</v>
      </c>
      <c r="B197" s="42" t="inlineStr">
        <is>
          <t>Bryce</t>
        </is>
      </c>
      <c r="C197" s="42" t="inlineStr">
        <is>
          <t>Gelinas</t>
        </is>
      </c>
      <c r="D197" s="42" t="inlineStr">
        <is>
          <t>Gelinas, Bryce</t>
        </is>
      </c>
      <c r="E197" s="43" t="n">
        <v>45894</v>
      </c>
      <c r="F197" s="42" t="inlineStr">
        <is>
          <t>Full-Time</t>
        </is>
      </c>
      <c r="G197" s="43" t="n">
        <v>45894</v>
      </c>
      <c r="H197" s="42" t="inlineStr">
        <is>
          <t>ServiceNow</t>
        </is>
      </c>
      <c r="I197" s="42" t="inlineStr">
        <is>
          <t>Engineering</t>
        </is>
      </c>
      <c r="J197" s="42" t="inlineStr">
        <is>
          <t>Remote</t>
        </is>
      </c>
      <c r="K197" s="42" t="inlineStr">
        <is>
          <t>Yes</t>
        </is>
      </c>
      <c r="L197" s="42" t="inlineStr">
        <is>
          <t>300- ServiceNow:320- Engineering</t>
        </is>
      </c>
      <c r="M197" s="42" t="inlineStr">
        <is>
          <t>Cost of Goods Sold:COGS- Travel Expenses:</t>
        </is>
      </c>
      <c r="N197" s="42" t="inlineStr">
        <is>
          <t>Cost of Goods Sold:COGS- Personnel Expense:</t>
        </is>
      </c>
      <c r="O197" s="44">
        <f>B197&amp;" "&amp;C197</f>
        <v/>
      </c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15.75" customHeight="1" s="52">
      <c r="A198" s="31" t="n">
        <v>204</v>
      </c>
      <c r="B198" s="42" t="inlineStr">
        <is>
          <t>Bryan</t>
        </is>
      </c>
      <c r="C198" s="42" t="inlineStr">
        <is>
          <t>Kuhlman</t>
        </is>
      </c>
      <c r="D198" s="42" t="inlineStr">
        <is>
          <t>Kuhlman, Bryan</t>
        </is>
      </c>
      <c r="E198" s="43" t="n">
        <v>45890</v>
      </c>
      <c r="F198" s="42" t="inlineStr">
        <is>
          <t>Full-Time</t>
        </is>
      </c>
      <c r="G198" s="43" t="n">
        <v>45890</v>
      </c>
      <c r="H198" s="42" t="inlineStr">
        <is>
          <t>ServiceNow</t>
        </is>
      </c>
      <c r="I198" s="42" t="inlineStr">
        <is>
          <t>Project Management</t>
        </is>
      </c>
      <c r="J198" s="42" t="inlineStr">
        <is>
          <t>Boylston</t>
        </is>
      </c>
      <c r="K198" s="42" t="inlineStr">
        <is>
          <t>Yes</t>
        </is>
      </c>
      <c r="L198" s="42" t="inlineStr">
        <is>
          <t>300- ServiceNow:310- Delivery</t>
        </is>
      </c>
      <c r="M198" s="42" t="inlineStr">
        <is>
          <t>Cost of Goods Sold:COGS- Travel Expenses:</t>
        </is>
      </c>
      <c r="N198" s="42" t="inlineStr">
        <is>
          <t>Cost of Goods Sold:COGS- Personnel Expense:</t>
        </is>
      </c>
      <c r="O198" s="44">
        <f>B198&amp;" "&amp;C198</f>
        <v/>
      </c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15.75" customHeight="1" s="52">
      <c r="A199" s="31" t="n">
        <v>205</v>
      </c>
      <c r="B199" s="42" t="inlineStr">
        <is>
          <t>Stacey</t>
        </is>
      </c>
      <c r="C199" s="42" t="inlineStr">
        <is>
          <t>Pevec</t>
        </is>
      </c>
      <c r="D199" s="42" t="inlineStr">
        <is>
          <t>Pevec, Stacey</t>
        </is>
      </c>
      <c r="E199" s="43" t="n">
        <v>45902</v>
      </c>
      <c r="F199" s="42" t="inlineStr">
        <is>
          <t>Full-Time</t>
        </is>
      </c>
      <c r="G199" s="43" t="n">
        <v>45902</v>
      </c>
      <c r="H199" s="42" t="inlineStr">
        <is>
          <t>ServiceNow</t>
        </is>
      </c>
      <c r="I199" s="42" t="inlineStr">
        <is>
          <t>Engineering</t>
        </is>
      </c>
      <c r="J199" s="42" t="inlineStr">
        <is>
          <t>Remote</t>
        </is>
      </c>
      <c r="K199" s="42" t="inlineStr">
        <is>
          <t>Yes</t>
        </is>
      </c>
      <c r="L199" s="42" t="inlineStr">
        <is>
          <t>300- ServiceNow:320- Engineering</t>
        </is>
      </c>
      <c r="M199" s="42" t="inlineStr">
        <is>
          <t>Cost of Goods Sold:COGS- Travel Expenses:</t>
        </is>
      </c>
      <c r="N199" s="42" t="inlineStr">
        <is>
          <t>Cost of Goods Sold:COGS- Personnel Expense:</t>
        </is>
      </c>
      <c r="O199" s="44">
        <f>B199&amp;" "&amp;C199</f>
        <v/>
      </c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15.75" customHeight="1" s="52">
      <c r="A200" s="31" t="n">
        <v>206</v>
      </c>
      <c r="B200" s="42" t="inlineStr">
        <is>
          <t>Pierina</t>
        </is>
      </c>
      <c r="C200" s="42" t="inlineStr">
        <is>
          <t>Cabrera</t>
        </is>
      </c>
      <c r="D200" s="42" t="inlineStr">
        <is>
          <t>Cabrera, Pierina</t>
        </is>
      </c>
      <c r="E200" s="43" t="n">
        <v>45880</v>
      </c>
      <c r="F200" s="42" t="inlineStr">
        <is>
          <t>Contractor/Consultant</t>
        </is>
      </c>
      <c r="G200" s="43" t="n">
        <v>45880</v>
      </c>
      <c r="H200" s="42" t="inlineStr">
        <is>
          <t>Operations</t>
        </is>
      </c>
      <c r="I200" s="42" t="inlineStr">
        <is>
          <t>People Operations</t>
        </is>
      </c>
      <c r="J200" s="42" t="inlineStr">
        <is>
          <t>Boylston</t>
        </is>
      </c>
      <c r="K200" s="42" t="inlineStr">
        <is>
          <t>No</t>
        </is>
      </c>
      <c r="L200" s="42" t="inlineStr">
        <is>
          <t>100- Operations:110- G&amp;A</t>
        </is>
      </c>
      <c r="M200" s="42" t="inlineStr">
        <is>
          <t>General &amp; Administrative:G&amp;A- Travel Expenses:</t>
        </is>
      </c>
      <c r="N200" s="42" t="inlineStr">
        <is>
          <t>General &amp; Administrative:G&amp;A- Personnel Expenses:</t>
        </is>
      </c>
      <c r="O200" s="44">
        <f>B200&amp;" "&amp;C200</f>
        <v/>
      </c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15.75" customHeight="1" s="52">
      <c r="A201" s="31" t="n">
        <v>207</v>
      </c>
      <c r="B201" s="42" t="inlineStr">
        <is>
          <t>Daniel</t>
        </is>
      </c>
      <c r="C201" s="42" t="inlineStr">
        <is>
          <t>Blauvelt</t>
        </is>
      </c>
      <c r="D201" s="42" t="inlineStr">
        <is>
          <t>Blauvelt, Daniel</t>
        </is>
      </c>
      <c r="E201" s="43" t="n">
        <v>45902</v>
      </c>
      <c r="F201" s="42" t="inlineStr">
        <is>
          <t>Full-Time</t>
        </is>
      </c>
      <c r="G201" s="43" t="n">
        <v>45902</v>
      </c>
      <c r="H201" s="42" t="inlineStr">
        <is>
          <t>ServiceNow</t>
        </is>
      </c>
      <c r="I201" s="42" t="inlineStr">
        <is>
          <t>Engineering</t>
        </is>
      </c>
      <c r="J201" s="42" t="inlineStr">
        <is>
          <t>Boylston</t>
        </is>
      </c>
      <c r="K201" s="46" t="inlineStr">
        <is>
          <t>No</t>
        </is>
      </c>
      <c r="L201" s="42" t="inlineStr">
        <is>
          <t>300- ServiceNow:320- Engineering</t>
        </is>
      </c>
      <c r="M201" s="42" t="inlineStr">
        <is>
          <t>General &amp; Administrative:G&amp;A- Travel Expenses:</t>
        </is>
      </c>
      <c r="N201" s="42" t="inlineStr">
        <is>
          <t>Sales &amp; Marketing:Sales &amp; Marketing- Personnel Expenses:</t>
        </is>
      </c>
      <c r="O201" s="44">
        <f>B201&amp;" "&amp;C201</f>
        <v/>
      </c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15.75" customHeight="1" s="52">
      <c r="A202" s="31" t="n">
        <v>208</v>
      </c>
      <c r="B202" s="42" t="inlineStr">
        <is>
          <t>Tim</t>
        </is>
      </c>
      <c r="C202" s="42" t="inlineStr">
        <is>
          <t>Marro</t>
        </is>
      </c>
      <c r="D202" s="42" t="inlineStr">
        <is>
          <t>Marro, Tim</t>
        </is>
      </c>
      <c r="E202" s="43" t="n">
        <v>45902</v>
      </c>
      <c r="F202" s="42" t="inlineStr">
        <is>
          <t>Full-Time</t>
        </is>
      </c>
      <c r="G202" s="43" t="n">
        <v>45902</v>
      </c>
      <c r="H202" s="42" t="inlineStr">
        <is>
          <t>ServiceNow</t>
        </is>
      </c>
      <c r="I202" s="42" t="inlineStr">
        <is>
          <t>Engineering</t>
        </is>
      </c>
      <c r="J202" s="42" t="inlineStr">
        <is>
          <t>Boylston</t>
        </is>
      </c>
      <c r="K202" s="42" t="inlineStr">
        <is>
          <t>No</t>
        </is>
      </c>
      <c r="L202" s="42" t="inlineStr">
        <is>
          <t>300- ServiceNow:320- Engineering</t>
        </is>
      </c>
      <c r="M202" s="42" t="inlineStr">
        <is>
          <t>General &amp; Administrative:G&amp;A- Travel Expenses:</t>
        </is>
      </c>
      <c r="N202" s="42" t="inlineStr">
        <is>
          <t>Sales &amp; Marketing:Sales &amp; Marketing- Personnel Expenses:</t>
        </is>
      </c>
      <c r="O202" s="44">
        <f>B202&amp;" "&amp;C202</f>
        <v/>
      </c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15.75" customHeight="1" s="52">
      <c r="A203" s="31" t="n">
        <v>209</v>
      </c>
      <c r="B203" s="42" t="inlineStr">
        <is>
          <t>Sakshi</t>
        </is>
      </c>
      <c r="C203" s="42" t="inlineStr">
        <is>
          <t>Sasalate</t>
        </is>
      </c>
      <c r="D203" s="42" t="inlineStr">
        <is>
          <t>Sasalate, Sakshi</t>
        </is>
      </c>
      <c r="E203" s="43" t="n">
        <v>45908</v>
      </c>
      <c r="F203" s="42" t="inlineStr">
        <is>
          <t>Full-Time</t>
        </is>
      </c>
      <c r="G203" s="43" t="n">
        <v>45908</v>
      </c>
      <c r="H203" s="42" t="inlineStr">
        <is>
          <t>ServiceNow</t>
        </is>
      </c>
      <c r="I203" s="42" t="inlineStr">
        <is>
          <t>Engineering</t>
        </is>
      </c>
      <c r="J203" s="42" t="inlineStr">
        <is>
          <t>Boylston</t>
        </is>
      </c>
      <c r="K203" s="46" t="inlineStr">
        <is>
          <t>No</t>
        </is>
      </c>
      <c r="L203" s="42" t="inlineStr">
        <is>
          <t>300- ServiceNow:320- Engineering</t>
        </is>
      </c>
      <c r="M203" s="42" t="inlineStr">
        <is>
          <t>General &amp; Administrative:G&amp;A- Travel Expenses:</t>
        </is>
      </c>
      <c r="N203" s="42" t="inlineStr">
        <is>
          <t>Sales &amp; Marketing:Sales &amp; Marketing- Personnel Expenses:</t>
        </is>
      </c>
      <c r="O203" s="44">
        <f>B203&amp;" "&amp;C203</f>
        <v/>
      </c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15.75" customHeight="1" s="52">
      <c r="A204" s="31" t="n">
        <v>210</v>
      </c>
      <c r="B204" s="42" t="inlineStr">
        <is>
          <t>Timothy</t>
        </is>
      </c>
      <c r="C204" s="42" t="inlineStr">
        <is>
          <t>Lau</t>
        </is>
      </c>
      <c r="D204" s="42" t="inlineStr">
        <is>
          <t>Lau, Timothy</t>
        </is>
      </c>
      <c r="E204" s="43" t="n">
        <v>45915</v>
      </c>
      <c r="F204" s="42" t="inlineStr">
        <is>
          <t>Full-Time</t>
        </is>
      </c>
      <c r="G204" s="43" t="n">
        <v>45915</v>
      </c>
      <c r="H204" s="42" t="inlineStr">
        <is>
          <t>Datadog</t>
        </is>
      </c>
      <c r="I204" s="42" t="inlineStr">
        <is>
          <t>Engineering</t>
        </is>
      </c>
      <c r="J204" s="42" t="inlineStr">
        <is>
          <t>Boylston</t>
        </is>
      </c>
      <c r="K204" s="42" t="inlineStr">
        <is>
          <t>Yes</t>
        </is>
      </c>
      <c r="L204" s="42" t="inlineStr">
        <is>
          <t>200- Datadog:220- Engineering</t>
        </is>
      </c>
      <c r="M204" s="42" t="inlineStr">
        <is>
          <t>Cost of Goods Sold:COGS- Travel Expenses:</t>
        </is>
      </c>
      <c r="N204" s="42" t="inlineStr">
        <is>
          <t>Cost of Goods Sold:COGS- Personnel Expense:</t>
        </is>
      </c>
      <c r="O204" s="44">
        <f>B204&amp;" "&amp;C204</f>
        <v/>
      </c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15.75" customHeight="1" s="52">
      <c r="A205" s="31" t="n">
        <v>211</v>
      </c>
      <c r="B205" s="42" t="inlineStr">
        <is>
          <t>Andrew</t>
        </is>
      </c>
      <c r="C205" s="42" t="inlineStr">
        <is>
          <t>Halstead</t>
        </is>
      </c>
      <c r="D205" s="42" t="inlineStr">
        <is>
          <t>Halstead, Andrew</t>
        </is>
      </c>
      <c r="E205" s="43" t="n">
        <v>45902</v>
      </c>
      <c r="F205" s="42" t="inlineStr">
        <is>
          <t>Full-Time</t>
        </is>
      </c>
      <c r="G205" s="43" t="n">
        <v>45902</v>
      </c>
      <c r="H205" s="42" t="inlineStr">
        <is>
          <t>ServiceNow</t>
        </is>
      </c>
      <c r="I205" s="42" t="inlineStr">
        <is>
          <t>Engineering</t>
        </is>
      </c>
      <c r="J205" s="42" t="inlineStr">
        <is>
          <t>Remote</t>
        </is>
      </c>
      <c r="K205" s="42" t="inlineStr">
        <is>
          <t>Yes</t>
        </is>
      </c>
      <c r="L205" s="42" t="inlineStr">
        <is>
          <t>300- ServiceNow:320- Engineering</t>
        </is>
      </c>
      <c r="M205" s="42" t="inlineStr">
        <is>
          <t>Cost of Goods Sold:COGS- Travel Expenses:</t>
        </is>
      </c>
      <c r="N205" s="42" t="inlineStr">
        <is>
          <t>Cost of Goods Sold:COGS- Personnel Expense:</t>
        </is>
      </c>
      <c r="O205" s="44">
        <f>B205&amp;" "&amp;C205</f>
        <v/>
      </c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15.75" customHeight="1" s="52">
      <c r="A206" s="31" t="n">
        <v>212</v>
      </c>
      <c r="B206" s="42" t="inlineStr">
        <is>
          <t>Sven</t>
        </is>
      </c>
      <c r="C206" s="42" t="inlineStr">
        <is>
          <t>Zhang</t>
        </is>
      </c>
      <c r="D206" s="42" t="inlineStr">
        <is>
          <t>Zhang, Sven</t>
        </is>
      </c>
      <c r="E206" s="43" t="n">
        <v>45915</v>
      </c>
      <c r="F206" s="42" t="inlineStr">
        <is>
          <t>Full-Time</t>
        </is>
      </c>
      <c r="G206" s="43" t="n">
        <v>45915</v>
      </c>
      <c r="H206" s="42" t="inlineStr">
        <is>
          <t>ServiceNow</t>
        </is>
      </c>
      <c r="I206" s="42" t="inlineStr">
        <is>
          <t>Engineering</t>
        </is>
      </c>
      <c r="J206" s="42" t="inlineStr">
        <is>
          <t>Non-US</t>
        </is>
      </c>
      <c r="K206" s="46" t="inlineStr">
        <is>
          <t>Yes</t>
        </is>
      </c>
      <c r="L206" s="42" t="inlineStr">
        <is>
          <t>300- ServiceNow:320- Engineering</t>
        </is>
      </c>
      <c r="M206" s="42" t="inlineStr">
        <is>
          <t>Cost of Goods Sold:COGS- Travel Expenses:</t>
        </is>
      </c>
      <c r="N206" s="42" t="inlineStr">
        <is>
          <t>Cost of Goods Sold:COGS- Personnel Expense:</t>
        </is>
      </c>
      <c r="O206" s="44">
        <f>B206&amp;" "&amp;C206</f>
        <v/>
      </c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15.75" customHeight="1" s="52">
      <c r="A207" s="31" t="n">
        <v>213</v>
      </c>
      <c r="B207" s="42" t="inlineStr">
        <is>
          <t>Tim</t>
        </is>
      </c>
      <c r="C207" s="42" t="inlineStr">
        <is>
          <t>Lee</t>
        </is>
      </c>
      <c r="D207" s="42" t="inlineStr">
        <is>
          <t>Lee, Tim</t>
        </is>
      </c>
      <c r="E207" s="43" t="n">
        <v>45908</v>
      </c>
      <c r="F207" s="42" t="inlineStr">
        <is>
          <t>Full-Time</t>
        </is>
      </c>
      <c r="G207" s="43" t="n">
        <v>45908</v>
      </c>
      <c r="H207" s="42" t="inlineStr">
        <is>
          <t>ServiceNow</t>
        </is>
      </c>
      <c r="I207" s="42" t="inlineStr">
        <is>
          <t>Project Management</t>
        </is>
      </c>
      <c r="J207" s="42" t="inlineStr">
        <is>
          <t>Boylston</t>
        </is>
      </c>
      <c r="K207" s="42" t="inlineStr">
        <is>
          <t>Yes</t>
        </is>
      </c>
      <c r="L207" s="42" t="inlineStr">
        <is>
          <t>300- ServiceNow:310- Delivery</t>
        </is>
      </c>
      <c r="M207" s="42" t="inlineStr">
        <is>
          <t>Cost of Goods Sold:COGS- Travel Expenses:</t>
        </is>
      </c>
      <c r="N207" s="42" t="inlineStr">
        <is>
          <t>Cost of Goods Sold:COGS- Personnel Expense:</t>
        </is>
      </c>
      <c r="O207" s="44">
        <f>B207&amp;" "&amp;C207</f>
        <v/>
      </c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15.75" customHeight="1" s="52">
      <c r="A208" s="31" t="n">
        <v>214</v>
      </c>
      <c r="B208" s="42" t="inlineStr">
        <is>
          <t>Tokuya</t>
        </is>
      </c>
      <c r="C208" s="42" t="inlineStr">
        <is>
          <t>Takahashi</t>
        </is>
      </c>
      <c r="D208" s="42" t="inlineStr">
        <is>
          <t>Takahashi, Tokuya</t>
        </is>
      </c>
      <c r="E208" s="43" t="n">
        <v>45915</v>
      </c>
      <c r="F208" s="42" t="inlineStr">
        <is>
          <t>Full-Time</t>
        </is>
      </c>
      <c r="G208" s="43" t="n">
        <v>45915</v>
      </c>
      <c r="H208" s="42" t="inlineStr">
        <is>
          <t>ServiceNow</t>
        </is>
      </c>
      <c r="I208" s="42" t="inlineStr">
        <is>
          <t>Engineering</t>
        </is>
      </c>
      <c r="J208" s="42" t="inlineStr">
        <is>
          <t>Remote</t>
        </is>
      </c>
      <c r="K208" s="46" t="inlineStr">
        <is>
          <t>Yes</t>
        </is>
      </c>
      <c r="L208" s="42" t="inlineStr">
        <is>
          <t>300- ServiceNow:320- Engineering</t>
        </is>
      </c>
      <c r="M208" s="42" t="inlineStr">
        <is>
          <t>Cost of Goods Sold:COGS- Travel Expenses:</t>
        </is>
      </c>
      <c r="N208" s="42" t="inlineStr">
        <is>
          <t>Cost of Goods Sold:COGS- Personnel Expense:</t>
        </is>
      </c>
      <c r="O208" s="44">
        <f>B208&amp;" "&amp;C208</f>
        <v/>
      </c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15.75" customHeight="1" s="52">
      <c r="A209" s="31" t="n">
        <v>215</v>
      </c>
      <c r="B209" s="42" t="inlineStr">
        <is>
          <t>Israel</t>
        </is>
      </c>
      <c r="C209" s="42" t="inlineStr">
        <is>
          <t>Baral</t>
        </is>
      </c>
      <c r="D209" s="42" t="inlineStr">
        <is>
          <t>Baral, Israel</t>
        </is>
      </c>
      <c r="E209" s="43" t="n">
        <v>45917</v>
      </c>
      <c r="F209" s="42" t="inlineStr">
        <is>
          <t>Full-Time</t>
        </is>
      </c>
      <c r="G209" s="43" t="n">
        <v>45917</v>
      </c>
      <c r="H209" s="46" t="inlineStr">
        <is>
          <t>ServiceNow</t>
        </is>
      </c>
      <c r="I209" s="42" t="inlineStr">
        <is>
          <t>Engineering</t>
        </is>
      </c>
      <c r="J209" s="42" t="inlineStr">
        <is>
          <t>Boylston</t>
        </is>
      </c>
      <c r="K209" s="46" t="inlineStr">
        <is>
          <t>Yes</t>
        </is>
      </c>
      <c r="L209" s="42" t="inlineStr">
        <is>
          <t>300- ServiceNow:320- Engineering</t>
        </is>
      </c>
      <c r="M209" s="42" t="inlineStr">
        <is>
          <t>Cost of Goods Sold:COGS- Travel Expenses:</t>
        </is>
      </c>
      <c r="N209" s="42" t="inlineStr">
        <is>
          <t>Cost of Goods Sold:COGS- Personnel Expense:</t>
        </is>
      </c>
      <c r="O209" s="44">
        <f>B209&amp;" "&amp;C209</f>
        <v/>
      </c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15.75" customHeight="1" s="52">
      <c r="A210" s="31" t="n">
        <v>216</v>
      </c>
      <c r="B210" s="42" t="inlineStr">
        <is>
          <t>Dean</t>
        </is>
      </c>
      <c r="C210" s="42" t="inlineStr">
        <is>
          <t>DeMonte</t>
        </is>
      </c>
      <c r="D210" s="42" t="inlineStr">
        <is>
          <t>DeMonte, Dean</t>
        </is>
      </c>
      <c r="E210" s="43" t="n">
        <v>45936</v>
      </c>
      <c r="F210" s="42" t="inlineStr">
        <is>
          <t>Full-Time</t>
        </is>
      </c>
      <c r="G210" s="43" t="n">
        <v>45936</v>
      </c>
      <c r="H210" s="42" t="inlineStr">
        <is>
          <t>Datadog</t>
        </is>
      </c>
      <c r="I210" s="42" t="inlineStr">
        <is>
          <t>Sales</t>
        </is>
      </c>
      <c r="J210" s="42" t="inlineStr">
        <is>
          <t>Non-US</t>
        </is>
      </c>
      <c r="K210" s="42" t="inlineStr">
        <is>
          <t>No</t>
        </is>
      </c>
      <c r="L210" s="42" t="inlineStr">
        <is>
          <t>200- Datadog:230- Sales</t>
        </is>
      </c>
      <c r="M210" s="42" t="inlineStr">
        <is>
          <t>Sales &amp; Marketing:Sales &amp; Marketing- Travel Expenses:</t>
        </is>
      </c>
      <c r="N210" s="42" t="inlineStr">
        <is>
          <t>Sales &amp; Marketing:Sales &amp; Marketing- Personnel Expenses:</t>
        </is>
      </c>
      <c r="O210" s="44">
        <f>B210&amp;" "&amp;C210</f>
        <v/>
      </c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15.75" customHeight="1" s="52">
      <c r="A211" s="31" t="n">
        <v>217</v>
      </c>
      <c r="B211" s="42" t="inlineStr">
        <is>
          <t>Anthony</t>
        </is>
      </c>
      <c r="C211" s="42" t="inlineStr">
        <is>
          <t>Masse</t>
        </is>
      </c>
      <c r="D211" s="42" t="inlineStr">
        <is>
          <t>Masse, Anthony</t>
        </is>
      </c>
      <c r="E211" s="43" t="n">
        <v>45929</v>
      </c>
      <c r="F211" s="42" t="inlineStr">
        <is>
          <t>Full-Time</t>
        </is>
      </c>
      <c r="G211" s="43" t="n">
        <v>45929</v>
      </c>
      <c r="H211" s="42" t="inlineStr">
        <is>
          <t>Datadog</t>
        </is>
      </c>
      <c r="I211" s="42" t="inlineStr">
        <is>
          <t>Engineering</t>
        </is>
      </c>
      <c r="J211" s="42" t="inlineStr">
        <is>
          <t>Boylston</t>
        </is>
      </c>
      <c r="K211" s="42" t="inlineStr">
        <is>
          <t>Yes</t>
        </is>
      </c>
      <c r="L211" s="42" t="inlineStr">
        <is>
          <t>200- Datadog:220- Engineering</t>
        </is>
      </c>
      <c r="M211" s="42" t="inlineStr">
        <is>
          <t>Cost of Goods Sold:COGS- Travel Expenses:</t>
        </is>
      </c>
      <c r="N211" s="42" t="inlineStr">
        <is>
          <t>Cost of Goods Sold:COGS- Personnel Expense:</t>
        </is>
      </c>
      <c r="O211" s="44">
        <f>B211&amp;" "&amp;C211</f>
        <v/>
      </c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15.75" customHeight="1" s="52">
      <c r="A212" s="31" t="n">
        <v>218</v>
      </c>
      <c r="B212" s="42" t="inlineStr">
        <is>
          <t>Caroline</t>
        </is>
      </c>
      <c r="C212" s="42" t="inlineStr">
        <is>
          <t>Foglietta</t>
        </is>
      </c>
      <c r="D212" s="42" t="inlineStr">
        <is>
          <t>Foglietta, Caroline</t>
        </is>
      </c>
      <c r="E212" s="43" t="n">
        <v>45915</v>
      </c>
      <c r="F212" s="42" t="inlineStr">
        <is>
          <t>Full-Time</t>
        </is>
      </c>
      <c r="G212" s="43" t="n">
        <v>45915</v>
      </c>
      <c r="H212" s="42" t="inlineStr">
        <is>
          <t>ServiceNow</t>
        </is>
      </c>
      <c r="I212" s="42" t="inlineStr">
        <is>
          <t>Project Management</t>
        </is>
      </c>
      <c r="J212" s="42" t="inlineStr">
        <is>
          <t>Boylston</t>
        </is>
      </c>
      <c r="K212" s="46" t="inlineStr">
        <is>
          <t>Yes</t>
        </is>
      </c>
      <c r="L212" s="42" t="inlineStr">
        <is>
          <t>300- ServiceNow:310- Delivery</t>
        </is>
      </c>
      <c r="M212" s="42" t="inlineStr">
        <is>
          <t>Cost of Goods Sold:COGS- Travel Expenses:</t>
        </is>
      </c>
      <c r="N212" s="42" t="inlineStr">
        <is>
          <t>Cost of Goods Sold:COGS- Personnel Expense:</t>
        </is>
      </c>
      <c r="O212" s="44">
        <f>B212&amp;" "&amp;C212</f>
        <v/>
      </c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15.75" customHeight="1" s="52">
      <c r="A213" s="31" t="n">
        <v>219</v>
      </c>
      <c r="B213" s="42" t="inlineStr">
        <is>
          <t>Kevin</t>
        </is>
      </c>
      <c r="C213" s="42" t="inlineStr">
        <is>
          <t>Tang</t>
        </is>
      </c>
      <c r="D213" s="42" t="inlineStr">
        <is>
          <t>Tang, Kevin</t>
        </is>
      </c>
      <c r="E213" s="43" t="n">
        <v>45922</v>
      </c>
      <c r="F213" s="42" t="inlineStr">
        <is>
          <t>Full-Time</t>
        </is>
      </c>
      <c r="G213" s="43" t="n">
        <v>45922</v>
      </c>
      <c r="H213" s="42" t="inlineStr">
        <is>
          <t>Datadog</t>
        </is>
      </c>
      <c r="I213" s="42" t="inlineStr">
        <is>
          <t>Engineering</t>
        </is>
      </c>
      <c r="J213" s="42" t="inlineStr">
        <is>
          <t>Boylston</t>
        </is>
      </c>
      <c r="K213" s="42" t="inlineStr">
        <is>
          <t>Yes</t>
        </is>
      </c>
      <c r="L213" s="42" t="inlineStr">
        <is>
          <t>200- Datadog:220- Engineering</t>
        </is>
      </c>
      <c r="M213" s="42" t="inlineStr">
        <is>
          <t>Cost of Goods Sold:COGS- Travel Expenses:</t>
        </is>
      </c>
      <c r="N213" s="42" t="inlineStr">
        <is>
          <t>Cost of Goods Sold:COGS- Personnel Expense:</t>
        </is>
      </c>
      <c r="O213" s="44">
        <f>B213&amp;" "&amp;C213</f>
        <v/>
      </c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15.75" customHeight="1" s="52">
      <c r="A214" s="31" t="n">
        <v>220</v>
      </c>
      <c r="B214" s="42" t="inlineStr">
        <is>
          <t>Rory</t>
        </is>
      </c>
      <c r="C214" s="42" t="inlineStr">
        <is>
          <t>Siedler</t>
        </is>
      </c>
      <c r="D214" s="42" t="inlineStr">
        <is>
          <t>Siedler, Rory</t>
        </is>
      </c>
      <c r="E214" s="43" t="n">
        <v>45915</v>
      </c>
      <c r="F214" s="42" t="inlineStr">
        <is>
          <t>Full-Time</t>
        </is>
      </c>
      <c r="G214" s="43" t="n">
        <v>45915</v>
      </c>
      <c r="H214" s="42" t="inlineStr">
        <is>
          <t>ServiceNow</t>
        </is>
      </c>
      <c r="I214" s="42" t="inlineStr">
        <is>
          <t>Engineering</t>
        </is>
      </c>
      <c r="J214" s="42" t="inlineStr">
        <is>
          <t>Remote</t>
        </is>
      </c>
      <c r="K214" s="46" t="inlineStr">
        <is>
          <t>Yes</t>
        </is>
      </c>
      <c r="L214" s="42" t="inlineStr">
        <is>
          <t>300- ServiceNow:320- Engineering</t>
        </is>
      </c>
      <c r="M214" s="42" t="inlineStr">
        <is>
          <t>Cost of Goods Sold:COGS- Travel Expenses:</t>
        </is>
      </c>
      <c r="N214" s="42" t="inlineStr">
        <is>
          <t>Cost of Goods Sold:COGS- Personnel Expense:</t>
        </is>
      </c>
      <c r="O214" s="44">
        <f>B214&amp;" "&amp;C214</f>
        <v/>
      </c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15.75" customHeight="1" s="52">
      <c r="A215" s="31" t="n">
        <v>221</v>
      </c>
      <c r="B215" s="42" t="inlineStr">
        <is>
          <t>James</t>
        </is>
      </c>
      <c r="C215" s="42" t="inlineStr">
        <is>
          <t>Girouard</t>
        </is>
      </c>
      <c r="D215" s="42" t="inlineStr">
        <is>
          <t>Girouard, James</t>
        </is>
      </c>
      <c r="E215" s="43" t="n">
        <v>45936</v>
      </c>
      <c r="F215" s="42" t="inlineStr">
        <is>
          <t>Full-Time</t>
        </is>
      </c>
      <c r="G215" s="43" t="n">
        <v>45936</v>
      </c>
      <c r="H215" s="46" t="inlineStr">
        <is>
          <t>ServiceNow</t>
        </is>
      </c>
      <c r="I215" s="42" t="inlineStr">
        <is>
          <t>Engineering</t>
        </is>
      </c>
      <c r="J215" s="42" t="inlineStr">
        <is>
          <t>Remote</t>
        </is>
      </c>
      <c r="K215" s="46" t="inlineStr">
        <is>
          <t>Yes</t>
        </is>
      </c>
      <c r="L215" s="42" t="inlineStr">
        <is>
          <t>300- ServiceNow:320- Engineering</t>
        </is>
      </c>
      <c r="M215" s="42" t="inlineStr">
        <is>
          <t>Cost of Goods Sold:COGS- Travel Expenses:</t>
        </is>
      </c>
      <c r="N215" s="42" t="inlineStr">
        <is>
          <t>Cost of Goods Sold:COGS- Personnel Expense:</t>
        </is>
      </c>
      <c r="O215" s="44">
        <f>B215&amp;" "&amp;C215</f>
        <v/>
      </c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15.75" customHeight="1" s="52">
      <c r="A216" s="31" t="n">
        <v>222</v>
      </c>
      <c r="B216" s="42" t="inlineStr">
        <is>
          <t>Ryan</t>
        </is>
      </c>
      <c r="C216" s="42" t="inlineStr">
        <is>
          <t>Hale</t>
        </is>
      </c>
      <c r="D216" s="42" t="inlineStr">
        <is>
          <t>Hale, Ryan</t>
        </is>
      </c>
      <c r="E216" s="43" t="n">
        <v>45964</v>
      </c>
      <c r="F216" s="42" t="inlineStr">
        <is>
          <t>Full-Time</t>
        </is>
      </c>
      <c r="G216" s="43" t="n">
        <v>45964</v>
      </c>
      <c r="H216" s="42" t="inlineStr">
        <is>
          <t>ServiceNow</t>
        </is>
      </c>
      <c r="I216" s="42" t="inlineStr">
        <is>
          <t>Sales</t>
        </is>
      </c>
      <c r="J216" s="42" t="inlineStr">
        <is>
          <t>Remote</t>
        </is>
      </c>
      <c r="K216" s="42" t="inlineStr">
        <is>
          <t>No</t>
        </is>
      </c>
      <c r="L216" s="42" t="inlineStr">
        <is>
          <t>300- ServiceNow:330- Sales</t>
        </is>
      </c>
      <c r="M216" s="42" t="inlineStr">
        <is>
          <t>Sales &amp; Marketing:Sales &amp; Marketing- Travel Expenses:</t>
        </is>
      </c>
      <c r="N216" s="42" t="inlineStr">
        <is>
          <t>Sales &amp; Marketing:Sales &amp; Marketing- Personnel Expenses:</t>
        </is>
      </c>
      <c r="O216" s="44">
        <f>B216&amp;" "&amp;C216</f>
        <v/>
      </c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15.75" customHeight="1" s="52">
      <c r="A217" s="31" t="n">
        <v>224</v>
      </c>
      <c r="B217" s="42" t="inlineStr">
        <is>
          <t>Jonathan</t>
        </is>
      </c>
      <c r="C217" s="42" t="inlineStr">
        <is>
          <t>Thompson</t>
        </is>
      </c>
      <c r="D217" s="42" t="inlineStr">
        <is>
          <t>Thompson, Jonathan</t>
        </is>
      </c>
      <c r="E217" s="43" t="n">
        <v>45936</v>
      </c>
      <c r="F217" s="42" t="inlineStr">
        <is>
          <t>Full-Time</t>
        </is>
      </c>
      <c r="G217" s="43" t="n">
        <v>45936</v>
      </c>
      <c r="H217" s="42" t="inlineStr">
        <is>
          <t>ServiceNow</t>
        </is>
      </c>
      <c r="I217" s="42" t="inlineStr">
        <is>
          <t>Engineering</t>
        </is>
      </c>
      <c r="J217" s="42" t="inlineStr">
        <is>
          <t>Remote</t>
        </is>
      </c>
      <c r="K217" s="42" t="inlineStr">
        <is>
          <t>Yes</t>
        </is>
      </c>
      <c r="L217" s="42" t="inlineStr">
        <is>
          <t>300- ServiceNow:320- Engineering</t>
        </is>
      </c>
      <c r="M217" s="42" t="inlineStr">
        <is>
          <t>Cost of Goods Sold:COGS- Travel Expenses:</t>
        </is>
      </c>
      <c r="N217" s="42" t="inlineStr">
        <is>
          <t>Cost of Goods Sold:COGS- Personnel Expense:</t>
        </is>
      </c>
      <c r="O217" s="44">
        <f>B217&amp;" "&amp;C217</f>
        <v/>
      </c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15.75" customHeight="1" s="52">
      <c r="A218" s="31" t="n">
        <v>225</v>
      </c>
      <c r="B218" s="42" t="inlineStr">
        <is>
          <t>Darshilkumar</t>
        </is>
      </c>
      <c r="C218" s="42" t="inlineStr">
        <is>
          <t>Shah</t>
        </is>
      </c>
      <c r="D218" s="42" t="inlineStr">
        <is>
          <t>Shah, Darshilkumar</t>
        </is>
      </c>
      <c r="E218" s="43" t="n">
        <v>45964</v>
      </c>
      <c r="F218" s="42" t="inlineStr">
        <is>
          <t>Full-Time</t>
        </is>
      </c>
      <c r="G218" s="43" t="n">
        <v>45964</v>
      </c>
      <c r="H218" s="42" t="inlineStr">
        <is>
          <t>ServiceNow</t>
        </is>
      </c>
      <c r="I218" s="42" t="inlineStr">
        <is>
          <t>Engineering</t>
        </is>
      </c>
      <c r="J218" s="42" t="inlineStr">
        <is>
          <t>Boylston</t>
        </is>
      </c>
      <c r="K218" s="46" t="inlineStr">
        <is>
          <t>No</t>
        </is>
      </c>
      <c r="L218" s="42" t="inlineStr">
        <is>
          <t>300- ServiceNow:320- Engineering</t>
        </is>
      </c>
      <c r="M218" s="42" t="inlineStr">
        <is>
          <t>General &amp; Administrative:G&amp;A- Travel Expenses:</t>
        </is>
      </c>
      <c r="N218" s="42" t="inlineStr">
        <is>
          <t>General &amp; Administrative:G&amp;A- Personnel Expenses:</t>
        </is>
      </c>
      <c r="O218" s="44">
        <f>B218&amp;" "&amp;C218</f>
        <v/>
      </c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15.75" customHeight="1" s="52">
      <c r="A219" s="31" t="n">
        <v>226</v>
      </c>
      <c r="B219" s="42" t="inlineStr">
        <is>
          <t>Elizabeth</t>
        </is>
      </c>
      <c r="C219" s="42" t="inlineStr">
        <is>
          <t>Doherty</t>
        </is>
      </c>
      <c r="D219" s="42" t="inlineStr">
        <is>
          <t>Doherty, Elizabeth</t>
        </is>
      </c>
      <c r="E219" s="43" t="n">
        <v>45917</v>
      </c>
      <c r="F219" s="42" t="inlineStr">
        <is>
          <t>Contractor/Consultant</t>
        </is>
      </c>
      <c r="G219" s="43" t="n">
        <v>45917</v>
      </c>
      <c r="H219" s="42" t="inlineStr">
        <is>
          <t>Operations</t>
        </is>
      </c>
      <c r="I219" s="42" t="inlineStr">
        <is>
          <t>People Operations</t>
        </is>
      </c>
      <c r="J219" s="42" t="inlineStr">
        <is>
          <t>Boylston</t>
        </is>
      </c>
      <c r="K219" s="42" t="inlineStr">
        <is>
          <t>No</t>
        </is>
      </c>
      <c r="L219" s="42" t="inlineStr">
        <is>
          <t>100- Operations:110- G&amp;A</t>
        </is>
      </c>
      <c r="M219" s="42" t="inlineStr">
        <is>
          <t>General &amp; Administrative:G&amp;A- Travel Expenses:</t>
        </is>
      </c>
      <c r="N219" s="42" t="inlineStr">
        <is>
          <t>General &amp; Administrative:G&amp;A- Personnel Expenses:</t>
        </is>
      </c>
      <c r="O219" s="44">
        <f>B219&amp;" "&amp;C219</f>
        <v/>
      </c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15.75" customHeight="1" s="52">
      <c r="A220" s="31" t="n">
        <v>227</v>
      </c>
      <c r="B220" s="42" t="inlineStr">
        <is>
          <t>Shaker</t>
        </is>
      </c>
      <c r="C220" s="42" t="inlineStr">
        <is>
          <t>Ahmed</t>
        </is>
      </c>
      <c r="D220" s="42" t="inlineStr">
        <is>
          <t>Ahmed, Shaker</t>
        </is>
      </c>
      <c r="E220" s="43" t="n">
        <v>45964</v>
      </c>
      <c r="F220" s="42" t="inlineStr">
        <is>
          <t>Full-Time</t>
        </is>
      </c>
      <c r="G220" s="43" t="n">
        <v>45964</v>
      </c>
      <c r="H220" s="42" t="inlineStr">
        <is>
          <t>ServiceNow</t>
        </is>
      </c>
      <c r="I220" s="42" t="inlineStr">
        <is>
          <t>Engineering</t>
        </is>
      </c>
      <c r="J220" s="42" t="inlineStr">
        <is>
          <t>Boylston</t>
        </is>
      </c>
      <c r="K220" s="46" t="inlineStr">
        <is>
          <t>No</t>
        </is>
      </c>
      <c r="L220" s="42" t="inlineStr">
        <is>
          <t>300- ServiceNow:320- Engineering</t>
        </is>
      </c>
      <c r="M220" s="42" t="inlineStr">
        <is>
          <t>General &amp; Administrative:G&amp;A- Travel Expenses:</t>
        </is>
      </c>
      <c r="N220" s="42" t="inlineStr">
        <is>
          <t>General &amp; Administrative:G&amp;A- Personnel Expenses:</t>
        </is>
      </c>
      <c r="O220" s="44">
        <f>B220&amp;" "&amp;C220</f>
        <v/>
      </c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15.75" customHeight="1" s="52">
      <c r="A221" s="31" t="n">
        <v>228</v>
      </c>
      <c r="B221" s="42" t="inlineStr">
        <is>
          <t>Noah</t>
        </is>
      </c>
      <c r="C221" s="42" t="inlineStr">
        <is>
          <t>Zahrt</t>
        </is>
      </c>
      <c r="D221" s="42" t="inlineStr">
        <is>
          <t>Zahrt, Noah</t>
        </is>
      </c>
      <c r="E221" s="43" t="n">
        <v>46027</v>
      </c>
      <c r="F221" s="42" t="inlineStr">
        <is>
          <t>Full-Time</t>
        </is>
      </c>
      <c r="G221" s="43" t="n">
        <v>46027</v>
      </c>
      <c r="H221" s="46" t="inlineStr">
        <is>
          <t>ServiceNow</t>
        </is>
      </c>
      <c r="I221" s="42" t="inlineStr">
        <is>
          <t>Engineering</t>
        </is>
      </c>
      <c r="J221" s="42" t="inlineStr">
        <is>
          <t>Boylston</t>
        </is>
      </c>
      <c r="K221" s="46" t="inlineStr">
        <is>
          <t>Yes</t>
        </is>
      </c>
      <c r="L221" s="42" t="inlineStr">
        <is>
          <t>300- ServiceNow:320- Engineering</t>
        </is>
      </c>
      <c r="M221" s="42" t="inlineStr">
        <is>
          <t>Cost of Goods Sold:COGS- Travel Expenses:</t>
        </is>
      </c>
      <c r="N221" s="42" t="inlineStr">
        <is>
          <t>Cost of Goods Sold:COGS- Personnel Expense:</t>
        </is>
      </c>
      <c r="O221" s="44">
        <f>B221&amp;" "&amp;C221</f>
        <v/>
      </c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15.75" customHeight="1" s="52">
      <c r="A222" s="31" t="n">
        <v>229</v>
      </c>
      <c r="B222" s="42" t="inlineStr">
        <is>
          <t>Maci</t>
        </is>
      </c>
      <c r="C222" s="42" t="inlineStr">
        <is>
          <t>Villavicencio</t>
        </is>
      </c>
      <c r="D222" s="42" t="inlineStr">
        <is>
          <t>Villavicencio, Maci</t>
        </is>
      </c>
      <c r="E222" s="43" t="n">
        <v>45943</v>
      </c>
      <c r="F222" s="42" t="inlineStr">
        <is>
          <t>Full-Time</t>
        </is>
      </c>
      <c r="G222" s="43" t="n">
        <v>45943</v>
      </c>
      <c r="H222" s="42" t="inlineStr">
        <is>
          <t>Datadog</t>
        </is>
      </c>
      <c r="I222" s="42" t="inlineStr">
        <is>
          <t>Project Management</t>
        </is>
      </c>
      <c r="J222" s="42" t="inlineStr">
        <is>
          <t>Boylston</t>
        </is>
      </c>
      <c r="K222" s="42" t="inlineStr">
        <is>
          <t>Yes</t>
        </is>
      </c>
      <c r="L222" s="42" t="inlineStr">
        <is>
          <t>200- Datadog:210- Delivery</t>
        </is>
      </c>
      <c r="M222" s="42" t="inlineStr">
        <is>
          <t>Cost of Goods Sold:COGS- Travel Expenses:</t>
        </is>
      </c>
      <c r="N222" s="42" t="inlineStr">
        <is>
          <t>Cost of Goods Sold:COGS- Personnel Expense:</t>
        </is>
      </c>
      <c r="O222" s="44">
        <f>B222&amp;" "&amp;C222</f>
        <v/>
      </c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15.75" customHeight="1" s="52">
      <c r="A223" s="31" t="n">
        <v>230</v>
      </c>
      <c r="B223" s="42" t="inlineStr">
        <is>
          <t>Scott</t>
        </is>
      </c>
      <c r="C223" s="42" t="inlineStr">
        <is>
          <t>Willis</t>
        </is>
      </c>
      <c r="D223" s="42" t="inlineStr">
        <is>
          <t>Willis, Scott</t>
        </is>
      </c>
      <c r="E223" s="43" t="n">
        <v>45943</v>
      </c>
      <c r="F223" s="42" t="inlineStr">
        <is>
          <t>Full-Time</t>
        </is>
      </c>
      <c r="G223" s="43" t="n">
        <v>45943</v>
      </c>
      <c r="H223" s="42" t="inlineStr">
        <is>
          <t>ServiceNow</t>
        </is>
      </c>
      <c r="I223" s="42" t="inlineStr">
        <is>
          <t>Engineering</t>
        </is>
      </c>
      <c r="J223" s="42" t="inlineStr">
        <is>
          <t>Remote</t>
        </is>
      </c>
      <c r="K223" s="42" t="inlineStr">
        <is>
          <t>Yes</t>
        </is>
      </c>
      <c r="L223" s="42" t="inlineStr">
        <is>
          <t>300- ServiceNow:320- Engineering</t>
        </is>
      </c>
      <c r="M223" s="42" t="inlineStr">
        <is>
          <t>Cost of Goods Sold:COGS- Travel Expenses:</t>
        </is>
      </c>
      <c r="N223" s="42" t="inlineStr">
        <is>
          <t>Cost of Goods Sold:COGS- Personnel Expense:</t>
        </is>
      </c>
      <c r="O223" s="44">
        <f>B223&amp;" "&amp;C223</f>
        <v/>
      </c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15.75" customHeight="1" s="52">
      <c r="A224" s="31" t="n">
        <v>231</v>
      </c>
      <c r="B224" s="42" t="inlineStr">
        <is>
          <t>Nisha Amar</t>
        </is>
      </c>
      <c r="C224" s="42" t="inlineStr">
        <is>
          <t>Mishra</t>
        </is>
      </c>
      <c r="D224" s="42" t="inlineStr">
        <is>
          <t>Mishra, Nisha Amar</t>
        </is>
      </c>
      <c r="E224" s="43" t="n">
        <v>45964</v>
      </c>
      <c r="F224" s="42" t="inlineStr">
        <is>
          <t>Terminated</t>
        </is>
      </c>
      <c r="G224" s="43" t="n">
        <v>45993</v>
      </c>
      <c r="H224" s="42" t="inlineStr">
        <is>
          <t>ServiceNow</t>
        </is>
      </c>
      <c r="I224" s="42" t="inlineStr">
        <is>
          <t>Project Management</t>
        </is>
      </c>
      <c r="J224" s="42" t="inlineStr">
        <is>
          <t>Boylston</t>
        </is>
      </c>
      <c r="K224" s="46" t="inlineStr">
        <is>
          <t>Yes</t>
        </is>
      </c>
      <c r="L224" s="42" t="inlineStr">
        <is>
          <t>300- ServiceNow:310- Delivery</t>
        </is>
      </c>
      <c r="M224" s="42" t="inlineStr">
        <is>
          <t>Cost of Goods Sold:COGS- Travel Expenses:</t>
        </is>
      </c>
      <c r="N224" s="42" t="inlineStr">
        <is>
          <t>Cost of Goods Sold:COGS- Personnel Expense:</t>
        </is>
      </c>
      <c r="O224" s="44">
        <f>B224&amp;" "&amp;C224</f>
        <v/>
      </c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15.75" customHeight="1" s="52">
      <c r="A225" s="31" t="n">
        <v>232</v>
      </c>
      <c r="B225" s="42" t="inlineStr">
        <is>
          <t>McKenna</t>
        </is>
      </c>
      <c r="C225" s="42" t="inlineStr">
        <is>
          <t>Skoczen</t>
        </is>
      </c>
      <c r="D225" s="42" t="inlineStr">
        <is>
          <t>Skoczen, McKenna</t>
        </is>
      </c>
      <c r="E225" s="43" t="n">
        <v>45964</v>
      </c>
      <c r="F225" s="42" t="inlineStr">
        <is>
          <t>Full-Time</t>
        </is>
      </c>
      <c r="G225" s="43" t="n">
        <v>45964</v>
      </c>
      <c r="H225" s="42" t="inlineStr">
        <is>
          <t>Datadog</t>
        </is>
      </c>
      <c r="I225" s="42" t="inlineStr">
        <is>
          <t>Engineering</t>
        </is>
      </c>
      <c r="J225" s="42" t="inlineStr">
        <is>
          <t>Remote</t>
        </is>
      </c>
      <c r="K225" s="42" t="inlineStr">
        <is>
          <t>Yes</t>
        </is>
      </c>
      <c r="L225" s="42" t="inlineStr">
        <is>
          <t>200- Datadog:220- Engineering</t>
        </is>
      </c>
      <c r="M225" s="42" t="inlineStr">
        <is>
          <t>Cost of Goods Sold:COGS- Travel Expenses:</t>
        </is>
      </c>
      <c r="N225" s="42" t="inlineStr">
        <is>
          <t>Cost of Goods Sold:COGS- Personnel Expense:</t>
        </is>
      </c>
      <c r="O225" s="44">
        <f>B225&amp;" "&amp;C225</f>
        <v/>
      </c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15.75" customHeight="1" s="52">
      <c r="A226" s="31" t="n">
        <v>233</v>
      </c>
      <c r="B226" s="42" t="inlineStr">
        <is>
          <t>Shawn</t>
        </is>
      </c>
      <c r="C226" s="42" t="inlineStr">
        <is>
          <t>Roche</t>
        </is>
      </c>
      <c r="D226" s="42" t="inlineStr">
        <is>
          <t>Roche, Shawn</t>
        </is>
      </c>
      <c r="E226" s="43" t="n">
        <v>45964</v>
      </c>
      <c r="F226" s="42" t="inlineStr">
        <is>
          <t>Full-Time</t>
        </is>
      </c>
      <c r="G226" s="43" t="n">
        <v>45964</v>
      </c>
      <c r="H226" s="42" t="inlineStr">
        <is>
          <t>Datadog</t>
        </is>
      </c>
      <c r="I226" s="42" t="inlineStr">
        <is>
          <t>Engineering</t>
        </is>
      </c>
      <c r="J226" s="42" t="inlineStr">
        <is>
          <t>Boylston</t>
        </is>
      </c>
      <c r="K226" s="46" t="inlineStr">
        <is>
          <t>Yes</t>
        </is>
      </c>
      <c r="L226" s="42" t="inlineStr">
        <is>
          <t>200- Datadog:220- Engineering</t>
        </is>
      </c>
      <c r="M226" s="42" t="inlineStr">
        <is>
          <t>Cost of Goods Sold:COGS- Travel Expenses:</t>
        </is>
      </c>
      <c r="N226" s="42" t="inlineStr">
        <is>
          <t>Cost of Goods Sold:COGS- Personnel Expense:</t>
        </is>
      </c>
      <c r="O226" s="44">
        <f>B226&amp;" "&amp;C226</f>
        <v/>
      </c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15.75" customHeight="1" s="52">
      <c r="A227" s="31" t="n">
        <v>234</v>
      </c>
      <c r="B227" s="42" t="inlineStr">
        <is>
          <t>Scott</t>
        </is>
      </c>
      <c r="C227" s="42" t="inlineStr">
        <is>
          <t>Leyden</t>
        </is>
      </c>
      <c r="D227" s="42" t="inlineStr">
        <is>
          <t>Leyden, Scott</t>
        </is>
      </c>
      <c r="E227" s="43" t="n">
        <v>45978</v>
      </c>
      <c r="F227" s="42" t="inlineStr">
        <is>
          <t>Full-Time</t>
        </is>
      </c>
      <c r="G227" s="43" t="n">
        <v>45978</v>
      </c>
      <c r="H227" s="46" t="inlineStr">
        <is>
          <t>Datadog</t>
        </is>
      </c>
      <c r="I227" s="42" t="inlineStr">
        <is>
          <t>Engineering</t>
        </is>
      </c>
      <c r="J227" s="42" t="inlineStr">
        <is>
          <t>Boylston</t>
        </is>
      </c>
      <c r="K227" s="46" t="inlineStr">
        <is>
          <t>Yes</t>
        </is>
      </c>
      <c r="L227" s="42" t="inlineStr">
        <is>
          <t>200- Datadog:220- Engineering</t>
        </is>
      </c>
      <c r="M227" s="42" t="inlineStr">
        <is>
          <t>Cost of Goods Sold:COGS- Travel Expenses:</t>
        </is>
      </c>
      <c r="N227" s="42" t="inlineStr">
        <is>
          <t>Cost of Goods Sold:COGS- Personnel Expense:</t>
        </is>
      </c>
      <c r="O227" s="44">
        <f>B227&amp;" "&amp;C227</f>
        <v/>
      </c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52">
      <c r="A228" s="31" t="n">
        <v>235</v>
      </c>
      <c r="B228" s="42" t="inlineStr">
        <is>
          <t>Gary</t>
        </is>
      </c>
      <c r="C228" s="42" t="inlineStr">
        <is>
          <t>Baker</t>
        </is>
      </c>
      <c r="D228" s="42" t="inlineStr">
        <is>
          <t>Baker, Gary</t>
        </is>
      </c>
      <c r="E228" s="43" t="n">
        <v>45971</v>
      </c>
      <c r="F228" s="42" t="inlineStr">
        <is>
          <t>Full-Time</t>
        </is>
      </c>
      <c r="G228" s="43" t="n">
        <v>45971</v>
      </c>
      <c r="H228" s="42" t="inlineStr">
        <is>
          <t>ServiceNow</t>
        </is>
      </c>
      <c r="I228" s="42" t="inlineStr">
        <is>
          <t>Engineering</t>
        </is>
      </c>
      <c r="J228" s="42" t="inlineStr">
        <is>
          <t>Remote</t>
        </is>
      </c>
      <c r="K228" s="42" t="inlineStr">
        <is>
          <t>Yes</t>
        </is>
      </c>
      <c r="L228" s="42" t="inlineStr">
        <is>
          <t>300- ServiceNow:320- Engineering</t>
        </is>
      </c>
      <c r="M228" s="42" t="inlineStr">
        <is>
          <t>Cost of Goods Sold:COGS- Travel Expenses:</t>
        </is>
      </c>
      <c r="N228" s="42" t="inlineStr">
        <is>
          <t>Cost of Goods Sold:COGS- Personnel Expense:</t>
        </is>
      </c>
      <c r="O228" s="44">
        <f>B228&amp;" "&amp;C228</f>
        <v/>
      </c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  <c r="Z228" s="51" t="n"/>
    </row>
    <row r="229" ht="15.75" customHeight="1" s="52">
      <c r="A229" s="31" t="n">
        <v>236</v>
      </c>
      <c r="B229" s="42" t="inlineStr">
        <is>
          <t>Imane</t>
        </is>
      </c>
      <c r="C229" s="42" t="inlineStr">
        <is>
          <t>Laaroussi</t>
        </is>
      </c>
      <c r="D229" s="42" t="inlineStr">
        <is>
          <t>Laaroussi, Imane</t>
        </is>
      </c>
      <c r="E229" s="43" t="n">
        <v>45978</v>
      </c>
      <c r="F229" s="42" t="inlineStr">
        <is>
          <t>Terminated</t>
        </is>
      </c>
      <c r="G229" s="43" t="n">
        <v>45982</v>
      </c>
      <c r="H229" s="42" t="inlineStr">
        <is>
          <t>ServiceNow</t>
        </is>
      </c>
      <c r="I229" s="42" t="inlineStr">
        <is>
          <t>Engineering</t>
        </is>
      </c>
      <c r="J229" s="42" t="inlineStr">
        <is>
          <t>Remote</t>
        </is>
      </c>
      <c r="K229" s="42" t="inlineStr">
        <is>
          <t>Yes</t>
        </is>
      </c>
      <c r="L229" s="42" t="inlineStr">
        <is>
          <t>300- ServiceNow:320- Engineering</t>
        </is>
      </c>
      <c r="M229" s="42" t="inlineStr">
        <is>
          <t>Cost of Goods Sold:COGS- Travel Expenses:</t>
        </is>
      </c>
      <c r="N229" s="42" t="inlineStr">
        <is>
          <t>Cost of Goods Sold:COGS- Personnel Expense:</t>
        </is>
      </c>
      <c r="O229" s="44">
        <f>B229&amp;" "&amp;C229</f>
        <v/>
      </c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  <c r="Z229" s="51" t="n"/>
    </row>
    <row r="230" ht="15.75" customHeight="1" s="52">
      <c r="A230" s="31" t="n">
        <v>237</v>
      </c>
      <c r="B230" s="42" t="inlineStr">
        <is>
          <t>Yadwinder</t>
        </is>
      </c>
      <c r="C230" s="42" t="inlineStr">
        <is>
          <t>Singh</t>
        </is>
      </c>
      <c r="D230" s="42" t="inlineStr">
        <is>
          <t>Singh, Yadwinder</t>
        </is>
      </c>
      <c r="E230" s="43" t="n">
        <v>45964</v>
      </c>
      <c r="F230" s="42" t="inlineStr">
        <is>
          <t>Full-Time</t>
        </is>
      </c>
      <c r="G230" s="43" t="n">
        <v>45964</v>
      </c>
      <c r="H230" s="42" t="inlineStr">
        <is>
          <t>Datadog</t>
        </is>
      </c>
      <c r="I230" s="42" t="inlineStr">
        <is>
          <t>Engineering</t>
        </is>
      </c>
      <c r="J230" s="42" t="inlineStr">
        <is>
          <t>Remote</t>
        </is>
      </c>
      <c r="K230" s="46" t="inlineStr">
        <is>
          <t>Yes</t>
        </is>
      </c>
      <c r="L230" s="42" t="inlineStr">
        <is>
          <t>200- Datadog:220- Engineering</t>
        </is>
      </c>
      <c r="M230" s="42" t="inlineStr">
        <is>
          <t>Cost of Goods Sold:COGS- Travel Expenses:</t>
        </is>
      </c>
      <c r="N230" s="42" t="inlineStr">
        <is>
          <t>Cost of Goods Sold:COGS- Personnel Expense:</t>
        </is>
      </c>
      <c r="O230" s="44">
        <f>B230&amp;" "&amp;C230</f>
        <v/>
      </c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  <c r="Z230" s="51" t="n"/>
    </row>
    <row r="231" ht="15.75" customHeight="1" s="52">
      <c r="A231" s="31" t="n">
        <v>238</v>
      </c>
      <c r="B231" s="42" t="inlineStr">
        <is>
          <t>Brooke</t>
        </is>
      </c>
      <c r="C231" s="42" t="inlineStr">
        <is>
          <t>Berg</t>
        </is>
      </c>
      <c r="D231" s="42" t="inlineStr">
        <is>
          <t>Berg, Brooke</t>
        </is>
      </c>
      <c r="E231" s="43" t="n">
        <v>45964</v>
      </c>
      <c r="F231" s="42" t="inlineStr">
        <is>
          <t>Full-Time</t>
        </is>
      </c>
      <c r="G231" s="43" t="n">
        <v>45964</v>
      </c>
      <c r="H231" s="42" t="inlineStr">
        <is>
          <t>Operations</t>
        </is>
      </c>
      <c r="I231" s="42" t="inlineStr">
        <is>
          <t>Marketing</t>
        </is>
      </c>
      <c r="J231" s="42" t="inlineStr">
        <is>
          <t>Boylston</t>
        </is>
      </c>
      <c r="K231" s="42" t="inlineStr">
        <is>
          <t>No</t>
        </is>
      </c>
      <c r="L231" s="42" t="inlineStr">
        <is>
          <t>100- Operations:120- Marketing</t>
        </is>
      </c>
      <c r="M231" s="42" t="inlineStr">
        <is>
          <t>Sales &amp; Marketing:Sales &amp; Marketing- Travel Expenses:</t>
        </is>
      </c>
      <c r="N231" s="42" t="inlineStr">
        <is>
          <t>Sales &amp; Marketing:Sales &amp; Marketing- Personnel Expenses:</t>
        </is>
      </c>
      <c r="O231" s="44">
        <f>B231&amp;" "&amp;C231</f>
        <v/>
      </c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  <c r="Z231" s="51" t="n"/>
    </row>
    <row r="232" ht="15.75" customHeight="1" s="52">
      <c r="A232" s="31" t="n">
        <v>239</v>
      </c>
      <c r="B232" s="42" t="inlineStr">
        <is>
          <t>James</t>
        </is>
      </c>
      <c r="C232" s="42" t="inlineStr">
        <is>
          <t>O'Shaughnessy</t>
        </is>
      </c>
      <c r="D232" s="42" t="inlineStr">
        <is>
          <t>O'Shaughnessy, James</t>
        </is>
      </c>
      <c r="E232" s="43" t="n">
        <v>45964</v>
      </c>
      <c r="F232" s="42" t="inlineStr">
        <is>
          <t>Full-Time</t>
        </is>
      </c>
      <c r="G232" s="43" t="n">
        <v>45964</v>
      </c>
      <c r="H232" s="42" t="inlineStr">
        <is>
          <t>ServiceNow</t>
        </is>
      </c>
      <c r="I232" s="42" t="inlineStr">
        <is>
          <t>Project Management</t>
        </is>
      </c>
      <c r="J232" s="42" t="inlineStr">
        <is>
          <t>Boylston</t>
        </is>
      </c>
      <c r="K232" s="46" t="inlineStr">
        <is>
          <t>Yes</t>
        </is>
      </c>
      <c r="L232" s="42" t="inlineStr">
        <is>
          <t>300- ServiceNow:310- Delivery</t>
        </is>
      </c>
      <c r="M232" s="42" t="inlineStr">
        <is>
          <t>Cost of Goods Sold:COGS- Travel Expenses:</t>
        </is>
      </c>
      <c r="N232" s="42" t="inlineStr">
        <is>
          <t>Cost of Goods Sold:COGS- Personnel Expense:</t>
        </is>
      </c>
      <c r="O232" s="44">
        <f>B232&amp;" "&amp;C232</f>
        <v/>
      </c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  <c r="Z232" s="51" t="n"/>
    </row>
    <row r="233" ht="15.75" customHeight="1" s="52">
      <c r="A233" s="31" t="n">
        <v>240</v>
      </c>
      <c r="B233" s="42" t="inlineStr">
        <is>
          <t>Brianne</t>
        </is>
      </c>
      <c r="C233" s="42" t="inlineStr">
        <is>
          <t>Gallagher</t>
        </is>
      </c>
      <c r="D233" s="42" t="inlineStr">
        <is>
          <t>Gallagher, Brianne</t>
        </is>
      </c>
      <c r="E233" s="43" t="n">
        <v>45999</v>
      </c>
      <c r="F233" s="42" t="inlineStr">
        <is>
          <t>Full-Time</t>
        </is>
      </c>
      <c r="G233" s="43" t="n">
        <v>45999</v>
      </c>
      <c r="H233" s="46" t="inlineStr">
        <is>
          <t>ServiceNow</t>
        </is>
      </c>
      <c r="I233" s="42" t="inlineStr">
        <is>
          <t>Engineering</t>
        </is>
      </c>
      <c r="J233" s="42" t="inlineStr">
        <is>
          <t>Boylston</t>
        </is>
      </c>
      <c r="K233" s="46" t="inlineStr">
        <is>
          <t>Yes</t>
        </is>
      </c>
      <c r="L233" s="42" t="inlineStr">
        <is>
          <t>300- ServiceNow:320- Engineering</t>
        </is>
      </c>
      <c r="M233" s="42" t="inlineStr">
        <is>
          <t>Cost of Goods Sold:COGS- Travel Expenses:</t>
        </is>
      </c>
      <c r="N233" s="42" t="inlineStr">
        <is>
          <t>Cost of Goods Sold:COGS- Personnel Expense:</t>
        </is>
      </c>
      <c r="O233" s="44">
        <f>B233&amp;" "&amp;C233</f>
        <v/>
      </c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  <c r="Z233" s="51" t="n"/>
    </row>
    <row r="234" ht="15.75" customHeight="1" s="52">
      <c r="A234" s="31" t="n">
        <v>241</v>
      </c>
      <c r="B234" s="42" t="inlineStr">
        <is>
          <t>Maile</t>
        </is>
      </c>
      <c r="C234" s="42" t="inlineStr">
        <is>
          <t>Call</t>
        </is>
      </c>
      <c r="D234" s="42" t="inlineStr">
        <is>
          <t>Call, Maile</t>
        </is>
      </c>
      <c r="E234" s="43" t="n">
        <v>45992</v>
      </c>
      <c r="F234" s="42" t="inlineStr">
        <is>
          <t>Full-Time</t>
        </is>
      </c>
      <c r="G234" s="43" t="n">
        <v>45992</v>
      </c>
      <c r="H234" s="42" t="inlineStr">
        <is>
          <t>ServiceNow</t>
        </is>
      </c>
      <c r="I234" s="42" t="inlineStr">
        <is>
          <t>Sales</t>
        </is>
      </c>
      <c r="J234" s="42" t="inlineStr">
        <is>
          <t>Remote</t>
        </is>
      </c>
      <c r="K234" s="42" t="inlineStr">
        <is>
          <t>No</t>
        </is>
      </c>
      <c r="L234" s="42" t="inlineStr">
        <is>
          <t>300- ServiceNow:330- Sales</t>
        </is>
      </c>
      <c r="M234" s="42" t="inlineStr">
        <is>
          <t>Sales &amp; Marketing:Sales &amp; Marketing- Travel Expenses:</t>
        </is>
      </c>
      <c r="N234" s="42" t="inlineStr">
        <is>
          <t>Sales &amp; Marketing:Sales &amp; Marketing- Personnel Expenses:</t>
        </is>
      </c>
      <c r="O234" s="44">
        <f>B234&amp;" "&amp;C234</f>
        <v/>
      </c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  <c r="Z234" s="51" t="n"/>
    </row>
    <row r="235" ht="15.75" customHeight="1" s="52">
      <c r="A235" s="31" t="n">
        <v>242</v>
      </c>
      <c r="B235" s="42" t="inlineStr">
        <is>
          <t>Jason</t>
        </is>
      </c>
      <c r="C235" s="42" t="inlineStr">
        <is>
          <t>Staake</t>
        </is>
      </c>
      <c r="D235" s="42" t="inlineStr">
        <is>
          <t>Staake, Jason</t>
        </is>
      </c>
      <c r="E235" s="43" t="n">
        <v>45992</v>
      </c>
      <c r="F235" s="42" t="inlineStr">
        <is>
          <t>Full-Time</t>
        </is>
      </c>
      <c r="G235" s="43" t="n">
        <v>45992</v>
      </c>
      <c r="H235" s="42" t="inlineStr">
        <is>
          <t>ServiceNow</t>
        </is>
      </c>
      <c r="I235" s="42" t="inlineStr">
        <is>
          <t>Engineering</t>
        </is>
      </c>
      <c r="J235" s="42" t="inlineStr">
        <is>
          <t>Remote</t>
        </is>
      </c>
      <c r="K235" s="42" t="inlineStr">
        <is>
          <t>Yes</t>
        </is>
      </c>
      <c r="L235" s="42" t="inlineStr">
        <is>
          <t>300- ServiceNow:320- Engineering</t>
        </is>
      </c>
      <c r="M235" s="42" t="inlineStr">
        <is>
          <t>Cost of Goods Sold:COGS- Travel Expenses:</t>
        </is>
      </c>
      <c r="N235" s="42" t="inlineStr">
        <is>
          <t>Cost of Goods Sold:COGS- Personnel Expense:</t>
        </is>
      </c>
      <c r="O235" s="44">
        <f>B235&amp;" "&amp;C235</f>
        <v/>
      </c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  <c r="Z235" s="51" t="n"/>
    </row>
    <row r="236" ht="15.75" customHeight="1" s="52">
      <c r="A236" s="31" t="n">
        <v>243</v>
      </c>
      <c r="B236" s="42" t="inlineStr">
        <is>
          <t>Nicholas</t>
        </is>
      </c>
      <c r="C236" s="42" t="inlineStr">
        <is>
          <t>Stauffer</t>
        </is>
      </c>
      <c r="D236" s="42" t="inlineStr">
        <is>
          <t>Stauffer, Nicholas</t>
        </is>
      </c>
      <c r="E236" s="43" t="n">
        <v>45999</v>
      </c>
      <c r="F236" s="42" t="inlineStr">
        <is>
          <t>Full-Time</t>
        </is>
      </c>
      <c r="G236" s="43" t="n">
        <v>45999</v>
      </c>
      <c r="H236" s="42" t="inlineStr">
        <is>
          <t>ServiceNow</t>
        </is>
      </c>
      <c r="I236" s="42" t="inlineStr">
        <is>
          <t>Engineering</t>
        </is>
      </c>
      <c r="J236" s="42" t="inlineStr">
        <is>
          <t>Remote</t>
        </is>
      </c>
      <c r="K236" s="46" t="inlineStr">
        <is>
          <t>Yes</t>
        </is>
      </c>
      <c r="L236" s="42" t="inlineStr">
        <is>
          <t>300- ServiceNow:320- Engineering</t>
        </is>
      </c>
      <c r="M236" s="42" t="inlineStr">
        <is>
          <t>Cost of Goods Sold:COGS- Travel Expenses:</t>
        </is>
      </c>
      <c r="N236" s="42" t="inlineStr">
        <is>
          <t>Cost of Goods Sold:COGS- Personnel Expense:</t>
        </is>
      </c>
      <c r="O236" s="44">
        <f>B236&amp;" "&amp;C236</f>
        <v/>
      </c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  <c r="Z236" s="51" t="n"/>
    </row>
    <row r="237" ht="15.75" customHeight="1" s="52">
      <c r="A237" s="31" t="n">
        <v>244</v>
      </c>
      <c r="B237" s="42" t="inlineStr">
        <is>
          <t>Jeremy</t>
        </is>
      </c>
      <c r="C237" s="42" t="inlineStr">
        <is>
          <t>Pope</t>
        </is>
      </c>
      <c r="D237" s="42" t="inlineStr">
        <is>
          <t>Pope, Jeremy</t>
        </is>
      </c>
      <c r="E237" s="43" t="n">
        <v>46006</v>
      </c>
      <c r="F237" s="42" t="inlineStr">
        <is>
          <t>Full-Time</t>
        </is>
      </c>
      <c r="G237" s="43" t="n">
        <v>46006</v>
      </c>
      <c r="H237" s="42" t="inlineStr">
        <is>
          <t>Datadog</t>
        </is>
      </c>
      <c r="I237" s="42" t="inlineStr">
        <is>
          <t>Engineering</t>
        </is>
      </c>
      <c r="J237" s="42" t="inlineStr">
        <is>
          <t>Boylston</t>
        </is>
      </c>
      <c r="K237" s="42" t="inlineStr">
        <is>
          <t>Yes</t>
        </is>
      </c>
      <c r="L237" s="42" t="inlineStr">
        <is>
          <t>200- Datadog:220- Engineering</t>
        </is>
      </c>
      <c r="M237" s="42" t="inlineStr">
        <is>
          <t>Cost of Goods Sold:COGS- Travel Expenses:</t>
        </is>
      </c>
      <c r="N237" s="42" t="inlineStr">
        <is>
          <t>Cost of Goods Sold:COGS- Personnel Expense:</t>
        </is>
      </c>
      <c r="O237" s="44">
        <f>B237&amp;" "&amp;C237</f>
        <v/>
      </c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  <c r="Z237" s="51" t="n"/>
    </row>
    <row r="238" ht="15.75" customHeight="1" s="52">
      <c r="A238" s="31" t="n">
        <v>245</v>
      </c>
      <c r="B238" s="42" t="inlineStr">
        <is>
          <t>Cody</t>
        </is>
      </c>
      <c r="C238" s="42" t="inlineStr">
        <is>
          <t>Sandford</t>
        </is>
      </c>
      <c r="D238" s="42" t="inlineStr">
        <is>
          <t>Sandford, Cody</t>
        </is>
      </c>
      <c r="E238" s="43" t="n">
        <v>45999</v>
      </c>
      <c r="F238" s="42" t="inlineStr">
        <is>
          <t>Full-Time</t>
        </is>
      </c>
      <c r="G238" s="43" t="n">
        <v>45999</v>
      </c>
      <c r="H238" s="42" t="inlineStr">
        <is>
          <t>ServiceNow</t>
        </is>
      </c>
      <c r="I238" s="42" t="inlineStr">
        <is>
          <t>Engineering</t>
        </is>
      </c>
      <c r="J238" s="42" t="inlineStr">
        <is>
          <t>Remote</t>
        </is>
      </c>
      <c r="K238" s="46" t="inlineStr">
        <is>
          <t>Yes</t>
        </is>
      </c>
      <c r="L238" s="42" t="inlineStr">
        <is>
          <t>300- ServiceNow:320- Engineering</t>
        </is>
      </c>
      <c r="M238" s="42" t="inlineStr">
        <is>
          <t>Cost of Goods Sold:COGS- Travel Expenses:</t>
        </is>
      </c>
      <c r="N238" s="42" t="inlineStr">
        <is>
          <t>Cost of Goods Sold:COGS- Personnel Expense:</t>
        </is>
      </c>
      <c r="O238" s="44">
        <f>B238&amp;" "&amp;C238</f>
        <v/>
      </c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  <c r="Z238" s="51" t="n"/>
    </row>
    <row r="239" ht="15.75" customHeight="1" s="52">
      <c r="A239" s="31" t="n">
        <v>246</v>
      </c>
      <c r="B239" s="42" t="inlineStr">
        <is>
          <t>Eric</t>
        </is>
      </c>
      <c r="C239" s="42" t="inlineStr">
        <is>
          <t>Rabkin</t>
        </is>
      </c>
      <c r="D239" s="42" t="inlineStr">
        <is>
          <t>Rabkin, Eric</t>
        </is>
      </c>
      <c r="E239" s="43" t="n">
        <v>45999</v>
      </c>
      <c r="F239" s="42" t="inlineStr">
        <is>
          <t>Full-Time</t>
        </is>
      </c>
      <c r="G239" s="43" t="n">
        <v>45999</v>
      </c>
      <c r="H239" s="46" t="inlineStr">
        <is>
          <t>Operations</t>
        </is>
      </c>
      <c r="I239" s="42" t="inlineStr">
        <is>
          <t>Finance</t>
        </is>
      </c>
      <c r="J239" s="42" t="inlineStr">
        <is>
          <t>Boylston</t>
        </is>
      </c>
      <c r="K239" s="46" t="inlineStr">
        <is>
          <t>No</t>
        </is>
      </c>
      <c r="L239" s="42" t="inlineStr">
        <is>
          <t>100- Operations:110- G&amp;A</t>
        </is>
      </c>
      <c r="M239" s="42" t="inlineStr">
        <is>
          <t>General &amp; Administrative:G&amp;A- Travel Expenses:</t>
        </is>
      </c>
      <c r="N239" s="42" t="inlineStr">
        <is>
          <t>General &amp; Administrative:G&amp;A- Personnel Expenses:</t>
        </is>
      </c>
      <c r="O239" s="44">
        <f>B239&amp;" "&amp;C239</f>
        <v/>
      </c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  <c r="Z239" s="51" t="n"/>
    </row>
    <row r="240" ht="15.75" customHeight="1" s="52">
      <c r="A240" s="31" t="n">
        <v>247</v>
      </c>
      <c r="B240" s="42" t="inlineStr">
        <is>
          <t>Owen</t>
        </is>
      </c>
      <c r="C240" s="42" t="inlineStr">
        <is>
          <t>Walsh</t>
        </is>
      </c>
      <c r="D240" s="42" t="inlineStr">
        <is>
          <t>Walsh, Owen</t>
        </is>
      </c>
      <c r="E240" s="43" t="n">
        <v>46027</v>
      </c>
      <c r="F240" s="42" t="inlineStr">
        <is>
          <t>Full-Time</t>
        </is>
      </c>
      <c r="G240" s="43" t="n">
        <v>46027</v>
      </c>
      <c r="H240" s="42" t="inlineStr">
        <is>
          <t>Operations</t>
        </is>
      </c>
      <c r="I240" s="42" t="inlineStr">
        <is>
          <t>People Operations</t>
        </is>
      </c>
      <c r="J240" s="42" t="inlineStr">
        <is>
          <t>Boylston</t>
        </is>
      </c>
      <c r="K240" s="42" t="inlineStr">
        <is>
          <t>No</t>
        </is>
      </c>
      <c r="L240" s="42" t="inlineStr">
        <is>
          <t>100- Operations:110- G&amp;A</t>
        </is>
      </c>
      <c r="M240" s="42" t="inlineStr">
        <is>
          <t>General &amp; Administrative:G&amp;A- Travel Expenses:</t>
        </is>
      </c>
      <c r="N240" s="42" t="inlineStr">
        <is>
          <t>General &amp; Administrative:G&amp;A- Personnel Expenses:</t>
        </is>
      </c>
      <c r="O240" s="44">
        <f>B240&amp;" "&amp;C240</f>
        <v/>
      </c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  <c r="Z240" s="51" t="n"/>
    </row>
    <row r="241" ht="15.75" customHeight="1" s="52">
      <c r="A241" s="31" t="n">
        <v>248</v>
      </c>
      <c r="B241" s="42" t="inlineStr">
        <is>
          <t>Angel</t>
        </is>
      </c>
      <c r="C241" s="42" t="inlineStr">
        <is>
          <t>Angelov</t>
        </is>
      </c>
      <c r="D241" s="42" t="inlineStr">
        <is>
          <t>Angelov, Angel</t>
        </is>
      </c>
      <c r="E241" s="43" t="n">
        <v>46034</v>
      </c>
      <c r="F241" s="42" t="inlineStr">
        <is>
          <t>Full-Time</t>
        </is>
      </c>
      <c r="G241" s="43" t="n">
        <v>46034</v>
      </c>
      <c r="H241" s="42" t="inlineStr">
        <is>
          <t>ServiceNow</t>
        </is>
      </c>
      <c r="I241" s="42" t="inlineStr">
        <is>
          <t>Engineering</t>
        </is>
      </c>
      <c r="J241" s="42" t="inlineStr">
        <is>
          <t>Non-US</t>
        </is>
      </c>
      <c r="K241" s="42" t="inlineStr">
        <is>
          <t>Yes</t>
        </is>
      </c>
      <c r="L241" s="42" t="inlineStr">
        <is>
          <t>300- ServiceNow:320- Engineering</t>
        </is>
      </c>
      <c r="M241" s="42" t="inlineStr">
        <is>
          <t>Cost of Goods Sold:COGS- Travel Expenses:</t>
        </is>
      </c>
      <c r="N241" s="42" t="inlineStr">
        <is>
          <t>Cost of Goods Sold:COGS- Personnel Expense:</t>
        </is>
      </c>
      <c r="O241" s="44">
        <f>B241&amp;" "&amp;C241</f>
        <v/>
      </c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  <c r="Z241" s="51" t="n"/>
    </row>
    <row r="242" ht="15.75" customHeight="1" s="52">
      <c r="A242" s="31" t="n">
        <v>249</v>
      </c>
      <c r="B242" s="42" t="inlineStr">
        <is>
          <t>Joseph</t>
        </is>
      </c>
      <c r="C242" s="42" t="inlineStr">
        <is>
          <t>Martinez</t>
        </is>
      </c>
      <c r="D242" s="42" t="inlineStr">
        <is>
          <t>Martinez, Joseph</t>
        </is>
      </c>
      <c r="E242" s="43" t="n">
        <v>46027</v>
      </c>
      <c r="F242" s="42" t="inlineStr">
        <is>
          <t>Full-Time</t>
        </is>
      </c>
      <c r="G242" s="43" t="n">
        <v>46027</v>
      </c>
      <c r="H242" s="42" t="inlineStr">
        <is>
          <t>ServiceNow</t>
        </is>
      </c>
      <c r="I242" s="42" t="inlineStr">
        <is>
          <t>Engineering</t>
        </is>
      </c>
      <c r="J242" s="42" t="inlineStr">
        <is>
          <t>Remote</t>
        </is>
      </c>
      <c r="K242" s="46" t="inlineStr">
        <is>
          <t>Yes</t>
        </is>
      </c>
      <c r="L242" s="42" t="inlineStr">
        <is>
          <t>300- ServiceNow:320- Engineering</t>
        </is>
      </c>
      <c r="M242" s="42" t="inlineStr">
        <is>
          <t>Cost of Goods Sold:COGS- Travel Expenses:</t>
        </is>
      </c>
      <c r="N242" s="42" t="inlineStr">
        <is>
          <t>Cost of Goods Sold:COGS- Personnel Expense:</t>
        </is>
      </c>
      <c r="O242" s="44">
        <f>B242&amp;" "&amp;C242</f>
        <v/>
      </c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  <c r="Z242" s="51" t="n"/>
    </row>
    <row r="243" ht="15.75" customHeight="1" s="52">
      <c r="A243" s="31" t="n">
        <v>250</v>
      </c>
      <c r="B243" s="42" t="inlineStr">
        <is>
          <t>Favian</t>
        </is>
      </c>
      <c r="C243" s="42" t="inlineStr">
        <is>
          <t>Velasco</t>
        </is>
      </c>
      <c r="D243" s="42" t="inlineStr">
        <is>
          <t>Velasco, Favian</t>
        </is>
      </c>
      <c r="E243" s="43" t="n">
        <v>46013</v>
      </c>
      <c r="F243" s="42" t="inlineStr">
        <is>
          <t>Full-Time</t>
        </is>
      </c>
      <c r="G243" s="43" t="n">
        <v>46013</v>
      </c>
      <c r="H243" s="42" t="inlineStr">
        <is>
          <t>ServiceNow</t>
        </is>
      </c>
      <c r="I243" s="42" t="inlineStr">
        <is>
          <t>Engineering</t>
        </is>
      </c>
      <c r="J243" s="42" t="inlineStr">
        <is>
          <t>Remote</t>
        </is>
      </c>
      <c r="K243" s="42" t="inlineStr">
        <is>
          <t>Yes</t>
        </is>
      </c>
      <c r="L243" s="42" t="inlineStr">
        <is>
          <t>300- ServiceNow:320- Engineering</t>
        </is>
      </c>
      <c r="M243" s="42" t="inlineStr">
        <is>
          <t>Cost of Goods Sold:COGS- Travel Expenses:</t>
        </is>
      </c>
      <c r="N243" s="42" t="inlineStr">
        <is>
          <t>Cost of Goods Sold:COGS- Personnel Expense:</t>
        </is>
      </c>
      <c r="O243" s="44">
        <f>B243&amp;" "&amp;C243</f>
        <v/>
      </c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  <c r="Z243" s="51" t="n"/>
    </row>
    <row r="244" ht="15.75" customHeight="1" s="52">
      <c r="A244" s="31" t="n">
        <v>251</v>
      </c>
      <c r="B244" s="42" t="inlineStr">
        <is>
          <t>Harry</t>
        </is>
      </c>
      <c r="C244" s="42" t="inlineStr">
        <is>
          <t>Tomczyk</t>
        </is>
      </c>
      <c r="D244" s="42" t="inlineStr">
        <is>
          <t>Tomczyk, Harry</t>
        </is>
      </c>
      <c r="E244" s="43" t="n">
        <v>46083</v>
      </c>
      <c r="F244" s="42" t="inlineStr">
        <is>
          <t>Full-Time</t>
        </is>
      </c>
      <c r="G244" s="43" t="n">
        <v>46083</v>
      </c>
      <c r="H244" s="42" t="inlineStr">
        <is>
          <t>ServiceNow</t>
        </is>
      </c>
      <c r="I244" s="42" t="inlineStr">
        <is>
          <t>Sales</t>
        </is>
      </c>
      <c r="J244" s="42" t="inlineStr">
        <is>
          <t>Remote</t>
        </is>
      </c>
      <c r="K244" s="46" t="inlineStr">
        <is>
          <t>No</t>
        </is>
      </c>
      <c r="L244" s="42" t="inlineStr">
        <is>
          <t>300- ServiceNow:330- Sales</t>
        </is>
      </c>
      <c r="M244" s="42" t="inlineStr">
        <is>
          <t>Sales &amp; Marketing:Sales &amp; Marketing- Travel Expenses:</t>
        </is>
      </c>
      <c r="N244" s="51" t="inlineStr">
        <is>
          <t>Sales &amp; Marketing:Sales &amp; Marketing- Personnel Expenses:</t>
        </is>
      </c>
      <c r="O244" s="44">
        <f>B244&amp;" "&amp;C244</f>
        <v/>
      </c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  <c r="Z244" s="51" t="n"/>
    </row>
    <row r="245" ht="15.75" customHeight="1" s="52">
      <c r="A245" s="31" t="n">
        <v>252</v>
      </c>
      <c r="B245" s="42" t="inlineStr">
        <is>
          <t>Kyle</t>
        </is>
      </c>
      <c r="C245" s="42" t="inlineStr">
        <is>
          <t>Bense</t>
        </is>
      </c>
      <c r="D245" s="42" t="inlineStr">
        <is>
          <t>Bense, Kyle</t>
        </is>
      </c>
      <c r="E245" s="43" t="n">
        <v>46048</v>
      </c>
      <c r="F245" s="42" t="inlineStr">
        <is>
          <t>Full-Time</t>
        </is>
      </c>
      <c r="G245" s="43" t="n">
        <v>46048</v>
      </c>
      <c r="H245" s="42" t="inlineStr">
        <is>
          <t>ServiceNow</t>
        </is>
      </c>
      <c r="I245" s="42" t="inlineStr">
        <is>
          <t>Engineering</t>
        </is>
      </c>
      <c r="J245" s="42" t="inlineStr">
        <is>
          <t>Remote</t>
        </is>
      </c>
      <c r="K245" s="46" t="inlineStr">
        <is>
          <t>Yes</t>
        </is>
      </c>
      <c r="L245" s="42" t="inlineStr">
        <is>
          <t>300- ServiceNow:320- Engineering</t>
        </is>
      </c>
      <c r="M245" s="42" t="inlineStr">
        <is>
          <t>Cost of Goods Sold:COGS- Travel Expenses:</t>
        </is>
      </c>
      <c r="N245" s="51" t="inlineStr">
        <is>
          <t>Cost of Goods Sold:COGS- Personnel Expense:</t>
        </is>
      </c>
      <c r="O245" s="44">
        <f>B245&amp;" "&amp;C245</f>
        <v/>
      </c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  <c r="Z245" s="51" t="n"/>
    </row>
    <row r="246" ht="15.75" customHeight="1" s="52">
      <c r="A246" s="31" t="n">
        <v>253</v>
      </c>
      <c r="B246" s="42" t="inlineStr">
        <is>
          <t>Luke</t>
        </is>
      </c>
      <c r="C246" s="42" t="inlineStr">
        <is>
          <t>Covalt</t>
        </is>
      </c>
      <c r="D246" s="42" t="inlineStr">
        <is>
          <t>Covalt, Luke</t>
        </is>
      </c>
      <c r="E246" s="43" t="n">
        <v>46069</v>
      </c>
      <c r="F246" s="42" t="inlineStr">
        <is>
          <t>Full-Time</t>
        </is>
      </c>
      <c r="G246" s="43" t="n">
        <v>46069</v>
      </c>
      <c r="H246" s="42" t="inlineStr">
        <is>
          <t>ServiceNow</t>
        </is>
      </c>
      <c r="I246" s="42" t="inlineStr">
        <is>
          <t>Engineering</t>
        </is>
      </c>
      <c r="J246" s="42" t="inlineStr">
        <is>
          <t>Remote</t>
        </is>
      </c>
      <c r="K246" s="46" t="inlineStr">
        <is>
          <t>Yes</t>
        </is>
      </c>
      <c r="L246" s="42" t="inlineStr">
        <is>
          <t>300- ServiceNow:320- Engineering</t>
        </is>
      </c>
      <c r="M246" s="42" t="inlineStr">
        <is>
          <t>Cost of Goods Sold:COGS- Travel Expenses:</t>
        </is>
      </c>
      <c r="N246" s="51" t="inlineStr">
        <is>
          <t>Cost of Goods Sold:COGS- Personnel Expense:</t>
        </is>
      </c>
      <c r="O246" s="44">
        <f>B246&amp;" "&amp;C246</f>
        <v/>
      </c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  <c r="Z246" s="51" t="n"/>
    </row>
    <row r="247" ht="15.75" customHeight="1" s="52">
      <c r="A247" s="31" t="n">
        <v>254</v>
      </c>
      <c r="B247" s="42" t="inlineStr">
        <is>
          <t>Gage</t>
        </is>
      </c>
      <c r="C247" s="42" t="inlineStr">
        <is>
          <t>Howell</t>
        </is>
      </c>
      <c r="D247" s="42" t="inlineStr">
        <is>
          <t>Howell, Gage</t>
        </is>
      </c>
      <c r="E247" s="43" t="n">
        <v>46062</v>
      </c>
      <c r="F247" s="42" t="inlineStr">
        <is>
          <t>Full-Time</t>
        </is>
      </c>
      <c r="G247" s="43" t="n">
        <v>46062</v>
      </c>
      <c r="H247" s="42" t="inlineStr">
        <is>
          <t>ServiceNow</t>
        </is>
      </c>
      <c r="I247" s="42" t="inlineStr">
        <is>
          <t>Engineering</t>
        </is>
      </c>
      <c r="J247" s="42" t="inlineStr">
        <is>
          <t>Remote</t>
        </is>
      </c>
      <c r="K247" s="46" t="inlineStr">
        <is>
          <t>Yes</t>
        </is>
      </c>
      <c r="L247" s="42" t="inlineStr">
        <is>
          <t>300- ServiceNow:320- Engineering</t>
        </is>
      </c>
      <c r="M247" s="42" t="inlineStr">
        <is>
          <t>Cost of Goods Sold:COGS- Travel Expenses:</t>
        </is>
      </c>
      <c r="N247" s="51" t="inlineStr">
        <is>
          <t>Cost of Goods Sold:COGS- Personnel Expense:</t>
        </is>
      </c>
      <c r="O247" s="44">
        <f>B247&amp;" "&amp;C247</f>
        <v/>
      </c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  <c r="Z247" s="51" t="n"/>
    </row>
    <row r="248" ht="15.75" customHeight="1" s="52">
      <c r="A248" s="31" t="n">
        <v>255</v>
      </c>
      <c r="B248" s="42" t="inlineStr">
        <is>
          <t>Andrew</t>
        </is>
      </c>
      <c r="C248" s="42" t="inlineStr">
        <is>
          <t>Fellows</t>
        </is>
      </c>
      <c r="D248" s="42" t="inlineStr">
        <is>
          <t>Fellows, Andrew</t>
        </is>
      </c>
      <c r="E248" s="43" t="n">
        <v>46055</v>
      </c>
      <c r="F248" s="42" t="inlineStr">
        <is>
          <t>Full-Time</t>
        </is>
      </c>
      <c r="G248" s="43" t="n">
        <v>46055</v>
      </c>
      <c r="H248" s="42" t="inlineStr">
        <is>
          <t>Datadog</t>
        </is>
      </c>
      <c r="I248" s="42" t="inlineStr">
        <is>
          <t>Engineering</t>
        </is>
      </c>
      <c r="J248" s="42" t="inlineStr">
        <is>
          <t>Boylston</t>
        </is>
      </c>
      <c r="K248" s="46" t="inlineStr">
        <is>
          <t>Yes</t>
        </is>
      </c>
      <c r="L248" s="42" t="inlineStr">
        <is>
          <t>200- Datadog:220- Engineering</t>
        </is>
      </c>
      <c r="M248" s="42" t="inlineStr">
        <is>
          <t>Cost of Goods Sold:COGS- Travel Expenses:</t>
        </is>
      </c>
      <c r="N248" s="51" t="inlineStr">
        <is>
          <t>Cost of Goods Sold:COGS- Personnel Expense:</t>
        </is>
      </c>
      <c r="O248" s="44">
        <f>B248&amp;" "&amp;C248</f>
        <v/>
      </c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  <c r="Z248" s="51" t="n"/>
    </row>
    <row r="249" ht="15.75" customHeight="1" s="52">
      <c r="A249" s="31" t="n">
        <v>256</v>
      </c>
      <c r="B249" s="42" t="inlineStr">
        <is>
          <t>Gabriella</t>
        </is>
      </c>
      <c r="C249" s="42" t="inlineStr">
        <is>
          <t>Catalano</t>
        </is>
      </c>
      <c r="D249" s="42" t="inlineStr">
        <is>
          <t>Catalano, Gabriella</t>
        </is>
      </c>
      <c r="E249" s="43" t="n">
        <v>46076</v>
      </c>
      <c r="F249" s="42" t="inlineStr">
        <is>
          <t>Full-Time</t>
        </is>
      </c>
      <c r="G249" s="43" t="n">
        <v>46076</v>
      </c>
      <c r="H249" s="42" t="inlineStr">
        <is>
          <t>ServiceNow</t>
        </is>
      </c>
      <c r="I249" s="42" t="inlineStr">
        <is>
          <t>Project Management</t>
        </is>
      </c>
      <c r="J249" s="42" t="inlineStr">
        <is>
          <t>Boylston</t>
        </is>
      </c>
      <c r="K249" s="46" t="inlineStr">
        <is>
          <t>Yes</t>
        </is>
      </c>
      <c r="L249" s="42" t="inlineStr">
        <is>
          <t>300- ServiceNow:310- Delivery</t>
        </is>
      </c>
      <c r="M249" s="42" t="inlineStr">
        <is>
          <t>Cost of Goods Sold:COGS- Travel Expenses:</t>
        </is>
      </c>
      <c r="N249" s="51" t="inlineStr">
        <is>
          <t>Cost of Goods Sold:COGS- Personnel Expense:</t>
        </is>
      </c>
      <c r="O249" s="44">
        <f>B249&amp;" "&amp;C249</f>
        <v/>
      </c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  <c r="Z249" s="51" t="n"/>
    </row>
    <row r="250" ht="15.75" customHeight="1" s="52">
      <c r="A250" s="31" t="n">
        <v>257</v>
      </c>
      <c r="B250" s="42" t="inlineStr">
        <is>
          <t>Sal</t>
        </is>
      </c>
      <c r="C250" s="42" t="inlineStr">
        <is>
          <t>Costa</t>
        </is>
      </c>
      <c r="D250" s="42" t="inlineStr">
        <is>
          <t>Costa, Sal</t>
        </is>
      </c>
      <c r="E250" s="43" t="n">
        <v>46069</v>
      </c>
      <c r="F250" s="42" t="inlineStr">
        <is>
          <t>Full-Time</t>
        </is>
      </c>
      <c r="G250" s="43" t="n">
        <v>46069</v>
      </c>
      <c r="H250" s="42" t="inlineStr">
        <is>
          <t>ServiceNow</t>
        </is>
      </c>
      <c r="I250" s="42" t="inlineStr">
        <is>
          <t>Sales</t>
        </is>
      </c>
      <c r="J250" s="42" t="inlineStr">
        <is>
          <t>Remote</t>
        </is>
      </c>
      <c r="K250" s="46" t="inlineStr">
        <is>
          <t>No</t>
        </is>
      </c>
      <c r="L250" s="42" t="inlineStr">
        <is>
          <t>300- ServiceNow:330- Sales</t>
        </is>
      </c>
      <c r="M250" s="42" t="inlineStr">
        <is>
          <t>Sales &amp; Marketing:Sales &amp; Marketing- Travel Expenses:</t>
        </is>
      </c>
      <c r="N250" s="51" t="inlineStr">
        <is>
          <t>Sales &amp; Marketing:Sales &amp; Marketing- Personnel Expenses:</t>
        </is>
      </c>
      <c r="O250" s="44">
        <f>B250&amp;" "&amp;C250</f>
        <v/>
      </c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  <c r="Z250" s="51" t="n"/>
    </row>
    <row r="251" ht="15.75" customHeight="1" s="52">
      <c r="A251" s="31" t="n">
        <v>258</v>
      </c>
      <c r="B251" s="42" t="inlineStr">
        <is>
          <t>Shane</t>
        </is>
      </c>
      <c r="C251" s="42" t="inlineStr">
        <is>
          <t>Burgoon</t>
        </is>
      </c>
      <c r="D251" s="42" t="inlineStr">
        <is>
          <t>Burgoon, Shane</t>
        </is>
      </c>
      <c r="E251" s="43" t="n">
        <v>46090</v>
      </c>
      <c r="F251" s="42" t="inlineStr">
        <is>
          <t>Full-Time</t>
        </is>
      </c>
      <c r="G251" s="43" t="n">
        <v>46090</v>
      </c>
      <c r="H251" s="42" t="inlineStr">
        <is>
          <t>Datadog</t>
        </is>
      </c>
      <c r="I251" s="42" t="inlineStr">
        <is>
          <t>Engineering</t>
        </is>
      </c>
      <c r="J251" s="42" t="inlineStr">
        <is>
          <t>Boylston</t>
        </is>
      </c>
      <c r="K251" s="46" t="inlineStr">
        <is>
          <t>Yes</t>
        </is>
      </c>
      <c r="L251" s="42" t="inlineStr">
        <is>
          <t>200- Datadog:220- Engineering</t>
        </is>
      </c>
      <c r="M251" s="42" t="inlineStr">
        <is>
          <t>Cost of Goods Sold:COGS- Travel Expenses:</t>
        </is>
      </c>
      <c r="N251" s="51" t="inlineStr">
        <is>
          <t>Cost of Goods Sold:COGS- Personnel Expense:</t>
        </is>
      </c>
      <c r="O251" s="44">
        <f>B251&amp;" "&amp;C251</f>
        <v/>
      </c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  <c r="Z251" s="51" t="n"/>
    </row>
    <row r="252" ht="15.75" customHeight="1" s="52">
      <c r="A252" s="31" t="n">
        <v>259</v>
      </c>
      <c r="B252" s="42" t="inlineStr">
        <is>
          <t>Brendan</t>
        </is>
      </c>
      <c r="C252" s="42" t="inlineStr">
        <is>
          <t>Nolan</t>
        </is>
      </c>
      <c r="D252" s="42" t="inlineStr">
        <is>
          <t>Nolan, Brendan</t>
        </is>
      </c>
      <c r="E252" s="43" t="n">
        <v>46084</v>
      </c>
      <c r="F252" s="42" t="inlineStr">
        <is>
          <t>Full-Time</t>
        </is>
      </c>
      <c r="G252" s="43" t="n">
        <v>46084</v>
      </c>
      <c r="H252" s="42" t="inlineStr">
        <is>
          <t>ServiceNow</t>
        </is>
      </c>
      <c r="I252" s="42" t="inlineStr">
        <is>
          <t>Engineering</t>
        </is>
      </c>
      <c r="J252" s="42" t="inlineStr">
        <is>
          <t>Remote</t>
        </is>
      </c>
      <c r="K252" s="46" t="inlineStr">
        <is>
          <t>Yes</t>
        </is>
      </c>
      <c r="L252" s="42" t="inlineStr">
        <is>
          <t>300- ServiceNow:320- Engineering</t>
        </is>
      </c>
      <c r="M252" s="50" t="inlineStr">
        <is>
          <t>Cost of Goods Sold:COGS- Travel Expenses:</t>
        </is>
      </c>
      <c r="N252" s="51" t="inlineStr">
        <is>
          <t>Cost of Goods Sold:COGS- Personnel Expense:</t>
        </is>
      </c>
      <c r="O252" s="44">
        <f>B252&amp;" "&amp;C252</f>
        <v/>
      </c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  <c r="Z252" s="51" t="n"/>
    </row>
    <row r="253" ht="15.75" customHeight="1" s="52">
      <c r="A253" s="31" t="n">
        <v>261</v>
      </c>
      <c r="B253" s="42" t="inlineStr">
        <is>
          <t>Dan</t>
        </is>
      </c>
      <c r="C253" s="42" t="inlineStr">
        <is>
          <t>Hennessy</t>
        </is>
      </c>
      <c r="D253" s="42" t="inlineStr">
        <is>
          <t>Hennessy, Dan</t>
        </is>
      </c>
      <c r="E253" s="51" t="n"/>
      <c r="F253" s="42" t="inlineStr">
        <is>
          <t>Full-Time</t>
        </is>
      </c>
      <c r="G253" s="43" t="n">
        <v>46097</v>
      </c>
      <c r="H253" s="42" t="inlineStr">
        <is>
          <t>Datadog</t>
        </is>
      </c>
      <c r="I253" s="42" t="inlineStr">
        <is>
          <t>Engineering</t>
        </is>
      </c>
      <c r="J253" s="51" t="inlineStr">
        <is>
          <t>Remote</t>
        </is>
      </c>
      <c r="K253" s="51" t="n"/>
      <c r="L253" s="42" t="inlineStr">
        <is>
          <t>200- Datadog:220- Engineering</t>
        </is>
      </c>
      <c r="M253" s="42" t="inlineStr">
        <is>
          <t>Cost of Goods Sold:COGS- Travel Expenses:</t>
        </is>
      </c>
      <c r="N253" s="51" t="inlineStr">
        <is>
          <t>Cost of Goods Sold:COGS- Personnel Expense:</t>
        </is>
      </c>
      <c r="O253" s="44">
        <f>B253&amp;" "&amp;C253</f>
        <v/>
      </c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  <c r="Z253" s="51" t="n"/>
    </row>
    <row r="254" ht="15.75" customHeight="1" s="52">
      <c r="A254" s="31" t="n">
        <v>260</v>
      </c>
      <c r="B254" s="42" t="inlineStr">
        <is>
          <t xml:space="preserve">Talon </t>
        </is>
      </c>
      <c r="C254" s="42" t="inlineStr">
        <is>
          <t>Walz</t>
        </is>
      </c>
      <c r="D254" s="42" t="inlineStr">
        <is>
          <t>Walz, Talon</t>
        </is>
      </c>
      <c r="E254" s="51" t="n"/>
      <c r="F254" s="42" t="inlineStr">
        <is>
          <t>Full-Time</t>
        </is>
      </c>
      <c r="G254" s="43" t="n">
        <v>46091</v>
      </c>
      <c r="H254" s="51" t="inlineStr">
        <is>
          <t>ServiceNow</t>
        </is>
      </c>
      <c r="I254" s="51" t="inlineStr">
        <is>
          <t>Engineering</t>
        </is>
      </c>
      <c r="J254" s="51" t="inlineStr">
        <is>
          <t>Remote</t>
        </is>
      </c>
      <c r="K254" s="46" t="inlineStr">
        <is>
          <t>Yes</t>
        </is>
      </c>
      <c r="L254" s="42" t="inlineStr">
        <is>
          <t>300- ServiceNow:320- Engineering</t>
        </is>
      </c>
      <c r="M254" s="42" t="inlineStr">
        <is>
          <t>Cost of Goods Sold:COGS- Travel Expenses:</t>
        </is>
      </c>
      <c r="N254" s="42" t="inlineStr">
        <is>
          <t>Cost of Goods Sold:COGS- Personnel Expense:</t>
        </is>
      </c>
      <c r="O254" s="44">
        <f>B254&amp;" "&amp;C254</f>
        <v/>
      </c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  <c r="Z254" s="51" t="n"/>
    </row>
    <row r="255" ht="15.75" customHeight="1" s="52">
      <c r="A255" s="31" t="n">
        <v>262</v>
      </c>
      <c r="B255" s="51" t="inlineStr">
        <is>
          <t>Christopher</t>
        </is>
      </c>
      <c r="C255" s="51" t="inlineStr">
        <is>
          <t>Turner</t>
        </is>
      </c>
      <c r="D255" s="51" t="inlineStr">
        <is>
          <t>Turner, Christopher</t>
        </is>
      </c>
      <c r="E255" s="51" t="n"/>
      <c r="F255" s="42" t="inlineStr">
        <is>
          <t>Full-Time</t>
        </is>
      </c>
      <c r="G255" s="43" t="n">
        <v>46076</v>
      </c>
      <c r="H255" s="51" t="inlineStr">
        <is>
          <t>Datadog</t>
        </is>
      </c>
      <c r="I255" s="51" t="inlineStr">
        <is>
          <t>Engineering</t>
        </is>
      </c>
      <c r="J255" s="51" t="inlineStr">
        <is>
          <t>Boylston</t>
        </is>
      </c>
      <c r="K255" s="51" t="inlineStr">
        <is>
          <t>Yes</t>
        </is>
      </c>
      <c r="L255" s="51" t="inlineStr">
        <is>
          <t>200- Datadog:220- Engineering</t>
        </is>
      </c>
      <c r="M255" s="51" t="inlineStr">
        <is>
          <t>Cost of Goods Sold:COGS- Travel Expenses:</t>
        </is>
      </c>
      <c r="N255" s="51" t="inlineStr">
        <is>
          <t>Cost of Goods Sold:COGS- Personnel Expense:</t>
        </is>
      </c>
      <c r="O255" s="44">
        <f>B255&amp;" "&amp;C255</f>
        <v/>
      </c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  <c r="Z255" s="51" t="n"/>
    </row>
    <row r="256" ht="15.75" customHeight="1" s="52">
      <c r="A256" s="31" t="n">
        <v>263</v>
      </c>
      <c r="B256" s="51" t="inlineStr">
        <is>
          <t>Evan</t>
        </is>
      </c>
      <c r="C256" s="51" t="inlineStr">
        <is>
          <t>Mitchell</t>
        </is>
      </c>
      <c r="D256" s="51" t="inlineStr">
        <is>
          <t>Mitchell, Evan</t>
        </is>
      </c>
      <c r="E256" s="51" t="n"/>
      <c r="F256" s="42" t="inlineStr">
        <is>
          <t>Full-Time</t>
        </is>
      </c>
      <c r="G256" s="43" t="n">
        <v>46083</v>
      </c>
      <c r="H256" s="51" t="inlineStr">
        <is>
          <t>Datadog</t>
        </is>
      </c>
      <c r="I256" s="51" t="inlineStr">
        <is>
          <t>Engineering</t>
        </is>
      </c>
      <c r="J256" s="51" t="inlineStr">
        <is>
          <t>Boylston</t>
        </is>
      </c>
      <c r="K256" s="51" t="inlineStr">
        <is>
          <t>Yes</t>
        </is>
      </c>
      <c r="L256" s="51" t="inlineStr">
        <is>
          <t>200- Datadog:220- Engineering</t>
        </is>
      </c>
      <c r="M256" s="51" t="inlineStr">
        <is>
          <t>Cost of Goods Sold:COGS- Travel Expenses:</t>
        </is>
      </c>
      <c r="N256" s="51" t="inlineStr">
        <is>
          <t>Cost of Goods Sold:COGS- Personnel Expense:</t>
        </is>
      </c>
      <c r="O256" s="44">
        <f>B256&amp;" "&amp;C256</f>
        <v/>
      </c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  <c r="Z256" s="51" t="n"/>
    </row>
    <row r="257" ht="15.75" customHeight="1" s="52">
      <c r="A257" s="51" t="n">
        <v>264</v>
      </c>
      <c r="B257" s="51" t="inlineStr">
        <is>
          <t>Tyler</t>
        </is>
      </c>
      <c r="C257" s="51" t="inlineStr">
        <is>
          <t>Grimshaw</t>
        </is>
      </c>
      <c r="D257" s="51" t="inlineStr">
        <is>
          <t>Grimshaw, Tyler</t>
        </is>
      </c>
      <c r="E257" s="51" t="n"/>
      <c r="F257" s="42" t="inlineStr">
        <is>
          <t>Full-Time</t>
        </is>
      </c>
      <c r="G257" s="43" t="n">
        <v>46132</v>
      </c>
      <c r="H257" s="51" t="inlineStr">
        <is>
          <t>Datadog</t>
        </is>
      </c>
      <c r="I257" s="51" t="inlineStr">
        <is>
          <t>Sales</t>
        </is>
      </c>
      <c r="J257" s="51" t="inlineStr">
        <is>
          <t>Remote</t>
        </is>
      </c>
      <c r="K257" s="51" t="inlineStr">
        <is>
          <t>No</t>
        </is>
      </c>
      <c r="L257" s="51" t="inlineStr">
        <is>
          <t>200- Datadog:230- Sales</t>
        </is>
      </c>
      <c r="M257" s="51" t="inlineStr">
        <is>
          <t>Sales &amp; Marketing:Sales &amp; Marketing- Travel Expenses:</t>
        </is>
      </c>
      <c r="N257" s="51" t="inlineStr">
        <is>
          <t>Sales &amp; Marketing:Sales &amp; Marketing- Personnel Expenses:</t>
        </is>
      </c>
      <c r="O257" s="44">
        <f>B257&amp;" "&amp;C257</f>
        <v/>
      </c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  <c r="Z257" s="51" t="n"/>
    </row>
    <row r="258" ht="15.75" customHeight="1" s="52">
      <c r="A258" s="51" t="n">
        <v>266</v>
      </c>
      <c r="B258" s="51" t="inlineStr">
        <is>
          <t>Samara</t>
        </is>
      </c>
      <c r="C258" s="51" t="inlineStr">
        <is>
          <t>McVey</t>
        </is>
      </c>
      <c r="D258" s="51" t="inlineStr">
        <is>
          <t>McVey, Samara</t>
        </is>
      </c>
      <c r="E258" s="51" t="n"/>
      <c r="F258" s="42" t="inlineStr">
        <is>
          <t>Full-Time</t>
        </is>
      </c>
      <c r="G258" s="43" t="n">
        <v>46168</v>
      </c>
      <c r="H258" s="51" t="inlineStr">
        <is>
          <t>ServiceNow</t>
        </is>
      </c>
      <c r="I258" s="51" t="inlineStr">
        <is>
          <t>Project Management</t>
        </is>
      </c>
      <c r="J258" s="51" t="inlineStr">
        <is>
          <t>Boylston</t>
        </is>
      </c>
      <c r="K258" s="51" t="inlineStr">
        <is>
          <t>No</t>
        </is>
      </c>
      <c r="L258" s="51" t="inlineStr">
        <is>
          <t>300- ServiceNow:310- Delivery</t>
        </is>
      </c>
      <c r="M258" s="51" t="inlineStr">
        <is>
          <t>General &amp; Administrative:G&amp;A- Travel Expenses:</t>
        </is>
      </c>
      <c r="N258" s="51" t="inlineStr">
        <is>
          <t>General &amp; Administrative:G&amp;A- Personnel Expenses:</t>
        </is>
      </c>
      <c r="O258" s="44">
        <f>B258&amp;" "&amp;C258</f>
        <v/>
      </c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  <c r="Z258" s="51" t="n"/>
    </row>
    <row r="259" ht="15.75" customHeight="1" s="52">
      <c r="A259" s="51" t="n">
        <v>268</v>
      </c>
      <c r="B259" s="51" t="inlineStr">
        <is>
          <t>Jacy</t>
        </is>
      </c>
      <c r="C259" s="51" t="inlineStr">
        <is>
          <t>Hennawy</t>
        </is>
      </c>
      <c r="D259" s="51" t="inlineStr">
        <is>
          <t>Hennawy, Jacy</t>
        </is>
      </c>
      <c r="E259" s="51" t="n"/>
      <c r="F259" s="42" t="inlineStr">
        <is>
          <t>Full-Time</t>
        </is>
      </c>
      <c r="G259" s="43" t="n">
        <v>46105</v>
      </c>
      <c r="H259" s="51" t="inlineStr">
        <is>
          <t>Operations</t>
        </is>
      </c>
      <c r="I259" s="51" t="inlineStr">
        <is>
          <t>People Operations</t>
        </is>
      </c>
      <c r="J259" s="51" t="inlineStr">
        <is>
          <t>Boylston</t>
        </is>
      </c>
      <c r="K259" s="51" t="inlineStr">
        <is>
          <t>No</t>
        </is>
      </c>
      <c r="L259" s="51" t="inlineStr">
        <is>
          <t>100- Operations:110- G&amp;A</t>
        </is>
      </c>
      <c r="M259" s="51" t="inlineStr">
        <is>
          <t>General &amp; Administrative:G&amp;A- Travel Expenses:</t>
        </is>
      </c>
      <c r="N259" s="51" t="inlineStr">
        <is>
          <t>General &amp; Administrative:G&amp;A- Personnel Expenses:</t>
        </is>
      </c>
      <c r="O259" s="44">
        <f>B259&amp;" "&amp;C259</f>
        <v/>
      </c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  <c r="Z259" s="51" t="n"/>
    </row>
    <row r="260" ht="15.75" customHeight="1" s="52">
      <c r="A260" s="51" t="n">
        <v>269</v>
      </c>
      <c r="B260" s="51" t="inlineStr">
        <is>
          <t>Brian</t>
        </is>
      </c>
      <c r="C260" s="51" t="inlineStr">
        <is>
          <t>McGonigal</t>
        </is>
      </c>
      <c r="D260" s="51" t="inlineStr">
        <is>
          <t>McGonigal, Brian</t>
        </is>
      </c>
      <c r="E260" s="51" t="n"/>
      <c r="F260" s="42" t="inlineStr">
        <is>
          <t>Full-Time</t>
        </is>
      </c>
      <c r="G260" s="43" t="n">
        <v>46118</v>
      </c>
      <c r="H260" s="51" t="inlineStr">
        <is>
          <t>ServiceNow</t>
        </is>
      </c>
      <c r="I260" s="51" t="inlineStr">
        <is>
          <t>Sales</t>
        </is>
      </c>
      <c r="J260" s="51" t="inlineStr">
        <is>
          <t>Remote</t>
        </is>
      </c>
      <c r="K260" s="51" t="inlineStr">
        <is>
          <t>No</t>
        </is>
      </c>
      <c r="L260" s="51" t="inlineStr">
        <is>
          <t>300- ServiceNow:330- Sales</t>
        </is>
      </c>
      <c r="M260" s="51" t="inlineStr">
        <is>
          <t>Sales &amp; Marketing:Sales &amp; Marketing- Travel Expenses:</t>
        </is>
      </c>
      <c r="N260" s="51" t="inlineStr">
        <is>
          <t>Sales &amp; Marketing:Sales &amp; Marketing- Personnel Expenses:</t>
        </is>
      </c>
      <c r="O260" s="44">
        <f>B260&amp;" "&amp;C260</f>
        <v/>
      </c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  <c r="Z260" s="51" t="n"/>
    </row>
    <row r="261" ht="15.75" customHeight="1" s="52">
      <c r="A261" s="51" t="n">
        <v>270</v>
      </c>
      <c r="B261" s="51" t="inlineStr">
        <is>
          <t>James</t>
        </is>
      </c>
      <c r="C261" s="51" t="inlineStr">
        <is>
          <t>Dean</t>
        </is>
      </c>
      <c r="D261" s="51" t="inlineStr">
        <is>
          <t>Dean, James</t>
        </is>
      </c>
      <c r="E261" s="51" t="n"/>
      <c r="F261" s="42" t="inlineStr">
        <is>
          <t>Full-Time</t>
        </is>
      </c>
      <c r="G261" s="43" t="n">
        <v>46209</v>
      </c>
      <c r="H261" s="51" t="inlineStr">
        <is>
          <t>Datadog</t>
        </is>
      </c>
      <c r="I261" s="51" t="inlineStr">
        <is>
          <t>Sales</t>
        </is>
      </c>
      <c r="J261" s="51" t="inlineStr">
        <is>
          <t>Non-US</t>
        </is>
      </c>
      <c r="K261" s="51" t="inlineStr">
        <is>
          <t>No</t>
        </is>
      </c>
      <c r="L261" s="51" t="inlineStr">
        <is>
          <t>200- Datadog:230- Sales</t>
        </is>
      </c>
      <c r="M261" s="51" t="inlineStr">
        <is>
          <t>Sales &amp; Marketing:Sales &amp; Marketing- Travel Expenses:</t>
        </is>
      </c>
      <c r="N261" s="51" t="inlineStr">
        <is>
          <t>Sales &amp; Marketing:Sales &amp; Marketing- Personnel Expenses:</t>
        </is>
      </c>
      <c r="O261" s="44">
        <f>B261&amp;" "&amp;C261</f>
        <v/>
      </c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  <c r="Z261" s="51" t="n"/>
    </row>
    <row r="262" ht="15.75" customHeight="1" s="52">
      <c r="A262" s="51" t="n">
        <v>271</v>
      </c>
      <c r="B262" s="51" t="inlineStr">
        <is>
          <t>Marsha</t>
        </is>
      </c>
      <c r="C262" s="51" t="inlineStr">
        <is>
          <t>Whitman</t>
        </is>
      </c>
      <c r="D262" s="51" t="inlineStr">
        <is>
          <t>Whitman, Marsha</t>
        </is>
      </c>
      <c r="E262" s="51" t="n"/>
      <c r="F262" s="42" t="inlineStr">
        <is>
          <t>Full-Time</t>
        </is>
      </c>
      <c r="G262" s="43" t="n">
        <v>46133</v>
      </c>
      <c r="H262" s="51" t="inlineStr">
        <is>
          <t>ServiceNow</t>
        </is>
      </c>
      <c r="I262" s="51" t="inlineStr">
        <is>
          <t>Project Management</t>
        </is>
      </c>
      <c r="J262" s="51" t="inlineStr">
        <is>
          <t>Boylston</t>
        </is>
      </c>
      <c r="K262" s="51" t="inlineStr">
        <is>
          <t>Yes</t>
        </is>
      </c>
      <c r="L262" s="51" t="inlineStr">
        <is>
          <t>300- ServiceNow:310- Delivery</t>
        </is>
      </c>
      <c r="M262" s="51" t="inlineStr">
        <is>
          <t>Cost of Goods Sold:COGS- Travel Expenses:</t>
        </is>
      </c>
      <c r="N262" s="51" t="inlineStr">
        <is>
          <t>Cost of Goods Sold:COGS- Personnel Expense:</t>
        </is>
      </c>
      <c r="O262" s="44">
        <f>B262&amp;" "&amp;C262</f>
        <v/>
      </c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  <c r="Z262" s="51" t="n"/>
    </row>
    <row r="263" ht="15.75" customHeight="1" s="52">
      <c r="A263" s="51" t="n">
        <v>273</v>
      </c>
      <c r="B263" s="51" t="inlineStr">
        <is>
          <t>Michael</t>
        </is>
      </c>
      <c r="C263" s="51" t="inlineStr">
        <is>
          <t>Button</t>
        </is>
      </c>
      <c r="D263" s="51" t="inlineStr">
        <is>
          <t>Button, Michael</t>
        </is>
      </c>
      <c r="E263" s="51" t="n"/>
      <c r="F263" s="42" t="inlineStr">
        <is>
          <t>Full-Time</t>
        </is>
      </c>
      <c r="G263" s="43" t="n">
        <v>46153</v>
      </c>
      <c r="H263" s="51" t="inlineStr">
        <is>
          <t>Operations</t>
        </is>
      </c>
      <c r="I263" s="51" t="inlineStr">
        <is>
          <t>Operations</t>
        </is>
      </c>
      <c r="J263" s="51" t="inlineStr">
        <is>
          <t>Boylston</t>
        </is>
      </c>
      <c r="K263" s="51" t="inlineStr">
        <is>
          <t>No</t>
        </is>
      </c>
      <c r="L263" s="51" t="inlineStr">
        <is>
          <t>100- Operations:110- G&amp;A</t>
        </is>
      </c>
      <c r="M263" s="51" t="inlineStr">
        <is>
          <t>General &amp; Administrative:G&amp;A- Travel Expenses:</t>
        </is>
      </c>
      <c r="N263" s="51" t="inlineStr">
        <is>
          <t>General &amp; Administrative:G&amp;A- Personnel Expenses:</t>
        </is>
      </c>
      <c r="O263" s="44">
        <f>B263&amp;" "&amp;C263</f>
        <v/>
      </c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  <c r="Z263" s="51" t="n"/>
    </row>
    <row r="264" ht="15.75" customHeight="1" s="52">
      <c r="A264" s="51" t="n">
        <v>274</v>
      </c>
      <c r="B264" s="51" t="inlineStr">
        <is>
          <t>Robin</t>
        </is>
      </c>
      <c r="C264" s="51" t="inlineStr">
        <is>
          <t>Wiggs</t>
        </is>
      </c>
      <c r="D264" s="51" t="inlineStr">
        <is>
          <t>Wiggs, Robin</t>
        </is>
      </c>
      <c r="E264" s="51" t="n"/>
      <c r="F264" s="42" t="inlineStr">
        <is>
          <t>Full-Time</t>
        </is>
      </c>
      <c r="G264" s="43" t="n">
        <v>46132</v>
      </c>
      <c r="H264" s="51" t="inlineStr">
        <is>
          <t>Datadog</t>
        </is>
      </c>
      <c r="I264" s="51" t="inlineStr">
        <is>
          <t>Engineering</t>
        </is>
      </c>
      <c r="J264" s="51" t="inlineStr">
        <is>
          <t>Non-US</t>
        </is>
      </c>
      <c r="K264" s="51" t="inlineStr">
        <is>
          <t>Yes</t>
        </is>
      </c>
      <c r="L264" s="51" t="inlineStr">
        <is>
          <t>200- Datadog:220- Engineering</t>
        </is>
      </c>
      <c r="M264" s="51" t="inlineStr">
        <is>
          <t>Cost of Goods Sold:COGS- Travel Expenses:</t>
        </is>
      </c>
      <c r="N264" s="51" t="inlineStr">
        <is>
          <t>Cost of Goods Sold:COGS- Personnel Expense:</t>
        </is>
      </c>
      <c r="O264" s="44">
        <f>B264&amp;" "&amp;C264</f>
        <v/>
      </c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  <c r="Z264" s="51" t="n"/>
    </row>
    <row r="265" ht="15.75" customHeight="1" s="52">
      <c r="A265" s="51" t="n">
        <v>275</v>
      </c>
      <c r="B265" s="51" t="inlineStr">
        <is>
          <t>John</t>
        </is>
      </c>
      <c r="C265" s="51" t="inlineStr">
        <is>
          <t>Fennell</t>
        </is>
      </c>
      <c r="D265" s="51" t="inlineStr">
        <is>
          <t>Fennell, John</t>
        </is>
      </c>
      <c r="E265" s="51" t="n"/>
      <c r="F265" s="42" t="inlineStr">
        <is>
          <t>Full-Time</t>
        </is>
      </c>
      <c r="G265" s="43" t="n">
        <v>46160</v>
      </c>
      <c r="H265" s="51" t="inlineStr">
        <is>
          <t>Operations</t>
        </is>
      </c>
      <c r="I265" s="51" t="inlineStr">
        <is>
          <t>Marketing</t>
        </is>
      </c>
      <c r="J265" s="51" t="inlineStr">
        <is>
          <t>Boylston</t>
        </is>
      </c>
      <c r="K265" s="51" t="inlineStr">
        <is>
          <t>No</t>
        </is>
      </c>
      <c r="L265" s="51" t="inlineStr">
        <is>
          <t>100- Operations:120- Marketing</t>
        </is>
      </c>
      <c r="M265" s="51" t="inlineStr">
        <is>
          <t>Sales &amp; Marketing:Sales &amp; Marketing- Travel Expenses:</t>
        </is>
      </c>
      <c r="N265" s="51" t="inlineStr">
        <is>
          <t>Sales &amp; Marketing:Sales &amp; Marketing- Personnel Expenses:</t>
        </is>
      </c>
      <c r="O265" s="44">
        <f>B265&amp;" "&amp;C265</f>
        <v/>
      </c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  <c r="Z265" s="51" t="n"/>
    </row>
    <row r="266" ht="15.75" customHeight="1" s="52">
      <c r="A266" s="51" t="n">
        <v>276</v>
      </c>
      <c r="B266" s="51" t="inlineStr">
        <is>
          <t>Vivian</t>
        </is>
      </c>
      <c r="C266" s="51" t="inlineStr">
        <is>
          <t>Wu</t>
        </is>
      </c>
      <c r="D266" s="51" t="inlineStr">
        <is>
          <t>Wu, Vivian</t>
        </is>
      </c>
      <c r="E266" s="51" t="n"/>
      <c r="F266" s="42" t="inlineStr">
        <is>
          <t>Full-Time</t>
        </is>
      </c>
      <c r="G266" s="43" t="n">
        <v>46153</v>
      </c>
      <c r="H266" s="51" t="inlineStr">
        <is>
          <t>Operations</t>
        </is>
      </c>
      <c r="I266" s="51" t="inlineStr">
        <is>
          <t>People Operations</t>
        </is>
      </c>
      <c r="J266" s="51" t="inlineStr">
        <is>
          <t>Boylston</t>
        </is>
      </c>
      <c r="K266" s="51" t="inlineStr">
        <is>
          <t>No</t>
        </is>
      </c>
      <c r="L266" s="51" t="inlineStr">
        <is>
          <t>100- Operations:110- G&amp;A</t>
        </is>
      </c>
      <c r="M266" s="51" t="inlineStr">
        <is>
          <t>General &amp; Administrative:G&amp;A- Travel Expenses:</t>
        </is>
      </c>
      <c r="N266" s="51" t="inlineStr">
        <is>
          <t>General &amp; Administrative:G&amp;A- Personnel Expenses:</t>
        </is>
      </c>
      <c r="O266" s="44">
        <f>B266&amp;" "&amp;C266</f>
        <v/>
      </c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  <c r="Z266" s="51" t="n"/>
    </row>
    <row r="267" ht="15.75" customHeight="1" s="52">
      <c r="A267" s="51" t="n">
        <v>277</v>
      </c>
      <c r="B267" s="51" t="inlineStr">
        <is>
          <t>Jackson</t>
        </is>
      </c>
      <c r="C267" s="51" t="inlineStr">
        <is>
          <t>Mendes</t>
        </is>
      </c>
      <c r="D267" s="51" t="inlineStr">
        <is>
          <t>Mendes, Jackson</t>
        </is>
      </c>
      <c r="E267" s="51" t="n"/>
      <c r="F267" s="42" t="inlineStr">
        <is>
          <t>Full-Time</t>
        </is>
      </c>
      <c r="G267" s="43" t="n">
        <v>46160</v>
      </c>
      <c r="H267" s="51" t="inlineStr">
        <is>
          <t>ServiceNow</t>
        </is>
      </c>
      <c r="I267" s="51" t="inlineStr">
        <is>
          <t>Engineering</t>
        </is>
      </c>
      <c r="J267" s="51" t="inlineStr">
        <is>
          <t>Boylston</t>
        </is>
      </c>
      <c r="K267" s="51" t="inlineStr">
        <is>
          <t>No</t>
        </is>
      </c>
      <c r="L267" s="51" t="inlineStr">
        <is>
          <t>300- ServiceNow:320- Engineering</t>
        </is>
      </c>
      <c r="M267" s="51" t="inlineStr">
        <is>
          <t>General &amp; Administrative:G&amp;A- Travel Expenses:</t>
        </is>
      </c>
      <c r="N267" s="51" t="inlineStr">
        <is>
          <t>General &amp; Administrative:G&amp;A- Personnel Expenses:</t>
        </is>
      </c>
      <c r="O267" s="44">
        <f>B267&amp;" "&amp;C267</f>
        <v/>
      </c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  <c r="Z267" s="51" t="n"/>
    </row>
    <row r="268" ht="15.75" customHeight="1" s="52">
      <c r="A268" s="51" t="n">
        <v>278</v>
      </c>
      <c r="B268" s="51" t="inlineStr">
        <is>
          <t>Samantha</t>
        </is>
      </c>
      <c r="C268" s="51" t="inlineStr">
        <is>
          <t>Purpura</t>
        </is>
      </c>
      <c r="D268" s="51" t="inlineStr">
        <is>
          <t>Purpura, Samantha</t>
        </is>
      </c>
      <c r="E268" s="51" t="n"/>
      <c r="F268" s="42" t="inlineStr">
        <is>
          <t>Full-Time</t>
        </is>
      </c>
      <c r="G268" s="43" t="n">
        <v>46153</v>
      </c>
      <c r="H268" s="51" t="inlineStr">
        <is>
          <t>Operations</t>
        </is>
      </c>
      <c r="I268" s="51" t="inlineStr">
        <is>
          <t>Operations</t>
        </is>
      </c>
      <c r="J268" s="51" t="inlineStr">
        <is>
          <t>Boylston</t>
        </is>
      </c>
      <c r="K268" s="51" t="inlineStr">
        <is>
          <t>No</t>
        </is>
      </c>
      <c r="L268" s="51" t="inlineStr">
        <is>
          <t>100- Operations:110- G&amp;A</t>
        </is>
      </c>
      <c r="M268" s="51" t="inlineStr">
        <is>
          <t>General &amp; Administrative:G&amp;A- Travel Expenses:</t>
        </is>
      </c>
      <c r="N268" s="51" t="inlineStr">
        <is>
          <t>General &amp; Administrative:G&amp;A- Personnel Expenses:</t>
        </is>
      </c>
      <c r="O268" s="44">
        <f>B268&amp;" "&amp;C268</f>
        <v/>
      </c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  <c r="Z268" s="51" t="n"/>
    </row>
    <row r="269" ht="15.75" customHeight="1" s="52">
      <c r="A269" s="51" t="n">
        <v>283</v>
      </c>
      <c r="B269" s="51" t="inlineStr">
        <is>
          <t>Jamie</t>
        </is>
      </c>
      <c r="C269" s="51" t="inlineStr">
        <is>
          <t>Cosgrove</t>
        </is>
      </c>
      <c r="D269" s="51" t="inlineStr">
        <is>
          <t>Cosgrove, Jamie</t>
        </is>
      </c>
      <c r="E269" s="51" t="n"/>
      <c r="F269" s="42" t="inlineStr">
        <is>
          <t>Full-Time</t>
        </is>
      </c>
      <c r="G269" s="43" t="n">
        <v>46140</v>
      </c>
      <c r="H269" s="51" t="inlineStr">
        <is>
          <t>Operations</t>
        </is>
      </c>
      <c r="I269" s="51" t="inlineStr">
        <is>
          <t>Operations</t>
        </is>
      </c>
      <c r="J269" s="51" t="inlineStr">
        <is>
          <t>Boylston</t>
        </is>
      </c>
      <c r="K269" s="51" t="inlineStr">
        <is>
          <t>No</t>
        </is>
      </c>
      <c r="L269" s="51" t="inlineStr">
        <is>
          <t>100- Operations:110- G&amp;A</t>
        </is>
      </c>
      <c r="M269" s="51" t="inlineStr">
        <is>
          <t>General &amp; Administrative:G&amp;A- Travel Expenses:</t>
        </is>
      </c>
      <c r="N269" s="51" t="inlineStr">
        <is>
          <t>General &amp; Administrative:G&amp;A- Personnel Expenses:</t>
        </is>
      </c>
      <c r="O269" s="44">
        <f>B269&amp;" "&amp;C269</f>
        <v/>
      </c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  <c r="Z269" s="51" t="n"/>
    </row>
    <row r="270" ht="15.75" customHeight="1" s="52">
      <c r="A270" s="51" t="n">
        <v>284</v>
      </c>
      <c r="B270" s="51" t="inlineStr">
        <is>
          <t>Lenny</t>
        </is>
      </c>
      <c r="C270" s="51" t="inlineStr">
        <is>
          <t>Caraballo</t>
        </is>
      </c>
      <c r="D270" s="51" t="inlineStr">
        <is>
          <t>Caraballo, Lenny</t>
        </is>
      </c>
      <c r="E270" s="51" t="n"/>
      <c r="F270" s="42" t="inlineStr">
        <is>
          <t>Full-Time</t>
        </is>
      </c>
      <c r="G270" s="43" t="n">
        <v>46181</v>
      </c>
      <c r="H270" s="51" t="inlineStr">
        <is>
          <t>Datadog</t>
        </is>
      </c>
      <c r="I270" s="51" t="inlineStr">
        <is>
          <t>Engineering</t>
        </is>
      </c>
      <c r="J270" s="51" t="inlineStr">
        <is>
          <t>Boylston</t>
        </is>
      </c>
      <c r="K270" s="51" t="inlineStr">
        <is>
          <t>No</t>
        </is>
      </c>
      <c r="L270" s="51" t="inlineStr">
        <is>
          <t>200- Datadog:220- Engineering</t>
        </is>
      </c>
      <c r="M270" s="51" t="inlineStr">
        <is>
          <t>General &amp; Administrative:G&amp;A- Travel Expenses:</t>
        </is>
      </c>
      <c r="N270" s="51" t="inlineStr">
        <is>
          <t>General &amp; Administrative:G&amp;A- Personnel Expenses:</t>
        </is>
      </c>
      <c r="O270" s="44">
        <f>B270&amp;" "&amp;C270</f>
        <v/>
      </c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  <c r="Z270" s="51" t="n"/>
    </row>
    <row r="271" ht="15.75" customHeight="1" s="52">
      <c r="A271" s="51" t="n">
        <v>285</v>
      </c>
      <c r="B271" s="51" t="inlineStr">
        <is>
          <t>Anthony</t>
        </is>
      </c>
      <c r="C271" s="51" t="inlineStr">
        <is>
          <t>Nguyen</t>
        </is>
      </c>
      <c r="D271" s="51" t="inlineStr">
        <is>
          <t>Nguyen, Anthony</t>
        </is>
      </c>
      <c r="E271" s="51" t="n"/>
      <c r="F271" s="42" t="inlineStr">
        <is>
          <t>Full-Time</t>
        </is>
      </c>
      <c r="G271" s="43" t="n">
        <v>46209</v>
      </c>
      <c r="H271" s="51" t="inlineStr">
        <is>
          <t>Datadog</t>
        </is>
      </c>
      <c r="I271" s="51" t="inlineStr">
        <is>
          <t>Engineering</t>
        </is>
      </c>
      <c r="J271" s="51" t="n"/>
      <c r="K271" s="51" t="inlineStr">
        <is>
          <t>Yes</t>
        </is>
      </c>
      <c r="L271" s="51" t="inlineStr">
        <is>
          <t>200- Datadog:220- Engineering</t>
        </is>
      </c>
      <c r="M271" s="51" t="inlineStr">
        <is>
          <t>Cost of Goods Sold:COGS- Travel Expenses:</t>
        </is>
      </c>
      <c r="N271" s="51" t="inlineStr">
        <is>
          <t>Cost of Goods Sold:COGS- Personnel Expense:</t>
        </is>
      </c>
      <c r="O271" s="44">
        <f>B271&amp;" "&amp;C271</f>
        <v/>
      </c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  <c r="Z271" s="51" t="n"/>
    </row>
    <row r="272" ht="15.75" customHeight="1" s="52">
      <c r="A272" s="51" t="n">
        <v>286</v>
      </c>
      <c r="B272" s="51" t="inlineStr">
        <is>
          <t>Paulina</t>
        </is>
      </c>
      <c r="C272" s="51" t="inlineStr">
        <is>
          <t>Mateo</t>
        </is>
      </c>
      <c r="D272" s="51" t="inlineStr">
        <is>
          <t>Mateo, Paulina</t>
        </is>
      </c>
      <c r="E272" s="42" t="n"/>
      <c r="F272" s="42" t="inlineStr">
        <is>
          <t>Full-Time</t>
        </is>
      </c>
      <c r="G272" s="43" t="n"/>
      <c r="H272" s="51" t="inlineStr">
        <is>
          <t>ServiceNow</t>
        </is>
      </c>
      <c r="I272" s="51" t="inlineStr">
        <is>
          <t>OCM Specialist</t>
        </is>
      </c>
      <c r="J272" s="51" t="inlineStr">
        <is>
          <t>Boylston</t>
        </is>
      </c>
      <c r="K272" s="51" t="inlineStr">
        <is>
          <t>Yes</t>
        </is>
      </c>
      <c r="L272" s="51" t="inlineStr">
        <is>
          <t>300- ServiceNow:310- Delivery</t>
        </is>
      </c>
      <c r="M272" s="51" t="inlineStr">
        <is>
          <t>Cost of Goods Sold:COGS- Travel Expenses:</t>
        </is>
      </c>
      <c r="N272" s="51" t="inlineStr">
        <is>
          <t>Cost of Goods Sold:COGS- Personnel Expense:</t>
        </is>
      </c>
      <c r="O272" s="44">
        <f>B272&amp;" "&amp;C272</f>
        <v/>
      </c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  <c r="Z272" s="51" t="n"/>
    </row>
    <row r="273" ht="15.75" customHeight="1" s="52">
      <c r="A273" s="51" t="n">
        <v>289</v>
      </c>
      <c r="B273" s="51" t="inlineStr">
        <is>
          <t>Jared</t>
        </is>
      </c>
      <c r="C273" s="51" t="inlineStr">
        <is>
          <t>Kennedy</t>
        </is>
      </c>
      <c r="D273" s="51" t="inlineStr">
        <is>
          <t>Kennedy, Jared</t>
        </is>
      </c>
      <c r="E273" s="42" t="n"/>
      <c r="F273" s="42" t="inlineStr">
        <is>
          <t>Full-Time</t>
        </is>
      </c>
      <c r="G273" s="43" t="n"/>
      <c r="H273" s="51" t="inlineStr">
        <is>
          <t>Datadog</t>
        </is>
      </c>
      <c r="I273" s="51" t="inlineStr">
        <is>
          <t>Sales</t>
        </is>
      </c>
      <c r="J273" s="51" t="inlineStr">
        <is>
          <t>Non-Us</t>
        </is>
      </c>
      <c r="K273" s="51" t="inlineStr">
        <is>
          <t>No</t>
        </is>
      </c>
      <c r="L273" s="42" t="inlineStr">
        <is>
          <t>200- Datadog:230- Sales</t>
        </is>
      </c>
      <c r="M273" s="42" t="inlineStr">
        <is>
          <t>Sales &amp; Marketing:Sales &amp; Marketing- Travel Expenses:</t>
        </is>
      </c>
      <c r="N273" s="42" t="inlineStr">
        <is>
          <t>General &amp; Administrative:G&amp;A- Personnel Expenses:</t>
        </is>
      </c>
      <c r="O273" s="44">
        <f>B273&amp;" "&amp;C273</f>
        <v/>
      </c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  <c r="Z273" s="51" t="n"/>
    </row>
    <row r="274" ht="15.75" customHeight="1" s="52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44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  <c r="Z274" s="51" t="n"/>
    </row>
    <row r="275" ht="15.75" customHeight="1" s="52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44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  <c r="Z275" s="51" t="n"/>
    </row>
    <row r="276" ht="15.75" customHeight="1" s="52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44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  <c r="Z276" s="51" t="n"/>
    </row>
    <row r="277" ht="15.75" customHeight="1" s="52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44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  <c r="Z277" s="51" t="n"/>
    </row>
    <row r="278" ht="15.75" customHeight="1" s="52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44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  <c r="Z278" s="51" t="n"/>
    </row>
    <row r="279" ht="15.75" customHeight="1" s="52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44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  <c r="Z279" s="51" t="n"/>
    </row>
    <row r="280" ht="15.75" customHeight="1" s="52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44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  <c r="Z280" s="51" t="n"/>
    </row>
    <row r="281" ht="15.75" customHeight="1" s="52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44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  <c r="Z281" s="51" t="n"/>
    </row>
    <row r="282" ht="15.75" customHeight="1" s="52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44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  <c r="Z282" s="51" t="n"/>
    </row>
    <row r="283" ht="15.75" customHeight="1" s="52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44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  <c r="Z283" s="51" t="n"/>
    </row>
    <row r="284" ht="15.75" customHeight="1" s="52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44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  <c r="Z284" s="51" t="n"/>
    </row>
    <row r="285" ht="15.75" customHeight="1" s="52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44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  <c r="Z285" s="51" t="n"/>
    </row>
    <row r="286" ht="15.75" customHeight="1" s="52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44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  <c r="Z286" s="51" t="n"/>
    </row>
    <row r="287" ht="15.75" customHeight="1" s="52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44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  <c r="Z287" s="51" t="n"/>
    </row>
    <row r="288" ht="15.75" customHeight="1" s="52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44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  <c r="Z288" s="51" t="n"/>
    </row>
    <row r="289" ht="15.75" customHeight="1" s="52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44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  <c r="Z289" s="51" t="n"/>
    </row>
    <row r="290" ht="15.75" customHeight="1" s="52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44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  <c r="Z290" s="51" t="n"/>
    </row>
    <row r="291" ht="15.75" customHeight="1" s="52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44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  <c r="Z291" s="51" t="n"/>
    </row>
    <row r="292" ht="15.75" customHeight="1" s="52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44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  <c r="Z292" s="51" t="n"/>
    </row>
    <row r="293" ht="15.75" customHeight="1" s="52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44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  <c r="Z293" s="51" t="n"/>
    </row>
    <row r="294" ht="15.75" customHeight="1" s="52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44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  <c r="Z294" s="51" t="n"/>
    </row>
    <row r="295" ht="15.75" customHeight="1" s="52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44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  <c r="Z295" s="51" t="n"/>
    </row>
    <row r="296" ht="15.75" customHeight="1" s="52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44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  <c r="Z296" s="51" t="n"/>
    </row>
    <row r="297" ht="15.75" customHeight="1" s="52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44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  <c r="Z297" s="51" t="n"/>
    </row>
    <row r="298" ht="15.75" customHeight="1" s="52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44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  <c r="Z298" s="51" t="n"/>
    </row>
    <row r="299" ht="15.75" customHeight="1" s="52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44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  <c r="Z299" s="51" t="n"/>
    </row>
    <row r="300" ht="15.75" customHeight="1" s="52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44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  <c r="Z300" s="51" t="n"/>
    </row>
    <row r="301" ht="15.75" customHeight="1" s="52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44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  <c r="Z301" s="51" t="n"/>
    </row>
    <row r="302" ht="15.75" customHeight="1" s="52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44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  <c r="Z302" s="51" t="n"/>
    </row>
    <row r="303" ht="15.75" customHeight="1" s="52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44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  <c r="Z303" s="51" t="n"/>
    </row>
    <row r="304" ht="15.75" customHeight="1" s="52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44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  <c r="Z304" s="51" t="n"/>
    </row>
    <row r="305" ht="15.75" customHeight="1" s="52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44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  <c r="Z305" s="51" t="n"/>
    </row>
    <row r="306" ht="15.75" customHeight="1" s="52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44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  <c r="Z306" s="51" t="n"/>
    </row>
    <row r="307" ht="15.75" customHeight="1" s="52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44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  <c r="Z307" s="51" t="n"/>
    </row>
    <row r="308" ht="15.75" customHeight="1" s="52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44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  <c r="Z308" s="51" t="n"/>
    </row>
    <row r="309" ht="15.75" customHeight="1" s="52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44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  <c r="Z309" s="51" t="n"/>
    </row>
    <row r="310" ht="15.75" customHeight="1" s="52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44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  <c r="Z310" s="51" t="n"/>
    </row>
    <row r="311" ht="15.75" customHeight="1" s="52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44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  <c r="Z311" s="51" t="n"/>
    </row>
    <row r="312" ht="15.75" customHeight="1" s="52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44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  <c r="Z312" s="51" t="n"/>
    </row>
    <row r="313" ht="15.75" customHeight="1" s="52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44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  <c r="Z313" s="51" t="n"/>
    </row>
    <row r="314" ht="15.75" customHeight="1" s="52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44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  <c r="Z314" s="51" t="n"/>
    </row>
    <row r="315" ht="15.75" customHeight="1" s="52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44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  <c r="Z315" s="51" t="n"/>
    </row>
    <row r="316" ht="15.75" customHeight="1" s="52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44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  <c r="Z316" s="51" t="n"/>
    </row>
    <row r="317" ht="15.75" customHeight="1" s="52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44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</row>
    <row r="318" ht="15.75" customHeight="1" s="52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44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  <c r="Z318" s="51" t="n"/>
    </row>
    <row r="319" ht="15.75" customHeight="1" s="52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44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  <c r="Z319" s="51" t="n"/>
    </row>
    <row r="320" ht="15.75" customHeight="1" s="52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44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  <c r="Z320" s="51" t="n"/>
    </row>
    <row r="321" ht="15.75" customHeight="1" s="52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44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  <c r="Z321" s="51" t="n"/>
    </row>
    <row r="322" ht="15.75" customHeight="1" s="52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44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  <c r="Z322" s="51" t="n"/>
    </row>
    <row r="323" ht="15.75" customHeight="1" s="52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44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  <c r="Z323" s="51" t="n"/>
    </row>
    <row r="324" ht="15.75" customHeight="1" s="52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44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  <c r="Z324" s="51" t="n"/>
    </row>
    <row r="325" ht="15.75" customHeight="1" s="52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44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  <c r="Z325" s="51" t="n"/>
    </row>
    <row r="326" ht="15.75" customHeight="1" s="52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44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  <c r="Z326" s="51" t="n"/>
    </row>
    <row r="327" ht="15.75" customHeight="1" s="52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44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  <c r="Z327" s="51" t="n"/>
    </row>
    <row r="328" ht="15.75" customHeight="1" s="52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44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  <c r="Z328" s="51" t="n"/>
    </row>
    <row r="329" ht="15.75" customHeight="1" s="52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44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  <c r="Z329" s="51" t="n"/>
    </row>
    <row r="330" ht="15.75" customHeight="1" s="52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44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  <c r="Z330" s="51" t="n"/>
    </row>
    <row r="331" ht="15.75" customHeight="1" s="52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44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  <c r="Z331" s="51" t="n"/>
    </row>
    <row r="332" ht="15.75" customHeight="1" s="52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44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  <c r="Z332" s="51" t="n"/>
    </row>
    <row r="333" ht="15.75" customHeight="1" s="52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44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  <c r="Z333" s="51" t="n"/>
    </row>
    <row r="334" ht="15.75" customHeight="1" s="52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44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  <c r="Z334" s="51" t="n"/>
    </row>
    <row r="335" ht="15.75" customHeight="1" s="52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44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  <c r="Z335" s="51" t="n"/>
    </row>
    <row r="336" ht="15.75" customHeight="1" s="52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44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  <c r="Z336" s="51" t="n"/>
    </row>
    <row r="337" ht="15.75" customHeight="1" s="52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44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  <c r="Z337" s="51" t="n"/>
    </row>
    <row r="338" ht="15.75" customHeight="1" s="52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44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  <c r="Z338" s="51" t="n"/>
    </row>
    <row r="339" ht="15.75" customHeight="1" s="52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44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  <c r="Z339" s="51" t="n"/>
    </row>
    <row r="340" ht="15.75" customHeight="1" s="52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44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  <c r="Z340" s="51" t="n"/>
    </row>
    <row r="341" ht="15.75" customHeight="1" s="52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44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  <c r="Z341" s="51" t="n"/>
    </row>
    <row r="342" ht="15.75" customHeight="1" s="52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44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  <c r="Z342" s="51" t="n"/>
    </row>
    <row r="343" ht="15.75" customHeight="1" s="52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44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  <c r="Z343" s="51" t="n"/>
    </row>
    <row r="344" ht="15.75" customHeight="1" s="52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44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  <c r="Z344" s="51" t="n"/>
    </row>
    <row r="345" ht="15.75" customHeight="1" s="52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44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  <c r="Z345" s="51" t="n"/>
    </row>
    <row r="346" ht="15.75" customHeight="1" s="52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44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  <c r="Z346" s="51" t="n"/>
    </row>
    <row r="347" ht="15.75" customHeight="1" s="52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44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  <c r="Z347" s="51" t="n"/>
    </row>
    <row r="348" ht="15.75" customHeight="1" s="52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44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  <c r="Z348" s="51" t="n"/>
    </row>
    <row r="349" ht="15.75" customHeight="1" s="52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44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  <c r="Z349" s="51" t="n"/>
    </row>
    <row r="350" ht="15.75" customHeight="1" s="52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44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  <c r="Z350" s="51" t="n"/>
    </row>
    <row r="351" ht="15.75" customHeight="1" s="52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44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  <c r="Z351" s="51" t="n"/>
    </row>
    <row r="352" ht="15.75" customHeight="1" s="52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44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  <c r="Z352" s="51" t="n"/>
    </row>
    <row r="353" ht="15.75" customHeight="1" s="52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44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  <c r="Z353" s="51" t="n"/>
    </row>
    <row r="354" ht="15.75" customHeight="1" s="52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44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  <c r="Z354" s="51" t="n"/>
    </row>
    <row r="355" ht="15.75" customHeight="1" s="52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44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  <c r="Z355" s="51" t="n"/>
    </row>
    <row r="356" ht="15.75" customHeight="1" s="52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44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  <c r="Z356" s="51" t="n"/>
    </row>
    <row r="357" ht="15.75" customHeight="1" s="52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44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  <c r="Z357" s="51" t="n"/>
    </row>
    <row r="358" ht="15.75" customHeight="1" s="52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44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  <c r="Z358" s="51" t="n"/>
    </row>
    <row r="359" ht="15.75" customHeight="1" s="52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44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  <c r="Z359" s="51" t="n"/>
    </row>
    <row r="360" ht="15.75" customHeight="1" s="52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44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  <c r="Z360" s="51" t="n"/>
    </row>
    <row r="361" ht="15.75" customHeight="1" s="52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44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  <c r="Z361" s="51" t="n"/>
    </row>
    <row r="362" ht="15.75" customHeight="1" s="52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44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  <c r="Z362" s="51" t="n"/>
    </row>
    <row r="363" ht="15.75" customHeight="1" s="52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44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  <c r="Z363" s="51" t="n"/>
    </row>
    <row r="364" ht="15.75" customHeight="1" s="52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44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  <c r="Z364" s="51" t="n"/>
    </row>
    <row r="365" ht="15.75" customHeight="1" s="52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44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  <c r="Z365" s="51" t="n"/>
    </row>
    <row r="366" ht="15.75" customHeight="1" s="52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44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  <c r="Z366" s="51" t="n"/>
    </row>
    <row r="367" ht="15.75" customHeight="1" s="52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44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  <c r="Z367" s="51" t="n"/>
    </row>
    <row r="368" ht="15.75" customHeight="1" s="52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44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  <c r="Z368" s="51" t="n"/>
    </row>
    <row r="369" ht="15.75" customHeight="1" s="52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44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  <c r="Z369" s="51" t="n"/>
    </row>
    <row r="370" ht="15.75" customHeight="1" s="52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44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  <c r="Z370" s="51" t="n"/>
    </row>
    <row r="371" ht="15.75" customHeight="1" s="52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44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  <c r="Z371" s="51" t="n"/>
    </row>
    <row r="372" ht="15.75" customHeight="1" s="52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44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  <c r="Z372" s="51" t="n"/>
    </row>
    <row r="373" ht="15.75" customHeight="1" s="52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44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  <c r="Z373" s="51" t="n"/>
    </row>
    <row r="374" ht="15.75" customHeight="1" s="52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44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  <c r="Z374" s="51" t="n"/>
    </row>
    <row r="375" ht="15.75" customHeight="1" s="52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44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  <c r="Z375" s="51" t="n"/>
    </row>
    <row r="376" ht="15.75" customHeight="1" s="52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44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  <c r="Z376" s="51" t="n"/>
    </row>
    <row r="377" ht="15.75" customHeight="1" s="52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44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  <c r="Z377" s="51" t="n"/>
    </row>
    <row r="378" ht="15.75" customHeight="1" s="52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44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  <c r="Z378" s="51" t="n"/>
    </row>
    <row r="379" ht="15.75" customHeight="1" s="52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44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  <c r="Z379" s="51" t="n"/>
    </row>
    <row r="380" ht="15.75" customHeight="1" s="52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44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  <c r="Z380" s="51" t="n"/>
    </row>
    <row r="381" ht="15.75" customHeight="1" s="52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44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  <c r="Z381" s="51" t="n"/>
    </row>
    <row r="382" ht="15.75" customHeight="1" s="52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44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  <c r="Z382" s="51" t="n"/>
    </row>
    <row r="383" ht="15.75" customHeight="1" s="52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44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  <c r="Z383" s="51" t="n"/>
    </row>
    <row r="384" ht="15.75" customHeight="1" s="52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44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  <c r="Z384" s="51" t="n"/>
    </row>
    <row r="385" ht="15.75" customHeight="1" s="52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44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  <c r="Z385" s="51" t="n"/>
    </row>
    <row r="386" ht="15.75" customHeight="1" s="52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44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  <c r="Z386" s="51" t="n"/>
    </row>
    <row r="387" ht="15.75" customHeight="1" s="52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44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  <c r="Z387" s="51" t="n"/>
    </row>
    <row r="388" ht="15.75" customHeight="1" s="52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44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  <c r="Z388" s="51" t="n"/>
    </row>
    <row r="389" ht="15.75" customHeight="1" s="52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44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  <c r="Z389" s="51" t="n"/>
    </row>
    <row r="390" ht="15.75" customHeight="1" s="52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44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  <c r="Z390" s="51" t="n"/>
    </row>
    <row r="391" ht="15.75" customHeight="1" s="52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44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  <c r="Z391" s="51" t="n"/>
    </row>
    <row r="392" ht="15.75" customHeight="1" s="52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44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  <c r="Z392" s="51" t="n"/>
    </row>
    <row r="393" ht="15.75" customHeight="1" s="52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44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  <c r="Z393" s="51" t="n"/>
    </row>
    <row r="394" ht="15.75" customHeight="1" s="52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44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  <c r="Z394" s="51" t="n"/>
    </row>
    <row r="395" ht="15.75" customHeight="1" s="52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44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  <c r="Z395" s="51" t="n"/>
    </row>
    <row r="396" ht="15.75" customHeight="1" s="52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44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  <c r="Z396" s="51" t="n"/>
    </row>
    <row r="397" ht="15.75" customHeight="1" s="52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44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  <c r="Z397" s="51" t="n"/>
    </row>
    <row r="398" ht="15.75" customHeight="1" s="52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44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  <c r="Z398" s="51" t="n"/>
    </row>
    <row r="399" ht="15.75" customHeight="1" s="52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44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  <c r="Z399" s="51" t="n"/>
    </row>
    <row r="400" ht="15.75" customHeight="1" s="52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44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  <c r="Z400" s="51" t="n"/>
    </row>
    <row r="401" ht="15.75" customHeight="1" s="52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44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  <c r="Z401" s="51" t="n"/>
    </row>
    <row r="402" ht="15.75" customHeight="1" s="52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44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  <c r="Z402" s="51" t="n"/>
    </row>
    <row r="403" ht="15.75" customHeight="1" s="52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44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  <c r="Z403" s="51" t="n"/>
    </row>
    <row r="404" ht="15.75" customHeight="1" s="52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44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  <c r="Z404" s="51" t="n"/>
    </row>
    <row r="405" ht="15.75" customHeight="1" s="52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44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  <c r="Z405" s="51" t="n"/>
    </row>
    <row r="406" ht="15.75" customHeight="1" s="52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44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  <c r="Z406" s="51" t="n"/>
    </row>
    <row r="407" ht="15.75" customHeight="1" s="52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44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  <c r="Z407" s="51" t="n"/>
    </row>
    <row r="408" ht="15.75" customHeight="1" s="52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44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  <c r="Z408" s="51" t="n"/>
    </row>
    <row r="409" ht="15.75" customHeight="1" s="52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44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  <c r="Z409" s="51" t="n"/>
    </row>
    <row r="410" ht="15.75" customHeight="1" s="52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44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  <c r="Z410" s="51" t="n"/>
    </row>
    <row r="411" ht="15.75" customHeight="1" s="52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44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  <c r="Z411" s="51" t="n"/>
    </row>
    <row r="412" ht="15.75" customHeight="1" s="52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44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  <c r="Z412" s="51" t="n"/>
    </row>
    <row r="413" ht="15.75" customHeight="1" s="52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44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  <c r="Z413" s="51" t="n"/>
    </row>
    <row r="414" ht="15.75" customHeight="1" s="52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44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  <c r="Z414" s="51" t="n"/>
    </row>
    <row r="415" ht="15.75" customHeight="1" s="52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44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  <c r="Z415" s="51" t="n"/>
    </row>
    <row r="416" ht="15.75" customHeight="1" s="52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44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  <c r="Z416" s="51" t="n"/>
    </row>
    <row r="417" ht="15.75" customHeight="1" s="52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44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  <c r="Z417" s="51" t="n"/>
    </row>
    <row r="418" ht="15.75" customHeight="1" s="52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44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  <c r="Z418" s="51" t="n"/>
    </row>
    <row r="419" ht="15.75" customHeight="1" s="52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44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  <c r="Z419" s="51" t="n"/>
    </row>
    <row r="420" ht="15.75" customHeight="1" s="52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44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  <c r="Z420" s="51" t="n"/>
    </row>
    <row r="421" ht="15.75" customHeight="1" s="52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44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  <c r="Z421" s="51" t="n"/>
    </row>
    <row r="422" ht="15.75" customHeight="1" s="52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44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  <c r="Z422" s="51" t="n"/>
    </row>
    <row r="423" ht="15.75" customHeight="1" s="52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44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  <c r="Z423" s="51" t="n"/>
    </row>
    <row r="424" ht="15.75" customHeight="1" s="52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44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  <c r="Z424" s="51" t="n"/>
    </row>
    <row r="425" ht="15.75" customHeight="1" s="52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44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  <c r="Z425" s="51" t="n"/>
    </row>
    <row r="426" ht="15.75" customHeight="1" s="52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44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  <c r="Z426" s="51" t="n"/>
    </row>
    <row r="427" ht="15.75" customHeight="1" s="52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44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  <c r="Z427" s="51" t="n"/>
    </row>
    <row r="428" ht="15.75" customHeight="1" s="52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44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  <c r="Z428" s="51" t="n"/>
    </row>
    <row r="429" ht="15.75" customHeight="1" s="52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44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  <c r="Z429" s="51" t="n"/>
    </row>
    <row r="430" ht="15.75" customHeight="1" s="52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44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  <c r="Z430" s="51" t="n"/>
    </row>
    <row r="431" ht="15.75" customHeight="1" s="52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44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  <c r="Z431" s="51" t="n"/>
    </row>
    <row r="432" ht="15.75" customHeight="1" s="52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44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  <c r="Z432" s="51" t="n"/>
    </row>
    <row r="433" ht="15.75" customHeight="1" s="52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44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  <c r="Z433" s="51" t="n"/>
    </row>
    <row r="434" ht="15.75" customHeight="1" s="52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44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  <c r="Z434" s="51" t="n"/>
    </row>
    <row r="435" ht="15.75" customHeight="1" s="52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44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  <c r="Z435" s="51" t="n"/>
    </row>
    <row r="436" ht="15.75" customHeight="1" s="52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44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  <c r="Z436" s="51" t="n"/>
    </row>
    <row r="437" ht="15.75" customHeight="1" s="52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44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  <c r="Z437" s="51" t="n"/>
    </row>
    <row r="438" ht="15.75" customHeight="1" s="52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44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  <c r="Z438" s="51" t="n"/>
    </row>
    <row r="439" ht="15.75" customHeight="1" s="52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44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  <c r="Z439" s="51" t="n"/>
    </row>
    <row r="440" ht="15.75" customHeight="1" s="52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44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  <c r="Z440" s="51" t="n"/>
    </row>
    <row r="441" ht="15.75" customHeight="1" s="52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44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  <c r="Z441" s="51" t="n"/>
    </row>
    <row r="442" ht="15.75" customHeight="1" s="52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44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  <c r="Z442" s="51" t="n"/>
    </row>
    <row r="443" ht="15.75" customHeight="1" s="52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44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  <c r="Z443" s="51" t="n"/>
    </row>
    <row r="444" ht="15.75" customHeight="1" s="52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44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  <c r="Z444" s="51" t="n"/>
    </row>
    <row r="445" ht="15.75" customHeight="1" s="52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44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  <c r="Z445" s="51" t="n"/>
    </row>
    <row r="446" ht="15.75" customHeight="1" s="52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44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  <c r="Z446" s="51" t="n"/>
    </row>
    <row r="447" ht="15.75" customHeight="1" s="52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44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  <c r="Z447" s="51" t="n"/>
    </row>
    <row r="448" ht="15.75" customHeight="1" s="52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44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  <c r="Z448" s="51" t="n"/>
    </row>
    <row r="449" ht="15.75" customHeight="1" s="52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44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  <c r="Z449" s="51" t="n"/>
    </row>
    <row r="450" ht="15.75" customHeight="1" s="52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44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  <c r="Z450" s="51" t="n"/>
    </row>
    <row r="451" ht="15.75" customHeight="1" s="52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44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  <c r="Z451" s="51" t="n"/>
    </row>
    <row r="452" ht="15.75" customHeight="1" s="52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44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  <c r="Z452" s="51" t="n"/>
    </row>
    <row r="453" ht="15.75" customHeight="1" s="52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44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  <c r="Z453" s="51" t="n"/>
    </row>
    <row r="454" ht="15.75" customHeight="1" s="52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44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  <c r="Z454" s="51" t="n"/>
    </row>
    <row r="455" ht="15.75" customHeight="1" s="52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44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  <c r="Z455" s="51" t="n"/>
    </row>
    <row r="456" ht="15.75" customHeight="1" s="52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44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  <c r="Z456" s="51" t="n"/>
    </row>
    <row r="457" ht="15.75" customHeight="1" s="52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44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  <c r="Z457" s="51" t="n"/>
    </row>
    <row r="458" ht="15.75" customHeight="1" s="52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44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  <c r="Z458" s="51" t="n"/>
    </row>
    <row r="459" ht="15.75" customHeight="1" s="52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44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  <c r="Z459" s="51" t="n"/>
    </row>
    <row r="460" ht="15.75" customHeight="1" s="52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44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  <c r="Z460" s="51" t="n"/>
    </row>
    <row r="461" ht="15.75" customHeight="1" s="52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44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  <c r="Z461" s="51" t="n"/>
    </row>
    <row r="462" ht="15.75" customHeight="1" s="52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44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  <c r="Z462" s="51" t="n"/>
    </row>
    <row r="463" ht="15.75" customHeight="1" s="52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44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  <c r="Z463" s="51" t="n"/>
    </row>
    <row r="464" ht="15.75" customHeight="1" s="52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44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  <c r="Z464" s="51" t="n"/>
    </row>
    <row r="465" ht="15.75" customHeight="1" s="52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44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  <c r="Z465" s="51" t="n"/>
    </row>
    <row r="466" ht="15.75" customHeight="1" s="52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44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  <c r="Z466" s="51" t="n"/>
    </row>
    <row r="467" ht="15.75" customHeight="1" s="52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44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  <c r="Z467" s="51" t="n"/>
    </row>
    <row r="468" ht="15.75" customHeight="1" s="52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44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  <c r="Z468" s="51" t="n"/>
    </row>
    <row r="469" ht="15.75" customHeight="1" s="52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44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  <c r="Z469" s="51" t="n"/>
    </row>
    <row r="470" ht="15.75" customHeight="1" s="52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44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  <c r="Z470" s="51" t="n"/>
    </row>
    <row r="471" ht="15.75" customHeight="1" s="52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44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  <c r="Z471" s="51" t="n"/>
    </row>
    <row r="472" ht="15.75" customHeight="1" s="52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44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  <c r="Z472" s="51" t="n"/>
    </row>
    <row r="473" ht="15.75" customHeight="1" s="52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44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  <c r="Z473" s="51" t="n"/>
    </row>
    <row r="474" ht="15.75" customHeight="1" s="52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44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  <c r="Z474" s="51" t="n"/>
    </row>
    <row r="475" ht="15.75" customHeight="1" s="52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44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  <c r="Z475" s="51" t="n"/>
    </row>
    <row r="476" ht="15.75" customHeight="1" s="52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44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  <c r="Z476" s="51" t="n"/>
    </row>
    <row r="477" ht="15.75" customHeight="1" s="52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44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  <c r="Z477" s="51" t="n"/>
    </row>
    <row r="478" ht="15.75" customHeight="1" s="52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44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  <c r="Z478" s="51" t="n"/>
    </row>
    <row r="479" ht="15.75" customHeight="1" s="52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44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  <c r="Z479" s="51" t="n"/>
    </row>
    <row r="480" ht="15.75" customHeight="1" s="52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44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  <c r="Z480" s="51" t="n"/>
    </row>
    <row r="481" ht="15.75" customHeight="1" s="52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44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  <c r="Z481" s="51" t="n"/>
    </row>
    <row r="482" ht="15.75" customHeight="1" s="52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44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  <c r="Z482" s="51" t="n"/>
    </row>
    <row r="483" ht="15.75" customHeight="1" s="52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44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  <c r="Z483" s="51" t="n"/>
    </row>
    <row r="484" ht="15.75" customHeight="1" s="52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44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  <c r="Z484" s="51" t="n"/>
    </row>
    <row r="485" ht="15.75" customHeight="1" s="52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44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  <c r="Z485" s="51" t="n"/>
    </row>
    <row r="486" ht="15.75" customHeight="1" s="52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44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  <c r="Z486" s="51" t="n"/>
    </row>
    <row r="487" ht="15.75" customHeight="1" s="52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44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  <c r="Z487" s="51" t="n"/>
    </row>
    <row r="488" ht="15.75" customHeight="1" s="52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44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  <c r="Z488" s="51" t="n"/>
    </row>
    <row r="489" ht="15.75" customHeight="1" s="52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44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  <c r="Z489" s="51" t="n"/>
    </row>
    <row r="490" ht="15.75" customHeight="1" s="52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44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  <c r="Z490" s="51" t="n"/>
    </row>
    <row r="491" ht="15.75" customHeight="1" s="52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44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  <c r="Z491" s="51" t="n"/>
    </row>
    <row r="492" ht="15.75" customHeight="1" s="52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44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  <c r="Z492" s="51" t="n"/>
    </row>
    <row r="493" ht="15.75" customHeight="1" s="52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44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  <c r="Z493" s="51" t="n"/>
    </row>
    <row r="494" ht="15.75" customHeight="1" s="52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44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  <c r="Z494" s="51" t="n"/>
    </row>
    <row r="495" ht="15.75" customHeight="1" s="52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44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  <c r="Z495" s="51" t="n"/>
    </row>
    <row r="496" ht="15.75" customHeight="1" s="52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44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  <c r="Z496" s="51" t="n"/>
    </row>
    <row r="497" ht="15.75" customHeight="1" s="52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44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  <c r="Z497" s="51" t="n"/>
    </row>
    <row r="498" ht="15.75" customHeight="1" s="52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44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  <c r="Z498" s="51" t="n"/>
    </row>
    <row r="499" ht="15.75" customHeight="1" s="52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44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  <c r="Z499" s="51" t="n"/>
    </row>
    <row r="500" ht="15.75" customHeight="1" s="52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44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  <c r="Z500" s="51" t="n"/>
    </row>
    <row r="501" ht="15.75" customHeight="1" s="52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44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  <c r="Z501" s="51" t="n"/>
    </row>
    <row r="502" ht="15.75" customHeight="1" s="52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44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  <c r="Z502" s="51" t="n"/>
    </row>
    <row r="503" ht="15.75" customHeight="1" s="52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44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  <c r="Z503" s="51" t="n"/>
    </row>
    <row r="504" ht="15.75" customHeight="1" s="52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44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  <c r="Z504" s="51" t="n"/>
    </row>
    <row r="505" ht="15.75" customHeight="1" s="52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44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  <c r="Z505" s="51" t="n"/>
    </row>
    <row r="506" ht="15.75" customHeight="1" s="52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44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  <c r="Z506" s="51" t="n"/>
    </row>
    <row r="507" ht="15.75" customHeight="1" s="52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44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  <c r="Z507" s="51" t="n"/>
    </row>
    <row r="508" ht="15.75" customHeight="1" s="52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44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  <c r="Z508" s="51" t="n"/>
    </row>
    <row r="509" ht="15.75" customHeight="1" s="52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44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  <c r="Z509" s="51" t="n"/>
    </row>
    <row r="510" ht="15.75" customHeight="1" s="52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44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  <c r="Z510" s="51" t="n"/>
    </row>
    <row r="511" ht="15.75" customHeight="1" s="52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44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  <c r="Z511" s="51" t="n"/>
    </row>
    <row r="512" ht="15.75" customHeight="1" s="52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44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  <c r="Z512" s="51" t="n"/>
    </row>
    <row r="513" ht="15.75" customHeight="1" s="52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44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  <c r="Z513" s="51" t="n"/>
    </row>
    <row r="514" ht="15.75" customHeight="1" s="52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44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  <c r="Z514" s="51" t="n"/>
    </row>
    <row r="515" ht="15.75" customHeight="1" s="52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44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  <c r="Z515" s="51" t="n"/>
    </row>
    <row r="516" ht="15.75" customHeight="1" s="52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44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  <c r="Z516" s="51" t="n"/>
    </row>
    <row r="517" ht="15.75" customHeight="1" s="52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44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  <c r="Z517" s="51" t="n"/>
    </row>
    <row r="518" ht="15.75" customHeight="1" s="52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44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  <c r="Z518" s="51" t="n"/>
    </row>
    <row r="519" ht="15.75" customHeight="1" s="52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44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  <c r="Z519" s="51" t="n"/>
    </row>
    <row r="520" ht="15.75" customHeight="1" s="52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44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  <c r="Z520" s="51" t="n"/>
    </row>
    <row r="521" ht="15.75" customHeight="1" s="52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44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  <c r="Z521" s="51" t="n"/>
    </row>
    <row r="522" ht="15.75" customHeight="1" s="52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44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  <c r="Z522" s="51" t="n"/>
    </row>
    <row r="523" ht="15.75" customHeight="1" s="52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44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  <c r="Z523" s="51" t="n"/>
    </row>
    <row r="524" ht="15.75" customHeight="1" s="52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44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  <c r="Z524" s="51" t="n"/>
    </row>
    <row r="525" ht="15.75" customHeight="1" s="52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44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  <c r="Z525" s="51" t="n"/>
    </row>
    <row r="526" ht="15.75" customHeight="1" s="52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44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  <c r="Z526" s="51" t="n"/>
    </row>
    <row r="527" ht="15.75" customHeight="1" s="52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44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  <c r="Z527" s="51" t="n"/>
    </row>
    <row r="528" ht="15.75" customHeight="1" s="52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44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  <c r="Z528" s="51" t="n"/>
    </row>
    <row r="529" ht="15.75" customHeight="1" s="52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44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  <c r="Z529" s="51" t="n"/>
    </row>
    <row r="530" ht="15.75" customHeight="1" s="52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44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  <c r="Z530" s="51" t="n"/>
    </row>
    <row r="531" ht="15.75" customHeight="1" s="52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44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  <c r="Z531" s="51" t="n"/>
    </row>
    <row r="532" ht="15.75" customHeight="1" s="52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44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  <c r="Z532" s="51" t="n"/>
    </row>
    <row r="533" ht="15.75" customHeight="1" s="52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44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  <c r="Z533" s="51" t="n"/>
    </row>
    <row r="534" ht="15.75" customHeight="1" s="52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44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</row>
    <row r="535" ht="15.75" customHeight="1" s="52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44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  <c r="Z535" s="51" t="n"/>
    </row>
    <row r="536" ht="15.75" customHeight="1" s="52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44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  <c r="Z536" s="51" t="n"/>
    </row>
    <row r="537" ht="15.75" customHeight="1" s="52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44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  <c r="Z537" s="51" t="n"/>
    </row>
    <row r="538" ht="15.75" customHeight="1" s="52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44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  <c r="Z538" s="51" t="n"/>
    </row>
    <row r="539" ht="15.75" customHeight="1" s="52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44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  <c r="Z539" s="51" t="n"/>
    </row>
    <row r="540" ht="15.75" customHeight="1" s="52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44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  <c r="Z540" s="51" t="n"/>
    </row>
    <row r="541" ht="15.75" customHeight="1" s="52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44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  <c r="Z541" s="51" t="n"/>
    </row>
    <row r="542" ht="15.75" customHeight="1" s="52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44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  <c r="Z542" s="51" t="n"/>
    </row>
    <row r="543" ht="15.75" customHeight="1" s="52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44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  <c r="Z543" s="51" t="n"/>
    </row>
    <row r="544" ht="15.75" customHeight="1" s="52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44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  <c r="Z544" s="51" t="n"/>
    </row>
    <row r="545" ht="15.75" customHeight="1" s="52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44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  <c r="Z545" s="51" t="n"/>
    </row>
    <row r="546" ht="15.75" customHeight="1" s="52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44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  <c r="Z546" s="51" t="n"/>
    </row>
    <row r="547" ht="15.75" customHeight="1" s="52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44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  <c r="Z547" s="51" t="n"/>
    </row>
    <row r="548" ht="15.75" customHeight="1" s="52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44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  <c r="Z548" s="51" t="n"/>
    </row>
    <row r="549" ht="15.75" customHeight="1" s="52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44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  <c r="Z549" s="51" t="n"/>
    </row>
    <row r="550" ht="15.75" customHeight="1" s="52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44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  <c r="Z550" s="51" t="n"/>
    </row>
    <row r="551" ht="15.75" customHeight="1" s="52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44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  <c r="Z551" s="51" t="n"/>
    </row>
    <row r="552" ht="15.75" customHeight="1" s="52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44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  <c r="Z552" s="51" t="n"/>
    </row>
    <row r="553" ht="15.75" customHeight="1" s="52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44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  <c r="Z553" s="51" t="n"/>
    </row>
    <row r="554" ht="15.75" customHeight="1" s="52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44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  <c r="Z554" s="51" t="n"/>
    </row>
    <row r="555" ht="15.75" customHeight="1" s="52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44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  <c r="Z555" s="51" t="n"/>
    </row>
    <row r="556" ht="15.75" customHeight="1" s="52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44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  <c r="Z556" s="51" t="n"/>
    </row>
    <row r="557" ht="15.75" customHeight="1" s="52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44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  <c r="Z557" s="51" t="n"/>
    </row>
    <row r="558" ht="15.75" customHeight="1" s="52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44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  <c r="Z558" s="51" t="n"/>
    </row>
    <row r="559" ht="15.75" customHeight="1" s="52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44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  <c r="Z559" s="51" t="n"/>
    </row>
    <row r="560" ht="15.75" customHeight="1" s="52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44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  <c r="Z560" s="51" t="n"/>
    </row>
    <row r="561" ht="15.75" customHeight="1" s="52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44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  <c r="Z561" s="51" t="n"/>
    </row>
    <row r="562" ht="15.75" customHeight="1" s="52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44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  <c r="Z562" s="51" t="n"/>
    </row>
    <row r="563" ht="15.75" customHeight="1" s="52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44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  <c r="Z563" s="51" t="n"/>
    </row>
    <row r="564" ht="15.75" customHeight="1" s="52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44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  <c r="Z564" s="51" t="n"/>
    </row>
    <row r="565" ht="15.75" customHeight="1" s="52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44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  <c r="Z565" s="51" t="n"/>
    </row>
    <row r="566" ht="15.75" customHeight="1" s="52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44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  <c r="Z566" s="51" t="n"/>
    </row>
    <row r="567" ht="15.75" customHeight="1" s="52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44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  <c r="Z567" s="51" t="n"/>
    </row>
    <row r="568" ht="15.75" customHeight="1" s="52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44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  <c r="Z568" s="51" t="n"/>
    </row>
    <row r="569" ht="15.75" customHeight="1" s="52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44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  <c r="Z569" s="51" t="n"/>
    </row>
    <row r="570" ht="15.75" customHeight="1" s="52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44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  <c r="Z570" s="51" t="n"/>
    </row>
    <row r="571" ht="15.75" customHeight="1" s="52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44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  <c r="Z571" s="51" t="n"/>
    </row>
    <row r="572" ht="15.75" customHeight="1" s="52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44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  <c r="Z572" s="51" t="n"/>
    </row>
    <row r="573" ht="15.75" customHeight="1" s="52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44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  <c r="Z573" s="51" t="n"/>
    </row>
    <row r="574" ht="15.75" customHeight="1" s="52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44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  <c r="Z574" s="51" t="n"/>
    </row>
    <row r="575" ht="15.75" customHeight="1" s="52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44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  <c r="Z575" s="51" t="n"/>
    </row>
    <row r="576" ht="15.75" customHeight="1" s="52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44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  <c r="Z576" s="51" t="n"/>
    </row>
    <row r="577" ht="15.75" customHeight="1" s="52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44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  <c r="Z577" s="51" t="n"/>
    </row>
    <row r="578" ht="15.75" customHeight="1" s="52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44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  <c r="Z578" s="51" t="n"/>
    </row>
    <row r="579" ht="15.75" customHeight="1" s="52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44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  <c r="Z579" s="51" t="n"/>
    </row>
    <row r="580" ht="15.75" customHeight="1" s="52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44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  <c r="Z580" s="51" t="n"/>
    </row>
    <row r="581" ht="15.75" customHeight="1" s="52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44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  <c r="Z581" s="51" t="n"/>
    </row>
    <row r="582" ht="15.75" customHeight="1" s="52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44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  <c r="Z582" s="51" t="n"/>
    </row>
    <row r="583" ht="15.75" customHeight="1" s="52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44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  <c r="Z583" s="51" t="n"/>
    </row>
    <row r="584" ht="15.75" customHeight="1" s="52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44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  <c r="Z584" s="51" t="n"/>
    </row>
    <row r="585" ht="15.75" customHeight="1" s="52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44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  <c r="Z585" s="51" t="n"/>
    </row>
    <row r="586" ht="15.75" customHeight="1" s="52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44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  <c r="Z586" s="51" t="n"/>
    </row>
    <row r="587" ht="15.75" customHeight="1" s="52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44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  <c r="Z587" s="51" t="n"/>
    </row>
    <row r="588" ht="15.75" customHeight="1" s="52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44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  <c r="Z588" s="51" t="n"/>
    </row>
    <row r="589" ht="15.75" customHeight="1" s="52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44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  <c r="Z589" s="51" t="n"/>
    </row>
    <row r="590" ht="15.75" customHeight="1" s="52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44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  <c r="Z590" s="51" t="n"/>
    </row>
    <row r="591" ht="15.75" customHeight="1" s="52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44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  <c r="Z591" s="51" t="n"/>
    </row>
    <row r="592" ht="15.75" customHeight="1" s="52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44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  <c r="Z592" s="51" t="n"/>
    </row>
    <row r="593" ht="15.75" customHeight="1" s="52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44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  <c r="Z593" s="51" t="n"/>
    </row>
    <row r="594" ht="15.75" customHeight="1" s="52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44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  <c r="Z594" s="51" t="n"/>
    </row>
    <row r="595" ht="15.75" customHeight="1" s="52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44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  <c r="Z595" s="51" t="n"/>
    </row>
    <row r="596" ht="15.75" customHeight="1" s="52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44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  <c r="Z596" s="51" t="n"/>
    </row>
    <row r="597" ht="15.75" customHeight="1" s="52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44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  <c r="Z597" s="51" t="n"/>
    </row>
    <row r="598" ht="15.75" customHeight="1" s="52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44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  <c r="Z598" s="51" t="n"/>
    </row>
    <row r="599" ht="15.75" customHeight="1" s="52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44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  <c r="Z599" s="51" t="n"/>
    </row>
    <row r="600" ht="15.75" customHeight="1" s="52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44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  <c r="Z600" s="51" t="n"/>
    </row>
    <row r="601" ht="15.75" customHeight="1" s="52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44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  <c r="Z601" s="51" t="n"/>
    </row>
    <row r="602" ht="15.75" customHeight="1" s="52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44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  <c r="Z602" s="51" t="n"/>
    </row>
    <row r="603" ht="15.75" customHeight="1" s="52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44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  <c r="Z603" s="51" t="n"/>
    </row>
    <row r="604" ht="15.75" customHeight="1" s="52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44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  <c r="Z604" s="51" t="n"/>
    </row>
    <row r="605" ht="15.75" customHeight="1" s="52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44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  <c r="Z605" s="51" t="n"/>
    </row>
    <row r="606" ht="15.75" customHeight="1" s="52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44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  <c r="Z606" s="51" t="n"/>
    </row>
    <row r="607" ht="15.75" customHeight="1" s="52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44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  <c r="Z607" s="51" t="n"/>
    </row>
    <row r="608" ht="15.75" customHeight="1" s="52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44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  <c r="Z608" s="51" t="n"/>
    </row>
    <row r="609" ht="15.75" customHeight="1" s="52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44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  <c r="Z609" s="51" t="n"/>
    </row>
    <row r="610" ht="15.75" customHeight="1" s="52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44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  <c r="Z610" s="51" t="n"/>
    </row>
    <row r="611" ht="15.75" customHeight="1" s="52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44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  <c r="Z611" s="51" t="n"/>
    </row>
    <row r="612" ht="15.75" customHeight="1" s="52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44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  <c r="Z612" s="51" t="n"/>
    </row>
    <row r="613" ht="15.75" customHeight="1" s="52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44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  <c r="Z613" s="51" t="n"/>
    </row>
    <row r="614" ht="15.75" customHeight="1" s="52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44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  <c r="Z614" s="51" t="n"/>
    </row>
    <row r="615" ht="15.75" customHeight="1" s="52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44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  <c r="Z615" s="51" t="n"/>
    </row>
    <row r="616" ht="15.75" customHeight="1" s="52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44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  <c r="Z616" s="51" t="n"/>
    </row>
    <row r="617" ht="15.75" customHeight="1" s="52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44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  <c r="Z617" s="51" t="n"/>
    </row>
    <row r="618" ht="15.75" customHeight="1" s="52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44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  <c r="Z618" s="51" t="n"/>
    </row>
    <row r="619" ht="15.75" customHeight="1" s="52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44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  <c r="Z619" s="51" t="n"/>
    </row>
    <row r="620" ht="15.75" customHeight="1" s="52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44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  <c r="Z620" s="51" t="n"/>
    </row>
    <row r="621" ht="15.75" customHeight="1" s="52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44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  <c r="Z621" s="51" t="n"/>
    </row>
    <row r="622" ht="15.75" customHeight="1" s="52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44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  <c r="Z622" s="51" t="n"/>
    </row>
    <row r="623" ht="15.75" customHeight="1" s="52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44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  <c r="Z623" s="51" t="n"/>
    </row>
    <row r="624" ht="15.75" customHeight="1" s="52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44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  <c r="Z624" s="51" t="n"/>
    </row>
    <row r="625" ht="15.75" customHeight="1" s="52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44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  <c r="Z625" s="51" t="n"/>
    </row>
    <row r="626" ht="15.75" customHeight="1" s="52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44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  <c r="Z626" s="51" t="n"/>
    </row>
    <row r="627" ht="15.75" customHeight="1" s="52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44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  <c r="Z627" s="51" t="n"/>
    </row>
    <row r="628" ht="15.75" customHeight="1" s="52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44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  <c r="Z628" s="51" t="n"/>
    </row>
    <row r="629" ht="15.75" customHeight="1" s="52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44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  <c r="Z629" s="51" t="n"/>
    </row>
    <row r="630" ht="15.75" customHeight="1" s="52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44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  <c r="Z630" s="51" t="n"/>
    </row>
    <row r="631" ht="15.75" customHeight="1" s="52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44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  <c r="Z631" s="51" t="n"/>
    </row>
    <row r="632" ht="15.75" customHeight="1" s="52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44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  <c r="Z632" s="51" t="n"/>
    </row>
    <row r="633" ht="15.75" customHeight="1" s="52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44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  <c r="Z633" s="51" t="n"/>
    </row>
    <row r="634" ht="15.75" customHeight="1" s="52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44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  <c r="Z634" s="51" t="n"/>
    </row>
    <row r="635" ht="15.75" customHeight="1" s="52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44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  <c r="Z635" s="51" t="n"/>
    </row>
    <row r="636" ht="15.75" customHeight="1" s="52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44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  <c r="Z636" s="51" t="n"/>
    </row>
    <row r="637" ht="15.75" customHeight="1" s="52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44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  <c r="Z637" s="51" t="n"/>
    </row>
    <row r="638" ht="15.75" customHeight="1" s="52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44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  <c r="Z638" s="51" t="n"/>
    </row>
    <row r="639" ht="15.75" customHeight="1" s="52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44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  <c r="Z639" s="51" t="n"/>
    </row>
    <row r="640" ht="15.75" customHeight="1" s="52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44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  <c r="Z640" s="51" t="n"/>
    </row>
    <row r="641" ht="15.75" customHeight="1" s="52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44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  <c r="Z641" s="51" t="n"/>
    </row>
    <row r="642" ht="15.75" customHeight="1" s="52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44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  <c r="Z642" s="51" t="n"/>
    </row>
    <row r="643" ht="15.75" customHeight="1" s="52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44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  <c r="Z643" s="51" t="n"/>
    </row>
    <row r="644" ht="15.75" customHeight="1" s="52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44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  <c r="Z644" s="51" t="n"/>
    </row>
    <row r="645" ht="15.75" customHeight="1" s="52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44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  <c r="Z645" s="51" t="n"/>
    </row>
    <row r="646" ht="15.75" customHeight="1" s="52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44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  <c r="Z646" s="51" t="n"/>
    </row>
    <row r="647" ht="15.75" customHeight="1" s="52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44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  <c r="Z647" s="51" t="n"/>
    </row>
    <row r="648" ht="15.75" customHeight="1" s="52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44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  <c r="Z648" s="51" t="n"/>
    </row>
    <row r="649" ht="15.75" customHeight="1" s="52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44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  <c r="Z649" s="51" t="n"/>
    </row>
    <row r="650" ht="15.75" customHeight="1" s="52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44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  <c r="Z650" s="51" t="n"/>
    </row>
    <row r="651" ht="15.75" customHeight="1" s="52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44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  <c r="Z651" s="51" t="n"/>
    </row>
    <row r="652" ht="15.75" customHeight="1" s="52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44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  <c r="Z652" s="51" t="n"/>
    </row>
    <row r="653" ht="15.75" customHeight="1" s="52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44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  <c r="Z653" s="51" t="n"/>
    </row>
    <row r="654" ht="15.75" customHeight="1" s="52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44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  <c r="Z654" s="51" t="n"/>
    </row>
    <row r="655" ht="15.75" customHeight="1" s="52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44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  <c r="Z655" s="51" t="n"/>
    </row>
    <row r="656" ht="15.75" customHeight="1" s="52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44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  <c r="Z656" s="51" t="n"/>
    </row>
    <row r="657" ht="15.75" customHeight="1" s="52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44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  <c r="Z657" s="51" t="n"/>
    </row>
    <row r="658" ht="15.75" customHeight="1" s="52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44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  <c r="Z658" s="51" t="n"/>
    </row>
    <row r="659" ht="15.75" customHeight="1" s="52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44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  <c r="Z659" s="51" t="n"/>
    </row>
    <row r="660" ht="15.75" customHeight="1" s="52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44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  <c r="Z660" s="51" t="n"/>
    </row>
    <row r="661" ht="15.75" customHeight="1" s="52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44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  <c r="Z661" s="51" t="n"/>
    </row>
    <row r="662" ht="15.75" customHeight="1" s="52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44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  <c r="Z662" s="51" t="n"/>
    </row>
    <row r="663" ht="15.75" customHeight="1" s="52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44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  <c r="Z663" s="51" t="n"/>
    </row>
    <row r="664" ht="15.75" customHeight="1" s="52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44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  <c r="Z664" s="51" t="n"/>
    </row>
    <row r="665" ht="15.75" customHeight="1" s="52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44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  <c r="Z665" s="51" t="n"/>
    </row>
    <row r="666" ht="15.75" customHeight="1" s="52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44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  <c r="Z666" s="51" t="n"/>
    </row>
    <row r="667" ht="15.75" customHeight="1" s="52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44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  <c r="Z667" s="51" t="n"/>
    </row>
    <row r="668" ht="15.75" customHeight="1" s="52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44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  <c r="Z668" s="51" t="n"/>
    </row>
    <row r="669" ht="15.75" customHeight="1" s="52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44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  <c r="Z669" s="51" t="n"/>
    </row>
    <row r="670" ht="15.75" customHeight="1" s="52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44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  <c r="Z670" s="51" t="n"/>
    </row>
    <row r="671" ht="15.75" customHeight="1" s="52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44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  <c r="Z671" s="51" t="n"/>
    </row>
    <row r="672" ht="15.75" customHeight="1" s="52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44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  <c r="Z672" s="51" t="n"/>
    </row>
    <row r="673" ht="15.75" customHeight="1" s="52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44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  <c r="Z673" s="51" t="n"/>
    </row>
    <row r="674" ht="15.75" customHeight="1" s="52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44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  <c r="Z674" s="51" t="n"/>
    </row>
    <row r="675" ht="15.75" customHeight="1" s="52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44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  <c r="Z675" s="51" t="n"/>
    </row>
    <row r="676" ht="15.75" customHeight="1" s="52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44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  <c r="Z676" s="51" t="n"/>
    </row>
    <row r="677" ht="15.75" customHeight="1" s="52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44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  <c r="Z677" s="51" t="n"/>
    </row>
    <row r="678" ht="15.75" customHeight="1" s="52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44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  <c r="Z678" s="51" t="n"/>
    </row>
    <row r="679" ht="15.75" customHeight="1" s="52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44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  <c r="Z679" s="51" t="n"/>
    </row>
    <row r="680" ht="15.75" customHeight="1" s="52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44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  <c r="Z680" s="51" t="n"/>
    </row>
    <row r="681" ht="15.75" customHeight="1" s="52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44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  <c r="Z681" s="51" t="n"/>
    </row>
    <row r="682" ht="15.75" customHeight="1" s="52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44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  <c r="Z682" s="51" t="n"/>
    </row>
    <row r="683" ht="15.75" customHeight="1" s="52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44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  <c r="Z683" s="51" t="n"/>
    </row>
    <row r="684" ht="15.75" customHeight="1" s="52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44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  <c r="Z684" s="51" t="n"/>
    </row>
    <row r="685" ht="15.75" customHeight="1" s="52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44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  <c r="Z685" s="51" t="n"/>
    </row>
    <row r="686" ht="15.75" customHeight="1" s="52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44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  <c r="Z686" s="51" t="n"/>
    </row>
    <row r="687" ht="15.75" customHeight="1" s="52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44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  <c r="Z687" s="51" t="n"/>
    </row>
    <row r="688" ht="15.75" customHeight="1" s="52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44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  <c r="Z688" s="51" t="n"/>
    </row>
    <row r="689" ht="15.75" customHeight="1" s="52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44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  <c r="Z689" s="51" t="n"/>
    </row>
    <row r="690" ht="15.75" customHeight="1" s="52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44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  <c r="Z690" s="51" t="n"/>
    </row>
    <row r="691" ht="15.75" customHeight="1" s="52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44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  <c r="Z691" s="51" t="n"/>
    </row>
    <row r="692" ht="15.75" customHeight="1" s="52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44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  <c r="Z692" s="51" t="n"/>
    </row>
    <row r="693" ht="15.75" customHeight="1" s="52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44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  <c r="Z693" s="51" t="n"/>
    </row>
    <row r="694" ht="15.75" customHeight="1" s="52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44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  <c r="Z694" s="51" t="n"/>
    </row>
    <row r="695" ht="15.75" customHeight="1" s="52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44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  <c r="Z695" s="51" t="n"/>
    </row>
    <row r="696" ht="15.75" customHeight="1" s="52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44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  <c r="Z696" s="51" t="n"/>
    </row>
    <row r="697" ht="15.75" customHeight="1" s="52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44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  <c r="Z697" s="51" t="n"/>
    </row>
    <row r="698" ht="15.75" customHeight="1" s="52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44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  <c r="Z698" s="51" t="n"/>
    </row>
    <row r="699" ht="15.75" customHeight="1" s="52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44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  <c r="Z699" s="51" t="n"/>
    </row>
    <row r="700" ht="15.75" customHeight="1" s="52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44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  <c r="Z700" s="51" t="n"/>
    </row>
    <row r="701" ht="15.75" customHeight="1" s="52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44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  <c r="Z701" s="51" t="n"/>
    </row>
    <row r="702" ht="15.75" customHeight="1" s="52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44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  <c r="Z702" s="51" t="n"/>
    </row>
    <row r="703" ht="15.75" customHeight="1" s="52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44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  <c r="Z703" s="51" t="n"/>
    </row>
    <row r="704" ht="15.75" customHeight="1" s="52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44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  <c r="Z704" s="51" t="n"/>
    </row>
    <row r="705" ht="15.75" customHeight="1" s="52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44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  <c r="Z705" s="51" t="n"/>
    </row>
    <row r="706" ht="15.75" customHeight="1" s="52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44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  <c r="Z706" s="51" t="n"/>
    </row>
    <row r="707" ht="15.75" customHeight="1" s="52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44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  <c r="Z707" s="51" t="n"/>
    </row>
    <row r="708" ht="15.75" customHeight="1" s="52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44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  <c r="Z708" s="51" t="n"/>
    </row>
    <row r="709" ht="15.75" customHeight="1" s="52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44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  <c r="Z709" s="51" t="n"/>
    </row>
    <row r="710" ht="15.75" customHeight="1" s="52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44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  <c r="Z710" s="51" t="n"/>
    </row>
    <row r="711" ht="15.75" customHeight="1" s="52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44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  <c r="Z711" s="51" t="n"/>
    </row>
    <row r="712" ht="15.75" customHeight="1" s="52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44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  <c r="Z712" s="51" t="n"/>
    </row>
    <row r="713" ht="15.75" customHeight="1" s="52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44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  <c r="Z713" s="51" t="n"/>
    </row>
    <row r="714" ht="15.75" customHeight="1" s="52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44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  <c r="Z714" s="51" t="n"/>
    </row>
    <row r="715" ht="15.75" customHeight="1" s="52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44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  <c r="Z715" s="51" t="n"/>
    </row>
    <row r="716" ht="15.75" customHeight="1" s="52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44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  <c r="Z716" s="51" t="n"/>
    </row>
    <row r="717" ht="15.75" customHeight="1" s="52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44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  <c r="Z717" s="51" t="n"/>
    </row>
    <row r="718" ht="15.75" customHeight="1" s="52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44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  <c r="Z718" s="51" t="n"/>
    </row>
    <row r="719" ht="15.75" customHeight="1" s="52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44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  <c r="Z719" s="51" t="n"/>
    </row>
    <row r="720" ht="15.75" customHeight="1" s="52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44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  <c r="Z720" s="51" t="n"/>
    </row>
    <row r="721" ht="15.75" customHeight="1" s="52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44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  <c r="Z721" s="51" t="n"/>
    </row>
    <row r="722" ht="15.75" customHeight="1" s="52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44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  <c r="Z722" s="51" t="n"/>
    </row>
    <row r="723" ht="15.75" customHeight="1" s="52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44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  <c r="Z723" s="51" t="n"/>
    </row>
    <row r="724" ht="15.75" customHeight="1" s="52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44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  <c r="Z724" s="51" t="n"/>
    </row>
    <row r="725" ht="15.75" customHeight="1" s="52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44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  <c r="Z725" s="51" t="n"/>
    </row>
    <row r="726" ht="15.75" customHeight="1" s="52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44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  <c r="Z726" s="51" t="n"/>
    </row>
    <row r="727" ht="15.75" customHeight="1" s="52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44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  <c r="Z727" s="51" t="n"/>
    </row>
    <row r="728" ht="15.75" customHeight="1" s="52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44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  <c r="Z728" s="51" t="n"/>
    </row>
    <row r="729" ht="15.75" customHeight="1" s="52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44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  <c r="Z729" s="51" t="n"/>
    </row>
    <row r="730" ht="15.75" customHeight="1" s="52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44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  <c r="Z730" s="51" t="n"/>
    </row>
    <row r="731" ht="15.75" customHeight="1" s="52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44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  <c r="Z731" s="51" t="n"/>
    </row>
    <row r="732" ht="15.75" customHeight="1" s="52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44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  <c r="Z732" s="51" t="n"/>
    </row>
    <row r="733" ht="15.75" customHeight="1" s="52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44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  <c r="Z733" s="51" t="n"/>
    </row>
    <row r="734" ht="15.75" customHeight="1" s="52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44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  <c r="Z734" s="51" t="n"/>
    </row>
    <row r="735" ht="15.75" customHeight="1" s="52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44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  <c r="Z735" s="51" t="n"/>
    </row>
    <row r="736" ht="15.75" customHeight="1" s="52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44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  <c r="Z736" s="51" t="n"/>
    </row>
    <row r="737" ht="15.75" customHeight="1" s="52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44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  <c r="Z737" s="51" t="n"/>
    </row>
    <row r="738" ht="15.75" customHeight="1" s="52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44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  <c r="Z738" s="51" t="n"/>
    </row>
    <row r="739" ht="15.75" customHeight="1" s="52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44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  <c r="Z739" s="51" t="n"/>
    </row>
    <row r="740" ht="15.75" customHeight="1" s="52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44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  <c r="Z740" s="51" t="n"/>
    </row>
    <row r="741" ht="15.75" customHeight="1" s="52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44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  <c r="Z741" s="51" t="n"/>
    </row>
    <row r="742" ht="15.75" customHeight="1" s="52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44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  <c r="Z742" s="51" t="n"/>
    </row>
    <row r="743" ht="15.75" customHeight="1" s="52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44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  <c r="Z743" s="51" t="n"/>
    </row>
    <row r="744" ht="15.75" customHeight="1" s="52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44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  <c r="Z744" s="51" t="n"/>
    </row>
    <row r="745" ht="15.75" customHeight="1" s="52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44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  <c r="Z745" s="51" t="n"/>
    </row>
    <row r="746" ht="15.75" customHeight="1" s="52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44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  <c r="Z746" s="51" t="n"/>
    </row>
    <row r="747" ht="15.75" customHeight="1" s="52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44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  <c r="Z747" s="51" t="n"/>
    </row>
    <row r="748" ht="15.75" customHeight="1" s="52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44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  <c r="Z748" s="51" t="n"/>
    </row>
    <row r="749" ht="15.75" customHeight="1" s="52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44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  <c r="Z749" s="51" t="n"/>
    </row>
    <row r="750" ht="15.75" customHeight="1" s="52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44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  <c r="Z750" s="51" t="n"/>
    </row>
    <row r="751" ht="15.75" customHeight="1" s="52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44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  <c r="Z751" s="51" t="n"/>
    </row>
    <row r="752" ht="15.75" customHeight="1" s="52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44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  <c r="Z752" s="51" t="n"/>
    </row>
    <row r="753" ht="15.75" customHeight="1" s="52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44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  <c r="Z753" s="51" t="n"/>
    </row>
    <row r="754" ht="15.75" customHeight="1" s="52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44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  <c r="Z754" s="51" t="n"/>
    </row>
    <row r="755" ht="15.75" customHeight="1" s="52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44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  <c r="Z755" s="51" t="n"/>
    </row>
    <row r="756" ht="15.75" customHeight="1" s="52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44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  <c r="Z756" s="51" t="n"/>
    </row>
    <row r="757" ht="15.75" customHeight="1" s="52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44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  <c r="Z757" s="51" t="n"/>
    </row>
    <row r="758" ht="15.75" customHeight="1" s="52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44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  <c r="Z758" s="51" t="n"/>
    </row>
    <row r="759" ht="15.75" customHeight="1" s="52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44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  <c r="Z759" s="51" t="n"/>
    </row>
    <row r="760" ht="15.75" customHeight="1" s="52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44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  <c r="Z760" s="51" t="n"/>
    </row>
    <row r="761" ht="15.75" customHeight="1" s="52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44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  <c r="Z761" s="51" t="n"/>
    </row>
    <row r="762" ht="15.75" customHeight="1" s="52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44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  <c r="Z762" s="51" t="n"/>
    </row>
    <row r="763" ht="15.75" customHeight="1" s="52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44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  <c r="Z763" s="51" t="n"/>
    </row>
    <row r="764" ht="15.75" customHeight="1" s="52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44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  <c r="Z764" s="51" t="n"/>
    </row>
    <row r="765" ht="15.75" customHeight="1" s="52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44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  <c r="Z765" s="51" t="n"/>
    </row>
    <row r="766" ht="15.75" customHeight="1" s="52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44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  <c r="Z766" s="51" t="n"/>
    </row>
    <row r="767" ht="15.75" customHeight="1" s="52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44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  <c r="Z767" s="51" t="n"/>
    </row>
    <row r="768" ht="15.75" customHeight="1" s="52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44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  <c r="Z768" s="51" t="n"/>
    </row>
    <row r="769" ht="15.75" customHeight="1" s="52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44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  <c r="Z769" s="51" t="n"/>
    </row>
    <row r="770" ht="15.75" customHeight="1" s="52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44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  <c r="Z770" s="51" t="n"/>
    </row>
    <row r="771" ht="15.75" customHeight="1" s="52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44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  <c r="Z771" s="51" t="n"/>
    </row>
    <row r="772" ht="15.75" customHeight="1" s="52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44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  <c r="Z772" s="51" t="n"/>
    </row>
    <row r="773" ht="15.75" customHeight="1" s="52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44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  <c r="Z773" s="51" t="n"/>
    </row>
    <row r="774" ht="15.75" customHeight="1" s="52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44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  <c r="Z774" s="51" t="n"/>
    </row>
    <row r="775" ht="15.75" customHeight="1" s="52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44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  <c r="Z775" s="51" t="n"/>
    </row>
    <row r="776" ht="15.75" customHeight="1" s="52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44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  <c r="Z776" s="51" t="n"/>
    </row>
    <row r="777" ht="15.75" customHeight="1" s="52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44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  <c r="Z777" s="51" t="n"/>
    </row>
    <row r="778" ht="15.75" customHeight="1" s="52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44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  <c r="Z778" s="51" t="n"/>
    </row>
    <row r="779" ht="15.75" customHeight="1" s="52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44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  <c r="Z779" s="51" t="n"/>
    </row>
    <row r="780" ht="15.75" customHeight="1" s="52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44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  <c r="Z780" s="51" t="n"/>
    </row>
    <row r="781" ht="15.75" customHeight="1" s="52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44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  <c r="Z781" s="51" t="n"/>
    </row>
    <row r="782" ht="15.75" customHeight="1" s="52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44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  <c r="Z782" s="51" t="n"/>
    </row>
    <row r="783" ht="15.75" customHeight="1" s="52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44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  <c r="Z783" s="51" t="n"/>
    </row>
    <row r="784" ht="15.75" customHeight="1" s="52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44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  <c r="Z784" s="51" t="n"/>
    </row>
    <row r="785" ht="15.75" customHeight="1" s="52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44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  <c r="Z785" s="51" t="n"/>
    </row>
    <row r="786" ht="15.75" customHeight="1" s="52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44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  <c r="Z786" s="51" t="n"/>
    </row>
    <row r="787" ht="15.75" customHeight="1" s="52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44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  <c r="Z787" s="51" t="n"/>
    </row>
    <row r="788" ht="15.75" customHeight="1" s="52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44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  <c r="Z788" s="51" t="n"/>
    </row>
    <row r="789" ht="15.75" customHeight="1" s="52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44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  <c r="Z789" s="51" t="n"/>
    </row>
    <row r="790" ht="15.75" customHeight="1" s="52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44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  <c r="Z790" s="51" t="n"/>
    </row>
    <row r="791" ht="15.75" customHeight="1" s="52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44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  <c r="Z791" s="51" t="n"/>
    </row>
    <row r="792" ht="15.75" customHeight="1" s="52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44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  <c r="Z792" s="51" t="n"/>
    </row>
    <row r="793" ht="15.75" customHeight="1" s="52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44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  <c r="Z793" s="51" t="n"/>
    </row>
    <row r="794" ht="15.75" customHeight="1" s="52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44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  <c r="Z794" s="51" t="n"/>
    </row>
    <row r="795" ht="15.75" customHeight="1" s="52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44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  <c r="Z795" s="51" t="n"/>
    </row>
    <row r="796" ht="15.75" customHeight="1" s="52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44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  <c r="Z796" s="51" t="n"/>
    </row>
    <row r="797" ht="15.75" customHeight="1" s="52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44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  <c r="Z797" s="51" t="n"/>
    </row>
    <row r="798" ht="15.75" customHeight="1" s="52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44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  <c r="Z798" s="51" t="n"/>
    </row>
    <row r="799" ht="15.75" customHeight="1" s="52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44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  <c r="Z799" s="51" t="n"/>
    </row>
    <row r="800" ht="15.75" customHeight="1" s="52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44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  <c r="Z800" s="51" t="n"/>
    </row>
    <row r="801" ht="15.75" customHeight="1" s="52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44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  <c r="Z801" s="51" t="n"/>
    </row>
    <row r="802" ht="15.75" customHeight="1" s="52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44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  <c r="Z802" s="51" t="n"/>
    </row>
    <row r="803" ht="15.75" customHeight="1" s="52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44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  <c r="Z803" s="51" t="n"/>
    </row>
    <row r="804" ht="15.75" customHeight="1" s="52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44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  <c r="Z804" s="51" t="n"/>
    </row>
    <row r="805" ht="15.75" customHeight="1" s="52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44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  <c r="Z805" s="51" t="n"/>
    </row>
    <row r="806" ht="15.75" customHeight="1" s="52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44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  <c r="Z806" s="51" t="n"/>
    </row>
    <row r="807" ht="15.75" customHeight="1" s="52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44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  <c r="Z807" s="51" t="n"/>
    </row>
    <row r="808" ht="15.75" customHeight="1" s="52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44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  <c r="Z808" s="51" t="n"/>
    </row>
    <row r="809" ht="15.75" customHeight="1" s="52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44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  <c r="Z809" s="51" t="n"/>
    </row>
    <row r="810" ht="15.75" customHeight="1" s="52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44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  <c r="Z810" s="51" t="n"/>
    </row>
    <row r="811" ht="15.75" customHeight="1" s="52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44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  <c r="Z811" s="51" t="n"/>
    </row>
    <row r="812" ht="15.75" customHeight="1" s="52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44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  <c r="Z812" s="51" t="n"/>
    </row>
    <row r="813" ht="15.75" customHeight="1" s="52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44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  <c r="Z813" s="51" t="n"/>
    </row>
    <row r="814" ht="15.75" customHeight="1" s="52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44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  <c r="Z814" s="51" t="n"/>
    </row>
    <row r="815" ht="15.75" customHeight="1" s="52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44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  <c r="Z815" s="51" t="n"/>
    </row>
    <row r="816" ht="15.75" customHeight="1" s="52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44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  <c r="Z816" s="51" t="n"/>
    </row>
    <row r="817" ht="15.75" customHeight="1" s="52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44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  <c r="Z817" s="51" t="n"/>
    </row>
    <row r="818" ht="15.75" customHeight="1" s="52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44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  <c r="Z818" s="51" t="n"/>
    </row>
    <row r="819" ht="15.75" customHeight="1" s="52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44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  <c r="Z819" s="51" t="n"/>
    </row>
    <row r="820" ht="15.75" customHeight="1" s="52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44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  <c r="Z820" s="51" t="n"/>
    </row>
    <row r="821" ht="15.75" customHeight="1" s="52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44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  <c r="Z821" s="51" t="n"/>
    </row>
    <row r="822" ht="15.75" customHeight="1" s="52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44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  <c r="Z822" s="51" t="n"/>
    </row>
    <row r="823" ht="15.75" customHeight="1" s="52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44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  <c r="Z823" s="51" t="n"/>
    </row>
    <row r="824" ht="15.75" customHeight="1" s="52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44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  <c r="Z824" s="51" t="n"/>
    </row>
    <row r="825" ht="15.75" customHeight="1" s="52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44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  <c r="Z825" s="51" t="n"/>
    </row>
    <row r="826" ht="15.75" customHeight="1" s="52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44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  <c r="Z826" s="51" t="n"/>
    </row>
    <row r="827" ht="15.75" customHeight="1" s="52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44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  <c r="Z827" s="51" t="n"/>
    </row>
    <row r="828" ht="15.75" customHeight="1" s="52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44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  <c r="Z828" s="51" t="n"/>
    </row>
    <row r="829" ht="15.75" customHeight="1" s="52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44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  <c r="Z829" s="51" t="n"/>
    </row>
    <row r="830" ht="15.75" customHeight="1" s="52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44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  <c r="Z830" s="51" t="n"/>
    </row>
    <row r="831" ht="15.75" customHeight="1" s="52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44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  <c r="Z831" s="51" t="n"/>
    </row>
    <row r="832" ht="15.75" customHeight="1" s="52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44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  <c r="Z832" s="51" t="n"/>
    </row>
    <row r="833" ht="15.75" customHeight="1" s="52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44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  <c r="Z833" s="51" t="n"/>
    </row>
    <row r="834" ht="15.75" customHeight="1" s="52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44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  <c r="Z834" s="51" t="n"/>
    </row>
    <row r="835" ht="15.75" customHeight="1" s="52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44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  <c r="Z835" s="51" t="n"/>
    </row>
    <row r="836" ht="15.75" customHeight="1" s="52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44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  <c r="Z836" s="51" t="n"/>
    </row>
    <row r="837" ht="15.75" customHeight="1" s="52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44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  <c r="Z837" s="51" t="n"/>
    </row>
    <row r="838" ht="15.75" customHeight="1" s="52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44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  <c r="Z838" s="51" t="n"/>
    </row>
    <row r="839" ht="15.75" customHeight="1" s="52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44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  <c r="Z839" s="51" t="n"/>
    </row>
    <row r="840" ht="15.75" customHeight="1" s="52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44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  <c r="Z840" s="51" t="n"/>
    </row>
    <row r="841" ht="15.75" customHeight="1" s="52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44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  <c r="Z841" s="51" t="n"/>
    </row>
    <row r="842" ht="15.75" customHeight="1" s="52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44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  <c r="Z842" s="51" t="n"/>
    </row>
    <row r="843" ht="15.75" customHeight="1" s="52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44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  <c r="Z843" s="51" t="n"/>
    </row>
    <row r="844" ht="15.75" customHeight="1" s="52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44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  <c r="Z844" s="51" t="n"/>
    </row>
    <row r="845" ht="15.75" customHeight="1" s="52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44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  <c r="Z845" s="51" t="n"/>
    </row>
    <row r="846" ht="15.75" customHeight="1" s="52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44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  <c r="Z846" s="51" t="n"/>
    </row>
    <row r="847" ht="15.75" customHeight="1" s="52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44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  <c r="Z847" s="51" t="n"/>
    </row>
    <row r="848" ht="15.75" customHeight="1" s="52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44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  <c r="Z848" s="51" t="n"/>
    </row>
    <row r="849" ht="15.75" customHeight="1" s="52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44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  <c r="Z849" s="51" t="n"/>
    </row>
    <row r="850" ht="15.75" customHeight="1" s="52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44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  <c r="Z850" s="51" t="n"/>
    </row>
    <row r="851" ht="15.75" customHeight="1" s="52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44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  <c r="Z851" s="51" t="n"/>
    </row>
    <row r="852" ht="15.75" customHeight="1" s="52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44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  <c r="Z852" s="51" t="n"/>
    </row>
    <row r="853" ht="15.75" customHeight="1" s="52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44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  <c r="Z853" s="51" t="n"/>
    </row>
    <row r="854" ht="15.75" customHeight="1" s="52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44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  <c r="Z854" s="51" t="n"/>
    </row>
    <row r="855" ht="15.75" customHeight="1" s="52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44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  <c r="Z855" s="51" t="n"/>
    </row>
    <row r="856" ht="15.75" customHeight="1" s="52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44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  <c r="Z856" s="51" t="n"/>
    </row>
    <row r="857" ht="15.75" customHeight="1" s="52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44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  <c r="Z857" s="51" t="n"/>
    </row>
    <row r="858" ht="15.75" customHeight="1" s="52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44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  <c r="Z858" s="51" t="n"/>
    </row>
    <row r="859" ht="15.75" customHeight="1" s="52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44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  <c r="Z859" s="51" t="n"/>
    </row>
    <row r="860" ht="15.75" customHeight="1" s="52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44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  <c r="Z860" s="51" t="n"/>
    </row>
    <row r="861" ht="15.75" customHeight="1" s="52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44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  <c r="Z861" s="51" t="n"/>
    </row>
    <row r="862" ht="15.75" customHeight="1" s="52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44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  <c r="Z862" s="51" t="n"/>
    </row>
    <row r="863" ht="15.75" customHeight="1" s="52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44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  <c r="Z863" s="51" t="n"/>
    </row>
    <row r="864" ht="15.75" customHeight="1" s="52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44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  <c r="Z864" s="51" t="n"/>
    </row>
    <row r="865" ht="15.75" customHeight="1" s="52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44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  <c r="Z865" s="51" t="n"/>
    </row>
    <row r="866" ht="15.75" customHeight="1" s="52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44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  <c r="Z866" s="51" t="n"/>
    </row>
    <row r="867" ht="15.75" customHeight="1" s="52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44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  <c r="Z867" s="51" t="n"/>
    </row>
    <row r="868" ht="15.75" customHeight="1" s="52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44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  <c r="Z868" s="51" t="n"/>
    </row>
    <row r="869" ht="15.75" customHeight="1" s="52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44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  <c r="Z869" s="51" t="n"/>
    </row>
    <row r="870" ht="15.75" customHeight="1" s="52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44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  <c r="Z870" s="51" t="n"/>
    </row>
    <row r="871" ht="15.75" customHeight="1" s="52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44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  <c r="Z871" s="51" t="n"/>
    </row>
    <row r="872" ht="15.75" customHeight="1" s="52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44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  <c r="Z872" s="51" t="n"/>
    </row>
    <row r="873" ht="15.75" customHeight="1" s="52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44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  <c r="Z873" s="51" t="n"/>
    </row>
    <row r="874" ht="15.75" customHeight="1" s="52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44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  <c r="Z874" s="51" t="n"/>
    </row>
    <row r="875" ht="15.75" customHeight="1" s="52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44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  <c r="Z875" s="51" t="n"/>
    </row>
    <row r="876" ht="15.75" customHeight="1" s="52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44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  <c r="Z876" s="51" t="n"/>
    </row>
    <row r="877" ht="15.75" customHeight="1" s="52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44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  <c r="Z877" s="51" t="n"/>
    </row>
    <row r="878" ht="15.75" customHeight="1" s="52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44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  <c r="Z878" s="51" t="n"/>
    </row>
    <row r="879" ht="15.75" customHeight="1" s="52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44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  <c r="Z879" s="51" t="n"/>
    </row>
    <row r="880" ht="15.75" customHeight="1" s="52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44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  <c r="Z880" s="51" t="n"/>
    </row>
    <row r="881" ht="15.75" customHeight="1" s="52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44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  <c r="Z881" s="51" t="n"/>
    </row>
    <row r="882" ht="15.75" customHeight="1" s="52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44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  <c r="Z882" s="51" t="n"/>
    </row>
    <row r="883" ht="15.75" customHeight="1" s="52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44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  <c r="Z883" s="51" t="n"/>
    </row>
    <row r="884" ht="15.75" customHeight="1" s="52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44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  <c r="Z884" s="51" t="n"/>
    </row>
    <row r="885" ht="15.75" customHeight="1" s="52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44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  <c r="Z885" s="51" t="n"/>
    </row>
    <row r="886" ht="15.75" customHeight="1" s="52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44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  <c r="Z886" s="51" t="n"/>
    </row>
    <row r="887" ht="15.75" customHeight="1" s="52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44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  <c r="Z887" s="51" t="n"/>
    </row>
    <row r="888" ht="15.75" customHeight="1" s="52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44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  <c r="Z888" s="51" t="n"/>
    </row>
    <row r="889" ht="15.75" customHeight="1" s="52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44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  <c r="Z889" s="51" t="n"/>
    </row>
    <row r="890" ht="15.75" customHeight="1" s="52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44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  <c r="Z890" s="51" t="n"/>
    </row>
    <row r="891" ht="15.75" customHeight="1" s="52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44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  <c r="Z891" s="51" t="n"/>
    </row>
    <row r="892" ht="15.75" customHeight="1" s="52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44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  <c r="Z892" s="51" t="n"/>
    </row>
    <row r="893" ht="15.75" customHeight="1" s="52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44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  <c r="Z893" s="51" t="n"/>
    </row>
    <row r="894" ht="15.75" customHeight="1" s="52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44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  <c r="Z894" s="51" t="n"/>
    </row>
    <row r="895" ht="15.75" customHeight="1" s="52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44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  <c r="Z895" s="51" t="n"/>
    </row>
    <row r="896" ht="15.75" customHeight="1" s="52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44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  <c r="Z896" s="51" t="n"/>
    </row>
    <row r="897" ht="15.75" customHeight="1" s="52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44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  <c r="Z897" s="51" t="n"/>
    </row>
    <row r="898" ht="15.75" customHeight="1" s="52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44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  <c r="Z898" s="51" t="n"/>
    </row>
    <row r="899" ht="15.75" customHeight="1" s="52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44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  <c r="Z899" s="51" t="n"/>
    </row>
    <row r="900" ht="15.75" customHeight="1" s="52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44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  <c r="Z900" s="51" t="n"/>
    </row>
    <row r="901" ht="15.75" customHeight="1" s="52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44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  <c r="Z901" s="51" t="n"/>
    </row>
    <row r="902" ht="15.75" customHeight="1" s="52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44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  <c r="Z902" s="51" t="n"/>
    </row>
    <row r="903" ht="15.75" customHeight="1" s="52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44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  <c r="Z903" s="51" t="n"/>
    </row>
    <row r="904" ht="15.75" customHeight="1" s="52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44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  <c r="Z904" s="51" t="n"/>
    </row>
    <row r="905" ht="15.75" customHeight="1" s="52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44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  <c r="Z905" s="51" t="n"/>
    </row>
    <row r="906" ht="15.75" customHeight="1" s="52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44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  <c r="Z906" s="51" t="n"/>
    </row>
    <row r="907" ht="15.75" customHeight="1" s="52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44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  <c r="Z907" s="51" t="n"/>
    </row>
    <row r="908" ht="15.75" customHeight="1" s="52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44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  <c r="Z908" s="51" t="n"/>
    </row>
    <row r="909" ht="15.75" customHeight="1" s="52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44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  <c r="Z909" s="51" t="n"/>
    </row>
    <row r="910" ht="15.75" customHeight="1" s="52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44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  <c r="Z910" s="51" t="n"/>
    </row>
    <row r="911" ht="15.75" customHeight="1" s="52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44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  <c r="Z911" s="51" t="n"/>
    </row>
    <row r="912" ht="15.75" customHeight="1" s="52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44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  <c r="Z912" s="51" t="n"/>
    </row>
    <row r="913" ht="15.75" customHeight="1" s="52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44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  <c r="Z913" s="51" t="n"/>
    </row>
    <row r="914" ht="15.75" customHeight="1" s="52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44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  <c r="Z914" s="51" t="n"/>
    </row>
    <row r="915" ht="15.75" customHeight="1" s="52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44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  <c r="Z915" s="51" t="n"/>
    </row>
    <row r="916" ht="15.75" customHeight="1" s="52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44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  <c r="Z916" s="51" t="n"/>
    </row>
    <row r="917" ht="15.75" customHeight="1" s="52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44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  <c r="Z917" s="51" t="n"/>
    </row>
    <row r="918" ht="15.75" customHeight="1" s="52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44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  <c r="Z918" s="51" t="n"/>
    </row>
    <row r="919" ht="15.75" customHeight="1" s="52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44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  <c r="Z919" s="51" t="n"/>
    </row>
    <row r="920" ht="15.75" customHeight="1" s="52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44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  <c r="Z920" s="51" t="n"/>
    </row>
    <row r="921" ht="15.75" customHeight="1" s="52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44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  <c r="Z921" s="51" t="n"/>
    </row>
    <row r="922" ht="15.75" customHeight="1" s="52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44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  <c r="Z922" s="51" t="n"/>
    </row>
    <row r="923" ht="15.75" customHeight="1" s="52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44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  <c r="Z923" s="51" t="n"/>
    </row>
    <row r="924" ht="15.75" customHeight="1" s="52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44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  <c r="Z924" s="51" t="n"/>
    </row>
    <row r="925" ht="15.75" customHeight="1" s="52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44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  <c r="Z925" s="51" t="n"/>
    </row>
    <row r="926" ht="15.75" customHeight="1" s="52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44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  <c r="Z926" s="51" t="n"/>
    </row>
    <row r="927" ht="15.75" customHeight="1" s="52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44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  <c r="Z927" s="51" t="n"/>
    </row>
    <row r="928" ht="15.75" customHeight="1" s="52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44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  <c r="Z928" s="51" t="n"/>
    </row>
    <row r="929" ht="15.75" customHeight="1" s="52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44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  <c r="Z929" s="51" t="n"/>
    </row>
    <row r="930" ht="15.75" customHeight="1" s="52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44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  <c r="Z930" s="51" t="n"/>
    </row>
    <row r="931" ht="15.75" customHeight="1" s="52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44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  <c r="Z931" s="51" t="n"/>
    </row>
    <row r="932" ht="15.75" customHeight="1" s="52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44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  <c r="Z932" s="51" t="n"/>
    </row>
    <row r="933" ht="15.75" customHeight="1" s="52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44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  <c r="Z933" s="51" t="n"/>
    </row>
    <row r="934" ht="15.75" customHeight="1" s="52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44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  <c r="Z934" s="51" t="n"/>
    </row>
    <row r="935" ht="15.75" customHeight="1" s="52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44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  <c r="Z935" s="51" t="n"/>
    </row>
    <row r="936" ht="15.75" customHeight="1" s="52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44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  <c r="Z936" s="51" t="n"/>
    </row>
    <row r="937" ht="15.75" customHeight="1" s="52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44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  <c r="Z937" s="51" t="n"/>
    </row>
    <row r="938" ht="15.75" customHeight="1" s="52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44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  <c r="Z938" s="51" t="n"/>
    </row>
    <row r="939" ht="15.75" customHeight="1" s="52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44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  <c r="Z939" s="51" t="n"/>
    </row>
    <row r="940" ht="15.75" customHeight="1" s="52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44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  <c r="Z940" s="51" t="n"/>
    </row>
    <row r="941" ht="15.75" customHeight="1" s="52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44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  <c r="Z941" s="51" t="n"/>
    </row>
    <row r="942" ht="15.75" customHeight="1" s="52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44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  <c r="Z942" s="51" t="n"/>
    </row>
    <row r="943" ht="15.75" customHeight="1" s="52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44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  <c r="Z943" s="51" t="n"/>
    </row>
    <row r="944" ht="15.75" customHeight="1" s="52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44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  <c r="Z944" s="51" t="n"/>
    </row>
    <row r="945" ht="15.75" customHeight="1" s="52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44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  <c r="Z945" s="51" t="n"/>
    </row>
    <row r="946" ht="15.75" customHeight="1" s="52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44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  <c r="Z946" s="51" t="n"/>
    </row>
    <row r="947" ht="15.75" customHeight="1" s="52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44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  <c r="Z947" s="51" t="n"/>
    </row>
    <row r="948" ht="15.75" customHeight="1" s="52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44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  <c r="Z948" s="51" t="n"/>
    </row>
    <row r="949" ht="15.75" customHeight="1" s="52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44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  <c r="Z949" s="51" t="n"/>
    </row>
    <row r="950" ht="15.75" customHeight="1" s="52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44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  <c r="Z950" s="51" t="n"/>
    </row>
    <row r="951" ht="15.75" customHeight="1" s="52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44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  <c r="Z951" s="51" t="n"/>
    </row>
    <row r="952" ht="15.75" customHeight="1" s="52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44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  <c r="Z952" s="51" t="n"/>
    </row>
    <row r="953" ht="15.75" customHeight="1" s="52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44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  <c r="Z953" s="51" t="n"/>
    </row>
    <row r="954" ht="15.75" customHeight="1" s="52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44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  <c r="Z954" s="51" t="n"/>
    </row>
    <row r="955" ht="15.75" customHeight="1" s="52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44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  <c r="Z955" s="51" t="n"/>
    </row>
    <row r="956" ht="15.75" customHeight="1" s="52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44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  <c r="Z956" s="51" t="n"/>
    </row>
    <row r="957" ht="15.75" customHeight="1" s="52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44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  <c r="Z957" s="51" t="n"/>
    </row>
    <row r="958" ht="15.75" customHeight="1" s="52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44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  <c r="Z958" s="51" t="n"/>
    </row>
    <row r="959" ht="15.75" customHeight="1" s="52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44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  <c r="Z959" s="51" t="n"/>
    </row>
    <row r="960" ht="15.75" customHeight="1" s="52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44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  <c r="Z960" s="51" t="n"/>
    </row>
    <row r="961" ht="15.75" customHeight="1" s="52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44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  <c r="Z961" s="51" t="n"/>
    </row>
    <row r="962" ht="15.75" customHeight="1" s="52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44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  <c r="Z962" s="51" t="n"/>
    </row>
    <row r="963" ht="15.75" customHeight="1" s="52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44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  <c r="Z963" s="51" t="n"/>
    </row>
    <row r="964" ht="15.75" customHeight="1" s="52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44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  <c r="Z964" s="51" t="n"/>
    </row>
    <row r="965" ht="15.75" customHeight="1" s="52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44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  <c r="Z965" s="51" t="n"/>
    </row>
    <row r="966" ht="15.75" customHeight="1" s="52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44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  <c r="Z966" s="51" t="n"/>
    </row>
    <row r="967" ht="15.75" customHeight="1" s="52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44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  <c r="Z967" s="51" t="n"/>
    </row>
    <row r="968" ht="15.75" customHeight="1" s="52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44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  <c r="Z968" s="51" t="n"/>
    </row>
    <row r="969" ht="15.75" customHeight="1" s="52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44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  <c r="Z969" s="51" t="n"/>
    </row>
    <row r="970" ht="15.75" customHeight="1" s="52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44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  <c r="Z970" s="51" t="n"/>
    </row>
    <row r="971" ht="15.75" customHeight="1" s="52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44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  <c r="Z971" s="51" t="n"/>
    </row>
    <row r="972" ht="15.75" customHeight="1" s="52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44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  <c r="Z972" s="51" t="n"/>
    </row>
    <row r="973" ht="15.75" customHeight="1" s="52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44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  <c r="Z973" s="51" t="n"/>
    </row>
    <row r="974" ht="15.75" customHeight="1" s="52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44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  <c r="Z974" s="51" t="n"/>
    </row>
    <row r="975" ht="15.75" customHeight="1" s="52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44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  <c r="Z975" s="51" t="n"/>
    </row>
    <row r="976" ht="15.75" customHeight="1" s="52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44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  <c r="Z976" s="51" t="n"/>
    </row>
    <row r="977" ht="15.75" customHeight="1" s="52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44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  <c r="Z977" s="51" t="n"/>
    </row>
    <row r="978" ht="15.75" customHeight="1" s="52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44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  <c r="Z978" s="51" t="n"/>
    </row>
    <row r="979" ht="15.75" customHeight="1" s="52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44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  <c r="Z979" s="51" t="n"/>
    </row>
    <row r="980" ht="15.75" customHeight="1" s="52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44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  <c r="Z980" s="51" t="n"/>
    </row>
    <row r="981" ht="15.75" customHeight="1" s="52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44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  <c r="Z981" s="51" t="n"/>
    </row>
    <row r="982" ht="15.75" customHeight="1" s="52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44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  <c r="Z982" s="51" t="n"/>
    </row>
    <row r="983" ht="15.75" customHeight="1" s="52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44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  <c r="Z983" s="51" t="n"/>
    </row>
    <row r="984" ht="15.75" customHeight="1" s="52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44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  <c r="Z984" s="51" t="n"/>
    </row>
    <row r="985" ht="15.75" customHeight="1" s="52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44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  <c r="Z985" s="51" t="n"/>
    </row>
    <row r="986" ht="15.75" customHeight="1" s="52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44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  <c r="Z986" s="51" t="n"/>
    </row>
    <row r="987" ht="15.75" customHeight="1" s="52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44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  <c r="Z987" s="51" t="n"/>
    </row>
    <row r="988" ht="15.75" customHeight="1" s="52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44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  <c r="Z988" s="51" t="n"/>
    </row>
    <row r="989" ht="15.75" customHeight="1" s="52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44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  <c r="Z989" s="51" t="n"/>
    </row>
    <row r="990" ht="15.75" customHeight="1" s="52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44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  <c r="Z990" s="51" t="n"/>
    </row>
    <row r="991" ht="15.75" customHeight="1" s="52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44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  <c r="Z991" s="51" t="n"/>
    </row>
    <row r="992" ht="15.75" customHeight="1" s="52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44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  <c r="Z992" s="51" t="n"/>
    </row>
    <row r="993" ht="15.75" customHeight="1" s="52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44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  <c r="Z993" s="51" t="n"/>
    </row>
    <row r="994" ht="15.75" customHeight="1" s="52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44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  <c r="Z994" s="51" t="n"/>
    </row>
    <row r="995" ht="15.75" customHeight="1" s="52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44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  <c r="Z995" s="51" t="n"/>
    </row>
  </sheetData>
  <autoFilter ref="$A$1:$O$27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Vincent Planz</dc:creator>
  <dcterms:created xsi:type="dcterms:W3CDTF">2024-01-02T16:24:50Z</dcterms:created>
  <dcterms:modified xsi:type="dcterms:W3CDTF">2026-07-16T13:44:36Z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0x0101001A771DAB9B67DA47A41B7313E30F54A4</vt:lpwstr>
  </property>
</Properties>
</file>