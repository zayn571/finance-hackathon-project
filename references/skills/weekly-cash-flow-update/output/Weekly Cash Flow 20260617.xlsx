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kly Cash Flow" sheetId="1" r:id="rId4"/>
    <sheet state="visible" name="AR Aging Balance" sheetId="2" r:id="rId5"/>
    <sheet state="visible" name="Bookings" sheetId="3" r:id="rId6"/>
    <sheet state="visible" name="AR Aging 20260320" sheetId="4" r:id="rId7"/>
    <sheet state="visible" name="Approval Log" sheetId="5" r:id="rId8"/>
  </sheets>
  <definedNames>
    <definedName hidden="1" localSheetId="1" name="_xlnm._FilterDatabase">'AR Aging Balance'!$A$2:$F$2</definedName>
    <definedName hidden="1" localSheetId="2" name="_xlnm._FilterDatabase">Bookings!$B$2:$P$96</definedName>
    <definedName hidden="1" localSheetId="3" name="_xlnm._FilterDatabase">'AR Aging 20260320'!$A$5:$N$151</definedName>
  </definedNames>
  <calcPr/>
  <extLst>
    <ext uri="GoogleSheetsCustomDataVersion2">
      <go:sheetsCustomData xmlns:go="http://customooxmlschemas.google.com/" r:id="rId9" roundtripDataChecksum="Q3WwCzSUSRkbXbtsStMdM3AvDS0bRGVnDegUkxwZa6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Based on commission, bonuses, reimbursements already approved in Feb, to be paid 3/29
======</t>
      </text>
    </comment>
    <comment authorId="0" ref="CE19">
      <text>
        <t xml:space="preserve">======
ID#AAAB-Fq0NA4
Vincent Planz    (2025-05-30 15:13:33)
Vincent Planz:</t>
      </text>
    </comment>
    <comment authorId="0" ref="BX19">
      <text>
        <t xml:space="preserve">======
ID#AAAB-Fq0NBM
Vincent Planz    (2025-06-12 15:57:41)
AP Invoices, Office Move
------
ID#AAAB-Fq0NBQ
Vincent Planz    (2025-06-12 17:49:45)
Intrinsic invoice removed</t>
      </text>
    </comment>
  </commentList>
  <extLst>
    <ext uri="GoogleSheetsCustomDataVersion2">
      <go:sheetsCustomData xmlns:go="http://customooxmlschemas.google.com/" r:id="rId1" roundtripDataSignature="AMtx7mimkutqjfNhaVzRG9sETOvbuE9I5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8">
      <text>
        <t xml:space="preserve">======
ID#AAAB-Fq0NCs
None    (2026-06-17 13:43:26)
NOW DOING NORMAL T&amp;M BILLING BASED ON HOURS</t>
      </text>
    </comment>
    <comment authorId="0" ref="G193">
      <text>
        <t xml:space="preserve">======
ID#AAAB-Fq0NCM
None    (2026-06-17 13:43:26)
Update invoice email to: payables@conehealth.com
questions to: APInquiries@conehealth.com</t>
      </text>
    </comment>
    <comment authorId="0" ref="G257">
      <text>
        <t xml:space="preserve">======
ID#AAAB-Fq0NB4
None    (2026-06-17 13:43:26)
Billed in GBP. USD value found using the conversion rate provided in SOW</t>
      </text>
    </comment>
    <comment authorId="0" ref="G352">
      <text>
        <t xml:space="preserve">======
ID#AAAB-Fq0NCw
None    (2026-06-17 13:43:26)
M6 + M8</t>
      </text>
    </comment>
    <comment authorId="0" ref="G288">
      <text>
        <t xml:space="preserve">======
ID#AAAB-Fq0NBc
None    (2026-06-17 13:43:26)
Add Felix.Mendoza@sncorp.com &amp; ap@sncorp.com as an additional  contact to invoice.</t>
      </text>
    </comment>
    <comment authorId="0" ref="G286">
      <text>
        <t xml:space="preserve">======
ID#AAAB-Fq0NA8
Coupa Link For Milestones PO    (2026-06-17 13:43:26)
https://sonoco.coupahost.com/supplier_order_headers/1092956</t>
      </text>
    </comment>
    <comment authorId="0" ref="G220">
      <text>
        <t xml:space="preserve">======
ID#AAAB-Fq0NCk
None    (2026-06-17 13:43:26)
Bill against the latest Mars ARIBA PO: 4700380575
NOW DOING NORMAL T&amp;M BILLING BASED ON HOURS</t>
      </text>
    </comment>
    <comment authorId="0" ref="G284">
      <text>
        <t xml:space="preserve">======
ID#AAAB-Fq0NCI
None    (2026-06-17 13:43:26)
Bill against the latest Mars ARIBA PO: 4700380575
NOW DOING NORMAL T&amp;M BILLING BASED ON HOURS</t>
      </text>
    </comment>
    <comment authorId="0" ref="G251">
      <text>
        <t xml:space="preserve">======
ID#AAAB-Fq0NA0
None    (2026-06-17 13:43:26)
Update invoice email to: payables@conehealth.com
questions to: APInquiries@conehealth.com</t>
      </text>
    </comment>
    <comment authorId="0" ref="G342">
      <text>
        <t xml:space="preserve">======
ID#AAAB-Fq0NB0
None    (2026-06-17 13:43:26)
Billed in GBP. USD value found using the conversion rate provided in SOW</t>
      </text>
    </comment>
    <comment authorId="0" ref="G214">
      <text>
        <t xml:space="preserve">======
ID#AAAB-Fq0NBk
None    (2026-06-17 13:43:26)
Check with Lennar contact about portal setup</t>
      </text>
    </comment>
    <comment authorId="0" ref="G278">
      <text>
        <t xml:space="preserve">======
ID#AAAB-Fq0NBY
None    (2026-06-17 13:43:26)
Send invoices to both ap@structured.com &amp; support@structured.com</t>
      </text>
    </comment>
    <comment authorId="0" ref="G212">
      <text>
        <t xml:space="preserve">======
ID#AAAB-Fq0NAo
None    (2026-06-17 13:43:26)
M2 &amp; M7</t>
      </text>
    </comment>
    <comment authorId="0" ref="G243">
      <text>
        <t xml:space="preserve">======
ID#AAAB-Fq0NCc
None    (2026-06-17 13:43:26)
All invoices now sent to accounting@thinkdynamic.com</t>
      </text>
    </comment>
    <comment authorId="0" ref="G179">
      <text>
        <t xml:space="preserve">======
ID#AAAB-Fq0NCo
None    (2026-06-17 13:43:26)
Find Coupa PO link in inbox and submit through there</t>
      </text>
    </comment>
    <comment authorId="0" ref="G270">
      <text>
        <t xml:space="preserve">======
ID#AAAB-Fq0NBs
None    (2026-06-17 13:43:26)
Add Felix.Mendoza@sncorp.com &amp; ap@sncorp.com as an additional  contact to invoice.
Switch to N45</t>
      </text>
    </comment>
    <comment authorId="0" ref="G363">
      <text>
        <t xml:space="preserve">======
ID#AAAB-Fq0NCA
None    (2026-06-17 13:43:26)
Add Felix.Mendoza@sncorp.com &amp; ap@sncorp.com as an additional  contact to invoice.</t>
      </text>
    </comment>
    <comment authorId="0" ref="G266">
      <text>
        <t xml:space="preserve">======
ID#AAAB-Fq0NCg
None    (2026-06-17 13:43:26)
Billed in 5 equal monthly invoices of 45,000 GBP each</t>
      </text>
    </comment>
    <comment authorId="0" ref="G159">
      <text>
        <t xml:space="preserve">======
ID#AAAB-Fq0NB8
None    (2026-06-17 13:43:26)
NOW DOING NORMAL T&amp;M BILLING BASED ON HOURS</t>
      </text>
    </comment>
    <comment authorId="0" ref="G223">
      <text>
        <t xml:space="preserve">======
ID#AAAB-Fq0NAw
None    (2026-06-17 13:43:26)
Coupa Link For Contract Execution PO: https://sonoco.coupahost.com/supplier_order_headers/1092955</t>
      </text>
    </comment>
    <comment authorId="0" ref="G351">
      <text>
        <t xml:space="preserve">======
ID#AAAB-Fq0NAs
None    (2026-06-17 13:43:26)
Send monthly on the 1st of every month</t>
      </text>
    </comment>
    <comment authorId="0" ref="G349">
      <text>
        <t xml:space="preserve">======
ID#AAAB-Fq0NBU
None    (2026-06-17 13:43:26)
Add Felix.Mendoza@sncorp.com &amp; ap@sncorp.com as an additional  contact to invoice.
Switch to N45</t>
      </text>
    </comment>
    <comment authorId="0" ref="G221">
      <text>
        <t xml:space="preserve">======
ID#AAAB-Fq0NBA
None    (2026-06-17 13:43:26)
Converted from GBP using rate in SOW</t>
      </text>
    </comment>
    <comment authorId="0" ref="L2">
      <text>
        <t xml:space="preserve">======
ID#AAAB-Fq0NCU
Vincent Planz    (2025-03-21 17:49:19)
The # of weeks we expect, on average, to collect an invoice after the due date. 
This # is added to the Invoice Due Week # Column to calculate the week # in which we expect to collect an invoice</t>
      </text>
    </comment>
    <comment authorId="0" ref="G186">
      <text>
        <t xml:space="preserve">======
ID#AAAB-Fq0NBI
None    (2026-06-17 13:43:26)
Check with Scott Essler - they're still requesting additional work</t>
      </text>
    </comment>
    <comment authorId="0" ref="G345">
      <text>
        <t xml:space="preserve">======
ID#AAAB-Fq0NC4
None    (2026-06-17 13:43:26)
Billed in 5 equal monthly invoices of 45,000 GBP each</t>
      </text>
    </comment>
    <comment authorId="0" ref="G182">
      <text>
        <t xml:space="preserve">======
ID#AAAB-Fq0NC0
None    (2026-06-17 13:43:26)
Amount converted from GBP</t>
      </text>
    </comment>
    <comment authorId="0" ref="G211">
      <text>
        <t xml:space="preserve">======
ID#AAAB-Fq0NBg
None    (2026-06-17 13:43:26)
Already made in quickbooks  - not sent
Send monthly on the 1st of every month</t>
      </text>
    </comment>
    <comment authorId="0" ref="G178">
      <text>
        <t xml:space="preserve">======
ID#AAAB-Fq0NCY
None    (2026-06-17 13:43:26)
All invoices now sent to accounting@thinkdynamic.com</t>
      </text>
    </comment>
    <comment authorId="0" ref="G209">
      <text>
        <t xml:space="preserve">======
ID#AAAB-Fq0NBo
None    (2026-06-17 13:43:26)
Add Felix.Mendoza@sncorp.com &amp; ap@sncorp.com as an additional  contact to invoice.
Switch to N45</t>
      </text>
    </comment>
    <comment authorId="0" ref="G273">
      <text>
        <t xml:space="preserve">======
ID#AAAB-Fq0NBE
None    (2026-06-17 13:43:26)
Send monthly on the 1st of every month</t>
      </text>
    </comment>
    <comment authorId="0" ref="G174">
      <text>
        <t xml:space="preserve">======
ID#AAAB-Fq0NCE
None    (2026-06-17 13:43:26)
2 different POs for the same order</t>
      </text>
    </comment>
    <comment authorId="0" ref="G205">
      <text>
        <t xml:space="preserve">======
ID#AAAB-Fq0NCQ
None    (2026-06-17 13:43:26)
Billed in 5 equal monthly invoices of 45,000 GBP each</t>
      </text>
    </comment>
    <comment authorId="0" ref="G265">
      <text>
        <t xml:space="preserve">======
ID#AAAB-Fq0NBw
None    (2026-06-17 13:43:26)
Converted from GBP using the rate provided in the SOW
100% billed upon completion of M1</t>
      </text>
    </comment>
  </commentList>
  <extLst>
    <ext uri="GoogleSheetsCustomDataVersion2">
      <go:sheetsCustomData xmlns:go="http://customooxmlschemas.google.com/" r:id="rId1" roundtripDataSignature="AMtx7miZgm3kcEXi3wCKD7bh7crTLjpEjw=="/>
    </ext>
  </extLst>
</comments>
</file>

<file path=xl/sharedStrings.xml><?xml version="1.0" encoding="utf-8"?>
<sst xmlns="http://schemas.openxmlformats.org/spreadsheetml/2006/main" count="1040" uniqueCount="491">
  <si>
    <t>Week Number</t>
  </si>
  <si>
    <t>Week Ending</t>
  </si>
  <si>
    <t>Beginning Cash</t>
  </si>
  <si>
    <t>Cash In</t>
  </si>
  <si>
    <t>From Signed Contracts</t>
  </si>
  <si>
    <t>From Bookings</t>
  </si>
  <si>
    <t>External Funding</t>
  </si>
  <si>
    <t>Cash Out</t>
  </si>
  <si>
    <t>Payroll</t>
  </si>
  <si>
    <t>Commission/Bonuses</t>
  </si>
  <si>
    <t>Health Insurance</t>
  </si>
  <si>
    <t>Other Benefits</t>
  </si>
  <si>
    <t>Credit Cards</t>
  </si>
  <si>
    <t>Office Rent</t>
  </si>
  <si>
    <t>International EE's</t>
  </si>
  <si>
    <t>Contractors</t>
  </si>
  <si>
    <t>Marketing Expenses</t>
  </si>
  <si>
    <t>Other Misc Expenses</t>
  </si>
  <si>
    <t>Draw</t>
  </si>
  <si>
    <t>Payments on Funding</t>
  </si>
  <si>
    <t>Ending Cash</t>
  </si>
  <si>
    <t>Cash Inflow/Outflow</t>
  </si>
  <si>
    <t>Prior Fcst (20260127)</t>
  </si>
  <si>
    <t>Change from last Fcst</t>
  </si>
  <si>
    <t>Ending Bank Bal</t>
  </si>
  <si>
    <t>BOA</t>
  </si>
  <si>
    <t>NB</t>
  </si>
  <si>
    <t>Total Bank Ending Bal</t>
  </si>
  <si>
    <t>Variance</t>
  </si>
  <si>
    <t>AR Balance (End Of Week)</t>
  </si>
  <si>
    <t>Operations</t>
  </si>
  <si>
    <t>Financing</t>
  </si>
  <si>
    <t>Total Cash Out</t>
  </si>
  <si>
    <t>Libertas Payments</t>
  </si>
  <si>
    <t xml:space="preserve">Cumulative </t>
  </si>
  <si>
    <t>Remaining</t>
  </si>
  <si>
    <t>Signed Contracts</t>
  </si>
  <si>
    <t>Bookings</t>
  </si>
  <si>
    <t>Total Cash In (Calendar-Aligned)</t>
  </si>
  <si>
    <t>Week End Date</t>
  </si>
  <si>
    <t>Year</t>
  </si>
  <si>
    <t>Week</t>
  </si>
  <si>
    <t>Inovice Sent</t>
  </si>
  <si>
    <t>AR Collected</t>
  </si>
  <si>
    <t>End Balance</t>
  </si>
  <si>
    <t>Check</t>
  </si>
  <si>
    <t># Weeks Past Due</t>
  </si>
  <si>
    <t>Receivables Summary</t>
  </si>
  <si>
    <t>Est Close Date</t>
  </si>
  <si>
    <t>Customer</t>
  </si>
  <si>
    <t>Deal Name</t>
  </si>
  <si>
    <t>Inv Amt</t>
  </si>
  <si>
    <t>Inv Date</t>
  </si>
  <si>
    <t>Payment Terms</t>
  </si>
  <si>
    <t>Due Date</t>
  </si>
  <si>
    <t>Bookings Month</t>
  </si>
  <si>
    <t>Bookings Year</t>
  </si>
  <si>
    <t>Inv Week</t>
  </si>
  <si>
    <t>Inv Year</t>
  </si>
  <si>
    <t>Due Week #</t>
  </si>
  <si>
    <t>Due Year</t>
  </si>
  <si>
    <t>Expected Pmt Wk #</t>
  </si>
  <si>
    <t>Expcted Pmt Year</t>
  </si>
  <si>
    <t>Wk #</t>
  </si>
  <si>
    <t>Wk Ending</t>
  </si>
  <si>
    <t>Est. Amt</t>
  </si>
  <si>
    <t>Adj</t>
  </si>
  <si>
    <t>Amt for Fcst</t>
  </si>
  <si>
    <t>Q2 Bookings Plug ($15M) -$5M Apr, $5M May, $5M Jun</t>
  </si>
  <si>
    <t>Q3 Bookings Plug ($15M) - $5M July, $5M Aug, $5M Sep</t>
  </si>
  <si>
    <t>RapDev LLC</t>
  </si>
  <si>
    <t>A/R Aging Detail</t>
  </si>
  <si>
    <t>As of April 23, 2026</t>
  </si>
  <si>
    <t>Date</t>
  </si>
  <si>
    <t>Transaction Type</t>
  </si>
  <si>
    <t>Num</t>
  </si>
  <si>
    <t>Amount</t>
  </si>
  <si>
    <t>Open Balance</t>
  </si>
  <si>
    <t>Terms</t>
  </si>
  <si>
    <t>Inv Send Year #</t>
  </si>
  <si>
    <t>Inv Send Week #</t>
  </si>
  <si>
    <t>Inv Due Week #</t>
  </si>
  <si>
    <t>Payment Year</t>
  </si>
  <si>
    <t>03/01/2025</t>
  </si>
  <si>
    <t>Invoice</t>
  </si>
  <si>
    <t>3186</t>
  </si>
  <si>
    <t>Epidata Argentina:RDC0001917 - Epidata Argentina - DD - MP - Solaris Agent</t>
  </si>
  <si>
    <t>09/30/2025</t>
  </si>
  <si>
    <t>3577</t>
  </si>
  <si>
    <t>Claro Pay:RDC0001994 - Claro Pay - DD - Modern Ops + MGD DD</t>
  </si>
  <si>
    <t>08/31/2025</t>
  </si>
  <si>
    <t>3511</t>
  </si>
  <si>
    <t>Discovery Communications, LLC:RDC0001976 - Warner Bros. Discovery - SN - ITOM Health</t>
  </si>
  <si>
    <t>10/31/2025</t>
  </si>
  <si>
    <t>3649</t>
  </si>
  <si>
    <t>11/28/2025</t>
  </si>
  <si>
    <t>3683</t>
  </si>
  <si>
    <t>Constellation Energy Generation, LLC:RDC0002011 - Constellation Energy - SN - Foundational Data Cleanup (RFP)</t>
  </si>
  <si>
    <t>3578</t>
  </si>
  <si>
    <t>11/30/2025</t>
  </si>
  <si>
    <t>3707</t>
  </si>
  <si>
    <t>Vitality Global:RDC0001946 - Vitality Global - SN - DevOps</t>
  </si>
  <si>
    <t>3714</t>
  </si>
  <si>
    <t>Chipotle Mexican Grill:RDC0002360 - Chipotle Mexican Grill, Inc. - DD - Account Migration</t>
  </si>
  <si>
    <t>3727</t>
  </si>
  <si>
    <t>12/31/2025</t>
  </si>
  <si>
    <t>3810</t>
  </si>
  <si>
    <t>01/30/2026</t>
  </si>
  <si>
    <t>3811</t>
  </si>
  <si>
    <t>Komatsu:RDC0002032 - Komatsu - ServiceNow Drawdown</t>
  </si>
  <si>
    <t>01/01/2026</t>
  </si>
  <si>
    <t>3748</t>
  </si>
  <si>
    <t>Coppel:RDC0002228 - Coppel - DD - SVC - FP - IT DBM &amp; Core Servers</t>
  </si>
  <si>
    <t>01/31/2026</t>
  </si>
  <si>
    <t>12/23/2025</t>
  </si>
  <si>
    <t>3791</t>
  </si>
  <si>
    <t>London Stock Exchange Group:RDC0002477 - London Stock Exchange Group - DD - MP - Solaris - 2026</t>
  </si>
  <si>
    <t>02/06/2026</t>
  </si>
  <si>
    <t>01/14/2026</t>
  </si>
  <si>
    <t>3827</t>
  </si>
  <si>
    <t>OneMain Financial:RDC0001958 - OneMain Financial - SN - SAM Enterprise</t>
  </si>
  <si>
    <t>02/13/2026</t>
  </si>
  <si>
    <t>3835</t>
  </si>
  <si>
    <t>3749</t>
  </si>
  <si>
    <t>Datadog</t>
  </si>
  <si>
    <t>02/26/2026</t>
  </si>
  <si>
    <t>3867</t>
  </si>
  <si>
    <t>03/01/2026</t>
  </si>
  <si>
    <t>3869</t>
  </si>
  <si>
    <t>3870</t>
  </si>
  <si>
    <t>Nomura International PLC:RDC0002038 - Nomura - SN - DevOps Extension</t>
  </si>
  <si>
    <t>02/03/2026</t>
  </si>
  <si>
    <t>3857</t>
  </si>
  <si>
    <t>Berkley Technology Services:RDC0002215 - Wr Berkley - DD - SOW - Dynatrace to DDOG</t>
  </si>
  <si>
    <t>03/05/2026</t>
  </si>
  <si>
    <t>01/27/2026</t>
  </si>
  <si>
    <t>3848</t>
  </si>
  <si>
    <t>V2X:RDC0002057 - V2X - SN - CMDB + ITAM</t>
  </si>
  <si>
    <t>03/13/2026</t>
  </si>
  <si>
    <t>12/16/2025</t>
  </si>
  <si>
    <t>3774</t>
  </si>
  <si>
    <t>Abbvie, Inc.:RDC0002075 - AbbVie Inc. - DD - Manufacturing Workflows</t>
  </si>
  <si>
    <t>03/16/2026</t>
  </si>
  <si>
    <t>3873</t>
  </si>
  <si>
    <t>Sierra Nevada Company, LLC:RDC0001948 -SNC ITOM &amp; ITAM Optimization Partner Drawdown Services</t>
  </si>
  <si>
    <t>02/16/2026</t>
  </si>
  <si>
    <t>3887</t>
  </si>
  <si>
    <t>03/18/2026</t>
  </si>
  <si>
    <t>02/17/2026</t>
  </si>
  <si>
    <t>3897</t>
  </si>
  <si>
    <t>Cone Health:RDC0002227 - Cone Health - SN - ITOM, ITAM, SecOps</t>
  </si>
  <si>
    <t>03/19/2026</t>
  </si>
  <si>
    <t>3898</t>
  </si>
  <si>
    <t>02/19/2026</t>
  </si>
  <si>
    <t>3907</t>
  </si>
  <si>
    <t>Crowley Maritime Corporation:RDC0002079 - Crowley - DD - MSP Migration</t>
  </si>
  <si>
    <t>03/21/2026</t>
  </si>
  <si>
    <t>02/25/2026</t>
  </si>
  <si>
    <t>3918</t>
  </si>
  <si>
    <t>03/27/2026</t>
  </si>
  <si>
    <t>3920</t>
  </si>
  <si>
    <t>Discover Financial Services:RDC0002047 - DD - Datadog golden standards</t>
  </si>
  <si>
    <t>03/28/2026</t>
  </si>
  <si>
    <t>02/27/2026</t>
  </si>
  <si>
    <t>3856</t>
  </si>
  <si>
    <t>Discover Financial Services:RDC0002493 - Discover - DD - Moogsoft replacement</t>
  </si>
  <si>
    <t>03/29/2026</t>
  </si>
  <si>
    <t>3932</t>
  </si>
  <si>
    <t>3933</t>
  </si>
  <si>
    <t>12/30/2025</t>
  </si>
  <si>
    <t>3797</t>
  </si>
  <si>
    <t>03/30/2026</t>
  </si>
  <si>
    <t>3800</t>
  </si>
  <si>
    <t>Abbvie, Inc.:RDC0002412 - AbbVie Inc. - DD - APM Extension</t>
  </si>
  <si>
    <t>04/01/2026</t>
  </si>
  <si>
    <t>3886</t>
  </si>
  <si>
    <t>Blue Cross Blue Shield of Louisiana:RDC0002503 - Blue Cross and Blue Shield of Louisiana - SN - Drawdown</t>
  </si>
  <si>
    <t>04/02/2026</t>
  </si>
  <si>
    <t>3904</t>
  </si>
  <si>
    <t>CIBC Caribbean Bank Limited:RDC0002380 - CIBC First Caribbean - SN - EOL Alerts CO</t>
  </si>
  <si>
    <t>04/03/2026</t>
  </si>
  <si>
    <t>3859</t>
  </si>
  <si>
    <t>Swan Bitcoin:RDC0002435 - Swan Bitcoin - DD - Managed SOC</t>
  </si>
  <si>
    <t>04/04/2026</t>
  </si>
  <si>
    <t>02/18/2026</t>
  </si>
  <si>
    <t>3905</t>
  </si>
  <si>
    <t>Brinks:RDC0002202 - Brinks - DD - SoW - Solar Winds &amp; Logic Monitor Migration</t>
  </si>
  <si>
    <t>03/12/2026</t>
  </si>
  <si>
    <t>3948</t>
  </si>
  <si>
    <t>04/11/2026</t>
  </si>
  <si>
    <t>3921</t>
  </si>
  <si>
    <t>Insulet Corporation:RDC0002404 - Insulet - SN - R&amp;D Lab HAM</t>
  </si>
  <si>
    <t>04/12/2026</t>
  </si>
  <si>
    <t>3923</t>
  </si>
  <si>
    <t>Corewell Health:RDC0002439  - Corewell Health - SN - Tag Governance</t>
  </si>
  <si>
    <t>04/13/2026</t>
  </si>
  <si>
    <t>3931</t>
  </si>
  <si>
    <t>Blue Cross Blue Shield of Louisiana:RDC0002022 - Blue Cross and Blue Shield of Louisiana - SN - CO 003</t>
  </si>
  <si>
    <t>3936</t>
  </si>
  <si>
    <t>3937</t>
  </si>
  <si>
    <t>Sierra Nevada Company, LLC:RDC0002520 - Sierra Nevada - ServiceNow - Business Apps</t>
  </si>
  <si>
    <t>3910</t>
  </si>
  <si>
    <t>Marsh &amp; Mclennan Companies, Inc.:RDC0002583 - MMC - Solaris - 12 months Renewal #4</t>
  </si>
  <si>
    <t>04/15/2026</t>
  </si>
  <si>
    <t>3954</t>
  </si>
  <si>
    <t>Nasdaq:RDC0002285 - Nasdaq - DD - SOW - Splunk security migration</t>
  </si>
  <si>
    <t>3962</t>
  </si>
  <si>
    <t>Waters Corporation:RDC0002073 - Waters - SN - SAM</t>
  </si>
  <si>
    <t>04/17/2026</t>
  </si>
  <si>
    <t>03/06/2026</t>
  </si>
  <si>
    <t>3945</t>
  </si>
  <si>
    <t>Lennar:RDC0002432 - Lennar Corporation - SN - SAM</t>
  </si>
  <si>
    <t>04/20/2026</t>
  </si>
  <si>
    <t>03/23/2026</t>
  </si>
  <si>
    <t>3968</t>
  </si>
  <si>
    <t>04/22/2026</t>
  </si>
  <si>
    <t>Journal Entry</t>
  </si>
  <si>
    <t>Qualcomm PMT 202604</t>
  </si>
  <si>
    <t>Qualcomm Incorporated:RDC0001903 - Qualcomm - Solaris (2025-2026) - Renewal</t>
  </si>
  <si>
    <t>01/23/2026</t>
  </si>
  <si>
    <t>3840</t>
  </si>
  <si>
    <t>04/23/2026</t>
  </si>
  <si>
    <t>03/10/2026</t>
  </si>
  <si>
    <t>3946</t>
  </si>
  <si>
    <t>Canadian Imperial Bank of Commerce:RDC0002362 - CIBC - SN - OOTB ITSM, Integrations, CSDM</t>
  </si>
  <si>
    <t>04/24/2026</t>
  </si>
  <si>
    <t>03/26/2026</t>
  </si>
  <si>
    <t>3971</t>
  </si>
  <si>
    <t>Centrica PLC (GBP):RDC0002097 - Centrica - SN - SAM</t>
  </si>
  <si>
    <t>04/25/2026</t>
  </si>
  <si>
    <t>3973</t>
  </si>
  <si>
    <t>Rate:RDC0002012 - Rate - DD - SOW - Tool Consolidation</t>
  </si>
  <si>
    <t>3975</t>
  </si>
  <si>
    <t>Ahold Delhaize:RDC0002037 - ADUSA - SN - Tufin Integration</t>
  </si>
  <si>
    <t>3978</t>
  </si>
  <si>
    <t>Switch LTD:RDC0002527 - Switch - SN - Current Platform Assessment</t>
  </si>
  <si>
    <t>3938</t>
  </si>
  <si>
    <t>TTEC Government Solutions, LLC:RDC0001970 - TTEC - DD - Drawdown Renewal</t>
  </si>
  <si>
    <t>04/28/2026</t>
  </si>
  <si>
    <t>3985</t>
  </si>
  <si>
    <t>HarbourVest:RDC0002544 - HarbourVest - SN - ITSM, CMDB &amp; ITOM with OCM</t>
  </si>
  <si>
    <t>04/29/2026</t>
  </si>
  <si>
    <t>3854</t>
  </si>
  <si>
    <t>HP Inc.:RDC0002287 - HP Inc. - SVC - DD - EIS Splunk Migration</t>
  </si>
  <si>
    <t>04/30/2026</t>
  </si>
  <si>
    <t>3877</t>
  </si>
  <si>
    <t>3960</t>
  </si>
  <si>
    <t>Nasdaq:RDC0002458 - Nasdaq - DD - Verafin - Splunk Migration</t>
  </si>
  <si>
    <t>03/31/2026</t>
  </si>
  <si>
    <t>3966b</t>
  </si>
  <si>
    <t>Manchester Airport Group (GBP):RDC0002396 - Manchester Airport Group (MAG) - SN - SPM</t>
  </si>
  <si>
    <t>3988</t>
  </si>
  <si>
    <t>3989</t>
  </si>
  <si>
    <t>3990</t>
  </si>
  <si>
    <t>3996</t>
  </si>
  <si>
    <t>Parexel International, LLC:RDC0002091 - Parexel - SN - ITAM</t>
  </si>
  <si>
    <t>3997</t>
  </si>
  <si>
    <t>Parexel International, LLC:RDC0002027 - Parexel - SN - ITSM Extension (Problem Mgmt)</t>
  </si>
  <si>
    <t>3998</t>
  </si>
  <si>
    <t>GIC PTE Ltd:RDC0002212 - GIC - DD - SW - Solaris Integration- Renewal</t>
  </si>
  <si>
    <t>3999</t>
  </si>
  <si>
    <t>Rockwell Automation, Inc.:RDC0002013 - Rockwell - SN - CSM</t>
  </si>
  <si>
    <t>4000</t>
  </si>
  <si>
    <t>4001</t>
  </si>
  <si>
    <t>4002</t>
  </si>
  <si>
    <t>4003</t>
  </si>
  <si>
    <t>4004</t>
  </si>
  <si>
    <t>Rockwell Automation, Inc.:RDC0002455 - Rockwell - SN - SN Credit</t>
  </si>
  <si>
    <t>4007</t>
  </si>
  <si>
    <t>T-Mobile US Inc.:SVC0001876  - T-Mobile - SN - MSO Phase 1</t>
  </si>
  <si>
    <t>4010</t>
  </si>
  <si>
    <t>4012</t>
  </si>
  <si>
    <t>4013</t>
  </si>
  <si>
    <t>Rockwell Automation, Inc.:RDC0002422 - Rockwell - SN - Big Panda Knockout</t>
  </si>
  <si>
    <t>4016</t>
  </si>
  <si>
    <t>Sierra Nevada Company, LLC:RDC0002500 - Sierra Nevada Corporation - ServiceNow - ITAM</t>
  </si>
  <si>
    <t>03/02/2026</t>
  </si>
  <si>
    <t>3919</t>
  </si>
  <si>
    <t>05/01/2026</t>
  </si>
  <si>
    <t>3433</t>
  </si>
  <si>
    <t>Coppel:RDC0002014 - Coppel Omnicanal - SVC - DD - T&amp;M Implementation Advisory</t>
  </si>
  <si>
    <t>3434</t>
  </si>
  <si>
    <t>3972</t>
  </si>
  <si>
    <t>Canadian Imperial Bank of Commerce:RDC0002086 - CIBC - SN - ITAM Extension 5</t>
  </si>
  <si>
    <t>05/10/2026</t>
  </si>
  <si>
    <t>3976</t>
  </si>
  <si>
    <t>3977</t>
  </si>
  <si>
    <t>3981</t>
  </si>
  <si>
    <t>05/11/2026</t>
  </si>
  <si>
    <t>3982</t>
  </si>
  <si>
    <t>Swire:RDC0002085 - Swire - SN - Phase 1 ITSM Install</t>
  </si>
  <si>
    <t>3983</t>
  </si>
  <si>
    <t>Subaru:RDC0002574 - Subaru of America, Inc - DD - Implementation</t>
  </si>
  <si>
    <t>05/14/2026</t>
  </si>
  <si>
    <t>3984</t>
  </si>
  <si>
    <t>Subaru:RDC0002584 - Subaru of America, Inc - DD - Managed Datadog</t>
  </si>
  <si>
    <t>3986</t>
  </si>
  <si>
    <t>HonorHealth:RDC0002265 - Honor Health - SN - ITOM</t>
  </si>
  <si>
    <t>3987</t>
  </si>
  <si>
    <t>HonorHealth:RDC0002498 - Honor Health - SN - VR</t>
  </si>
  <si>
    <t>04/14/2026</t>
  </si>
  <si>
    <t>4022</t>
  </si>
  <si>
    <t>3952</t>
  </si>
  <si>
    <t>Sonoco Products Company:RDC0002096 - Sonoco Products Company - SN - SPM Enhancements</t>
  </si>
  <si>
    <t>05/15/2026</t>
  </si>
  <si>
    <t>3959</t>
  </si>
  <si>
    <t>Elevance Health:RDC0001881 - Elevance Health - New Deal - DD - Broadcom Replacement</t>
  </si>
  <si>
    <t>3991</t>
  </si>
  <si>
    <t>Canadian Imperial Bank of Commerce:RDC0002028 - CIBC - SN - CSDM Extension</t>
  </si>
  <si>
    <t>3992</t>
  </si>
  <si>
    <t>Lockheed Martin:RDC0002440 - Lockheed Martin Corporation - SN - Now Assist</t>
  </si>
  <si>
    <t>4005</t>
  </si>
  <si>
    <t>PNC Bank NA:RDC0002488 - PNC - SN - CI Data Matching</t>
  </si>
  <si>
    <t>4006</t>
  </si>
  <si>
    <t>PNC Bank NA:RDC0002019 - PNC - SN - HAM/SAM (SOW #3)</t>
  </si>
  <si>
    <t>4009</t>
  </si>
  <si>
    <t>4014</t>
  </si>
  <si>
    <t>4015</t>
  </si>
  <si>
    <t>4018</t>
  </si>
  <si>
    <t>Grainger:RDC0002069 - Grainger - SN - ITOM Enhancements</t>
  </si>
  <si>
    <t>4019</t>
  </si>
  <si>
    <t>Grainger:RDC0001997 - Grainger - SN - Drawdown CMDB</t>
  </si>
  <si>
    <t>4020</t>
  </si>
  <si>
    <t>Blue Cross Blue Shield of Louisiana:RDC0002098 - Blue Cross and Blue Shield of Louisiana - SN - Advisory CO 004</t>
  </si>
  <si>
    <t>4024</t>
  </si>
  <si>
    <t>EnPro Industries, Inc.:RDC0002029 - ENPRO Industries - SN - CMDB</t>
  </si>
  <si>
    <t>4025</t>
  </si>
  <si>
    <t>4026</t>
  </si>
  <si>
    <t>Alliant Credit Union:RDC0002071 - Alliant Credit Union - SN - IRM</t>
  </si>
  <si>
    <t>4027</t>
  </si>
  <si>
    <t>Aviva (GBP):RDC0002318 - Aviva - SN - Urgent Mapping &amp; Tagging Remediation</t>
  </si>
  <si>
    <t>4028</t>
  </si>
  <si>
    <t>Reward Gateway:RDC0002094 - Reward Gateway - SoW - FP - New Relic Takeout</t>
  </si>
  <si>
    <t>4029</t>
  </si>
  <si>
    <t>4031</t>
  </si>
  <si>
    <t>4032</t>
  </si>
  <si>
    <t>Coppel:RDC0002256 - Coppel - DD - IT NDM</t>
  </si>
  <si>
    <t>4033</t>
  </si>
  <si>
    <t>4034</t>
  </si>
  <si>
    <t>4035</t>
  </si>
  <si>
    <t>3958</t>
  </si>
  <si>
    <t>Optiv Security Inc.:RDC0002390 - Optiv - SN - Ongoing Support</t>
  </si>
  <si>
    <t>05/16/2026</t>
  </si>
  <si>
    <t>3969</t>
  </si>
  <si>
    <t>Ciena Corporation:RDC0002637 - Ciena - DD - Managed Datadog - 1 Year</t>
  </si>
  <si>
    <t>3915</t>
  </si>
  <si>
    <t>NBCUniversal:RDC0002045 - Sky - DD - FP SOW - Elastic Takeout</t>
  </si>
  <si>
    <t>05/19/2026</t>
  </si>
  <si>
    <t>03/20/2026</t>
  </si>
  <si>
    <t>3967</t>
  </si>
  <si>
    <t>Parexel International, LLC:RDC0002588 - Parexel - SN - SPM</t>
  </si>
  <si>
    <t>02/24/2026</t>
  </si>
  <si>
    <t>3913</t>
  </si>
  <si>
    <t>05/25/2026</t>
  </si>
  <si>
    <t>3979</t>
  </si>
  <si>
    <t>AECOM:RDC0002400 - AECOM - SN - SPM CO</t>
  </si>
  <si>
    <t>3980</t>
  </si>
  <si>
    <t>Parexel International, LLC:RDC0002632 - Parexel - SN - Now Assist for ITSM</t>
  </si>
  <si>
    <t>3944</t>
  </si>
  <si>
    <t>05/28/2026</t>
  </si>
  <si>
    <t>4017</t>
  </si>
  <si>
    <t>05/30/2026</t>
  </si>
  <si>
    <t>4030</t>
  </si>
  <si>
    <t>02/01/2026</t>
  </si>
  <si>
    <t>3836</t>
  </si>
  <si>
    <t>06/01/2026</t>
  </si>
  <si>
    <t>3855</t>
  </si>
  <si>
    <t>Epidata Argentina:RDC0002353 - Epidata Argentina - DD - MP - Solaris Agent- Renewal</t>
  </si>
  <si>
    <t>4023</t>
  </si>
  <si>
    <t>06/14/2026</t>
  </si>
  <si>
    <t>03/17/2026</t>
  </si>
  <si>
    <t>3961</t>
  </si>
  <si>
    <t>06/15/2026</t>
  </si>
  <si>
    <t>4021</t>
  </si>
  <si>
    <t>Sonoco Products Company:RDC0002603 - Sonoco Products Company - SN - SPM Phase 2</t>
  </si>
  <si>
    <t>06/22/2026</t>
  </si>
  <si>
    <t>3974</t>
  </si>
  <si>
    <t>Lumen Technologies Service Group:RDC0002506 - Lumen - DD - AppD Migration</t>
  </si>
  <si>
    <t>06/24/2026</t>
  </si>
  <si>
    <t>4011</t>
  </si>
  <si>
    <t>06/29/2026</t>
  </si>
  <si>
    <t>04/21/2026</t>
  </si>
  <si>
    <t>4036</t>
  </si>
  <si>
    <t>07/20/2026</t>
  </si>
  <si>
    <t>4037</t>
  </si>
  <si>
    <t>07/21/2026</t>
  </si>
  <si>
    <t>Elevance Health - New Deal - DD - Broadcom Replacement</t>
  </si>
  <si>
    <t>Resilience - SN - CMDB, Discovery &amp; Service Mapping</t>
  </si>
  <si>
    <t>Global Holdings - DD - SOW - DD (ASM, Ci VIS, DBM) (2)</t>
  </si>
  <si>
    <t>Commonwealth Financial Network  - DD - SOW</t>
  </si>
  <si>
    <t>TTEC - DD - Drawdown Renewal</t>
  </si>
  <si>
    <t>T-Mobile - SN - MSO Phase 1</t>
  </si>
  <si>
    <t>Warner Bros. Discovery - SN - ITOM Health</t>
  </si>
  <si>
    <t>Mars - DD - Drawdown - E2E BI visibility(SoftwareOne POCs)</t>
  </si>
  <si>
    <t>Grainger - SN - Drawdown CMDB</t>
  </si>
  <si>
    <t>Claro Pay - DD - Modern Ops + MGD DD</t>
  </si>
  <si>
    <t>Vitality Global - SN - DevOps</t>
  </si>
  <si>
    <t>Alliant Credit Union - SN - ITAM Drawdown</t>
  </si>
  <si>
    <t>Constellation Energy - SN - CSDM &amp; Service Mapping RFP</t>
  </si>
  <si>
    <t>PNC - SN - HAM/SAM - SOW #3</t>
  </si>
  <si>
    <t>ADUSA - SN - Tufin Integration</t>
  </si>
  <si>
    <t>Nomura - SN - DevOps Extension</t>
  </si>
  <si>
    <t>ENPRO Industries - SN - CMDB</t>
  </si>
  <si>
    <t>Pearson PLC - SN - Change Management</t>
  </si>
  <si>
    <t>Grainger - SN - ITOM Enhancements</t>
  </si>
  <si>
    <t>Alliant Credit Union - SN - IRM</t>
  </si>
  <si>
    <t>Experian - SN - Event Management, Tag Generator</t>
  </si>
  <si>
    <t>Insulet - SN - AI Transformation: Now Assist, Virtual Agent and Agent Starter Pack</t>
  </si>
  <si>
    <t>Insulet - SN - CMDB, ITOM, CSDM as Code &amp; DevOps Change Velocity</t>
  </si>
  <si>
    <t>Crowley - DD - MSP Migration</t>
  </si>
  <si>
    <t>PNC - SN - Change Order #1</t>
  </si>
  <si>
    <t>Parexel - SN - ITAM</t>
  </si>
  <si>
    <t>Dynamic Lifecycle - SN - App Creation</t>
  </si>
  <si>
    <t>Sonoco Products Company - SN - SPM Enhancements</t>
  </si>
  <si>
    <t>Rockwell - SN - CSM</t>
  </si>
  <si>
    <t>Nasdaq - DD - SOW - Splunk security migration</t>
  </si>
  <si>
    <t>Aviva - SN - Urgent Mapping &amp; Tagging Remediation</t>
  </si>
  <si>
    <t>Commonwealth Financial - DD - drawdown extension</t>
  </si>
  <si>
    <t xml:space="preserve">Corewell Health - SN - Tag Governance </t>
  </si>
  <si>
    <t>Insulet - SN - OCM for AI Change Order</t>
  </si>
  <si>
    <t>Coppel Omnicanal - SVC - DD - T&amp;M Implementation Advisory</t>
  </si>
  <si>
    <t>United Therapeutics - SN - Integrated Identity &amp; Workflow Automation RFP (K25)</t>
  </si>
  <si>
    <t>Blue Cross and Blue Shield of Louisiana - SN - SAM Ent.</t>
  </si>
  <si>
    <t>Discover - DD - Datadog golden standards</t>
  </si>
  <si>
    <t>PNC - SN - Path to Production</t>
  </si>
  <si>
    <t>BH Specialty Insurance - DD - Platform Optimization</t>
  </si>
  <si>
    <t>Reward Gateway - SoW - FP - New Relic Takeout</t>
  </si>
  <si>
    <t>Cone Health - SN - ITOM, ITAM, SecOps</t>
  </si>
  <si>
    <t>Crowley - DD - Adoption Support - Drawdown</t>
  </si>
  <si>
    <t>Brinks - DD - SoW - Solar Winds &amp; Logic Monitor Migration</t>
  </si>
  <si>
    <t>CareSource - SN - GenAI &amp; Performance Analytics</t>
  </si>
  <si>
    <t>Coppel - DD - SVC - FP - IT DBM &amp; Core Servers</t>
  </si>
  <si>
    <t>Rockwell - SN - SN Credit</t>
  </si>
  <si>
    <t>Nasdaq - DD - Verafin - Splunk Migration</t>
  </si>
  <si>
    <t>Rockwell - SN - Big Panda Knockout</t>
  </si>
  <si>
    <t>Academy Sports - SN - Platform Modernization</t>
  </si>
  <si>
    <t>Beth Israel - SN - SPM</t>
  </si>
  <si>
    <t>PNC - SN - CI Data Matching</t>
  </si>
  <si>
    <t>Wr Berkley - DD - SOW - Dynatrace to DDOG</t>
  </si>
  <si>
    <t>Manchester Airport Group (MAG) - SN - SPM</t>
  </si>
  <si>
    <t>Sierra Nevada - ServiceNow - Business Apps</t>
  </si>
  <si>
    <t>Blue Cross and Blue Shield of Louisiana - SN - Drawdown</t>
  </si>
  <si>
    <t>Optiv - SN -Enhancements</t>
  </si>
  <si>
    <t>Sierra Nevada Corporation - ServiceNow - ITAM</t>
  </si>
  <si>
    <t>Lululemon - SN - DevOps CR#5</t>
  </si>
  <si>
    <t>Optiv - SN - Ongoing Support</t>
  </si>
  <si>
    <t>Lockheed Martin Corporation - SN - Now Assist</t>
  </si>
  <si>
    <t>Lumen - DD - AppD Migration</t>
  </si>
  <si>
    <t>Lennar Corporation - SN - SAM</t>
  </si>
  <si>
    <t>Coppel - DD - IT NDM</t>
  </si>
  <si>
    <t>Parexel - SN - SPM</t>
  </si>
  <si>
    <t>Swire - SN - Phase 1 ITSM Install</t>
  </si>
  <si>
    <t>FanDuel - DD - Consolidation</t>
  </si>
  <si>
    <t>HarbourVest - SN - ITSM, CMDB &amp; ITOM with OCM</t>
  </si>
  <si>
    <t>Mars - DD - Drawdown - E2E BI visibility, year 2</t>
  </si>
  <si>
    <t>Next plc - SN - Finance Integration for Supplier On-Boarding (ORACLE)</t>
  </si>
  <si>
    <t>CIBC Caribbean - SN - ITOM/ITAM/CMDB</t>
  </si>
  <si>
    <t>Sonoco Products Company - SN - SPM Phase 2</t>
  </si>
  <si>
    <t>United Therapeutics - SN - ServiceNow Support Drawdown + Upgrades</t>
  </si>
  <si>
    <t>Navy Federal Credit Union - SN - DevOps + CSDM-as-Code</t>
  </si>
  <si>
    <t>Constellation Energy - SN - Foundational Data Cleanup (RFP)</t>
  </si>
  <si>
    <t>Ahold Delhaize - SN - MS Teams + ChatBot integration</t>
  </si>
  <si>
    <t>PNC - SN - Cloud Accelerate</t>
  </si>
  <si>
    <t>HP Inc - DD - Splunk Migration</t>
  </si>
  <si>
    <t>V2X - SN - CMDB + ITAM</t>
  </si>
  <si>
    <t>Waters - SN - SAM</t>
  </si>
  <si>
    <t>HP Inc. - SVC - DD - EIS Splunk Migration</t>
  </si>
  <si>
    <t>CIBC - SN - OOTB Prep</t>
  </si>
  <si>
    <t>AECOM - SN SAMPro Phase 1 Enhancements and Phase 2</t>
  </si>
  <si>
    <t>Centrica - SN - SAM</t>
  </si>
  <si>
    <t>CohnReznick - SN - Third-Party Risk Management</t>
  </si>
  <si>
    <t>Discover - DD - Moogsoft replacement</t>
  </si>
  <si>
    <t>Nationwide BS - SN - Foundations Assessment &amp; Fix DT SGC</t>
  </si>
  <si>
    <t>Insulet - SN - R&amp;D Lab HAM</t>
  </si>
  <si>
    <t>Parexel - SN - Now Assist for ITSM</t>
  </si>
  <si>
    <t>Starbucks - DD - Splunk migration</t>
  </si>
  <si>
    <t>Subaru of America, Inc - DD - Implementation</t>
  </si>
  <si>
    <t>Honor Health - SN - ITOM</t>
  </si>
  <si>
    <t>Honor Health - SN - VR</t>
  </si>
  <si>
    <t>Sierra Nevada - SN - ITOM CR</t>
  </si>
  <si>
    <t>Paypal - DD - Venmo's Datadog Realignment &amp; Optimization</t>
  </si>
  <si>
    <t>CIBC - SN - OOTB ITSM, Integrations, CSDM</t>
  </si>
  <si>
    <t>Switch - SN - ITSM with OCM, ITOM, ITAM</t>
  </si>
  <si>
    <t>Action</t>
  </si>
  <si>
    <t>Created by</t>
  </si>
  <si>
    <t>Approved by</t>
  </si>
  <si>
    <t>Slack permalink / notes</t>
  </si>
  <si>
    <t>2026-06-17</t>
  </si>
  <si>
    <t>Actualized Weekly Cash Flow weeks 2026-04-24..2026-06-12 from BOA + NB bank statements.</t>
  </si>
  <si>
    <t>Claude</t>
  </si>
  <si>
    <t>PENDING - requires a different F&amp;A team 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</si>
</sst>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#,##0;(#,##0)"/>
    <numFmt numFmtId="166" formatCode="#,##0.0"/>
    <numFmt numFmtId="167" formatCode="_(* #,##0.0_);_(* \(#,##0.0\);_(* &quot;-&quot;?_);_(@_)"/>
    <numFmt numFmtId="168" formatCode="m/d"/>
    <numFmt numFmtId="169" formatCode="#,##0.00\ _€"/>
    <numFmt numFmtId="170" formatCode="#,##0;\(#,##0\)"/>
  </numFmts>
  <fonts count="15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i/>
      <sz val="11.0"/>
      <color theme="1"/>
      <name val="Calibri"/>
    </font>
    <font>
      <b/>
      <sz val="14.0"/>
      <color rgb="FF000000"/>
      <name val="Arial"/>
    </font>
    <font/>
    <font>
      <b/>
      <sz val="10.0"/>
      <color rgb="FF000000"/>
      <name val="Arial"/>
    </font>
    <font>
      <b/>
      <sz val="9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10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FEF2CB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3">
    <border/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2" numFmtId="14" xfId="0" applyAlignment="1" applyFont="1" applyNumberFormat="1">
      <alignment horizontal="center" vertical="center"/>
    </xf>
    <xf borderId="0" fillId="0" fontId="1" numFmtId="0" xfId="0" applyFont="1"/>
    <xf borderId="0" fillId="0" fontId="3" numFmtId="0" xfId="0" applyFont="1"/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1" fillId="0" fontId="4" numFmtId="14" xfId="0" applyAlignment="1" applyBorder="1" applyFont="1" applyNumberFormat="1">
      <alignment horizontal="center" vertical="center"/>
    </xf>
    <xf borderId="2" fillId="0" fontId="4" numFmtId="14" xfId="0" applyAlignment="1" applyBorder="1" applyFont="1" applyNumberFormat="1">
      <alignment horizontal="center" vertical="center"/>
    </xf>
    <xf borderId="3" fillId="0" fontId="3" numFmtId="0" xfId="0" applyBorder="1" applyFont="1"/>
    <xf borderId="4" fillId="0" fontId="3" numFmtId="3" xfId="0" applyBorder="1" applyFont="1" applyNumberFormat="1"/>
    <xf borderId="3" fillId="0" fontId="3" numFmtId="3" xfId="0" applyBorder="1" applyFont="1" applyNumberFormat="1"/>
    <xf borderId="1" fillId="0" fontId="3" numFmtId="0" xfId="0" applyAlignment="1" applyBorder="1" applyFont="1">
      <alignment horizontal="left"/>
    </xf>
    <xf borderId="0" fillId="0" fontId="3" numFmtId="3" xfId="0" applyFont="1" applyNumberFormat="1"/>
    <xf borderId="1" fillId="0" fontId="3" numFmtId="3" xfId="0" applyBorder="1" applyFont="1" applyNumberFormat="1"/>
    <xf borderId="5" fillId="2" fontId="4" numFmtId="0" xfId="0" applyAlignment="1" applyBorder="1" applyFill="1" applyFont="1">
      <alignment horizontal="left"/>
    </xf>
    <xf borderId="6" fillId="2" fontId="3" numFmtId="3" xfId="0" applyBorder="1" applyFont="1" applyNumberFormat="1"/>
    <xf borderId="5" fillId="2" fontId="3" numFmtId="3" xfId="0" applyBorder="1" applyFont="1" applyNumberFormat="1"/>
    <xf borderId="5" fillId="3" fontId="3" numFmtId="3" xfId="0" applyBorder="1" applyFill="1" applyFont="1" applyNumberFormat="1"/>
    <xf borderId="6" fillId="3" fontId="3" numFmtId="3" xfId="0" applyBorder="1" applyFont="1" applyNumberFormat="1"/>
    <xf borderId="6" fillId="3" fontId="3" numFmtId="164" xfId="0" applyBorder="1" applyFont="1" applyNumberFormat="1"/>
    <xf borderId="5" fillId="3" fontId="3" numFmtId="164" xfId="0" applyBorder="1" applyFont="1" applyNumberFormat="1"/>
    <xf borderId="5" fillId="3" fontId="3" numFmtId="43" xfId="0" applyBorder="1" applyFont="1" applyNumberFormat="1"/>
    <xf borderId="5" fillId="3" fontId="3" numFmtId="165" xfId="0" applyBorder="1" applyFont="1" applyNumberFormat="1"/>
    <xf borderId="6" fillId="3" fontId="3" numFmtId="165" xfId="0" applyBorder="1" applyFont="1" applyNumberFormat="1"/>
    <xf borderId="0" fillId="0" fontId="3" numFmtId="43" xfId="0" applyFont="1" applyNumberFormat="1"/>
    <xf borderId="1" fillId="0" fontId="3" numFmtId="43" xfId="0" applyBorder="1" applyFont="1" applyNumberFormat="1"/>
    <xf borderId="6" fillId="3" fontId="3" numFmtId="43" xfId="0" applyBorder="1" applyFont="1" applyNumberFormat="1"/>
    <xf borderId="5" fillId="4" fontId="3" numFmtId="0" xfId="0" applyAlignment="1" applyBorder="1" applyFill="1" applyFont="1">
      <alignment horizontal="left"/>
    </xf>
    <xf borderId="6" fillId="4" fontId="3" numFmtId="3" xfId="0" applyBorder="1" applyFont="1" applyNumberFormat="1"/>
    <xf borderId="5" fillId="4" fontId="3" numFmtId="3" xfId="0" applyBorder="1" applyFont="1" applyNumberFormat="1"/>
    <xf borderId="7" fillId="3" fontId="3" numFmtId="3" xfId="0" applyBorder="1" applyFont="1" applyNumberFormat="1"/>
    <xf borderId="3" fillId="0" fontId="3" numFmtId="0" xfId="0" applyAlignment="1" applyBorder="1" applyFont="1">
      <alignment horizontal="left"/>
    </xf>
    <xf borderId="8" fillId="3" fontId="3" numFmtId="3" xfId="0" applyBorder="1" applyFont="1" applyNumberFormat="1"/>
    <xf borderId="9" fillId="3" fontId="3" numFmtId="3" xfId="0" applyBorder="1" applyFont="1" applyNumberFormat="1"/>
    <xf borderId="9" fillId="3" fontId="3" numFmtId="164" xfId="0" applyBorder="1" applyFont="1" applyNumberFormat="1"/>
    <xf borderId="10" fillId="3" fontId="3" numFmtId="164" xfId="0" applyBorder="1" applyFont="1" applyNumberFormat="1"/>
    <xf borderId="10" fillId="3" fontId="3" numFmtId="3" xfId="0" applyBorder="1" applyFont="1" applyNumberFormat="1"/>
    <xf borderId="8" fillId="2" fontId="3" numFmtId="3" xfId="0" applyBorder="1" applyFont="1" applyNumberFormat="1"/>
    <xf borderId="9" fillId="2" fontId="3" numFmtId="3" xfId="0" applyBorder="1" applyFont="1" applyNumberFormat="1"/>
    <xf borderId="1" fillId="0" fontId="4" numFmtId="0" xfId="0" applyBorder="1" applyFont="1"/>
    <xf borderId="0" fillId="0" fontId="3" numFmtId="164" xfId="0" applyFont="1" applyNumberFormat="1"/>
    <xf borderId="1" fillId="0" fontId="3" numFmtId="164" xfId="0" applyBorder="1" applyFont="1" applyNumberFormat="1"/>
    <xf borderId="11" fillId="0" fontId="3" numFmtId="0" xfId="0" applyBorder="1" applyFont="1"/>
    <xf borderId="11" fillId="0" fontId="3" numFmtId="3" xfId="0" applyBorder="1" applyFont="1" applyNumberFormat="1"/>
    <xf borderId="12" fillId="0" fontId="3" numFmtId="164" xfId="0" applyBorder="1" applyFont="1" applyNumberFormat="1"/>
    <xf borderId="12" fillId="0" fontId="3" numFmtId="43" xfId="0" applyBorder="1" applyFont="1" applyNumberFormat="1"/>
    <xf borderId="0" fillId="0" fontId="5" numFmtId="0" xfId="0" applyFont="1"/>
    <xf borderId="0" fillId="0" fontId="3" numFmtId="164" xfId="0" applyAlignment="1" applyFont="1" applyNumberFormat="1">
      <alignment horizontal="left"/>
    </xf>
    <xf borderId="12" fillId="0" fontId="3" numFmtId="164" xfId="0" applyAlignment="1" applyBorder="1" applyFont="1" applyNumberFormat="1">
      <alignment horizontal="left"/>
    </xf>
    <xf borderId="11" fillId="0" fontId="3" numFmtId="164" xfId="0" applyBorder="1" applyFont="1" applyNumberFormat="1"/>
    <xf borderId="11" fillId="0" fontId="3" numFmtId="43" xfId="0" applyBorder="1" applyFont="1" applyNumberFormat="1"/>
    <xf borderId="11" fillId="0" fontId="3" numFmtId="166" xfId="0" applyBorder="1" applyFont="1" applyNumberFormat="1"/>
    <xf borderId="11" fillId="0" fontId="3" numFmtId="4" xfId="0" applyBorder="1" applyFont="1" applyNumberFormat="1"/>
    <xf borderId="11" fillId="0" fontId="3" numFmtId="164" xfId="0" applyAlignment="1" applyBorder="1" applyFont="1" applyNumberFormat="1">
      <alignment horizontal="left"/>
    </xf>
    <xf borderId="0" fillId="0" fontId="4" numFmtId="0" xfId="0" applyFont="1"/>
    <xf borderId="0" fillId="0" fontId="6" numFmtId="0" xfId="0" applyFont="1"/>
    <xf borderId="13" fillId="0" fontId="7" numFmtId="0" xfId="0" applyBorder="1" applyFont="1"/>
    <xf borderId="12" fillId="0" fontId="7" numFmtId="0" xfId="0" applyBorder="1" applyFont="1"/>
    <xf borderId="14" fillId="0" fontId="7" numFmtId="0" xfId="0" applyBorder="1" applyFont="1"/>
    <xf borderId="13" fillId="0" fontId="3" numFmtId="0" xfId="0" applyBorder="1" applyFont="1"/>
    <xf borderId="12" fillId="0" fontId="3" numFmtId="0" xfId="0" applyBorder="1" applyFont="1"/>
    <xf borderId="14" fillId="0" fontId="3" numFmtId="0" xfId="0" applyBorder="1" applyFont="1"/>
    <xf borderId="2" fillId="0" fontId="7" numFmtId="0" xfId="0" applyBorder="1" applyFont="1"/>
    <xf borderId="0" fillId="0" fontId="7" numFmtId="0" xfId="0" applyFont="1"/>
    <xf borderId="1" fillId="0" fontId="7" numFmtId="0" xfId="0" applyBorder="1" applyFont="1"/>
    <xf borderId="2" fillId="0" fontId="3" numFmtId="0" xfId="0" applyBorder="1" applyFont="1"/>
    <xf borderId="15" fillId="0" fontId="7" numFmtId="0" xfId="0" applyBorder="1" applyFont="1"/>
    <xf borderId="11" fillId="0" fontId="7" numFmtId="0" xfId="0" applyBorder="1" applyFont="1"/>
    <xf borderId="16" fillId="0" fontId="7" numFmtId="0" xfId="0" applyBorder="1" applyFont="1"/>
    <xf borderId="15" fillId="0" fontId="3" numFmtId="0" xfId="0" applyBorder="1" applyFont="1"/>
    <xf borderId="16" fillId="0" fontId="3" numFmtId="0" xfId="0" applyBorder="1" applyFont="1"/>
    <xf borderId="0" fillId="0" fontId="3" numFmtId="167" xfId="0" applyFont="1" applyNumberFormat="1"/>
    <xf borderId="11" fillId="0" fontId="3" numFmtId="167" xfId="0" applyBorder="1" applyFont="1" applyNumberFormat="1"/>
    <xf borderId="0" fillId="0" fontId="3" numFmtId="0" xfId="0" applyAlignment="1" applyFont="1">
      <alignment shrinkToFit="1" wrapText="0"/>
    </xf>
    <xf borderId="0" fillId="0" fontId="4" numFmtId="0" xfId="0" applyAlignment="1" applyFont="1">
      <alignment horizontal="center" vertical="center"/>
    </xf>
    <xf borderId="0" fillId="0" fontId="4" numFmtId="168" xfId="0" applyAlignment="1" applyFont="1" applyNumberFormat="1">
      <alignment horizontal="center" vertical="center"/>
    </xf>
    <xf borderId="0" fillId="0" fontId="3" numFmtId="4" xfId="0" applyFont="1" applyNumberFormat="1"/>
    <xf borderId="17" fillId="0" fontId="3" numFmtId="0" xfId="0" applyBorder="1" applyFont="1"/>
    <xf borderId="18" fillId="0" fontId="3" numFmtId="164" xfId="0" applyBorder="1" applyFont="1" applyNumberFormat="1"/>
    <xf borderId="19" fillId="2" fontId="4" numFmtId="0" xfId="0" applyBorder="1" applyFont="1"/>
    <xf borderId="20" fillId="2" fontId="4" numFmtId="0" xfId="0" applyAlignment="1" applyBorder="1" applyFont="1">
      <alignment horizontal="right"/>
    </xf>
    <xf borderId="21" fillId="2" fontId="4" numFmtId="0" xfId="0" applyBorder="1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0" fillId="0" fontId="3" numFmtId="14" xfId="0" applyFont="1" applyNumberFormat="1"/>
    <xf borderId="0" fillId="0" fontId="3" numFmtId="164" xfId="0" applyAlignment="1" applyFont="1" applyNumberFormat="1">
      <alignment horizontal="center" vertical="center"/>
    </xf>
    <xf borderId="0" fillId="0" fontId="1" numFmtId="164" xfId="0" applyFont="1" applyNumberFormat="1"/>
    <xf borderId="11" fillId="0" fontId="3" numFmtId="14" xfId="0" applyBorder="1" applyFont="1" applyNumberFormat="1"/>
    <xf borderId="11" fillId="0" fontId="1" numFmtId="0" xfId="0" applyBorder="1" applyFont="1"/>
    <xf borderId="0" fillId="0" fontId="8" numFmtId="0" xfId="0" applyAlignment="1" applyFont="1">
      <alignment horizontal="center"/>
    </xf>
    <xf borderId="19" fillId="3" fontId="1" numFmtId="0" xfId="0" applyBorder="1" applyFont="1"/>
    <xf borderId="21" fillId="3" fontId="1" numFmtId="164" xfId="0" applyBorder="1" applyFont="1" applyNumberFormat="1"/>
    <xf borderId="17" fillId="5" fontId="2" numFmtId="0" xfId="0" applyAlignment="1" applyBorder="1" applyFill="1" applyFont="1">
      <alignment horizontal="right"/>
    </xf>
    <xf borderId="22" fillId="0" fontId="9" numFmtId="0" xfId="0" applyBorder="1" applyFont="1"/>
    <xf borderId="21" fillId="5" fontId="1" numFmtId="0" xfId="0" applyBorder="1" applyFont="1"/>
    <xf borderId="0" fillId="0" fontId="10" numFmtId="0" xfId="0" applyAlignment="1" applyFont="1">
      <alignment horizontal="center"/>
    </xf>
    <xf borderId="11" fillId="0" fontId="2" numFmtId="0" xfId="0" applyAlignment="1" applyBorder="1" applyFont="1">
      <alignment horizontal="center"/>
    </xf>
    <xf borderId="11" fillId="0" fontId="9" numFmtId="0" xfId="0" applyBorder="1" applyFont="1"/>
    <xf borderId="0" fillId="0" fontId="1" numFmtId="14" xfId="0" applyAlignment="1" applyFont="1" applyNumberFormat="1">
      <alignment horizontal="left"/>
    </xf>
    <xf borderId="0" fillId="0" fontId="1" numFmtId="0" xfId="0" applyAlignment="1" applyFont="1">
      <alignment horizontal="center" shrinkToFit="0" vertical="center" wrapText="1"/>
    </xf>
    <xf borderId="11" fillId="0" fontId="11" numFmtId="0" xfId="0" applyAlignment="1" applyBorder="1" applyFont="1">
      <alignment horizontal="center" vertical="center"/>
    </xf>
    <xf borderId="11" fillId="0" fontId="11" numFmtId="14" xfId="0" applyAlignment="1" applyBorder="1" applyFont="1" applyNumberFormat="1">
      <alignment horizontal="left" vertical="center"/>
    </xf>
    <xf borderId="11" fillId="0" fontId="1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wrapText="1"/>
    </xf>
    <xf borderId="0" fillId="0" fontId="12" numFmtId="14" xfId="0" applyAlignment="1" applyFont="1" applyNumberFormat="1">
      <alignment horizontal="left" shrinkToFit="0" wrapText="1"/>
    </xf>
    <xf borderId="0" fillId="0" fontId="12" numFmtId="169" xfId="0" applyAlignment="1" applyFont="1" applyNumberFormat="1">
      <alignment horizontal="right" shrinkToFit="0" wrapText="1"/>
    </xf>
    <xf borderId="0" fillId="0" fontId="13" numFmtId="0" xfId="0" applyFont="1"/>
    <xf borderId="6" fillId="6" fontId="1" numFmtId="0" xfId="0" applyBorder="1" applyFill="1" applyFont="1"/>
    <xf borderId="0" fillId="0" fontId="12" numFmtId="0" xfId="0" applyAlignment="1" applyFont="1">
      <alignment horizontal="left"/>
    </xf>
    <xf borderId="0" fillId="0" fontId="13" numFmtId="0" xfId="0" applyAlignment="1" applyFont="1">
      <alignment shrinkToFit="0" wrapText="1"/>
    </xf>
    <xf borderId="0" fillId="0" fontId="13" numFmtId="4" xfId="0" applyAlignment="1" applyFont="1" applyNumberFormat="1">
      <alignment shrinkToFit="0" wrapText="1"/>
    </xf>
    <xf borderId="0" fillId="0" fontId="13" numFmtId="4" xfId="0" applyFont="1" applyNumberFormat="1"/>
    <xf borderId="6" fillId="7" fontId="3" numFmtId="0" xfId="0" applyBorder="1" applyFill="1" applyFont="1"/>
    <xf borderId="6" fillId="7" fontId="13" numFmtId="0" xfId="0" applyBorder="1" applyFont="1"/>
    <xf borderId="6" fillId="7" fontId="13" numFmtId="4" xfId="0" applyBorder="1" applyFont="1" applyNumberFormat="1"/>
    <xf borderId="6" fillId="7" fontId="1" numFmtId="0" xfId="0" applyBorder="1" applyFont="1"/>
    <xf borderId="0" fillId="0" fontId="14" numFmtId="0" xfId="0" applyFont="1"/>
    <xf borderId="6" fillId="6" fontId="1" numFmtId="14" xfId="0" applyAlignment="1" applyBorder="1" applyFont="1" applyNumberFormat="1">
      <alignment horizontal="left"/>
    </xf>
    <xf borderId="6" fillId="8" fontId="14" numFmtId="170" xfId="0" applyBorder="1" applyFill="1" applyFont="1" applyNumberFormat="1"/>
    <xf borderId="6" fillId="6" fontId="1" numFmtId="43" xfId="0" applyBorder="1" applyFont="1" applyNumberFormat="1"/>
    <xf borderId="6" fillId="9" fontId="3" numFmtId="0" xfId="0" applyBorder="1" applyFill="1" applyFont="1"/>
    <xf borderId="0" fillId="0" fontId="14" numFmtId="3" xfId="0" applyAlignment="1" applyFont="1" applyNumberFormat="1">
      <alignment horizontal="left"/>
    </xf>
    <xf borderId="0" fillId="0" fontId="14" numFmtId="170" xfId="0" applyFont="1" applyNumberFormat="1"/>
    <xf borderId="0" fillId="0" fontId="3" numFmtId="14" xfId="0" applyAlignment="1" applyFont="1" applyNumberFormat="1">
      <alignment horizontal="left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DADADA"/>
          <bgColor rgb="FFDADADA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86"/>
    <col customWidth="1" min="2" max="2" width="28.86"/>
    <col customWidth="1" hidden="1" min="3" max="10" width="11.29"/>
    <col customWidth="1" hidden="1" min="11" max="11" width="13.86"/>
    <col customWidth="1" hidden="1" min="12" max="21" width="11.29"/>
    <col customWidth="1" hidden="1" min="22" max="22" width="11.57"/>
    <col customWidth="1" hidden="1" min="23" max="24" width="11.29"/>
    <col customWidth="1" hidden="1" min="25" max="28" width="13.0"/>
    <col customWidth="1" hidden="1" min="29" max="34" width="11.29"/>
    <col customWidth="1" hidden="1" min="35" max="35" width="11.57"/>
    <col customWidth="1" hidden="1" min="36" max="37" width="11.29"/>
    <col customWidth="1" hidden="1" min="38" max="41" width="13.0"/>
    <col customWidth="1" hidden="1" min="42" max="46" width="11.29"/>
    <col customWidth="1" hidden="1" min="47" max="50" width="13.0"/>
    <col customWidth="1" hidden="1" min="51" max="54" width="11.29"/>
    <col customWidth="1" hidden="1" min="55" max="55" width="13.57"/>
    <col customWidth="1" hidden="1" min="56" max="56" width="7.43"/>
    <col customWidth="1" hidden="1" min="57" max="58" width="13.0"/>
    <col customWidth="1" hidden="1" min="59" max="59" width="12.86"/>
    <col customWidth="1" hidden="1" min="60" max="98" width="13.86"/>
    <col customWidth="1" min="99" max="103" width="13.86"/>
    <col customWidth="1" min="127" max="127" width="14.43"/>
  </cols>
  <sheetData>
    <row r="1" ht="15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>
        <v>31.0</v>
      </c>
      <c r="AD1" s="4">
        <v>32.0</v>
      </c>
      <c r="AE1" s="4">
        <v>33.0</v>
      </c>
      <c r="AF1" s="4">
        <v>34.0</v>
      </c>
      <c r="AG1" s="4">
        <v>35.0</v>
      </c>
      <c r="AH1" s="4">
        <v>36.0</v>
      </c>
      <c r="AI1" s="4">
        <v>37.0</v>
      </c>
      <c r="AJ1" s="4">
        <v>38.0</v>
      </c>
      <c r="AK1" s="4">
        <v>39.0</v>
      </c>
      <c r="AL1" s="4">
        <v>40.0</v>
      </c>
      <c r="AM1" s="4">
        <v>41.0</v>
      </c>
      <c r="AN1" s="4">
        <v>42.0</v>
      </c>
      <c r="AO1" s="4">
        <v>43.0</v>
      </c>
      <c r="AP1" s="4">
        <v>44.0</v>
      </c>
      <c r="AQ1" s="4">
        <v>45.0</v>
      </c>
      <c r="AR1" s="4">
        <v>46.0</v>
      </c>
      <c r="AS1" s="4">
        <v>47.0</v>
      </c>
      <c r="AT1" s="4">
        <v>48.0</v>
      </c>
      <c r="AU1" s="4">
        <v>49.0</v>
      </c>
      <c r="AV1" s="4">
        <v>50.0</v>
      </c>
      <c r="AW1" s="4">
        <v>51.0</v>
      </c>
      <c r="AX1" s="4">
        <v>52.0</v>
      </c>
      <c r="AY1" s="4">
        <v>1.0</v>
      </c>
      <c r="AZ1" s="4">
        <v>2.0</v>
      </c>
      <c r="BA1" s="4">
        <v>3.0</v>
      </c>
      <c r="BB1" s="4">
        <v>4.0</v>
      </c>
      <c r="BC1" s="4">
        <v>5.0</v>
      </c>
      <c r="BD1" s="4">
        <v>6.0</v>
      </c>
      <c r="BE1" s="4">
        <v>7.0</v>
      </c>
      <c r="BF1" s="4">
        <v>8.0</v>
      </c>
      <c r="BG1" s="4">
        <v>9.0</v>
      </c>
      <c r="BH1" s="4">
        <v>10.0</v>
      </c>
      <c r="BI1" s="4">
        <v>11.0</v>
      </c>
      <c r="BJ1" s="4">
        <v>12.0</v>
      </c>
      <c r="BK1" s="4">
        <v>13.0</v>
      </c>
      <c r="BL1" s="4">
        <v>14.0</v>
      </c>
      <c r="BM1" s="4">
        <v>15.0</v>
      </c>
      <c r="BN1" s="4">
        <v>16.0</v>
      </c>
      <c r="BO1" s="4">
        <v>17.0</v>
      </c>
      <c r="BP1" s="4">
        <v>18.0</v>
      </c>
      <c r="BQ1" s="4">
        <v>19.0</v>
      </c>
      <c r="BR1" s="4">
        <v>20.0</v>
      </c>
      <c r="BS1" s="4">
        <v>21.0</v>
      </c>
      <c r="BT1" s="4">
        <v>22.0</v>
      </c>
      <c r="BU1" s="4">
        <v>23.0</v>
      </c>
      <c r="BV1" s="4">
        <v>24.0</v>
      </c>
      <c r="BW1" s="4">
        <v>25.0</v>
      </c>
      <c r="BX1" s="4">
        <v>26.0</v>
      </c>
      <c r="BY1" s="4">
        <v>27.0</v>
      </c>
      <c r="BZ1" s="4">
        <v>28.0</v>
      </c>
      <c r="CA1" s="4">
        <v>29.0</v>
      </c>
      <c r="CB1" s="4">
        <v>30.0</v>
      </c>
      <c r="CC1" s="4">
        <v>31.0</v>
      </c>
      <c r="CD1" s="4">
        <v>32.0</v>
      </c>
      <c r="CE1" s="4">
        <v>33.0</v>
      </c>
      <c r="CF1" s="4">
        <v>34.0</v>
      </c>
      <c r="CG1" s="4">
        <v>35.0</v>
      </c>
      <c r="CH1" s="4">
        <v>36.0</v>
      </c>
      <c r="CI1" s="4">
        <v>37.0</v>
      </c>
      <c r="CJ1" s="4">
        <v>38.0</v>
      </c>
      <c r="CK1" s="4">
        <v>39.0</v>
      </c>
      <c r="CL1" s="4">
        <v>40.0</v>
      </c>
      <c r="CM1" s="4">
        <v>41.0</v>
      </c>
      <c r="CN1" s="4">
        <v>42.0</v>
      </c>
      <c r="CO1" s="4">
        <v>43.0</v>
      </c>
      <c r="CP1" s="4">
        <v>44.0</v>
      </c>
      <c r="CQ1" s="4">
        <v>45.0</v>
      </c>
      <c r="CR1" s="4">
        <v>46.0</v>
      </c>
      <c r="CS1" s="4">
        <v>47.0</v>
      </c>
      <c r="CT1" s="5">
        <v>48.0</v>
      </c>
      <c r="CU1" s="4">
        <v>49.0</v>
      </c>
      <c r="CV1" s="4">
        <v>50.0</v>
      </c>
      <c r="CW1" s="4">
        <v>51.0</v>
      </c>
      <c r="CX1" s="4">
        <v>52.0</v>
      </c>
      <c r="CY1" s="4">
        <v>1.0</v>
      </c>
      <c r="CZ1" s="4">
        <v>2.0</v>
      </c>
      <c r="DA1" s="4">
        <v>3.0</v>
      </c>
      <c r="DB1" s="4">
        <v>4.0</v>
      </c>
      <c r="DC1" s="5">
        <v>5.0</v>
      </c>
      <c r="DD1" s="4">
        <v>6.0</v>
      </c>
      <c r="DE1" s="4">
        <v>7.0</v>
      </c>
      <c r="DF1" s="4">
        <v>8.0</v>
      </c>
      <c r="DG1" s="5">
        <v>9.0</v>
      </c>
      <c r="DH1" s="4">
        <v>10.0</v>
      </c>
      <c r="DI1" s="4">
        <v>11.0</v>
      </c>
      <c r="DJ1" s="4">
        <v>12.0</v>
      </c>
      <c r="DK1" s="5">
        <v>13.0</v>
      </c>
      <c r="DL1" s="4">
        <v>14.0</v>
      </c>
      <c r="DM1" s="4">
        <v>15.0</v>
      </c>
      <c r="DN1" s="4">
        <v>16.0</v>
      </c>
      <c r="DO1" s="5">
        <v>17.0</v>
      </c>
      <c r="DP1" s="4">
        <v>18.0</v>
      </c>
      <c r="DQ1" s="4">
        <v>19.0</v>
      </c>
      <c r="DR1" s="4">
        <v>20.0</v>
      </c>
      <c r="DS1" s="4">
        <v>21.0</v>
      </c>
      <c r="DT1" s="5">
        <v>22.0</v>
      </c>
      <c r="DU1" s="4">
        <v>23.0</v>
      </c>
      <c r="DV1" s="4">
        <v>24.0</v>
      </c>
      <c r="DW1" s="4">
        <v>25.0</v>
      </c>
      <c r="DX1" s="5">
        <v>26.0</v>
      </c>
      <c r="DY1" s="4">
        <v>27.0</v>
      </c>
      <c r="DZ1" s="4">
        <v>28.0</v>
      </c>
      <c r="EA1" s="4">
        <v>29.0</v>
      </c>
      <c r="EB1" s="4">
        <v>30.0</v>
      </c>
      <c r="EC1" s="5">
        <v>31.0</v>
      </c>
      <c r="ED1" s="4">
        <v>32.0</v>
      </c>
      <c r="EE1" s="4">
        <v>33.0</v>
      </c>
      <c r="EF1" s="4">
        <v>34.0</v>
      </c>
      <c r="EG1" s="5">
        <v>35.0</v>
      </c>
      <c r="EH1" s="4">
        <v>36.0</v>
      </c>
      <c r="EI1" s="4">
        <v>37.0</v>
      </c>
      <c r="EJ1" s="4">
        <v>38.0</v>
      </c>
      <c r="EK1" s="5">
        <v>39.0</v>
      </c>
      <c r="EL1" s="4">
        <v>40.0</v>
      </c>
    </row>
    <row r="2" ht="14.25" customHeight="1">
      <c r="A2" s="4"/>
      <c r="B2" s="6" t="s">
        <v>1</v>
      </c>
      <c r="C2" s="7">
        <v>45324.0</v>
      </c>
      <c r="D2" s="7">
        <f t="shared" ref="D2:AC2" si="1">C2+7</f>
        <v>45331</v>
      </c>
      <c r="E2" s="7">
        <f t="shared" si="1"/>
        <v>45338</v>
      </c>
      <c r="F2" s="8">
        <f t="shared" si="1"/>
        <v>45345</v>
      </c>
      <c r="G2" s="7">
        <f t="shared" si="1"/>
        <v>45352</v>
      </c>
      <c r="H2" s="7">
        <f t="shared" si="1"/>
        <v>45359</v>
      </c>
      <c r="I2" s="7">
        <f t="shared" si="1"/>
        <v>45366</v>
      </c>
      <c r="J2" s="7">
        <f t="shared" si="1"/>
        <v>45373</v>
      </c>
      <c r="K2" s="8">
        <f t="shared" si="1"/>
        <v>45380</v>
      </c>
      <c r="L2" s="7">
        <f t="shared" si="1"/>
        <v>45387</v>
      </c>
      <c r="M2" s="7">
        <f t="shared" si="1"/>
        <v>45394</v>
      </c>
      <c r="N2" s="7">
        <f t="shared" si="1"/>
        <v>45401</v>
      </c>
      <c r="O2" s="8">
        <f t="shared" si="1"/>
        <v>45408</v>
      </c>
      <c r="P2" s="7">
        <f t="shared" si="1"/>
        <v>45415</v>
      </c>
      <c r="Q2" s="7">
        <f t="shared" si="1"/>
        <v>45422</v>
      </c>
      <c r="R2" s="7">
        <f t="shared" si="1"/>
        <v>45429</v>
      </c>
      <c r="S2" s="7">
        <f t="shared" si="1"/>
        <v>45436</v>
      </c>
      <c r="T2" s="8">
        <f t="shared" si="1"/>
        <v>45443</v>
      </c>
      <c r="U2" s="7">
        <f t="shared" si="1"/>
        <v>45450</v>
      </c>
      <c r="V2" s="7">
        <f t="shared" si="1"/>
        <v>45457</v>
      </c>
      <c r="W2" s="7">
        <f t="shared" si="1"/>
        <v>45464</v>
      </c>
      <c r="X2" s="8">
        <f t="shared" si="1"/>
        <v>45471</v>
      </c>
      <c r="Y2" s="7">
        <f t="shared" si="1"/>
        <v>45478</v>
      </c>
      <c r="Z2" s="7">
        <f t="shared" si="1"/>
        <v>45485</v>
      </c>
      <c r="AA2" s="7">
        <f t="shared" si="1"/>
        <v>45492</v>
      </c>
      <c r="AB2" s="8">
        <f t="shared" si="1"/>
        <v>45499</v>
      </c>
      <c r="AC2" s="7">
        <f t="shared" si="1"/>
        <v>45506</v>
      </c>
      <c r="AD2" s="7">
        <v>45513.0</v>
      </c>
      <c r="AE2" s="7">
        <v>45520.0</v>
      </c>
      <c r="AF2" s="7">
        <v>45527.0</v>
      </c>
      <c r="AG2" s="8">
        <v>45534.0</v>
      </c>
      <c r="AH2" s="7">
        <v>45541.0</v>
      </c>
      <c r="AI2" s="7">
        <v>45548.0</v>
      </c>
      <c r="AJ2" s="7">
        <v>45555.0</v>
      </c>
      <c r="AK2" s="8">
        <v>45562.0</v>
      </c>
      <c r="AL2" s="7">
        <v>45569.0</v>
      </c>
      <c r="AM2" s="7">
        <v>45576.0</v>
      </c>
      <c r="AN2" s="7">
        <v>45583.0</v>
      </c>
      <c r="AO2" s="8">
        <v>45590.0</v>
      </c>
      <c r="AP2" s="7">
        <v>45597.0</v>
      </c>
      <c r="AQ2" s="7">
        <v>45604.0</v>
      </c>
      <c r="AR2" s="7">
        <v>45611.0</v>
      </c>
      <c r="AS2" s="7">
        <v>45618.0</v>
      </c>
      <c r="AT2" s="8">
        <v>45625.0</v>
      </c>
      <c r="AU2" s="7">
        <v>45632.0</v>
      </c>
      <c r="AV2" s="7">
        <v>45639.0</v>
      </c>
      <c r="AW2" s="7">
        <v>45646.0</v>
      </c>
      <c r="AX2" s="8">
        <v>45653.0</v>
      </c>
      <c r="AY2" s="7">
        <v>45660.0</v>
      </c>
      <c r="AZ2" s="7">
        <v>45667.0</v>
      </c>
      <c r="BA2" s="7">
        <v>45674.0</v>
      </c>
      <c r="BB2" s="7">
        <v>45681.0</v>
      </c>
      <c r="BC2" s="8">
        <v>45688.0</v>
      </c>
      <c r="BD2" s="7">
        <v>45695.0</v>
      </c>
      <c r="BE2" s="7">
        <v>45702.0</v>
      </c>
      <c r="BF2" s="7">
        <v>45709.0</v>
      </c>
      <c r="BG2" s="8">
        <v>45716.0</v>
      </c>
      <c r="BH2" s="7">
        <v>45723.0</v>
      </c>
      <c r="BI2" s="7">
        <v>45730.0</v>
      </c>
      <c r="BJ2" s="7">
        <v>45737.0</v>
      </c>
      <c r="BK2" s="8">
        <v>45744.0</v>
      </c>
      <c r="BL2" s="7">
        <v>45751.0</v>
      </c>
      <c r="BM2" s="7">
        <f t="shared" ref="BM2:EL2" si="2">BL2+7</f>
        <v>45758</v>
      </c>
      <c r="BN2" s="7">
        <f t="shared" si="2"/>
        <v>45765</v>
      </c>
      <c r="BO2" s="8">
        <f t="shared" si="2"/>
        <v>45772</v>
      </c>
      <c r="BP2" s="7">
        <f t="shared" si="2"/>
        <v>45779</v>
      </c>
      <c r="BQ2" s="7">
        <f t="shared" si="2"/>
        <v>45786</v>
      </c>
      <c r="BR2" s="7">
        <f t="shared" si="2"/>
        <v>45793</v>
      </c>
      <c r="BS2" s="7">
        <f t="shared" si="2"/>
        <v>45800</v>
      </c>
      <c r="BT2" s="8">
        <f t="shared" si="2"/>
        <v>45807</v>
      </c>
      <c r="BU2" s="7">
        <f t="shared" si="2"/>
        <v>45814</v>
      </c>
      <c r="BV2" s="7">
        <f t="shared" si="2"/>
        <v>45821</v>
      </c>
      <c r="BW2" s="7">
        <f t="shared" si="2"/>
        <v>45828</v>
      </c>
      <c r="BX2" s="8">
        <f t="shared" si="2"/>
        <v>45835</v>
      </c>
      <c r="BY2" s="7">
        <f t="shared" si="2"/>
        <v>45842</v>
      </c>
      <c r="BZ2" s="7">
        <f t="shared" si="2"/>
        <v>45849</v>
      </c>
      <c r="CA2" s="7">
        <f t="shared" si="2"/>
        <v>45856</v>
      </c>
      <c r="CB2" s="8">
        <f t="shared" si="2"/>
        <v>45863</v>
      </c>
      <c r="CC2" s="7">
        <f t="shared" si="2"/>
        <v>45870</v>
      </c>
      <c r="CD2" s="7">
        <f t="shared" si="2"/>
        <v>45877</v>
      </c>
      <c r="CE2" s="7">
        <f t="shared" si="2"/>
        <v>45884</v>
      </c>
      <c r="CF2" s="7">
        <f t="shared" si="2"/>
        <v>45891</v>
      </c>
      <c r="CG2" s="8">
        <f t="shared" si="2"/>
        <v>45898</v>
      </c>
      <c r="CH2" s="7">
        <f t="shared" si="2"/>
        <v>45905</v>
      </c>
      <c r="CI2" s="7">
        <f t="shared" si="2"/>
        <v>45912</v>
      </c>
      <c r="CJ2" s="7">
        <f t="shared" si="2"/>
        <v>45919</v>
      </c>
      <c r="CK2" s="8">
        <f t="shared" si="2"/>
        <v>45926</v>
      </c>
      <c r="CL2" s="7">
        <f t="shared" si="2"/>
        <v>45933</v>
      </c>
      <c r="CM2" s="7">
        <f t="shared" si="2"/>
        <v>45940</v>
      </c>
      <c r="CN2" s="7">
        <f t="shared" si="2"/>
        <v>45947</v>
      </c>
      <c r="CO2" s="7">
        <f t="shared" si="2"/>
        <v>45954</v>
      </c>
      <c r="CP2" s="8">
        <f t="shared" si="2"/>
        <v>45961</v>
      </c>
      <c r="CQ2" s="7">
        <f t="shared" si="2"/>
        <v>45968</v>
      </c>
      <c r="CR2" s="7">
        <f t="shared" si="2"/>
        <v>45975</v>
      </c>
      <c r="CS2" s="7">
        <f t="shared" si="2"/>
        <v>45982</v>
      </c>
      <c r="CT2" s="8">
        <f t="shared" si="2"/>
        <v>45989</v>
      </c>
      <c r="CU2" s="7">
        <f t="shared" si="2"/>
        <v>45996</v>
      </c>
      <c r="CV2" s="7">
        <f t="shared" si="2"/>
        <v>46003</v>
      </c>
      <c r="CW2" s="7">
        <f t="shared" si="2"/>
        <v>46010</v>
      </c>
      <c r="CX2" s="8">
        <f t="shared" si="2"/>
        <v>46017</v>
      </c>
      <c r="CY2" s="9">
        <f t="shared" si="2"/>
        <v>46024</v>
      </c>
      <c r="CZ2" s="7">
        <f t="shared" si="2"/>
        <v>46031</v>
      </c>
      <c r="DA2" s="7">
        <f t="shared" si="2"/>
        <v>46038</v>
      </c>
      <c r="DB2" s="7">
        <f t="shared" si="2"/>
        <v>46045</v>
      </c>
      <c r="DC2" s="8">
        <f t="shared" si="2"/>
        <v>46052</v>
      </c>
      <c r="DD2" s="7">
        <f t="shared" si="2"/>
        <v>46059</v>
      </c>
      <c r="DE2" s="7">
        <f t="shared" si="2"/>
        <v>46066</v>
      </c>
      <c r="DF2" s="7">
        <f t="shared" si="2"/>
        <v>46073</v>
      </c>
      <c r="DG2" s="8">
        <f t="shared" si="2"/>
        <v>46080</v>
      </c>
      <c r="DH2" s="7">
        <f t="shared" si="2"/>
        <v>46087</v>
      </c>
      <c r="DI2" s="7">
        <f t="shared" si="2"/>
        <v>46094</v>
      </c>
      <c r="DJ2" s="7">
        <f t="shared" si="2"/>
        <v>46101</v>
      </c>
      <c r="DK2" s="8">
        <f t="shared" si="2"/>
        <v>46108</v>
      </c>
      <c r="DL2" s="7">
        <f t="shared" si="2"/>
        <v>46115</v>
      </c>
      <c r="DM2" s="7">
        <f t="shared" si="2"/>
        <v>46122</v>
      </c>
      <c r="DN2" s="7">
        <f t="shared" si="2"/>
        <v>46129</v>
      </c>
      <c r="DO2" s="8">
        <f t="shared" si="2"/>
        <v>46136</v>
      </c>
      <c r="DP2" s="7">
        <f t="shared" si="2"/>
        <v>46143</v>
      </c>
      <c r="DQ2" s="7">
        <f t="shared" si="2"/>
        <v>46150</v>
      </c>
      <c r="DR2" s="7">
        <f t="shared" si="2"/>
        <v>46157</v>
      </c>
      <c r="DS2" s="7">
        <f t="shared" si="2"/>
        <v>46164</v>
      </c>
      <c r="DT2" s="8">
        <f t="shared" si="2"/>
        <v>46171</v>
      </c>
      <c r="DU2" s="7">
        <f t="shared" si="2"/>
        <v>46178</v>
      </c>
      <c r="DV2" s="7">
        <f t="shared" si="2"/>
        <v>46185</v>
      </c>
      <c r="DW2" s="7">
        <f t="shared" si="2"/>
        <v>46192</v>
      </c>
      <c r="DX2" s="8">
        <f t="shared" si="2"/>
        <v>46199</v>
      </c>
      <c r="DY2" s="7">
        <f t="shared" si="2"/>
        <v>46206</v>
      </c>
      <c r="DZ2" s="7">
        <f t="shared" si="2"/>
        <v>46213</v>
      </c>
      <c r="EA2" s="7">
        <f t="shared" si="2"/>
        <v>46220</v>
      </c>
      <c r="EB2" s="7">
        <f t="shared" si="2"/>
        <v>46227</v>
      </c>
      <c r="EC2" s="8">
        <f t="shared" si="2"/>
        <v>46234</v>
      </c>
      <c r="ED2" s="7">
        <f t="shared" si="2"/>
        <v>46241</v>
      </c>
      <c r="EE2" s="7">
        <f t="shared" si="2"/>
        <v>46248</v>
      </c>
      <c r="EF2" s="7">
        <f t="shared" si="2"/>
        <v>46255</v>
      </c>
      <c r="EG2" s="8">
        <f t="shared" si="2"/>
        <v>46262</v>
      </c>
      <c r="EH2" s="7">
        <f t="shared" si="2"/>
        <v>46269</v>
      </c>
      <c r="EI2" s="7">
        <f t="shared" si="2"/>
        <v>46276</v>
      </c>
      <c r="EJ2" s="7">
        <f t="shared" si="2"/>
        <v>46283</v>
      </c>
      <c r="EK2" s="8">
        <f t="shared" si="2"/>
        <v>46290</v>
      </c>
      <c r="EL2" s="7">
        <f t="shared" si="2"/>
        <v>46297</v>
      </c>
    </row>
    <row r="3">
      <c r="A3" s="4"/>
      <c r="B3" s="10" t="s">
        <v>2</v>
      </c>
      <c r="C3" s="11">
        <v>2862667.35</v>
      </c>
      <c r="D3" s="11">
        <f t="shared" ref="D3:EL3" si="3">C23</f>
        <v>2288807.5</v>
      </c>
      <c r="E3" s="11">
        <f t="shared" si="3"/>
        <v>2604552.4</v>
      </c>
      <c r="F3" s="12">
        <f t="shared" si="3"/>
        <v>1994376.4</v>
      </c>
      <c r="G3" s="11">
        <f t="shared" si="3"/>
        <v>2251105.19</v>
      </c>
      <c r="H3" s="11">
        <f t="shared" si="3"/>
        <v>1595981.2</v>
      </c>
      <c r="I3" s="11">
        <f t="shared" si="3"/>
        <v>1633425.27</v>
      </c>
      <c r="J3" s="11">
        <f t="shared" si="3"/>
        <v>1364115.81</v>
      </c>
      <c r="K3" s="12">
        <f t="shared" si="3"/>
        <v>1102620.94</v>
      </c>
      <c r="L3" s="11">
        <f t="shared" si="3"/>
        <v>608900.42</v>
      </c>
      <c r="M3" s="11">
        <f t="shared" si="3"/>
        <v>866741.42</v>
      </c>
      <c r="N3" s="11">
        <f t="shared" si="3"/>
        <v>1185798.97</v>
      </c>
      <c r="O3" s="12">
        <f t="shared" si="3"/>
        <v>2925048.99</v>
      </c>
      <c r="P3" s="11">
        <f t="shared" si="3"/>
        <v>3191396.58</v>
      </c>
      <c r="Q3" s="11">
        <f t="shared" si="3"/>
        <v>2840095.58</v>
      </c>
      <c r="R3" s="11">
        <f t="shared" si="3"/>
        <v>2243873.58</v>
      </c>
      <c r="S3" s="11">
        <f t="shared" si="3"/>
        <v>1911651.58</v>
      </c>
      <c r="T3" s="12">
        <f t="shared" si="3"/>
        <v>1028903.58</v>
      </c>
      <c r="U3" s="11">
        <f t="shared" si="3"/>
        <v>2348705.51</v>
      </c>
      <c r="V3" s="11">
        <f t="shared" si="3"/>
        <v>1815788.52</v>
      </c>
      <c r="W3" s="11">
        <f t="shared" si="3"/>
        <v>1820307.64</v>
      </c>
      <c r="X3" s="12">
        <f t="shared" si="3"/>
        <v>1224444.41</v>
      </c>
      <c r="Y3" s="11">
        <f t="shared" si="3"/>
        <v>1078140.3</v>
      </c>
      <c r="Z3" s="11">
        <f t="shared" si="3"/>
        <v>1898512.85</v>
      </c>
      <c r="AA3" s="11">
        <f t="shared" si="3"/>
        <v>2750442.85</v>
      </c>
      <c r="AB3" s="12">
        <f t="shared" si="3"/>
        <v>2181672.87</v>
      </c>
      <c r="AC3" s="11">
        <f t="shared" si="3"/>
        <v>2177832.87</v>
      </c>
      <c r="AD3" s="11">
        <f t="shared" si="3"/>
        <v>1672461.67</v>
      </c>
      <c r="AE3" s="11">
        <f t="shared" si="3"/>
        <v>1658397.87</v>
      </c>
      <c r="AF3" s="11">
        <f t="shared" si="3"/>
        <v>1014567.93</v>
      </c>
      <c r="AG3" s="12">
        <f t="shared" si="3"/>
        <v>1170582.41</v>
      </c>
      <c r="AH3" s="11">
        <f t="shared" si="3"/>
        <v>1359914.06</v>
      </c>
      <c r="AI3" s="11">
        <f t="shared" si="3"/>
        <v>1231202.09</v>
      </c>
      <c r="AJ3" s="11">
        <f t="shared" si="3"/>
        <v>887594.36</v>
      </c>
      <c r="AK3" s="12">
        <f t="shared" si="3"/>
        <v>874146.77</v>
      </c>
      <c r="AL3" s="11">
        <f t="shared" si="3"/>
        <v>1652259.5</v>
      </c>
      <c r="AM3" s="11">
        <f t="shared" si="3"/>
        <v>1959378.07</v>
      </c>
      <c r="AN3" s="11">
        <f t="shared" si="3"/>
        <v>1632131.85</v>
      </c>
      <c r="AO3" s="12">
        <f t="shared" si="3"/>
        <v>1786503.68</v>
      </c>
      <c r="AP3" s="11">
        <f t="shared" si="3"/>
        <v>1025395.83</v>
      </c>
      <c r="AQ3" s="11">
        <f t="shared" si="3"/>
        <v>1062630.81</v>
      </c>
      <c r="AR3" s="11">
        <f t="shared" si="3"/>
        <v>665032.98</v>
      </c>
      <c r="AS3" s="11">
        <f t="shared" si="3"/>
        <v>1000740.35</v>
      </c>
      <c r="AT3" s="12">
        <f t="shared" si="3"/>
        <v>941863.1</v>
      </c>
      <c r="AU3" s="11">
        <f t="shared" si="3"/>
        <v>678985.76</v>
      </c>
      <c r="AV3" s="11">
        <f t="shared" si="3"/>
        <v>396051.89</v>
      </c>
      <c r="AW3" s="11">
        <f t="shared" si="3"/>
        <v>1426261.41</v>
      </c>
      <c r="AX3" s="12">
        <f t="shared" si="3"/>
        <v>720910.21</v>
      </c>
      <c r="AY3" s="11">
        <f t="shared" si="3"/>
        <v>1337503.26</v>
      </c>
      <c r="AZ3" s="11">
        <f t="shared" si="3"/>
        <v>1308888.74</v>
      </c>
      <c r="BA3" s="11">
        <f t="shared" si="3"/>
        <v>1556026.61</v>
      </c>
      <c r="BB3" s="11">
        <f t="shared" si="3"/>
        <v>1606423.45</v>
      </c>
      <c r="BC3" s="12">
        <f t="shared" si="3"/>
        <v>2252298.6</v>
      </c>
      <c r="BD3" s="11">
        <f t="shared" si="3"/>
        <v>1433331.7</v>
      </c>
      <c r="BE3" s="11">
        <f t="shared" si="3"/>
        <v>1529013.87</v>
      </c>
      <c r="BF3" s="11">
        <f t="shared" si="3"/>
        <v>905031.57</v>
      </c>
      <c r="BG3" s="12">
        <f t="shared" si="3"/>
        <v>1496366.36</v>
      </c>
      <c r="BH3" s="11">
        <f t="shared" si="3"/>
        <v>539811.15</v>
      </c>
      <c r="BI3" s="11">
        <f t="shared" si="3"/>
        <v>464610.68</v>
      </c>
      <c r="BJ3" s="11">
        <f t="shared" si="3"/>
        <v>318948.25</v>
      </c>
      <c r="BK3" s="12">
        <f t="shared" si="3"/>
        <v>916028.35</v>
      </c>
      <c r="BL3" s="11">
        <f t="shared" si="3"/>
        <v>603965.67</v>
      </c>
      <c r="BM3" s="11">
        <f t="shared" si="3"/>
        <v>1008974.76</v>
      </c>
      <c r="BN3" s="11">
        <f t="shared" si="3"/>
        <v>952125.32</v>
      </c>
      <c r="BO3" s="12">
        <f t="shared" si="3"/>
        <v>986584.06</v>
      </c>
      <c r="BP3" s="11">
        <f t="shared" si="3"/>
        <v>1264430.16</v>
      </c>
      <c r="BQ3" s="11">
        <f t="shared" si="3"/>
        <v>1545190.99</v>
      </c>
      <c r="BR3" s="11">
        <f t="shared" si="3"/>
        <v>1556009.27</v>
      </c>
      <c r="BS3" s="11">
        <f t="shared" si="3"/>
        <v>2098433.3</v>
      </c>
      <c r="BT3" s="12">
        <f t="shared" si="3"/>
        <v>1355761.13</v>
      </c>
      <c r="BU3" s="11">
        <f t="shared" si="3"/>
        <v>617642.47</v>
      </c>
      <c r="BV3" s="11">
        <f t="shared" si="3"/>
        <v>974223.78</v>
      </c>
      <c r="BW3" s="11">
        <f t="shared" si="3"/>
        <v>964817.59</v>
      </c>
      <c r="BX3" s="12">
        <f t="shared" si="3"/>
        <v>641928.56</v>
      </c>
      <c r="BY3" s="11">
        <f t="shared" si="3"/>
        <v>1076488.01</v>
      </c>
      <c r="BZ3" s="11">
        <f t="shared" si="3"/>
        <v>435863.18</v>
      </c>
      <c r="CA3" s="11">
        <f t="shared" si="3"/>
        <v>582595.49</v>
      </c>
      <c r="CB3" s="12">
        <f t="shared" si="3"/>
        <v>710229.96</v>
      </c>
      <c r="CC3" s="11">
        <f t="shared" si="3"/>
        <v>1017418.91</v>
      </c>
      <c r="CD3" s="11">
        <f t="shared" si="3"/>
        <v>563041.91</v>
      </c>
      <c r="CE3" s="11">
        <f t="shared" si="3"/>
        <v>728947.94</v>
      </c>
      <c r="CF3" s="11">
        <f t="shared" si="3"/>
        <v>18602928.03</v>
      </c>
      <c r="CG3" s="12">
        <f t="shared" si="3"/>
        <v>1467910.74</v>
      </c>
      <c r="CH3" s="11">
        <f t="shared" si="3"/>
        <v>945739.02</v>
      </c>
      <c r="CI3" s="11">
        <f t="shared" si="3"/>
        <v>1028145.02</v>
      </c>
      <c r="CJ3" s="11">
        <f t="shared" si="3"/>
        <v>676970.94</v>
      </c>
      <c r="CK3" s="12">
        <f t="shared" si="3"/>
        <v>1105950.17</v>
      </c>
      <c r="CL3" s="11">
        <f t="shared" si="3"/>
        <v>486229.5</v>
      </c>
      <c r="CM3" s="11">
        <f t="shared" si="3"/>
        <v>823924.38</v>
      </c>
      <c r="CN3" s="11">
        <f t="shared" si="3"/>
        <v>657708.11</v>
      </c>
      <c r="CO3" s="11">
        <f t="shared" si="3"/>
        <v>1262936.53</v>
      </c>
      <c r="CP3" s="12">
        <f t="shared" si="3"/>
        <v>811369.37</v>
      </c>
      <c r="CQ3" s="11">
        <f t="shared" si="3"/>
        <v>1346629.42</v>
      </c>
      <c r="CR3" s="11">
        <f t="shared" si="3"/>
        <v>1792112.51</v>
      </c>
      <c r="CS3" s="11">
        <f t="shared" si="3"/>
        <v>2447341.68</v>
      </c>
      <c r="CT3" s="12">
        <f t="shared" si="3"/>
        <v>1897664.77</v>
      </c>
      <c r="CU3" s="11">
        <f t="shared" si="3"/>
        <v>2326047.72</v>
      </c>
      <c r="CV3" s="11">
        <f t="shared" si="3"/>
        <v>2708001.65</v>
      </c>
      <c r="CW3" s="11">
        <f t="shared" si="3"/>
        <v>2620060.34</v>
      </c>
      <c r="CX3" s="12">
        <f t="shared" si="3"/>
        <v>3395696.5</v>
      </c>
      <c r="CY3" s="11">
        <f t="shared" si="3"/>
        <v>3553928.15</v>
      </c>
      <c r="CZ3" s="11">
        <f t="shared" si="3"/>
        <v>3191699.6</v>
      </c>
      <c r="DA3" s="11">
        <f t="shared" si="3"/>
        <v>3515729.82</v>
      </c>
      <c r="DB3" s="11">
        <f t="shared" si="3"/>
        <v>3388552.9</v>
      </c>
      <c r="DC3" s="12">
        <f t="shared" si="3"/>
        <v>3845045.13</v>
      </c>
      <c r="DD3" s="11">
        <f t="shared" si="3"/>
        <v>3425092.5</v>
      </c>
      <c r="DE3" s="11">
        <f t="shared" si="3"/>
        <v>3944699.52</v>
      </c>
      <c r="DF3" s="11">
        <f t="shared" si="3"/>
        <v>4005412.06</v>
      </c>
      <c r="DG3" s="12">
        <f t="shared" si="3"/>
        <v>4130140.58</v>
      </c>
      <c r="DH3" s="11">
        <f t="shared" si="3"/>
        <v>3776943.14</v>
      </c>
      <c r="DI3" s="11">
        <f t="shared" si="3"/>
        <v>4458331.56</v>
      </c>
      <c r="DJ3" s="11">
        <f t="shared" si="3"/>
        <v>4400217.04</v>
      </c>
      <c r="DK3" s="12">
        <f t="shared" si="3"/>
        <v>4791874.74</v>
      </c>
      <c r="DL3" s="11">
        <f t="shared" si="3"/>
        <v>3806668.87</v>
      </c>
      <c r="DM3" s="11">
        <f t="shared" si="3"/>
        <v>4161028.55</v>
      </c>
      <c r="DN3" s="11">
        <f t="shared" si="3"/>
        <v>3453635.7</v>
      </c>
      <c r="DO3" s="12">
        <f t="shared" si="3"/>
        <v>4265615.77</v>
      </c>
      <c r="DP3" s="11">
        <f t="shared" si="3"/>
        <v>3657310.08</v>
      </c>
      <c r="DQ3" s="11">
        <f t="shared" si="3"/>
        <v>3791404.06</v>
      </c>
      <c r="DR3" s="11">
        <f t="shared" si="3"/>
        <v>4718504.82</v>
      </c>
      <c r="DS3" s="11">
        <f t="shared" si="3"/>
        <v>5157147.64</v>
      </c>
      <c r="DT3" s="12">
        <f t="shared" si="3"/>
        <v>5453123.96</v>
      </c>
      <c r="DU3" s="11">
        <f t="shared" si="3"/>
        <v>5197166.93</v>
      </c>
      <c r="DV3" s="11">
        <f t="shared" si="3"/>
        <v>4391443.23</v>
      </c>
      <c r="DW3" s="11">
        <f t="shared" si="3"/>
        <v>4379646.4</v>
      </c>
      <c r="DX3" s="12">
        <f t="shared" si="3"/>
        <v>3209408</v>
      </c>
      <c r="DY3" s="11">
        <f t="shared" si="3"/>
        <v>2589408</v>
      </c>
      <c r="DZ3" s="11">
        <f t="shared" si="3"/>
        <v>4160019.47</v>
      </c>
      <c r="EA3" s="11">
        <f t="shared" si="3"/>
        <v>4297536.47</v>
      </c>
      <c r="EB3" s="11">
        <f t="shared" si="3"/>
        <v>5645183.09</v>
      </c>
      <c r="EC3" s="12">
        <f t="shared" si="3"/>
        <v>5525183.09</v>
      </c>
      <c r="ED3" s="11">
        <f t="shared" si="3"/>
        <v>7828007.84</v>
      </c>
      <c r="EE3" s="11">
        <f t="shared" si="3"/>
        <v>7666953.06</v>
      </c>
      <c r="EF3" s="11">
        <f t="shared" si="3"/>
        <v>9141386.46</v>
      </c>
      <c r="EG3" s="12">
        <f t="shared" si="3"/>
        <v>8921386.46</v>
      </c>
      <c r="EH3" s="11">
        <f t="shared" si="3"/>
        <v>12790843.14</v>
      </c>
      <c r="EI3" s="11">
        <f t="shared" si="3"/>
        <v>12252087.86</v>
      </c>
      <c r="EJ3" s="11">
        <f t="shared" si="3"/>
        <v>11711637.63</v>
      </c>
      <c r="EK3" s="12">
        <f t="shared" si="3"/>
        <v>12094975.23</v>
      </c>
      <c r="EL3" s="11">
        <f t="shared" si="3"/>
        <v>10584975.23</v>
      </c>
    </row>
    <row r="4" ht="7.5" customHeight="1">
      <c r="A4" s="4"/>
      <c r="B4" s="13"/>
      <c r="C4" s="14"/>
      <c r="D4" s="14"/>
      <c r="E4" s="14"/>
      <c r="F4" s="15"/>
      <c r="G4" s="14"/>
      <c r="H4" s="14"/>
      <c r="I4" s="14"/>
      <c r="J4" s="14"/>
      <c r="K4" s="15"/>
      <c r="L4" s="14"/>
      <c r="M4" s="14"/>
      <c r="N4" s="14"/>
      <c r="O4" s="15"/>
      <c r="P4" s="14"/>
      <c r="Q4" s="14"/>
      <c r="R4" s="14"/>
      <c r="S4" s="14"/>
      <c r="T4" s="15"/>
      <c r="U4" s="14"/>
      <c r="V4" s="14"/>
      <c r="W4" s="14"/>
      <c r="X4" s="15"/>
      <c r="Y4" s="14"/>
      <c r="Z4" s="14"/>
      <c r="AA4" s="14"/>
      <c r="AB4" s="15"/>
      <c r="AC4" s="14"/>
      <c r="AD4" s="14"/>
      <c r="AE4" s="14"/>
      <c r="AF4" s="14"/>
      <c r="AG4" s="15"/>
      <c r="AH4" s="14"/>
      <c r="AI4" s="14"/>
      <c r="AJ4" s="14"/>
      <c r="AK4" s="15"/>
      <c r="AL4" s="14"/>
      <c r="AM4" s="14"/>
      <c r="AN4" s="14"/>
      <c r="AO4" s="15"/>
      <c r="AP4" s="14"/>
      <c r="AQ4" s="14"/>
      <c r="AR4" s="14"/>
      <c r="AS4" s="14"/>
      <c r="AT4" s="15"/>
      <c r="AU4" s="14"/>
      <c r="AV4" s="14"/>
      <c r="AW4" s="14"/>
      <c r="AX4" s="15"/>
      <c r="AY4" s="14"/>
      <c r="AZ4" s="14"/>
      <c r="BA4" s="14"/>
      <c r="BB4" s="14"/>
      <c r="BC4" s="15"/>
      <c r="BD4" s="14"/>
      <c r="BE4" s="14"/>
      <c r="BF4" s="14"/>
      <c r="BG4" s="15"/>
      <c r="BH4" s="14"/>
      <c r="BI4" s="14"/>
      <c r="BJ4" s="14"/>
      <c r="BK4" s="15"/>
      <c r="BL4" s="14"/>
      <c r="BM4" s="14"/>
      <c r="BN4" s="14"/>
      <c r="BO4" s="15"/>
      <c r="BP4" s="14"/>
      <c r="BQ4" s="14"/>
      <c r="BR4" s="14"/>
      <c r="BS4" s="14"/>
      <c r="BT4" s="15"/>
      <c r="BU4" s="14"/>
      <c r="BV4" s="14"/>
      <c r="BW4" s="14"/>
      <c r="BX4" s="15"/>
      <c r="BY4" s="14"/>
      <c r="BZ4" s="14"/>
      <c r="CA4" s="14"/>
      <c r="CB4" s="15"/>
      <c r="CC4" s="14"/>
      <c r="CD4" s="14"/>
      <c r="CE4" s="14"/>
      <c r="CF4" s="14"/>
      <c r="CG4" s="15"/>
      <c r="CH4" s="14"/>
      <c r="CI4" s="14"/>
      <c r="CJ4" s="14"/>
      <c r="CK4" s="15"/>
      <c r="CL4" s="14"/>
      <c r="CM4" s="14"/>
      <c r="CN4" s="14"/>
      <c r="CO4" s="14"/>
      <c r="CP4" s="15"/>
      <c r="CQ4" s="14"/>
      <c r="CR4" s="14"/>
      <c r="CS4" s="14"/>
      <c r="CT4" s="15"/>
      <c r="CU4" s="14"/>
      <c r="CV4" s="14"/>
      <c r="CW4" s="14"/>
      <c r="CX4" s="15"/>
      <c r="CY4" s="14"/>
      <c r="DC4" s="5"/>
      <c r="DG4" s="5"/>
      <c r="DK4" s="5"/>
      <c r="DO4" s="5"/>
      <c r="DT4" s="5"/>
      <c r="DW4" s="4"/>
      <c r="DX4" s="5"/>
      <c r="EC4" s="5"/>
      <c r="EG4" s="5"/>
      <c r="EK4" s="5"/>
    </row>
    <row r="5" ht="14.25" customHeight="1">
      <c r="A5" s="4"/>
      <c r="B5" s="16" t="s">
        <v>3</v>
      </c>
      <c r="C5" s="17"/>
      <c r="D5" s="17"/>
      <c r="E5" s="17"/>
      <c r="F5" s="18"/>
      <c r="G5" s="17"/>
      <c r="H5" s="17"/>
      <c r="I5" s="17"/>
      <c r="J5" s="17"/>
      <c r="K5" s="18"/>
      <c r="L5" s="17"/>
      <c r="M5" s="17"/>
      <c r="N5" s="17"/>
      <c r="O5" s="18"/>
      <c r="P5" s="17"/>
      <c r="Q5" s="17"/>
      <c r="R5" s="17"/>
      <c r="S5" s="17"/>
      <c r="T5" s="18"/>
      <c r="U5" s="17"/>
      <c r="V5" s="17"/>
      <c r="W5" s="17"/>
      <c r="X5" s="18"/>
      <c r="Y5" s="17"/>
      <c r="Z5" s="17"/>
      <c r="AA5" s="17"/>
      <c r="AB5" s="18"/>
      <c r="AC5" s="17"/>
      <c r="AD5" s="17"/>
      <c r="AE5" s="17"/>
      <c r="AF5" s="17"/>
      <c r="AG5" s="18"/>
      <c r="AH5" s="17"/>
      <c r="AI5" s="17"/>
      <c r="AJ5" s="17"/>
      <c r="AK5" s="18"/>
      <c r="AL5" s="17"/>
      <c r="AM5" s="17"/>
      <c r="AN5" s="17"/>
      <c r="AO5" s="18"/>
      <c r="AP5" s="17"/>
      <c r="AQ5" s="17"/>
      <c r="AR5" s="17"/>
      <c r="AS5" s="17"/>
      <c r="AT5" s="18"/>
      <c r="AU5" s="17"/>
      <c r="AV5" s="17"/>
      <c r="AW5" s="17"/>
      <c r="AX5" s="18"/>
      <c r="AY5" s="17"/>
      <c r="AZ5" s="17"/>
      <c r="BA5" s="17"/>
      <c r="BB5" s="17"/>
      <c r="BC5" s="18"/>
      <c r="BD5" s="17"/>
      <c r="BE5" s="17"/>
      <c r="BF5" s="17"/>
      <c r="BG5" s="18"/>
      <c r="BH5" s="17"/>
      <c r="BI5" s="17"/>
      <c r="BJ5" s="17"/>
      <c r="BK5" s="18"/>
      <c r="BL5" s="17"/>
      <c r="BM5" s="17"/>
      <c r="BN5" s="17"/>
      <c r="BO5" s="18"/>
      <c r="BP5" s="17"/>
      <c r="BQ5" s="17"/>
      <c r="BR5" s="17"/>
      <c r="BS5" s="17"/>
      <c r="BT5" s="18"/>
      <c r="BU5" s="17"/>
      <c r="BV5" s="17"/>
      <c r="BW5" s="17"/>
      <c r="BX5" s="18"/>
      <c r="BY5" s="17"/>
      <c r="BZ5" s="17"/>
      <c r="CA5" s="17"/>
      <c r="CB5" s="18"/>
      <c r="CC5" s="17"/>
      <c r="CD5" s="17"/>
      <c r="CE5" s="17"/>
      <c r="CF5" s="17"/>
      <c r="CG5" s="18"/>
      <c r="CH5" s="17"/>
      <c r="CI5" s="17"/>
      <c r="CJ5" s="17"/>
      <c r="CK5" s="18"/>
      <c r="CL5" s="17"/>
      <c r="CM5" s="17"/>
      <c r="CN5" s="17"/>
      <c r="CO5" s="17"/>
      <c r="CP5" s="18"/>
      <c r="CQ5" s="17"/>
      <c r="CR5" s="17"/>
      <c r="CS5" s="17"/>
      <c r="CT5" s="18"/>
      <c r="CU5" s="17"/>
      <c r="CV5" s="17"/>
      <c r="CW5" s="17"/>
      <c r="CX5" s="18"/>
      <c r="CY5" s="17"/>
      <c r="CZ5" s="17"/>
      <c r="DA5" s="17"/>
      <c r="DB5" s="17"/>
      <c r="DC5" s="18"/>
      <c r="DD5" s="17"/>
      <c r="DE5" s="17"/>
      <c r="DF5" s="17"/>
      <c r="DG5" s="18"/>
      <c r="DH5" s="17"/>
      <c r="DI5" s="17"/>
      <c r="DJ5" s="17"/>
      <c r="DK5" s="18"/>
      <c r="DL5" s="17"/>
      <c r="DM5" s="17"/>
      <c r="DN5" s="17"/>
      <c r="DO5" s="19"/>
      <c r="DP5" s="20"/>
      <c r="DQ5" s="20"/>
      <c r="DR5" s="20"/>
      <c r="DS5" s="20"/>
      <c r="DT5" s="19"/>
      <c r="DU5" s="20"/>
      <c r="DV5" s="20"/>
      <c r="DW5" s="17"/>
      <c r="DX5" s="18"/>
      <c r="DY5" s="17"/>
      <c r="DZ5" s="17"/>
      <c r="EA5" s="17"/>
      <c r="EB5" s="17"/>
      <c r="EC5" s="18"/>
      <c r="ED5" s="17"/>
      <c r="EE5" s="17"/>
      <c r="EF5" s="17"/>
      <c r="EG5" s="18"/>
      <c r="EH5" s="17"/>
      <c r="EI5" s="17"/>
      <c r="EJ5" s="17"/>
      <c r="EK5" s="18"/>
      <c r="EL5" s="17"/>
    </row>
    <row r="6" ht="14.25" customHeight="1">
      <c r="A6" s="4"/>
      <c r="B6" s="13" t="s">
        <v>4</v>
      </c>
      <c r="C6" s="20">
        <v>577355.68</v>
      </c>
      <c r="D6" s="21">
        <v>350179.33</v>
      </c>
      <c r="E6" s="21">
        <v>255119.0</v>
      </c>
      <c r="F6" s="22">
        <v>291250.0</v>
      </c>
      <c r="G6" s="21">
        <v>404489.39</v>
      </c>
      <c r="H6" s="21">
        <v>133965.47</v>
      </c>
      <c r="I6" s="21">
        <v>351395.0</v>
      </c>
      <c r="J6" s="21">
        <v>36246.0</v>
      </c>
      <c r="K6" s="22">
        <v>187600.0</v>
      </c>
      <c r="L6" s="21">
        <v>61920.0</v>
      </c>
      <c r="M6" s="21">
        <v>93057.55</v>
      </c>
      <c r="N6" s="21">
        <v>109250.4</v>
      </c>
      <c r="O6" s="22">
        <v>130293.0</v>
      </c>
      <c r="P6" s="21">
        <v>0.0</v>
      </c>
      <c r="Q6" s="21">
        <v>0.0</v>
      </c>
      <c r="R6" s="21">
        <v>0.0</v>
      </c>
      <c r="S6" s="21">
        <v>0.0</v>
      </c>
      <c r="T6" s="22">
        <v>1784872.93</v>
      </c>
      <c r="U6" s="21">
        <v>465002.0</v>
      </c>
      <c r="V6" s="21">
        <v>202128.0</v>
      </c>
      <c r="W6" s="21">
        <v>127840.0</v>
      </c>
      <c r="X6" s="22">
        <v>264560.27</v>
      </c>
      <c r="Y6" s="21">
        <v>1101416.23</v>
      </c>
      <c r="Z6" s="21">
        <v>222930.0</v>
      </c>
      <c r="AA6" s="21">
        <v>287760.11</v>
      </c>
      <c r="AB6" s="22">
        <v>146160.0</v>
      </c>
      <c r="AC6" s="21">
        <v>413707.8</v>
      </c>
      <c r="AD6" s="21">
        <v>49781.2</v>
      </c>
      <c r="AE6" s="21">
        <v>209731.0</v>
      </c>
      <c r="AF6" s="21">
        <v>418221.27</v>
      </c>
      <c r="AG6" s="22">
        <f>551093.51+2700</f>
        <v>553793.51</v>
      </c>
      <c r="AH6" s="21">
        <v>422712.26</v>
      </c>
      <c r="AI6" s="21">
        <f>298700.38+22650</f>
        <v>321350.38</v>
      </c>
      <c r="AJ6" s="21">
        <v>124679.25</v>
      </c>
      <c r="AK6" s="22">
        <f>757789+1001215</f>
        <v>1759004</v>
      </c>
      <c r="AL6" s="21">
        <f>-49900+680960.42+9000</f>
        <v>640060.42</v>
      </c>
      <c r="AM6" s="21">
        <v>389310.0</v>
      </c>
      <c r="AN6" s="21">
        <v>261855.32</v>
      </c>
      <c r="AO6" s="22">
        <v>312301.37</v>
      </c>
      <c r="AP6" s="21">
        <f>600629.64+55646</f>
        <v>656275.64</v>
      </c>
      <c r="AQ6" s="21">
        <f>393367.96+5320</f>
        <v>398687.96</v>
      </c>
      <c r="AR6" s="21">
        <f>269523.08+162648.87</f>
        <v>432171.95</v>
      </c>
      <c r="AS6" s="21">
        <f>696113.8+18065</f>
        <v>714178.8</v>
      </c>
      <c r="AT6" s="22">
        <f>199060.96+42960</f>
        <v>242020.96</v>
      </c>
      <c r="AU6" s="21">
        <f>547827.64+188883.64+49950</f>
        <v>786661.28</v>
      </c>
      <c r="AV6" s="21">
        <v>702792.8</v>
      </c>
      <c r="AW6" s="21">
        <f>295109+1866.69</f>
        <v>296975.69</v>
      </c>
      <c r="AX6" s="22">
        <v>928667.37</v>
      </c>
      <c r="AY6" s="21">
        <f>1023665.35+50240</f>
        <v>1073905.35</v>
      </c>
      <c r="AZ6" s="21">
        <v>527136.59</v>
      </c>
      <c r="BA6" s="21">
        <f>449417.34+626838</f>
        <v>1076255.34</v>
      </c>
      <c r="BB6" s="21">
        <f>547504.69+434093.31</f>
        <v>981598</v>
      </c>
      <c r="BC6" s="22">
        <f>277595.58+235859.82</f>
        <v>513455.4</v>
      </c>
      <c r="BD6" s="21">
        <f>172220.16+361231.6</f>
        <v>533451.76</v>
      </c>
      <c r="BE6" s="21">
        <f>131489.4</f>
        <v>131489.4</v>
      </c>
      <c r="BF6" s="21">
        <f>36975+4560+3120+68511.34+68750</f>
        <v>181916.34</v>
      </c>
      <c r="BG6" s="22">
        <f>178081.6+4082.08</f>
        <v>182163.68</v>
      </c>
      <c r="BH6" s="21">
        <f>34270+128242.38</f>
        <v>162512.38</v>
      </c>
      <c r="BI6" s="21">
        <f>50250+83159.38</f>
        <v>133409.38</v>
      </c>
      <c r="BJ6" s="21">
        <f>373137.5+588710.72</f>
        <v>961848.22</v>
      </c>
      <c r="BK6" s="22">
        <f>490775.48+67320</f>
        <v>558095.48</v>
      </c>
      <c r="BL6" s="21">
        <f>718301.19+193335.81</f>
        <v>911637</v>
      </c>
      <c r="BM6" s="21">
        <f>509848.98+254215</f>
        <v>764063.98</v>
      </c>
      <c r="BN6" s="21">
        <f>175936+141500</f>
        <v>317436</v>
      </c>
      <c r="BO6" s="22">
        <f>132030+1324777</f>
        <v>1456807</v>
      </c>
      <c r="BP6" s="21">
        <f>645986.27+353854.5</f>
        <v>999840.77</v>
      </c>
      <c r="BQ6" s="21">
        <f>561719.65+379593.29</f>
        <v>941312.94</v>
      </c>
      <c r="BR6" s="21">
        <f>559436.75+171130</f>
        <v>730566.75</v>
      </c>
      <c r="BS6" s="21">
        <f>99831.86+249128.58</f>
        <v>348960.44</v>
      </c>
      <c r="BT6" s="22">
        <f>48237.5+33134+19200</f>
        <v>100571.5</v>
      </c>
      <c r="BU6" s="21">
        <f>636665.88+439935.16</f>
        <v>1076601.04</v>
      </c>
      <c r="BV6" s="21">
        <f>83671.12+ 222379.08</f>
        <v>306050.2</v>
      </c>
      <c r="BW6" s="21">
        <f>197658.39+ 197207.58</f>
        <v>394865.97</v>
      </c>
      <c r="BX6" s="22">
        <f>327218.86+24960</f>
        <v>352178.86</v>
      </c>
      <c r="BY6" s="21">
        <f>334398.75+184175</f>
        <v>518573.75</v>
      </c>
      <c r="BZ6" s="20">
        <f>231945.01+134139.58+15390+13199.85+29529.58+1209.51</f>
        <v>425413.53</v>
      </c>
      <c r="CA6" s="20">
        <f>163775.02+451047</f>
        <v>614822.02</v>
      </c>
      <c r="CB6" s="19">
        <f>285108.66+454884.58</f>
        <v>739993.24</v>
      </c>
      <c r="CC6" s="20">
        <f>431858.18+391157.45</f>
        <v>823015.63</v>
      </c>
      <c r="CD6" s="20">
        <f>126379.26+331928.55</f>
        <v>458307.81</v>
      </c>
      <c r="CE6" s="20">
        <f>378441.4+72800+135023.88</f>
        <v>586265.28</v>
      </c>
      <c r="CF6" s="20">
        <f>261864+470747.58</f>
        <v>732611.58</v>
      </c>
      <c r="CG6" s="19">
        <f>618836+107754.75</f>
        <v>726590.75</v>
      </c>
      <c r="CH6" s="20">
        <f>153218+446177.82</f>
        <v>599395.82</v>
      </c>
      <c r="CI6" s="20">
        <f>183640.1+422819.69+25000</f>
        <v>631459.79</v>
      </c>
      <c r="CJ6" s="20">
        <f>66769+272583.05</f>
        <v>339352.05</v>
      </c>
      <c r="CK6" s="19">
        <f>66578+360613.55</f>
        <v>427191.55</v>
      </c>
      <c r="CL6" s="20">
        <f>371509.52+120091+898463.66</f>
        <v>1390064.18</v>
      </c>
      <c r="CM6" s="20">
        <f>108115+784429+75600</f>
        <v>968144</v>
      </c>
      <c r="CN6" s="20">
        <f>29700+555834.21+170944</f>
        <v>756478.21</v>
      </c>
      <c r="CO6" s="20">
        <f>491091.61+93538.87+38800</f>
        <v>623430.48</v>
      </c>
      <c r="CP6" s="19">
        <f>104185.6+931344.73</f>
        <v>1035530.33</v>
      </c>
      <c r="CQ6" s="20">
        <f>856704.96+740210.32</f>
        <v>1596915.28</v>
      </c>
      <c r="CR6" s="20">
        <f>166490+455489.72</f>
        <v>621979.72</v>
      </c>
      <c r="CS6" s="20">
        <f>487934.4+169831.16</f>
        <v>657765.56</v>
      </c>
      <c r="CT6" s="19">
        <f>65560+735597.91</f>
        <v>801157.91</v>
      </c>
      <c r="CU6" s="20">
        <f>1696717.5+65475</f>
        <v>1762192.5</v>
      </c>
      <c r="CV6" s="20">
        <f>63077.4+230322+62100</f>
        <v>355499.4</v>
      </c>
      <c r="CW6" s="20">
        <f>1727606.3+52000</f>
        <v>1779606.3</v>
      </c>
      <c r="CX6" s="19">
        <f>61843.75+476164.58</f>
        <v>538008.33</v>
      </c>
      <c r="CY6" s="20">
        <f>477992+585766.08</f>
        <v>1063758.08</v>
      </c>
      <c r="CZ6" s="20">
        <f>368297.93+268500.5</f>
        <v>636798.43</v>
      </c>
      <c r="DA6" s="20">
        <f>214455.6+746479.75</f>
        <v>960935.35</v>
      </c>
      <c r="DB6" s="20">
        <f>421077.24+162810.58</f>
        <v>583887.82</v>
      </c>
      <c r="DC6" s="19">
        <f>540817.6+367688.88+622976+14400</f>
        <v>1545882.48</v>
      </c>
      <c r="DD6" s="20">
        <f>442488.81+896309.06</f>
        <v>1338797.87</v>
      </c>
      <c r="DE6" s="20">
        <f>846381.07+221543.24</f>
        <v>1067924.31</v>
      </c>
      <c r="DF6" s="20">
        <f>513075.3+110637.3</f>
        <v>623712.6</v>
      </c>
      <c r="DG6" s="23">
        <f>443651.5+707527.1</f>
        <v>1151178.6</v>
      </c>
      <c r="DH6" s="20">
        <f>358010.25+855581.13</f>
        <v>1213591.38</v>
      </c>
      <c r="DI6" s="20">
        <f>335938+308875.97+420661.2</f>
        <v>1065475.17</v>
      </c>
      <c r="DJ6" s="20">
        <f>258810.6+272026.5+101920</f>
        <v>632757.1</v>
      </c>
      <c r="DK6" s="19">
        <f>45892.8+196721.58</f>
        <v>242614.38</v>
      </c>
      <c r="DL6" s="20">
        <f>579871+287763.49+332732.8</f>
        <v>1200367.29</v>
      </c>
      <c r="DM6" s="20">
        <f>279234.5+315484</f>
        <v>594718.5</v>
      </c>
      <c r="DN6" s="20">
        <f>134608.33+760891.89+25300.58</f>
        <v>920800.8</v>
      </c>
      <c r="DO6" s="24">
        <f>96838.29+98741.5+34494.7+22007.7+72160+55250+50000+26500+7000+187782+44236.75+10640+18240+85000</f>
        <v>808890.94</v>
      </c>
      <c r="DP6" s="25">
        <f>96981+18892.8+16398.4+11072.12+23.74+159947.52+153356.67+292.95+33480+75+50064+8736</f>
        <v>549320.2</v>
      </c>
      <c r="DQ6" s="25">
        <f>59500+556982+2600+0.05+97643.1+1117000+110532+95635+95635+29700+19.46+159200+60480+26880+21600</f>
        <v>2433406.61</v>
      </c>
      <c r="DR6" s="25">
        <f>39218.85+21562.5+10368+267105.6+118750-95635+111210.4+36960+1.36+80105.2+71456</f>
        <v>661102.91</v>
      </c>
      <c r="DS6" s="25">
        <f>3800+18892.8+14235+647990+37666.4+135160+75000+34560+132980+43970+110400+24910+22.26+48750+20000</f>
        <v>1348336.46</v>
      </c>
      <c r="DT6" s="24">
        <f>55250+22558.2+96981+141463+116298.83+97920+19387.5+3360+18000+46080+36960+7000</f>
        <v>661258.53</v>
      </c>
      <c r="DU6" s="25">
        <f>2071.02+276680+85710+69120+38016+29981</f>
        <v>501578.02</v>
      </c>
      <c r="DV6" s="25">
        <f>68040+30240+93324</f>
        <v>191604</v>
      </c>
      <c r="DW6" s="26">
        <f t="array" ref="DW6">XLOOKUP(DW$2,'AR Aging 20260320'!$S:$S,'AR Aging 20260320'!$U:$U)</f>
        <v>49761.6</v>
      </c>
      <c r="DX6" s="27">
        <f t="array" ref="DX6">XLOOKUP(DX$2,'AR Aging 20260320'!$S:$S,'AR Aging 20260320'!$U:$U)</f>
        <v>0</v>
      </c>
      <c r="DY6" s="26">
        <f t="array" ref="DY6">XLOOKUP(DY$2,'AR Aging 20260320'!$S:$S,'AR Aging 20260320'!$U:$U)</f>
        <v>1914366.75</v>
      </c>
      <c r="DZ6" s="26">
        <f t="array" ref="DZ6">XLOOKUP(DZ$2,'AR Aging 20260320'!$S:$S,'AR Aging 20260320'!$U:$U)</f>
        <v>307517</v>
      </c>
      <c r="EA6" s="26">
        <f t="array" ref="EA6">XLOOKUP(EA$2,'AR Aging 20260320'!$S:$S,'AR Aging 20260320'!$U:$U)</f>
        <v>2467646.62</v>
      </c>
      <c r="EB6" s="26">
        <f t="array" ref="EB6">XLOOKUP(EB$2,'AR Aging 20260320'!$S:$S,'AR Aging 20260320'!$U:$U)</f>
        <v>0</v>
      </c>
      <c r="EC6" s="27">
        <f t="array" ref="EC6">XLOOKUP(EC$2,'AR Aging 20260320'!$S:$S,'AR Aging 20260320'!$U:$U)</f>
        <v>1802824.75</v>
      </c>
      <c r="ED6" s="26">
        <f t="array" ref="ED6">XLOOKUP(ED$2,'AR Aging 20260320'!$S:$S,'AR Aging 20260320'!$U:$U)</f>
        <v>282700.5</v>
      </c>
      <c r="EE6" s="26">
        <f t="array" ref="EE6">XLOOKUP(EE$2,'AR Aging 20260320'!$S:$S,'AR Aging 20260320'!$U:$U)</f>
        <v>2554433.4</v>
      </c>
      <c r="EF6" s="26">
        <f t="array" ref="EF6">XLOOKUP(EF$2,'AR Aging 20260320'!$S:$S,'AR Aging 20260320'!$U:$U)</f>
        <v>0</v>
      </c>
      <c r="EG6" s="27">
        <f t="array" ref="EG6">XLOOKUP(EG$2,'AR Aging 20260320'!$S:$S,'AR Aging 20260320'!$U:$U)</f>
        <v>2379456.68</v>
      </c>
      <c r="EH6" s="26">
        <f t="array" ref="EH6">XLOOKUP(EH$2,'AR Aging 20260320'!$S:$S,'AR Aging 20260320'!$U:$U)</f>
        <v>0</v>
      </c>
      <c r="EI6" s="26">
        <f t="array" ref="EI6">XLOOKUP(EI$2,'AR Aging 20260320'!$S:$S,'AR Aging 20260320'!$U:$U)</f>
        <v>539549.77</v>
      </c>
      <c r="EJ6" s="26">
        <f t="array" ref="EJ6">XLOOKUP(EJ$2,'AR Aging 20260320'!$S:$S,'AR Aging 20260320'!$U:$U)</f>
        <v>603337.6</v>
      </c>
      <c r="EK6" s="27">
        <f t="array" ref="EK6">XLOOKUP(EK$2,'AR Aging 20260320'!$S:$S,'AR Aging 20260320'!$U:$U)</f>
        <v>0</v>
      </c>
      <c r="EL6" s="26">
        <f t="array" ref="EL6">XLOOKUP(EL$2,'AR Aging 20260320'!$S:$S,'AR Aging 20260320'!$U:$U)</f>
        <v>1528567.5</v>
      </c>
    </row>
    <row r="7" ht="14.25" customHeight="1">
      <c r="A7" s="4"/>
      <c r="B7" s="13" t="s">
        <v>5</v>
      </c>
      <c r="C7" s="28">
        <v>0.0</v>
      </c>
      <c r="D7" s="21">
        <v>0.0</v>
      </c>
      <c r="E7" s="21">
        <v>0.0</v>
      </c>
      <c r="F7" s="22">
        <v>0.0</v>
      </c>
      <c r="G7" s="21">
        <v>0.0</v>
      </c>
      <c r="H7" s="21">
        <v>0.0</v>
      </c>
      <c r="I7" s="21">
        <v>0.0</v>
      </c>
      <c r="J7" s="21">
        <v>0.0</v>
      </c>
      <c r="K7" s="22">
        <v>0.0</v>
      </c>
      <c r="L7" s="21">
        <v>0.0</v>
      </c>
      <c r="M7" s="21">
        <v>770000.0</v>
      </c>
      <c r="N7" s="21">
        <v>0.0</v>
      </c>
      <c r="O7" s="22">
        <v>0.0</v>
      </c>
      <c r="P7" s="21">
        <v>0.0</v>
      </c>
      <c r="Q7" s="21">
        <v>0.0</v>
      </c>
      <c r="R7" s="21">
        <v>0.0</v>
      </c>
      <c r="S7" s="21">
        <v>0.0</v>
      </c>
      <c r="T7" s="22">
        <v>0.0</v>
      </c>
      <c r="U7" s="21">
        <v>0.0</v>
      </c>
      <c r="V7" s="21">
        <v>0.0</v>
      </c>
      <c r="W7" s="21">
        <v>0.0</v>
      </c>
      <c r="X7" s="22">
        <v>0.0</v>
      </c>
      <c r="Y7" s="21">
        <v>0.0</v>
      </c>
      <c r="Z7" s="21">
        <v>0.0</v>
      </c>
      <c r="AA7" s="21">
        <v>0.0</v>
      </c>
      <c r="AB7" s="22">
        <v>0.0</v>
      </c>
      <c r="AC7" s="21">
        <v>0.0</v>
      </c>
      <c r="AD7" s="21">
        <v>0.0</v>
      </c>
      <c r="AE7" s="21">
        <v>0.0</v>
      </c>
      <c r="AF7" s="21">
        <v>0.0</v>
      </c>
      <c r="AG7" s="22">
        <v>0.0</v>
      </c>
      <c r="AH7" s="21">
        <v>0.0</v>
      </c>
      <c r="AI7" s="21">
        <v>0.0</v>
      </c>
      <c r="AJ7" s="21">
        <v>0.0</v>
      </c>
      <c r="AK7" s="22">
        <v>0.0</v>
      </c>
      <c r="AL7" s="21">
        <v>0.0</v>
      </c>
      <c r="AM7" s="21">
        <v>0.0</v>
      </c>
      <c r="AN7" s="21">
        <v>0.0</v>
      </c>
      <c r="AO7" s="22">
        <v>0.0</v>
      </c>
      <c r="AP7" s="21">
        <v>0.0</v>
      </c>
      <c r="AQ7" s="21">
        <v>0.0</v>
      </c>
      <c r="AR7" s="21">
        <v>0.0</v>
      </c>
      <c r="AS7" s="21">
        <v>0.0</v>
      </c>
      <c r="AT7" s="22">
        <v>0.0</v>
      </c>
      <c r="AU7" s="21">
        <f>SUMIFS(Bookings!$W:$W,Bookings!$T:$T,'Wkly Cash Flow'!AU$2)</f>
        <v>0</v>
      </c>
      <c r="AV7" s="21">
        <f>SUMIFS(Bookings!$W:$W,Bookings!$T:$T,'Wkly Cash Flow'!AV$2)</f>
        <v>0</v>
      </c>
      <c r="AW7" s="21">
        <f>SUMIFS(Bookings!$W:$W,Bookings!$T:$T,'Wkly Cash Flow'!AW$2)</f>
        <v>0</v>
      </c>
      <c r="AX7" s="22">
        <f>SUMIFS(Bookings!$W:$W,Bookings!$T:$T,'Wkly Cash Flow'!AX$2)</f>
        <v>0</v>
      </c>
      <c r="AY7" s="21">
        <f>SUMIFS(Bookings!$W:$W,Bookings!$T:$T,'Wkly Cash Flow'!AY$2)</f>
        <v>0</v>
      </c>
      <c r="AZ7" s="21">
        <f>SUMIFS(Bookings!$W:$W,Bookings!$T:$T,'Wkly Cash Flow'!AZ$2)</f>
        <v>0</v>
      </c>
      <c r="BA7" s="21">
        <f>SUMIFS(Bookings!$W:$W,Bookings!$T:$T,'Wkly Cash Flow'!BA$2)</f>
        <v>0</v>
      </c>
      <c r="BB7" s="21">
        <f>SUMIFS(Bookings!$W:$W,Bookings!$T:$T,'Wkly Cash Flow'!BB$2)</f>
        <v>0</v>
      </c>
      <c r="BC7" s="22">
        <f>SUMIFS(Bookings!$W:$W,Bookings!$T:$T,'Wkly Cash Flow'!BC$2)</f>
        <v>0</v>
      </c>
      <c r="BD7" s="21">
        <v>0.0</v>
      </c>
      <c r="BE7" s="21">
        <f>SUMIFS(Bookings!$W:$W,Bookings!$T:$T,'Wkly Cash Flow'!BE$2)</f>
        <v>0</v>
      </c>
      <c r="BF7" s="21">
        <f>SUMIFS(Bookings!$W:$W,Bookings!$T:$T,'Wkly Cash Flow'!BF$2)</f>
        <v>0</v>
      </c>
      <c r="BG7" s="22"/>
      <c r="BH7" s="21"/>
      <c r="BI7" s="21"/>
      <c r="BJ7" s="21"/>
      <c r="BK7" s="22"/>
      <c r="BL7" s="21"/>
      <c r="BM7" s="21"/>
      <c r="BN7" s="21"/>
      <c r="BO7" s="22"/>
      <c r="BP7" s="21"/>
      <c r="BQ7" s="21"/>
      <c r="BR7" s="21"/>
      <c r="BS7" s="21"/>
      <c r="BT7" s="22"/>
      <c r="BU7" s="21"/>
      <c r="BV7" s="21"/>
      <c r="BW7" s="21"/>
      <c r="BX7" s="22">
        <f>SUMIFS(Bookings!$W:$W,Bookings!$T:$T,'Wkly Cash Flow'!BX$2)</f>
        <v>0</v>
      </c>
      <c r="BY7" s="21">
        <f>SUMIFS(Bookings!$W:$W,Bookings!$T:$T,'Wkly Cash Flow'!BY$2)</f>
        <v>0</v>
      </c>
      <c r="BZ7" s="21">
        <f>SUMIFS(Bookings!$W:$W,Bookings!$T:$T,'Wkly Cash Flow'!BZ$2)</f>
        <v>0</v>
      </c>
      <c r="CA7" s="20">
        <f>SUMIFS(Bookings!$W:$W,Bookings!$T:$T,'Wkly Cash Flow'!CA$2)</f>
        <v>0</v>
      </c>
      <c r="CB7" s="19">
        <f>SUMIFS(Bookings!$W:$W,Bookings!$T:$T,'Wkly Cash Flow'!CB$2)</f>
        <v>0</v>
      </c>
      <c r="CC7" s="20">
        <f>SUMIFS(Bookings!$W:$W,Bookings!$T:$T,'Wkly Cash Flow'!CC$2)</f>
        <v>0</v>
      </c>
      <c r="CD7" s="20">
        <f>SUMIFS(Bookings!$W:$W,Bookings!$T:$T,'Wkly Cash Flow'!CD$2)</f>
        <v>0</v>
      </c>
      <c r="CE7" s="20">
        <f>SUMIFS(Bookings!$W:$W,Bookings!$T:$T,'Wkly Cash Flow'!CE$2)</f>
        <v>0</v>
      </c>
      <c r="CF7" s="20">
        <f>SUMIFS(Bookings!$W:$W,Bookings!$T:$T,'Wkly Cash Flow'!CF$2)</f>
        <v>0</v>
      </c>
      <c r="CG7" s="19"/>
      <c r="CH7" s="20">
        <f>SUMIFS(Bookings!$W:$W,Bookings!$T:$T,'Wkly Cash Flow'!CH$2)</f>
        <v>0</v>
      </c>
      <c r="CI7" s="20">
        <f>SUMIFS(Bookings!$W:$W,Bookings!$T:$T,'Wkly Cash Flow'!CI$2)</f>
        <v>0</v>
      </c>
      <c r="CJ7" s="20">
        <f>SUMIFS(Bookings!$W:$W,Bookings!$T:$T,'Wkly Cash Flow'!CJ$2)</f>
        <v>0</v>
      </c>
      <c r="CK7" s="19"/>
      <c r="CL7" s="20">
        <f>SUMIFS(Bookings!$W:$W,Bookings!$T:$T,'Wkly Cash Flow'!CL$2)</f>
        <v>0</v>
      </c>
      <c r="CM7" s="20">
        <f>SUMIFS(Bookings!$W:$W,Bookings!$T:$T,'Wkly Cash Flow'!CM$2)</f>
        <v>0</v>
      </c>
      <c r="CN7" s="20">
        <f>SUMIFS(Bookings!$W:$W,Bookings!$T:$T,'Wkly Cash Flow'!CN$2)</f>
        <v>0</v>
      </c>
      <c r="CO7" s="20"/>
      <c r="CP7" s="19"/>
      <c r="CQ7" s="20"/>
      <c r="CR7" s="20"/>
      <c r="CS7" s="20">
        <f>SUMIFS(Bookings!$W:$W,Bookings!$T:$T,'Wkly Cash Flow'!CS$2)</f>
        <v>0</v>
      </c>
      <c r="CT7" s="19"/>
      <c r="CU7" s="20">
        <v>0.0</v>
      </c>
      <c r="CV7" s="20">
        <f>SUMIFS(Bookings!$W:$W,Bookings!$T:$T,'Wkly Cash Flow'!CV$2)</f>
        <v>0</v>
      </c>
      <c r="CW7" s="20"/>
      <c r="CX7" s="19">
        <f>SUMIFS(Bookings!$W:$W,Bookings!$T:$T,'Wkly Cash Flow'!CX$2)</f>
        <v>0</v>
      </c>
      <c r="CY7" s="20"/>
      <c r="CZ7" s="20"/>
      <c r="DA7" s="20"/>
      <c r="DB7" s="20"/>
      <c r="DC7" s="19"/>
      <c r="DD7" s="20"/>
      <c r="DE7" s="20"/>
      <c r="DF7" s="20"/>
      <c r="DG7" s="19"/>
      <c r="DH7" s="20">
        <f t="array" ref="DH7">XLOOKUP(DH$2,Bookings!$T:$T,Bookings!$W:$W)</f>
        <v>0</v>
      </c>
      <c r="DI7" s="20"/>
      <c r="DJ7" s="20"/>
      <c r="DK7" s="19">
        <f t="array" ref="DK7">XLOOKUP(DK$2,Bookings!$T:$T,Bookings!$W:$W)</f>
        <v>0</v>
      </c>
      <c r="DL7" s="20"/>
      <c r="DM7" s="20">
        <f t="array" ref="DM7">XLOOKUP(DM$2,Bookings!$T:$T,Bookings!$W:$W)</f>
        <v>0</v>
      </c>
      <c r="DN7" s="20"/>
      <c r="DO7" s="23"/>
      <c r="DP7" s="28"/>
      <c r="DQ7" s="28"/>
      <c r="DR7" s="28"/>
      <c r="DS7" s="28"/>
      <c r="DT7" s="23"/>
      <c r="DU7" s="28"/>
      <c r="DV7" s="28"/>
      <c r="DW7" s="26">
        <f t="array" ref="DW7">XLOOKUP(DW$2,Bookings!$T:$T,Bookings!$W:$W)</f>
        <v>0</v>
      </c>
      <c r="DX7" s="27">
        <f t="array" ref="DX7">XLOOKUP(DX$2,Bookings!$T:$T,Bookings!$W:$W)</f>
        <v>0</v>
      </c>
      <c r="DY7" s="14">
        <f t="array" ref="DY7">XLOOKUP(DY$2,Bookings!$T:$T,Bookings!$W:$W)</f>
        <v>1000000</v>
      </c>
      <c r="DZ7" s="14">
        <f t="array" ref="DZ7">XLOOKUP(DZ$2,Bookings!$T:$T,Bookings!$W:$W)</f>
        <v>0</v>
      </c>
      <c r="EA7" s="14">
        <f t="array" ref="EA7">XLOOKUP(EA$2,Bookings!$T:$T,Bookings!$W:$W)</f>
        <v>0</v>
      </c>
      <c r="EB7" s="14">
        <f t="array" ref="EB7">XLOOKUP(EB$2,Bookings!$T:$T,Bookings!$W:$W)</f>
        <v>0</v>
      </c>
      <c r="EC7" s="27">
        <f t="array" ref="EC7">XLOOKUP(EC$2,Bookings!$T:$T,Bookings!$W:$W)</f>
        <v>2000000</v>
      </c>
      <c r="ED7" s="14">
        <f t="array" ref="ED7">XLOOKUP(ED$2,Bookings!$T:$T,Bookings!$W:$W)</f>
        <v>0</v>
      </c>
      <c r="EE7" s="14">
        <f t="array" ref="EE7">XLOOKUP(EE$2,Bookings!$T:$T,Bookings!$W:$W)</f>
        <v>0</v>
      </c>
      <c r="EF7" s="14">
        <f t="array" ref="EF7">XLOOKUP(EF$2,Bookings!$T:$T,Bookings!$W:$W)</f>
        <v>0</v>
      </c>
      <c r="EG7" s="27">
        <f t="array" ref="EG7">XLOOKUP(EG$2,Bookings!$T:$T,Bookings!$W:$W)</f>
        <v>3000000</v>
      </c>
      <c r="EH7" s="14">
        <f t="array" ref="EH7">XLOOKUP(EH$2,Bookings!$T:$T,Bookings!$W:$W)</f>
        <v>0</v>
      </c>
      <c r="EI7" s="14">
        <f t="array" ref="EI7">XLOOKUP(EI$2,Bookings!$T:$T,Bookings!$W:$W)</f>
        <v>0</v>
      </c>
      <c r="EJ7" s="14">
        <f t="array" ref="EJ7">XLOOKUP(EJ$2,Bookings!$T:$T,Bookings!$W:$W)</f>
        <v>0</v>
      </c>
      <c r="EK7" s="27">
        <f t="array" ref="EK7">XLOOKUP(EK$2,Bookings!$T:$T,Bookings!$W:$W)</f>
        <v>0</v>
      </c>
      <c r="EL7" s="14">
        <f t="array" ref="EL7">XLOOKUP(EL$2,Bookings!$T:$T,Bookings!$W:$W)</f>
        <v>4000000</v>
      </c>
    </row>
    <row r="8" ht="14.25" customHeight="1">
      <c r="A8" s="4"/>
      <c r="B8" s="29" t="s">
        <v>6</v>
      </c>
      <c r="C8" s="28"/>
      <c r="D8" s="28"/>
      <c r="E8" s="28"/>
      <c r="F8" s="23"/>
      <c r="G8" s="28"/>
      <c r="H8" s="28"/>
      <c r="I8" s="28"/>
      <c r="J8" s="28"/>
      <c r="K8" s="23"/>
      <c r="L8" s="20">
        <v>500000.0</v>
      </c>
      <c r="M8" s="20"/>
      <c r="N8" s="20">
        <v>1940000.0</v>
      </c>
      <c r="O8" s="19">
        <v>952054.5899999999</v>
      </c>
      <c r="P8" s="20"/>
      <c r="Q8" s="20"/>
      <c r="R8" s="20"/>
      <c r="S8" s="20"/>
      <c r="T8" s="19"/>
      <c r="U8" s="20"/>
      <c r="V8" s="20"/>
      <c r="W8" s="20"/>
      <c r="X8" s="19"/>
      <c r="Y8" s="20">
        <v>550000.0</v>
      </c>
      <c r="Z8" s="20">
        <v>689000.0</v>
      </c>
      <c r="AA8" s="20"/>
      <c r="AB8" s="19"/>
      <c r="AC8" s="20"/>
      <c r="AD8" s="20"/>
      <c r="AE8" s="20"/>
      <c r="AF8" s="20"/>
      <c r="AG8" s="19">
        <v>600000.0</v>
      </c>
      <c r="AH8" s="20"/>
      <c r="AI8" s="20"/>
      <c r="AJ8" s="20"/>
      <c r="AK8" s="19"/>
      <c r="AL8" s="20"/>
      <c r="AM8" s="20"/>
      <c r="AN8" s="20"/>
      <c r="AO8" s="19"/>
      <c r="AP8" s="20"/>
      <c r="AQ8" s="20"/>
      <c r="AR8" s="20"/>
      <c r="AS8" s="20"/>
      <c r="AT8" s="19"/>
      <c r="AU8" s="20"/>
      <c r="AV8" s="20">
        <v>430000.0</v>
      </c>
      <c r="AW8" s="20"/>
      <c r="AX8" s="19"/>
      <c r="AY8" s="20"/>
      <c r="AZ8" s="20"/>
      <c r="BA8" s="20"/>
      <c r="BB8" s="20"/>
      <c r="BC8" s="19"/>
      <c r="BD8" s="20"/>
      <c r="BE8" s="20"/>
      <c r="BF8" s="20">
        <v>600000.0</v>
      </c>
      <c r="BG8" s="19"/>
      <c r="BH8" s="20">
        <v>200000.0</v>
      </c>
      <c r="BI8" s="20">
        <v>400000.0</v>
      </c>
      <c r="BJ8" s="20"/>
      <c r="BK8" s="19">
        <v>200000.0</v>
      </c>
      <c r="BL8" s="20"/>
      <c r="BM8" s="20"/>
      <c r="BN8" s="20"/>
      <c r="BO8" s="19"/>
      <c r="BP8" s="20"/>
      <c r="BQ8" s="20"/>
      <c r="BR8" s="20"/>
      <c r="BS8" s="20"/>
      <c r="BT8" s="19"/>
      <c r="BU8" s="20">
        <v>500000.0</v>
      </c>
      <c r="BV8" s="20"/>
      <c r="BW8" s="20">
        <v>1500000.0</v>
      </c>
      <c r="BX8" s="22">
        <v>700000.0</v>
      </c>
      <c r="BY8" s="21"/>
      <c r="BZ8" s="20"/>
      <c r="CA8" s="20">
        <f>300000</f>
        <v>300000</v>
      </c>
      <c r="CB8" s="19"/>
      <c r="CC8" s="20"/>
      <c r="CD8" s="20"/>
      <c r="CE8" s="20">
        <f>18094708.55</f>
        <v>18094708.55</v>
      </c>
      <c r="CF8" s="20"/>
      <c r="CG8" s="19"/>
      <c r="CH8" s="20"/>
      <c r="CI8" s="20"/>
      <c r="CJ8" s="20"/>
      <c r="CK8" s="19"/>
      <c r="CL8" s="20"/>
      <c r="CM8" s="20"/>
      <c r="CN8" s="20"/>
      <c r="CO8" s="20"/>
      <c r="CP8" s="19"/>
      <c r="CQ8" s="20"/>
      <c r="CR8" s="20">
        <v>213795.0</v>
      </c>
      <c r="CS8" s="20"/>
      <c r="CT8" s="19">
        <f>204312</f>
        <v>204312</v>
      </c>
      <c r="CU8" s="20"/>
      <c r="CV8" s="20"/>
      <c r="CW8" s="20"/>
      <c r="CX8" s="19"/>
      <c r="CY8" s="20"/>
      <c r="CZ8" s="20"/>
      <c r="DA8" s="20"/>
      <c r="DB8" s="20"/>
      <c r="DC8" s="19"/>
      <c r="DD8" s="20"/>
      <c r="DE8" s="20"/>
      <c r="DF8" s="20"/>
      <c r="DG8" s="19"/>
      <c r="DH8" s="20"/>
      <c r="DI8" s="20"/>
      <c r="DJ8" s="20"/>
      <c r="DK8" s="19"/>
      <c r="DL8" s="20"/>
      <c r="DM8" s="20"/>
      <c r="DN8" s="20"/>
      <c r="DO8" s="19"/>
      <c r="DP8" s="20"/>
      <c r="DQ8" s="20"/>
      <c r="DR8" s="20"/>
      <c r="DS8" s="20"/>
      <c r="DT8" s="19"/>
      <c r="DU8" s="20"/>
      <c r="DV8" s="20"/>
      <c r="DW8" s="30"/>
      <c r="DX8" s="31"/>
      <c r="DY8" s="30"/>
      <c r="DZ8" s="30"/>
      <c r="EA8" s="30"/>
      <c r="EB8" s="30"/>
      <c r="EC8" s="31"/>
      <c r="ED8" s="30"/>
      <c r="EE8" s="30"/>
      <c r="EF8" s="30"/>
      <c r="EG8" s="31"/>
      <c r="EH8" s="30"/>
      <c r="EI8" s="30"/>
      <c r="EJ8" s="30"/>
      <c r="EK8" s="31"/>
      <c r="EL8" s="30"/>
    </row>
    <row r="9" ht="14.25" customHeight="1">
      <c r="A9" s="4"/>
      <c r="B9" s="16" t="s">
        <v>7</v>
      </c>
      <c r="C9" s="17"/>
      <c r="D9" s="17"/>
      <c r="E9" s="17"/>
      <c r="F9" s="18"/>
      <c r="G9" s="17"/>
      <c r="H9" s="17"/>
      <c r="I9" s="17"/>
      <c r="J9" s="17"/>
      <c r="K9" s="18"/>
      <c r="L9" s="17"/>
      <c r="M9" s="17"/>
      <c r="N9" s="17"/>
      <c r="O9" s="18"/>
      <c r="P9" s="17"/>
      <c r="Q9" s="17"/>
      <c r="R9" s="17"/>
      <c r="S9" s="17"/>
      <c r="T9" s="18"/>
      <c r="U9" s="17"/>
      <c r="V9" s="17"/>
      <c r="W9" s="17"/>
      <c r="X9" s="18"/>
      <c r="Y9" s="17"/>
      <c r="Z9" s="17"/>
      <c r="AA9" s="17"/>
      <c r="AB9" s="18"/>
      <c r="AC9" s="17"/>
      <c r="AD9" s="17"/>
      <c r="AE9" s="17"/>
      <c r="AF9" s="17"/>
      <c r="AG9" s="18"/>
      <c r="AH9" s="17"/>
      <c r="AI9" s="17"/>
      <c r="AJ9" s="17"/>
      <c r="AK9" s="18"/>
      <c r="AL9" s="17"/>
      <c r="AM9" s="17"/>
      <c r="AN9" s="17"/>
      <c r="AO9" s="18"/>
      <c r="AP9" s="17"/>
      <c r="AQ9" s="17"/>
      <c r="AR9" s="17"/>
      <c r="AS9" s="17"/>
      <c r="AT9" s="18"/>
      <c r="AU9" s="17"/>
      <c r="AV9" s="17"/>
      <c r="AW9" s="17"/>
      <c r="AX9" s="18"/>
      <c r="AY9" s="17"/>
      <c r="AZ9" s="17"/>
      <c r="BA9" s="17"/>
      <c r="BB9" s="17"/>
      <c r="BC9" s="18"/>
      <c r="BD9" s="17"/>
      <c r="BE9" s="17"/>
      <c r="BF9" s="17"/>
      <c r="BG9" s="18"/>
      <c r="BH9" s="17"/>
      <c r="BI9" s="17"/>
      <c r="BJ9" s="17"/>
      <c r="BK9" s="18"/>
      <c r="BL9" s="17"/>
      <c r="BM9" s="17"/>
      <c r="BN9" s="17"/>
      <c r="BO9" s="18"/>
      <c r="BP9" s="17"/>
      <c r="BQ9" s="17"/>
      <c r="BR9" s="17"/>
      <c r="BS9" s="17"/>
      <c r="BT9" s="18"/>
      <c r="BU9" s="17"/>
      <c r="BV9" s="17"/>
      <c r="BW9" s="17"/>
      <c r="BX9" s="18"/>
      <c r="BY9" s="17"/>
      <c r="BZ9" s="17"/>
      <c r="CA9" s="17"/>
      <c r="CB9" s="18"/>
      <c r="CC9" s="17"/>
      <c r="CD9" s="17"/>
      <c r="CE9" s="17"/>
      <c r="CF9" s="17"/>
      <c r="CG9" s="18"/>
      <c r="CH9" s="17"/>
      <c r="CI9" s="17"/>
      <c r="CJ9" s="17"/>
      <c r="CK9" s="18"/>
      <c r="CL9" s="17"/>
      <c r="CM9" s="17"/>
      <c r="CN9" s="17"/>
      <c r="CO9" s="17"/>
      <c r="CP9" s="18"/>
      <c r="CQ9" s="17"/>
      <c r="CR9" s="17"/>
      <c r="CS9" s="17"/>
      <c r="CT9" s="18"/>
      <c r="CU9" s="17"/>
      <c r="CV9" s="17"/>
      <c r="CW9" s="17"/>
      <c r="CX9" s="18"/>
      <c r="CY9" s="17"/>
      <c r="CZ9" s="17"/>
      <c r="DA9" s="17"/>
      <c r="DB9" s="17"/>
      <c r="DC9" s="18"/>
      <c r="DD9" s="17"/>
      <c r="DE9" s="17"/>
      <c r="DF9" s="17"/>
      <c r="DG9" s="18"/>
      <c r="DH9" s="17"/>
      <c r="DI9" s="17"/>
      <c r="DJ9" s="17"/>
      <c r="DK9" s="18"/>
      <c r="DL9" s="17"/>
      <c r="DM9" s="17"/>
      <c r="DN9" s="17"/>
      <c r="DO9" s="19"/>
      <c r="DP9" s="20"/>
      <c r="DQ9" s="20"/>
      <c r="DR9" s="20"/>
      <c r="DS9" s="20"/>
      <c r="DT9" s="19"/>
      <c r="DU9" s="20"/>
      <c r="DV9" s="20"/>
      <c r="DW9" s="17"/>
      <c r="DX9" s="18"/>
      <c r="DY9" s="17"/>
      <c r="DZ9" s="17"/>
      <c r="EA9" s="17"/>
      <c r="EB9" s="17"/>
      <c r="EC9" s="18"/>
      <c r="ED9" s="17"/>
      <c r="EE9" s="17"/>
      <c r="EF9" s="17"/>
      <c r="EG9" s="18"/>
      <c r="EH9" s="17"/>
      <c r="EI9" s="17"/>
      <c r="EJ9" s="17"/>
      <c r="EK9" s="18"/>
      <c r="EL9" s="17"/>
    </row>
    <row r="10" ht="14.25" customHeight="1">
      <c r="A10" s="4"/>
      <c r="B10" s="13" t="s">
        <v>8</v>
      </c>
      <c r="C10" s="20">
        <v>-486239.44</v>
      </c>
      <c r="D10" s="20"/>
      <c r="E10" s="20">
        <v>-479000.0</v>
      </c>
      <c r="F10" s="19"/>
      <c r="G10" s="20">
        <v>-457093.02</v>
      </c>
      <c r="H10" s="20"/>
      <c r="I10" s="20">
        <v>-469959.91</v>
      </c>
      <c r="J10" s="20">
        <v>21.49</v>
      </c>
      <c r="K10" s="19">
        <v>-471832.45</v>
      </c>
      <c r="L10" s="20"/>
      <c r="M10" s="20">
        <v>-485000.0</v>
      </c>
      <c r="N10" s="20"/>
      <c r="O10" s="19">
        <v>-485000.0</v>
      </c>
      <c r="P10" s="20"/>
      <c r="Q10" s="20">
        <v>-490000.0</v>
      </c>
      <c r="R10" s="20"/>
      <c r="S10" s="20">
        <v>-490000.0</v>
      </c>
      <c r="T10" s="19"/>
      <c r="U10" s="20">
        <v>-450603.76</v>
      </c>
      <c r="V10" s="20"/>
      <c r="W10" s="20">
        <v>-507095.7</v>
      </c>
      <c r="X10" s="19"/>
      <c r="Y10" s="20">
        <v>-460000.0</v>
      </c>
      <c r="Z10" s="20"/>
      <c r="AA10" s="20">
        <v>-460000.0</v>
      </c>
      <c r="AB10" s="19"/>
      <c r="AC10" s="20">
        <v>-490000.0</v>
      </c>
      <c r="AD10" s="20"/>
      <c r="AE10" s="20">
        <v>-488297.24</v>
      </c>
      <c r="AF10" s="20"/>
      <c r="AG10" s="19">
        <f>-713222.48-AG11</f>
        <v>-521554.18</v>
      </c>
      <c r="AH10" s="20"/>
      <c r="AI10" s="20">
        <v>-525173.09</v>
      </c>
      <c r="AJ10" s="20"/>
      <c r="AK10" s="19">
        <f>-672927+117564.09</f>
        <v>-555362.91</v>
      </c>
      <c r="AL10" s="20"/>
      <c r="AM10" s="20">
        <v>-500072.79</v>
      </c>
      <c r="AN10" s="20"/>
      <c r="AO10" s="19">
        <v>-579638.45</v>
      </c>
      <c r="AP10" s="20"/>
      <c r="AQ10" s="20">
        <v>-521222.51</v>
      </c>
      <c r="AR10" s="20"/>
      <c r="AS10" s="20">
        <v>-553535.47</v>
      </c>
      <c r="AT10" s="19"/>
      <c r="AU10" s="20">
        <v>-524725.96</v>
      </c>
      <c r="AV10" s="20">
        <v>-1958.14</v>
      </c>
      <c r="AW10" s="20">
        <v>-626469.52</v>
      </c>
      <c r="AX10" s="19"/>
      <c r="AY10" s="20">
        <v>-571065.76</v>
      </c>
      <c r="AZ10" s="20"/>
      <c r="BA10" s="20">
        <v>-557810.57</v>
      </c>
      <c r="BB10" s="20"/>
      <c r="BC10" s="19">
        <v>-577090.03</v>
      </c>
      <c r="BD10" s="20"/>
      <c r="BE10" s="20">
        <v>-559835.0</v>
      </c>
      <c r="BF10" s="20"/>
      <c r="BG10" s="19">
        <v>-564444.79</v>
      </c>
      <c r="BH10" s="20"/>
      <c r="BI10" s="20">
        <v>-556561.81</v>
      </c>
      <c r="BJ10" s="20"/>
      <c r="BK10" s="19">
        <v>-579826.37</v>
      </c>
      <c r="BL10" s="20"/>
      <c r="BM10" s="20">
        <v>-558465.81</v>
      </c>
      <c r="BN10" s="20"/>
      <c r="BO10" s="19">
        <v>-557392.87</v>
      </c>
      <c r="BP10" s="20"/>
      <c r="BQ10" s="20">
        <v>-578607.75</v>
      </c>
      <c r="BR10" s="20"/>
      <c r="BS10" s="20">
        <f>-588831.05-3280.07+1478.1</f>
        <v>-590633.02</v>
      </c>
      <c r="BT10" s="19"/>
      <c r="BU10" s="20">
        <v>-583994.98</v>
      </c>
      <c r="BV10" s="20"/>
      <c r="BW10" s="20">
        <v>-614501.64</v>
      </c>
      <c r="BX10" s="22"/>
      <c r="BY10" s="20">
        <f>-598670.19</f>
        <v>-598670.19</v>
      </c>
      <c r="BZ10" s="20"/>
      <c r="CA10" s="20">
        <f>-604531.81</f>
        <v>-604531.81</v>
      </c>
      <c r="CB10" s="19"/>
      <c r="CC10" s="20">
        <v>-616962.0</v>
      </c>
      <c r="CD10" s="20"/>
      <c r="CE10" s="20">
        <f>-633064.48</f>
        <v>-633064.48</v>
      </c>
      <c r="CF10" s="20"/>
      <c r="CG10" s="19">
        <v>-822215.94</v>
      </c>
      <c r="CH10" s="20"/>
      <c r="CI10" s="20">
        <v>-624037.09</v>
      </c>
      <c r="CJ10" s="20"/>
      <c r="CK10" s="19">
        <v>-678441.1</v>
      </c>
      <c r="CL10" s="20"/>
      <c r="CM10" s="20">
        <v>-740246.79</v>
      </c>
      <c r="CN10" s="20"/>
      <c r="CO10" s="20">
        <f>-685708.64</f>
        <v>-685708.64</v>
      </c>
      <c r="CP10" s="19">
        <f>-308529.71</f>
        <v>-308529.71</v>
      </c>
      <c r="CQ10" s="20">
        <f>-684765.8</f>
        <v>-684765.8</v>
      </c>
      <c r="CR10" s="20"/>
      <c r="CS10" s="20">
        <f>-761855.96</f>
        <v>-761855.96</v>
      </c>
      <c r="CT10" s="19">
        <v>-298101.66</v>
      </c>
      <c r="CU10" s="20">
        <v>-746662.23</v>
      </c>
      <c r="CV10" s="20"/>
      <c r="CW10" s="20">
        <f>-764439.25</f>
        <v>-764439.25</v>
      </c>
      <c r="CX10" s="19"/>
      <c r="CY10" s="20">
        <f>-824720.16</f>
        <v>-824720.16</v>
      </c>
      <c r="CZ10" s="20"/>
      <c r="DA10" s="20">
        <v>-841297.88</v>
      </c>
      <c r="DB10" s="20"/>
      <c r="DC10" s="19">
        <f>-1506934.58</f>
        <v>-1506934.58</v>
      </c>
      <c r="DD10" s="20"/>
      <c r="DE10" s="20">
        <f>-802575.13</f>
        <v>-802575.13</v>
      </c>
      <c r="DF10" s="20"/>
      <c r="DG10" s="19">
        <v>-1080029.39</v>
      </c>
      <c r="DH10" s="20"/>
      <c r="DI10" s="20">
        <f>-836039.47</f>
        <v>-836039.47</v>
      </c>
      <c r="DJ10" s="20"/>
      <c r="DK10" s="19">
        <f>-834536.36</f>
        <v>-834536.36</v>
      </c>
      <c r="DL10" s="20"/>
      <c r="DM10" s="20">
        <f>-845077.81</f>
        <v>-845077.81</v>
      </c>
      <c r="DN10" s="20"/>
      <c r="DO10" s="24">
        <f>-873802.67</f>
        <v>-873802.67</v>
      </c>
      <c r="DP10" s="25">
        <f>-216237.85</f>
        <v>-216237.85</v>
      </c>
      <c r="DQ10" s="25">
        <f>-865577.09</f>
        <v>-865577.09</v>
      </c>
      <c r="DR10" s="20"/>
      <c r="DS10" s="25">
        <f>-869127.85</f>
        <v>-869127.85</v>
      </c>
      <c r="DT10" s="24">
        <f>-270475.11</f>
        <v>-270475.11</v>
      </c>
      <c r="DU10" s="25">
        <f>-859997.84</f>
        <v>-859997.84</v>
      </c>
      <c r="DV10" s="20"/>
      <c r="DW10" s="14">
        <v>-900000.0</v>
      </c>
      <c r="DX10" s="15"/>
      <c r="DY10" s="14">
        <v>-900000.0</v>
      </c>
      <c r="DZ10" s="14"/>
      <c r="EA10" s="14">
        <v>-900000.0</v>
      </c>
      <c r="EB10" s="14"/>
      <c r="EC10" s="15">
        <v>-900000.0</v>
      </c>
      <c r="ED10" s="14"/>
      <c r="EE10" s="14">
        <v>-910000.0</v>
      </c>
      <c r="EF10" s="14"/>
      <c r="EG10" s="15">
        <v>-910000.0</v>
      </c>
      <c r="EH10" s="14"/>
      <c r="EI10" s="14">
        <v>-910000.0</v>
      </c>
      <c r="EJ10" s="14"/>
      <c r="EK10" s="15">
        <v>-910000.0</v>
      </c>
      <c r="EL10" s="14"/>
    </row>
    <row r="11" ht="14.25" customHeight="1">
      <c r="A11" s="4"/>
      <c r="B11" s="13" t="s">
        <v>9</v>
      </c>
      <c r="C11" s="20">
        <v>-106753.96</v>
      </c>
      <c r="D11" s="20"/>
      <c r="E11" s="20"/>
      <c r="F11" s="19"/>
      <c r="G11" s="20">
        <v>-235369.33</v>
      </c>
      <c r="H11" s="20"/>
      <c r="I11" s="20"/>
      <c r="J11" s="20"/>
      <c r="K11" s="19">
        <v>-86851.37</v>
      </c>
      <c r="L11" s="20"/>
      <c r="M11" s="20"/>
      <c r="N11" s="20"/>
      <c r="O11" s="19">
        <v>-100000.0</v>
      </c>
      <c r="P11" s="20"/>
      <c r="Q11" s="20"/>
      <c r="R11" s="20"/>
      <c r="S11" s="20"/>
      <c r="T11" s="19">
        <v>-292849.0</v>
      </c>
      <c r="U11" s="20"/>
      <c r="V11" s="20"/>
      <c r="W11" s="20"/>
      <c r="X11" s="19">
        <v>-135000.0</v>
      </c>
      <c r="Y11" s="20"/>
      <c r="Z11" s="20"/>
      <c r="AA11" s="20"/>
      <c r="AB11" s="19"/>
      <c r="AC11" s="20">
        <v>-150000.0</v>
      </c>
      <c r="AD11" s="20"/>
      <c r="AE11" s="20"/>
      <c r="AF11" s="20"/>
      <c r="AG11" s="19">
        <f>-191668.3</f>
        <v>-191668.3</v>
      </c>
      <c r="AH11" s="20"/>
      <c r="AI11" s="20"/>
      <c r="AJ11" s="20"/>
      <c r="AK11" s="19">
        <v>-131717.46</v>
      </c>
      <c r="AL11" s="20"/>
      <c r="AM11" s="20"/>
      <c r="AN11" s="20"/>
      <c r="AO11" s="19"/>
      <c r="AP11" s="20">
        <v>-150968.47</v>
      </c>
      <c r="AQ11" s="20"/>
      <c r="AR11" s="20"/>
      <c r="AS11" s="20"/>
      <c r="AT11" s="19">
        <v>-189304.86</v>
      </c>
      <c r="AU11" s="20"/>
      <c r="AV11" s="20"/>
      <c r="AW11" s="20"/>
      <c r="AX11" s="19">
        <v>-147897.35</v>
      </c>
      <c r="AY11" s="20">
        <v>-194609.73</v>
      </c>
      <c r="AZ11" s="20"/>
      <c r="BA11" s="20"/>
      <c r="BB11" s="20"/>
      <c r="BC11" s="19">
        <v>-254504.33</v>
      </c>
      <c r="BD11" s="20"/>
      <c r="BE11" s="20">
        <v>-8796.32</v>
      </c>
      <c r="BF11" s="20"/>
      <c r="BG11" s="19">
        <v>-265882.85</v>
      </c>
      <c r="BH11" s="20"/>
      <c r="BI11" s="20"/>
      <c r="BJ11" s="20"/>
      <c r="BK11" s="19">
        <v>-98622.43</v>
      </c>
      <c r="BL11" s="20"/>
      <c r="BM11" s="20"/>
      <c r="BN11" s="20"/>
      <c r="BO11" s="19">
        <v>-156573.57</v>
      </c>
      <c r="BP11" s="20">
        <v>-223996.81</v>
      </c>
      <c r="BQ11" s="20"/>
      <c r="BR11" s="20"/>
      <c r="BS11" s="20"/>
      <c r="BT11" s="19">
        <v>-480222.88</v>
      </c>
      <c r="BU11" s="20"/>
      <c r="BV11" s="20"/>
      <c r="BW11" s="20"/>
      <c r="BX11" s="19">
        <v>-177215.52</v>
      </c>
      <c r="BY11" s="20"/>
      <c r="BZ11" s="20"/>
      <c r="CA11" s="20"/>
      <c r="CB11" s="19"/>
      <c r="CC11" s="20">
        <v>-185940.88</v>
      </c>
      <c r="CD11" s="20"/>
      <c r="CE11" s="20"/>
      <c r="CF11" s="20">
        <v>-1.762922368E7</v>
      </c>
      <c r="CG11" s="19"/>
      <c r="CH11" s="20"/>
      <c r="CI11" s="20"/>
      <c r="CJ11" s="20"/>
      <c r="CK11" s="19"/>
      <c r="CL11" s="20">
        <v>-131031.48</v>
      </c>
      <c r="CM11" s="20"/>
      <c r="CN11" s="20"/>
      <c r="CO11" s="20"/>
      <c r="CP11" s="19"/>
      <c r="CQ11" s="20"/>
      <c r="CR11" s="20"/>
      <c r="CS11" s="20"/>
      <c r="CT11" s="19"/>
      <c r="CU11" s="20"/>
      <c r="CV11" s="20"/>
      <c r="CW11" s="20"/>
      <c r="CX11" s="19"/>
      <c r="CY11" s="20">
        <f>-315545.79</f>
        <v>-315545.79</v>
      </c>
      <c r="CZ11" s="20"/>
      <c r="DA11" s="20"/>
      <c r="DB11" s="20"/>
      <c r="DC11" s="19"/>
      <c r="DD11" s="20"/>
      <c r="DE11" s="20"/>
      <c r="DF11" s="20"/>
      <c r="DG11" s="19"/>
      <c r="DH11" s="20"/>
      <c r="DI11" s="20"/>
      <c r="DJ11" s="20"/>
      <c r="DK11" s="19"/>
      <c r="DL11" s="20">
        <v>-420008.56</v>
      </c>
      <c r="DM11" s="20"/>
      <c r="DN11" s="20"/>
      <c r="DO11" s="19"/>
      <c r="DP11" s="20"/>
      <c r="DQ11" s="20"/>
      <c r="DR11" s="20"/>
      <c r="DS11" s="20"/>
      <c r="DT11" s="19"/>
      <c r="DU11" s="20"/>
      <c r="DV11" s="20"/>
      <c r="DW11" s="14"/>
      <c r="DX11" s="15">
        <v>-250000.0</v>
      </c>
      <c r="DY11" s="14"/>
      <c r="DZ11" s="14"/>
      <c r="EA11" s="14"/>
      <c r="EB11" s="14"/>
      <c r="EC11" s="15">
        <v>-250000.0</v>
      </c>
      <c r="ED11" s="14"/>
      <c r="EE11" s="14"/>
      <c r="EF11" s="14"/>
      <c r="EG11" s="15">
        <v>-250000.0</v>
      </c>
      <c r="EH11" s="14"/>
      <c r="EI11" s="14"/>
      <c r="EJ11" s="14"/>
      <c r="EK11" s="15">
        <v>-250000.0</v>
      </c>
      <c r="EL11" s="14"/>
    </row>
    <row r="12" ht="14.25" customHeight="1">
      <c r="A12" s="4"/>
      <c r="B12" s="13" t="s">
        <v>10</v>
      </c>
      <c r="C12" s="20">
        <v>-85053.24</v>
      </c>
      <c r="D12" s="20"/>
      <c r="E12" s="20"/>
      <c r="F12" s="19"/>
      <c r="G12" s="20">
        <v>-78906.19</v>
      </c>
      <c r="H12" s="20"/>
      <c r="I12" s="20"/>
      <c r="J12" s="20"/>
      <c r="K12" s="19"/>
      <c r="L12" s="20">
        <v>-78000.0</v>
      </c>
      <c r="M12" s="20"/>
      <c r="N12" s="20"/>
      <c r="O12" s="19"/>
      <c r="P12" s="20">
        <v>-78000.0</v>
      </c>
      <c r="Q12" s="20"/>
      <c r="R12" s="20"/>
      <c r="S12" s="20"/>
      <c r="T12" s="19"/>
      <c r="U12" s="20">
        <v>-74429.3</v>
      </c>
      <c r="V12" s="20"/>
      <c r="W12" s="20"/>
      <c r="X12" s="19"/>
      <c r="Y12" s="20">
        <v>-78000.0</v>
      </c>
      <c r="Z12" s="20"/>
      <c r="AA12" s="20"/>
      <c r="AB12" s="19"/>
      <c r="AC12" s="20">
        <v>-78000.0</v>
      </c>
      <c r="AD12" s="20"/>
      <c r="AE12" s="20"/>
      <c r="AF12" s="20"/>
      <c r="AG12" s="19"/>
      <c r="AH12" s="20">
        <v>-86047.42</v>
      </c>
      <c r="AI12" s="20"/>
      <c r="AJ12" s="20"/>
      <c r="AK12" s="19"/>
      <c r="AL12" s="20">
        <v>-72792.41</v>
      </c>
      <c r="AM12" s="20"/>
      <c r="AN12" s="20"/>
      <c r="AO12" s="19"/>
      <c r="AP12" s="20">
        <v>-115474.84</v>
      </c>
      <c r="AQ12" s="20"/>
      <c r="AR12" s="20"/>
      <c r="AS12" s="20"/>
      <c r="AT12" s="19"/>
      <c r="AU12" s="20">
        <v>-102027.2</v>
      </c>
      <c r="AV12" s="20"/>
      <c r="AW12" s="20"/>
      <c r="AX12" s="19"/>
      <c r="AY12" s="20">
        <v>-104693.15</v>
      </c>
      <c r="AZ12" s="20"/>
      <c r="BA12" s="20"/>
      <c r="BB12" s="20"/>
      <c r="BC12" s="19"/>
      <c r="BD12" s="20">
        <f>-100200.84-3364.89</f>
        <v>-103565.73</v>
      </c>
      <c r="BE12" s="20"/>
      <c r="BF12" s="20"/>
      <c r="BG12" s="19"/>
      <c r="BH12" s="20">
        <f>-106343.19-2205.82</f>
        <v>-108549.01</v>
      </c>
      <c r="BI12" s="20"/>
      <c r="BJ12" s="20"/>
      <c r="BK12" s="19"/>
      <c r="BL12" s="20">
        <v>-103571.15</v>
      </c>
      <c r="BM12" s="20"/>
      <c r="BN12" s="20"/>
      <c r="BO12" s="19"/>
      <c r="BP12" s="20">
        <v>-108967.13</v>
      </c>
      <c r="BQ12" s="20"/>
      <c r="BR12" s="20"/>
      <c r="BS12" s="20"/>
      <c r="BT12" s="19"/>
      <c r="BU12" s="20">
        <v>-116241.15</v>
      </c>
      <c r="BV12" s="20"/>
      <c r="BW12" s="20"/>
      <c r="BX12" s="22"/>
      <c r="BY12" s="20">
        <f>-110585.38</f>
        <v>-110585.38</v>
      </c>
      <c r="BZ12" s="20"/>
      <c r="CA12" s="20">
        <f>-179.1</f>
        <v>-179.1</v>
      </c>
      <c r="CB12" s="19">
        <v>-70271.89</v>
      </c>
      <c r="CC12" s="20">
        <v>-181343.38</v>
      </c>
      <c r="CD12" s="20"/>
      <c r="CE12" s="20">
        <f>-73464.74-363.79</f>
        <v>-73828.53</v>
      </c>
      <c r="CF12" s="20"/>
      <c r="CG12" s="19">
        <f>-75985.49</f>
        <v>-75985.49</v>
      </c>
      <c r="CH12" s="20">
        <f>-111266.15</f>
        <v>-111266.15</v>
      </c>
      <c r="CI12" s="20">
        <v>-77160.92</v>
      </c>
      <c r="CJ12" s="20">
        <f>-429.84</f>
        <v>-429.84</v>
      </c>
      <c r="CK12" s="19"/>
      <c r="CL12" s="20">
        <v>-132521.39</v>
      </c>
      <c r="CM12" s="20">
        <v>-90103.71</v>
      </c>
      <c r="CN12" s="20"/>
      <c r="CO12" s="20">
        <v>-87574.68</v>
      </c>
      <c r="CP12" s="19">
        <f>-10000</f>
        <v>-10000</v>
      </c>
      <c r="CQ12" s="20">
        <f>-249028.7</f>
        <v>-249028.7</v>
      </c>
      <c r="CR12" s="20"/>
      <c r="CS12" s="20"/>
      <c r="CT12" s="19"/>
      <c r="CU12" s="20">
        <v>-250505.51</v>
      </c>
      <c r="CV12" s="20"/>
      <c r="CW12" s="20">
        <f>-93327.42</f>
        <v>-93327.42</v>
      </c>
      <c r="CX12" s="19"/>
      <c r="CY12" s="20">
        <f>-165682.73</f>
        <v>-165682.73</v>
      </c>
      <c r="CZ12" s="20">
        <f>-104132.05</f>
        <v>-104132.05</v>
      </c>
      <c r="DA12" s="20">
        <f>-101280.94</f>
        <v>-101280.94</v>
      </c>
      <c r="DB12" s="20"/>
      <c r="DC12" s="19">
        <v>-99371.87</v>
      </c>
      <c r="DD12" s="20">
        <f>-179485.14</f>
        <v>-179485.14</v>
      </c>
      <c r="DE12" s="20">
        <f>-102116.03</f>
        <v>-102116.03</v>
      </c>
      <c r="DF12" s="20"/>
      <c r="DG12" s="19"/>
      <c r="DH12" s="20">
        <f>-178326.85</f>
        <v>-178326.85</v>
      </c>
      <c r="DI12" s="20">
        <f>-109690.73</f>
        <v>-109690.73</v>
      </c>
      <c r="DJ12" s="20"/>
      <c r="DK12" s="19"/>
      <c r="DL12" s="20">
        <f>-180322.52</f>
        <v>-180322.52</v>
      </c>
      <c r="DM12" s="20">
        <f>-113261.19</f>
        <v>-113261.19</v>
      </c>
      <c r="DN12" s="20"/>
      <c r="DO12" s="24">
        <f>-111470.73</f>
        <v>-111470.73</v>
      </c>
      <c r="DP12" s="25">
        <f>-60910.59-60486.99-48794.54-2549.45-220</f>
        <v>-172961.57</v>
      </c>
      <c r="DQ12" s="25">
        <f>-110567.26</f>
        <v>-110567.26</v>
      </c>
      <c r="DR12" s="20"/>
      <c r="DS12" s="25">
        <f>-111903.07</f>
        <v>-111903.07</v>
      </c>
      <c r="DT12" s="19"/>
      <c r="DU12" s="25">
        <f>-111786.75-57702.09-40263.59-28204.41-4936.64</f>
        <v>-242893.48</v>
      </c>
      <c r="DV12" s="20"/>
      <c r="DW12" s="14">
        <v>-100000.0</v>
      </c>
      <c r="DX12" s="15">
        <v>-10000.0</v>
      </c>
      <c r="DY12" s="14">
        <v>-175000.0</v>
      </c>
      <c r="DZ12" s="14"/>
      <c r="EA12" s="14"/>
      <c r="EB12" s="14"/>
      <c r="EC12" s="15"/>
      <c r="ED12" s="14">
        <v>-175000.0</v>
      </c>
      <c r="EE12" s="14"/>
      <c r="EF12" s="14"/>
      <c r="EG12" s="15"/>
      <c r="EH12" s="14">
        <v>-270000.0</v>
      </c>
      <c r="EI12" s="14"/>
      <c r="EJ12" s="14"/>
      <c r="EK12" s="15"/>
      <c r="EL12" s="14">
        <v>-175000.0</v>
      </c>
    </row>
    <row r="13" ht="14.25" customHeight="1">
      <c r="A13" s="4"/>
      <c r="B13" s="13" t="s">
        <v>11</v>
      </c>
      <c r="C13" s="20">
        <v>-64666.1</v>
      </c>
      <c r="D13" s="20">
        <v>-410.23</v>
      </c>
      <c r="E13" s="20">
        <v>-51000.0</v>
      </c>
      <c r="F13" s="19">
        <v>-589.21</v>
      </c>
      <c r="G13" s="20">
        <v>-55973.41</v>
      </c>
      <c r="H13" s="20">
        <v>-12640.81</v>
      </c>
      <c r="I13" s="20">
        <v>-55907.52</v>
      </c>
      <c r="J13" s="20">
        <v>-1199.52</v>
      </c>
      <c r="K13" s="19">
        <v>-3270.66</v>
      </c>
      <c r="L13" s="20"/>
      <c r="M13" s="20">
        <v>-56000.0</v>
      </c>
      <c r="N13" s="20"/>
      <c r="O13" s="19">
        <v>-56000.0</v>
      </c>
      <c r="P13" s="20"/>
      <c r="Q13" s="20">
        <v>-56000.0</v>
      </c>
      <c r="R13" s="20"/>
      <c r="S13" s="20">
        <v>-56000.0</v>
      </c>
      <c r="T13" s="19"/>
      <c r="U13" s="20">
        <v>-65049.56</v>
      </c>
      <c r="V13" s="20">
        <v>1743.15</v>
      </c>
      <c r="W13" s="20">
        <v>-57151.02</v>
      </c>
      <c r="X13" s="19">
        <v>-4642.18</v>
      </c>
      <c r="Y13" s="20">
        <v>-60000.0</v>
      </c>
      <c r="Z13" s="20"/>
      <c r="AA13" s="20">
        <v>-60000.0</v>
      </c>
      <c r="AB13" s="19"/>
      <c r="AC13" s="20">
        <v>-60000.0</v>
      </c>
      <c r="AD13" s="20"/>
      <c r="AE13" s="20">
        <v>976.15</v>
      </c>
      <c r="AF13" s="20">
        <f>-763.96-57764</f>
        <v>-58527.96</v>
      </c>
      <c r="AG13" s="19">
        <f>-251.95-63613.42+19.9</f>
        <v>-63845.47</v>
      </c>
      <c r="AH13" s="20">
        <v>-2296.96</v>
      </c>
      <c r="AI13" s="20">
        <f>3901.91-61933.73</f>
        <v>-58031.82</v>
      </c>
      <c r="AJ13" s="20">
        <f>-263.88-2091.18</f>
        <v>-2355.06</v>
      </c>
      <c r="AK13" s="19">
        <v>-74610.0</v>
      </c>
      <c r="AL13" s="20">
        <v>-14439.93</v>
      </c>
      <c r="AM13" s="20">
        <f>-55780.75-789.65</f>
        <v>-56570.4</v>
      </c>
      <c r="AN13" s="20">
        <v>-8597.61</v>
      </c>
      <c r="AO13" s="19">
        <v>-62129.14</v>
      </c>
      <c r="AP13" s="20">
        <f>-9409.09-108.89</f>
        <v>-9517.98</v>
      </c>
      <c r="AQ13" s="20">
        <v>-69638.84</v>
      </c>
      <c r="AR13" s="20">
        <v>-14941.94</v>
      </c>
      <c r="AS13" s="20">
        <v>-61253.47</v>
      </c>
      <c r="AT13" s="19">
        <v>-11775.93</v>
      </c>
      <c r="AU13" s="20">
        <v>-73212.22</v>
      </c>
      <c r="AV13" s="20">
        <v>-10172.42</v>
      </c>
      <c r="AW13" s="20">
        <v>-69095.65</v>
      </c>
      <c r="AX13" s="19">
        <v>-11029.49</v>
      </c>
      <c r="AY13" s="20">
        <v>-77089.8</v>
      </c>
      <c r="AZ13" s="20">
        <v>-10945.52</v>
      </c>
      <c r="BA13" s="20">
        <v>-66746.59</v>
      </c>
      <c r="BB13" s="20">
        <f>-8755.85-460</f>
        <v>-9215.85</v>
      </c>
      <c r="BC13" s="19">
        <v>-68038.7</v>
      </c>
      <c r="BD13" s="20">
        <f>-20807.62-274</f>
        <v>-21081.62</v>
      </c>
      <c r="BE13" s="20">
        <v>-68880.61</v>
      </c>
      <c r="BF13" s="20">
        <f>-8018.8-181.95</f>
        <v>-8200.75</v>
      </c>
      <c r="BG13" s="19">
        <f>-65561.23-370.7</f>
        <v>-65931.93</v>
      </c>
      <c r="BH13" s="20">
        <v>-23978.86</v>
      </c>
      <c r="BI13" s="20">
        <v>-67803.26</v>
      </c>
      <c r="BJ13" s="20">
        <v>-7207.5</v>
      </c>
      <c r="BK13" s="19">
        <v>-72265.59</v>
      </c>
      <c r="BL13" s="20">
        <v>-20125.49</v>
      </c>
      <c r="BM13" s="20">
        <v>-69054.44</v>
      </c>
      <c r="BN13" s="20">
        <v>-8647.51</v>
      </c>
      <c r="BO13" s="19">
        <v>-68522.39</v>
      </c>
      <c r="BP13" s="20">
        <v>-6779.2</v>
      </c>
      <c r="BQ13" s="20">
        <v>-84648.18</v>
      </c>
      <c r="BR13" s="20">
        <f>-268.65-6844.36</f>
        <v>-7113.01</v>
      </c>
      <c r="BS13" s="20">
        <f>-923.06-70895</f>
        <v>-71818.06</v>
      </c>
      <c r="BT13" s="19">
        <f>-6831.05-4863.6</f>
        <v>-11694.65</v>
      </c>
      <c r="BU13" s="20">
        <v>-85624.72</v>
      </c>
      <c r="BV13" s="20">
        <v>-6624.8</v>
      </c>
      <c r="BW13" s="20">
        <f>-73386.4-89.55</f>
        <v>-73475.95</v>
      </c>
      <c r="BX13" s="19">
        <f>-9397.94</f>
        <v>-9397.94</v>
      </c>
      <c r="BY13" s="20">
        <f>-19111.17-71387.42</f>
        <v>-90498.59</v>
      </c>
      <c r="BZ13" s="20">
        <f>-441.28-1312.62</f>
        <v>-1753.9</v>
      </c>
      <c r="CA13" s="20">
        <v>-5574.37</v>
      </c>
      <c r="CB13" s="19">
        <v>-5828.84</v>
      </c>
      <c r="CC13" s="20">
        <v>-5437.08</v>
      </c>
      <c r="CD13" s="20">
        <f>-5022.88</f>
        <v>-5022.88</v>
      </c>
      <c r="CE13" s="20">
        <f>-913.93</f>
        <v>-913.93</v>
      </c>
      <c r="CF13" s="20">
        <f>-6796.03-452.17-288.45</f>
        <v>-7536.65</v>
      </c>
      <c r="CG13" s="19">
        <f>-832.96</f>
        <v>-832.96</v>
      </c>
      <c r="CH13" s="20">
        <f>-6592.99</f>
        <v>-6592.99</v>
      </c>
      <c r="CI13" s="20">
        <v>-791.56</v>
      </c>
      <c r="CJ13" s="20">
        <f>-4285.9- 53.48</f>
        <v>-4339.38</v>
      </c>
      <c r="CK13" s="19">
        <v>-5151.61</v>
      </c>
      <c r="CL13" s="20"/>
      <c r="CM13" s="20"/>
      <c r="CN13" s="20">
        <v>-8444.84</v>
      </c>
      <c r="CO13" s="20">
        <f>-7060.16</f>
        <v>-7060.16</v>
      </c>
      <c r="CP13" s="19">
        <f>-589.34-119.82</f>
        <v>-709.16</v>
      </c>
      <c r="CQ13" s="20">
        <f>-15902.43-1678.56</f>
        <v>-17580.99</v>
      </c>
      <c r="CR13" s="20">
        <f>-647.87</f>
        <v>-647.87</v>
      </c>
      <c r="CS13" s="20">
        <f>-1238.71-88957.39-89.55</f>
        <v>-90285.65</v>
      </c>
      <c r="CT13" s="19">
        <f>-8608.58</f>
        <v>-8608.58</v>
      </c>
      <c r="CU13" s="20">
        <v>-54492.27</v>
      </c>
      <c r="CV13" s="20">
        <v>-10512.61</v>
      </c>
      <c r="CW13" s="20">
        <f>-1353.91</f>
        <v>-1353.91</v>
      </c>
      <c r="CX13" s="19">
        <f>-8819.24</f>
        <v>-8819.24</v>
      </c>
      <c r="CY13" s="20">
        <f>-6964.65</f>
        <v>-6964.65</v>
      </c>
      <c r="CZ13" s="20">
        <f>-23474.87-84</f>
        <v>-23558.87</v>
      </c>
      <c r="DA13" s="20">
        <f>-179.1-5163.61</f>
        <v>-5342.71</v>
      </c>
      <c r="DB13" s="20">
        <f>2102.73-9259.44</f>
        <v>-7156.71</v>
      </c>
      <c r="DC13" s="19">
        <f>-3005.51</f>
        <v>-3005.51</v>
      </c>
      <c r="DD13" s="20">
        <f>-13713.59</f>
        <v>-13713.59</v>
      </c>
      <c r="DE13" s="20">
        <f>-951.06</f>
        <v>-951.06</v>
      </c>
      <c r="DF13" s="20">
        <f>-9808.77</f>
        <v>-9808.77</v>
      </c>
      <c r="DG13" s="19">
        <f>-3494.6-108523.97</f>
        <v>-112018.57</v>
      </c>
      <c r="DH13" s="20">
        <f>-12865.48</f>
        <v>-12865.48</v>
      </c>
      <c r="DI13" s="20">
        <f>-1215.07</f>
        <v>-1215.07</v>
      </c>
      <c r="DJ13" s="20">
        <f>-10018.94</f>
        <v>-10018.94</v>
      </c>
      <c r="DK13" s="19">
        <f>-121380.06</f>
        <v>-121380.06</v>
      </c>
      <c r="DL13" s="20">
        <f>-25245.82</f>
        <v>-25245.82</v>
      </c>
      <c r="DM13" s="20">
        <f>-1741.56</f>
        <v>-1741.56</v>
      </c>
      <c r="DN13" s="20">
        <f>-14602.41-461.39</f>
        <v>-15063.8</v>
      </c>
      <c r="DO13" s="24">
        <f>-483.15-78.23-2237.02-132.08-82.73-36.84-25-191.76-128.37</f>
        <v>-3395.18</v>
      </c>
      <c r="DP13" s="25">
        <f>-2854.94-108.3-4.8-34.1-11.3-6.5-4.8-90-6484.34-2730.66-192.3-144.51</f>
        <v>-12666.55</v>
      </c>
      <c r="DQ13" s="25">
        <f>-454-61.66-15-1.7-17410.39-406.41-80.75-6.5-182.78</f>
        <v>-18619.19</v>
      </c>
      <c r="DR13" s="25">
        <f>-2.3-162.32-57.33-15.81-1149.9-65.66-36.27-10-6484.34-2730.66-506.6-114</f>
        <v>-11335.19</v>
      </c>
      <c r="DS13" s="25">
        <f>-490.8-22.4-2236.94-72.13-94.17-21.95-5.1-158.72</f>
        <v>-3102.21</v>
      </c>
      <c r="DT13" s="24">
        <f>-500-21.7-487-370-301.8-54-6934.34-2653.74-205.52</f>
        <v>-11528.1</v>
      </c>
      <c r="DU13" s="25">
        <f>-22.45-1760-17436.14-172-1.7-2937.27-122.65-91.32-1284.14-104.67</f>
        <v>-23932.34</v>
      </c>
      <c r="DV13" s="25">
        <f>-192-119.87-29.36-768-437.4-60.47-42.28-25.49-13.12-6384.34-2576.82-883.21-192.3</f>
        <v>-11724.66</v>
      </c>
      <c r="DW13" s="14">
        <v>-10000.0</v>
      </c>
      <c r="DX13" s="15">
        <v>-10000.0</v>
      </c>
      <c r="DY13" s="14">
        <v>-10000.0</v>
      </c>
      <c r="DZ13" s="14">
        <v>-10000.0</v>
      </c>
      <c r="EA13" s="14">
        <v>-10000.0</v>
      </c>
      <c r="EB13" s="14">
        <v>-10000.0</v>
      </c>
      <c r="EC13" s="15">
        <v>-10000.0</v>
      </c>
      <c r="ED13" s="14">
        <v>-10000.0</v>
      </c>
      <c r="EE13" s="14">
        <v>-10000.0</v>
      </c>
      <c r="EF13" s="14">
        <v>-10000.0</v>
      </c>
      <c r="EG13" s="15">
        <v>-10000.0</v>
      </c>
      <c r="EH13" s="14">
        <v>-10000.0</v>
      </c>
      <c r="EI13" s="14">
        <v>-10000.0</v>
      </c>
      <c r="EJ13" s="14">
        <v>-10000.0</v>
      </c>
      <c r="EK13" s="15">
        <v>-10000.0</v>
      </c>
      <c r="EL13" s="14"/>
    </row>
    <row r="14" ht="14.25" customHeight="1">
      <c r="A14" s="4"/>
      <c r="B14" s="13" t="s">
        <v>12</v>
      </c>
      <c r="C14" s="20"/>
      <c r="D14" s="20">
        <v>-7639.83</v>
      </c>
      <c r="E14" s="20">
        <v>-295000.0</v>
      </c>
      <c r="F14" s="19">
        <v>-28000.0</v>
      </c>
      <c r="G14" s="20"/>
      <c r="H14" s="20">
        <v>-7095.26</v>
      </c>
      <c r="I14" s="20">
        <v>-78581.11</v>
      </c>
      <c r="J14" s="20">
        <v>-192788.83</v>
      </c>
      <c r="K14" s="19"/>
      <c r="L14" s="20"/>
      <c r="M14" s="20">
        <v>7000.0</v>
      </c>
      <c r="N14" s="20">
        <v>-250000.38</v>
      </c>
      <c r="O14" s="19">
        <v>-50000.0</v>
      </c>
      <c r="P14" s="20"/>
      <c r="Q14" s="20">
        <v>7000.0</v>
      </c>
      <c r="R14" s="20">
        <v>-225000.0</v>
      </c>
      <c r="S14" s="20">
        <v>-50000.0</v>
      </c>
      <c r="T14" s="19"/>
      <c r="U14" s="20">
        <v>-247520.21</v>
      </c>
      <c r="V14" s="20">
        <v>-154282.23</v>
      </c>
      <c r="W14" s="20">
        <v>-36073.11</v>
      </c>
      <c r="X14" s="19"/>
      <c r="Y14" s="20">
        <v>-72821.68</v>
      </c>
      <c r="Z14" s="20"/>
      <c r="AA14" s="20">
        <v>-226530.09</v>
      </c>
      <c r="AB14" s="19"/>
      <c r="AC14" s="20"/>
      <c r="AD14" s="20">
        <v>7000.0</v>
      </c>
      <c r="AE14" s="20">
        <v>-40000.0</v>
      </c>
      <c r="AF14" s="20">
        <v>-178145.39</v>
      </c>
      <c r="AG14" s="19"/>
      <c r="AH14" s="20">
        <f>-5427.14-169099.3</f>
        <v>-174526.44</v>
      </c>
      <c r="AI14" s="20">
        <v>-75000.0</v>
      </c>
      <c r="AJ14" s="20">
        <f>-128937.38-501.27</f>
        <v>-129438.65</v>
      </c>
      <c r="AK14" s="19">
        <v>-50016.0</v>
      </c>
      <c r="AL14" s="20">
        <v>-25000.0</v>
      </c>
      <c r="AM14" s="20">
        <f>-9296.36-25000-41813.41</f>
        <v>-76109.77</v>
      </c>
      <c r="AN14" s="20">
        <f>-25000-228.89</f>
        <v>-25228.89</v>
      </c>
      <c r="AO14" s="19">
        <f>-40000-174282.69</f>
        <v>-214282.69</v>
      </c>
      <c r="AP14" s="20">
        <v>-35000.0</v>
      </c>
      <c r="AQ14" s="20">
        <f>-57888.44-31554.98</f>
        <v>-89443.42</v>
      </c>
      <c r="AR14" s="20">
        <f>-50000-124.78</f>
        <v>-50124.78</v>
      </c>
      <c r="AS14" s="20">
        <v>-128111.97</v>
      </c>
      <c r="AT14" s="19">
        <v>-25000.0</v>
      </c>
      <c r="AU14" s="20">
        <f>-100000-98133.45-7835.34</f>
        <v>-205968.79</v>
      </c>
      <c r="AV14" s="20">
        <v>-25000.0</v>
      </c>
      <c r="AW14" s="20">
        <v>-137232.12</v>
      </c>
      <c r="AX14" s="19">
        <v>-15.94</v>
      </c>
      <c r="AY14" s="20"/>
      <c r="AZ14" s="20">
        <f>-12513.16-145575.65</f>
        <v>-158088.81</v>
      </c>
      <c r="BA14" s="20">
        <v>-75132.16</v>
      </c>
      <c r="BB14" s="20">
        <v>-208560.93</v>
      </c>
      <c r="BC14" s="19">
        <v>-149012.29</v>
      </c>
      <c r="BD14" s="20">
        <f>-7490.24-50000</f>
        <v>-57490.24</v>
      </c>
      <c r="BE14" s="20">
        <v>-100000.0</v>
      </c>
      <c r="BF14" s="20">
        <v>-130521.36</v>
      </c>
      <c r="BG14" s="19">
        <v>-25015.94</v>
      </c>
      <c r="BH14" s="20">
        <f>-8192.73-109339.54</f>
        <v>-117532.27</v>
      </c>
      <c r="BI14" s="20">
        <v>-50000.0</v>
      </c>
      <c r="BJ14" s="20">
        <v>-260623.07</v>
      </c>
      <c r="BK14" s="19">
        <v>-100000.0</v>
      </c>
      <c r="BL14" s="20">
        <v>-109782.88</v>
      </c>
      <c r="BM14" s="20">
        <f>-16262.39-75000</f>
        <v>-91262.39</v>
      </c>
      <c r="BN14" s="20">
        <v>-80000.0</v>
      </c>
      <c r="BO14" s="19"/>
      <c r="BP14" s="20">
        <v>-75000.0</v>
      </c>
      <c r="BQ14" s="20">
        <f>-2812.54-100000-53045.18</f>
        <v>-155857.72</v>
      </c>
      <c r="BR14" s="20">
        <v>-50000.0</v>
      </c>
      <c r="BS14" s="20">
        <v>-202443.54</v>
      </c>
      <c r="BT14" s="19">
        <v>-25000.0</v>
      </c>
      <c r="BU14" s="20">
        <f>-122545.72-10580.93</f>
        <v>-133126.65</v>
      </c>
      <c r="BV14" s="20">
        <f>-150000</f>
        <v>-150000</v>
      </c>
      <c r="BW14" s="20">
        <f>-229599.44</f>
        <v>-229599.44</v>
      </c>
      <c r="BX14" s="19">
        <v>-75000.0</v>
      </c>
      <c r="BY14" s="20">
        <f>-50000+7280</f>
        <v>-42720</v>
      </c>
      <c r="BZ14" s="20">
        <f>-19961.25-155933.03-29529.58</f>
        <v>-205423.86</v>
      </c>
      <c r="CA14" s="20">
        <f>-25000</f>
        <v>-25000</v>
      </c>
      <c r="CB14" s="19">
        <f>-233139.47</f>
        <v>-233139.47</v>
      </c>
      <c r="CC14" s="20">
        <f>-95000</f>
        <v>-95000</v>
      </c>
      <c r="CD14" s="20">
        <f>-107674.85-3453.39</f>
        <v>-111128.24</v>
      </c>
      <c r="CE14" s="20">
        <f>-50000</f>
        <v>-50000</v>
      </c>
      <c r="CF14" s="20">
        <v>-169796.14</v>
      </c>
      <c r="CG14" s="19">
        <v>-50000.0</v>
      </c>
      <c r="CH14" s="20">
        <f>-299297</f>
        <v>-299297</v>
      </c>
      <c r="CI14" s="20">
        <f>-29625.29-116638.07</f>
        <v>-146263.36</v>
      </c>
      <c r="CJ14" s="20">
        <v>-100000.0</v>
      </c>
      <c r="CK14" s="19">
        <v>-190289.73</v>
      </c>
      <c r="CL14" s="20">
        <v>-50000.0</v>
      </c>
      <c r="CM14" s="20">
        <f>-10935.72-161278.04</f>
        <v>-172213.76</v>
      </c>
      <c r="CN14" s="20">
        <v>-25000.0</v>
      </c>
      <c r="CO14" s="20">
        <f>-137554.39</f>
        <v>-137554.39</v>
      </c>
      <c r="CP14" s="19">
        <f>-25000</f>
        <v>-25000</v>
      </c>
      <c r="CQ14" s="20">
        <f>-174954.19-12577.32</f>
        <v>-187531.51</v>
      </c>
      <c r="CR14" s="20"/>
      <c r="CS14" s="20">
        <f>-204856.01</f>
        <v>-204856.01</v>
      </c>
      <c r="CT14" s="19"/>
      <c r="CU14" s="20">
        <v>-50000.0</v>
      </c>
      <c r="CV14" s="20">
        <f>25850-10415.68-11806.11</f>
        <v>3628.21</v>
      </c>
      <c r="CW14" s="20"/>
      <c r="CX14" s="19">
        <f>-118554.35</f>
        <v>-118554.35</v>
      </c>
      <c r="CY14" s="20">
        <f>-91965.51</f>
        <v>-91965.51</v>
      </c>
      <c r="CZ14" s="20">
        <f>-43327.07+5000-33007.08</f>
        <v>-71334.15</v>
      </c>
      <c r="DA14" s="20">
        <f>-192420.18</f>
        <v>-192420.18</v>
      </c>
      <c r="DB14" s="20">
        <f>-50000-25000</f>
        <v>-75000</v>
      </c>
      <c r="DC14" s="19">
        <v>-50000.0</v>
      </c>
      <c r="DD14" s="20">
        <f>-129423.64-95421.93</f>
        <v>-224845.57</v>
      </c>
      <c r="DE14" s="20"/>
      <c r="DF14" s="20">
        <f>-373584.76</f>
        <v>-373584.76</v>
      </c>
      <c r="DG14" s="19">
        <v>-15.94</v>
      </c>
      <c r="DH14" s="20">
        <f>-172550.74</f>
        <v>-172550.74</v>
      </c>
      <c r="DI14" s="20">
        <f>-150000</f>
        <v>-150000</v>
      </c>
      <c r="DJ14" s="20">
        <f>-200000</f>
        <v>-200000</v>
      </c>
      <c r="DK14" s="19"/>
      <c r="DL14" s="20"/>
      <c r="DM14" s="20">
        <f>-276546.06</f>
        <v>-276546.06</v>
      </c>
      <c r="DN14" s="20"/>
      <c r="DO14" s="24">
        <f>-31.88-146764.35</f>
        <v>-146796.23</v>
      </c>
      <c r="DP14" s="20"/>
      <c r="DQ14" s="25">
        <f>-27883.01-151.13-375412.9-45519.31</f>
        <v>-448966.35</v>
      </c>
      <c r="DR14" s="20"/>
      <c r="DS14" s="25">
        <f>-365.94-63161.77</f>
        <v>-63527.71</v>
      </c>
      <c r="DT14" s="24">
        <f>-379519.52</f>
        <v>-379519.52</v>
      </c>
      <c r="DU14" s="25">
        <f>-55004.91</f>
        <v>-55004.91</v>
      </c>
      <c r="DV14" s="25">
        <f>-153267.9-33093.55</f>
        <v>-186361.45</v>
      </c>
      <c r="DW14" s="14">
        <v>-100000.0</v>
      </c>
      <c r="DX14" s="15">
        <v>-10000.0</v>
      </c>
      <c r="DY14" s="14">
        <v>-100000.0</v>
      </c>
      <c r="DZ14" s="14">
        <v>-50000.0</v>
      </c>
      <c r="EA14" s="14">
        <v>-100000.0</v>
      </c>
      <c r="EB14" s="14"/>
      <c r="EC14" s="15"/>
      <c r="ED14" s="14">
        <v>-100000.0</v>
      </c>
      <c r="EE14" s="14">
        <v>-50000.0</v>
      </c>
      <c r="EF14" s="14">
        <v>-100000.0</v>
      </c>
      <c r="EG14" s="15"/>
      <c r="EH14" s="14">
        <v>-100000.0</v>
      </c>
      <c r="EI14" s="14">
        <v>-50000.0</v>
      </c>
      <c r="EJ14" s="14">
        <v>-100000.0</v>
      </c>
      <c r="EK14" s="15"/>
      <c r="EL14" s="14"/>
    </row>
    <row r="15" ht="14.25" customHeight="1">
      <c r="A15" s="4"/>
      <c r="B15" s="13" t="s">
        <v>13</v>
      </c>
      <c r="C15" s="20">
        <v>-71000.0</v>
      </c>
      <c r="D15" s="20"/>
      <c r="E15" s="20">
        <v>-5885.0</v>
      </c>
      <c r="F15" s="19"/>
      <c r="G15" s="20">
        <v>-71031.15</v>
      </c>
      <c r="H15" s="20"/>
      <c r="I15" s="20"/>
      <c r="J15" s="20"/>
      <c r="K15" s="19"/>
      <c r="L15" s="20">
        <v>-71000.0</v>
      </c>
      <c r="M15" s="20"/>
      <c r="N15" s="20"/>
      <c r="O15" s="19"/>
      <c r="P15" s="20">
        <v>-71000.0</v>
      </c>
      <c r="Q15" s="20"/>
      <c r="R15" s="20"/>
      <c r="S15" s="20"/>
      <c r="T15" s="19"/>
      <c r="U15" s="20">
        <v>-71031.0</v>
      </c>
      <c r="V15" s="20"/>
      <c r="W15" s="20"/>
      <c r="X15" s="19"/>
      <c r="Y15" s="20">
        <v>-71000.0</v>
      </c>
      <c r="Z15" s="20"/>
      <c r="AA15" s="20"/>
      <c r="AB15" s="19"/>
      <c r="AC15" s="20">
        <v>-71000.0</v>
      </c>
      <c r="AD15" s="20"/>
      <c r="AE15" s="20"/>
      <c r="AF15" s="20"/>
      <c r="AG15" s="19"/>
      <c r="AH15" s="20">
        <f>-47373.08-25000</f>
        <v>-72373.08</v>
      </c>
      <c r="AI15" s="20"/>
      <c r="AJ15" s="20"/>
      <c r="AK15" s="19"/>
      <c r="AL15" s="20">
        <v>-100.0</v>
      </c>
      <c r="AM15" s="20">
        <v>-72373.08</v>
      </c>
      <c r="AN15" s="20"/>
      <c r="AO15" s="19"/>
      <c r="AP15" s="20">
        <v>-25000.0</v>
      </c>
      <c r="AQ15" s="20">
        <v>-47373.08</v>
      </c>
      <c r="AR15" s="20"/>
      <c r="AS15" s="20"/>
      <c r="AT15" s="19"/>
      <c r="AU15" s="20">
        <v>-25000.0</v>
      </c>
      <c r="AV15" s="20">
        <v>-47373.08</v>
      </c>
      <c r="AW15" s="20"/>
      <c r="AX15" s="19"/>
      <c r="AY15" s="20"/>
      <c r="AZ15" s="20"/>
      <c r="BA15" s="20"/>
      <c r="BB15" s="20"/>
      <c r="BC15" s="19"/>
      <c r="BD15" s="20">
        <f>-47373.08-25000</f>
        <v>-72373.08</v>
      </c>
      <c r="BE15" s="20"/>
      <c r="BF15" s="20"/>
      <c r="BG15" s="19"/>
      <c r="BH15" s="20">
        <f>-47373.08-25000</f>
        <v>-72373.08</v>
      </c>
      <c r="BI15" s="20"/>
      <c r="BJ15" s="20"/>
      <c r="BK15" s="19"/>
      <c r="BL15" s="20">
        <v>-47373.08</v>
      </c>
      <c r="BM15" s="20"/>
      <c r="BN15" s="20"/>
      <c r="BO15" s="19"/>
      <c r="BP15" s="20">
        <v>-25000.0</v>
      </c>
      <c r="BQ15" s="20">
        <v>-47373.08</v>
      </c>
      <c r="BR15" s="20"/>
      <c r="BS15" s="20"/>
      <c r="BT15" s="19"/>
      <c r="BU15" s="20"/>
      <c r="BV15" s="20">
        <v>-100134.08</v>
      </c>
      <c r="BW15" s="20"/>
      <c r="BX15" s="19"/>
      <c r="BY15" s="20"/>
      <c r="BZ15" s="20"/>
      <c r="CA15" s="20"/>
      <c r="CB15" s="19"/>
      <c r="CC15" s="20">
        <v>-31500.0</v>
      </c>
      <c r="CD15" s="20"/>
      <c r="CE15" s="20"/>
      <c r="CF15" s="20"/>
      <c r="CG15" s="19"/>
      <c r="CH15" s="20">
        <v>-25000.0</v>
      </c>
      <c r="CI15" s="20"/>
      <c r="CJ15" s="20"/>
      <c r="CK15" s="19"/>
      <c r="CL15" s="20"/>
      <c r="CM15" s="20"/>
      <c r="CN15" s="20"/>
      <c r="CO15" s="20"/>
      <c r="CP15" s="19"/>
      <c r="CQ15" s="20"/>
      <c r="CR15" s="20"/>
      <c r="CS15" s="20"/>
      <c r="CT15" s="19"/>
      <c r="CU15" s="20">
        <v>-48755.28</v>
      </c>
      <c r="CV15" s="20"/>
      <c r="CW15" s="20"/>
      <c r="CX15" s="19"/>
      <c r="CY15" s="20"/>
      <c r="CZ15" s="20"/>
      <c r="DA15" s="20"/>
      <c r="DB15" s="20"/>
      <c r="DC15" s="19"/>
      <c r="DD15" s="20">
        <f>-58259.35</f>
        <v>-58259.35</v>
      </c>
      <c r="DE15" s="20"/>
      <c r="DF15" s="20"/>
      <c r="DG15" s="19"/>
      <c r="DH15" s="20"/>
      <c r="DI15" s="20"/>
      <c r="DJ15" s="20"/>
      <c r="DK15" s="19"/>
      <c r="DL15" s="20"/>
      <c r="DM15" s="20">
        <v>-48755.28</v>
      </c>
      <c r="DN15" s="20"/>
      <c r="DO15" s="19"/>
      <c r="DP15" s="20"/>
      <c r="DQ15" s="25">
        <f>-48755.28</f>
        <v>-48755.28</v>
      </c>
      <c r="DR15" s="20"/>
      <c r="DS15" s="20"/>
      <c r="DT15" s="19"/>
      <c r="DU15" s="25">
        <f>-48755.28</f>
        <v>-48755.28</v>
      </c>
      <c r="DV15" s="20"/>
      <c r="DW15" s="14"/>
      <c r="DX15" s="15"/>
      <c r="DY15" s="14">
        <v>-48755.28</v>
      </c>
      <c r="DZ15" s="14"/>
      <c r="EA15" s="14"/>
      <c r="EB15" s="14"/>
      <c r="EC15" s="15"/>
      <c r="ED15" s="14">
        <v>-48755.28</v>
      </c>
      <c r="EE15" s="14"/>
      <c r="EF15" s="14"/>
      <c r="EG15" s="15"/>
      <c r="EH15" s="14">
        <v>-48755.28</v>
      </c>
      <c r="EI15" s="14"/>
      <c r="EJ15" s="14"/>
      <c r="EK15" s="15"/>
      <c r="EL15" s="14"/>
    </row>
    <row r="16" ht="14.25" customHeight="1">
      <c r="A16" s="4"/>
      <c r="B16" s="13" t="s">
        <v>14</v>
      </c>
      <c r="C16" s="20">
        <v>-50514.17999999999</v>
      </c>
      <c r="D16" s="20">
        <v>-16669.96</v>
      </c>
      <c r="E16" s="20"/>
      <c r="F16" s="19"/>
      <c r="G16" s="20">
        <v>-115000.0</v>
      </c>
      <c r="H16" s="20">
        <v>35140.8</v>
      </c>
      <c r="I16" s="20"/>
      <c r="J16" s="20"/>
      <c r="K16" s="19">
        <v>-98981.99</v>
      </c>
      <c r="L16" s="20"/>
      <c r="M16" s="20"/>
      <c r="N16" s="20"/>
      <c r="O16" s="19">
        <v>-115000.0</v>
      </c>
      <c r="P16" s="20"/>
      <c r="Q16" s="20"/>
      <c r="R16" s="20"/>
      <c r="S16" s="20"/>
      <c r="T16" s="19">
        <v>-115000.0</v>
      </c>
      <c r="U16" s="20"/>
      <c r="V16" s="20"/>
      <c r="W16" s="20"/>
      <c r="X16" s="19">
        <v>-99000.0</v>
      </c>
      <c r="Y16" s="20"/>
      <c r="Z16" s="20"/>
      <c r="AA16" s="20"/>
      <c r="AB16" s="19">
        <v>-110000.0</v>
      </c>
      <c r="AC16" s="20"/>
      <c r="AD16" s="20"/>
      <c r="AE16" s="20"/>
      <c r="AF16" s="20"/>
      <c r="AG16" s="19">
        <v>-111756.12</v>
      </c>
      <c r="AH16" s="20"/>
      <c r="AI16" s="20"/>
      <c r="AJ16" s="20"/>
      <c r="AK16" s="19">
        <v>-117564.09</v>
      </c>
      <c r="AL16" s="20"/>
      <c r="AM16" s="20"/>
      <c r="AN16" s="20"/>
      <c r="AO16" s="19"/>
      <c r="AP16" s="20">
        <v>-107427.21</v>
      </c>
      <c r="AQ16" s="20"/>
      <c r="AR16" s="20"/>
      <c r="AS16" s="20"/>
      <c r="AT16" s="19">
        <v>-107975.3</v>
      </c>
      <c r="AU16" s="20"/>
      <c r="AV16" s="20"/>
      <c r="AW16" s="20"/>
      <c r="AX16" s="19">
        <v>-99187.85</v>
      </c>
      <c r="AY16" s="20">
        <v>-6479.12</v>
      </c>
      <c r="AZ16" s="20"/>
      <c r="BA16" s="20"/>
      <c r="BB16" s="20">
        <v>-22995.38</v>
      </c>
      <c r="BC16" s="19">
        <f>-101515.24-4995.71</f>
        <v>-106510.95</v>
      </c>
      <c r="BD16" s="20"/>
      <c r="BE16" s="20"/>
      <c r="BF16" s="20"/>
      <c r="BG16" s="19">
        <v>-127805.9</v>
      </c>
      <c r="BH16" s="20"/>
      <c r="BI16" s="20"/>
      <c r="BJ16" s="20"/>
      <c r="BK16" s="19">
        <v>-136855.9</v>
      </c>
      <c r="BL16" s="20"/>
      <c r="BM16" s="20">
        <v>-24099.43</v>
      </c>
      <c r="BN16" s="20">
        <v>-16424.04</v>
      </c>
      <c r="BO16" s="19">
        <v>-141883.03</v>
      </c>
      <c r="BP16" s="20">
        <f>-12170.03-13400.91</f>
        <v>-25570.94</v>
      </c>
      <c r="BQ16" s="20"/>
      <c r="BR16" s="20"/>
      <c r="BS16" s="20">
        <v>-2805.67</v>
      </c>
      <c r="BT16" s="19">
        <v>-183813.17</v>
      </c>
      <c r="BU16" s="20"/>
      <c r="BV16" s="20"/>
      <c r="BW16" s="20"/>
      <c r="BX16" s="19">
        <v>-232223.99</v>
      </c>
      <c r="BY16" s="20"/>
      <c r="BZ16" s="20"/>
      <c r="CA16" s="20"/>
      <c r="CB16" s="19"/>
      <c r="CC16" s="20">
        <v>-200817.64</v>
      </c>
      <c r="CD16" s="20"/>
      <c r="CE16" s="20"/>
      <c r="CF16" s="20"/>
      <c r="CG16" s="19">
        <v>-234773.39</v>
      </c>
      <c r="CH16" s="20"/>
      <c r="CI16" s="20">
        <v>-19467.13</v>
      </c>
      <c r="CJ16" s="20"/>
      <c r="CK16" s="19"/>
      <c r="CL16" s="20">
        <v>-201840.51</v>
      </c>
      <c r="CM16" s="20"/>
      <c r="CN16" s="20"/>
      <c r="CO16" s="20"/>
      <c r="CP16" s="19">
        <v>-135667.97</v>
      </c>
      <c r="CQ16" s="20"/>
      <c r="CR16" s="20"/>
      <c r="CS16" s="20"/>
      <c r="CT16" s="19">
        <f>-187183.96</f>
        <v>-187183.96</v>
      </c>
      <c r="CU16" s="20"/>
      <c r="CV16" s="20"/>
      <c r="CW16" s="20">
        <f>-21950.71</f>
        <v>-21950.71</v>
      </c>
      <c r="CX16" s="19">
        <v>-197275.83</v>
      </c>
      <c r="CY16" s="20">
        <f>-9995.95</f>
        <v>-9995.95</v>
      </c>
      <c r="CZ16" s="20"/>
      <c r="DA16" s="20"/>
      <c r="DB16" s="20"/>
      <c r="DC16" s="19">
        <v>-236673.32</v>
      </c>
      <c r="DD16" s="20"/>
      <c r="DE16" s="20"/>
      <c r="DF16" s="20"/>
      <c r="DG16" s="19">
        <v>-236435.99</v>
      </c>
      <c r="DH16" s="20"/>
      <c r="DI16" s="20"/>
      <c r="DJ16" s="20"/>
      <c r="DK16" s="19">
        <f>-261524.26</f>
        <v>-261524.26</v>
      </c>
      <c r="DL16" s="20"/>
      <c r="DM16" s="20"/>
      <c r="DN16" s="20">
        <f>-12834.44</f>
        <v>-12834.44</v>
      </c>
      <c r="DO16" s="24">
        <f>-250302.59</f>
        <v>-250302.59</v>
      </c>
      <c r="DP16" s="25">
        <f>-493.49</f>
        <v>-493.49</v>
      </c>
      <c r="DQ16" s="20"/>
      <c r="DR16" s="20"/>
      <c r="DS16" s="20"/>
      <c r="DT16" s="24">
        <f>-223824.32</f>
        <v>-223824.32</v>
      </c>
      <c r="DU16" s="20"/>
      <c r="DV16" s="20"/>
      <c r="DW16" s="14"/>
      <c r="DX16" s="15">
        <v>-230000.0</v>
      </c>
      <c r="DY16" s="14"/>
      <c r="DZ16" s="14"/>
      <c r="EA16" s="14"/>
      <c r="EB16" s="14"/>
      <c r="EC16" s="15">
        <v>-230000.0</v>
      </c>
      <c r="ED16" s="14"/>
      <c r="EE16" s="14"/>
      <c r="EF16" s="14"/>
      <c r="EG16" s="15">
        <v>-230000.0</v>
      </c>
      <c r="EH16" s="14"/>
      <c r="EI16" s="14"/>
      <c r="EJ16" s="14"/>
      <c r="EK16" s="15">
        <v>-230000.0</v>
      </c>
      <c r="EL16" s="14"/>
    </row>
    <row r="17" ht="14.25" customHeight="1">
      <c r="A17" s="4"/>
      <c r="B17" s="13" t="s">
        <v>15</v>
      </c>
      <c r="C17" s="20"/>
      <c r="D17" s="20"/>
      <c r="E17" s="20"/>
      <c r="F17" s="19"/>
      <c r="G17" s="20"/>
      <c r="H17" s="20"/>
      <c r="I17" s="20"/>
      <c r="J17" s="20"/>
      <c r="K17" s="19"/>
      <c r="L17" s="20"/>
      <c r="M17" s="20"/>
      <c r="N17" s="20"/>
      <c r="O17" s="19"/>
      <c r="P17" s="20"/>
      <c r="Q17" s="20"/>
      <c r="R17" s="20"/>
      <c r="S17" s="20"/>
      <c r="T17" s="19"/>
      <c r="U17" s="20">
        <v>-32000.0</v>
      </c>
      <c r="V17" s="20">
        <v>30000.0</v>
      </c>
      <c r="W17" s="20"/>
      <c r="X17" s="19">
        <v>-30000.0</v>
      </c>
      <c r="Y17" s="20"/>
      <c r="Z17" s="20"/>
      <c r="AA17" s="20"/>
      <c r="AB17" s="19">
        <v>-30000.0</v>
      </c>
      <c r="AC17" s="20"/>
      <c r="AD17" s="20"/>
      <c r="AE17" s="20"/>
      <c r="AF17" s="20"/>
      <c r="AG17" s="19">
        <v>-40000.0</v>
      </c>
      <c r="AH17" s="20"/>
      <c r="AI17" s="20"/>
      <c r="AJ17" s="20"/>
      <c r="AK17" s="19"/>
      <c r="AL17" s="20"/>
      <c r="AM17" s="20"/>
      <c r="AN17" s="20"/>
      <c r="AO17" s="19"/>
      <c r="AP17" s="20"/>
      <c r="AQ17" s="20"/>
      <c r="AR17" s="20"/>
      <c r="AS17" s="20"/>
      <c r="AT17" s="19"/>
      <c r="AU17" s="20"/>
      <c r="AV17" s="20"/>
      <c r="AW17" s="20"/>
      <c r="AX17" s="19"/>
      <c r="AY17" s="20"/>
      <c r="AZ17" s="20"/>
      <c r="BA17" s="20"/>
      <c r="BB17" s="20"/>
      <c r="BC17" s="19"/>
      <c r="BD17" s="20">
        <v>-12000.0</v>
      </c>
      <c r="BE17" s="20"/>
      <c r="BF17" s="20"/>
      <c r="BG17" s="19">
        <v>-12000.0</v>
      </c>
      <c r="BH17" s="20"/>
      <c r="BI17" s="20"/>
      <c r="BJ17" s="20"/>
      <c r="BK17" s="19"/>
      <c r="BL17" s="20"/>
      <c r="BM17" s="20"/>
      <c r="BN17" s="20"/>
      <c r="BO17" s="19"/>
      <c r="BP17" s="20"/>
      <c r="BQ17" s="20"/>
      <c r="BR17" s="20"/>
      <c r="BS17" s="20"/>
      <c r="BT17" s="19"/>
      <c r="BU17" s="20"/>
      <c r="BV17" s="20"/>
      <c r="BW17" s="20"/>
      <c r="BX17" s="19"/>
      <c r="BY17" s="20"/>
      <c r="BZ17" s="20"/>
      <c r="CA17" s="20"/>
      <c r="CB17" s="19"/>
      <c r="CC17" s="20"/>
      <c r="CD17" s="20"/>
      <c r="CE17" s="20"/>
      <c r="CF17" s="20"/>
      <c r="CG17" s="19"/>
      <c r="CH17" s="20"/>
      <c r="CI17" s="20"/>
      <c r="CJ17" s="20"/>
      <c r="CK17" s="19"/>
      <c r="CL17" s="20"/>
      <c r="CM17" s="20"/>
      <c r="CN17" s="20"/>
      <c r="CO17" s="20"/>
      <c r="CP17" s="19"/>
      <c r="CQ17" s="20"/>
      <c r="CR17" s="20"/>
      <c r="CS17" s="20"/>
      <c r="CT17" s="19"/>
      <c r="CU17" s="20"/>
      <c r="CV17" s="20"/>
      <c r="CW17" s="20"/>
      <c r="CX17" s="19"/>
      <c r="CY17" s="20"/>
      <c r="CZ17" s="20"/>
      <c r="DA17" s="20"/>
      <c r="DB17" s="20"/>
      <c r="DC17" s="19"/>
      <c r="DD17" s="20"/>
      <c r="DE17" s="20"/>
      <c r="DF17" s="20"/>
      <c r="DG17" s="19"/>
      <c r="DH17" s="20"/>
      <c r="DI17" s="20"/>
      <c r="DJ17" s="20"/>
      <c r="DK17" s="19"/>
      <c r="DL17" s="20"/>
      <c r="DM17" s="20"/>
      <c r="DN17" s="20"/>
      <c r="DO17" s="19"/>
      <c r="DP17" s="20"/>
      <c r="DQ17" s="20"/>
      <c r="DR17" s="20"/>
      <c r="DS17" s="20"/>
      <c r="DT17" s="19"/>
      <c r="DU17" s="20"/>
      <c r="DV17" s="20"/>
      <c r="DW17" s="14"/>
      <c r="DX17" s="15"/>
      <c r="DY17" s="14"/>
      <c r="DZ17" s="14"/>
      <c r="EA17" s="14"/>
      <c r="EB17" s="14"/>
      <c r="EC17" s="15"/>
      <c r="ED17" s="14"/>
      <c r="EE17" s="14"/>
      <c r="EF17" s="14"/>
      <c r="EG17" s="15"/>
      <c r="EH17" s="14"/>
      <c r="EI17" s="14"/>
      <c r="EJ17" s="14"/>
      <c r="EK17" s="15"/>
      <c r="EL17" s="14"/>
    </row>
    <row r="18" ht="14.25" customHeight="1">
      <c r="A18" s="4"/>
      <c r="B18" s="13" t="s">
        <v>16</v>
      </c>
      <c r="C18" s="20"/>
      <c r="D18" s="20"/>
      <c r="E18" s="20">
        <v>-22410.0</v>
      </c>
      <c r="F18" s="19"/>
      <c r="G18" s="20"/>
      <c r="H18" s="20"/>
      <c r="I18" s="20"/>
      <c r="J18" s="20"/>
      <c r="K18" s="19"/>
      <c r="L18" s="20"/>
      <c r="M18" s="20"/>
      <c r="N18" s="20">
        <v>-50000.0</v>
      </c>
      <c r="O18" s="19"/>
      <c r="P18" s="20"/>
      <c r="Q18" s="20"/>
      <c r="R18" s="20">
        <v>-50000.0</v>
      </c>
      <c r="S18" s="20"/>
      <c r="T18" s="19"/>
      <c r="U18" s="20"/>
      <c r="V18" s="20"/>
      <c r="W18" s="20">
        <v>-47125.14</v>
      </c>
      <c r="X18" s="19"/>
      <c r="Y18" s="20"/>
      <c r="Z18" s="20"/>
      <c r="AA18" s="20">
        <v>-50000.0</v>
      </c>
      <c r="AB18" s="19"/>
      <c r="AC18" s="20"/>
      <c r="AD18" s="20"/>
      <c r="AE18" s="20"/>
      <c r="AF18" s="20"/>
      <c r="AG18" s="19"/>
      <c r="AH18" s="20"/>
      <c r="AI18" s="20"/>
      <c r="AJ18" s="20"/>
      <c r="AK18" s="19"/>
      <c r="AL18" s="20"/>
      <c r="AM18" s="20">
        <v>25000.0</v>
      </c>
      <c r="AN18" s="20"/>
      <c r="AO18" s="19"/>
      <c r="AP18" s="20"/>
      <c r="AQ18" s="20"/>
      <c r="AR18" s="20"/>
      <c r="AS18" s="20">
        <v>-19751.91</v>
      </c>
      <c r="AT18" s="19"/>
      <c r="AU18" s="20"/>
      <c r="AV18" s="20"/>
      <c r="AW18" s="20"/>
      <c r="AX18" s="19"/>
      <c r="AY18" s="20"/>
      <c r="AZ18" s="20"/>
      <c r="BA18" s="20"/>
      <c r="BB18" s="20"/>
      <c r="BC18" s="19"/>
      <c r="BD18" s="20"/>
      <c r="BE18" s="20"/>
      <c r="BF18" s="20"/>
      <c r="BG18" s="19"/>
      <c r="BH18" s="20"/>
      <c r="BI18" s="20"/>
      <c r="BJ18" s="20"/>
      <c r="BK18" s="19"/>
      <c r="BL18" s="20"/>
      <c r="BM18" s="20">
        <v>-1410.49</v>
      </c>
      <c r="BN18" s="20"/>
      <c r="BO18" s="19"/>
      <c r="BP18" s="20"/>
      <c r="BQ18" s="20"/>
      <c r="BR18" s="20"/>
      <c r="BS18" s="20"/>
      <c r="BT18" s="19"/>
      <c r="BU18" s="20"/>
      <c r="BV18" s="20"/>
      <c r="BW18" s="20"/>
      <c r="BX18" s="19">
        <v>-15000.0</v>
      </c>
      <c r="BY18" s="20"/>
      <c r="BZ18" s="20"/>
      <c r="CA18" s="20"/>
      <c r="CB18" s="19"/>
      <c r="CC18" s="20"/>
      <c r="CD18" s="20"/>
      <c r="CE18" s="20"/>
      <c r="CF18" s="20"/>
      <c r="CG18" s="19"/>
      <c r="CH18" s="20"/>
      <c r="CI18" s="20"/>
      <c r="CJ18" s="20"/>
      <c r="CK18" s="19"/>
      <c r="CL18" s="20"/>
      <c r="CM18" s="20"/>
      <c r="CN18" s="20"/>
      <c r="CO18" s="20"/>
      <c r="CP18" s="19"/>
      <c r="CQ18" s="20"/>
      <c r="CR18" s="20"/>
      <c r="CS18" s="20"/>
      <c r="CT18" s="19"/>
      <c r="CU18" s="20"/>
      <c r="CV18" s="20"/>
      <c r="CW18" s="20"/>
      <c r="CX18" s="19"/>
      <c r="CY18" s="20"/>
      <c r="CZ18" s="20"/>
      <c r="DA18" s="20"/>
      <c r="DB18" s="20"/>
      <c r="DC18" s="19"/>
      <c r="DD18" s="20"/>
      <c r="DE18" s="20"/>
      <c r="DF18" s="20"/>
      <c r="DG18" s="19">
        <v>-27500.0</v>
      </c>
      <c r="DH18" s="20"/>
      <c r="DI18" s="20"/>
      <c r="DJ18" s="20"/>
      <c r="DK18" s="19"/>
      <c r="DL18" s="20"/>
      <c r="DM18" s="20"/>
      <c r="DN18" s="20"/>
      <c r="DO18" s="24">
        <f>-2000-25000</f>
        <v>-27000</v>
      </c>
      <c r="DP18" s="20"/>
      <c r="DQ18" s="20"/>
      <c r="DR18" s="25">
        <f>-6150-154394-2850</f>
        <v>-163394</v>
      </c>
      <c r="DS18" s="20"/>
      <c r="DT18" s="24">
        <f>-5750-2071.02</f>
        <v>-7821.02</v>
      </c>
      <c r="DU18" s="25">
        <f>-20500-2076.63-10000</f>
        <v>-32576.63</v>
      </c>
      <c r="DV18" s="20"/>
      <c r="DW18" s="14"/>
      <c r="DX18" s="15"/>
      <c r="DY18" s="14"/>
      <c r="DZ18" s="14"/>
      <c r="EA18" s="14"/>
      <c r="EB18" s="14"/>
      <c r="EC18" s="15"/>
      <c r="ED18" s="14"/>
      <c r="EE18" s="14"/>
      <c r="EF18" s="14"/>
      <c r="EG18" s="15"/>
      <c r="EH18" s="14"/>
      <c r="EI18" s="14"/>
      <c r="EJ18" s="14"/>
      <c r="EK18" s="15"/>
      <c r="EL18" s="14"/>
    </row>
    <row r="19" ht="14.25" customHeight="1">
      <c r="A19" s="4"/>
      <c r="B19" s="13" t="s">
        <v>17</v>
      </c>
      <c r="C19" s="20">
        <v>-8000.0</v>
      </c>
      <c r="D19" s="20">
        <v>-9714.41</v>
      </c>
      <c r="E19" s="20">
        <v>-12000.0</v>
      </c>
      <c r="F19" s="19">
        <v>-5932.0</v>
      </c>
      <c r="G19" s="20">
        <v>-1161.280000000028</v>
      </c>
      <c r="H19" s="20">
        <v>-11926.13</v>
      </c>
      <c r="I19" s="20">
        <v>-16255.92</v>
      </c>
      <c r="J19" s="20">
        <v>-103774.01</v>
      </c>
      <c r="K19" s="19">
        <v>-20384.05</v>
      </c>
      <c r="L19" s="20">
        <v>-10000.0</v>
      </c>
      <c r="M19" s="20">
        <v>-10000.0</v>
      </c>
      <c r="N19" s="20">
        <v>-10000.0</v>
      </c>
      <c r="O19" s="19">
        <v>-10000.0</v>
      </c>
      <c r="P19" s="20">
        <v>-10000.0</v>
      </c>
      <c r="Q19" s="20">
        <v>-10000.0</v>
      </c>
      <c r="R19" s="20">
        <v>-10000.0</v>
      </c>
      <c r="S19" s="20">
        <v>-239526.0</v>
      </c>
      <c r="T19" s="19">
        <v>-10000.0</v>
      </c>
      <c r="U19" s="20">
        <v>-10063.16</v>
      </c>
      <c r="V19" s="20">
        <v>-27847.8</v>
      </c>
      <c r="W19" s="20">
        <v>-29036.06</v>
      </c>
      <c r="X19" s="19">
        <v>-95000.0</v>
      </c>
      <c r="Y19" s="20">
        <v>-10000.0</v>
      </c>
      <c r="Z19" s="20">
        <v>-60000.0</v>
      </c>
      <c r="AA19" s="20">
        <v>-60000.0</v>
      </c>
      <c r="AB19" s="19">
        <v>-10000.0</v>
      </c>
      <c r="AC19" s="20">
        <v>-25000.0</v>
      </c>
      <c r="AD19" s="20">
        <f>-60000-10845</f>
        <v>-70845</v>
      </c>
      <c r="AE19" s="20">
        <f>-3002.07-2426- 27177.9</f>
        <v>-32605.97</v>
      </c>
      <c r="AF19" s="20">
        <f>-22934.5-2598.94</f>
        <v>-25533.44</v>
      </c>
      <c r="AG19" s="19">
        <f>-988.79-25500-9149</f>
        <v>-35637.79</v>
      </c>
      <c r="AH19" s="20">
        <f>-300000-24651.83+300000</f>
        <v>-24651.83</v>
      </c>
      <c r="AI19" s="20">
        <f>-300000-1945.7+300000-4807.5</f>
        <v>-6753.2</v>
      </c>
      <c r="AJ19" s="20">
        <f>-306333.13+300000</f>
        <v>-6333.13</v>
      </c>
      <c r="AK19" s="19">
        <f>-47187.81-4433</f>
        <v>-51620.81</v>
      </c>
      <c r="AL19" s="20">
        <f>-11897.31-83446</f>
        <v>-95343.31</v>
      </c>
      <c r="AM19" s="20">
        <f>-28793.79-500000+492363.61</f>
        <v>-36430.18</v>
      </c>
      <c r="AN19" s="20">
        <f>-304206.99+273750</f>
        <v>-30456.99</v>
      </c>
      <c r="AO19" s="19">
        <f>-813157.27+795798.33</f>
        <v>-17358.94</v>
      </c>
      <c r="AP19" s="20">
        <f>-4731.99-25000</f>
        <v>-29731.99</v>
      </c>
      <c r="AQ19" s="20">
        <f>-37934.4-700000-423.54+669750</f>
        <v>-68607.94</v>
      </c>
      <c r="AR19" s="20">
        <f>-6868.85-24529.01</f>
        <v>-31397.86</v>
      </c>
      <c r="AS19" s="20">
        <f>-554852.12+544448.89</f>
        <v>-10403.23</v>
      </c>
      <c r="AT19" s="19">
        <f>-509092.21+338250</f>
        <v>-170842.21</v>
      </c>
      <c r="AU19" s="20">
        <f>-507659.49+665340.71-200000-1501</f>
        <v>-43819.78</v>
      </c>
      <c r="AV19" s="20">
        <f>-6045.67-12033.97</f>
        <v>-18079.64</v>
      </c>
      <c r="AW19" s="20">
        <f>-1019473.79+849944.19+150785</f>
        <v>-18744.6</v>
      </c>
      <c r="AX19" s="19">
        <f>-238326.96-45616.73+230000</f>
        <v>-53943.69</v>
      </c>
      <c r="AY19" s="20">
        <f>-1511720.6+1461393.6</f>
        <v>-50327</v>
      </c>
      <c r="AZ19" s="20">
        <f>-24164.38-374484-423.54+288107.53</f>
        <v>-110964.39</v>
      </c>
      <c r="BA19" s="20">
        <f>-121779.19+45610.01</f>
        <v>-76169.18</v>
      </c>
      <c r="BB19" s="20">
        <f>-752753.9+701003.21</f>
        <v>-51750.69</v>
      </c>
      <c r="BC19" s="19">
        <f>-157230.23-20103.06+67.29</f>
        <v>-177266</v>
      </c>
      <c r="BD19" s="20">
        <f>-412654.34+315462.95+25000</f>
        <v>-72191.39</v>
      </c>
      <c r="BE19" s="20">
        <f>-87542.12+69582.35</f>
        <v>-17959.77</v>
      </c>
      <c r="BF19" s="20">
        <f>-53792.32-35511.34+39035.33-7680+7680-1591.11</f>
        <v>-51859.44</v>
      </c>
      <c r="BG19" s="19">
        <f>-837431.6+655298.57+ 148719.55+12000</f>
        <v>-21413.48</v>
      </c>
      <c r="BH19" s="20">
        <f>-9850.77+247628.11+5147.24-262678.12-0.06</f>
        <v>-19753.6</v>
      </c>
      <c r="BI19" s="20">
        <f>518134.14-522840.88</f>
        <v>-4706.74</v>
      </c>
      <c r="BJ19" s="20">
        <f>-284484.43+278766.83-40743.07-476.88</f>
        <v>-46937.55</v>
      </c>
      <c r="BK19" s="19">
        <f>-490298.6+457710.73</f>
        <v>-32587.87</v>
      </c>
      <c r="BL19" s="20">
        <f>-758633.25+631460.84</f>
        <v>-127172.41</v>
      </c>
      <c r="BM19" s="20">
        <f>-346515.06-255328.98+537214.83-315.84-11675.81</f>
        <v>-76620.86</v>
      </c>
      <c r="BN19" s="20">
        <f>-176441.37-1464.34</f>
        <v>-177905.71</v>
      </c>
      <c r="BO19" s="19">
        <f>-46760.21-165761.62+32932.79</f>
        <v>-179589.04</v>
      </c>
      <c r="BP19" s="20">
        <f>-602815.85+496538.77</f>
        <v>-106277.08</v>
      </c>
      <c r="BQ19" s="20">
        <f>-85639.61+472518.18-450886.5</f>
        <v>-64007.93</v>
      </c>
      <c r="BR19" s="20">
        <f>-108257.98+10000+85974.26-18745.99</f>
        <v>-31029.71</v>
      </c>
      <c r="BS19" s="20">
        <f>-323474.43-19605.79+171022.9+130125</f>
        <v>-41932.32</v>
      </c>
      <c r="BT19" s="19">
        <f>-1457.91-81501.55</f>
        <v>-82959.46</v>
      </c>
      <c r="BU19" s="20">
        <f>152299.94-204676.16</f>
        <v>-52376.22</v>
      </c>
      <c r="BV19" s="20">
        <f>48246.62-59165.06</f>
        <v>-10918.44</v>
      </c>
      <c r="BW19" s="20">
        <f>-172073.9+146895.93</f>
        <v>-25177.97</v>
      </c>
      <c r="BX19" s="19">
        <f>-54705.96-554468.86+550392.86</f>
        <v>-58781.96</v>
      </c>
      <c r="BY19" s="20">
        <f>-154706.62+870647.18-910176.21</f>
        <v>-194235.65</v>
      </c>
      <c r="BZ19" s="20">
        <f>-156621.29+184048.47-15390-13199.85+1312.62-1209.51-45443.9</f>
        <v>-46503.46</v>
      </c>
      <c r="CA19" s="20">
        <f>-354425.98+302523.71</f>
        <v>-51902.27</v>
      </c>
      <c r="CB19" s="19">
        <f>-183364.28+154800.19</f>
        <v>-28564.09</v>
      </c>
      <c r="CC19" s="20">
        <f>529421.94-566157.58</f>
        <v>-36735.64</v>
      </c>
      <c r="CD19" s="20">
        <f>159725.5-265976.16</f>
        <v>-106250.66</v>
      </c>
      <c r="CE19" s="20">
        <f>67237.01 - 91423.81</f>
        <v>-24186.8</v>
      </c>
      <c r="CF19" s="20">
        <f>-196099.28+180026.88</f>
        <v>-16072.4</v>
      </c>
      <c r="CG19" s="19">
        <f>24224.04-64178.73</f>
        <v>-39954.69</v>
      </c>
      <c r="CH19" s="20">
        <f>316883.78-391717.46</f>
        <v>-74833.68</v>
      </c>
      <c r="CI19" s="20">
        <f>-54977.13+40063.32</f>
        <v>-14913.81</v>
      </c>
      <c r="CJ19" s="20">
        <f>-163413.22+116510.62</f>
        <v>-46902.6</v>
      </c>
      <c r="CK19" s="19">
        <v>-31730.81</v>
      </c>
      <c r="CL19" s="20">
        <f>-11646.65-468317.37-57011.9</f>
        <v>-536975.92</v>
      </c>
      <c r="CM19" s="20">
        <f>-108999.5-22796.51+55000</f>
        <v>-76796.01</v>
      </c>
      <c r="CN19" s="20">
        <f>-89079.5-28725.45</f>
        <v>-117804.95</v>
      </c>
      <c r="CO19" s="20">
        <f>-95237.26+99279.01-161141.52</f>
        <v>-157099.77</v>
      </c>
      <c r="CP19" s="19">
        <f>10835.24-10136.25-2983.83-18078.6</f>
        <v>-20363.44</v>
      </c>
      <c r="CQ19" s="20">
        <f>727381.36-12273.55-727633</f>
        <v>-12525.19</v>
      </c>
      <c r="CR19" s="20">
        <f>-177902.09+167017.94-169013.53</f>
        <v>-179897.68</v>
      </c>
      <c r="CS19" s="20">
        <f>128546.16-183601.27-95389.74</f>
        <v>-150444.85</v>
      </c>
      <c r="CT19" s="19">
        <f>-65772.7-17420.06</f>
        <v>-83192.76</v>
      </c>
      <c r="CU19" s="20">
        <v>-229823.28</v>
      </c>
      <c r="CV19" s="20">
        <f>-72576.78+63968.52-427948.05</f>
        <v>-436556.31</v>
      </c>
      <c r="CW19" s="20">
        <f>-124539.36+53545.52-51905.01</f>
        <v>-122898.85</v>
      </c>
      <c r="CX19" s="19">
        <f>-61843.75-52627.26+59343.75</f>
        <v>-55127.26</v>
      </c>
      <c r="CY19" s="20">
        <f>-10840.89+585495.13-585766.08</f>
        <v>-11111.84</v>
      </c>
      <c r="CZ19" s="20">
        <f>-324970.86+324066.46-112838.74</f>
        <v>-113743.14</v>
      </c>
      <c r="DA19" s="20">
        <f>-89826.71-8616.11+123312.26+27360</f>
        <v>52229.44</v>
      </c>
      <c r="DB19" s="20">
        <f>-511172.23+380340.44+124449.79-38856.88</f>
        <v>-45238.88</v>
      </c>
      <c r="DC19" s="19">
        <v>-69849.83</v>
      </c>
      <c r="DD19" s="20">
        <f>947286.27-89464+58259.35-1258968.82</f>
        <v>-342887.2</v>
      </c>
      <c r="DE19" s="20">
        <f>47370.23-73495.39-75444.39</f>
        <v>-101569.55</v>
      </c>
      <c r="DF19" s="20">
        <f>74032.31-58899.94-130722.92</f>
        <v>-115590.55</v>
      </c>
      <c r="DG19" s="19">
        <f>459137.4-43777.97-2598.18-459137.4-2000</f>
        <v>-48376.15</v>
      </c>
      <c r="DH19" s="20">
        <f>1092160.79-128058.55-1132562.13</f>
        <v>-168459.89</v>
      </c>
      <c r="DI19" s="20">
        <f>640191.68-24549.43-221625.47-420661.2</f>
        <v>-26644.42</v>
      </c>
      <c r="DJ19" s="20">
        <v>-31080.45999999998</v>
      </c>
      <c r="DK19" s="19">
        <f>-45892.8+47104.8-11591.57</f>
        <v>-10379.57</v>
      </c>
      <c r="DL19" s="20">
        <f>-595531+473921-98820.71</f>
        <v>-220430.71</v>
      </c>
      <c r="DM19" s="20">
        <v>-16729.45</v>
      </c>
      <c r="DN19" s="20">
        <v>-80922.48999999999</v>
      </c>
      <c r="DO19" s="24">
        <f>-1500-500-2429.23</f>
        <v>-4429.23</v>
      </c>
      <c r="DP19" s="25">
        <f>-221.29-10001.19-693.24-1951.04</f>
        <v>-12866.76</v>
      </c>
      <c r="DQ19" s="25">
        <f>-1000-3950-1200-5509.23-2161.45</f>
        <v>-13820.68</v>
      </c>
      <c r="DR19" s="25">
        <f>-94.99-22341.42-2000-119.8-50.27-28.5-608.22-3064.3-2093.7-1699.85-14390.1-1239.75</f>
        <v>-47730.9</v>
      </c>
      <c r="DS19" s="25">
        <f>-1280.5-1000-2418.8</f>
        <v>-4699.3</v>
      </c>
      <c r="DT19" s="24">
        <f>-14981.12-250.07-4063.5-2187.01-134-2431.79</f>
        <v>-24047.49</v>
      </c>
      <c r="DU19" s="25">
        <f>-1500-1200-14924.85-6160.26-2487.44-17407.64-461.05</f>
        <v>-44141.24</v>
      </c>
      <c r="DV19" s="25">
        <f>-140.55-94.99-41.14-26.76-392.23-885.69-2536.72-70-1126.64</f>
        <v>-5314.72</v>
      </c>
      <c r="DW19" s="14">
        <v>-110000.0</v>
      </c>
      <c r="DX19" s="15">
        <v>-110000.0</v>
      </c>
      <c r="DY19" s="14">
        <v>-110000.0</v>
      </c>
      <c r="DZ19" s="14">
        <v>-110000.0</v>
      </c>
      <c r="EA19" s="14">
        <v>-110000.0</v>
      </c>
      <c r="EB19" s="14">
        <v>-110000.0</v>
      </c>
      <c r="EC19" s="15">
        <v>-110000.0</v>
      </c>
      <c r="ED19" s="14">
        <v>-110000.0</v>
      </c>
      <c r="EE19" s="14">
        <v>-110000.0</v>
      </c>
      <c r="EF19" s="14">
        <v>-110000.0</v>
      </c>
      <c r="EG19" s="15">
        <v>-110000.0</v>
      </c>
      <c r="EH19" s="14">
        <v>-110000.0</v>
      </c>
      <c r="EI19" s="14">
        <v>-110000.0</v>
      </c>
      <c r="EJ19" s="14">
        <v>-110000.0</v>
      </c>
      <c r="EK19" s="15">
        <v>-110000.0</v>
      </c>
      <c r="EL19" s="14">
        <v>-110000.0</v>
      </c>
    </row>
    <row r="20" ht="14.25" customHeight="1">
      <c r="A20" s="4"/>
      <c r="B20" s="29" t="s">
        <v>18</v>
      </c>
      <c r="C20" s="20">
        <v>-250000.0</v>
      </c>
      <c r="D20" s="20"/>
      <c r="E20" s="20"/>
      <c r="F20" s="19"/>
      <c r="G20" s="20"/>
      <c r="H20" s="20">
        <v>-100000.0</v>
      </c>
      <c r="I20" s="20"/>
      <c r="J20" s="20"/>
      <c r="K20" s="19"/>
      <c r="L20" s="20">
        <v>-100000.0</v>
      </c>
      <c r="M20" s="20"/>
      <c r="N20" s="20"/>
      <c r="O20" s="19"/>
      <c r="P20" s="20">
        <v>-100000.0</v>
      </c>
      <c r="Q20" s="20"/>
      <c r="R20" s="20"/>
      <c r="S20" s="20"/>
      <c r="T20" s="19"/>
      <c r="U20" s="20"/>
      <c r="V20" s="20"/>
      <c r="W20" s="20"/>
      <c r="X20" s="19"/>
      <c r="Y20" s="20"/>
      <c r="Z20" s="20"/>
      <c r="AA20" s="20"/>
      <c r="AB20" s="19"/>
      <c r="AC20" s="20"/>
      <c r="AD20" s="20"/>
      <c r="AE20" s="20">
        <v>-293633.88</v>
      </c>
      <c r="AF20" s="20"/>
      <c r="AG20" s="19"/>
      <c r="AH20" s="20">
        <v>-100000.0</v>
      </c>
      <c r="AI20" s="20"/>
      <c r="AJ20" s="20"/>
      <c r="AK20" s="19"/>
      <c r="AL20" s="20">
        <v>-30000.0</v>
      </c>
      <c r="AM20" s="20"/>
      <c r="AN20" s="20"/>
      <c r="AO20" s="19">
        <f>-100000-100000</f>
        <v>-200000</v>
      </c>
      <c r="AP20" s="20">
        <v>-50000.0</v>
      </c>
      <c r="AQ20" s="20"/>
      <c r="AR20" s="20"/>
      <c r="AS20" s="20"/>
      <c r="AT20" s="19"/>
      <c r="AU20" s="20"/>
      <c r="AV20" s="20"/>
      <c r="AW20" s="20">
        <v>-150785.0</v>
      </c>
      <c r="AX20" s="19"/>
      <c r="AY20" s="20"/>
      <c r="AZ20" s="20"/>
      <c r="BA20" s="20">
        <v>-250000.0</v>
      </c>
      <c r="BB20" s="20"/>
      <c r="BC20" s="19"/>
      <c r="BD20" s="20"/>
      <c r="BE20" s="20"/>
      <c r="BF20" s="20"/>
      <c r="BG20" s="19"/>
      <c r="BH20" s="20"/>
      <c r="BI20" s="20"/>
      <c r="BJ20" s="20"/>
      <c r="BK20" s="19"/>
      <c r="BL20" s="20"/>
      <c r="BM20" s="20"/>
      <c r="BN20" s="20"/>
      <c r="BO20" s="19">
        <v>-75000.0</v>
      </c>
      <c r="BP20" s="20"/>
      <c r="BQ20" s="20"/>
      <c r="BR20" s="20">
        <v>-100000.0</v>
      </c>
      <c r="BS20" s="20">
        <v>-110000.0</v>
      </c>
      <c r="BT20" s="19"/>
      <c r="BU20" s="20">
        <v>-125000.0</v>
      </c>
      <c r="BV20" s="20">
        <f>-25000-22779.07</f>
        <v>-47779.07</v>
      </c>
      <c r="BW20" s="20">
        <v>-1275000.0</v>
      </c>
      <c r="BX20" s="19">
        <v>-25000.0</v>
      </c>
      <c r="BY20" s="20">
        <f t="shared" ref="BY20:BZ20" si="4">-25000</f>
        <v>-25000</v>
      </c>
      <c r="BZ20" s="20">
        <f t="shared" si="4"/>
        <v>-25000</v>
      </c>
      <c r="CA20" s="20">
        <f>-100000</f>
        <v>-100000</v>
      </c>
      <c r="CB20" s="19">
        <f>-75000</f>
        <v>-75000</v>
      </c>
      <c r="CC20" s="20">
        <v>175000.0</v>
      </c>
      <c r="CD20" s="20">
        <v>-25000.0</v>
      </c>
      <c r="CE20" s="20">
        <v>-25000.0</v>
      </c>
      <c r="CF20" s="20">
        <v>-25000.0</v>
      </c>
      <c r="CG20" s="19">
        <v>-25000.0</v>
      </c>
      <c r="CH20" s="20"/>
      <c r="CI20" s="20">
        <f>-100000</f>
        <v>-100000</v>
      </c>
      <c r="CJ20" s="20">
        <v>100000.03</v>
      </c>
      <c r="CK20" s="19"/>
      <c r="CL20" s="20"/>
      <c r="CM20" s="20">
        <v>-55000.0</v>
      </c>
      <c r="CN20" s="20"/>
      <c r="CO20" s="20"/>
      <c r="CP20" s="19"/>
      <c r="CQ20" s="20"/>
      <c r="CR20" s="20"/>
      <c r="CS20" s="20"/>
      <c r="CT20" s="19"/>
      <c r="CU20" s="20"/>
      <c r="CV20" s="20"/>
      <c r="CW20" s="20"/>
      <c r="CX20" s="19"/>
      <c r="CY20" s="20"/>
      <c r="CZ20" s="20"/>
      <c r="DA20" s="20"/>
      <c r="DB20" s="20"/>
      <c r="DC20" s="19"/>
      <c r="DD20" s="20"/>
      <c r="DE20" s="20"/>
      <c r="DF20" s="20"/>
      <c r="DG20" s="19"/>
      <c r="DH20" s="20"/>
      <c r="DI20" s="20"/>
      <c r="DJ20" s="20"/>
      <c r="DK20" s="19"/>
      <c r="DL20" s="20"/>
      <c r="DM20" s="20"/>
      <c r="DN20" s="20"/>
      <c r="DO20" s="19"/>
      <c r="DP20" s="20"/>
      <c r="DQ20" s="20"/>
      <c r="DR20" s="20"/>
      <c r="DS20" s="20"/>
      <c r="DT20" s="19"/>
      <c r="DU20" s="20"/>
      <c r="DV20" s="20"/>
      <c r="DW20" s="30"/>
      <c r="DX20" s="31"/>
      <c r="DY20" s="30"/>
      <c r="DZ20" s="30"/>
      <c r="EA20" s="30"/>
      <c r="EB20" s="30"/>
      <c r="EC20" s="31"/>
      <c r="ED20" s="30"/>
      <c r="EE20" s="30"/>
      <c r="EF20" s="30"/>
      <c r="EG20" s="31"/>
      <c r="EH20" s="30"/>
      <c r="EI20" s="30"/>
      <c r="EJ20" s="30"/>
      <c r="EK20" s="31"/>
      <c r="EL20" s="30"/>
    </row>
    <row r="21" ht="15.75" customHeight="1">
      <c r="A21" s="4"/>
      <c r="B21" s="29" t="s">
        <v>19</v>
      </c>
      <c r="C21" s="20">
        <v>-28988.61</v>
      </c>
      <c r="D21" s="20"/>
      <c r="E21" s="20"/>
      <c r="F21" s="19"/>
      <c r="G21" s="20">
        <v>-45079.0</v>
      </c>
      <c r="H21" s="20"/>
      <c r="I21" s="20"/>
      <c r="J21" s="20"/>
      <c r="K21" s="19"/>
      <c r="L21" s="20">
        <v>-45079.0</v>
      </c>
      <c r="M21" s="20"/>
      <c r="N21" s="20"/>
      <c r="O21" s="19"/>
      <c r="P21" s="20">
        <f>-47222-45079</f>
        <v>-92301</v>
      </c>
      <c r="Q21" s="20">
        <v>-47222.0</v>
      </c>
      <c r="R21" s="20">
        <v>-47222.0</v>
      </c>
      <c r="S21" s="20">
        <v>-47222.0</v>
      </c>
      <c r="T21" s="19">
        <v>-47222.0</v>
      </c>
      <c r="U21" s="20">
        <v>-47222.0</v>
      </c>
      <c r="V21" s="20">
        <v>-47222.0</v>
      </c>
      <c r="W21" s="20">
        <v>-47222.2</v>
      </c>
      <c r="X21" s="19">
        <v>-47222.2</v>
      </c>
      <c r="Y21" s="20">
        <f>-47222-32000</f>
        <v>-79222</v>
      </c>
      <c r="Z21" s="20"/>
      <c r="AA21" s="20"/>
      <c r="AB21" s="19"/>
      <c r="AC21" s="20">
        <v>-45079.0</v>
      </c>
      <c r="AD21" s="20"/>
      <c r="AE21" s="20">
        <f t="shared" ref="AE21:AF21" si="5">-300000+300000</f>
        <v>0</v>
      </c>
      <c r="AF21" s="20">
        <f t="shared" si="5"/>
        <v>0</v>
      </c>
      <c r="AG21" s="19">
        <f>-400000+400000</f>
        <v>0</v>
      </c>
      <c r="AH21" s="20">
        <v>-91528.5</v>
      </c>
      <c r="AI21" s="20"/>
      <c r="AJ21" s="20"/>
      <c r="AK21" s="19"/>
      <c r="AL21" s="20">
        <v>-95266.2</v>
      </c>
      <c r="AM21" s="20"/>
      <c r="AN21" s="20">
        <v>-43200.0</v>
      </c>
      <c r="AO21" s="19"/>
      <c r="AP21" s="20">
        <v>-95920.17</v>
      </c>
      <c r="AQ21" s="20"/>
      <c r="AR21" s="20"/>
      <c r="AS21" s="20"/>
      <c r="AT21" s="19"/>
      <c r="AU21" s="20">
        <v>-94841.2</v>
      </c>
      <c r="AV21" s="20"/>
      <c r="AW21" s="20"/>
      <c r="AX21" s="19"/>
      <c r="AY21" s="20">
        <v>-98255.31</v>
      </c>
      <c r="AZ21" s="20"/>
      <c r="BA21" s="20"/>
      <c r="BB21" s="20">
        <v>-43200.0</v>
      </c>
      <c r="BC21" s="19"/>
      <c r="BD21" s="20">
        <v>-99067.53</v>
      </c>
      <c r="BE21" s="20"/>
      <c r="BF21" s="20"/>
      <c r="BG21" s="19">
        <v>-56224.0</v>
      </c>
      <c r="BH21" s="20">
        <v>-95526.03</v>
      </c>
      <c r="BI21" s="20"/>
      <c r="BJ21" s="20">
        <v>-50000.0</v>
      </c>
      <c r="BK21" s="19">
        <v>-50000.0</v>
      </c>
      <c r="BL21" s="20">
        <v>-98602.9</v>
      </c>
      <c r="BM21" s="20"/>
      <c r="BN21" s="20"/>
      <c r="BO21" s="19"/>
      <c r="BP21" s="20">
        <f>-50000-97488.78</f>
        <v>-147488.78</v>
      </c>
      <c r="BQ21" s="20"/>
      <c r="BR21" s="20"/>
      <c r="BS21" s="20">
        <v>-72000.0</v>
      </c>
      <c r="BT21" s="19">
        <f>-5000-50000</f>
        <v>-55000</v>
      </c>
      <c r="BU21" s="20">
        <f>-98656.01-25000</f>
        <v>-123656.01</v>
      </c>
      <c r="BV21" s="20"/>
      <c r="BW21" s="20"/>
      <c r="BX21" s="19">
        <v>-25000.0</v>
      </c>
      <c r="BY21" s="32">
        <f>-97488.77</f>
        <v>-97488.77</v>
      </c>
      <c r="BZ21" s="20"/>
      <c r="CA21" s="20"/>
      <c r="CB21" s="19">
        <v>-20000.0</v>
      </c>
      <c r="CC21" s="32">
        <v>-98656.01</v>
      </c>
      <c r="CD21" s="20">
        <v>-45000.0</v>
      </c>
      <c r="CE21" s="20"/>
      <c r="CF21" s="20">
        <v>-20000.0</v>
      </c>
      <c r="CG21" s="19"/>
      <c r="CH21" s="20"/>
      <c r="CI21" s="20"/>
      <c r="CJ21" s="20">
        <v>141298.97</v>
      </c>
      <c r="CK21" s="19">
        <f>-145669-62208+66578.03</f>
        <v>-141298.97</v>
      </c>
      <c r="CL21" s="20"/>
      <c r="CM21" s="20"/>
      <c r="CN21" s="20"/>
      <c r="CO21" s="20"/>
      <c r="CP21" s="19"/>
      <c r="CQ21" s="20"/>
      <c r="CR21" s="20"/>
      <c r="CS21" s="20"/>
      <c r="CT21" s="19"/>
      <c r="CU21" s="20"/>
      <c r="CV21" s="20"/>
      <c r="CW21" s="20"/>
      <c r="CX21" s="19"/>
      <c r="CY21" s="20"/>
      <c r="CZ21" s="20"/>
      <c r="DA21" s="20"/>
      <c r="DB21" s="20"/>
      <c r="DC21" s="19"/>
      <c r="DD21" s="20"/>
      <c r="DE21" s="20"/>
      <c r="DF21" s="20"/>
      <c r="DG21" s="19"/>
      <c r="DH21" s="20"/>
      <c r="DI21" s="20"/>
      <c r="DJ21" s="20"/>
      <c r="DK21" s="19"/>
      <c r="DL21" s="20"/>
      <c r="DM21" s="20"/>
      <c r="DN21" s="20"/>
      <c r="DO21" s="19"/>
      <c r="DP21" s="20"/>
      <c r="DQ21" s="20"/>
      <c r="DR21" s="20"/>
      <c r="DS21" s="20"/>
      <c r="DT21" s="19"/>
      <c r="DU21" s="20"/>
      <c r="DV21" s="20"/>
      <c r="DW21" s="30"/>
      <c r="DX21" s="31"/>
      <c r="DY21" s="30"/>
      <c r="DZ21" s="30"/>
      <c r="EA21" s="30"/>
      <c r="EB21" s="30"/>
      <c r="EC21" s="31"/>
      <c r="ED21" s="30"/>
      <c r="EE21" s="30"/>
      <c r="EF21" s="30"/>
      <c r="EG21" s="31"/>
      <c r="EH21" s="30"/>
      <c r="EI21" s="30"/>
      <c r="EJ21" s="30"/>
      <c r="EK21" s="31"/>
      <c r="EL21" s="30"/>
    </row>
    <row r="22" ht="7.5" customHeight="1">
      <c r="A22" s="4"/>
      <c r="B22" s="33"/>
      <c r="C22" s="34"/>
      <c r="D22" s="34"/>
      <c r="E22" s="34"/>
      <c r="F22" s="35"/>
      <c r="G22" s="34"/>
      <c r="H22" s="34"/>
      <c r="I22" s="34"/>
      <c r="J22" s="34"/>
      <c r="K22" s="35"/>
      <c r="L22" s="34"/>
      <c r="M22" s="34"/>
      <c r="N22" s="34"/>
      <c r="O22" s="35"/>
      <c r="P22" s="34"/>
      <c r="Q22" s="34"/>
      <c r="R22" s="34"/>
      <c r="S22" s="34"/>
      <c r="T22" s="35"/>
      <c r="U22" s="34"/>
      <c r="V22" s="34"/>
      <c r="W22" s="34"/>
      <c r="X22" s="35"/>
      <c r="Y22" s="34"/>
      <c r="Z22" s="34"/>
      <c r="AA22" s="34"/>
      <c r="AB22" s="35"/>
      <c r="AC22" s="34"/>
      <c r="AD22" s="34"/>
      <c r="AE22" s="34"/>
      <c r="AF22" s="34"/>
      <c r="AG22" s="35"/>
      <c r="AH22" s="34"/>
      <c r="AI22" s="34"/>
      <c r="AJ22" s="34"/>
      <c r="AK22" s="35"/>
      <c r="AL22" s="34"/>
      <c r="AM22" s="34"/>
      <c r="AN22" s="34"/>
      <c r="AO22" s="35"/>
      <c r="AP22" s="34"/>
      <c r="AQ22" s="34"/>
      <c r="AR22" s="34"/>
      <c r="AS22" s="34"/>
      <c r="AT22" s="35"/>
      <c r="AU22" s="34"/>
      <c r="AV22" s="34"/>
      <c r="AW22" s="34"/>
      <c r="AX22" s="35"/>
      <c r="AY22" s="34"/>
      <c r="AZ22" s="34"/>
      <c r="BA22" s="34"/>
      <c r="BB22" s="34"/>
      <c r="BC22" s="35"/>
      <c r="BD22" s="34"/>
      <c r="BE22" s="34"/>
      <c r="BF22" s="34"/>
      <c r="BG22" s="35"/>
      <c r="BH22" s="34"/>
      <c r="BI22" s="34"/>
      <c r="BJ22" s="34"/>
      <c r="BK22" s="35"/>
      <c r="BL22" s="34"/>
      <c r="BM22" s="34"/>
      <c r="BN22" s="34"/>
      <c r="BO22" s="35"/>
      <c r="BP22" s="34"/>
      <c r="BQ22" s="34"/>
      <c r="BR22" s="34"/>
      <c r="BS22" s="34"/>
      <c r="BT22" s="35"/>
      <c r="BU22" s="34"/>
      <c r="BV22" s="34"/>
      <c r="BW22" s="34"/>
      <c r="BX22" s="36"/>
      <c r="BY22" s="37"/>
      <c r="BZ22" s="34"/>
      <c r="CA22" s="34"/>
      <c r="CB22" s="35"/>
      <c r="CC22" s="38"/>
      <c r="CD22" s="34"/>
      <c r="CE22" s="34"/>
      <c r="CF22" s="34"/>
      <c r="CG22" s="35"/>
      <c r="CH22" s="34"/>
      <c r="CI22" s="34"/>
      <c r="CJ22" s="34"/>
      <c r="CK22" s="35"/>
      <c r="CL22" s="34"/>
      <c r="CM22" s="34"/>
      <c r="CN22" s="34"/>
      <c r="CO22" s="34"/>
      <c r="CP22" s="35"/>
      <c r="CQ22" s="34"/>
      <c r="CR22" s="34"/>
      <c r="CS22" s="34"/>
      <c r="CT22" s="35"/>
      <c r="CU22" s="34"/>
      <c r="CV22" s="34"/>
      <c r="CW22" s="34"/>
      <c r="CX22" s="35"/>
      <c r="CY22" s="34"/>
      <c r="CZ22" s="34"/>
      <c r="DA22" s="34"/>
      <c r="DB22" s="34"/>
      <c r="DC22" s="35"/>
      <c r="DD22" s="34"/>
      <c r="DE22" s="34"/>
      <c r="DF22" s="34"/>
      <c r="DG22" s="35"/>
      <c r="DH22" s="34"/>
      <c r="DI22" s="34"/>
      <c r="DJ22" s="34"/>
      <c r="DK22" s="35"/>
      <c r="DL22" s="34"/>
      <c r="DM22" s="34"/>
      <c r="DN22" s="34"/>
      <c r="DO22" s="35"/>
      <c r="DP22" s="34"/>
      <c r="DQ22" s="34"/>
      <c r="DR22" s="34"/>
      <c r="DS22" s="34"/>
      <c r="DT22" s="35"/>
      <c r="DU22" s="34"/>
      <c r="DV22" s="34"/>
      <c r="DW22" s="39"/>
      <c r="DX22" s="40"/>
      <c r="DY22" s="39"/>
      <c r="DZ22" s="39"/>
      <c r="EA22" s="39"/>
      <c r="EB22" s="39"/>
      <c r="EC22" s="40"/>
      <c r="ED22" s="39"/>
      <c r="EE22" s="39"/>
      <c r="EF22" s="39"/>
      <c r="EG22" s="40"/>
      <c r="EH22" s="39"/>
      <c r="EI22" s="39"/>
      <c r="EJ22" s="39"/>
      <c r="EK22" s="40"/>
      <c r="EL22" s="39"/>
    </row>
    <row r="23" ht="15.75" customHeight="1">
      <c r="A23" s="4"/>
      <c r="B23" s="41" t="s">
        <v>20</v>
      </c>
      <c r="C23" s="14">
        <f t="shared" ref="C23:EL23" si="6">SUM(C3:C22)</f>
        <v>2288807.5</v>
      </c>
      <c r="D23" s="14">
        <f t="shared" si="6"/>
        <v>2604552.4</v>
      </c>
      <c r="E23" s="14">
        <f t="shared" si="6"/>
        <v>1994376.4</v>
      </c>
      <c r="F23" s="15">
        <f t="shared" si="6"/>
        <v>2251105.19</v>
      </c>
      <c r="G23" s="14">
        <f t="shared" si="6"/>
        <v>1595981.2</v>
      </c>
      <c r="H23" s="14">
        <f t="shared" si="6"/>
        <v>1633425.27</v>
      </c>
      <c r="I23" s="14">
        <f t="shared" si="6"/>
        <v>1364115.81</v>
      </c>
      <c r="J23" s="14">
        <f t="shared" si="6"/>
        <v>1102620.94</v>
      </c>
      <c r="K23" s="15">
        <f t="shared" si="6"/>
        <v>608900.42</v>
      </c>
      <c r="L23" s="14">
        <f t="shared" si="6"/>
        <v>866741.42</v>
      </c>
      <c r="M23" s="14">
        <f t="shared" si="6"/>
        <v>1185798.97</v>
      </c>
      <c r="N23" s="14">
        <f t="shared" si="6"/>
        <v>2925048.99</v>
      </c>
      <c r="O23" s="15">
        <f t="shared" si="6"/>
        <v>3191396.58</v>
      </c>
      <c r="P23" s="14">
        <f t="shared" si="6"/>
        <v>2840095.58</v>
      </c>
      <c r="Q23" s="14">
        <f t="shared" si="6"/>
        <v>2243873.58</v>
      </c>
      <c r="R23" s="14">
        <f t="shared" si="6"/>
        <v>1911651.58</v>
      </c>
      <c r="S23" s="14">
        <f t="shared" si="6"/>
        <v>1028903.58</v>
      </c>
      <c r="T23" s="15">
        <f t="shared" si="6"/>
        <v>2348705.51</v>
      </c>
      <c r="U23" s="14">
        <f t="shared" si="6"/>
        <v>1815788.52</v>
      </c>
      <c r="V23" s="14">
        <f t="shared" si="6"/>
        <v>1820307.64</v>
      </c>
      <c r="W23" s="14">
        <f t="shared" si="6"/>
        <v>1224444.41</v>
      </c>
      <c r="X23" s="15">
        <f t="shared" si="6"/>
        <v>1078140.3</v>
      </c>
      <c r="Y23" s="14">
        <f t="shared" si="6"/>
        <v>1898512.85</v>
      </c>
      <c r="Z23" s="14">
        <f t="shared" si="6"/>
        <v>2750442.85</v>
      </c>
      <c r="AA23" s="14">
        <f t="shared" si="6"/>
        <v>2181672.87</v>
      </c>
      <c r="AB23" s="15">
        <f t="shared" si="6"/>
        <v>2177832.87</v>
      </c>
      <c r="AC23" s="14">
        <f t="shared" si="6"/>
        <v>1672461.67</v>
      </c>
      <c r="AD23" s="42">
        <f t="shared" si="6"/>
        <v>1658397.87</v>
      </c>
      <c r="AE23" s="42">
        <f t="shared" si="6"/>
        <v>1014567.93</v>
      </c>
      <c r="AF23" s="42">
        <f t="shared" si="6"/>
        <v>1170582.41</v>
      </c>
      <c r="AG23" s="43">
        <f t="shared" si="6"/>
        <v>1359914.06</v>
      </c>
      <c r="AH23" s="42">
        <f t="shared" si="6"/>
        <v>1231202.09</v>
      </c>
      <c r="AI23" s="42">
        <f t="shared" si="6"/>
        <v>887594.36</v>
      </c>
      <c r="AJ23" s="42">
        <f t="shared" si="6"/>
        <v>874146.77</v>
      </c>
      <c r="AK23" s="43">
        <f t="shared" si="6"/>
        <v>1652259.5</v>
      </c>
      <c r="AL23" s="42">
        <f t="shared" si="6"/>
        <v>1959378.07</v>
      </c>
      <c r="AM23" s="42">
        <f t="shared" si="6"/>
        <v>1632131.85</v>
      </c>
      <c r="AN23" s="42">
        <f t="shared" si="6"/>
        <v>1786503.68</v>
      </c>
      <c r="AO23" s="43">
        <f t="shared" si="6"/>
        <v>1025395.83</v>
      </c>
      <c r="AP23" s="42">
        <f t="shared" si="6"/>
        <v>1062630.81</v>
      </c>
      <c r="AQ23" s="42">
        <f t="shared" si="6"/>
        <v>665032.98</v>
      </c>
      <c r="AR23" s="42">
        <f t="shared" si="6"/>
        <v>1000740.35</v>
      </c>
      <c r="AS23" s="42">
        <f t="shared" si="6"/>
        <v>941863.1</v>
      </c>
      <c r="AT23" s="43">
        <f t="shared" si="6"/>
        <v>678985.76</v>
      </c>
      <c r="AU23" s="42">
        <f t="shared" si="6"/>
        <v>396051.89</v>
      </c>
      <c r="AV23" s="42">
        <f t="shared" si="6"/>
        <v>1426261.41</v>
      </c>
      <c r="AW23" s="42">
        <f t="shared" si="6"/>
        <v>720910.21</v>
      </c>
      <c r="AX23" s="43">
        <f t="shared" si="6"/>
        <v>1337503.26</v>
      </c>
      <c r="AY23" s="42">
        <f t="shared" si="6"/>
        <v>1308888.74</v>
      </c>
      <c r="AZ23" s="42">
        <f t="shared" si="6"/>
        <v>1556026.61</v>
      </c>
      <c r="BA23" s="42">
        <f t="shared" si="6"/>
        <v>1606423.45</v>
      </c>
      <c r="BB23" s="42">
        <f t="shared" si="6"/>
        <v>2252298.6</v>
      </c>
      <c r="BC23" s="43">
        <f t="shared" si="6"/>
        <v>1433331.7</v>
      </c>
      <c r="BD23" s="42">
        <f t="shared" si="6"/>
        <v>1529013.87</v>
      </c>
      <c r="BE23" s="42">
        <f t="shared" si="6"/>
        <v>905031.57</v>
      </c>
      <c r="BF23" s="42">
        <f t="shared" si="6"/>
        <v>1496366.36</v>
      </c>
      <c r="BG23" s="43">
        <f t="shared" si="6"/>
        <v>539811.15</v>
      </c>
      <c r="BH23" s="42">
        <f t="shared" si="6"/>
        <v>464610.68</v>
      </c>
      <c r="BI23" s="42">
        <f t="shared" si="6"/>
        <v>318948.25</v>
      </c>
      <c r="BJ23" s="42">
        <f t="shared" si="6"/>
        <v>916028.35</v>
      </c>
      <c r="BK23" s="43">
        <f t="shared" si="6"/>
        <v>603965.67</v>
      </c>
      <c r="BL23" s="42">
        <f t="shared" si="6"/>
        <v>1008974.76</v>
      </c>
      <c r="BM23" s="42">
        <f t="shared" si="6"/>
        <v>952125.32</v>
      </c>
      <c r="BN23" s="42">
        <f t="shared" si="6"/>
        <v>986584.06</v>
      </c>
      <c r="BO23" s="43">
        <f t="shared" si="6"/>
        <v>1264430.16</v>
      </c>
      <c r="BP23" s="42">
        <f t="shared" si="6"/>
        <v>1545190.99</v>
      </c>
      <c r="BQ23" s="42">
        <f t="shared" si="6"/>
        <v>1556009.27</v>
      </c>
      <c r="BR23" s="42">
        <f t="shared" si="6"/>
        <v>2098433.3</v>
      </c>
      <c r="BS23" s="42">
        <f t="shared" si="6"/>
        <v>1355761.13</v>
      </c>
      <c r="BT23" s="43">
        <f t="shared" si="6"/>
        <v>617642.47</v>
      </c>
      <c r="BU23" s="42">
        <f t="shared" si="6"/>
        <v>974223.78</v>
      </c>
      <c r="BV23" s="42">
        <f t="shared" si="6"/>
        <v>964817.59</v>
      </c>
      <c r="BW23" s="42">
        <f t="shared" si="6"/>
        <v>641928.56</v>
      </c>
      <c r="BX23" s="43">
        <f t="shared" si="6"/>
        <v>1076488.01</v>
      </c>
      <c r="BY23" s="42">
        <f t="shared" si="6"/>
        <v>435863.18</v>
      </c>
      <c r="BZ23" s="42">
        <f t="shared" si="6"/>
        <v>582595.49</v>
      </c>
      <c r="CA23" s="42">
        <f t="shared" si="6"/>
        <v>710229.96</v>
      </c>
      <c r="CB23" s="43">
        <f t="shared" si="6"/>
        <v>1017418.91</v>
      </c>
      <c r="CC23" s="42">
        <f t="shared" si="6"/>
        <v>563041.91</v>
      </c>
      <c r="CD23" s="42">
        <f t="shared" si="6"/>
        <v>728947.94</v>
      </c>
      <c r="CE23" s="42">
        <f t="shared" si="6"/>
        <v>18602928.03</v>
      </c>
      <c r="CF23" s="42">
        <f t="shared" si="6"/>
        <v>1467910.74</v>
      </c>
      <c r="CG23" s="43">
        <f t="shared" si="6"/>
        <v>945739.02</v>
      </c>
      <c r="CH23" s="42">
        <f t="shared" si="6"/>
        <v>1028145.02</v>
      </c>
      <c r="CI23" s="42">
        <f t="shared" si="6"/>
        <v>676970.94</v>
      </c>
      <c r="CJ23" s="42">
        <f t="shared" si="6"/>
        <v>1105950.17</v>
      </c>
      <c r="CK23" s="43">
        <f t="shared" si="6"/>
        <v>486229.5</v>
      </c>
      <c r="CL23" s="42">
        <f t="shared" si="6"/>
        <v>823924.38</v>
      </c>
      <c r="CM23" s="42">
        <f t="shared" si="6"/>
        <v>657708.11</v>
      </c>
      <c r="CN23" s="42">
        <f t="shared" si="6"/>
        <v>1262936.53</v>
      </c>
      <c r="CO23" s="42">
        <f t="shared" si="6"/>
        <v>811369.37</v>
      </c>
      <c r="CP23" s="43">
        <f t="shared" si="6"/>
        <v>1346629.42</v>
      </c>
      <c r="CQ23" s="42">
        <f t="shared" si="6"/>
        <v>1792112.51</v>
      </c>
      <c r="CR23" s="42">
        <f t="shared" si="6"/>
        <v>2447341.68</v>
      </c>
      <c r="CS23" s="42">
        <f t="shared" si="6"/>
        <v>1897664.77</v>
      </c>
      <c r="CT23" s="43">
        <f t="shared" si="6"/>
        <v>2326047.72</v>
      </c>
      <c r="CU23" s="42">
        <f t="shared" si="6"/>
        <v>2708001.65</v>
      </c>
      <c r="CV23" s="42">
        <f t="shared" si="6"/>
        <v>2620060.34</v>
      </c>
      <c r="CW23" s="42">
        <f t="shared" si="6"/>
        <v>3395696.5</v>
      </c>
      <c r="CX23" s="43">
        <f t="shared" si="6"/>
        <v>3553928.15</v>
      </c>
      <c r="CY23" s="42">
        <f t="shared" si="6"/>
        <v>3191699.6</v>
      </c>
      <c r="CZ23" s="42">
        <f t="shared" si="6"/>
        <v>3515729.82</v>
      </c>
      <c r="DA23" s="42">
        <f t="shared" si="6"/>
        <v>3388552.9</v>
      </c>
      <c r="DB23" s="42">
        <f t="shared" si="6"/>
        <v>3845045.13</v>
      </c>
      <c r="DC23" s="43">
        <f t="shared" si="6"/>
        <v>3425092.5</v>
      </c>
      <c r="DD23" s="42">
        <f t="shared" si="6"/>
        <v>3944699.52</v>
      </c>
      <c r="DE23" s="42">
        <f t="shared" si="6"/>
        <v>4005412.06</v>
      </c>
      <c r="DF23" s="42">
        <f t="shared" si="6"/>
        <v>4130140.58</v>
      </c>
      <c r="DG23" s="43">
        <f t="shared" si="6"/>
        <v>3776943.14</v>
      </c>
      <c r="DH23" s="42">
        <f t="shared" si="6"/>
        <v>4458331.56</v>
      </c>
      <c r="DI23" s="42">
        <f t="shared" si="6"/>
        <v>4400217.04</v>
      </c>
      <c r="DJ23" s="42">
        <f t="shared" si="6"/>
        <v>4791874.74</v>
      </c>
      <c r="DK23" s="43">
        <f t="shared" si="6"/>
        <v>3806668.87</v>
      </c>
      <c r="DL23" s="42">
        <f t="shared" si="6"/>
        <v>4161028.55</v>
      </c>
      <c r="DM23" s="42">
        <f t="shared" si="6"/>
        <v>3453635.7</v>
      </c>
      <c r="DN23" s="42">
        <f t="shared" si="6"/>
        <v>4265615.77</v>
      </c>
      <c r="DO23" s="43">
        <f t="shared" si="6"/>
        <v>3657310.08</v>
      </c>
      <c r="DP23" s="42">
        <f t="shared" si="6"/>
        <v>3791404.06</v>
      </c>
      <c r="DQ23" s="42">
        <f t="shared" si="6"/>
        <v>4718504.82</v>
      </c>
      <c r="DR23" s="42">
        <f t="shared" si="6"/>
        <v>5157147.64</v>
      </c>
      <c r="DS23" s="42">
        <f t="shared" si="6"/>
        <v>5453123.96</v>
      </c>
      <c r="DT23" s="43">
        <f t="shared" si="6"/>
        <v>5197166.93</v>
      </c>
      <c r="DU23" s="42">
        <f t="shared" si="6"/>
        <v>4391443.23</v>
      </c>
      <c r="DV23" s="42">
        <f t="shared" si="6"/>
        <v>4379646.4</v>
      </c>
      <c r="DW23" s="42">
        <f t="shared" si="6"/>
        <v>3209408</v>
      </c>
      <c r="DX23" s="43">
        <f t="shared" si="6"/>
        <v>2589408</v>
      </c>
      <c r="DY23" s="42">
        <f t="shared" si="6"/>
        <v>4160019.47</v>
      </c>
      <c r="DZ23" s="42">
        <f t="shared" si="6"/>
        <v>4297536.47</v>
      </c>
      <c r="EA23" s="42">
        <f t="shared" si="6"/>
        <v>5645183.09</v>
      </c>
      <c r="EB23" s="42">
        <f t="shared" si="6"/>
        <v>5525183.09</v>
      </c>
      <c r="EC23" s="43">
        <f t="shared" si="6"/>
        <v>7828007.84</v>
      </c>
      <c r="ED23" s="42">
        <f t="shared" si="6"/>
        <v>7666953.06</v>
      </c>
      <c r="EE23" s="42">
        <f t="shared" si="6"/>
        <v>9141386.46</v>
      </c>
      <c r="EF23" s="42">
        <f t="shared" si="6"/>
        <v>8921386.46</v>
      </c>
      <c r="EG23" s="43">
        <f t="shared" si="6"/>
        <v>12790843.14</v>
      </c>
      <c r="EH23" s="42">
        <f t="shared" si="6"/>
        <v>12252087.86</v>
      </c>
      <c r="EI23" s="42">
        <f t="shared" si="6"/>
        <v>11711637.63</v>
      </c>
      <c r="EJ23" s="42">
        <f t="shared" si="6"/>
        <v>12094975.23</v>
      </c>
      <c r="EK23" s="43">
        <f t="shared" si="6"/>
        <v>10584975.23</v>
      </c>
      <c r="EL23" s="42">
        <f t="shared" si="6"/>
        <v>15828542.73</v>
      </c>
    </row>
    <row r="24" ht="15.75" customHeight="1">
      <c r="A24" s="4"/>
      <c r="B24" s="4" t="s">
        <v>21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3"/>
      <c r="CL24" s="42"/>
      <c r="CM24" s="42"/>
      <c r="CN24" s="42"/>
      <c r="CO24" s="42"/>
      <c r="CP24" s="43"/>
      <c r="CQ24" s="42"/>
      <c r="CR24" s="42"/>
      <c r="CS24" s="42"/>
      <c r="CT24" s="43"/>
      <c r="CU24" s="42"/>
      <c r="CV24" s="42">
        <f t="shared" ref="CV24:EL24" si="7">CV23-CU23</f>
        <v>-87941.31</v>
      </c>
      <c r="CW24" s="42">
        <f t="shared" si="7"/>
        <v>775636.16</v>
      </c>
      <c r="CX24" s="42">
        <f t="shared" si="7"/>
        <v>158231.65</v>
      </c>
      <c r="CY24" s="42">
        <f t="shared" si="7"/>
        <v>-362228.55</v>
      </c>
      <c r="CZ24" s="42">
        <f t="shared" si="7"/>
        <v>324030.22</v>
      </c>
      <c r="DA24" s="42">
        <f t="shared" si="7"/>
        <v>-127176.92</v>
      </c>
      <c r="DB24" s="42">
        <f t="shared" si="7"/>
        <v>456492.23</v>
      </c>
      <c r="DC24" s="43">
        <f t="shared" si="7"/>
        <v>-419952.63</v>
      </c>
      <c r="DD24" s="42">
        <f t="shared" si="7"/>
        <v>519607.02</v>
      </c>
      <c r="DE24" s="42">
        <f t="shared" si="7"/>
        <v>60712.54</v>
      </c>
      <c r="DF24" s="42">
        <f t="shared" si="7"/>
        <v>124728.52</v>
      </c>
      <c r="DG24" s="43">
        <f t="shared" si="7"/>
        <v>-353197.44</v>
      </c>
      <c r="DH24" s="42">
        <f t="shared" si="7"/>
        <v>681388.42</v>
      </c>
      <c r="DI24" s="42">
        <f t="shared" si="7"/>
        <v>-58114.52</v>
      </c>
      <c r="DJ24" s="42">
        <f t="shared" si="7"/>
        <v>391657.7</v>
      </c>
      <c r="DK24" s="43">
        <f t="shared" si="7"/>
        <v>-985205.87</v>
      </c>
      <c r="DL24" s="42">
        <f t="shared" si="7"/>
        <v>354359.68</v>
      </c>
      <c r="DM24" s="42">
        <f t="shared" si="7"/>
        <v>-707392.85</v>
      </c>
      <c r="DN24" s="42">
        <f t="shared" si="7"/>
        <v>811980.07</v>
      </c>
      <c r="DO24" s="43">
        <f t="shared" si="7"/>
        <v>-608305.69</v>
      </c>
      <c r="DP24" s="42">
        <f t="shared" si="7"/>
        <v>134093.98</v>
      </c>
      <c r="DQ24" s="42">
        <f t="shared" si="7"/>
        <v>927100.76</v>
      </c>
      <c r="DR24" s="42">
        <f t="shared" si="7"/>
        <v>438642.82</v>
      </c>
      <c r="DS24" s="42">
        <f t="shared" si="7"/>
        <v>295976.32</v>
      </c>
      <c r="DT24" s="43">
        <f t="shared" si="7"/>
        <v>-255957.03</v>
      </c>
      <c r="DU24" s="42">
        <f t="shared" si="7"/>
        <v>-805723.7</v>
      </c>
      <c r="DV24" s="42">
        <f t="shared" si="7"/>
        <v>-11796.83</v>
      </c>
      <c r="DW24" s="42">
        <f t="shared" si="7"/>
        <v>-1170238.4</v>
      </c>
      <c r="DX24" s="43">
        <f t="shared" si="7"/>
        <v>-620000</v>
      </c>
      <c r="DY24" s="42">
        <f t="shared" si="7"/>
        <v>1570611.47</v>
      </c>
      <c r="DZ24" s="42">
        <f t="shared" si="7"/>
        <v>137517</v>
      </c>
      <c r="EA24" s="42">
        <f t="shared" si="7"/>
        <v>1347646.62</v>
      </c>
      <c r="EB24" s="42">
        <f t="shared" si="7"/>
        <v>-120000</v>
      </c>
      <c r="EC24" s="43">
        <f t="shared" si="7"/>
        <v>2302824.75</v>
      </c>
      <c r="ED24" s="42">
        <f t="shared" si="7"/>
        <v>-161054.78</v>
      </c>
      <c r="EE24" s="42">
        <f t="shared" si="7"/>
        <v>1474433.4</v>
      </c>
      <c r="EF24" s="42">
        <f t="shared" si="7"/>
        <v>-220000</v>
      </c>
      <c r="EG24" s="43">
        <f t="shared" si="7"/>
        <v>3869456.68</v>
      </c>
      <c r="EH24" s="42">
        <f t="shared" si="7"/>
        <v>-538755.28</v>
      </c>
      <c r="EI24" s="42">
        <f t="shared" si="7"/>
        <v>-540450.23</v>
      </c>
      <c r="EJ24" s="42">
        <f t="shared" si="7"/>
        <v>383337.6</v>
      </c>
      <c r="EK24" s="43">
        <f t="shared" si="7"/>
        <v>-1510000</v>
      </c>
      <c r="EL24" s="42">
        <f t="shared" si="7"/>
        <v>5243567.5</v>
      </c>
    </row>
    <row r="25" ht="15.75" customHeight="1">
      <c r="A25" s="4"/>
      <c r="B25" s="4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5"/>
      <c r="CL25" s="14"/>
      <c r="CM25" s="14"/>
      <c r="CN25" s="14"/>
      <c r="CO25" s="14"/>
      <c r="CP25" s="15"/>
      <c r="CQ25" s="14"/>
      <c r="CR25" s="14"/>
      <c r="CS25" s="14"/>
      <c r="CT25" s="15"/>
      <c r="CU25" s="14"/>
      <c r="CV25" s="14"/>
      <c r="CW25" s="14"/>
      <c r="CX25" s="15"/>
      <c r="CY25" s="14"/>
      <c r="DC25" s="5"/>
      <c r="DG25" s="5"/>
      <c r="DK25" s="5"/>
      <c r="DO25" s="5"/>
      <c r="DT25" s="5"/>
      <c r="DW25" s="4"/>
      <c r="DX25" s="5"/>
      <c r="EC25" s="5"/>
      <c r="EG25" s="5"/>
      <c r="EK25" s="5"/>
    </row>
    <row r="26" ht="15.75" customHeight="1">
      <c r="A26" s="4"/>
      <c r="B26" s="4" t="s">
        <v>22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1815788.52</v>
      </c>
      <c r="V26" s="14">
        <v>1707304.52</v>
      </c>
      <c r="W26" s="14">
        <v>1088371.86</v>
      </c>
      <c r="X26" s="14">
        <v>1078140.3</v>
      </c>
      <c r="Y26" s="14">
        <v>1898512.85</v>
      </c>
      <c r="Z26" s="14">
        <v>2750442.850000001</v>
      </c>
      <c r="AA26" s="14">
        <v>2181672.870000001</v>
      </c>
      <c r="AB26" s="14">
        <v>2177832.870000001</v>
      </c>
      <c r="AC26" s="14">
        <v>1672461.67</v>
      </c>
      <c r="AD26" s="14">
        <v>1658397.87</v>
      </c>
      <c r="AE26" s="14">
        <v>1014567.93</v>
      </c>
      <c r="AF26" s="14">
        <v>1170582.41</v>
      </c>
      <c r="AG26" s="14">
        <v>1359914.06</v>
      </c>
      <c r="AH26" s="14">
        <v>1231202.09</v>
      </c>
      <c r="AI26" s="14">
        <v>887594.3600000003</v>
      </c>
      <c r="AJ26" s="14">
        <v>874146.7700000003</v>
      </c>
      <c r="AK26" s="14">
        <v>1652259.5</v>
      </c>
      <c r="AL26" s="14">
        <v>1959378.07</v>
      </c>
      <c r="AM26" s="14">
        <v>1632131.85</v>
      </c>
      <c r="AN26" s="14">
        <v>1786503.68</v>
      </c>
      <c r="AO26" s="14">
        <v>1025395.830000001</v>
      </c>
      <c r="AP26" s="14">
        <v>1062630.810000001</v>
      </c>
      <c r="AQ26" s="14">
        <v>665032.9800000007</v>
      </c>
      <c r="AR26" s="14">
        <v>1000740.350000001</v>
      </c>
      <c r="AS26" s="14">
        <v>941863.1000000009</v>
      </c>
      <c r="AT26" s="14">
        <v>678985.7600000009</v>
      </c>
      <c r="AU26" s="14">
        <v>396051.890000001</v>
      </c>
      <c r="AV26" s="14">
        <v>1426261.410000001</v>
      </c>
      <c r="AW26" s="14">
        <v>720910.2100000011</v>
      </c>
      <c r="AX26" s="14">
        <v>922139.4200000012</v>
      </c>
      <c r="AY26" s="14">
        <v>1308888.740000001</v>
      </c>
      <c r="AZ26" s="14">
        <v>1556026.610000001</v>
      </c>
      <c r="BA26" s="14">
        <v>1606423.450000001</v>
      </c>
      <c r="BB26" s="14">
        <v>2252298.600000001</v>
      </c>
      <c r="BC26" s="14">
        <v>1433331.700000001</v>
      </c>
      <c r="BD26" s="14">
        <v>1529013.87</v>
      </c>
      <c r="BE26" s="14">
        <v>905031.5700000002</v>
      </c>
      <c r="BF26" s="14">
        <v>1496366.36</v>
      </c>
      <c r="BG26" s="14">
        <v>539811.1499999999</v>
      </c>
      <c r="BH26" s="14">
        <v>464610.6799999999</v>
      </c>
      <c r="BI26" s="14">
        <v>318948.2499999999</v>
      </c>
      <c r="BJ26" s="14">
        <v>916028.3499999997</v>
      </c>
      <c r="BK26" s="14">
        <v>603965.6699999996</v>
      </c>
      <c r="BL26" s="14">
        <v>1008974.759999999</v>
      </c>
      <c r="BM26" s="14">
        <v>952125.3199999993</v>
      </c>
      <c r="BN26" s="14">
        <v>986584.0599999994</v>
      </c>
      <c r="BO26" s="14">
        <v>1264430.159999999</v>
      </c>
      <c r="BP26" s="14">
        <v>1545190.99</v>
      </c>
      <c r="BQ26" s="14">
        <v>1556009.27</v>
      </c>
      <c r="BR26" s="14">
        <v>2098433.3</v>
      </c>
      <c r="BS26" s="14">
        <v>1355761.13</v>
      </c>
      <c r="BT26" s="14">
        <v>617642.4699999996</v>
      </c>
      <c r="BU26" s="14">
        <v>974223.78</v>
      </c>
      <c r="BV26" s="14">
        <v>964817.5900000001</v>
      </c>
      <c r="BW26" s="14">
        <v>641928.5599999998</v>
      </c>
      <c r="BX26" s="14">
        <v>1076488.01</v>
      </c>
      <c r="BY26" s="14">
        <v>435863.1800000002</v>
      </c>
      <c r="BZ26" s="14">
        <v>582595.4900000002</v>
      </c>
      <c r="CA26" s="14">
        <v>713880.8200000003</v>
      </c>
      <c r="CB26" s="14">
        <v>119680.8200000003</v>
      </c>
      <c r="CC26" s="14">
        <v>-52240.53999999973</v>
      </c>
      <c r="CD26" s="14">
        <v>-69224.89999999973</v>
      </c>
      <c r="CE26" s="14">
        <v>83185.10000000033</v>
      </c>
      <c r="CF26" s="14">
        <v>3185.100000000326</v>
      </c>
      <c r="CG26" s="14">
        <v>129583.1000000003</v>
      </c>
      <c r="CH26" s="14">
        <v>-307789.9799999997</v>
      </c>
      <c r="CI26" s="14">
        <v>396121.0200000003</v>
      </c>
      <c r="CJ26" s="14">
        <v>46121.02000000025</v>
      </c>
      <c r="CK26" s="15">
        <v>-578878.9799999997</v>
      </c>
      <c r="CL26" s="14">
        <v>782166.0200000003</v>
      </c>
      <c r="CM26" s="14">
        <v>782166.0200000003</v>
      </c>
      <c r="CN26" s="14">
        <v>782166.0200000003</v>
      </c>
      <c r="CO26" s="14">
        <v>782166.0200000003</v>
      </c>
      <c r="CP26" s="15">
        <v>782166.0200000003</v>
      </c>
      <c r="CQ26" s="14">
        <v>782166.0200000003</v>
      </c>
      <c r="CR26" s="14">
        <v>782166.0200000003</v>
      </c>
      <c r="CS26" s="14">
        <v>782166.0200000003</v>
      </c>
      <c r="CT26" s="15">
        <v>782166.0200000003</v>
      </c>
      <c r="CU26" s="42">
        <v>2708001.650000001</v>
      </c>
      <c r="CV26" s="42">
        <v>2620060.340000001</v>
      </c>
      <c r="CW26" s="42">
        <v>3395696.5</v>
      </c>
      <c r="CX26" s="43">
        <v>3553928.15</v>
      </c>
      <c r="CY26" s="42">
        <v>3191699.600000001</v>
      </c>
      <c r="CZ26" s="42">
        <v>3515729.82</v>
      </c>
      <c r="DA26" s="42">
        <v>3388552.9</v>
      </c>
      <c r="DB26" s="42">
        <v>3845045.13</v>
      </c>
      <c r="DC26" s="43">
        <v>4215565.72</v>
      </c>
      <c r="DD26" s="42">
        <v>4964367.68</v>
      </c>
      <c r="DE26" s="42">
        <v>5632200.06</v>
      </c>
      <c r="DF26" s="42">
        <v>5848852.26</v>
      </c>
      <c r="DG26" s="43">
        <v>5410791.26</v>
      </c>
      <c r="DH26" s="42">
        <v>5145447.48</v>
      </c>
      <c r="DI26" s="42">
        <v>4106397.48</v>
      </c>
      <c r="DJ26" s="42">
        <v>6988731.98</v>
      </c>
      <c r="DK26" s="43">
        <v>5418731.98</v>
      </c>
      <c r="DL26" s="42">
        <v>6949897.199999999</v>
      </c>
      <c r="DM26" s="42">
        <v>5799897.199999999</v>
      </c>
      <c r="DN26" s="42">
        <v>7906021.43</v>
      </c>
      <c r="DO26" s="43">
        <v>6326021.43</v>
      </c>
      <c r="DP26" s="42">
        <v>7527720.649999999</v>
      </c>
      <c r="DQ26" s="42">
        <v>6367720.649999999</v>
      </c>
      <c r="DR26" s="42">
        <v>8329607.559999999</v>
      </c>
      <c r="DS26" s="42">
        <v>7219607.559999999</v>
      </c>
      <c r="DT26" s="43">
        <v>7704608.399999999</v>
      </c>
      <c r="DU26" s="42">
        <v>6355853.119999998</v>
      </c>
      <c r="DV26" s="42">
        <v>6909469.189999999</v>
      </c>
      <c r="DW26" s="42">
        <v>5839469.189999999</v>
      </c>
      <c r="DX26" s="43">
        <v>5459469.189999999</v>
      </c>
      <c r="DY26" s="42">
        <v>4583012.689999999</v>
      </c>
      <c r="DZ26" s="42">
        <v>4583013.69</v>
      </c>
      <c r="EA26" s="42">
        <v>4583014.69</v>
      </c>
      <c r="EB26" s="42">
        <v>4583015.69</v>
      </c>
      <c r="EC26" s="43">
        <v>4583016.69</v>
      </c>
      <c r="ED26" s="42">
        <v>4583017.69</v>
      </c>
      <c r="EE26" s="42">
        <v>4583018.69</v>
      </c>
      <c r="EF26" s="42">
        <v>4583019.69</v>
      </c>
      <c r="EG26" s="43">
        <v>4583020.69</v>
      </c>
      <c r="EH26" s="42">
        <v>4583021.69</v>
      </c>
      <c r="EI26" s="42">
        <v>4583022.69</v>
      </c>
      <c r="EJ26" s="42">
        <v>4583023.69</v>
      </c>
      <c r="EK26" s="43">
        <v>4583024.69</v>
      </c>
      <c r="EL26" s="42">
        <v>4583025.69</v>
      </c>
    </row>
    <row r="27" ht="15.75" customHeight="1">
      <c r="A27" s="4"/>
      <c r="B27" s="4" t="s">
        <v>23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>
        <f t="shared" ref="U27:EL27" si="8">U23-U26</f>
        <v>0.0000000002328306437</v>
      </c>
      <c r="V27" s="14">
        <f t="shared" si="8"/>
        <v>113003.12</v>
      </c>
      <c r="W27" s="14">
        <f t="shared" si="8"/>
        <v>136072.55</v>
      </c>
      <c r="X27" s="14">
        <f t="shared" si="8"/>
        <v>0.0000000002328306437</v>
      </c>
      <c r="Y27" s="14">
        <f t="shared" si="8"/>
        <v>0.0000000002328306437</v>
      </c>
      <c r="Z27" s="14">
        <f t="shared" si="8"/>
        <v>-0.0000000004656612873</v>
      </c>
      <c r="AA27" s="14">
        <f t="shared" si="8"/>
        <v>-0.0000000004656612873</v>
      </c>
      <c r="AB27" s="14">
        <f t="shared" si="8"/>
        <v>-0.0000000004656612873</v>
      </c>
      <c r="AC27" s="14">
        <f t="shared" si="8"/>
        <v>0.0000000004656612873</v>
      </c>
      <c r="AD27" s="14">
        <f t="shared" si="8"/>
        <v>0.0000000002328306437</v>
      </c>
      <c r="AE27" s="14">
        <f t="shared" si="8"/>
        <v>0.0000000002328306437</v>
      </c>
      <c r="AF27" s="14">
        <f t="shared" si="8"/>
        <v>0.0000000002328306437</v>
      </c>
      <c r="AG27" s="14">
        <f t="shared" si="8"/>
        <v>0</v>
      </c>
      <c r="AH27" s="14">
        <f t="shared" si="8"/>
        <v>0</v>
      </c>
      <c r="AI27" s="14">
        <f t="shared" si="8"/>
        <v>0</v>
      </c>
      <c r="AJ27" s="14">
        <f t="shared" si="8"/>
        <v>0</v>
      </c>
      <c r="AK27" s="14">
        <f t="shared" si="8"/>
        <v>0.0000000002328306437</v>
      </c>
      <c r="AL27" s="14">
        <f t="shared" si="8"/>
        <v>0</v>
      </c>
      <c r="AM27" s="14">
        <f t="shared" si="8"/>
        <v>0</v>
      </c>
      <c r="AN27" s="14">
        <f t="shared" si="8"/>
        <v>0.0000000002328306437</v>
      </c>
      <c r="AO27" s="14">
        <f t="shared" si="8"/>
        <v>-0.0000000004656612873</v>
      </c>
      <c r="AP27" s="14">
        <f t="shared" si="8"/>
        <v>-0.0000000002328306437</v>
      </c>
      <c r="AQ27" s="14">
        <f t="shared" si="8"/>
        <v>0</v>
      </c>
      <c r="AR27" s="14">
        <f t="shared" si="8"/>
        <v>-0.0000000003492459655</v>
      </c>
      <c r="AS27" s="14">
        <f t="shared" si="8"/>
        <v>0</v>
      </c>
      <c r="AT27" s="14">
        <f t="shared" si="8"/>
        <v>0</v>
      </c>
      <c r="AU27" s="14">
        <f t="shared" si="8"/>
        <v>0</v>
      </c>
      <c r="AV27" s="14">
        <f t="shared" si="8"/>
        <v>0.0000000002328306437</v>
      </c>
      <c r="AW27" s="14">
        <f t="shared" si="8"/>
        <v>0</v>
      </c>
      <c r="AX27" s="14">
        <f t="shared" si="8"/>
        <v>415363.84</v>
      </c>
      <c r="AY27" s="14">
        <f t="shared" si="8"/>
        <v>0.0000000002328306437</v>
      </c>
      <c r="AZ27" s="14">
        <f t="shared" si="8"/>
        <v>0</v>
      </c>
      <c r="BA27" s="14">
        <f t="shared" si="8"/>
        <v>0.0000000004656612873</v>
      </c>
      <c r="BB27" s="14">
        <f t="shared" si="8"/>
        <v>0</v>
      </c>
      <c r="BC27" s="14">
        <f t="shared" si="8"/>
        <v>-0.0000000002328306437</v>
      </c>
      <c r="BD27" s="14">
        <f t="shared" si="8"/>
        <v>0.0000000002328306437</v>
      </c>
      <c r="BE27" s="14">
        <f t="shared" si="8"/>
        <v>0</v>
      </c>
      <c r="BF27" s="14">
        <f t="shared" si="8"/>
        <v>0</v>
      </c>
      <c r="BG27" s="14">
        <f t="shared" si="8"/>
        <v>0</v>
      </c>
      <c r="BH27" s="14">
        <f t="shared" si="8"/>
        <v>0</v>
      </c>
      <c r="BI27" s="14">
        <f t="shared" si="8"/>
        <v>0</v>
      </c>
      <c r="BJ27" s="14">
        <f t="shared" si="8"/>
        <v>0</v>
      </c>
      <c r="BK27" s="14">
        <f t="shared" si="8"/>
        <v>0</v>
      </c>
      <c r="BL27" s="14">
        <f t="shared" si="8"/>
        <v>0.0000000002328306437</v>
      </c>
      <c r="BM27" s="14">
        <f t="shared" si="8"/>
        <v>0</v>
      </c>
      <c r="BN27" s="14">
        <f t="shared" si="8"/>
        <v>0</v>
      </c>
      <c r="BO27" s="14">
        <f t="shared" si="8"/>
        <v>0.0000000004656612873</v>
      </c>
      <c r="BP27" s="14">
        <f t="shared" si="8"/>
        <v>0</v>
      </c>
      <c r="BQ27" s="14">
        <f t="shared" si="8"/>
        <v>-0.0000000002328306437</v>
      </c>
      <c r="BR27" s="14">
        <f t="shared" si="8"/>
        <v>0</v>
      </c>
      <c r="BS27" s="14">
        <f t="shared" si="8"/>
        <v>-0.0000000002328306437</v>
      </c>
      <c r="BT27" s="14">
        <f t="shared" si="8"/>
        <v>0</v>
      </c>
      <c r="BU27" s="14">
        <f t="shared" si="8"/>
        <v>0</v>
      </c>
      <c r="BV27" s="14">
        <f t="shared" si="8"/>
        <v>0</v>
      </c>
      <c r="BW27" s="14">
        <f t="shared" si="8"/>
        <v>0</v>
      </c>
      <c r="BX27" s="14">
        <f t="shared" si="8"/>
        <v>0</v>
      </c>
      <c r="BY27" s="14">
        <f t="shared" si="8"/>
        <v>0</v>
      </c>
      <c r="BZ27" s="14">
        <f t="shared" si="8"/>
        <v>0</v>
      </c>
      <c r="CA27" s="14">
        <f t="shared" si="8"/>
        <v>-3650.86</v>
      </c>
      <c r="CB27" s="14">
        <f t="shared" si="8"/>
        <v>897738.09</v>
      </c>
      <c r="CC27" s="14">
        <f t="shared" si="8"/>
        <v>615282.45</v>
      </c>
      <c r="CD27" s="14">
        <f t="shared" si="8"/>
        <v>798172.84</v>
      </c>
      <c r="CE27" s="14">
        <f t="shared" si="8"/>
        <v>18519742.93</v>
      </c>
      <c r="CF27" s="14">
        <f t="shared" si="8"/>
        <v>1464725.64</v>
      </c>
      <c r="CG27" s="14">
        <f t="shared" si="8"/>
        <v>816155.92</v>
      </c>
      <c r="CH27" s="14">
        <f t="shared" si="8"/>
        <v>1335935</v>
      </c>
      <c r="CI27" s="14">
        <f t="shared" si="8"/>
        <v>280849.92</v>
      </c>
      <c r="CJ27" s="14">
        <f t="shared" si="8"/>
        <v>1059829.15</v>
      </c>
      <c r="CK27" s="15">
        <f t="shared" si="8"/>
        <v>1065108.48</v>
      </c>
      <c r="CL27" s="14">
        <f t="shared" si="8"/>
        <v>41758.36</v>
      </c>
      <c r="CM27" s="14">
        <f t="shared" si="8"/>
        <v>-124457.91</v>
      </c>
      <c r="CN27" s="14">
        <f t="shared" si="8"/>
        <v>480770.51</v>
      </c>
      <c r="CO27" s="14">
        <f t="shared" si="8"/>
        <v>29203.35</v>
      </c>
      <c r="CP27" s="15">
        <f t="shared" si="8"/>
        <v>564463.4</v>
      </c>
      <c r="CQ27" s="14">
        <f t="shared" si="8"/>
        <v>1009946.49</v>
      </c>
      <c r="CR27" s="14">
        <f t="shared" si="8"/>
        <v>1665175.66</v>
      </c>
      <c r="CS27" s="14">
        <f t="shared" si="8"/>
        <v>1115498.75</v>
      </c>
      <c r="CT27" s="15">
        <f t="shared" si="8"/>
        <v>1543881.7</v>
      </c>
      <c r="CU27" s="26">
        <f t="shared" si="8"/>
        <v>0</v>
      </c>
      <c r="CV27" s="26">
        <f t="shared" si="8"/>
        <v>0</v>
      </c>
      <c r="CW27" s="26">
        <f t="shared" si="8"/>
        <v>0.0000000004656612873</v>
      </c>
      <c r="CX27" s="27">
        <f t="shared" si="8"/>
        <v>0.0000000004656612873</v>
      </c>
      <c r="CY27" s="26">
        <f t="shared" si="8"/>
        <v>-0.0000000004656612873</v>
      </c>
      <c r="CZ27" s="26">
        <f t="shared" si="8"/>
        <v>0.0000000004656612873</v>
      </c>
      <c r="DA27" s="26">
        <f t="shared" si="8"/>
        <v>0</v>
      </c>
      <c r="DB27" s="26">
        <f t="shared" si="8"/>
        <v>0</v>
      </c>
      <c r="DC27" s="15">
        <f t="shared" si="8"/>
        <v>-790473.22</v>
      </c>
      <c r="DD27" s="14">
        <f t="shared" si="8"/>
        <v>-1019668.16</v>
      </c>
      <c r="DE27" s="14">
        <f t="shared" si="8"/>
        <v>-1626788</v>
      </c>
      <c r="DF27" s="14">
        <f t="shared" si="8"/>
        <v>-1718711.68</v>
      </c>
      <c r="DG27" s="15">
        <f t="shared" si="8"/>
        <v>-1633848.12</v>
      </c>
      <c r="DH27" s="14">
        <f t="shared" si="8"/>
        <v>-687115.92</v>
      </c>
      <c r="DI27" s="14">
        <f t="shared" si="8"/>
        <v>293819.56</v>
      </c>
      <c r="DJ27" s="14">
        <f t="shared" si="8"/>
        <v>-2196857.24</v>
      </c>
      <c r="DK27" s="15">
        <f t="shared" si="8"/>
        <v>-1612063.11</v>
      </c>
      <c r="DL27" s="14">
        <f t="shared" si="8"/>
        <v>-2788868.65</v>
      </c>
      <c r="DM27" s="14">
        <f t="shared" si="8"/>
        <v>-2346261.5</v>
      </c>
      <c r="DN27" s="14">
        <f t="shared" si="8"/>
        <v>-3640405.66</v>
      </c>
      <c r="DO27" s="15">
        <f t="shared" si="8"/>
        <v>-2668711.35</v>
      </c>
      <c r="DP27" s="14">
        <f t="shared" si="8"/>
        <v>-3736316.59</v>
      </c>
      <c r="DQ27" s="14">
        <f t="shared" si="8"/>
        <v>-1649215.83</v>
      </c>
      <c r="DR27" s="14">
        <f t="shared" si="8"/>
        <v>-3172459.92</v>
      </c>
      <c r="DS27" s="14">
        <f t="shared" si="8"/>
        <v>-1766483.6</v>
      </c>
      <c r="DT27" s="15">
        <f t="shared" si="8"/>
        <v>-2507441.47</v>
      </c>
      <c r="DU27" s="14">
        <f t="shared" si="8"/>
        <v>-1964409.89</v>
      </c>
      <c r="DV27" s="14">
        <f t="shared" si="8"/>
        <v>-2529822.79</v>
      </c>
      <c r="DW27" s="14">
        <f t="shared" si="8"/>
        <v>-2630061.19</v>
      </c>
      <c r="DX27" s="15">
        <f t="shared" si="8"/>
        <v>-2870061.19</v>
      </c>
      <c r="DY27" s="14">
        <f t="shared" si="8"/>
        <v>-422993.22</v>
      </c>
      <c r="DZ27" s="14">
        <f t="shared" si="8"/>
        <v>-285477.22</v>
      </c>
      <c r="EA27" s="14">
        <f t="shared" si="8"/>
        <v>1062168.4</v>
      </c>
      <c r="EB27" s="14">
        <f t="shared" si="8"/>
        <v>942167.4</v>
      </c>
      <c r="EC27" s="15">
        <f t="shared" si="8"/>
        <v>3244991.15</v>
      </c>
      <c r="ED27" s="14">
        <f t="shared" si="8"/>
        <v>3083935.37</v>
      </c>
      <c r="EE27" s="14">
        <f t="shared" si="8"/>
        <v>4558367.77</v>
      </c>
      <c r="EF27" s="14">
        <f t="shared" si="8"/>
        <v>4338366.77</v>
      </c>
      <c r="EG27" s="15">
        <f t="shared" si="8"/>
        <v>8207822.45</v>
      </c>
      <c r="EH27" s="14">
        <f t="shared" si="8"/>
        <v>7669066.17</v>
      </c>
      <c r="EI27" s="14">
        <f t="shared" si="8"/>
        <v>7128614.94</v>
      </c>
      <c r="EJ27" s="14">
        <f t="shared" si="8"/>
        <v>7511951.54</v>
      </c>
      <c r="EK27" s="15">
        <f t="shared" si="8"/>
        <v>6001950.54</v>
      </c>
      <c r="EL27" s="14">
        <f t="shared" si="8"/>
        <v>11245517.04</v>
      </c>
    </row>
    <row r="28" ht="15.75" customHeight="1">
      <c r="A28" s="4"/>
      <c r="B28" s="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DW28" s="4"/>
    </row>
    <row r="29" ht="15.75" customHeight="1">
      <c r="A29" s="4"/>
      <c r="B29" s="44" t="s">
        <v>24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DW29" s="4"/>
    </row>
    <row r="30" ht="15.75" customHeight="1">
      <c r="A30" s="4"/>
      <c r="B30" s="4" t="s">
        <v>25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962287.64</v>
      </c>
      <c r="Y30" s="14">
        <v>1063205.18</v>
      </c>
      <c r="Z30" s="14">
        <v>1665588.43</v>
      </c>
      <c r="AA30" s="14">
        <v>932923.0</v>
      </c>
      <c r="AB30" s="14">
        <v>1100457.57</v>
      </c>
      <c r="AC30" s="14">
        <v>261394.1</v>
      </c>
      <c r="AD30" s="14">
        <v>783718.13</v>
      </c>
      <c r="AE30" s="46">
        <v>395363.33</v>
      </c>
      <c r="AF30" s="46">
        <v>489886.14</v>
      </c>
      <c r="AG30" s="46">
        <v>614238.91</v>
      </c>
      <c r="AH30" s="14">
        <v>448451.7</v>
      </c>
      <c r="AI30" s="14">
        <v>467856.38</v>
      </c>
      <c r="AJ30" s="14">
        <v>285938.62</v>
      </c>
      <c r="AK30" s="42">
        <v>996539.81</v>
      </c>
      <c r="AL30" s="42">
        <v>1512810.51</v>
      </c>
      <c r="AM30" s="42">
        <v>1316657.28</v>
      </c>
      <c r="AN30" s="42">
        <v>1206105.61</v>
      </c>
      <c r="AO30" s="42">
        <v>465249.71</v>
      </c>
      <c r="AP30" s="42">
        <v>835672.52</v>
      </c>
      <c r="AQ30" s="14">
        <v>390741.02</v>
      </c>
      <c r="AR30" s="14">
        <v>603395.25</v>
      </c>
      <c r="AS30" s="14">
        <v>724905.02</v>
      </c>
      <c r="AT30" s="14">
        <v>414873.77</v>
      </c>
      <c r="AU30" s="14">
        <v>120705.58</v>
      </c>
      <c r="AV30" s="14">
        <v>770079.63</v>
      </c>
      <c r="AW30" s="14">
        <v>45714.84</v>
      </c>
      <c r="AX30" s="47">
        <v>736055.25</v>
      </c>
      <c r="AY30" s="47">
        <v>248000.0</v>
      </c>
      <c r="AZ30" s="47">
        <v>363551.51</v>
      </c>
      <c r="BA30" s="47">
        <v>441189.66</v>
      </c>
      <c r="BB30" s="14">
        <v>235940.45</v>
      </c>
      <c r="BC30" s="14">
        <v>356305.8</v>
      </c>
      <c r="BD30" s="26">
        <v>108381.38</v>
      </c>
      <c r="BE30" s="26">
        <v>152328.66</v>
      </c>
      <c r="BF30" s="26">
        <v>768750.0</v>
      </c>
      <c r="BG30" s="26">
        <v>109400.0</v>
      </c>
      <c r="BH30" s="26">
        <v>141771.5</v>
      </c>
      <c r="BI30" s="26">
        <v>102090.0</v>
      </c>
      <c r="BJ30" s="26">
        <v>99523.12</v>
      </c>
      <c r="BK30" s="26">
        <v>250000.0</v>
      </c>
      <c r="BL30" s="26">
        <v>209667.94</v>
      </c>
      <c r="BM30" s="26">
        <v>99684.16</v>
      </c>
      <c r="BN30" s="26">
        <v>99178.79</v>
      </c>
      <c r="BO30" s="26">
        <v>109448.58</v>
      </c>
      <c r="BP30" s="26">
        <v>77619.0</v>
      </c>
      <c r="BQ30" s="26">
        <v>100000.0</v>
      </c>
      <c r="BR30" s="26">
        <v>460910.12</v>
      </c>
      <c r="BS30" s="26">
        <v>127267.55</v>
      </c>
      <c r="BT30" s="26">
        <v>48100.0</v>
      </c>
      <c r="BU30" s="26">
        <v>122778.07</v>
      </c>
      <c r="BV30" s="14">
        <v>99505.06</v>
      </c>
      <c r="BW30" s="14">
        <v>350000.0</v>
      </c>
      <c r="BX30" s="14">
        <v>797750.0</v>
      </c>
      <c r="BY30" s="14">
        <v>196972.54</v>
      </c>
      <c r="BZ30" s="14">
        <v>84085.68</v>
      </c>
      <c r="CA30" s="14">
        <v>93255.62</v>
      </c>
      <c r="CB30" s="14">
        <v>100000.0</v>
      </c>
      <c r="CC30" s="14">
        <v>68500.0</v>
      </c>
      <c r="CD30" s="14">
        <v>60999.0</v>
      </c>
      <c r="CE30" s="14">
        <v>79235.28</v>
      </c>
      <c r="CF30" s="14">
        <v>100000.0</v>
      </c>
      <c r="CG30" s="14">
        <v>68576.02</v>
      </c>
      <c r="CH30" s="14">
        <v>98036.38</v>
      </c>
      <c r="CI30" s="14">
        <v>97074.06</v>
      </c>
      <c r="CJ30" s="14">
        <v>241299.0</v>
      </c>
      <c r="CK30" s="14">
        <v>100000.0</v>
      </c>
      <c r="CL30" s="14">
        <v>121271.25</v>
      </c>
      <c r="CM30" s="14">
        <v>188182.15</v>
      </c>
      <c r="CN30" s="14">
        <v>128802.65</v>
      </c>
      <c r="CO30" s="48">
        <v>12425.32</v>
      </c>
      <c r="CP30" s="48">
        <v>127446.16</v>
      </c>
      <c r="CQ30" s="14">
        <v>100000.0</v>
      </c>
      <c r="CR30" s="14">
        <v>88587.91</v>
      </c>
      <c r="CS30" s="14">
        <v>100000.0</v>
      </c>
      <c r="CT30" s="14">
        <v>99787.3</v>
      </c>
      <c r="CU30" s="49">
        <v>121210.5</v>
      </c>
      <c r="CV30" s="49">
        <v>99905.01</v>
      </c>
      <c r="CW30" s="49">
        <v>100000.0</v>
      </c>
      <c r="CX30" s="49">
        <v>100000.0</v>
      </c>
      <c r="CY30" s="49">
        <v>100000.0</v>
      </c>
      <c r="CZ30" s="50">
        <v>100000.0</v>
      </c>
      <c r="DA30" s="50">
        <v>224449.79</v>
      </c>
      <c r="DB30" s="50">
        <v>134354.8</v>
      </c>
      <c r="DC30" s="50">
        <v>462659.76</v>
      </c>
      <c r="DD30" s="50">
        <v>4578.07</v>
      </c>
      <c r="DE30" s="50">
        <v>150676.92</v>
      </c>
      <c r="DF30" s="50">
        <v>130591.3</v>
      </c>
      <c r="DG30" s="50">
        <v>376981.0</v>
      </c>
      <c r="DH30" s="50">
        <v>100000.0</v>
      </c>
      <c r="DI30" s="50">
        <v>187250.5</v>
      </c>
      <c r="DJ30" s="50">
        <v>100000.0</v>
      </c>
      <c r="DK30" s="50">
        <v>100000.0</v>
      </c>
      <c r="DL30" s="50">
        <v>84340.0</v>
      </c>
      <c r="DM30" s="50">
        <v>221562.5</v>
      </c>
      <c r="DN30" s="50">
        <v>172777.63</v>
      </c>
      <c r="DO30" s="50">
        <v>326151.5</v>
      </c>
      <c r="DP30" s="50">
        <v>259947.52</v>
      </c>
      <c r="DQ30" s="50">
        <v>100000.0</v>
      </c>
      <c r="DR30" s="50">
        <v>99389.48</v>
      </c>
      <c r="DS30" s="50">
        <v>100000.0</v>
      </c>
      <c r="DT30" s="50">
        <v>100000.0</v>
      </c>
      <c r="DU30" s="50">
        <v>100000.0</v>
      </c>
      <c r="DV30" s="50">
        <v>99696.56</v>
      </c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</row>
    <row r="31" ht="15.75" customHeight="1">
      <c r="A31" s="4"/>
      <c r="B31" s="44" t="s">
        <v>26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>
        <v>549498.47</v>
      </c>
      <c r="Z31" s="45">
        <v>1036610.13</v>
      </c>
      <c r="AA31" s="45">
        <v>1036610.13</v>
      </c>
      <c r="AB31" s="45">
        <v>1036610.13</v>
      </c>
      <c r="AC31" s="45">
        <v>973001.72</v>
      </c>
      <c r="AD31" s="45">
        <v>874679.51</v>
      </c>
      <c r="AE31" s="45">
        <v>619204.37</v>
      </c>
      <c r="AF31" s="45">
        <v>680696.31</v>
      </c>
      <c r="AG31" s="45">
        <v>745675.19</v>
      </c>
      <c r="AH31" s="45">
        <v>782750.43</v>
      </c>
      <c r="AI31" s="45">
        <v>419738.02</v>
      </c>
      <c r="AJ31" s="45">
        <v>588208.19</v>
      </c>
      <c r="AK31" s="45">
        <v>655719.69</v>
      </c>
      <c r="AL31" s="45">
        <v>446567.56</v>
      </c>
      <c r="AM31" s="45">
        <v>315474.57</v>
      </c>
      <c r="AN31" s="45">
        <v>580398.07</v>
      </c>
      <c r="AO31" s="45">
        <v>560146.12</v>
      </c>
      <c r="AP31" s="45">
        <v>226958.29</v>
      </c>
      <c r="AQ31" s="45">
        <v>274291.96</v>
      </c>
      <c r="AR31" s="45">
        <v>397345.1</v>
      </c>
      <c r="AS31" s="45">
        <v>216958.08</v>
      </c>
      <c r="AT31" s="45">
        <v>264111.99</v>
      </c>
      <c r="AU31" s="45">
        <v>275346.31</v>
      </c>
      <c r="AV31" s="45">
        <v>656181.78</v>
      </c>
      <c r="AW31" s="45">
        <v>675195.37</v>
      </c>
      <c r="AX31" s="51">
        <v>601448.0099999999</v>
      </c>
      <c r="AY31" s="51">
        <v>1060888.74</v>
      </c>
      <c r="AZ31" s="51">
        <v>1192475.1</v>
      </c>
      <c r="BA31" s="51">
        <v>1165233.79</v>
      </c>
      <c r="BB31" s="51">
        <v>2016358.15</v>
      </c>
      <c r="BC31" s="51">
        <v>1077025.9</v>
      </c>
      <c r="BD31" s="52">
        <v>1420632.49</v>
      </c>
      <c r="BE31" s="52">
        <v>752702.91</v>
      </c>
      <c r="BF31" s="52">
        <v>727616.36</v>
      </c>
      <c r="BG31" s="52">
        <v>430411.15</v>
      </c>
      <c r="BH31" s="52">
        <v>322839.18</v>
      </c>
      <c r="BI31" s="52">
        <v>216858.2499999998</v>
      </c>
      <c r="BJ31" s="52">
        <v>816505.2299999997</v>
      </c>
      <c r="BK31" s="52">
        <v>353965.67</v>
      </c>
      <c r="BL31" s="52">
        <v>799306.82</v>
      </c>
      <c r="BM31" s="52">
        <v>852441.16</v>
      </c>
      <c r="BN31" s="53">
        <v>887405.27</v>
      </c>
      <c r="BO31" s="53">
        <v>1154981.58</v>
      </c>
      <c r="BP31" s="53">
        <v>1467571.99</v>
      </c>
      <c r="BQ31" s="53">
        <v>1456009.27</v>
      </c>
      <c r="BR31" s="53">
        <v>1637523.18</v>
      </c>
      <c r="BS31" s="54">
        <v>1228493.58</v>
      </c>
      <c r="BT31" s="54">
        <v>569542.47</v>
      </c>
      <c r="BU31" s="54">
        <v>851445.71</v>
      </c>
      <c r="BV31" s="45">
        <v>865312.53</v>
      </c>
      <c r="BW31" s="45">
        <v>291928.56</v>
      </c>
      <c r="BX31" s="45">
        <v>278738.01</v>
      </c>
      <c r="BY31" s="45">
        <v>238890.64</v>
      </c>
      <c r="BZ31" s="45">
        <v>498509.8099999999</v>
      </c>
      <c r="CA31" s="45">
        <v>616974.34</v>
      </c>
      <c r="CB31" s="45">
        <v>917418.91</v>
      </c>
      <c r="CC31" s="45">
        <v>494541.91</v>
      </c>
      <c r="CD31" s="45">
        <v>667948.94</v>
      </c>
      <c r="CE31" s="45">
        <v>1.852369275E7</v>
      </c>
      <c r="CF31" s="45">
        <v>1367910.74</v>
      </c>
      <c r="CG31" s="45">
        <v>877163.0</v>
      </c>
      <c r="CH31" s="45">
        <v>930108.64</v>
      </c>
      <c r="CI31" s="45">
        <v>579896.88</v>
      </c>
      <c r="CJ31" s="45">
        <v>864651.17</v>
      </c>
      <c r="CK31" s="45">
        <v>386229.5</v>
      </c>
      <c r="CL31" s="45">
        <v>702653.13</v>
      </c>
      <c r="CM31" s="45">
        <v>469525.96</v>
      </c>
      <c r="CN31" s="45">
        <f>1054607.05+79526.83</f>
        <v>1134133.88</v>
      </c>
      <c r="CO31" s="45">
        <v>798944.05</v>
      </c>
      <c r="CP31" s="45">
        <v>1219183.26</v>
      </c>
      <c r="CQ31" s="45">
        <v>1692112.51</v>
      </c>
      <c r="CR31" s="45">
        <v>2358753.77</v>
      </c>
      <c r="CS31" s="45">
        <v>1797664.77</v>
      </c>
      <c r="CT31" s="45">
        <v>2226260.42</v>
      </c>
      <c r="CU31" s="55">
        <v>2586791.15</v>
      </c>
      <c r="CV31" s="55">
        <v>2520155.33</v>
      </c>
      <c r="CW31" s="55">
        <v>3295696.5</v>
      </c>
      <c r="CX31" s="55">
        <v>3453928.15</v>
      </c>
      <c r="CY31" s="55">
        <v>3091699.6</v>
      </c>
      <c r="CZ31" s="55">
        <v>3415729.82</v>
      </c>
      <c r="DA31" s="55">
        <v>3164103.11</v>
      </c>
      <c r="DB31" s="55">
        <v>3710690.33</v>
      </c>
      <c r="DC31" s="55">
        <v>2962432.74</v>
      </c>
      <c r="DD31" s="55">
        <v>3940121.45</v>
      </c>
      <c r="DE31" s="55">
        <v>3854735.14</v>
      </c>
      <c r="DF31" s="55">
        <v>3999549.28</v>
      </c>
      <c r="DG31" s="55">
        <v>3399962.14</v>
      </c>
      <c r="DH31" s="55">
        <v>4358331.56</v>
      </c>
      <c r="DI31" s="55">
        <v>4212966.54</v>
      </c>
      <c r="DJ31" s="55">
        <v>4691874.74</v>
      </c>
      <c r="DK31" s="55">
        <v>3706668.87</v>
      </c>
      <c r="DL31" s="55">
        <v>4076688.55</v>
      </c>
      <c r="DM31" s="55">
        <v>3232073.2</v>
      </c>
      <c r="DN31" s="55">
        <v>4092838.14</v>
      </c>
      <c r="DO31" s="55">
        <v>3331158.58</v>
      </c>
      <c r="DP31" s="55">
        <v>3531456.54</v>
      </c>
      <c r="DQ31" s="55">
        <v>4618504.82</v>
      </c>
      <c r="DR31" s="55">
        <v>5057758.16</v>
      </c>
      <c r="DS31" s="55">
        <v>5353123.96</v>
      </c>
      <c r="DT31" s="55">
        <v>5097166.93</v>
      </c>
      <c r="DU31" s="55">
        <v>4291443.23</v>
      </c>
      <c r="DV31" s="55">
        <v>4279949.84</v>
      </c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</row>
    <row r="32" ht="15.75" customHeight="1">
      <c r="A32" s="4"/>
      <c r="B32" s="4" t="s">
        <v>27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f t="shared" ref="X32:EL32" si="9">SUM(X30:X31)</f>
        <v>962287.64</v>
      </c>
      <c r="Y32" s="14">
        <f t="shared" si="9"/>
        <v>1612703.65</v>
      </c>
      <c r="Z32" s="14">
        <f t="shared" si="9"/>
        <v>2702198.56</v>
      </c>
      <c r="AA32" s="14">
        <f t="shared" si="9"/>
        <v>1969533.13</v>
      </c>
      <c r="AB32" s="14">
        <f t="shared" si="9"/>
        <v>2137067.7</v>
      </c>
      <c r="AC32" s="14">
        <f t="shared" si="9"/>
        <v>1234395.82</v>
      </c>
      <c r="AD32" s="14">
        <f t="shared" si="9"/>
        <v>1658397.64</v>
      </c>
      <c r="AE32" s="14">
        <f t="shared" si="9"/>
        <v>1014567.7</v>
      </c>
      <c r="AF32" s="14">
        <f t="shared" si="9"/>
        <v>1170582.45</v>
      </c>
      <c r="AG32" s="14">
        <f t="shared" si="9"/>
        <v>1359914.1</v>
      </c>
      <c r="AH32" s="14">
        <f t="shared" si="9"/>
        <v>1231202.13</v>
      </c>
      <c r="AI32" s="14">
        <f t="shared" si="9"/>
        <v>887594.4</v>
      </c>
      <c r="AJ32" s="14">
        <f t="shared" si="9"/>
        <v>874146.81</v>
      </c>
      <c r="AK32" s="14">
        <f t="shared" si="9"/>
        <v>1652259.5</v>
      </c>
      <c r="AL32" s="14">
        <f t="shared" si="9"/>
        <v>1959378.07</v>
      </c>
      <c r="AM32" s="14">
        <f t="shared" si="9"/>
        <v>1632131.85</v>
      </c>
      <c r="AN32" s="14">
        <f t="shared" si="9"/>
        <v>1786503.68</v>
      </c>
      <c r="AO32" s="14">
        <f t="shared" si="9"/>
        <v>1025395.83</v>
      </c>
      <c r="AP32" s="14">
        <f t="shared" si="9"/>
        <v>1062630.81</v>
      </c>
      <c r="AQ32" s="14">
        <f t="shared" si="9"/>
        <v>665032.98</v>
      </c>
      <c r="AR32" s="14">
        <f t="shared" si="9"/>
        <v>1000740.35</v>
      </c>
      <c r="AS32" s="14">
        <f t="shared" si="9"/>
        <v>941863.1</v>
      </c>
      <c r="AT32" s="14">
        <f t="shared" si="9"/>
        <v>678985.76</v>
      </c>
      <c r="AU32" s="14">
        <f t="shared" si="9"/>
        <v>396051.89</v>
      </c>
      <c r="AV32" s="14">
        <f t="shared" si="9"/>
        <v>1426261.41</v>
      </c>
      <c r="AW32" s="14">
        <f t="shared" si="9"/>
        <v>720910.21</v>
      </c>
      <c r="AX32" s="14">
        <f t="shared" si="9"/>
        <v>1337503.26</v>
      </c>
      <c r="AY32" s="14">
        <f t="shared" si="9"/>
        <v>1308888.74</v>
      </c>
      <c r="AZ32" s="42">
        <f t="shared" si="9"/>
        <v>1556026.61</v>
      </c>
      <c r="BA32" s="42">
        <f t="shared" si="9"/>
        <v>1606423.45</v>
      </c>
      <c r="BB32" s="42">
        <f t="shared" si="9"/>
        <v>2252298.6</v>
      </c>
      <c r="BC32" s="42">
        <f t="shared" si="9"/>
        <v>1433331.7</v>
      </c>
      <c r="BD32" s="26">
        <f t="shared" si="9"/>
        <v>1529013.87</v>
      </c>
      <c r="BE32" s="26">
        <f t="shared" si="9"/>
        <v>905031.57</v>
      </c>
      <c r="BF32" s="26">
        <f t="shared" si="9"/>
        <v>1496366.36</v>
      </c>
      <c r="BG32" s="26">
        <f t="shared" si="9"/>
        <v>539811.15</v>
      </c>
      <c r="BH32" s="26">
        <f t="shared" si="9"/>
        <v>464610.68</v>
      </c>
      <c r="BI32" s="26">
        <f t="shared" si="9"/>
        <v>318948.25</v>
      </c>
      <c r="BJ32" s="26">
        <f t="shared" si="9"/>
        <v>916028.35</v>
      </c>
      <c r="BK32" s="26">
        <f t="shared" si="9"/>
        <v>603965.67</v>
      </c>
      <c r="BL32" s="26">
        <f t="shared" si="9"/>
        <v>1008974.76</v>
      </c>
      <c r="BM32" s="26">
        <f t="shared" si="9"/>
        <v>952125.32</v>
      </c>
      <c r="BN32" s="26">
        <f t="shared" si="9"/>
        <v>986584.06</v>
      </c>
      <c r="BO32" s="26">
        <f t="shared" si="9"/>
        <v>1264430.16</v>
      </c>
      <c r="BP32" s="42">
        <f t="shared" si="9"/>
        <v>1545190.99</v>
      </c>
      <c r="BQ32" s="42">
        <f t="shared" si="9"/>
        <v>1556009.27</v>
      </c>
      <c r="BR32" s="42">
        <f t="shared" si="9"/>
        <v>2098433.3</v>
      </c>
      <c r="BS32" s="42">
        <f t="shared" si="9"/>
        <v>1355761.13</v>
      </c>
      <c r="BT32" s="42">
        <f t="shared" si="9"/>
        <v>617642.47</v>
      </c>
      <c r="BU32" s="42">
        <f t="shared" si="9"/>
        <v>974223.78</v>
      </c>
      <c r="BV32" s="42">
        <f t="shared" si="9"/>
        <v>964817.59</v>
      </c>
      <c r="BW32" s="42">
        <f t="shared" si="9"/>
        <v>641928.56</v>
      </c>
      <c r="BX32" s="42">
        <f t="shared" si="9"/>
        <v>1076488.01</v>
      </c>
      <c r="BY32" s="42">
        <f t="shared" si="9"/>
        <v>435863.18</v>
      </c>
      <c r="BZ32" s="42">
        <f t="shared" si="9"/>
        <v>582595.49</v>
      </c>
      <c r="CA32" s="42">
        <f t="shared" si="9"/>
        <v>710229.96</v>
      </c>
      <c r="CB32" s="42">
        <f t="shared" si="9"/>
        <v>1017418.91</v>
      </c>
      <c r="CC32" s="42">
        <f t="shared" si="9"/>
        <v>563041.91</v>
      </c>
      <c r="CD32" s="42">
        <f t="shared" si="9"/>
        <v>728947.94</v>
      </c>
      <c r="CE32" s="42">
        <f t="shared" si="9"/>
        <v>18602928.03</v>
      </c>
      <c r="CF32" s="42">
        <f t="shared" si="9"/>
        <v>1467910.74</v>
      </c>
      <c r="CG32" s="42">
        <f t="shared" si="9"/>
        <v>945739.02</v>
      </c>
      <c r="CH32" s="42">
        <f t="shared" si="9"/>
        <v>1028145.02</v>
      </c>
      <c r="CI32" s="42">
        <f t="shared" si="9"/>
        <v>676970.94</v>
      </c>
      <c r="CJ32" s="42">
        <f t="shared" si="9"/>
        <v>1105950.17</v>
      </c>
      <c r="CK32" s="42">
        <f t="shared" si="9"/>
        <v>486229.5</v>
      </c>
      <c r="CL32" s="42">
        <f t="shared" si="9"/>
        <v>823924.38</v>
      </c>
      <c r="CM32" s="42">
        <f t="shared" si="9"/>
        <v>657708.11</v>
      </c>
      <c r="CN32" s="42">
        <f t="shared" si="9"/>
        <v>1262936.53</v>
      </c>
      <c r="CO32" s="42">
        <f t="shared" si="9"/>
        <v>811369.37</v>
      </c>
      <c r="CP32" s="42">
        <f t="shared" si="9"/>
        <v>1346629.42</v>
      </c>
      <c r="CQ32" s="42">
        <f t="shared" si="9"/>
        <v>1792112.51</v>
      </c>
      <c r="CR32" s="42">
        <f t="shared" si="9"/>
        <v>2447341.68</v>
      </c>
      <c r="CS32" s="42">
        <f t="shared" si="9"/>
        <v>1897664.77</v>
      </c>
      <c r="CT32" s="42">
        <f t="shared" si="9"/>
        <v>2326047.72</v>
      </c>
      <c r="CU32" s="42">
        <f t="shared" si="9"/>
        <v>2708001.65</v>
      </c>
      <c r="CV32" s="42">
        <f t="shared" si="9"/>
        <v>2620060.34</v>
      </c>
      <c r="CW32" s="42">
        <f t="shared" si="9"/>
        <v>3395696.5</v>
      </c>
      <c r="CX32" s="42">
        <f t="shared" si="9"/>
        <v>3553928.15</v>
      </c>
      <c r="CY32" s="42">
        <f t="shared" si="9"/>
        <v>3191699.6</v>
      </c>
      <c r="CZ32" s="42">
        <f t="shared" si="9"/>
        <v>3515729.82</v>
      </c>
      <c r="DA32" s="42">
        <f t="shared" si="9"/>
        <v>3388552.9</v>
      </c>
      <c r="DB32" s="42">
        <f t="shared" si="9"/>
        <v>3845045.13</v>
      </c>
      <c r="DC32" s="42">
        <f t="shared" si="9"/>
        <v>3425092.5</v>
      </c>
      <c r="DD32" s="42">
        <f t="shared" si="9"/>
        <v>3944699.52</v>
      </c>
      <c r="DE32" s="42">
        <f t="shared" si="9"/>
        <v>4005412.06</v>
      </c>
      <c r="DF32" s="42">
        <f t="shared" si="9"/>
        <v>4130140.58</v>
      </c>
      <c r="DG32" s="42">
        <f t="shared" si="9"/>
        <v>3776943.14</v>
      </c>
      <c r="DH32" s="42">
        <f t="shared" si="9"/>
        <v>4458331.56</v>
      </c>
      <c r="DI32" s="42">
        <f t="shared" si="9"/>
        <v>4400217.04</v>
      </c>
      <c r="DJ32" s="42">
        <f t="shared" si="9"/>
        <v>4791874.74</v>
      </c>
      <c r="DK32" s="42">
        <f t="shared" si="9"/>
        <v>3806668.87</v>
      </c>
      <c r="DL32" s="42">
        <f t="shared" si="9"/>
        <v>4161028.55</v>
      </c>
      <c r="DM32" s="42">
        <f t="shared" si="9"/>
        <v>3453635.7</v>
      </c>
      <c r="DN32" s="42">
        <f t="shared" si="9"/>
        <v>4265615.77</v>
      </c>
      <c r="DO32" s="42">
        <f t="shared" si="9"/>
        <v>3657310.08</v>
      </c>
      <c r="DP32" s="42">
        <f t="shared" si="9"/>
        <v>3791404.06</v>
      </c>
      <c r="DQ32" s="42">
        <f t="shared" si="9"/>
        <v>4718504.82</v>
      </c>
      <c r="DR32" s="42">
        <f t="shared" si="9"/>
        <v>5157147.64</v>
      </c>
      <c r="DS32" s="42">
        <f t="shared" si="9"/>
        <v>5453123.96</v>
      </c>
      <c r="DT32" s="42">
        <f t="shared" si="9"/>
        <v>5197166.93</v>
      </c>
      <c r="DU32" s="42">
        <f t="shared" si="9"/>
        <v>4391443.23</v>
      </c>
      <c r="DV32" s="42">
        <f t="shared" si="9"/>
        <v>4379646.4</v>
      </c>
      <c r="DW32" s="42">
        <f t="shared" si="9"/>
        <v>0</v>
      </c>
      <c r="DX32" s="42">
        <f t="shared" si="9"/>
        <v>0</v>
      </c>
      <c r="DY32" s="42">
        <f t="shared" si="9"/>
        <v>0</v>
      </c>
      <c r="DZ32" s="42">
        <f t="shared" si="9"/>
        <v>0</v>
      </c>
      <c r="EA32" s="42">
        <f t="shared" si="9"/>
        <v>0</v>
      </c>
      <c r="EB32" s="42">
        <f t="shared" si="9"/>
        <v>0</v>
      </c>
      <c r="EC32" s="42">
        <f t="shared" si="9"/>
        <v>0</v>
      </c>
      <c r="ED32" s="42">
        <f t="shared" si="9"/>
        <v>0</v>
      </c>
      <c r="EE32" s="42">
        <f t="shared" si="9"/>
        <v>0</v>
      </c>
      <c r="EF32" s="42">
        <f t="shared" si="9"/>
        <v>0</v>
      </c>
      <c r="EG32" s="42">
        <f t="shared" si="9"/>
        <v>0</v>
      </c>
      <c r="EH32" s="42">
        <f t="shared" si="9"/>
        <v>0</v>
      </c>
      <c r="EI32" s="42">
        <f t="shared" si="9"/>
        <v>0</v>
      </c>
      <c r="EJ32" s="42">
        <f t="shared" si="9"/>
        <v>0</v>
      </c>
      <c r="EK32" s="42">
        <f t="shared" si="9"/>
        <v>0</v>
      </c>
      <c r="EL32" s="42">
        <f t="shared" si="9"/>
        <v>0</v>
      </c>
    </row>
    <row r="33" ht="15.75" customHeight="1">
      <c r="A33" s="4"/>
      <c r="B33" s="4" t="s">
        <v>28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>
        <f t="shared" ref="X33:EL33" si="10">X23-X32</f>
        <v>115852.66</v>
      </c>
      <c r="Y33" s="14">
        <f t="shared" si="10"/>
        <v>285809.2</v>
      </c>
      <c r="Z33" s="14">
        <f t="shared" si="10"/>
        <v>48244.29</v>
      </c>
      <c r="AA33" s="14">
        <f t="shared" si="10"/>
        <v>212139.74</v>
      </c>
      <c r="AB33" s="14">
        <f t="shared" si="10"/>
        <v>40765.17</v>
      </c>
      <c r="AC33" s="14">
        <f t="shared" si="10"/>
        <v>438065.85</v>
      </c>
      <c r="AD33" s="14">
        <f t="shared" si="10"/>
        <v>0.2300000002</v>
      </c>
      <c r="AE33" s="14">
        <f t="shared" si="10"/>
        <v>0.2300000003</v>
      </c>
      <c r="AF33" s="14">
        <f t="shared" si="10"/>
        <v>-0.04000000004</v>
      </c>
      <c r="AG33" s="14">
        <f t="shared" si="10"/>
        <v>-0.04000000004</v>
      </c>
      <c r="AH33" s="14">
        <f t="shared" si="10"/>
        <v>-0.04000000004</v>
      </c>
      <c r="AI33" s="14">
        <f t="shared" si="10"/>
        <v>-0.03999999969</v>
      </c>
      <c r="AJ33" s="14">
        <f t="shared" si="10"/>
        <v>-0.03999999969</v>
      </c>
      <c r="AK33" s="14">
        <f t="shared" si="10"/>
        <v>0.0000000002328306437</v>
      </c>
      <c r="AL33" s="14">
        <f t="shared" si="10"/>
        <v>0</v>
      </c>
      <c r="AM33" s="14">
        <f t="shared" si="10"/>
        <v>0</v>
      </c>
      <c r="AN33" s="14">
        <f t="shared" si="10"/>
        <v>0</v>
      </c>
      <c r="AO33" s="14">
        <f t="shared" si="10"/>
        <v>0.0000000004656612873</v>
      </c>
      <c r="AP33" s="14">
        <f t="shared" si="10"/>
        <v>0.000000000698491931</v>
      </c>
      <c r="AQ33" s="14">
        <f t="shared" si="10"/>
        <v>0.000000000698491931</v>
      </c>
      <c r="AR33" s="14">
        <f t="shared" si="10"/>
        <v>0.000000000698491931</v>
      </c>
      <c r="AS33" s="14">
        <f t="shared" si="10"/>
        <v>0.0000000009313225746</v>
      </c>
      <c r="AT33" s="14">
        <f t="shared" si="10"/>
        <v>0.0000000009313225746</v>
      </c>
      <c r="AU33" s="14">
        <f t="shared" si="10"/>
        <v>0.0000000009895302355</v>
      </c>
      <c r="AV33" s="14">
        <f t="shared" si="10"/>
        <v>0.000000001164153218</v>
      </c>
      <c r="AW33" s="14">
        <f t="shared" si="10"/>
        <v>0.000000001164153218</v>
      </c>
      <c r="AX33" s="14">
        <f t="shared" si="10"/>
        <v>0.000000001164153218</v>
      </c>
      <c r="AY33" s="14">
        <f t="shared" si="10"/>
        <v>0.000000001164153218</v>
      </c>
      <c r="AZ33" s="14">
        <f t="shared" si="10"/>
        <v>0.0000000009313225746</v>
      </c>
      <c r="BA33" s="14">
        <f t="shared" si="10"/>
        <v>0.000000001396983862</v>
      </c>
      <c r="BB33" s="14">
        <f t="shared" si="10"/>
        <v>0.0000000009313225746</v>
      </c>
      <c r="BC33" s="14">
        <f t="shared" si="10"/>
        <v>0.000000000698491931</v>
      </c>
      <c r="BD33" s="26">
        <f t="shared" si="10"/>
        <v>0.0000000002328306437</v>
      </c>
      <c r="BE33" s="26">
        <f t="shared" si="10"/>
        <v>0.0000000001164153218</v>
      </c>
      <c r="BF33" s="26">
        <f t="shared" si="10"/>
        <v>0.0000000002328306437</v>
      </c>
      <c r="BG33" s="26">
        <f t="shared" si="10"/>
        <v>-0.0000000001164153218</v>
      </c>
      <c r="BH33" s="26">
        <f t="shared" si="10"/>
        <v>0</v>
      </c>
      <c r="BI33" s="26">
        <f t="shared" si="10"/>
        <v>0.0000000001164153218</v>
      </c>
      <c r="BJ33" s="26">
        <f t="shared" si="10"/>
        <v>0</v>
      </c>
      <c r="BK33" s="26">
        <f t="shared" si="10"/>
        <v>-0.0000000003492459655</v>
      </c>
      <c r="BL33" s="26">
        <f t="shared" si="10"/>
        <v>-0.0000000008149072528</v>
      </c>
      <c r="BM33" s="26">
        <f t="shared" si="10"/>
        <v>-0.0000000008149072528</v>
      </c>
      <c r="BN33" s="26">
        <f t="shared" si="10"/>
        <v>-0.000000000698491931</v>
      </c>
      <c r="BO33" s="26">
        <f t="shared" si="10"/>
        <v>-0.000000000698491931</v>
      </c>
      <c r="BP33" s="26">
        <f t="shared" si="10"/>
        <v>0</v>
      </c>
      <c r="BQ33" s="26">
        <f t="shared" si="10"/>
        <v>-0.0000000002328306437</v>
      </c>
      <c r="BR33" s="26">
        <f t="shared" si="10"/>
        <v>0</v>
      </c>
      <c r="BS33" s="26">
        <f t="shared" si="10"/>
        <v>-0.0000000004656612873</v>
      </c>
      <c r="BT33" s="26">
        <f t="shared" si="10"/>
        <v>-0.0000000003492459655</v>
      </c>
      <c r="BU33" s="26">
        <f t="shared" si="10"/>
        <v>0</v>
      </c>
      <c r="BV33" s="26">
        <f t="shared" si="10"/>
        <v>0</v>
      </c>
      <c r="BW33" s="26">
        <f t="shared" si="10"/>
        <v>-0.0000000002328306437</v>
      </c>
      <c r="BX33" s="26">
        <f t="shared" si="10"/>
        <v>0</v>
      </c>
      <c r="BY33" s="26">
        <f t="shared" si="10"/>
        <v>0.0000000001164153218</v>
      </c>
      <c r="BZ33" s="26">
        <f t="shared" si="10"/>
        <v>0.0000000003492459655</v>
      </c>
      <c r="CA33" s="26">
        <f t="shared" si="10"/>
        <v>0.0000000002328306437</v>
      </c>
      <c r="CB33" s="26">
        <f t="shared" si="10"/>
        <v>0.0000000001164153218</v>
      </c>
      <c r="CC33" s="26">
        <f t="shared" si="10"/>
        <v>0.0000000001164153218</v>
      </c>
      <c r="CD33" s="26">
        <f t="shared" si="10"/>
        <v>0</v>
      </c>
      <c r="CE33" s="26">
        <f t="shared" si="10"/>
        <v>-0.000000003725290298</v>
      </c>
      <c r="CF33" s="26">
        <f t="shared" si="10"/>
        <v>-0.0000000002328306437</v>
      </c>
      <c r="CG33" s="26">
        <f t="shared" si="10"/>
        <v>-0.0000000002328306437</v>
      </c>
      <c r="CH33" s="26">
        <f t="shared" si="10"/>
        <v>0</v>
      </c>
      <c r="CI33" s="26">
        <f t="shared" si="10"/>
        <v>0</v>
      </c>
      <c r="CJ33" s="26">
        <f t="shared" si="10"/>
        <v>0.0000000002328306437</v>
      </c>
      <c r="CK33" s="26">
        <f t="shared" si="10"/>
        <v>0.0000000002328306437</v>
      </c>
      <c r="CL33" s="26">
        <f t="shared" si="10"/>
        <v>0.0000000004656612873</v>
      </c>
      <c r="CM33" s="26">
        <f t="shared" si="10"/>
        <v>0.0000000003492459655</v>
      </c>
      <c r="CN33" s="26">
        <f t="shared" si="10"/>
        <v>0.0000000002328306437</v>
      </c>
      <c r="CO33" s="26">
        <f t="shared" si="10"/>
        <v>0.0000000002328306437</v>
      </c>
      <c r="CP33" s="26">
        <f t="shared" si="10"/>
        <v>0.0000000004656612873</v>
      </c>
      <c r="CQ33" s="26">
        <f t="shared" si="10"/>
        <v>0.0000000002328306437</v>
      </c>
      <c r="CR33" s="26">
        <f t="shared" si="10"/>
        <v>0</v>
      </c>
      <c r="CS33" s="26">
        <f t="shared" si="10"/>
        <v>0.0000000004656612873</v>
      </c>
      <c r="CT33" s="26">
        <f t="shared" si="10"/>
        <v>0.0000000009313225746</v>
      </c>
      <c r="CU33" s="26">
        <f t="shared" si="10"/>
        <v>0.0000000009313225746</v>
      </c>
      <c r="CV33" s="26">
        <f t="shared" si="10"/>
        <v>0.0000000009313225746</v>
      </c>
      <c r="CW33" s="26">
        <f t="shared" si="10"/>
        <v>0.0000000004656612873</v>
      </c>
      <c r="CX33" s="26">
        <f t="shared" si="10"/>
        <v>0.0000000004656612873</v>
      </c>
      <c r="CY33" s="26">
        <f t="shared" si="10"/>
        <v>0.0000000004656612873</v>
      </c>
      <c r="CZ33" s="26">
        <f t="shared" si="10"/>
        <v>0.0000000004656612873</v>
      </c>
      <c r="DA33" s="26">
        <f t="shared" si="10"/>
        <v>0</v>
      </c>
      <c r="DB33" s="26">
        <f t="shared" si="10"/>
        <v>0</v>
      </c>
      <c r="DC33" s="26">
        <f t="shared" si="10"/>
        <v>-0.0000000004656612873</v>
      </c>
      <c r="DD33" s="26">
        <f t="shared" si="10"/>
        <v>-0.0000000004656612873</v>
      </c>
      <c r="DE33" s="26">
        <f t="shared" si="10"/>
        <v>0.0000000004656612873</v>
      </c>
      <c r="DF33" s="26">
        <f t="shared" si="10"/>
        <v>0.000000001396983862</v>
      </c>
      <c r="DG33" s="26">
        <f t="shared" si="10"/>
        <v>0.000000001862645149</v>
      </c>
      <c r="DH33" s="26">
        <f t="shared" si="10"/>
        <v>0.000000001862645149</v>
      </c>
      <c r="DI33" s="26">
        <f t="shared" si="10"/>
        <v>0.0000000009313225746</v>
      </c>
      <c r="DJ33" s="26">
        <f t="shared" si="10"/>
        <v>0</v>
      </c>
      <c r="DK33" s="26">
        <f t="shared" si="10"/>
        <v>-0.0000000004656612873</v>
      </c>
      <c r="DL33" s="26">
        <f t="shared" si="10"/>
        <v>0.0000000009313225746</v>
      </c>
      <c r="DM33" s="26">
        <f t="shared" si="10"/>
        <v>0.0000000004656612873</v>
      </c>
      <c r="DN33" s="26">
        <f t="shared" si="10"/>
        <v>0</v>
      </c>
      <c r="DO33" s="26">
        <f t="shared" si="10"/>
        <v>0.0000000009313225746</v>
      </c>
      <c r="DP33" s="26">
        <f t="shared" si="10"/>
        <v>0.000000001396983862</v>
      </c>
      <c r="DQ33" s="26">
        <f t="shared" si="10"/>
        <v>0.000000001862645149</v>
      </c>
      <c r="DR33" s="26">
        <f t="shared" si="10"/>
        <v>0.0000000009313225746</v>
      </c>
      <c r="DS33" s="26">
        <f t="shared" si="10"/>
        <v>0.000000001862645149</v>
      </c>
      <c r="DT33" s="26">
        <f t="shared" si="10"/>
        <v>0.000000001862645149</v>
      </c>
      <c r="DU33" s="26">
        <f t="shared" si="10"/>
        <v>0</v>
      </c>
      <c r="DV33" s="26">
        <f t="shared" si="10"/>
        <v>0.0000000009313225746</v>
      </c>
      <c r="DW33" s="26">
        <f t="shared" si="10"/>
        <v>3209408</v>
      </c>
      <c r="DX33" s="26">
        <f t="shared" si="10"/>
        <v>2589408</v>
      </c>
      <c r="DY33" s="26">
        <f t="shared" si="10"/>
        <v>4160019.47</v>
      </c>
      <c r="DZ33" s="26">
        <f t="shared" si="10"/>
        <v>4297536.47</v>
      </c>
      <c r="EA33" s="26">
        <f t="shared" si="10"/>
        <v>5645183.09</v>
      </c>
      <c r="EB33" s="26">
        <f t="shared" si="10"/>
        <v>5525183.09</v>
      </c>
      <c r="EC33" s="26">
        <f t="shared" si="10"/>
        <v>7828007.84</v>
      </c>
      <c r="ED33" s="26">
        <f t="shared" si="10"/>
        <v>7666953.06</v>
      </c>
      <c r="EE33" s="26">
        <f t="shared" si="10"/>
        <v>9141386.46</v>
      </c>
      <c r="EF33" s="26">
        <f t="shared" si="10"/>
        <v>8921386.46</v>
      </c>
      <c r="EG33" s="26">
        <f t="shared" si="10"/>
        <v>12790843.14</v>
      </c>
      <c r="EH33" s="26">
        <f t="shared" si="10"/>
        <v>12252087.86</v>
      </c>
      <c r="EI33" s="26">
        <f t="shared" si="10"/>
        <v>11711637.63</v>
      </c>
      <c r="EJ33" s="26">
        <f t="shared" si="10"/>
        <v>12094975.23</v>
      </c>
      <c r="EK33" s="26">
        <f t="shared" si="10"/>
        <v>10584975.23</v>
      </c>
      <c r="EL33" s="26">
        <f t="shared" si="10"/>
        <v>15828542.73</v>
      </c>
    </row>
    <row r="34" ht="15.75" customHeight="1">
      <c r="A34" s="4"/>
      <c r="B34" s="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DW34" s="4"/>
    </row>
    <row r="35" ht="15.75" customHeight="1">
      <c r="A35" s="4"/>
      <c r="B35" s="56" t="s">
        <v>29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 t="str">
        <f t="array" ref="O35">_xludf.XLOOKUP(O$2,'AR Aging Balance'!$A:$A,'AR Aging Balance'!$F:$F)</f>
        <v>#NAME?</v>
      </c>
      <c r="P35" s="14" t="str">
        <f t="array" ref="P35">_xludf.XLOOKUP(P$2,'AR Aging Balance'!$A:$A,'AR Aging Balance'!$F:$F)</f>
        <v>#NAME?</v>
      </c>
      <c r="Q35" s="14" t="str">
        <f t="array" ref="Q35">_xludf.XLOOKUP(Q$2,'AR Aging Balance'!$A:$A,'AR Aging Balance'!$F:$F)</f>
        <v>#NAME?</v>
      </c>
      <c r="R35" s="14" t="str">
        <f t="array" ref="R35">_xludf.XLOOKUP(R$2,'AR Aging Balance'!$A:$A,'AR Aging Balance'!$F:$F)</f>
        <v>#NAME?</v>
      </c>
      <c r="S35" s="14" t="str">
        <f t="array" ref="S35">_xludf.XLOOKUP(S$2,'AR Aging Balance'!$A:$A,'AR Aging Balance'!$F:$F)</f>
        <v>#NAME?</v>
      </c>
      <c r="T35" s="14" t="str">
        <f t="array" ref="T35">_xludf.XLOOKUP(T$2,'AR Aging Balance'!$A:$A,'AR Aging Balance'!$F:$F)</f>
        <v>#NAME?</v>
      </c>
      <c r="U35" s="14" t="str">
        <f t="array" ref="U35">_xludf.XLOOKUP(U$2,'AR Aging Balance'!$A:$A,'AR Aging Balance'!$F:$F)</f>
        <v>#NAME?</v>
      </c>
      <c r="V35" s="14" t="str">
        <f t="array" ref="V35">_xludf.XLOOKUP(V$2,'AR Aging Balance'!$A:$A,'AR Aging Balance'!$F:$F)</f>
        <v>#NAME?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 t="str">
        <f t="array" ref="CL35">XLOOKUP(CL$2,'AR Aging Balance'!$A:$A,'AR Aging Balance'!$F:$F)</f>
        <v>#N/A</v>
      </c>
      <c r="CM35" s="14" t="str">
        <f t="array" ref="CM35">XLOOKUP(CM$2,'AR Aging Balance'!$A:$A,'AR Aging Balance'!$F:$F)</f>
        <v>#N/A</v>
      </c>
      <c r="CN35" s="14" t="str">
        <f t="array" ref="CN35">XLOOKUP(CN$2,'AR Aging Balance'!$A:$A,'AR Aging Balance'!$F:$F)</f>
        <v>#N/A</v>
      </c>
      <c r="CO35" s="14" t="str">
        <f t="array" ref="CO35">XLOOKUP(CO$2,'AR Aging Balance'!$A:$A,'AR Aging Balance'!$F:$F)</f>
        <v>#N/A</v>
      </c>
      <c r="CP35" s="14" t="str">
        <f t="array" ref="CP35">XLOOKUP(CP$2,'AR Aging Balance'!$A:$A,'AR Aging Balance'!$F:$F)</f>
        <v>#N/A</v>
      </c>
      <c r="CQ35" s="14" t="str">
        <f t="array" ref="CQ35">XLOOKUP(CQ$2,'AR Aging Balance'!$A:$A,'AR Aging Balance'!$F:$F)</f>
        <v>#N/A</v>
      </c>
      <c r="CR35" s="14" t="str">
        <f t="array" ref="CR35">XLOOKUP(CR$2,'AR Aging Balance'!$A:$A,'AR Aging Balance'!$F:$F)</f>
        <v>#N/A</v>
      </c>
      <c r="CS35" s="14" t="str">
        <f t="array" ref="CS35">XLOOKUP(CS$2,'AR Aging Balance'!$A:$A,'AR Aging Balance'!$F:$F)</f>
        <v>#N/A</v>
      </c>
      <c r="CT35" s="14" t="str">
        <f t="array" ref="CT35">XLOOKUP(CT$2,'AR Aging Balance'!$A:$A,'AR Aging Balance'!$F:$F)</f>
        <v>#N/A</v>
      </c>
      <c r="CU35" s="14">
        <v>0.0</v>
      </c>
      <c r="CV35" s="14">
        <v>0.0</v>
      </c>
      <c r="CW35" s="14">
        <v>0.0</v>
      </c>
      <c r="CX35" s="14">
        <v>0.0</v>
      </c>
      <c r="CY35" s="14">
        <f t="array" ref="CY35">XLOOKUP(CY$2,'AR Aging Balance'!$A:$A,'AR Aging Balance'!$F:$F)</f>
        <v>0</v>
      </c>
      <c r="CZ35" s="14">
        <f t="array" ref="CZ35">XLOOKUP(CZ$2,'AR Aging Balance'!$A:$A,'AR Aging Balance'!$F:$F)</f>
        <v>0</v>
      </c>
      <c r="DA35" s="14">
        <f t="array" ref="DA35">XLOOKUP(DA$2,'AR Aging Balance'!$A:$A,'AR Aging Balance'!$F:$F)</f>
        <v>0</v>
      </c>
      <c r="DB35" s="14">
        <f t="array" ref="DB35">XLOOKUP(DB$2,'AR Aging Balance'!$A:$A,'AR Aging Balance'!$F:$F)</f>
        <v>0</v>
      </c>
      <c r="DC35" s="14">
        <f t="array" ref="DC35">XLOOKUP(DC$2,'AR Aging Balance'!$A:$A,'AR Aging Balance'!$F:$F)</f>
        <v>0</v>
      </c>
      <c r="DD35" s="14">
        <f t="array" ref="DD35">XLOOKUP(DD$2,'AR Aging Balance'!$A:$A,'AR Aging Balance'!$F:$F)</f>
        <v>0</v>
      </c>
      <c r="DE35" s="14">
        <f t="array" ref="DE35">XLOOKUP(DE$2,'AR Aging Balance'!$A:$A,'AR Aging Balance'!$F:$F)</f>
        <v>0</v>
      </c>
      <c r="DF35" s="14">
        <f t="array" ref="DF35">XLOOKUP(DF$2,'AR Aging Balance'!$A:$A,'AR Aging Balance'!$F:$F)</f>
        <v>0</v>
      </c>
      <c r="DG35" s="14" t="str">
        <f t="array" ref="DG35">XLOOKUP(DG$2,'AR Aging Balance'!$A:$A,'AR Aging Balance'!$F:$F)</f>
        <v/>
      </c>
      <c r="DH35" s="14" t="str">
        <f t="array" ref="DH35">XLOOKUP(DH$2,'AR Aging Balance'!$A:$A,'AR Aging Balance'!$F:$F)</f>
        <v/>
      </c>
      <c r="DI35" s="14" t="str">
        <f t="array" ref="DI35">XLOOKUP(DI$2,'AR Aging Balance'!$A:$A,'AR Aging Balance'!$F:$F)</f>
        <v/>
      </c>
      <c r="DJ35" s="14" t="str">
        <f t="array" ref="DJ35">XLOOKUP(DJ$2,'AR Aging Balance'!$A:$A,'AR Aging Balance'!$F:$F)</f>
        <v/>
      </c>
      <c r="DK35" s="14" t="str">
        <f t="array" ref="DK35">XLOOKUP(DK$2,'AR Aging Balance'!$A:$A,'AR Aging Balance'!$F:$F)</f>
        <v/>
      </c>
      <c r="DL35" s="14">
        <f t="array" ref="DL35">XLOOKUP(DL$2,'AR Aging Balance'!$A:$A,'AR Aging Balance'!$F:$F)</f>
        <v>9461542.97</v>
      </c>
      <c r="DM35" s="14">
        <f t="array" ref="DM35">XLOOKUP(DM$2,'AR Aging Balance'!$A:$A,'AR Aging Balance'!$F:$F)</f>
        <v>9420416.31</v>
      </c>
      <c r="DN35" s="14">
        <f t="array" ref="DN35">XLOOKUP(DN$2,'AR Aging Balance'!$A:$A,'AR Aging Balance'!$F:$F)</f>
        <v>10080879.32</v>
      </c>
      <c r="DO35" s="14">
        <f t="array" ref="DO35">XLOOKUP(DO$2,'AR Aging Balance'!$A:$A,'AR Aging Balance'!$F:$F)</f>
        <v>10337123.82</v>
      </c>
      <c r="DP35" s="14">
        <f t="array" ref="DP35">XLOOKUP(DP$2,'AR Aging Balance'!$A:$A,'AR Aging Balance'!$F:$F)</f>
        <v>15599190.39</v>
      </c>
      <c r="DQ35" s="14">
        <f t="array" ref="DQ35">XLOOKUP(DQ$2,'AR Aging Balance'!$A:$A,'AR Aging Balance'!$F:$F)</f>
        <v>14200746.22</v>
      </c>
      <c r="DR35" s="14">
        <f t="array" ref="DR35">XLOOKUP(DR$2,'AR Aging Balance'!$A:$A,'AR Aging Balance'!$F:$F)</f>
        <v>13219234.55</v>
      </c>
      <c r="DS35" s="14">
        <f t="array" ref="DS35">XLOOKUP(DS$2,'AR Aging Balance'!$A:$A,'AR Aging Balance'!$F:$F)</f>
        <v>13219234.55</v>
      </c>
      <c r="DT35" s="14">
        <f t="array" ref="DT35">XLOOKUP(DT$2,'AR Aging Balance'!$A:$A,'AR Aging Balance'!$F:$F)</f>
        <v>10696527.75</v>
      </c>
      <c r="DU35" s="14">
        <f t="array" ref="DU35">XLOOKUP(DU$2,'AR Aging Balance'!$A:$A,'AR Aging Balance'!$F:$F)</f>
        <v>17288291.25</v>
      </c>
      <c r="DV35" s="14">
        <f t="array" ref="DV35">XLOOKUP(DV$2,'AR Aging Balance'!$A:$A,'AR Aging Balance'!$F:$F)</f>
        <v>14552886.8</v>
      </c>
      <c r="DW35" s="14">
        <f t="array" ref="DW35">XLOOKUP(DW$2,'AR Aging Balance'!$A:$A,'AR Aging Balance'!$F:$F)</f>
        <v>14503125.2</v>
      </c>
      <c r="DX35" s="14">
        <f t="array" ref="DX35">XLOOKUP(DX$2,'AR Aging Balance'!$A:$A,'AR Aging Balance'!$F:$F)</f>
        <v>14503125.2</v>
      </c>
      <c r="DY35" s="14">
        <f t="array" ref="DY35">XLOOKUP(DY$2,'AR Aging Balance'!$A:$A,'AR Aging Balance'!$F:$F)</f>
        <v>19030514.7</v>
      </c>
      <c r="DZ35" s="14">
        <f t="array" ref="DZ35">XLOOKUP(DZ$2,'AR Aging Balance'!$A:$A,'AR Aging Balance'!$F:$F)</f>
        <v>18722997.7</v>
      </c>
      <c r="EA35" s="14">
        <f t="array" ref="EA35">XLOOKUP(EA$2,'AR Aging Balance'!$A:$A,'AR Aging Balance'!$F:$F)</f>
        <v>16255351.08</v>
      </c>
      <c r="EB35" s="14">
        <f t="array" ref="EB35">XLOOKUP(EB$2,'AR Aging Balance'!$A:$A,'AR Aging Balance'!$F:$F)</f>
        <v>16255351.08</v>
      </c>
      <c r="EC35" s="14">
        <f t="array" ref="EC35">XLOOKUP(EC$2,'AR Aging Balance'!$A:$A,'AR Aging Balance'!$F:$F)</f>
        <v>18753101.43</v>
      </c>
      <c r="ED35" s="14">
        <f t="array" ref="ED35">XLOOKUP(ED$2,'AR Aging Balance'!$A:$A,'AR Aging Balance'!$F:$F)</f>
        <v>18470400.93</v>
      </c>
      <c r="EE35" s="14">
        <f t="array" ref="EE35">XLOOKUP(EE$2,'AR Aging Balance'!$A:$A,'AR Aging Balance'!$F:$F)</f>
        <v>15915967.53</v>
      </c>
      <c r="EF35" s="14">
        <f t="array" ref="EF35">XLOOKUP(EF$2,'AR Aging Balance'!$A:$A,'AR Aging Balance'!$F:$F)</f>
        <v>15915967.53</v>
      </c>
      <c r="EG35" s="14">
        <f t="array" ref="EG35">XLOOKUP(EG$2,'AR Aging Balance'!$A:$A,'AR Aging Balance'!$F:$F)</f>
        <v>10536510.85</v>
      </c>
      <c r="EH35" s="14">
        <f t="array" ref="EH35">XLOOKUP(EH$2,'AR Aging Balance'!$A:$A,'AR Aging Balance'!$F:$F)</f>
        <v>16408036.25</v>
      </c>
      <c r="EI35" s="14">
        <f t="array" ref="EI35">XLOOKUP(EI$2,'AR Aging Balance'!$A:$A,'AR Aging Balance'!$F:$F)</f>
        <v>15868486.48</v>
      </c>
      <c r="EJ35" s="14">
        <f t="array" ref="EJ35">XLOOKUP(EJ$2,'AR Aging Balance'!$A:$A,'AR Aging Balance'!$F:$F)</f>
        <v>15265148.88</v>
      </c>
      <c r="EK35" s="14">
        <f t="array" ref="EK35">XLOOKUP(EK$2,'AR Aging Balance'!$A:$A,'AR Aging Balance'!$F:$F)</f>
        <v>15265148.88</v>
      </c>
      <c r="EL35" s="14">
        <f t="array" ref="EL35">XLOOKUP(EL$2,'AR Aging Balance'!$A:$A,'AR Aging Balance'!$F:$F)</f>
        <v>15901379.28</v>
      </c>
    </row>
    <row r="36" ht="15.75" customHeight="1">
      <c r="A36" s="4"/>
      <c r="B36" s="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DW36" s="4"/>
    </row>
    <row r="37" ht="15.75" customHeight="1">
      <c r="A37" s="4"/>
      <c r="B37" s="57" t="s">
        <v>7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DG37" s="26"/>
      <c r="DW37" s="4"/>
    </row>
    <row r="38" ht="15.75" customHeight="1">
      <c r="A38" s="4"/>
      <c r="B38" s="4" t="s">
        <v>30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f>SUM(U10:X17,U18:X19)</f>
        <v>-2141207.08</v>
      </c>
      <c r="Y38" s="14"/>
      <c r="Z38" s="14"/>
      <c r="AA38" s="14"/>
      <c r="AB38" s="14">
        <f>SUM(Y10:AB17,Y18:AB19)</f>
        <v>-1818351.77</v>
      </c>
      <c r="AC38" s="14"/>
      <c r="AD38" s="14"/>
      <c r="AE38" s="14"/>
      <c r="AF38" s="14"/>
      <c r="AG38" s="14">
        <f>SUM(AC10:AG17,AC18:AG19)</f>
        <v>-2724440.71</v>
      </c>
      <c r="AH38" s="14"/>
      <c r="AI38" s="14"/>
      <c r="AJ38" s="14"/>
      <c r="AK38" s="14">
        <f>SUM(AH10:AK17,AH18:AK19)</f>
        <v>-2143871.95</v>
      </c>
      <c r="AL38" s="14"/>
      <c r="AM38" s="14"/>
      <c r="AN38" s="14"/>
      <c r="AO38" s="14">
        <f>SUM(AL10:AO17,AL18:AO19)</f>
        <v>-1861924.58</v>
      </c>
      <c r="AP38" s="14"/>
      <c r="AQ38" s="14"/>
      <c r="AR38" s="14"/>
      <c r="AS38" s="14"/>
      <c r="AT38" s="14">
        <f>SUM(AP10:AT17,AP18:AT19)</f>
        <v>-2643825.21</v>
      </c>
      <c r="AU38" s="14"/>
      <c r="AV38" s="14"/>
      <c r="AW38" s="14"/>
      <c r="AX38" s="14">
        <f>SUM(AU10:AX17,AU18:AX19)</f>
        <v>-2240953.44</v>
      </c>
      <c r="AY38" s="14"/>
      <c r="AZ38" s="14"/>
      <c r="BA38" s="14"/>
      <c r="BB38" s="14"/>
      <c r="BC38" s="14">
        <f>SUM(AY10:BC17,AY18:BC19)</f>
        <v>-3685066.93</v>
      </c>
      <c r="BD38" s="14"/>
      <c r="BE38" s="14"/>
      <c r="BF38" s="14"/>
      <c r="BG38" s="14">
        <f>SUM(BD10:BG17,BD18:BG19)</f>
        <v>-2367250.2</v>
      </c>
      <c r="BH38" s="14"/>
      <c r="BI38" s="14"/>
      <c r="BJ38" s="14"/>
      <c r="BK38" s="14">
        <f>SUM(BH10:BK17,BH18:BK19)</f>
        <v>-2356184.91</v>
      </c>
      <c r="BL38" s="14"/>
      <c r="BM38" s="14"/>
      <c r="BN38" s="14"/>
      <c r="BO38" s="14">
        <f>SUM(BL10:BO17,BL18:BO19)</f>
        <v>-2615876.59</v>
      </c>
      <c r="BP38" s="14"/>
      <c r="BQ38" s="14"/>
      <c r="BR38" s="14"/>
      <c r="BS38" s="14"/>
      <c r="BT38" s="14">
        <f>SUM(BP10:BT17,BP18:BT19)</f>
        <v>-3283551.31</v>
      </c>
      <c r="BU38" s="14"/>
      <c r="BV38" s="14"/>
      <c r="BW38" s="14"/>
      <c r="BX38" s="14">
        <f>SUM(BU10:BX17,BU18:BX19)</f>
        <v>-2749415.45</v>
      </c>
      <c r="BY38" s="14"/>
      <c r="BZ38" s="14"/>
      <c r="CA38" s="14"/>
      <c r="CB38" s="14">
        <f>SUM(BY10:CB17,BY18:CB19)</f>
        <v>-2315382.87</v>
      </c>
      <c r="CC38" s="14"/>
      <c r="CD38" s="14"/>
      <c r="CE38" s="14"/>
      <c r="CF38" s="14"/>
      <c r="CG38" s="14">
        <f>SUM(CC10:CG17,CC18:CG19)</f>
        <v>-21404523.48</v>
      </c>
      <c r="CH38" s="14"/>
      <c r="CI38" s="14"/>
      <c r="CJ38" s="14"/>
      <c r="CK38" s="14">
        <f>SUM(CH10:CK17,CH18:CK19)</f>
        <v>-2456908.76</v>
      </c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DW38" s="4"/>
    </row>
    <row r="39" ht="15.75" customHeight="1">
      <c r="A39" s="4"/>
      <c r="B39" s="4" t="s">
        <v>31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f>SUM(U21:X21)</f>
        <v>-188888.4</v>
      </c>
      <c r="Y39" s="14"/>
      <c r="Z39" s="14"/>
      <c r="AA39" s="14"/>
      <c r="AB39" s="14">
        <f>SUM(Y21:AB21)</f>
        <v>-79222</v>
      </c>
      <c r="AC39" s="14"/>
      <c r="AD39" s="14"/>
      <c r="AE39" s="14"/>
      <c r="AF39" s="14"/>
      <c r="AG39" s="14">
        <f>SUM(AC21:AG21)</f>
        <v>-45079</v>
      </c>
      <c r="AH39" s="14"/>
      <c r="AI39" s="14"/>
      <c r="AJ39" s="14"/>
      <c r="AK39" s="14">
        <f>SUM(AH21:AK21)</f>
        <v>-91528.5</v>
      </c>
      <c r="AL39" s="14"/>
      <c r="AM39" s="14"/>
      <c r="AN39" s="14"/>
      <c r="AO39" s="14">
        <f>SUM(AL21:AO21)</f>
        <v>-138466.2</v>
      </c>
      <c r="AP39" s="14"/>
      <c r="AQ39" s="14"/>
      <c r="AR39" s="14"/>
      <c r="AS39" s="14"/>
      <c r="AT39" s="14">
        <f>SUM(AP21:AT21)</f>
        <v>-95920.17</v>
      </c>
      <c r="AU39" s="14"/>
      <c r="AV39" s="14"/>
      <c r="AW39" s="14"/>
      <c r="AX39" s="14">
        <f>SUM(AU21:AX21)</f>
        <v>-94841.2</v>
      </c>
      <c r="AY39" s="14"/>
      <c r="AZ39" s="14"/>
      <c r="BA39" s="14"/>
      <c r="BB39" s="14"/>
      <c r="BC39" s="14">
        <f>SUM(AY21:BC21)</f>
        <v>-141455.31</v>
      </c>
      <c r="BD39" s="14"/>
      <c r="BE39" s="14"/>
      <c r="BF39" s="14"/>
      <c r="BG39" s="14">
        <f>SUM(BD21:BG21)</f>
        <v>-155291.53</v>
      </c>
      <c r="BH39" s="14"/>
      <c r="BI39" s="14"/>
      <c r="BJ39" s="14"/>
      <c r="BK39" s="14">
        <f>SUM(BH21:BK21)</f>
        <v>-195526.03</v>
      </c>
      <c r="BL39" s="14"/>
      <c r="BM39" s="14"/>
      <c r="BN39" s="14"/>
      <c r="BO39" s="14">
        <f>SUM(BL21:BO21)</f>
        <v>-98602.9</v>
      </c>
      <c r="BP39" s="14"/>
      <c r="BQ39" s="14"/>
      <c r="BR39" s="14"/>
      <c r="BS39" s="14"/>
      <c r="BT39" s="14">
        <f>SUM(BP21:BT21)</f>
        <v>-274488.78</v>
      </c>
      <c r="BU39" s="14"/>
      <c r="BV39" s="14"/>
      <c r="BW39" s="14"/>
      <c r="BX39" s="14">
        <f>SUM(BU21:BX21)</f>
        <v>-148656.01</v>
      </c>
      <c r="BY39" s="14"/>
      <c r="BZ39" s="14"/>
      <c r="CA39" s="14"/>
      <c r="CB39" s="14">
        <f>SUM(BY21:CB21)</f>
        <v>-117488.77</v>
      </c>
      <c r="CC39" s="14"/>
      <c r="CD39" s="14"/>
      <c r="CE39" s="14"/>
      <c r="CF39" s="14"/>
      <c r="CG39" s="14">
        <f>SUM(CC21:CG21)</f>
        <v>-163656.01</v>
      </c>
      <c r="CH39" s="14"/>
      <c r="CI39" s="14"/>
      <c r="CJ39" s="14"/>
      <c r="CK39" s="14">
        <f>SUM(CH21:CK21)</f>
        <v>0</v>
      </c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DW39" s="4"/>
    </row>
    <row r="40" ht="15.75" customHeight="1">
      <c r="A40" s="4"/>
      <c r="B40" s="4" t="s">
        <v>18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45">
        <f>SUM(U20:X20)</f>
        <v>0</v>
      </c>
      <c r="Y40" s="14"/>
      <c r="Z40" s="14"/>
      <c r="AA40" s="14"/>
      <c r="AB40" s="45">
        <f>SUM(Y20:AB20)</f>
        <v>0</v>
      </c>
      <c r="AC40" s="14"/>
      <c r="AD40" s="14"/>
      <c r="AE40" s="14"/>
      <c r="AF40" s="14"/>
      <c r="AG40" s="45">
        <f>SUM(AC20:AG20)</f>
        <v>-293633.88</v>
      </c>
      <c r="AH40" s="14"/>
      <c r="AI40" s="14"/>
      <c r="AJ40" s="14"/>
      <c r="AK40" s="45">
        <f>SUM(AH20:AK20)</f>
        <v>-100000</v>
      </c>
      <c r="AL40" s="14"/>
      <c r="AM40" s="14"/>
      <c r="AN40" s="14"/>
      <c r="AO40" s="45">
        <f>SUM(AL20:AO20)</f>
        <v>-230000</v>
      </c>
      <c r="AP40" s="14"/>
      <c r="AQ40" s="14"/>
      <c r="AR40" s="14"/>
      <c r="AS40" s="14"/>
      <c r="AT40" s="45">
        <f>SUM(AP20:AT20)</f>
        <v>-50000</v>
      </c>
      <c r="AU40" s="14"/>
      <c r="AV40" s="14"/>
      <c r="AW40" s="14"/>
      <c r="AX40" s="45">
        <f>SUM(AU20:AX20)</f>
        <v>-150785</v>
      </c>
      <c r="AY40" s="14"/>
      <c r="AZ40" s="14"/>
      <c r="BA40" s="14"/>
      <c r="BB40" s="14"/>
      <c r="BC40" s="45">
        <f>SUM(AY20:BC20)</f>
        <v>-250000</v>
      </c>
      <c r="BD40" s="14"/>
      <c r="BE40" s="14"/>
      <c r="BF40" s="14"/>
      <c r="BG40" s="45">
        <f>SUM(BD20:BG20)</f>
        <v>0</v>
      </c>
      <c r="BH40" s="14"/>
      <c r="BI40" s="14"/>
      <c r="BJ40" s="14"/>
      <c r="BK40" s="45">
        <f>SUM(BH20:BK20)</f>
        <v>0</v>
      </c>
      <c r="BL40" s="14"/>
      <c r="BM40" s="14"/>
      <c r="BN40" s="14"/>
      <c r="BO40" s="45">
        <f>SUM(BL20:BO20)</f>
        <v>-75000</v>
      </c>
      <c r="BP40" s="14"/>
      <c r="BQ40" s="14"/>
      <c r="BR40" s="14"/>
      <c r="BS40" s="14"/>
      <c r="BT40" s="45">
        <f>SUM(BQ20:BT20)</f>
        <v>-210000</v>
      </c>
      <c r="BU40" s="14"/>
      <c r="BV40" s="14"/>
      <c r="BW40" s="14"/>
      <c r="BX40" s="45">
        <f>SUM(BU20:BX20)</f>
        <v>-1472779.07</v>
      </c>
      <c r="BY40" s="14"/>
      <c r="BZ40" s="14"/>
      <c r="CA40" s="14"/>
      <c r="CB40" s="45">
        <f>SUM(BY20:CB20)</f>
        <v>-225000</v>
      </c>
      <c r="CC40" s="14"/>
      <c r="CD40" s="14"/>
      <c r="CE40" s="14"/>
      <c r="CF40" s="14"/>
      <c r="CG40" s="45">
        <f>SUM(CD20:CG20)</f>
        <v>-100000</v>
      </c>
      <c r="CH40" s="14"/>
      <c r="CI40" s="14"/>
      <c r="CJ40" s="14"/>
      <c r="CK40" s="45">
        <f>SUM(CH20:CK20)</f>
        <v>0.03</v>
      </c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DW40" s="4"/>
    </row>
    <row r="41" ht="15.75" customHeight="1">
      <c r="A41" s="4"/>
      <c r="B41" s="4" t="s">
        <v>32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f>SUM(X38:X40)</f>
        <v>-2330095.48</v>
      </c>
      <c r="Y41" s="14"/>
      <c r="Z41" s="14"/>
      <c r="AA41" s="14"/>
      <c r="AB41" s="14">
        <f>SUM(AB38:AB40)</f>
        <v>-1897573.77</v>
      </c>
      <c r="AC41" s="14"/>
      <c r="AD41" s="14"/>
      <c r="AE41" s="14"/>
      <c r="AF41" s="14"/>
      <c r="AG41" s="14">
        <f>SUM(AG38:AG40)</f>
        <v>-3063153.59</v>
      </c>
      <c r="AH41" s="14"/>
      <c r="AI41" s="14"/>
      <c r="AJ41" s="14"/>
      <c r="AK41" s="14">
        <f>SUM(AK38:AK40)</f>
        <v>-2335400.45</v>
      </c>
      <c r="AL41" s="14"/>
      <c r="AM41" s="14"/>
      <c r="AN41" s="14"/>
      <c r="AO41" s="14">
        <f>SUM(AO38:AO40)</f>
        <v>-2230390.78</v>
      </c>
      <c r="AP41" s="14"/>
      <c r="AQ41" s="14"/>
      <c r="AR41" s="14"/>
      <c r="AS41" s="14"/>
      <c r="AT41" s="14">
        <f>SUM(AT38:AT40)</f>
        <v>-2789745.38</v>
      </c>
      <c r="AU41" s="14"/>
      <c r="AV41" s="14"/>
      <c r="AW41" s="14"/>
      <c r="AX41" s="14">
        <f>SUM(AX38:AX40)</f>
        <v>-2486579.64</v>
      </c>
      <c r="AY41" s="14"/>
      <c r="AZ41" s="14"/>
      <c r="BA41" s="14"/>
      <c r="BB41" s="14"/>
      <c r="BC41" s="14">
        <f>SUM(BC38:BC40)</f>
        <v>-4076522.24</v>
      </c>
      <c r="BD41" s="14"/>
      <c r="BE41" s="14"/>
      <c r="BF41" s="14"/>
      <c r="BG41" s="14">
        <f>SUM(BG38:BG40)</f>
        <v>-2522541.73</v>
      </c>
      <c r="BH41" s="14"/>
      <c r="BI41" s="14"/>
      <c r="BJ41" s="14"/>
      <c r="BK41" s="14">
        <f>SUM(BK38:BK40)</f>
        <v>-2551710.94</v>
      </c>
      <c r="BL41" s="14"/>
      <c r="BM41" s="14"/>
      <c r="BN41" s="14"/>
      <c r="BO41" s="14">
        <f>SUM(BO38:BO40)</f>
        <v>-2789479.49</v>
      </c>
      <c r="BP41" s="14"/>
      <c r="BQ41" s="14"/>
      <c r="BR41" s="14"/>
      <c r="BS41" s="14"/>
      <c r="BT41" s="14">
        <f>SUM(BT38:BT40)</f>
        <v>-3768040.09</v>
      </c>
      <c r="BU41" s="14"/>
      <c r="BV41" s="14"/>
      <c r="BW41" s="14"/>
      <c r="BX41" s="14">
        <f>SUM(BX38:BX40)</f>
        <v>-4370850.53</v>
      </c>
      <c r="BY41" s="14"/>
      <c r="BZ41" s="14"/>
      <c r="CA41" s="14"/>
      <c r="CB41" s="14">
        <f>SUM(CB38:CB40)</f>
        <v>-2657871.64</v>
      </c>
      <c r="CC41" s="14"/>
      <c r="CD41" s="14"/>
      <c r="CE41" s="14"/>
      <c r="CF41" s="14"/>
      <c r="CG41" s="14">
        <f>SUM(CG38:CG40)</f>
        <v>-21668179.49</v>
      </c>
      <c r="CH41" s="14"/>
      <c r="CI41" s="14"/>
      <c r="CJ41" s="14"/>
      <c r="CK41" s="14">
        <f>SUM(CK38:CK40)</f>
        <v>-2456908.73</v>
      </c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DW41" s="4"/>
    </row>
    <row r="42" ht="15.75" customHeight="1">
      <c r="A42" s="4"/>
      <c r="B42" s="57"/>
      <c r="C42" s="42"/>
      <c r="D42" s="42"/>
      <c r="E42" s="4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DW42" s="4"/>
    </row>
    <row r="43" ht="15.75" customHeight="1">
      <c r="A43" s="4"/>
      <c r="B43" s="57"/>
      <c r="C43" s="42"/>
      <c r="D43" s="42"/>
      <c r="E43" s="4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>
        <f>2.6*3</f>
        <v>7.8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>
        <v>816505.2299999997</v>
      </c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DN43" s="14"/>
      <c r="DW43" s="4"/>
    </row>
    <row r="44" ht="15.75" customHeight="1">
      <c r="A44" s="4"/>
      <c r="B44" s="4"/>
      <c r="C44" s="42"/>
      <c r="D44" s="42"/>
      <c r="E44" s="4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>
        <v>996539.81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4"/>
      <c r="BD44" s="4"/>
      <c r="BE44" s="4"/>
      <c r="BF44" s="4"/>
      <c r="BG44" s="4"/>
      <c r="BH44" s="4">
        <v>216858.2499999998</v>
      </c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DW44" s="4"/>
    </row>
    <row r="45" ht="15.75" customHeight="1">
      <c r="A45" s="4"/>
      <c r="B45" s="4"/>
      <c r="C45" s="42"/>
      <c r="D45" s="42"/>
      <c r="E45" s="4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>
        <v>1512810.51</v>
      </c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>
        <v>322839.18</v>
      </c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DW45" s="4"/>
    </row>
    <row r="46" ht="15.75" customHeight="1">
      <c r="A46" s="4"/>
      <c r="B46" s="4"/>
      <c r="C46" s="42"/>
      <c r="D46" s="42"/>
      <c r="E46" s="4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>
        <v>1206105.61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DW46" s="4"/>
    </row>
    <row r="47" ht="15.75" customHeight="1">
      <c r="A47" s="4"/>
      <c r="B47" s="4"/>
      <c r="C47" s="42"/>
      <c r="D47" s="42"/>
      <c r="E47" s="4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>
        <v>465249.71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58" t="s">
        <v>33</v>
      </c>
      <c r="BE47" s="59"/>
      <c r="BF47" s="59">
        <v>25.0</v>
      </c>
      <c r="BG47" s="59">
        <v>25.0</v>
      </c>
      <c r="BH47" s="59">
        <v>25.0</v>
      </c>
      <c r="BI47" s="59">
        <v>25.0</v>
      </c>
      <c r="BJ47" s="59">
        <v>25.0</v>
      </c>
      <c r="BK47" s="59">
        <v>25.0</v>
      </c>
      <c r="BL47" s="59">
        <v>25.0</v>
      </c>
      <c r="BM47" s="59">
        <v>25.0</v>
      </c>
      <c r="BN47" s="59">
        <v>25.0</v>
      </c>
      <c r="BO47" s="59">
        <v>25.0</v>
      </c>
      <c r="BP47" s="59">
        <v>25.0</v>
      </c>
      <c r="BQ47" s="59">
        <v>25.0</v>
      </c>
      <c r="BR47" s="59">
        <v>25.0</v>
      </c>
      <c r="BS47" s="59">
        <v>25.0</v>
      </c>
      <c r="BT47" s="59">
        <v>25.0</v>
      </c>
      <c r="BU47" s="59">
        <v>25.0</v>
      </c>
      <c r="BV47" s="59">
        <v>25.0</v>
      </c>
      <c r="BW47" s="59">
        <v>25.0</v>
      </c>
      <c r="BX47" s="60">
        <v>25.0</v>
      </c>
      <c r="BY47" s="61">
        <v>25.0</v>
      </c>
      <c r="BZ47" s="62">
        <v>25.0</v>
      </c>
      <c r="CA47" s="62">
        <v>25.0</v>
      </c>
      <c r="CB47" s="62">
        <v>25.0</v>
      </c>
      <c r="CC47" s="62">
        <v>25.0</v>
      </c>
      <c r="CD47" s="62">
        <v>25.0</v>
      </c>
      <c r="CE47" s="62">
        <v>25.0</v>
      </c>
      <c r="CF47" s="62">
        <v>25.0</v>
      </c>
      <c r="CG47" s="62">
        <v>25.0</v>
      </c>
      <c r="CH47" s="62">
        <v>25.0</v>
      </c>
      <c r="CI47" s="62">
        <v>25.0</v>
      </c>
      <c r="CJ47" s="62">
        <v>25.0</v>
      </c>
      <c r="CK47" s="63">
        <v>25.0</v>
      </c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DW47" s="4"/>
    </row>
    <row r="48" ht="15.75" customHeight="1">
      <c r="A48" s="4"/>
      <c r="B48" s="4"/>
      <c r="C48" s="42"/>
      <c r="D48" s="42"/>
      <c r="E48" s="4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>
        <v>835672.52</v>
      </c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64" t="s">
        <v>34</v>
      </c>
      <c r="BE48" s="65"/>
      <c r="BF48" s="65"/>
      <c r="BG48" s="65">
        <f>SUM(BF47:BG47)</f>
        <v>50</v>
      </c>
      <c r="BH48" s="65">
        <f t="shared" ref="BH48:CK48" si="11">SUM(BG48,BH47)</f>
        <v>75</v>
      </c>
      <c r="BI48" s="65">
        <f t="shared" si="11"/>
        <v>100</v>
      </c>
      <c r="BJ48" s="65">
        <f t="shared" si="11"/>
        <v>125</v>
      </c>
      <c r="BK48" s="65">
        <f t="shared" si="11"/>
        <v>150</v>
      </c>
      <c r="BL48" s="65">
        <f t="shared" si="11"/>
        <v>175</v>
      </c>
      <c r="BM48" s="65">
        <f t="shared" si="11"/>
        <v>200</v>
      </c>
      <c r="BN48" s="65">
        <f t="shared" si="11"/>
        <v>225</v>
      </c>
      <c r="BO48" s="65">
        <f t="shared" si="11"/>
        <v>250</v>
      </c>
      <c r="BP48" s="65">
        <f t="shared" si="11"/>
        <v>275</v>
      </c>
      <c r="BQ48" s="65">
        <f t="shared" si="11"/>
        <v>300</v>
      </c>
      <c r="BR48" s="65">
        <f t="shared" si="11"/>
        <v>325</v>
      </c>
      <c r="BS48" s="65">
        <f t="shared" si="11"/>
        <v>350</v>
      </c>
      <c r="BT48" s="65">
        <f t="shared" si="11"/>
        <v>375</v>
      </c>
      <c r="BU48" s="65">
        <f t="shared" si="11"/>
        <v>400</v>
      </c>
      <c r="BV48" s="65">
        <f t="shared" si="11"/>
        <v>425</v>
      </c>
      <c r="BW48" s="65">
        <f t="shared" si="11"/>
        <v>450</v>
      </c>
      <c r="BX48" s="66">
        <f t="shared" si="11"/>
        <v>475</v>
      </c>
      <c r="BY48" s="67">
        <f t="shared" si="11"/>
        <v>500</v>
      </c>
      <c r="BZ48" s="4">
        <f t="shared" si="11"/>
        <v>525</v>
      </c>
      <c r="CA48" s="4">
        <f t="shared" si="11"/>
        <v>550</v>
      </c>
      <c r="CB48" s="4">
        <f t="shared" si="11"/>
        <v>575</v>
      </c>
      <c r="CC48" s="4">
        <f t="shared" si="11"/>
        <v>600</v>
      </c>
      <c r="CD48" s="4">
        <f t="shared" si="11"/>
        <v>625</v>
      </c>
      <c r="CE48" s="4">
        <f t="shared" si="11"/>
        <v>650</v>
      </c>
      <c r="CF48" s="4">
        <f t="shared" si="11"/>
        <v>675</v>
      </c>
      <c r="CG48" s="4">
        <f t="shared" si="11"/>
        <v>700</v>
      </c>
      <c r="CH48" s="4">
        <f t="shared" si="11"/>
        <v>725</v>
      </c>
      <c r="CI48" s="4">
        <f t="shared" si="11"/>
        <v>750</v>
      </c>
      <c r="CJ48" s="4">
        <f t="shared" si="11"/>
        <v>775</v>
      </c>
      <c r="CK48" s="5">
        <f t="shared" si="11"/>
        <v>800</v>
      </c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DW48" s="4"/>
    </row>
    <row r="49" ht="15.75" customHeight="1">
      <c r="A49" s="4"/>
      <c r="B49" s="57" t="s">
        <v>3</v>
      </c>
      <c r="C49" s="42"/>
      <c r="D49" s="42"/>
      <c r="E49" s="4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68" t="s">
        <v>35</v>
      </c>
      <c r="BE49" s="69"/>
      <c r="BF49" s="69">
        <f>1200-BF47</f>
        <v>1175</v>
      </c>
      <c r="BG49" s="69">
        <f t="shared" ref="BG49:CK49" si="12">1200-BG48</f>
        <v>1150</v>
      </c>
      <c r="BH49" s="69">
        <f t="shared" si="12"/>
        <v>1125</v>
      </c>
      <c r="BI49" s="69">
        <f t="shared" si="12"/>
        <v>1100</v>
      </c>
      <c r="BJ49" s="69">
        <f t="shared" si="12"/>
        <v>1075</v>
      </c>
      <c r="BK49" s="69">
        <f t="shared" si="12"/>
        <v>1050</v>
      </c>
      <c r="BL49" s="69">
        <f t="shared" si="12"/>
        <v>1025</v>
      </c>
      <c r="BM49" s="69">
        <f t="shared" si="12"/>
        <v>1000</v>
      </c>
      <c r="BN49" s="69">
        <f t="shared" si="12"/>
        <v>975</v>
      </c>
      <c r="BO49" s="69">
        <f t="shared" si="12"/>
        <v>950</v>
      </c>
      <c r="BP49" s="69">
        <f t="shared" si="12"/>
        <v>925</v>
      </c>
      <c r="BQ49" s="69">
        <f t="shared" si="12"/>
        <v>900</v>
      </c>
      <c r="BR49" s="69">
        <f t="shared" si="12"/>
        <v>875</v>
      </c>
      <c r="BS49" s="69">
        <f t="shared" si="12"/>
        <v>850</v>
      </c>
      <c r="BT49" s="69">
        <f t="shared" si="12"/>
        <v>825</v>
      </c>
      <c r="BU49" s="69">
        <f t="shared" si="12"/>
        <v>800</v>
      </c>
      <c r="BV49" s="69">
        <f t="shared" si="12"/>
        <v>775</v>
      </c>
      <c r="BW49" s="69">
        <f t="shared" si="12"/>
        <v>750</v>
      </c>
      <c r="BX49" s="70">
        <f t="shared" si="12"/>
        <v>725</v>
      </c>
      <c r="BY49" s="71">
        <f t="shared" si="12"/>
        <v>700</v>
      </c>
      <c r="BZ49" s="44">
        <f t="shared" si="12"/>
        <v>675</v>
      </c>
      <c r="CA49" s="44">
        <f t="shared" si="12"/>
        <v>650</v>
      </c>
      <c r="CB49" s="44">
        <f t="shared" si="12"/>
        <v>625</v>
      </c>
      <c r="CC49" s="44">
        <f t="shared" si="12"/>
        <v>600</v>
      </c>
      <c r="CD49" s="44">
        <f t="shared" si="12"/>
        <v>575</v>
      </c>
      <c r="CE49" s="44">
        <f t="shared" si="12"/>
        <v>550</v>
      </c>
      <c r="CF49" s="44">
        <f t="shared" si="12"/>
        <v>525</v>
      </c>
      <c r="CG49" s="44">
        <f t="shared" si="12"/>
        <v>500</v>
      </c>
      <c r="CH49" s="44">
        <f t="shared" si="12"/>
        <v>475</v>
      </c>
      <c r="CI49" s="44">
        <f t="shared" si="12"/>
        <v>450</v>
      </c>
      <c r="CJ49" s="44">
        <f t="shared" si="12"/>
        <v>425</v>
      </c>
      <c r="CK49" s="72">
        <f t="shared" si="12"/>
        <v>400</v>
      </c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DW49" s="4"/>
    </row>
    <row r="50" ht="15.75" customHeight="1">
      <c r="A50" s="4"/>
      <c r="B50" s="4" t="s">
        <v>36</v>
      </c>
      <c r="C50" s="42"/>
      <c r="D50" s="42"/>
      <c r="E50" s="4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6">
        <f t="shared" ref="BC50:BC52" si="13">0.6*AY6+AZ6+BA6+BB6+BC6</f>
        <v>3742788.54</v>
      </c>
      <c r="BD50" s="4"/>
      <c r="BE50" s="4"/>
      <c r="BF50" s="4"/>
      <c r="BG50" s="26">
        <f t="shared" ref="BG50:BG52" si="14">BD6+BE6+BF6+BG6</f>
        <v>1029021.18</v>
      </c>
      <c r="BH50" s="4"/>
      <c r="BI50" s="4"/>
      <c r="BJ50" s="4"/>
      <c r="BK50" s="26">
        <f t="shared" ref="BK50:BK52" si="15">BH6+BI6+BJ6+BK6+0.2*BL6</f>
        <v>1998192.86</v>
      </c>
      <c r="BL50" s="4"/>
      <c r="BM50" s="4"/>
      <c r="BN50" s="4"/>
      <c r="BO50" s="26">
        <f t="shared" ref="BO50:BO52" si="16">0.8*BL6+BM6+BN6+BO6+0.6*BP6</f>
        <v>3867521.042</v>
      </c>
      <c r="BP50" s="4"/>
      <c r="BQ50" s="4"/>
      <c r="BR50" s="4"/>
      <c r="BS50" s="4"/>
      <c r="BT50" s="26">
        <f t="shared" ref="BT50:BT52" si="17">0.4*BP6+BQ6+BR6+BS6+BT6</f>
        <v>2521347.938</v>
      </c>
      <c r="BU50" s="4"/>
      <c r="BV50" s="4"/>
      <c r="BW50" s="4"/>
      <c r="BX50" s="26">
        <f>BU6+BV6+BW6+BX6+0.2*BY6</f>
        <v>2233410.82</v>
      </c>
      <c r="BY50" s="4"/>
      <c r="BZ50" s="4"/>
      <c r="CA50" s="4"/>
      <c r="CB50" s="26">
        <f t="shared" ref="CB50:CB52" si="18">0.8*BY6+BZ6+CA6+CB6+0.8*CC6</f>
        <v>2853500.294</v>
      </c>
      <c r="CC50" s="4"/>
      <c r="CD50" s="4"/>
      <c r="CE50" s="4"/>
      <c r="CF50" s="4"/>
      <c r="CG50" s="26">
        <f>0.2*CC6+CD6+CF6+CE6+CG6</f>
        <v>2668378.546</v>
      </c>
      <c r="CH50" s="4"/>
      <c r="CI50" s="4"/>
      <c r="CJ50" s="4"/>
      <c r="CK50" s="26">
        <f t="shared" ref="CK50:CK52" si="19">CH6+CI6+CJ6+CK6+0.4*CL6</f>
        <v>2553424.882</v>
      </c>
      <c r="CL50" s="4"/>
      <c r="CM50" s="4"/>
      <c r="CN50" s="4"/>
      <c r="CO50" s="4"/>
      <c r="CP50" s="26">
        <f t="shared" ref="CP50:CP52" si="20">0.6*CL6+CM6+CN6+CO6+CP6</f>
        <v>4217621.528</v>
      </c>
      <c r="CQ50" s="4"/>
      <c r="CR50" s="4"/>
      <c r="CS50" s="4"/>
      <c r="CT50" s="73">
        <f t="shared" ref="CT50:CT52" si="21">CQ6+CR6+CS6+CT6</f>
        <v>3677818.47</v>
      </c>
      <c r="CU50" s="4"/>
      <c r="CV50" s="4"/>
      <c r="CW50" s="4"/>
      <c r="CX50" s="73">
        <f t="shared" ref="CX50:CX52" si="22">CU6+CV6+CW6+CX6+0.6*CY6</f>
        <v>5073561.378</v>
      </c>
      <c r="CY50" s="4"/>
      <c r="DW50" s="4"/>
    </row>
    <row r="51" ht="15.75" customHeight="1">
      <c r="A51" s="4"/>
      <c r="B51" s="4" t="s">
        <v>37</v>
      </c>
      <c r="C51" s="42"/>
      <c r="D51" s="42"/>
      <c r="E51" s="4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6">
        <f t="shared" si="13"/>
        <v>0</v>
      </c>
      <c r="BD51" s="4"/>
      <c r="BE51" s="4"/>
      <c r="BF51" s="4"/>
      <c r="BG51" s="26">
        <f t="shared" si="14"/>
        <v>0</v>
      </c>
      <c r="BH51" s="4"/>
      <c r="BI51" s="4"/>
      <c r="BJ51" s="4"/>
      <c r="BK51" s="26">
        <f t="shared" si="15"/>
        <v>0</v>
      </c>
      <c r="BL51" s="4"/>
      <c r="BM51" s="4"/>
      <c r="BN51" s="4"/>
      <c r="BO51" s="26">
        <f t="shared" si="16"/>
        <v>0</v>
      </c>
      <c r="BP51" s="4"/>
      <c r="BQ51" s="4"/>
      <c r="BR51" s="4"/>
      <c r="BS51" s="4"/>
      <c r="BT51" s="26">
        <f t="shared" si="17"/>
        <v>0</v>
      </c>
      <c r="BU51" s="4"/>
      <c r="BV51" s="4"/>
      <c r="BW51" s="4"/>
      <c r="BX51" s="4"/>
      <c r="BY51" s="4"/>
      <c r="BZ51" s="4"/>
      <c r="CA51" s="4"/>
      <c r="CB51" s="26">
        <f t="shared" si="18"/>
        <v>0</v>
      </c>
      <c r="CC51" s="4"/>
      <c r="CD51" s="4"/>
      <c r="CE51" s="4"/>
      <c r="CF51" s="4"/>
      <c r="CG51" s="26">
        <f t="shared" ref="CG51:CG52" si="23">0.2*CC7+CD7+CF7+CE7+CG7+0.4*CH7</f>
        <v>0</v>
      </c>
      <c r="CH51" s="4"/>
      <c r="CI51" s="4"/>
      <c r="CJ51" s="4"/>
      <c r="CK51" s="26">
        <f t="shared" si="19"/>
        <v>0</v>
      </c>
      <c r="CL51" s="4"/>
      <c r="CM51" s="4"/>
      <c r="CN51" s="4"/>
      <c r="CO51" s="4"/>
      <c r="CP51" s="26">
        <f t="shared" si="20"/>
        <v>0</v>
      </c>
      <c r="CQ51" s="4"/>
      <c r="CR51" s="4"/>
      <c r="CS51" s="4"/>
      <c r="CT51" s="73">
        <f t="shared" si="21"/>
        <v>0</v>
      </c>
      <c r="CU51" s="4"/>
      <c r="CV51" s="4"/>
      <c r="CW51" s="4"/>
      <c r="CX51" s="73">
        <f t="shared" si="22"/>
        <v>0</v>
      </c>
      <c r="CY51" s="4"/>
      <c r="DW51" s="4"/>
    </row>
    <row r="52" ht="15.75" customHeight="1">
      <c r="A52" s="4"/>
      <c r="B52" s="4" t="s">
        <v>6</v>
      </c>
      <c r="C52" s="42"/>
      <c r="D52" s="42"/>
      <c r="E52" s="4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52">
        <f t="shared" si="13"/>
        <v>0</v>
      </c>
      <c r="BD52" s="4"/>
      <c r="BE52" s="4"/>
      <c r="BF52" s="4"/>
      <c r="BG52" s="52">
        <f t="shared" si="14"/>
        <v>600000</v>
      </c>
      <c r="BH52" s="4"/>
      <c r="BI52" s="4"/>
      <c r="BJ52" s="4"/>
      <c r="BK52" s="52">
        <f t="shared" si="15"/>
        <v>800000</v>
      </c>
      <c r="BL52" s="4"/>
      <c r="BM52" s="4"/>
      <c r="BN52" s="4"/>
      <c r="BO52" s="52">
        <f t="shared" si="16"/>
        <v>0</v>
      </c>
      <c r="BP52" s="4"/>
      <c r="BQ52" s="4"/>
      <c r="BR52" s="4"/>
      <c r="BS52" s="4"/>
      <c r="BT52" s="52">
        <f t="shared" si="17"/>
        <v>0</v>
      </c>
      <c r="BU52" s="4"/>
      <c r="BV52" s="4"/>
      <c r="BW52" s="4"/>
      <c r="BX52" s="52">
        <f>BU8+BV8+BW8+BX8+0.2*BY8</f>
        <v>2700000</v>
      </c>
      <c r="BY52" s="4"/>
      <c r="BZ52" s="4"/>
      <c r="CA52" s="4"/>
      <c r="CB52" s="52">
        <f t="shared" si="18"/>
        <v>300000</v>
      </c>
      <c r="CC52" s="4"/>
      <c r="CD52" s="4"/>
      <c r="CE52" s="4"/>
      <c r="CF52" s="4"/>
      <c r="CG52" s="52">
        <f t="shared" si="23"/>
        <v>18094708.55</v>
      </c>
      <c r="CH52" s="4"/>
      <c r="CI52" s="4"/>
      <c r="CJ52" s="4"/>
      <c r="CK52" s="52">
        <f t="shared" si="19"/>
        <v>0</v>
      </c>
      <c r="CL52" s="4"/>
      <c r="CM52" s="4"/>
      <c r="CN52" s="4"/>
      <c r="CO52" s="4"/>
      <c r="CP52" s="52">
        <f t="shared" si="20"/>
        <v>0</v>
      </c>
      <c r="CQ52" s="4"/>
      <c r="CR52" s="4"/>
      <c r="CS52" s="4"/>
      <c r="CT52" s="74">
        <f t="shared" si="21"/>
        <v>418107</v>
      </c>
      <c r="CU52" s="4"/>
      <c r="CV52" s="4"/>
      <c r="CW52" s="4"/>
      <c r="CX52" s="74">
        <f t="shared" si="22"/>
        <v>0</v>
      </c>
      <c r="CY52" s="4"/>
      <c r="DW52" s="4"/>
    </row>
    <row r="53" ht="15.75" customHeight="1">
      <c r="A53" s="4"/>
      <c r="B53" s="75" t="s">
        <v>38</v>
      </c>
      <c r="C53" s="42"/>
      <c r="D53" s="42"/>
      <c r="E53" s="4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6">
        <f>BC50+BC51+BC52</f>
        <v>3742788.54</v>
      </c>
      <c r="BD53" s="4"/>
      <c r="BE53" s="4"/>
      <c r="BF53" s="4"/>
      <c r="BG53" s="26">
        <f>BG50+BG51+BG52</f>
        <v>1629021.18</v>
      </c>
      <c r="BH53" s="4"/>
      <c r="BI53" s="4"/>
      <c r="BJ53" s="4"/>
      <c r="BK53" s="26">
        <f>BK50+BK51+BK52</f>
        <v>2798192.86</v>
      </c>
      <c r="BL53" s="4"/>
      <c r="BM53" s="4"/>
      <c r="BN53" s="4"/>
      <c r="BO53" s="26">
        <f>BO50+BO51+BO52</f>
        <v>3867521.042</v>
      </c>
      <c r="BP53" s="4"/>
      <c r="BQ53" s="4"/>
      <c r="BR53" s="4"/>
      <c r="BS53" s="4"/>
      <c r="BT53" s="26">
        <f>BT50+BT51+BT52</f>
        <v>2521347.938</v>
      </c>
      <c r="BU53" s="4"/>
      <c r="BV53" s="4"/>
      <c r="BW53" s="4"/>
      <c r="BX53" s="26">
        <f>BX51+BX50+BX52</f>
        <v>4933410.82</v>
      </c>
      <c r="BY53" s="4"/>
      <c r="BZ53" s="4"/>
      <c r="CA53" s="4"/>
      <c r="CB53" s="26">
        <f>CB50+CB51+CB52</f>
        <v>3153500.294</v>
      </c>
      <c r="CC53" s="4"/>
      <c r="CD53" s="4"/>
      <c r="CE53" s="4"/>
      <c r="CF53" s="4"/>
      <c r="CG53" s="26">
        <f>CG50+CG51+CG52</f>
        <v>20763087.1</v>
      </c>
      <c r="CH53" s="4"/>
      <c r="CI53" s="4"/>
      <c r="CJ53" s="4"/>
      <c r="CK53" s="26">
        <f>CK50+CK51+CK52</f>
        <v>2553424.882</v>
      </c>
      <c r="CL53" s="4"/>
      <c r="CM53" s="4"/>
      <c r="CN53" s="4"/>
      <c r="CO53" s="4"/>
      <c r="CP53" s="26">
        <f>CP50+CP51+CP52</f>
        <v>4217621.528</v>
      </c>
      <c r="CQ53" s="4"/>
      <c r="CR53" s="4"/>
      <c r="CS53" s="4"/>
      <c r="CT53" s="26">
        <f>CT50+CT51+CT52</f>
        <v>4095925.47</v>
      </c>
      <c r="CU53" s="4"/>
      <c r="CV53" s="4"/>
      <c r="CW53" s="4"/>
      <c r="CX53" s="26">
        <f>CX50+CX51+CX52</f>
        <v>5073561.378</v>
      </c>
      <c r="CY53" s="4"/>
      <c r="DW53" s="4"/>
    </row>
    <row r="54" ht="15.75" customHeight="1">
      <c r="A54" s="4"/>
      <c r="B54" s="4"/>
      <c r="C54" s="42"/>
      <c r="D54" s="42"/>
      <c r="E54" s="4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DW54" s="4"/>
    </row>
    <row r="55" ht="15.75" customHeight="1">
      <c r="A55" s="4"/>
      <c r="B55" s="4"/>
      <c r="C55" s="42"/>
      <c r="D55" s="42"/>
      <c r="E55" s="4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DW55" s="4"/>
    </row>
    <row r="56" ht="15.75" customHeight="1">
      <c r="A56" s="4"/>
      <c r="B56" s="4"/>
      <c r="C56" s="42"/>
      <c r="D56" s="42"/>
      <c r="E56" s="4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DW56" s="4"/>
    </row>
    <row r="57" ht="15.75" customHeight="1">
      <c r="A57" s="4"/>
      <c r="B57" s="4"/>
      <c r="C57" s="42"/>
      <c r="D57" s="42"/>
      <c r="E57" s="4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DW57" s="4"/>
    </row>
    <row r="58" ht="15.75" customHeight="1">
      <c r="A58" s="4"/>
      <c r="B58" s="4"/>
      <c r="C58" s="42"/>
      <c r="D58" s="42"/>
      <c r="E58" s="4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4">
        <f>BC41+BC53</f>
        <v>-333733.7</v>
      </c>
      <c r="BD58" s="4"/>
      <c r="BE58" s="4"/>
      <c r="BF58" s="4"/>
      <c r="BG58" s="14">
        <f>BG41+BG53</f>
        <v>-893520.55</v>
      </c>
      <c r="BH58" s="4"/>
      <c r="BI58" s="4"/>
      <c r="BJ58" s="4"/>
      <c r="BK58" s="14">
        <f>BK41+BK53</f>
        <v>246481.92</v>
      </c>
      <c r="BL58" s="4"/>
      <c r="BM58" s="4"/>
      <c r="BN58" s="4"/>
      <c r="BO58" s="14">
        <f>BO41+BO53</f>
        <v>1078041.552</v>
      </c>
      <c r="BP58" s="4"/>
      <c r="BQ58" s="4"/>
      <c r="BR58" s="4"/>
      <c r="BS58" s="4"/>
      <c r="BT58" s="14">
        <f>BT41+BT53</f>
        <v>-1246692.152</v>
      </c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DW58" s="4"/>
    </row>
    <row r="59" ht="15.75" customHeight="1">
      <c r="A59" s="4"/>
      <c r="B59" s="4"/>
      <c r="C59" s="42"/>
      <c r="D59" s="42"/>
      <c r="E59" s="4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DW59" s="4"/>
    </row>
    <row r="60" ht="15.75" customHeight="1">
      <c r="A60" s="4"/>
      <c r="B60" s="4"/>
      <c r="C60" s="42"/>
      <c r="D60" s="42"/>
      <c r="E60" s="4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DW60" s="4"/>
    </row>
    <row r="61" ht="15.75" customHeight="1">
      <c r="A61" s="4"/>
      <c r="B61" s="4"/>
      <c r="C61" s="42"/>
      <c r="D61" s="42"/>
      <c r="E61" s="4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DW61" s="4"/>
    </row>
    <row r="62" ht="15.75" customHeight="1">
      <c r="A62" s="4"/>
      <c r="B62" s="4"/>
      <c r="C62" s="42"/>
      <c r="D62" s="42"/>
      <c r="E62" s="4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DW62" s="4"/>
    </row>
    <row r="63" ht="15.75" customHeight="1">
      <c r="A63" s="4"/>
      <c r="B63" s="4"/>
      <c r="C63" s="42"/>
      <c r="D63" s="42"/>
      <c r="E63" s="4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DW63" s="4"/>
    </row>
    <row r="64" ht="15.75" customHeight="1">
      <c r="A64" s="4"/>
      <c r="B64" s="4"/>
      <c r="C64" s="42"/>
      <c r="D64" s="42"/>
      <c r="E64" s="4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DW64" s="4"/>
    </row>
    <row r="65" ht="15.75" customHeight="1">
      <c r="A65" s="4"/>
      <c r="B65" s="4"/>
      <c r="C65" s="42"/>
      <c r="D65" s="42"/>
      <c r="E65" s="4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DW65" s="4"/>
    </row>
    <row r="66" ht="15.75" customHeight="1">
      <c r="A66" s="4"/>
      <c r="B66" s="4"/>
      <c r="C66" s="42"/>
      <c r="D66" s="42"/>
      <c r="E66" s="4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DW66" s="4"/>
    </row>
    <row r="67" ht="15.75" customHeight="1">
      <c r="A67" s="4"/>
      <c r="B67" s="4"/>
      <c r="C67" s="42"/>
      <c r="D67" s="42"/>
      <c r="E67" s="4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DW67" s="4"/>
    </row>
    <row r="68" ht="15.75" customHeight="1">
      <c r="A68" s="4"/>
      <c r="B68" s="4"/>
      <c r="C68" s="42"/>
      <c r="D68" s="42"/>
      <c r="E68" s="4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DW68" s="4"/>
    </row>
    <row r="69" ht="15.75" customHeight="1">
      <c r="A69" s="4"/>
      <c r="B69" s="4"/>
      <c r="C69" s="42"/>
      <c r="D69" s="42"/>
      <c r="E69" s="4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DW69" s="4"/>
    </row>
    <row r="70" ht="15.75" customHeight="1">
      <c r="A70" s="4"/>
      <c r="B70" s="4"/>
      <c r="C70" s="42"/>
      <c r="D70" s="42"/>
      <c r="E70" s="4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DW70" s="4"/>
    </row>
    <row r="71" ht="15.75" customHeight="1">
      <c r="A71" s="4"/>
      <c r="B71" s="4"/>
      <c r="C71" s="42"/>
      <c r="D71" s="42"/>
      <c r="E71" s="4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DW71" s="4"/>
    </row>
    <row r="72" ht="15.75" customHeight="1">
      <c r="A72" s="4"/>
      <c r="B72" s="4"/>
      <c r="C72" s="42"/>
      <c r="D72" s="42"/>
      <c r="E72" s="4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DW72" s="4"/>
    </row>
    <row r="73" ht="15.75" customHeight="1">
      <c r="A73" s="4"/>
      <c r="B73" s="4"/>
      <c r="C73" s="42"/>
      <c r="D73" s="42"/>
      <c r="E73" s="4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DW73" s="4"/>
    </row>
    <row r="74" ht="15.75" customHeight="1">
      <c r="A74" s="4"/>
      <c r="B74" s="4"/>
      <c r="C74" s="42"/>
      <c r="D74" s="42"/>
      <c r="E74" s="4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DW74" s="4"/>
    </row>
    <row r="75" ht="15.75" customHeight="1">
      <c r="A75" s="4"/>
      <c r="B75" s="4"/>
      <c r="C75" s="42"/>
      <c r="D75" s="42"/>
      <c r="E75" s="4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DW75" s="4"/>
    </row>
    <row r="76" ht="15.75" customHeight="1">
      <c r="A76" s="4"/>
      <c r="B76" s="4"/>
      <c r="C76" s="42"/>
      <c r="D76" s="42"/>
      <c r="E76" s="4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DW76" s="4"/>
    </row>
    <row r="77" ht="15.75" customHeight="1">
      <c r="A77" s="4"/>
      <c r="B77" s="4"/>
      <c r="C77" s="42"/>
      <c r="D77" s="42"/>
      <c r="E77" s="4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DW77" s="4"/>
    </row>
    <row r="78" ht="15.75" customHeight="1">
      <c r="A78" s="4"/>
      <c r="B78" s="4"/>
      <c r="C78" s="42"/>
      <c r="D78" s="42"/>
      <c r="E78" s="4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DW78" s="4"/>
    </row>
    <row r="79" ht="15.75" customHeight="1">
      <c r="A79" s="4"/>
      <c r="B79" s="4"/>
      <c r="C79" s="42"/>
      <c r="D79" s="42"/>
      <c r="E79" s="4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DW79" s="4"/>
    </row>
    <row r="80" ht="15.75" customHeight="1">
      <c r="A80" s="4"/>
      <c r="B80" s="4"/>
      <c r="C80" s="42"/>
      <c r="D80" s="42"/>
      <c r="E80" s="4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DW80" s="4"/>
    </row>
    <row r="81" ht="15.75" customHeight="1">
      <c r="A81" s="4"/>
      <c r="B81" s="4"/>
      <c r="C81" s="42"/>
      <c r="D81" s="42"/>
      <c r="E81" s="4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DW81" s="4"/>
    </row>
    <row r="82" ht="15.75" customHeight="1">
      <c r="A82" s="4"/>
      <c r="B82" s="4"/>
      <c r="C82" s="42"/>
      <c r="D82" s="42"/>
      <c r="E82" s="4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DW82" s="4"/>
    </row>
    <row r="83" ht="15.75" customHeight="1">
      <c r="A83" s="4"/>
      <c r="B83" s="4"/>
      <c r="C83" s="42"/>
      <c r="D83" s="42"/>
      <c r="E83" s="4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DW83" s="4"/>
    </row>
    <row r="84" ht="15.75" customHeight="1">
      <c r="A84" s="4"/>
      <c r="B84" s="4"/>
      <c r="C84" s="42"/>
      <c r="D84" s="42"/>
      <c r="E84" s="4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DW84" s="4"/>
    </row>
    <row r="85" ht="15.75" customHeight="1">
      <c r="A85" s="4"/>
      <c r="B85" s="4"/>
      <c r="C85" s="42"/>
      <c r="D85" s="42"/>
      <c r="E85" s="4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DW85" s="4"/>
    </row>
    <row r="86" ht="15.75" customHeight="1">
      <c r="A86" s="4"/>
      <c r="B86" s="4"/>
      <c r="C86" s="42"/>
      <c r="D86" s="42"/>
      <c r="E86" s="4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DW86" s="4"/>
    </row>
    <row r="87" ht="15.75" customHeight="1">
      <c r="A87" s="4"/>
      <c r="B87" s="4"/>
      <c r="C87" s="42"/>
      <c r="D87" s="42"/>
      <c r="E87" s="4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DW87" s="4"/>
    </row>
    <row r="88" ht="15.75" customHeight="1">
      <c r="A88" s="4"/>
      <c r="B88" s="4"/>
      <c r="C88" s="42"/>
      <c r="D88" s="42"/>
      <c r="E88" s="4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DW88" s="4"/>
    </row>
    <row r="89" ht="15.75" customHeight="1">
      <c r="A89" s="4"/>
      <c r="B89" s="4"/>
      <c r="C89" s="42"/>
      <c r="D89" s="42"/>
      <c r="E89" s="4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DW89" s="4"/>
    </row>
    <row r="90" ht="15.75" customHeight="1">
      <c r="A90" s="4"/>
      <c r="B90" s="4"/>
      <c r="C90" s="42"/>
      <c r="D90" s="42"/>
      <c r="E90" s="4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DW90" s="4"/>
    </row>
    <row r="91" ht="15.75" customHeight="1">
      <c r="A91" s="4"/>
      <c r="B91" s="4"/>
      <c r="C91" s="42"/>
      <c r="D91" s="42"/>
      <c r="E91" s="4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DW91" s="4"/>
    </row>
    <row r="92" ht="15.75" customHeight="1">
      <c r="A92" s="4"/>
      <c r="B92" s="4"/>
      <c r="C92" s="42"/>
      <c r="D92" s="42"/>
      <c r="E92" s="4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DW92" s="4"/>
    </row>
    <row r="93" ht="15.75" customHeight="1">
      <c r="A93" s="4"/>
      <c r="B93" s="4"/>
      <c r="C93" s="42"/>
      <c r="D93" s="42"/>
      <c r="E93" s="4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DW93" s="4"/>
    </row>
    <row r="94" ht="15.75" customHeight="1">
      <c r="A94" s="4"/>
      <c r="B94" s="4"/>
      <c r="C94" s="42"/>
      <c r="D94" s="42"/>
      <c r="E94" s="4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DW94" s="4"/>
    </row>
    <row r="95" ht="15.75" customHeight="1">
      <c r="A95" s="4"/>
      <c r="B95" s="4"/>
      <c r="C95" s="42"/>
      <c r="D95" s="42"/>
      <c r="E95" s="4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DW95" s="4"/>
    </row>
    <row r="96" ht="15.75" customHeight="1">
      <c r="A96" s="4"/>
      <c r="B96" s="4"/>
      <c r="C96" s="42"/>
      <c r="D96" s="42"/>
      <c r="E96" s="4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DW96" s="4"/>
    </row>
    <row r="97" ht="15.75" customHeight="1">
      <c r="A97" s="4"/>
      <c r="B97" s="4"/>
      <c r="C97" s="42"/>
      <c r="D97" s="42"/>
      <c r="E97" s="4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DW97" s="4"/>
    </row>
    <row r="98" ht="15.75" customHeight="1">
      <c r="A98" s="4"/>
      <c r="B98" s="4"/>
      <c r="C98" s="42"/>
      <c r="D98" s="42"/>
      <c r="E98" s="4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DW98" s="4"/>
    </row>
    <row r="99" ht="15.75" customHeight="1">
      <c r="A99" s="4"/>
      <c r="B99" s="4"/>
      <c r="C99" s="42"/>
      <c r="D99" s="42"/>
      <c r="E99" s="4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DW99" s="4"/>
    </row>
    <row r="100" ht="15.75" customHeight="1">
      <c r="A100" s="4"/>
      <c r="B100" s="4"/>
      <c r="C100" s="42"/>
      <c r="D100" s="42"/>
      <c r="E100" s="42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DW100" s="4"/>
    </row>
    <row r="101" ht="15.75" customHeight="1">
      <c r="A101" s="4"/>
      <c r="B101" s="4"/>
      <c r="C101" s="42"/>
      <c r="D101" s="42"/>
      <c r="E101" s="4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DW101" s="4"/>
    </row>
    <row r="102" ht="15.75" customHeight="1">
      <c r="A102" s="4"/>
      <c r="B102" s="4"/>
      <c r="C102" s="42"/>
      <c r="D102" s="42"/>
      <c r="E102" s="4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DW102" s="4"/>
    </row>
    <row r="103" ht="15.75" customHeight="1">
      <c r="A103" s="4"/>
      <c r="B103" s="4"/>
      <c r="C103" s="42"/>
      <c r="D103" s="42"/>
      <c r="E103" s="4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DW103" s="4"/>
    </row>
    <row r="104" ht="15.75" customHeight="1">
      <c r="A104" s="4"/>
      <c r="B104" s="4"/>
      <c r="C104" s="42"/>
      <c r="D104" s="42"/>
      <c r="E104" s="4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DW104" s="4"/>
    </row>
    <row r="105" ht="15.75" customHeight="1">
      <c r="A105" s="4"/>
      <c r="B105" s="4"/>
      <c r="C105" s="42"/>
      <c r="D105" s="42"/>
      <c r="E105" s="4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DW105" s="4"/>
    </row>
    <row r="106" ht="15.75" customHeight="1">
      <c r="A106" s="4"/>
      <c r="B106" s="4"/>
      <c r="C106" s="42"/>
      <c r="D106" s="42"/>
      <c r="E106" s="42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DW106" s="4"/>
    </row>
    <row r="107" ht="15.75" customHeight="1">
      <c r="A107" s="4"/>
      <c r="B107" s="4"/>
      <c r="C107" s="42"/>
      <c r="D107" s="42"/>
      <c r="E107" s="4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DW107" s="4"/>
    </row>
    <row r="108" ht="15.75" customHeight="1">
      <c r="A108" s="4"/>
      <c r="B108" s="4"/>
      <c r="C108" s="42"/>
      <c r="D108" s="42"/>
      <c r="E108" s="42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DW108" s="4"/>
    </row>
    <row r="109" ht="15.75" customHeight="1">
      <c r="A109" s="4"/>
      <c r="B109" s="4"/>
      <c r="C109" s="42"/>
      <c r="D109" s="42"/>
      <c r="E109" s="4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DW109" s="4"/>
    </row>
    <row r="110" ht="15.75" customHeight="1">
      <c r="A110" s="4"/>
      <c r="B110" s="4"/>
      <c r="C110" s="42"/>
      <c r="D110" s="42"/>
      <c r="E110" s="4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DW110" s="4"/>
    </row>
    <row r="111" ht="15.75" customHeight="1">
      <c r="A111" s="4"/>
      <c r="B111" s="4"/>
      <c r="C111" s="42"/>
      <c r="D111" s="42"/>
      <c r="E111" s="4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DW111" s="4"/>
    </row>
    <row r="112" ht="15.75" customHeight="1">
      <c r="A112" s="4"/>
      <c r="B112" s="4"/>
      <c r="C112" s="42"/>
      <c r="D112" s="42"/>
      <c r="E112" s="42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DW112" s="4"/>
    </row>
    <row r="113" ht="15.75" customHeight="1">
      <c r="A113" s="4"/>
      <c r="B113" s="4"/>
      <c r="C113" s="42"/>
      <c r="D113" s="42"/>
      <c r="E113" s="4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DW113" s="4"/>
    </row>
    <row r="114" ht="15.75" customHeight="1">
      <c r="A114" s="4"/>
      <c r="B114" s="4"/>
      <c r="C114" s="42"/>
      <c r="D114" s="42"/>
      <c r="E114" s="4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DW114" s="4"/>
    </row>
    <row r="115" ht="15.75" customHeight="1">
      <c r="A115" s="4"/>
      <c r="B115" s="4"/>
      <c r="C115" s="42"/>
      <c r="D115" s="42"/>
      <c r="E115" s="4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DW115" s="4"/>
    </row>
    <row r="116" ht="15.75" customHeight="1">
      <c r="A116" s="4"/>
      <c r="B116" s="4"/>
      <c r="C116" s="42"/>
      <c r="D116" s="42"/>
      <c r="E116" s="42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DW116" s="4"/>
    </row>
    <row r="117" ht="15.75" customHeight="1">
      <c r="A117" s="4"/>
      <c r="B117" s="4"/>
      <c r="C117" s="42"/>
      <c r="D117" s="42"/>
      <c r="E117" s="4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DW117" s="4"/>
    </row>
    <row r="118" ht="15.75" customHeight="1">
      <c r="A118" s="4"/>
      <c r="B118" s="4"/>
      <c r="C118" s="42"/>
      <c r="D118" s="42"/>
      <c r="E118" s="42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DW118" s="4"/>
    </row>
    <row r="119" ht="15.75" customHeight="1">
      <c r="A119" s="4"/>
      <c r="B119" s="4"/>
      <c r="C119" s="42"/>
      <c r="D119" s="42"/>
      <c r="E119" s="4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DW119" s="4"/>
    </row>
    <row r="120" ht="15.75" customHeight="1">
      <c r="A120" s="4"/>
      <c r="B120" s="4"/>
      <c r="C120" s="42"/>
      <c r="D120" s="42"/>
      <c r="E120" s="42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DW120" s="4"/>
    </row>
    <row r="121" ht="15.75" customHeight="1">
      <c r="A121" s="4"/>
      <c r="B121" s="4"/>
      <c r="C121" s="42"/>
      <c r="D121" s="42"/>
      <c r="E121" s="4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DW121" s="4"/>
    </row>
    <row r="122" ht="15.75" customHeight="1">
      <c r="A122" s="4"/>
      <c r="B122" s="4"/>
      <c r="C122" s="42"/>
      <c r="D122" s="42"/>
      <c r="E122" s="42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DW122" s="4"/>
    </row>
    <row r="123" ht="15.75" customHeight="1">
      <c r="A123" s="4"/>
      <c r="B123" s="4"/>
      <c r="C123" s="42"/>
      <c r="D123" s="42"/>
      <c r="E123" s="4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DW123" s="4"/>
    </row>
    <row r="124" ht="15.75" customHeight="1">
      <c r="A124" s="4"/>
      <c r="B124" s="4"/>
      <c r="C124" s="42"/>
      <c r="D124" s="42"/>
      <c r="E124" s="42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DW124" s="4"/>
    </row>
    <row r="125" ht="15.75" customHeight="1">
      <c r="A125" s="4"/>
      <c r="B125" s="4"/>
      <c r="C125" s="42"/>
      <c r="D125" s="42"/>
      <c r="E125" s="4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DW125" s="4"/>
    </row>
    <row r="126" ht="15.75" customHeight="1">
      <c r="A126" s="4"/>
      <c r="B126" s="4"/>
      <c r="C126" s="42"/>
      <c r="D126" s="42"/>
      <c r="E126" s="42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DW126" s="4"/>
    </row>
    <row r="127" ht="15.75" customHeight="1">
      <c r="A127" s="4"/>
      <c r="B127" s="4"/>
      <c r="C127" s="42"/>
      <c r="D127" s="42"/>
      <c r="E127" s="4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DW127" s="4"/>
    </row>
    <row r="128" ht="15.75" customHeight="1">
      <c r="A128" s="4"/>
      <c r="B128" s="4"/>
      <c r="C128" s="42"/>
      <c r="D128" s="42"/>
      <c r="E128" s="4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DW128" s="4"/>
    </row>
    <row r="129" ht="15.75" customHeight="1">
      <c r="A129" s="4"/>
      <c r="B129" s="4"/>
      <c r="C129" s="42"/>
      <c r="D129" s="42"/>
      <c r="E129" s="4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DW129" s="4"/>
    </row>
    <row r="130" ht="15.75" customHeight="1">
      <c r="A130" s="4"/>
      <c r="B130" s="4"/>
      <c r="C130" s="42"/>
      <c r="D130" s="42"/>
      <c r="E130" s="42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DW130" s="4"/>
    </row>
    <row r="131" ht="15.75" customHeight="1">
      <c r="A131" s="4"/>
      <c r="B131" s="4"/>
      <c r="C131" s="42"/>
      <c r="D131" s="42"/>
      <c r="E131" s="4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DW131" s="4"/>
    </row>
    <row r="132" ht="15.75" customHeight="1">
      <c r="A132" s="4"/>
      <c r="B132" s="4"/>
      <c r="C132" s="42"/>
      <c r="D132" s="42"/>
      <c r="E132" s="42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DW132" s="4"/>
    </row>
    <row r="133" ht="15.75" customHeight="1">
      <c r="A133" s="4"/>
      <c r="B133" s="4"/>
      <c r="C133" s="42"/>
      <c r="D133" s="42"/>
      <c r="E133" s="4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DW133" s="4"/>
    </row>
    <row r="134" ht="15.75" customHeight="1">
      <c r="A134" s="4"/>
      <c r="B134" s="4"/>
      <c r="C134" s="42"/>
      <c r="D134" s="42"/>
      <c r="E134" s="42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DW134" s="4"/>
    </row>
    <row r="135" ht="15.75" customHeight="1">
      <c r="A135" s="4"/>
      <c r="B135" s="4"/>
      <c r="C135" s="42"/>
      <c r="D135" s="42"/>
      <c r="E135" s="4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DW135" s="4"/>
    </row>
    <row r="136" ht="15.75" customHeight="1">
      <c r="A136" s="4"/>
      <c r="B136" s="4"/>
      <c r="C136" s="42"/>
      <c r="D136" s="42"/>
      <c r="E136" s="42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DW136" s="4"/>
    </row>
    <row r="137" ht="15.75" customHeight="1">
      <c r="A137" s="4"/>
      <c r="B137" s="4"/>
      <c r="C137" s="42"/>
      <c r="D137" s="42"/>
      <c r="E137" s="4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DW137" s="4"/>
    </row>
    <row r="138" ht="15.75" customHeight="1">
      <c r="A138" s="4"/>
      <c r="B138" s="4"/>
      <c r="C138" s="42"/>
      <c r="D138" s="42"/>
      <c r="E138" s="42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DW138" s="4"/>
    </row>
    <row r="139" ht="15.75" customHeight="1">
      <c r="A139" s="4"/>
      <c r="B139" s="4"/>
      <c r="C139" s="42"/>
      <c r="D139" s="42"/>
      <c r="E139" s="4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DW139" s="4"/>
    </row>
    <row r="140" ht="15.75" customHeight="1">
      <c r="A140" s="4"/>
      <c r="B140" s="4"/>
      <c r="C140" s="42"/>
      <c r="D140" s="42"/>
      <c r="E140" s="42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DW140" s="4"/>
    </row>
    <row r="141" ht="15.75" customHeight="1">
      <c r="A141" s="4"/>
      <c r="B141" s="4"/>
      <c r="C141" s="42"/>
      <c r="D141" s="42"/>
      <c r="E141" s="4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DW141" s="4"/>
    </row>
    <row r="142" ht="15.75" customHeight="1">
      <c r="A142" s="4"/>
      <c r="B142" s="4"/>
      <c r="C142" s="42"/>
      <c r="D142" s="42"/>
      <c r="E142" s="42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DW142" s="4"/>
    </row>
    <row r="143" ht="15.75" customHeight="1">
      <c r="A143" s="4"/>
      <c r="B143" s="4"/>
      <c r="C143" s="42"/>
      <c r="D143" s="42"/>
      <c r="E143" s="4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DW143" s="4"/>
    </row>
    <row r="144" ht="15.75" customHeight="1">
      <c r="A144" s="4"/>
      <c r="B144" s="4"/>
      <c r="C144" s="42"/>
      <c r="D144" s="42"/>
      <c r="E144" s="4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DW144" s="4"/>
    </row>
    <row r="145" ht="15.75" customHeight="1">
      <c r="A145" s="4"/>
      <c r="B145" s="4"/>
      <c r="C145" s="42"/>
      <c r="D145" s="42"/>
      <c r="E145" s="4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DW145" s="4"/>
    </row>
    <row r="146" ht="15.75" customHeight="1">
      <c r="A146" s="4"/>
      <c r="B146" s="4"/>
      <c r="C146" s="42"/>
      <c r="D146" s="42"/>
      <c r="E146" s="42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DW146" s="4"/>
    </row>
    <row r="147" ht="15.75" customHeight="1">
      <c r="A147" s="4"/>
      <c r="B147" s="4"/>
      <c r="C147" s="42"/>
      <c r="D147" s="42"/>
      <c r="E147" s="4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DW147" s="4"/>
    </row>
    <row r="148" ht="15.75" customHeight="1">
      <c r="A148" s="4"/>
      <c r="B148" s="4"/>
      <c r="C148" s="42"/>
      <c r="D148" s="42"/>
      <c r="E148" s="4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DW148" s="4"/>
    </row>
    <row r="149" ht="15.75" customHeight="1">
      <c r="A149" s="4"/>
      <c r="B149" s="4"/>
      <c r="C149" s="42"/>
      <c r="D149" s="42"/>
      <c r="E149" s="4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DW149" s="4"/>
    </row>
    <row r="150" ht="15.75" customHeight="1">
      <c r="A150" s="4"/>
      <c r="B150" s="4"/>
      <c r="C150" s="42"/>
      <c r="D150" s="42"/>
      <c r="E150" s="42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DW150" s="4"/>
    </row>
    <row r="151" ht="15.75" customHeight="1">
      <c r="A151" s="4"/>
      <c r="B151" s="4"/>
      <c r="C151" s="42"/>
      <c r="D151" s="42"/>
      <c r="E151" s="4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DW151" s="4"/>
    </row>
    <row r="152" ht="15.75" customHeight="1">
      <c r="A152" s="4"/>
      <c r="B152" s="4"/>
      <c r="C152" s="42"/>
      <c r="D152" s="42"/>
      <c r="E152" s="42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DW152" s="4"/>
    </row>
    <row r="153" ht="15.75" customHeight="1">
      <c r="A153" s="4"/>
      <c r="B153" s="4"/>
      <c r="C153" s="42"/>
      <c r="D153" s="42"/>
      <c r="E153" s="4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DW153" s="4"/>
    </row>
    <row r="154" ht="15.75" customHeight="1">
      <c r="A154" s="4"/>
      <c r="B154" s="4"/>
      <c r="C154" s="42"/>
      <c r="D154" s="42"/>
      <c r="E154" s="4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DW154" s="4"/>
    </row>
    <row r="155" ht="15.75" customHeight="1">
      <c r="A155" s="4"/>
      <c r="B155" s="4"/>
      <c r="C155" s="42"/>
      <c r="D155" s="42"/>
      <c r="E155" s="4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DW155" s="4"/>
    </row>
    <row r="156" ht="15.75" customHeight="1">
      <c r="A156" s="4"/>
      <c r="B156" s="4"/>
      <c r="C156" s="42"/>
      <c r="D156" s="42"/>
      <c r="E156" s="4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DW156" s="4"/>
    </row>
    <row r="157" ht="15.75" customHeight="1">
      <c r="A157" s="4"/>
      <c r="B157" s="4"/>
      <c r="C157" s="42"/>
      <c r="D157" s="42"/>
      <c r="E157" s="4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DW157" s="4"/>
    </row>
    <row r="158" ht="15.75" customHeight="1">
      <c r="A158" s="4"/>
      <c r="B158" s="4"/>
      <c r="C158" s="42"/>
      <c r="D158" s="42"/>
      <c r="E158" s="4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DW158" s="4"/>
    </row>
    <row r="159" ht="15.75" customHeight="1">
      <c r="A159" s="4"/>
      <c r="B159" s="4"/>
      <c r="C159" s="42"/>
      <c r="D159" s="42"/>
      <c r="E159" s="4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DW159" s="4"/>
    </row>
    <row r="160" ht="15.75" customHeight="1">
      <c r="A160" s="4"/>
      <c r="B160" s="4"/>
      <c r="C160" s="42"/>
      <c r="D160" s="42"/>
      <c r="E160" s="4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DW160" s="4"/>
    </row>
    <row r="161" ht="15.75" customHeight="1">
      <c r="A161" s="4"/>
      <c r="B161" s="4"/>
      <c r="C161" s="42"/>
      <c r="D161" s="42"/>
      <c r="E161" s="4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DW161" s="4"/>
    </row>
    <row r="162" ht="15.75" customHeight="1">
      <c r="A162" s="4"/>
      <c r="B162" s="4"/>
      <c r="C162" s="42"/>
      <c r="D162" s="42"/>
      <c r="E162" s="4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DW162" s="4"/>
    </row>
    <row r="163" ht="15.75" customHeight="1">
      <c r="A163" s="4"/>
      <c r="B163" s="4"/>
      <c r="C163" s="42"/>
      <c r="D163" s="42"/>
      <c r="E163" s="4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DW163" s="4"/>
    </row>
    <row r="164" ht="15.75" customHeight="1">
      <c r="A164" s="4"/>
      <c r="B164" s="4"/>
      <c r="C164" s="42"/>
      <c r="D164" s="42"/>
      <c r="E164" s="4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DW164" s="4"/>
    </row>
    <row r="165" ht="15.75" customHeight="1">
      <c r="A165" s="4"/>
      <c r="B165" s="4"/>
      <c r="C165" s="42"/>
      <c r="D165" s="42"/>
      <c r="E165" s="4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DW165" s="4"/>
    </row>
    <row r="166" ht="15.75" customHeight="1">
      <c r="A166" s="4"/>
      <c r="B166" s="4"/>
      <c r="C166" s="42"/>
      <c r="D166" s="42"/>
      <c r="E166" s="4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DW166" s="4"/>
    </row>
    <row r="167" ht="15.75" customHeight="1">
      <c r="A167" s="4"/>
      <c r="B167" s="4"/>
      <c r="C167" s="42"/>
      <c r="D167" s="42"/>
      <c r="E167" s="4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DW167" s="4"/>
    </row>
    <row r="168" ht="15.75" customHeight="1">
      <c r="A168" s="4"/>
      <c r="B168" s="4"/>
      <c r="C168" s="42"/>
      <c r="D168" s="42"/>
      <c r="E168" s="4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DW168" s="4"/>
    </row>
    <row r="169" ht="15.75" customHeight="1">
      <c r="A169" s="4"/>
      <c r="B169" s="4"/>
      <c r="C169" s="42"/>
      <c r="D169" s="42"/>
      <c r="E169" s="4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DW169" s="4"/>
    </row>
    <row r="170" ht="15.75" customHeight="1">
      <c r="A170" s="4"/>
      <c r="B170" s="4"/>
      <c r="C170" s="42"/>
      <c r="D170" s="42"/>
      <c r="E170" s="4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DW170" s="4"/>
    </row>
    <row r="171" ht="15.75" customHeight="1">
      <c r="A171" s="4"/>
      <c r="B171" s="4"/>
      <c r="C171" s="42"/>
      <c r="D171" s="42"/>
      <c r="E171" s="4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DW171" s="4"/>
    </row>
    <row r="172" ht="15.75" customHeight="1">
      <c r="A172" s="4"/>
      <c r="B172" s="4"/>
      <c r="C172" s="42"/>
      <c r="D172" s="42"/>
      <c r="E172" s="4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DW172" s="4"/>
    </row>
    <row r="173" ht="15.75" customHeight="1">
      <c r="A173" s="4"/>
      <c r="B173" s="4"/>
      <c r="C173" s="42"/>
      <c r="D173" s="42"/>
      <c r="E173" s="4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DW173" s="4"/>
    </row>
    <row r="174" ht="15.75" customHeight="1">
      <c r="A174" s="4"/>
      <c r="B174" s="4"/>
      <c r="C174" s="42"/>
      <c r="D174" s="42"/>
      <c r="E174" s="4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DW174" s="4"/>
    </row>
    <row r="175" ht="15.75" customHeight="1">
      <c r="A175" s="4"/>
      <c r="B175" s="4"/>
      <c r="C175" s="42"/>
      <c r="D175" s="42"/>
      <c r="E175" s="4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DW175" s="4"/>
    </row>
    <row r="176" ht="15.75" customHeight="1">
      <c r="A176" s="4"/>
      <c r="B176" s="4"/>
      <c r="C176" s="42"/>
      <c r="D176" s="42"/>
      <c r="E176" s="4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DW176" s="4"/>
    </row>
    <row r="177" ht="15.75" customHeight="1">
      <c r="A177" s="4"/>
      <c r="B177" s="4"/>
      <c r="C177" s="42"/>
      <c r="D177" s="42"/>
      <c r="E177" s="4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DW177" s="4"/>
    </row>
    <row r="178" ht="15.75" customHeight="1">
      <c r="A178" s="4"/>
      <c r="B178" s="4"/>
      <c r="C178" s="42"/>
      <c r="D178" s="42"/>
      <c r="E178" s="4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DW178" s="4"/>
    </row>
    <row r="179" ht="15.75" customHeight="1">
      <c r="A179" s="4"/>
      <c r="B179" s="4"/>
      <c r="C179" s="42"/>
      <c r="D179" s="42"/>
      <c r="E179" s="4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DW179" s="4"/>
    </row>
    <row r="180" ht="15.75" customHeight="1">
      <c r="A180" s="4"/>
      <c r="B180" s="4"/>
      <c r="C180" s="42"/>
      <c r="D180" s="42"/>
      <c r="E180" s="4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DW180" s="4"/>
    </row>
    <row r="181" ht="15.75" customHeight="1">
      <c r="A181" s="4"/>
      <c r="B181" s="4"/>
      <c r="C181" s="42"/>
      <c r="D181" s="42"/>
      <c r="E181" s="4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DW181" s="4"/>
    </row>
    <row r="182" ht="15.75" customHeight="1">
      <c r="A182" s="4"/>
      <c r="B182" s="4"/>
      <c r="C182" s="42"/>
      <c r="D182" s="42"/>
      <c r="E182" s="4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DW182" s="4"/>
    </row>
    <row r="183" ht="15.75" customHeight="1">
      <c r="A183" s="4"/>
      <c r="B183" s="4"/>
      <c r="C183" s="42"/>
      <c r="D183" s="42"/>
      <c r="E183" s="4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DW183" s="4"/>
    </row>
    <row r="184" ht="15.75" customHeight="1">
      <c r="A184" s="4"/>
      <c r="B184" s="4"/>
      <c r="C184" s="42"/>
      <c r="D184" s="42"/>
      <c r="E184" s="4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DW184" s="4"/>
    </row>
    <row r="185" ht="15.75" customHeight="1">
      <c r="A185" s="4"/>
      <c r="B185" s="4"/>
      <c r="C185" s="42"/>
      <c r="D185" s="42"/>
      <c r="E185" s="4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DW185" s="4"/>
    </row>
    <row r="186" ht="15.75" customHeight="1">
      <c r="A186" s="4"/>
      <c r="B186" s="4"/>
      <c r="C186" s="42"/>
      <c r="D186" s="42"/>
      <c r="E186" s="4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DW186" s="4"/>
    </row>
    <row r="187" ht="15.75" customHeight="1">
      <c r="A187" s="4"/>
      <c r="B187" s="4"/>
      <c r="C187" s="42"/>
      <c r="D187" s="42"/>
      <c r="E187" s="4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DW187" s="4"/>
    </row>
    <row r="188" ht="15.75" customHeight="1">
      <c r="A188" s="4"/>
      <c r="B188" s="4"/>
      <c r="C188" s="42"/>
      <c r="D188" s="42"/>
      <c r="E188" s="4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DW188" s="4"/>
    </row>
    <row r="189" ht="15.75" customHeight="1">
      <c r="A189" s="4"/>
      <c r="B189" s="4"/>
      <c r="C189" s="42"/>
      <c r="D189" s="42"/>
      <c r="E189" s="4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DW189" s="4"/>
    </row>
    <row r="190" ht="15.75" customHeight="1">
      <c r="A190" s="4"/>
      <c r="B190" s="4"/>
      <c r="C190" s="42"/>
      <c r="D190" s="42"/>
      <c r="E190" s="4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DW190" s="4"/>
    </row>
    <row r="191" ht="15.75" customHeight="1">
      <c r="A191" s="4"/>
      <c r="B191" s="4"/>
      <c r="C191" s="42"/>
      <c r="D191" s="42"/>
      <c r="E191" s="4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DW191" s="4"/>
    </row>
    <row r="192" ht="15.75" customHeight="1">
      <c r="A192" s="4"/>
      <c r="B192" s="4"/>
      <c r="C192" s="42"/>
      <c r="D192" s="42"/>
      <c r="E192" s="4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DW192" s="4"/>
    </row>
    <row r="193" ht="15.75" customHeight="1">
      <c r="A193" s="4"/>
      <c r="B193" s="4"/>
      <c r="C193" s="42"/>
      <c r="D193" s="42"/>
      <c r="E193" s="4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DW193" s="4"/>
    </row>
    <row r="194" ht="15.75" customHeight="1">
      <c r="A194" s="4"/>
      <c r="B194" s="4"/>
      <c r="C194" s="42"/>
      <c r="D194" s="42"/>
      <c r="E194" s="4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DW194" s="4"/>
    </row>
    <row r="195" ht="15.75" customHeight="1">
      <c r="A195" s="4"/>
      <c r="B195" s="4"/>
      <c r="C195" s="42"/>
      <c r="D195" s="42"/>
      <c r="E195" s="4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DW195" s="4"/>
    </row>
    <row r="196" ht="15.75" customHeight="1">
      <c r="A196" s="4"/>
      <c r="B196" s="4"/>
      <c r="C196" s="42"/>
      <c r="D196" s="42"/>
      <c r="E196" s="4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DW196" s="4"/>
    </row>
    <row r="197" ht="15.75" customHeight="1">
      <c r="A197" s="4"/>
      <c r="B197" s="4"/>
      <c r="C197" s="42"/>
      <c r="D197" s="42"/>
      <c r="E197" s="4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DW197" s="4"/>
    </row>
    <row r="198" ht="15.75" customHeight="1">
      <c r="A198" s="4"/>
      <c r="B198" s="4"/>
      <c r="C198" s="42"/>
      <c r="D198" s="42"/>
      <c r="E198" s="4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DW198" s="4"/>
    </row>
    <row r="199" ht="15.75" customHeight="1">
      <c r="A199" s="4"/>
      <c r="B199" s="4"/>
      <c r="C199" s="42"/>
      <c r="D199" s="42"/>
      <c r="E199" s="4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DW199" s="4"/>
    </row>
    <row r="200" ht="15.75" customHeight="1">
      <c r="A200" s="4"/>
      <c r="B200" s="4"/>
      <c r="C200" s="42"/>
      <c r="D200" s="42"/>
      <c r="E200" s="4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DW200" s="4"/>
    </row>
    <row r="201" ht="15.75" customHeight="1">
      <c r="A201" s="4"/>
      <c r="B201" s="4"/>
      <c r="C201" s="42"/>
      <c r="D201" s="42"/>
      <c r="E201" s="4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DW201" s="4"/>
    </row>
    <row r="202" ht="15.75" customHeight="1">
      <c r="A202" s="4"/>
      <c r="B202" s="4"/>
      <c r="C202" s="42"/>
      <c r="D202" s="42"/>
      <c r="E202" s="4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DW202" s="4"/>
    </row>
    <row r="203" ht="15.75" customHeight="1">
      <c r="A203" s="4"/>
      <c r="B203" s="4"/>
      <c r="C203" s="42"/>
      <c r="D203" s="42"/>
      <c r="E203" s="4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DW203" s="4"/>
    </row>
    <row r="204" ht="15.75" customHeight="1">
      <c r="A204" s="4"/>
      <c r="B204" s="4"/>
      <c r="C204" s="42"/>
      <c r="D204" s="42"/>
      <c r="E204" s="4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DW204" s="4"/>
    </row>
    <row r="205" ht="15.75" customHeight="1">
      <c r="A205" s="4"/>
      <c r="B205" s="4"/>
      <c r="C205" s="42"/>
      <c r="D205" s="42"/>
      <c r="E205" s="4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DW205" s="4"/>
    </row>
    <row r="206" ht="15.75" customHeight="1">
      <c r="A206" s="4"/>
      <c r="B206" s="4"/>
      <c r="C206" s="42"/>
      <c r="D206" s="42"/>
      <c r="E206" s="4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DW206" s="4"/>
    </row>
    <row r="207" ht="15.75" customHeight="1">
      <c r="A207" s="4"/>
      <c r="B207" s="4"/>
      <c r="C207" s="42"/>
      <c r="D207" s="42"/>
      <c r="E207" s="4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DW207" s="4"/>
    </row>
    <row r="208" ht="15.75" customHeight="1">
      <c r="A208" s="4"/>
      <c r="B208" s="4"/>
      <c r="C208" s="42"/>
      <c r="D208" s="42"/>
      <c r="E208" s="4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DW208" s="4"/>
    </row>
    <row r="209" ht="15.75" customHeight="1">
      <c r="A209" s="4"/>
      <c r="B209" s="4"/>
      <c r="C209" s="42"/>
      <c r="D209" s="42"/>
      <c r="E209" s="4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DW209" s="4"/>
    </row>
    <row r="210" ht="15.75" customHeight="1">
      <c r="A210" s="4"/>
      <c r="B210" s="4"/>
      <c r="C210" s="42"/>
      <c r="D210" s="42"/>
      <c r="E210" s="4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DW210" s="4"/>
    </row>
    <row r="211" ht="15.75" customHeight="1">
      <c r="A211" s="4"/>
      <c r="B211" s="4"/>
      <c r="C211" s="42"/>
      <c r="D211" s="42"/>
      <c r="E211" s="4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DW211" s="4"/>
    </row>
    <row r="212" ht="15.75" customHeight="1">
      <c r="A212" s="4"/>
      <c r="B212" s="4"/>
      <c r="C212" s="42"/>
      <c r="D212" s="42"/>
      <c r="E212" s="4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DW212" s="4"/>
    </row>
    <row r="213" ht="15.75" customHeight="1">
      <c r="A213" s="4"/>
      <c r="B213" s="4"/>
      <c r="C213" s="42"/>
      <c r="D213" s="42"/>
      <c r="E213" s="4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DW213" s="4"/>
    </row>
    <row r="214" ht="15.75" customHeight="1">
      <c r="A214" s="4"/>
      <c r="B214" s="4"/>
      <c r="C214" s="42"/>
      <c r="D214" s="42"/>
      <c r="E214" s="4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DW214" s="4"/>
    </row>
    <row r="215" ht="15.75" customHeight="1">
      <c r="A215" s="4"/>
      <c r="B215" s="4"/>
      <c r="C215" s="42"/>
      <c r="D215" s="42"/>
      <c r="E215" s="4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DW215" s="4"/>
    </row>
    <row r="216" ht="15.75" customHeight="1">
      <c r="A216" s="4"/>
      <c r="B216" s="4"/>
      <c r="C216" s="42"/>
      <c r="D216" s="42"/>
      <c r="E216" s="4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DW216" s="4"/>
    </row>
    <row r="217" ht="15.75" customHeight="1">
      <c r="A217" s="4"/>
      <c r="B217" s="4"/>
      <c r="C217" s="42"/>
      <c r="D217" s="42"/>
      <c r="E217" s="4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DW217" s="4"/>
    </row>
    <row r="218" ht="15.75" customHeight="1">
      <c r="A218" s="4"/>
      <c r="B218" s="4"/>
      <c r="C218" s="42"/>
      <c r="D218" s="42"/>
      <c r="E218" s="4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DW218" s="4"/>
    </row>
    <row r="219" ht="15.75" customHeight="1">
      <c r="A219" s="4"/>
      <c r="B219" s="4"/>
      <c r="C219" s="42"/>
      <c r="D219" s="42"/>
      <c r="E219" s="4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DW219" s="4"/>
    </row>
    <row r="220" ht="15.75" customHeight="1">
      <c r="A220" s="4"/>
      <c r="B220" s="4"/>
      <c r="C220" s="42"/>
      <c r="D220" s="42"/>
      <c r="E220" s="4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DW220" s="4"/>
    </row>
    <row r="221" ht="15.75" customHeight="1">
      <c r="A221" s="4"/>
      <c r="B221" s="4"/>
      <c r="C221" s="42"/>
      <c r="D221" s="42"/>
      <c r="E221" s="4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DW221" s="4"/>
    </row>
    <row r="222" ht="15.75" customHeight="1">
      <c r="A222" s="4"/>
      <c r="B222" s="4"/>
      <c r="C222" s="42"/>
      <c r="D222" s="42"/>
      <c r="E222" s="4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DW222" s="4"/>
    </row>
    <row r="223" ht="15.75" customHeight="1">
      <c r="A223" s="4"/>
      <c r="B223" s="4"/>
      <c r="C223" s="42"/>
      <c r="D223" s="42"/>
      <c r="E223" s="4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DW223" s="4"/>
    </row>
    <row r="224" ht="15.75" customHeight="1">
      <c r="A224" s="4"/>
      <c r="B224" s="4"/>
      <c r="C224" s="42"/>
      <c r="D224" s="42"/>
      <c r="E224" s="4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DW224" s="4"/>
    </row>
    <row r="225" ht="15.75" customHeight="1">
      <c r="A225" s="4"/>
      <c r="B225" s="4"/>
      <c r="C225" s="42"/>
      <c r="D225" s="42"/>
      <c r="E225" s="4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DW225" s="4"/>
    </row>
    <row r="226" ht="15.75" customHeight="1">
      <c r="A226" s="4"/>
      <c r="B226" s="4"/>
      <c r="C226" s="42"/>
      <c r="D226" s="42"/>
      <c r="E226" s="4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DW226" s="4"/>
    </row>
    <row r="227" ht="15.75" customHeight="1">
      <c r="A227" s="4"/>
      <c r="B227" s="4"/>
      <c r="C227" s="42"/>
      <c r="D227" s="42"/>
      <c r="E227" s="4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DW227" s="4"/>
    </row>
    <row r="228" ht="15.75" customHeight="1">
      <c r="A228" s="4"/>
      <c r="B228" s="4"/>
      <c r="C228" s="42"/>
      <c r="D228" s="42"/>
      <c r="E228" s="4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DW228" s="4"/>
    </row>
    <row r="229" ht="15.75" customHeight="1">
      <c r="A229" s="4"/>
      <c r="B229" s="4"/>
      <c r="C229" s="42"/>
      <c r="D229" s="42"/>
      <c r="E229" s="4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DW229" s="4"/>
    </row>
    <row r="230" ht="15.75" customHeight="1">
      <c r="A230" s="4"/>
      <c r="B230" s="4"/>
      <c r="C230" s="42"/>
      <c r="D230" s="42"/>
      <c r="E230" s="4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DW230" s="4"/>
    </row>
    <row r="231" ht="15.75" customHeight="1">
      <c r="A231" s="4"/>
      <c r="B231" s="4"/>
      <c r="C231" s="42"/>
      <c r="D231" s="42"/>
      <c r="E231" s="4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DW231" s="4"/>
    </row>
    <row r="232" ht="15.75" customHeight="1">
      <c r="A232" s="4"/>
      <c r="B232" s="4"/>
      <c r="C232" s="42"/>
      <c r="D232" s="42"/>
      <c r="E232" s="4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DW232" s="4"/>
    </row>
    <row r="233" ht="15.75" customHeight="1">
      <c r="A233" s="4"/>
      <c r="B233" s="4"/>
      <c r="C233" s="42"/>
      <c r="D233" s="42"/>
      <c r="E233" s="4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DW233" s="4"/>
    </row>
    <row r="234" ht="15.75" customHeight="1">
      <c r="A234" s="4"/>
      <c r="B234" s="4"/>
      <c r="C234" s="42"/>
      <c r="D234" s="42"/>
      <c r="E234" s="42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DW234" s="4"/>
    </row>
    <row r="235" ht="15.75" customHeight="1">
      <c r="A235" s="4"/>
      <c r="B235" s="4"/>
      <c r="C235" s="42"/>
      <c r="D235" s="42"/>
      <c r="E235" s="42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DW235" s="4"/>
    </row>
    <row r="236" ht="15.75" customHeight="1">
      <c r="A236" s="4"/>
      <c r="B236" s="4"/>
      <c r="C236" s="42"/>
      <c r="D236" s="42"/>
      <c r="E236" s="42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DW236" s="4"/>
    </row>
    <row r="237" ht="15.75" customHeight="1">
      <c r="A237" s="4"/>
      <c r="B237" s="4"/>
      <c r="C237" s="42"/>
      <c r="D237" s="42"/>
      <c r="E237" s="42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DW237" s="4"/>
    </row>
    <row r="238" ht="15.75" customHeight="1">
      <c r="A238" s="4"/>
      <c r="B238" s="4"/>
      <c r="C238" s="42"/>
      <c r="D238" s="42"/>
      <c r="E238" s="42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DW238" s="4"/>
    </row>
    <row r="239" ht="15.75" customHeight="1">
      <c r="A239" s="4"/>
      <c r="B239" s="4"/>
      <c r="C239" s="42"/>
      <c r="D239" s="42"/>
      <c r="E239" s="42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DW239" s="4"/>
    </row>
    <row r="240" ht="15.75" customHeight="1">
      <c r="A240" s="4"/>
      <c r="B240" s="4"/>
      <c r="C240" s="42"/>
      <c r="D240" s="42"/>
      <c r="E240" s="42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DW240" s="4"/>
    </row>
    <row r="241" ht="15.75" customHeight="1">
      <c r="A241" s="4"/>
      <c r="B241" s="4"/>
      <c r="C241" s="42"/>
      <c r="D241" s="42"/>
      <c r="E241" s="42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DW241" s="4"/>
    </row>
    <row r="242" ht="15.75" customHeight="1">
      <c r="A242" s="4"/>
      <c r="B242" s="4"/>
      <c r="C242" s="42"/>
      <c r="D242" s="42"/>
      <c r="E242" s="42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DW242" s="4"/>
    </row>
    <row r="243" ht="15.75" customHeight="1">
      <c r="A243" s="4"/>
      <c r="B243" s="4"/>
      <c r="C243" s="42"/>
      <c r="D243" s="42"/>
      <c r="E243" s="4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DW243" s="4"/>
    </row>
    <row r="244" ht="15.75" customHeight="1">
      <c r="A244" s="4"/>
      <c r="B244" s="4"/>
      <c r="C244" s="42"/>
      <c r="D244" s="42"/>
      <c r="E244" s="4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DW244" s="4"/>
    </row>
    <row r="245" ht="15.75" customHeight="1">
      <c r="A245" s="4"/>
      <c r="B245" s="4"/>
      <c r="C245" s="42"/>
      <c r="D245" s="42"/>
      <c r="E245" s="4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DW245" s="4"/>
    </row>
    <row r="246" ht="15.75" customHeight="1">
      <c r="A246" s="4"/>
      <c r="B246" s="4"/>
      <c r="C246" s="42"/>
      <c r="D246" s="42"/>
      <c r="E246" s="4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DW246" s="4"/>
    </row>
    <row r="247" ht="15.75" customHeight="1">
      <c r="A247" s="4"/>
      <c r="B247" s="4"/>
      <c r="C247" s="42"/>
      <c r="D247" s="42"/>
      <c r="E247" s="4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DW247" s="4"/>
    </row>
    <row r="248" ht="15.75" customHeight="1">
      <c r="A248" s="4"/>
      <c r="B248" s="4"/>
      <c r="C248" s="42"/>
      <c r="D248" s="42"/>
      <c r="E248" s="4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DW248" s="4"/>
    </row>
    <row r="249" ht="15.75" customHeight="1">
      <c r="A249" s="4"/>
      <c r="B249" s="4"/>
      <c r="C249" s="42"/>
      <c r="D249" s="42"/>
      <c r="E249" s="4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DW249" s="4"/>
    </row>
    <row r="250" ht="15.75" customHeight="1">
      <c r="A250" s="4"/>
      <c r="B250" s="4"/>
      <c r="C250" s="42"/>
      <c r="D250" s="42"/>
      <c r="E250" s="4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DW250" s="4"/>
    </row>
    <row r="251" ht="15.75" customHeight="1">
      <c r="A251" s="4"/>
      <c r="B251" s="4"/>
      <c r="C251" s="42"/>
      <c r="D251" s="42"/>
      <c r="E251" s="4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DW251" s="4"/>
    </row>
    <row r="252" ht="15.75" customHeight="1">
      <c r="A252" s="4"/>
      <c r="B252" s="4"/>
      <c r="C252" s="42"/>
      <c r="D252" s="42"/>
      <c r="E252" s="4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DW252" s="4"/>
    </row>
    <row r="253" ht="15.75" customHeight="1">
      <c r="A253" s="4"/>
      <c r="B253" s="4"/>
      <c r="C253" s="42"/>
      <c r="D253" s="42"/>
      <c r="E253" s="4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D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D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D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D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D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DW258" s="4"/>
    </row>
  </sheetData>
  <conditionalFormatting sqref="C23:EL24">
    <cfRule type="cellIs" dxfId="0" priority="1" operator="greaterThan">
      <formula>500000</formula>
    </cfRule>
  </conditionalFormatting>
  <conditionalFormatting sqref="C23:EL24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71"/>
    <col customWidth="1" min="2" max="3" width="8.71"/>
    <col customWidth="1" min="4" max="6" width="15.86"/>
    <col customWidth="1" min="7" max="10" width="8.71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 ht="14.25" customHeight="1">
      <c r="A2" s="56" t="s">
        <v>39</v>
      </c>
      <c r="B2" s="76" t="s">
        <v>40</v>
      </c>
      <c r="C2" s="76" t="s">
        <v>41</v>
      </c>
      <c r="D2" s="76" t="s">
        <v>42</v>
      </c>
      <c r="E2" s="76" t="s">
        <v>43</v>
      </c>
      <c r="F2" s="76" t="s">
        <v>44</v>
      </c>
      <c r="G2" s="4"/>
      <c r="H2" s="4"/>
      <c r="I2" s="4"/>
      <c r="J2" s="4"/>
    </row>
    <row r="3" ht="15.75" customHeight="1">
      <c r="A3" s="77">
        <v>46024.0</v>
      </c>
      <c r="B3" s="4">
        <v>2026.0</v>
      </c>
      <c r="C3" s="4">
        <v>1.0</v>
      </c>
      <c r="D3" s="42">
        <f>SUMIFS('AR Aging 20260320'!$H:$H,'AR Aging 20260320'!$J:$J,$B3,'AR Aging 20260320'!$K:$K,$C3)+SUMIFS(Bookings!$E:$E,Bookings!$L:$L,$B3,Bookings!$K:$K,$C3)</f>
        <v>300800</v>
      </c>
      <c r="E3" s="42">
        <f>SUMIFS('AR Aging 20260320'!$H:$H, 'AR Aging 20260320'!$N:$N,$C3,'AR Aging 20260320'!$M:$M,$B3)+SUMIFS(Bookings!$E:$E,Bookings!$P:$P,$B3,Bookings!$O:$O,$C3)</f>
        <v>0</v>
      </c>
      <c r="F3" s="42">
        <v>0.0</v>
      </c>
      <c r="G3" s="4"/>
      <c r="H3" s="4"/>
      <c r="I3" s="4"/>
      <c r="J3" s="4"/>
    </row>
    <row r="4" ht="15.75" customHeight="1">
      <c r="A4" s="77">
        <f t="shared" ref="A4:A107" si="1">A3+7</f>
        <v>46031</v>
      </c>
      <c r="B4" s="4">
        <v>2026.0</v>
      </c>
      <c r="C4" s="4">
        <v>2.0</v>
      </c>
      <c r="D4" s="42">
        <f>SUMIFS('AR Aging 20260320'!$H:$H,'AR Aging 20260320'!$J:$J,$B4,'AR Aging 20260320'!$K:$K,$C4)+SUMIFS(Bookings!$E:$E,Bookings!$L:$L,$B4,Bookings!$K:$K,$C4)</f>
        <v>0</v>
      </c>
      <c r="E4" s="42">
        <f>SUMIFS('AR Aging 20260320'!$H:$H, 'AR Aging 20260320'!$N:$N,$C4,'AR Aging 20260320'!$M:$M,$B4)+SUMIFS(Bookings!$E:$E,Bookings!$P:$P,$B4,Bookings!$O:$O,$C4)</f>
        <v>0</v>
      </c>
      <c r="F4" s="42">
        <v>0.0</v>
      </c>
      <c r="G4" s="4"/>
      <c r="H4" s="4"/>
      <c r="I4" s="4"/>
      <c r="J4" s="4"/>
    </row>
    <row r="5" ht="15.75" customHeight="1">
      <c r="A5" s="77">
        <f t="shared" si="1"/>
        <v>46038</v>
      </c>
      <c r="B5" s="4">
        <v>2026.0</v>
      </c>
      <c r="C5" s="4">
        <v>3.0</v>
      </c>
      <c r="D5" s="42">
        <f>SUMIFS('AR Aging 20260320'!$H:$H,'AR Aging 20260320'!$J:$J,$B5,'AR Aging 20260320'!$K:$K,$C5)+SUMIFS(Bookings!$E:$E,Bookings!$L:$L,$B5,Bookings!$K:$K,$C5)</f>
        <v>209760</v>
      </c>
      <c r="E5" s="42">
        <f>SUMIFS('AR Aging 20260320'!$H:$H, 'AR Aging 20260320'!$N:$N,$C5,'AR Aging 20260320'!$M:$M,$B5)+SUMIFS(Bookings!$E:$E,Bookings!$P:$P,$B5,Bookings!$O:$O,$C5)</f>
        <v>297412.6</v>
      </c>
      <c r="F5" s="42">
        <v>0.0</v>
      </c>
      <c r="G5" s="4"/>
      <c r="H5" s="4"/>
      <c r="I5" s="4"/>
      <c r="J5" s="4"/>
    </row>
    <row r="6" ht="15.75" customHeight="1">
      <c r="A6" s="77">
        <f t="shared" si="1"/>
        <v>46045</v>
      </c>
      <c r="B6" s="4">
        <v>2026.0</v>
      </c>
      <c r="C6" s="4">
        <v>4.0</v>
      </c>
      <c r="D6" s="42">
        <f>SUMIFS('AR Aging 20260320'!$H:$H,'AR Aging 20260320'!$J:$J,$B6,'AR Aging 20260320'!$K:$K,$C6)+SUMIFS(Bookings!$E:$E,Bookings!$L:$L,$B6,Bookings!$K:$K,$C6)</f>
        <v>21592.9</v>
      </c>
      <c r="E6" s="42">
        <f>SUMIFS('AR Aging 20260320'!$H:$H, 'AR Aging 20260320'!$N:$N,$C6,'AR Aging 20260320'!$M:$M,$B6)+SUMIFS(Bookings!$E:$E,Bookings!$P:$P,$B6,Bookings!$O:$O,$C6)</f>
        <v>0</v>
      </c>
      <c r="F6" s="42">
        <v>0.0</v>
      </c>
      <c r="G6" s="4"/>
      <c r="H6" s="4"/>
      <c r="I6" s="4"/>
      <c r="J6" s="4"/>
    </row>
    <row r="7" ht="15.75" customHeight="1">
      <c r="A7" s="77">
        <f t="shared" si="1"/>
        <v>46052</v>
      </c>
      <c r="B7" s="4">
        <v>2026.0</v>
      </c>
      <c r="C7" s="4">
        <v>5.0</v>
      </c>
      <c r="D7" s="42">
        <f>SUMIFS('AR Aging 20260320'!$H:$H,'AR Aging 20260320'!$J:$J,$B7,'AR Aging 20260320'!$K:$K,$C7)+SUMIFS(Bookings!$E:$E,Bookings!$L:$L,$B7,Bookings!$K:$K,$C7)</f>
        <v>419605</v>
      </c>
      <c r="E7" s="42">
        <f>SUMIFS('AR Aging 20260320'!$H:$H, 'AR Aging 20260320'!$N:$N,$C7,'AR Aging 20260320'!$M:$M,$B7)+SUMIFS(Bookings!$E:$E,Bookings!$P:$P,$B7,Bookings!$O:$O,$C7)</f>
        <v>0</v>
      </c>
      <c r="F7" s="42">
        <v>0.0</v>
      </c>
      <c r="G7" s="4"/>
      <c r="H7" s="4"/>
      <c r="I7" s="4"/>
      <c r="J7" s="4"/>
    </row>
    <row r="8" ht="15.75" customHeight="1">
      <c r="A8" s="77">
        <f t="shared" si="1"/>
        <v>46059</v>
      </c>
      <c r="B8" s="4">
        <v>2026.0</v>
      </c>
      <c r="C8" s="4">
        <v>6.0</v>
      </c>
      <c r="D8" s="42">
        <f>SUMIFS('AR Aging 20260320'!$H:$H,'AR Aging 20260320'!$J:$J,$B8,'AR Aging 20260320'!$K:$K,$C8)+SUMIFS(Bookings!$E:$E,Bookings!$L:$L,$B8,Bookings!$K:$K,$C8)</f>
        <v>104761.6</v>
      </c>
      <c r="E8" s="42">
        <f>SUMIFS('AR Aging 20260320'!$H:$H, 'AR Aging 20260320'!$N:$N,$C8,'AR Aging 20260320'!$M:$M,$B8)+SUMIFS(Bookings!$E:$E,Bookings!$P:$P,$B8,Bookings!$O:$O,$C8)</f>
        <v>0</v>
      </c>
      <c r="F8" s="42">
        <v>0.0</v>
      </c>
      <c r="G8" s="4"/>
      <c r="H8" s="4"/>
      <c r="I8" s="4"/>
      <c r="J8" s="4"/>
    </row>
    <row r="9" ht="15.75" customHeight="1">
      <c r="A9" s="77">
        <f t="shared" si="1"/>
        <v>46066</v>
      </c>
      <c r="B9" s="4">
        <v>2026.0</v>
      </c>
      <c r="C9" s="4">
        <v>7.0</v>
      </c>
      <c r="D9" s="42">
        <f>SUMIFS('AR Aging 20260320'!$H:$H,'AR Aging 20260320'!$J:$J,$B9,'AR Aging 20260320'!$K:$K,$C9)+SUMIFS(Bookings!$E:$E,Bookings!$L:$L,$B9,Bookings!$K:$K,$C9)</f>
        <v>0</v>
      </c>
      <c r="E9" s="42">
        <f>SUMIFS('AR Aging 20260320'!$H:$H, 'AR Aging 20260320'!$N:$N,$C9,'AR Aging 20260320'!$M:$M,$B9)+SUMIFS(Bookings!$E:$E,Bookings!$P:$P,$B9,Bookings!$O:$O,$C9)</f>
        <v>272280</v>
      </c>
      <c r="F9" s="42">
        <v>0.0</v>
      </c>
      <c r="G9" s="4"/>
      <c r="H9" s="4"/>
      <c r="I9" s="4"/>
      <c r="J9" s="4"/>
    </row>
    <row r="10" ht="15.75" customHeight="1">
      <c r="A10" s="77">
        <f t="shared" si="1"/>
        <v>46073</v>
      </c>
      <c r="B10" s="4">
        <v>2026.0</v>
      </c>
      <c r="C10" s="4">
        <v>8.0</v>
      </c>
      <c r="D10" s="42">
        <f>SUMIFS('AR Aging 20260320'!$H:$H,'AR Aging 20260320'!$J:$J,$B10,'AR Aging 20260320'!$K:$K,$C10)+SUMIFS(Bookings!$E:$E,Bookings!$L:$L,$B10,Bookings!$K:$K,$C10)</f>
        <v>412451.4</v>
      </c>
      <c r="E10" s="42">
        <f>SUMIFS('AR Aging 20260320'!$H:$H, 'AR Aging 20260320'!$N:$N,$C10,'AR Aging 20260320'!$M:$M,$B10)+SUMIFS(Bookings!$E:$E,Bookings!$P:$P,$B10,Bookings!$O:$O,$C10)</f>
        <v>33667.2</v>
      </c>
      <c r="F10" s="42">
        <v>0.0</v>
      </c>
      <c r="G10" s="4"/>
      <c r="H10" s="4"/>
      <c r="I10" s="4"/>
      <c r="J10" s="4"/>
    </row>
    <row r="11" ht="15.75" customHeight="1">
      <c r="A11" s="77">
        <f t="shared" si="1"/>
        <v>46080</v>
      </c>
      <c r="B11" s="4">
        <v>2026.0</v>
      </c>
      <c r="C11" s="4">
        <v>9.0</v>
      </c>
      <c r="D11" s="42">
        <f>SUMIFS('AR Aging 20260320'!$H:$H,'AR Aging 20260320'!$J:$J,$B11,'AR Aging 20260320'!$K:$K,$C11)+SUMIFS(Bookings!$E:$E,Bookings!$L:$L,$B11,Bookings!$K:$K,$C11)</f>
        <v>461827.26</v>
      </c>
      <c r="E11" s="42">
        <f>SUMIFS('AR Aging 20260320'!$H:$H, 'AR Aging 20260320'!$N:$N,$C11,'AR Aging 20260320'!$M:$M,$B11)+SUMIFS(Bookings!$E:$E,Bookings!$P:$P,$B11,Bookings!$O:$O,$C11)</f>
        <v>209760</v>
      </c>
      <c r="F11" s="42"/>
      <c r="G11" s="4"/>
      <c r="H11" s="4"/>
      <c r="I11" s="4"/>
      <c r="J11" s="4"/>
    </row>
    <row r="12" ht="15.75" customHeight="1">
      <c r="A12" s="77">
        <f t="shared" si="1"/>
        <v>46087</v>
      </c>
      <c r="B12" s="4">
        <v>2026.0</v>
      </c>
      <c r="C12" s="4">
        <v>10.0</v>
      </c>
      <c r="D12" s="42">
        <f>SUMIFS('AR Aging 20260320'!$H:$H,'AR Aging 20260320'!$J:$J,$B12,'AR Aging 20260320'!$K:$K,$C12)+SUMIFS(Bookings!$E:$E,Bookings!$L:$L,$B12,Bookings!$K:$K,$C12)</f>
        <v>222163.5</v>
      </c>
      <c r="E12" s="42">
        <f>SUMIFS('AR Aging 20260320'!$H:$H, 'AR Aging 20260320'!$N:$N,$C12,'AR Aging 20260320'!$M:$M,$B12)+SUMIFS(Bookings!$E:$E,Bookings!$P:$P,$B12,Bookings!$O:$O,$C12)</f>
        <v>0</v>
      </c>
      <c r="F12" s="42"/>
      <c r="G12" s="4"/>
      <c r="H12" s="4"/>
      <c r="I12" s="4"/>
      <c r="J12" s="4"/>
    </row>
    <row r="13" ht="15.75" customHeight="1">
      <c r="A13" s="77">
        <f t="shared" si="1"/>
        <v>46094</v>
      </c>
      <c r="B13" s="4">
        <v>2026.0</v>
      </c>
      <c r="C13" s="4">
        <v>11.0</v>
      </c>
      <c r="D13" s="42">
        <f>SUMIFS('AR Aging 20260320'!$H:$H,'AR Aging 20260320'!$J:$J,$B13,'AR Aging 20260320'!$K:$K,$C13)+SUMIFS(Bookings!$E:$E,Bookings!$L:$L,$B13,Bookings!$K:$K,$C13)</f>
        <v>1128000</v>
      </c>
      <c r="E13" s="42">
        <f>SUMIFS('AR Aging 20260320'!$H:$H, 'AR Aging 20260320'!$N:$N,$C13,'AR Aging 20260320'!$M:$M,$B13)+SUMIFS(Bookings!$E:$E,Bookings!$P:$P,$B13,Bookings!$O:$O,$C13)</f>
        <v>4315.72</v>
      </c>
      <c r="F13" s="42"/>
      <c r="G13" s="4"/>
      <c r="H13" s="4"/>
      <c r="I13" s="4"/>
      <c r="J13" s="4"/>
    </row>
    <row r="14" ht="15.75" customHeight="1">
      <c r="A14" s="77">
        <f t="shared" si="1"/>
        <v>46101</v>
      </c>
      <c r="B14" s="4">
        <v>2026.0</v>
      </c>
      <c r="C14" s="4">
        <v>12.0</v>
      </c>
      <c r="D14" s="42">
        <f>SUMIFS('AR Aging 20260320'!$H:$H,'AR Aging 20260320'!$J:$J,$B14,'AR Aging 20260320'!$K:$K,$C14)+SUMIFS(Bookings!$E:$E,Bookings!$L:$L,$B14,Bookings!$K:$K,$C14)</f>
        <v>347953</v>
      </c>
      <c r="E14" s="42">
        <f>SUMIFS('AR Aging 20260320'!$H:$H, 'AR Aging 20260320'!$N:$N,$C14,'AR Aging 20260320'!$M:$M,$B14)+SUMIFS(Bookings!$E:$E,Bookings!$P:$P,$B14,Bookings!$O:$O,$C14)</f>
        <v>80420</v>
      </c>
      <c r="F14" s="42"/>
      <c r="G14" s="4"/>
      <c r="H14" s="4"/>
      <c r="I14" s="4"/>
      <c r="J14" s="4"/>
    </row>
    <row r="15" ht="15.75" customHeight="1">
      <c r="A15" s="77">
        <f t="shared" si="1"/>
        <v>46108</v>
      </c>
      <c r="B15" s="4">
        <v>2026.0</v>
      </c>
      <c r="C15" s="4">
        <v>13.0</v>
      </c>
      <c r="D15" s="42">
        <f>SUMIFS('AR Aging 20260320'!$H:$H,'AR Aging 20260320'!$J:$J,$B15,'AR Aging 20260320'!$K:$K,$C15)+SUMIFS(Bookings!$E:$E,Bookings!$L:$L,$B15,Bookings!$K:$K,$C15)</f>
        <v>1036710.265</v>
      </c>
      <c r="E15" s="42">
        <f>SUMIFS('AR Aging 20260320'!$H:$H, 'AR Aging 20260320'!$N:$N,$C15,'AR Aging 20260320'!$M:$M,$B15)+SUMIFS(Bookings!$E:$E,Bookings!$P:$P,$B15,Bookings!$O:$O,$C15)</f>
        <v>172530</v>
      </c>
      <c r="F15" s="42"/>
      <c r="G15" s="4"/>
      <c r="H15" s="4"/>
      <c r="I15" s="4"/>
      <c r="J15" s="4"/>
    </row>
    <row r="16" ht="15.75" customHeight="1">
      <c r="A16" s="77">
        <f t="shared" si="1"/>
        <v>46115</v>
      </c>
      <c r="B16" s="4">
        <v>2026.0</v>
      </c>
      <c r="C16" s="4">
        <v>14.0</v>
      </c>
      <c r="D16" s="42">
        <f>SUMIFS('AR Aging 20260320'!$H:$H,'AR Aging 20260320'!$J:$J,$B16,'AR Aging 20260320'!$K:$K,$C16)+SUMIFS(Bookings!$E:$E,Bookings!$L:$L,$B16,Bookings!$K:$K,$C16)</f>
        <v>1904566.67</v>
      </c>
      <c r="E16" s="42">
        <f>SUMIFS('AR Aging 20260320'!$H:$H, 'AR Aging 20260320'!$N:$N,$C16,'AR Aging 20260320'!$M:$M,$B16)+SUMIFS(Bookings!$E:$E,Bookings!$P:$P,$B16,Bookings!$O:$O,$C16)</f>
        <v>368726.4</v>
      </c>
      <c r="F16" s="42">
        <v>9461542.97</v>
      </c>
      <c r="G16" s="4"/>
      <c r="H16" s="4"/>
      <c r="I16" s="4"/>
      <c r="J16" s="4"/>
    </row>
    <row r="17" ht="15.75" customHeight="1">
      <c r="A17" s="77">
        <f t="shared" si="1"/>
        <v>46122</v>
      </c>
      <c r="B17" s="4">
        <v>2026.0</v>
      </c>
      <c r="C17" s="4">
        <v>15.0</v>
      </c>
      <c r="D17" s="42">
        <f>SUMIFS('AR Aging 20260320'!$H:$H,'AR Aging 20260320'!$J:$J,$B17,'AR Aging 20260320'!$K:$K,$C17)+SUMIFS(Bookings!$E:$E,Bookings!$L:$L,$B17,Bookings!$K:$K,$C17)</f>
        <v>0</v>
      </c>
      <c r="E17" s="42">
        <f>SUMIFS('AR Aging 20260320'!$H:$H, 'AR Aging 20260320'!$N:$N,$C17,'AR Aging 20260320'!$M:$M,$B17)+SUMIFS(Bookings!$E:$E,Bookings!$P:$P,$B17,Bookings!$O:$O,$C17)</f>
        <v>41126.66</v>
      </c>
      <c r="F17" s="42">
        <f t="shared" ref="F17:F107" si="2">F16+D17-E17</f>
        <v>9420416.31</v>
      </c>
      <c r="G17" s="4"/>
      <c r="H17" s="4"/>
      <c r="I17" s="4"/>
      <c r="J17" s="4"/>
    </row>
    <row r="18" ht="15.75" customHeight="1">
      <c r="A18" s="77">
        <f t="shared" si="1"/>
        <v>46129</v>
      </c>
      <c r="B18" s="4">
        <v>2026.0</v>
      </c>
      <c r="C18" s="4">
        <v>16.0</v>
      </c>
      <c r="D18" s="42">
        <f>SUMIFS('AR Aging 20260320'!$H:$H,'AR Aging 20260320'!$J:$J,$B18,'AR Aging 20260320'!$K:$K,$C18)+SUMIFS(Bookings!$E:$E,Bookings!$L:$L,$B18,Bookings!$K:$K,$C18)</f>
        <v>946169.8062</v>
      </c>
      <c r="E18" s="42">
        <f>SUMIFS('AR Aging 20260320'!$H:$H, 'AR Aging 20260320'!$N:$N,$C18,'AR Aging 20260320'!$M:$M,$B18)+SUMIFS(Bookings!$E:$E,Bookings!$P:$P,$B18,Bookings!$O:$O,$C18)</f>
        <v>285706.8</v>
      </c>
      <c r="F18" s="42">
        <f t="shared" si="2"/>
        <v>10080879.32</v>
      </c>
      <c r="G18" s="4"/>
      <c r="H18" s="4"/>
      <c r="I18" s="4"/>
      <c r="J18" s="4"/>
    </row>
    <row r="19" ht="15.75" customHeight="1">
      <c r="A19" s="77">
        <f t="shared" si="1"/>
        <v>46136</v>
      </c>
      <c r="B19" s="4">
        <v>2026.0</v>
      </c>
      <c r="C19" s="4">
        <v>17.0</v>
      </c>
      <c r="D19" s="42">
        <f>SUMIFS('AR Aging 20260320'!$H:$H,'AR Aging 20260320'!$J:$J,$B19,'AR Aging 20260320'!$K:$K,$C19)+SUMIFS(Bookings!$E:$E,Bookings!$L:$L,$B19,Bookings!$K:$K,$C19)</f>
        <v>267244.5</v>
      </c>
      <c r="E19" s="42">
        <f>SUMIFS('AR Aging 20260320'!$H:$H, 'AR Aging 20260320'!$N:$N,$C19,'AR Aging 20260320'!$M:$M,$B19)+SUMIFS(Bookings!$E:$E,Bookings!$P:$P,$B19,Bookings!$O:$O,$C19)</f>
        <v>11000</v>
      </c>
      <c r="F19" s="42">
        <f t="shared" si="2"/>
        <v>10337123.82</v>
      </c>
      <c r="G19" s="4"/>
      <c r="H19" s="4"/>
      <c r="I19" s="4"/>
      <c r="J19" s="4"/>
    </row>
    <row r="20" ht="15.75" customHeight="1">
      <c r="A20" s="77">
        <f t="shared" si="1"/>
        <v>46143</v>
      </c>
      <c r="B20" s="4">
        <v>2026.0</v>
      </c>
      <c r="C20" s="4">
        <v>18.0</v>
      </c>
      <c r="D20" s="42">
        <f>SUMIFS('AR Aging 20260320'!$H:$H,'AR Aging 20260320'!$J:$J,$B20,'AR Aging 20260320'!$K:$K,$C20)+SUMIFS(Bookings!$E:$E,Bookings!$L:$L,$B20,Bookings!$K:$K,$C20)</f>
        <v>5692757.07</v>
      </c>
      <c r="E20" s="42">
        <f>SUMIFS('AR Aging 20260320'!$H:$H, 'AR Aging 20260320'!$N:$N,$C20,'AR Aging 20260320'!$M:$M,$B20)+SUMIFS(Bookings!$E:$E,Bookings!$P:$P,$B20,Bookings!$O:$O,$C20)</f>
        <v>430690.5</v>
      </c>
      <c r="F20" s="42">
        <f t="shared" si="2"/>
        <v>15599190.39</v>
      </c>
      <c r="G20" s="4"/>
      <c r="H20" s="4"/>
      <c r="I20" s="4"/>
      <c r="J20" s="4"/>
    </row>
    <row r="21" ht="15.75" customHeight="1">
      <c r="A21" s="77">
        <f t="shared" si="1"/>
        <v>46150</v>
      </c>
      <c r="B21" s="4">
        <v>2026.0</v>
      </c>
      <c r="C21" s="4">
        <v>19.0</v>
      </c>
      <c r="D21" s="42">
        <f>SUMIFS('AR Aging 20260320'!$H:$H,'AR Aging 20260320'!$J:$J,$B21,'AR Aging 20260320'!$K:$K,$C21)+SUMIFS(Bookings!$E:$E,Bookings!$L:$L,$B21,Bookings!$K:$K,$C21)</f>
        <v>0</v>
      </c>
      <c r="E21" s="42">
        <f>SUMIFS('AR Aging 20260320'!$H:$H, 'AR Aging 20260320'!$N:$N,$C21,'AR Aging 20260320'!$M:$M,$B21)+SUMIFS(Bookings!$E:$E,Bookings!$P:$P,$B21,Bookings!$O:$O,$C21)</f>
        <v>1398444.165</v>
      </c>
      <c r="F21" s="42">
        <f t="shared" si="2"/>
        <v>14200746.22</v>
      </c>
      <c r="G21" s="4"/>
      <c r="H21" s="4"/>
      <c r="I21" s="4"/>
      <c r="J21" s="4"/>
    </row>
    <row r="22" ht="15.75" customHeight="1">
      <c r="A22" s="77">
        <f t="shared" si="1"/>
        <v>46157</v>
      </c>
      <c r="B22" s="4">
        <v>2026.0</v>
      </c>
      <c r="C22" s="3">
        <v>20.0</v>
      </c>
      <c r="D22" s="42">
        <f>SUMIFS('AR Aging 20260320'!$H:$H,'AR Aging 20260320'!$J:$J,$B22,'AR Aging 20260320'!$K:$K,$C22)+SUMIFS(Bookings!$E:$E,Bookings!$L:$L,$B22,Bookings!$K:$K,$C22)</f>
        <v>0</v>
      </c>
      <c r="E22" s="42">
        <f>SUMIFS('AR Aging 20260320'!$H:$H, 'AR Aging 20260320'!$N:$N,$C22,'AR Aging 20260320'!$M:$M,$B22)+SUMIFS(Bookings!$E:$E,Bookings!$P:$P,$B22,Bookings!$O:$O,$C22)</f>
        <v>981511.67</v>
      </c>
      <c r="F22" s="42">
        <f t="shared" si="2"/>
        <v>13219234.55</v>
      </c>
      <c r="G22" s="4"/>
      <c r="H22" s="4"/>
      <c r="I22" s="4"/>
      <c r="J22" s="4"/>
    </row>
    <row r="23" ht="15.75" customHeight="1">
      <c r="A23" s="77">
        <f t="shared" si="1"/>
        <v>46164</v>
      </c>
      <c r="B23" s="4">
        <v>2026.0</v>
      </c>
      <c r="C23" s="3">
        <v>21.0</v>
      </c>
      <c r="D23" s="42">
        <f>SUMIFS('AR Aging 20260320'!$H:$H,'AR Aging 20260320'!$J:$J,$B23,'AR Aging 20260320'!$K:$K,$C23)+SUMIFS(Bookings!$E:$E,Bookings!$L:$L,$B23,Bookings!$K:$K,$C23)</f>
        <v>0</v>
      </c>
      <c r="E23" s="42">
        <f>SUMIFS('AR Aging 20260320'!$H:$H, 'AR Aging 20260320'!$N:$N,$C23,'AR Aging 20260320'!$M:$M,$B23)+SUMIFS(Bookings!$E:$E,Bookings!$P:$P,$B23,Bookings!$O:$O,$C23)</f>
        <v>0</v>
      </c>
      <c r="F23" s="42">
        <f t="shared" si="2"/>
        <v>13219234.55</v>
      </c>
      <c r="G23" s="4"/>
      <c r="H23" s="4"/>
      <c r="I23" s="4"/>
      <c r="J23" s="4"/>
    </row>
    <row r="24" ht="15.75" customHeight="1">
      <c r="A24" s="77">
        <f t="shared" si="1"/>
        <v>46171</v>
      </c>
      <c r="B24" s="4">
        <v>2026.0</v>
      </c>
      <c r="C24" s="3">
        <v>22.0</v>
      </c>
      <c r="D24" s="42">
        <f>SUMIFS('AR Aging 20260320'!$H:$H,'AR Aging 20260320'!$J:$J,$B24,'AR Aging 20260320'!$K:$K,$C24)+SUMIFS(Bookings!$E:$E,Bookings!$L:$L,$B24,Bookings!$K:$K,$C24)</f>
        <v>0</v>
      </c>
      <c r="E24" s="42">
        <f>SUMIFS('AR Aging 20260320'!$H:$H, 'AR Aging 20260320'!$N:$N,$C24,'AR Aging 20260320'!$M:$M,$B24)+SUMIFS(Bookings!$E:$E,Bookings!$P:$P,$B24,Bookings!$O:$O,$C24)</f>
        <v>2522706.806</v>
      </c>
      <c r="F24" s="42">
        <f t="shared" si="2"/>
        <v>10696527.75</v>
      </c>
      <c r="G24" s="4"/>
      <c r="H24" s="4"/>
      <c r="I24" s="4"/>
      <c r="J24" s="4"/>
    </row>
    <row r="25" ht="15.75" customHeight="1">
      <c r="A25" s="77">
        <f t="shared" si="1"/>
        <v>46178</v>
      </c>
      <c r="B25" s="4">
        <v>2026.0</v>
      </c>
      <c r="C25" s="3">
        <v>23.0</v>
      </c>
      <c r="D25" s="42">
        <f>SUMIFS('AR Aging 20260320'!$H:$H,'AR Aging 20260320'!$J:$J,$B25,'AR Aging 20260320'!$K:$K,$C25)+SUMIFS(Bookings!$E:$E,Bookings!$L:$L,$B25,Bookings!$K:$K,$C25)</f>
        <v>6768980.25</v>
      </c>
      <c r="E25" s="42">
        <f>SUMIFS('AR Aging 20260320'!$H:$H, 'AR Aging 20260320'!$N:$N,$C25,'AR Aging 20260320'!$M:$M,$B25)+SUMIFS(Bookings!$E:$E,Bookings!$P:$P,$B25,Bookings!$O:$O,$C25)</f>
        <v>177216.75</v>
      </c>
      <c r="F25" s="42">
        <f t="shared" si="2"/>
        <v>17288291.25</v>
      </c>
      <c r="G25" s="4"/>
      <c r="H25" s="4"/>
      <c r="I25" s="4"/>
      <c r="J25" s="4"/>
    </row>
    <row r="26" ht="15.75" customHeight="1">
      <c r="A26" s="77">
        <f t="shared" si="1"/>
        <v>46185</v>
      </c>
      <c r="B26" s="4">
        <v>2026.0</v>
      </c>
      <c r="C26" s="3">
        <v>24.0</v>
      </c>
      <c r="D26" s="42">
        <f>SUMIFS('AR Aging 20260320'!$H:$H,'AR Aging 20260320'!$J:$J,$B26,'AR Aging 20260320'!$K:$K,$C26)+SUMIFS(Bookings!$E:$E,Bookings!$L:$L,$B26,Bookings!$K:$K,$C26)</f>
        <v>0</v>
      </c>
      <c r="E26" s="42">
        <f>SUMIFS('AR Aging 20260320'!$H:$H, 'AR Aging 20260320'!$N:$N,$C26,'AR Aging 20260320'!$M:$M,$B26)+SUMIFS(Bookings!$E:$E,Bookings!$P:$P,$B26,Bookings!$O:$O,$C26)</f>
        <v>2735404.45</v>
      </c>
      <c r="F26" s="42">
        <f t="shared" si="2"/>
        <v>14552886.8</v>
      </c>
      <c r="G26" s="4"/>
      <c r="H26" s="4"/>
      <c r="I26" s="4"/>
      <c r="J26" s="4"/>
    </row>
    <row r="27" ht="15.75" customHeight="1">
      <c r="A27" s="77">
        <f t="shared" si="1"/>
        <v>46192</v>
      </c>
      <c r="B27" s="4">
        <v>2026.0</v>
      </c>
      <c r="C27" s="3">
        <v>25.0</v>
      </c>
      <c r="D27" s="42">
        <f>SUMIFS('AR Aging 20260320'!$H:$H,'AR Aging 20260320'!$J:$J,$B27,'AR Aging 20260320'!$K:$K,$C27)+SUMIFS(Bookings!$E:$E,Bookings!$L:$L,$B27,Bookings!$K:$K,$C27)</f>
        <v>0</v>
      </c>
      <c r="E27" s="42">
        <f>SUMIFS('AR Aging 20260320'!$H:$H, 'AR Aging 20260320'!$N:$N,$C27,'AR Aging 20260320'!$M:$M,$B27)+SUMIFS(Bookings!$E:$E,Bookings!$P:$P,$B27,Bookings!$O:$O,$C27)</f>
        <v>49761.6</v>
      </c>
      <c r="F27" s="42">
        <f t="shared" si="2"/>
        <v>14503125.2</v>
      </c>
      <c r="G27" s="4"/>
      <c r="H27" s="4"/>
      <c r="I27" s="4"/>
      <c r="J27" s="4"/>
    </row>
    <row r="28" ht="15.75" customHeight="1">
      <c r="A28" s="77">
        <f t="shared" si="1"/>
        <v>46199</v>
      </c>
      <c r="B28" s="4">
        <v>2026.0</v>
      </c>
      <c r="C28" s="3">
        <v>26.0</v>
      </c>
      <c r="D28" s="42">
        <f>SUMIFS('AR Aging 20260320'!$H:$H,'AR Aging 20260320'!$J:$J,$B28,'AR Aging 20260320'!$K:$K,$C28)+SUMIFS(Bookings!$E:$E,Bookings!$L:$L,$B28,Bookings!$K:$K,$C28)</f>
        <v>0</v>
      </c>
      <c r="E28" s="42">
        <f>SUMIFS('AR Aging 20260320'!$H:$H, 'AR Aging 20260320'!$N:$N,$C28,'AR Aging 20260320'!$M:$M,$B28)+SUMIFS(Bookings!$E:$E,Bookings!$P:$P,$B28,Bookings!$O:$O,$C28)</f>
        <v>0</v>
      </c>
      <c r="F28" s="42">
        <f t="shared" si="2"/>
        <v>14503125.2</v>
      </c>
      <c r="G28" s="4"/>
      <c r="H28" s="4"/>
      <c r="I28" s="4"/>
      <c r="J28" s="4"/>
    </row>
    <row r="29" ht="15.75" customHeight="1">
      <c r="A29" s="77">
        <f t="shared" si="1"/>
        <v>46206</v>
      </c>
      <c r="B29" s="4">
        <v>2026.0</v>
      </c>
      <c r="C29" s="3">
        <v>27.0</v>
      </c>
      <c r="D29" s="42">
        <f>SUMIFS('AR Aging 20260320'!$H:$H,'AR Aging 20260320'!$J:$J,$B29,'AR Aging 20260320'!$K:$K,$C29)+SUMIFS(Bookings!$E:$E,Bookings!$L:$L,$B29,Bookings!$K:$K,$C29)</f>
        <v>7441756.25</v>
      </c>
      <c r="E29" s="42">
        <f>SUMIFS('AR Aging 20260320'!$H:$H, 'AR Aging 20260320'!$N:$N,$C29,'AR Aging 20260320'!$M:$M,$B29)+SUMIFS(Bookings!$E:$E,Bookings!$P:$P,$B29,Bookings!$O:$O,$C29)</f>
        <v>2914366.75</v>
      </c>
      <c r="F29" s="42">
        <f t="shared" si="2"/>
        <v>19030514.7</v>
      </c>
      <c r="G29" s="4"/>
      <c r="H29" s="4"/>
      <c r="I29" s="4"/>
      <c r="J29" s="4"/>
    </row>
    <row r="30" ht="15.75" customHeight="1">
      <c r="A30" s="77">
        <f t="shared" si="1"/>
        <v>46213</v>
      </c>
      <c r="B30" s="4">
        <v>2026.0</v>
      </c>
      <c r="C30" s="3">
        <v>28.0</v>
      </c>
      <c r="D30" s="42">
        <f>SUMIFS('AR Aging 20260320'!$H:$H,'AR Aging 20260320'!$J:$J,$B30,'AR Aging 20260320'!$K:$K,$C30)+SUMIFS(Bookings!$E:$E,Bookings!$L:$L,$B30,Bookings!$K:$K,$C30)</f>
        <v>0</v>
      </c>
      <c r="E30" s="42">
        <f>SUMIFS('AR Aging 20260320'!$H:$H, 'AR Aging 20260320'!$N:$N,$C30,'AR Aging 20260320'!$M:$M,$B30)+SUMIFS(Bookings!$E:$E,Bookings!$P:$P,$B30,Bookings!$O:$O,$C30)</f>
        <v>307517</v>
      </c>
      <c r="F30" s="42">
        <f t="shared" si="2"/>
        <v>18722997.7</v>
      </c>
      <c r="G30" s="4"/>
      <c r="H30" s="4"/>
      <c r="I30" s="4"/>
      <c r="J30" s="4"/>
    </row>
    <row r="31" ht="15.75" customHeight="1">
      <c r="A31" s="77">
        <f t="shared" si="1"/>
        <v>46220</v>
      </c>
      <c r="B31" s="4">
        <v>2026.0</v>
      </c>
      <c r="C31" s="3">
        <v>29.0</v>
      </c>
      <c r="D31" s="42">
        <f>SUMIFS('AR Aging 20260320'!$H:$H,'AR Aging 20260320'!$J:$J,$B31,'AR Aging 20260320'!$K:$K,$C31)+SUMIFS(Bookings!$E:$E,Bookings!$L:$L,$B31,Bookings!$K:$K,$C31)</f>
        <v>0</v>
      </c>
      <c r="E31" s="42">
        <f>SUMIFS('AR Aging 20260320'!$H:$H, 'AR Aging 20260320'!$N:$N,$C31,'AR Aging 20260320'!$M:$M,$B31)+SUMIFS(Bookings!$E:$E,Bookings!$P:$P,$B31,Bookings!$O:$O,$C31)</f>
        <v>2467646.62</v>
      </c>
      <c r="F31" s="42">
        <f t="shared" si="2"/>
        <v>16255351.08</v>
      </c>
      <c r="G31" s="4"/>
      <c r="H31" s="4"/>
      <c r="I31" s="4"/>
      <c r="J31" s="4"/>
    </row>
    <row r="32" ht="15.75" customHeight="1">
      <c r="A32" s="77">
        <f t="shared" si="1"/>
        <v>46227</v>
      </c>
      <c r="B32" s="4">
        <v>2026.0</v>
      </c>
      <c r="C32" s="3">
        <v>30.0</v>
      </c>
      <c r="D32" s="42">
        <f>SUMIFS('AR Aging 20260320'!$H:$H,'AR Aging 20260320'!$J:$J,$B32,'AR Aging 20260320'!$K:$K,$C32)+SUMIFS(Bookings!$E:$E,Bookings!$L:$L,$B32,Bookings!$K:$K,$C32)</f>
        <v>0</v>
      </c>
      <c r="E32" s="42">
        <f>SUMIFS('AR Aging 20260320'!$H:$H, 'AR Aging 20260320'!$N:$N,$C32,'AR Aging 20260320'!$M:$M,$B32)+SUMIFS(Bookings!$E:$E,Bookings!$P:$P,$B32,Bookings!$O:$O,$C32)</f>
        <v>0</v>
      </c>
      <c r="F32" s="42">
        <f t="shared" si="2"/>
        <v>16255351.08</v>
      </c>
      <c r="G32" s="4"/>
      <c r="H32" s="4"/>
      <c r="I32" s="4"/>
      <c r="J32" s="4"/>
    </row>
    <row r="33" ht="15.75" customHeight="1">
      <c r="A33" s="77">
        <f t="shared" si="1"/>
        <v>46234</v>
      </c>
      <c r="B33" s="4">
        <v>2026.0</v>
      </c>
      <c r="C33" s="3">
        <v>31.0</v>
      </c>
      <c r="D33" s="42">
        <f>SUMIFS('AR Aging 20260320'!$H:$H,'AR Aging 20260320'!$J:$J,$B33,'AR Aging 20260320'!$K:$K,$C33)+SUMIFS(Bookings!$E:$E,Bookings!$L:$L,$B33,Bookings!$K:$K,$C33)</f>
        <v>6300575.1</v>
      </c>
      <c r="E33" s="42">
        <f>SUMIFS('AR Aging 20260320'!$H:$H, 'AR Aging 20260320'!$N:$N,$C33,'AR Aging 20260320'!$M:$M,$B33)+SUMIFS(Bookings!$E:$E,Bookings!$P:$P,$B33,Bookings!$O:$O,$C33)</f>
        <v>3802824.75</v>
      </c>
      <c r="F33" s="42">
        <f t="shared" si="2"/>
        <v>18753101.43</v>
      </c>
      <c r="G33" s="4"/>
      <c r="H33" s="4"/>
      <c r="I33" s="4"/>
      <c r="J33" s="4"/>
    </row>
    <row r="34" ht="15.75" customHeight="1">
      <c r="A34" s="77">
        <f t="shared" si="1"/>
        <v>46241</v>
      </c>
      <c r="B34" s="4">
        <v>2026.0</v>
      </c>
      <c r="C34" s="3">
        <v>32.0</v>
      </c>
      <c r="D34" s="42">
        <f>SUMIFS('AR Aging 20260320'!$H:$H,'AR Aging 20260320'!$J:$J,$B34,'AR Aging 20260320'!$K:$K,$C34)+SUMIFS(Bookings!$E:$E,Bookings!$L:$L,$B34,Bookings!$K:$K,$C34)</f>
        <v>0</v>
      </c>
      <c r="E34" s="42">
        <f>SUMIFS('AR Aging 20260320'!$H:$H, 'AR Aging 20260320'!$N:$N,$C34,'AR Aging 20260320'!$M:$M,$B34)+SUMIFS(Bookings!$E:$E,Bookings!$P:$P,$B34,Bookings!$O:$O,$C34)</f>
        <v>282700.5</v>
      </c>
      <c r="F34" s="42">
        <f t="shared" si="2"/>
        <v>18470400.93</v>
      </c>
      <c r="G34" s="4"/>
      <c r="H34" s="4"/>
      <c r="I34" s="4"/>
      <c r="J34" s="4"/>
    </row>
    <row r="35" ht="15.75" customHeight="1">
      <c r="A35" s="77">
        <f t="shared" si="1"/>
        <v>46248</v>
      </c>
      <c r="B35" s="4">
        <v>2026.0</v>
      </c>
      <c r="C35" s="3">
        <v>33.0</v>
      </c>
      <c r="D35" s="42">
        <f>SUMIFS('AR Aging 20260320'!$H:$H,'AR Aging 20260320'!$J:$J,$B35,'AR Aging 20260320'!$K:$K,$C35)+SUMIFS(Bookings!$E:$E,Bookings!$L:$L,$B35,Bookings!$K:$K,$C35)</f>
        <v>0</v>
      </c>
      <c r="E35" s="42">
        <f>SUMIFS('AR Aging 20260320'!$H:$H, 'AR Aging 20260320'!$N:$N,$C35,'AR Aging 20260320'!$M:$M,$B35)+SUMIFS(Bookings!$E:$E,Bookings!$P:$P,$B35,Bookings!$O:$O,$C35)</f>
        <v>2554433.4</v>
      </c>
      <c r="F35" s="42">
        <f t="shared" si="2"/>
        <v>15915967.53</v>
      </c>
      <c r="G35" s="4"/>
      <c r="H35" s="4"/>
      <c r="I35" s="4"/>
      <c r="J35" s="4"/>
    </row>
    <row r="36" ht="15.75" customHeight="1">
      <c r="A36" s="77">
        <f t="shared" si="1"/>
        <v>46255</v>
      </c>
      <c r="B36" s="4">
        <v>2026.0</v>
      </c>
      <c r="C36" s="3">
        <v>34.0</v>
      </c>
      <c r="D36" s="42">
        <f>SUMIFS('AR Aging 20260320'!$H:$H,'AR Aging 20260320'!$J:$J,$B36,'AR Aging 20260320'!$K:$K,$C36)+SUMIFS(Bookings!$E:$E,Bookings!$L:$L,$B36,Bookings!$K:$K,$C36)</f>
        <v>0</v>
      </c>
      <c r="E36" s="42">
        <f>SUMIFS('AR Aging 20260320'!$H:$H, 'AR Aging 20260320'!$N:$N,$C36,'AR Aging 20260320'!$M:$M,$B36)+SUMIFS(Bookings!$E:$E,Bookings!$P:$P,$B36,Bookings!$O:$O,$C36)</f>
        <v>0</v>
      </c>
      <c r="F36" s="42">
        <f t="shared" si="2"/>
        <v>15915967.53</v>
      </c>
      <c r="G36" s="4"/>
      <c r="H36" s="4"/>
      <c r="I36" s="4"/>
      <c r="J36" s="4"/>
    </row>
    <row r="37" ht="15.75" customHeight="1">
      <c r="A37" s="77">
        <f t="shared" si="1"/>
        <v>46262</v>
      </c>
      <c r="B37" s="4">
        <v>2026.0</v>
      </c>
      <c r="C37" s="3">
        <v>35.0</v>
      </c>
      <c r="D37" s="42">
        <f>SUMIFS('AR Aging 20260320'!$H:$H,'AR Aging 20260320'!$J:$J,$B37,'AR Aging 20260320'!$K:$K,$C37)+SUMIFS(Bookings!$E:$E,Bookings!$L:$L,$B37,Bookings!$K:$K,$C37)</f>
        <v>0</v>
      </c>
      <c r="E37" s="42">
        <f>SUMIFS('AR Aging 20260320'!$H:$H, 'AR Aging 20260320'!$N:$N,$C37,'AR Aging 20260320'!$M:$M,$B37)+SUMIFS(Bookings!$E:$E,Bookings!$P:$P,$B37,Bookings!$O:$O,$C37)</f>
        <v>5379456.68</v>
      </c>
      <c r="F37" s="42">
        <f t="shared" si="2"/>
        <v>10536510.85</v>
      </c>
      <c r="G37" s="4"/>
      <c r="H37" s="4"/>
      <c r="I37" s="4"/>
      <c r="J37" s="4"/>
    </row>
    <row r="38" ht="15.75" customHeight="1">
      <c r="A38" s="77">
        <f t="shared" si="1"/>
        <v>46269</v>
      </c>
      <c r="B38" s="4">
        <v>2026.0</v>
      </c>
      <c r="C38" s="3">
        <v>36.0</v>
      </c>
      <c r="D38" s="42">
        <f>SUMIFS('AR Aging 20260320'!$H:$H,'AR Aging 20260320'!$J:$J,$B38,'AR Aging 20260320'!$K:$K,$C38)+SUMIFS(Bookings!$E:$E,Bookings!$L:$L,$B38,Bookings!$K:$K,$C38)</f>
        <v>5871525.4</v>
      </c>
      <c r="E38" s="42">
        <f>SUMIFS('AR Aging 20260320'!$H:$H, 'AR Aging 20260320'!$N:$N,$C38,'AR Aging 20260320'!$M:$M,$B38)+SUMIFS(Bookings!$E:$E,Bookings!$P:$P,$B38,Bookings!$O:$O,$C38)</f>
        <v>0</v>
      </c>
      <c r="F38" s="42">
        <f t="shared" si="2"/>
        <v>16408036.25</v>
      </c>
      <c r="G38" s="4"/>
      <c r="H38" s="4"/>
      <c r="I38" s="4"/>
      <c r="J38" s="4"/>
    </row>
    <row r="39" ht="15.75" customHeight="1">
      <c r="A39" s="77">
        <f t="shared" si="1"/>
        <v>46276</v>
      </c>
      <c r="B39" s="4">
        <v>2026.0</v>
      </c>
      <c r="C39" s="3">
        <v>37.0</v>
      </c>
      <c r="D39" s="42">
        <f>SUMIFS('AR Aging 20260320'!$H:$H,'AR Aging 20260320'!$J:$J,$B39,'AR Aging 20260320'!$K:$K,$C39)+SUMIFS(Bookings!$E:$E,Bookings!$L:$L,$B39,Bookings!$K:$K,$C39)</f>
        <v>0</v>
      </c>
      <c r="E39" s="42">
        <f>SUMIFS('AR Aging 20260320'!$H:$H, 'AR Aging 20260320'!$N:$N,$C39,'AR Aging 20260320'!$M:$M,$B39)+SUMIFS(Bookings!$E:$E,Bookings!$P:$P,$B39,Bookings!$O:$O,$C39)</f>
        <v>539549.77</v>
      </c>
      <c r="F39" s="42">
        <f t="shared" si="2"/>
        <v>15868486.48</v>
      </c>
      <c r="G39" s="4"/>
      <c r="H39" s="4"/>
      <c r="I39" s="4"/>
      <c r="J39" s="4"/>
    </row>
    <row r="40" ht="15.75" customHeight="1">
      <c r="A40" s="77">
        <f t="shared" si="1"/>
        <v>46283</v>
      </c>
      <c r="B40" s="4">
        <v>2026.0</v>
      </c>
      <c r="C40" s="3">
        <v>38.0</v>
      </c>
      <c r="D40" s="42">
        <f>SUMIFS('AR Aging 20260320'!$H:$H,'AR Aging 20260320'!$J:$J,$B40,'AR Aging 20260320'!$K:$K,$C40)+SUMIFS(Bookings!$E:$E,Bookings!$L:$L,$B40,Bookings!$K:$K,$C40)</f>
        <v>0</v>
      </c>
      <c r="E40" s="42">
        <f>SUMIFS('AR Aging 20260320'!$H:$H, 'AR Aging 20260320'!$N:$N,$C40,'AR Aging 20260320'!$M:$M,$B40)+SUMIFS(Bookings!$E:$E,Bookings!$P:$P,$B40,Bookings!$O:$O,$C40)</f>
        <v>603337.6</v>
      </c>
      <c r="F40" s="42">
        <f t="shared" si="2"/>
        <v>15265148.88</v>
      </c>
      <c r="G40" s="4"/>
      <c r="H40" s="4"/>
      <c r="I40" s="4"/>
      <c r="J40" s="4"/>
    </row>
    <row r="41" ht="15.75" customHeight="1">
      <c r="A41" s="77">
        <f t="shared" si="1"/>
        <v>46290</v>
      </c>
      <c r="B41" s="4">
        <v>2026.0</v>
      </c>
      <c r="C41" s="3">
        <v>39.0</v>
      </c>
      <c r="D41" s="42">
        <f>SUMIFS('AR Aging 20260320'!$H:$H,'AR Aging 20260320'!$J:$J,$B41,'AR Aging 20260320'!$K:$K,$C41)+SUMIFS(Bookings!$E:$E,Bookings!$L:$L,$B41,Bookings!$K:$K,$C41)</f>
        <v>0</v>
      </c>
      <c r="E41" s="42">
        <f>SUMIFS('AR Aging 20260320'!$H:$H, 'AR Aging 20260320'!$N:$N,$C41,'AR Aging 20260320'!$M:$M,$B41)+SUMIFS(Bookings!$E:$E,Bookings!$P:$P,$B41,Bookings!$O:$O,$C41)</f>
        <v>0</v>
      </c>
      <c r="F41" s="42">
        <f t="shared" si="2"/>
        <v>15265148.88</v>
      </c>
      <c r="G41" s="4"/>
      <c r="H41" s="4"/>
      <c r="I41" s="4"/>
      <c r="J41" s="4"/>
    </row>
    <row r="42" ht="15.75" customHeight="1">
      <c r="A42" s="77">
        <f t="shared" si="1"/>
        <v>46297</v>
      </c>
      <c r="B42" s="4">
        <v>2026.0</v>
      </c>
      <c r="C42" s="3">
        <v>40.0</v>
      </c>
      <c r="D42" s="42">
        <f>SUMIFS('AR Aging 20260320'!$H:$H,'AR Aging 20260320'!$J:$J,$B42,'AR Aging 20260320'!$K:$K,$C42)+SUMIFS(Bookings!$E:$E,Bookings!$L:$L,$B42,Bookings!$K:$K,$C42)</f>
        <v>6164797.9</v>
      </c>
      <c r="E42" s="42">
        <f>SUMIFS('AR Aging 20260320'!$H:$H, 'AR Aging 20260320'!$N:$N,$C42,'AR Aging 20260320'!$M:$M,$B42)+SUMIFS(Bookings!$E:$E,Bookings!$P:$P,$B42,Bookings!$O:$O,$C42)</f>
        <v>5528567.5</v>
      </c>
      <c r="F42" s="42">
        <f t="shared" si="2"/>
        <v>15901379.28</v>
      </c>
      <c r="G42" s="4"/>
      <c r="H42" s="4"/>
      <c r="I42" s="4"/>
      <c r="J42" s="4"/>
    </row>
    <row r="43" ht="15.75" customHeight="1">
      <c r="A43" s="77">
        <f t="shared" si="1"/>
        <v>46304</v>
      </c>
      <c r="B43" s="4">
        <v>2026.0</v>
      </c>
      <c r="C43" s="3">
        <v>41.0</v>
      </c>
      <c r="D43" s="42">
        <f>SUMIFS('AR Aging 20260320'!$H:$H,'AR Aging 20260320'!$J:$J,$B43,'AR Aging 20260320'!$K:$K,$C43)+SUMIFS(Bookings!$E:$E,Bookings!$L:$L,$B43,Bookings!$K:$K,$C43)</f>
        <v>0</v>
      </c>
      <c r="E43" s="42">
        <f>SUMIFS('AR Aging 20260320'!$H:$H, 'AR Aging 20260320'!$N:$N,$C43,'AR Aging 20260320'!$M:$M,$B43)+SUMIFS(Bookings!$E:$E,Bookings!$P:$P,$B43,Bookings!$O:$O,$C43)</f>
        <v>0</v>
      </c>
      <c r="F43" s="42">
        <f t="shared" si="2"/>
        <v>15901379.28</v>
      </c>
      <c r="G43" s="4"/>
      <c r="H43" s="4"/>
      <c r="I43" s="4"/>
      <c r="J43" s="4"/>
    </row>
    <row r="44" ht="15.75" customHeight="1">
      <c r="A44" s="77">
        <f t="shared" si="1"/>
        <v>46311</v>
      </c>
      <c r="B44" s="4">
        <v>2026.0</v>
      </c>
      <c r="C44" s="3">
        <v>42.0</v>
      </c>
      <c r="D44" s="42">
        <f>SUMIFS('AR Aging 20260320'!$H:$H,'AR Aging 20260320'!$J:$J,$B44,'AR Aging 20260320'!$K:$K,$C44)+SUMIFS(Bookings!$E:$E,Bookings!$L:$L,$B44,Bookings!$K:$K,$C44)</f>
        <v>0</v>
      </c>
      <c r="E44" s="42">
        <f>SUMIFS('AR Aging 20260320'!$H:$H, 'AR Aging 20260320'!$N:$N,$C44,'AR Aging 20260320'!$M:$M,$B44)+SUMIFS(Bookings!$E:$E,Bookings!$P:$P,$B44,Bookings!$O:$O,$C44)</f>
        <v>422232.4</v>
      </c>
      <c r="F44" s="42">
        <f t="shared" si="2"/>
        <v>15479146.88</v>
      </c>
      <c r="G44" s="4"/>
      <c r="H44" s="4"/>
      <c r="I44" s="4"/>
      <c r="J44" s="4"/>
    </row>
    <row r="45" ht="15.75" customHeight="1">
      <c r="A45" s="77">
        <f t="shared" si="1"/>
        <v>46318</v>
      </c>
      <c r="B45" s="4">
        <v>2026.0</v>
      </c>
      <c r="C45" s="3">
        <v>43.0</v>
      </c>
      <c r="D45" s="42">
        <f>SUMIFS('AR Aging 20260320'!$H:$H,'AR Aging 20260320'!$J:$J,$B45,'AR Aging 20260320'!$K:$K,$C45)+SUMIFS(Bookings!$E:$E,Bookings!$L:$L,$B45,Bookings!$K:$K,$C45)</f>
        <v>0</v>
      </c>
      <c r="E45" s="42">
        <f>SUMIFS('AR Aging 20260320'!$H:$H, 'AR Aging 20260320'!$N:$N,$C45,'AR Aging 20260320'!$M:$M,$B45)+SUMIFS(Bookings!$E:$E,Bookings!$P:$P,$B45,Bookings!$O:$O,$C45)</f>
        <v>0</v>
      </c>
      <c r="F45" s="42">
        <f t="shared" si="2"/>
        <v>15479146.88</v>
      </c>
      <c r="G45" s="4"/>
      <c r="H45" s="4"/>
      <c r="I45" s="4"/>
      <c r="J45" s="4"/>
    </row>
    <row r="46" ht="15.75" customHeight="1">
      <c r="A46" s="77">
        <f t="shared" si="1"/>
        <v>46325</v>
      </c>
      <c r="B46" s="4">
        <v>2026.0</v>
      </c>
      <c r="C46" s="3">
        <v>44.0</v>
      </c>
      <c r="D46" s="42">
        <f>SUMIFS('AR Aging 20260320'!$H:$H,'AR Aging 20260320'!$J:$J,$B46,'AR Aging 20260320'!$K:$K,$C46)+SUMIFS(Bookings!$E:$E,Bookings!$L:$L,$B46,Bookings!$K:$K,$C46)</f>
        <v>4263220.4</v>
      </c>
      <c r="E46" s="42">
        <f>SUMIFS('AR Aging 20260320'!$H:$H, 'AR Aging 20260320'!$N:$N,$C46,'AR Aging 20260320'!$M:$M,$B46)+SUMIFS(Bookings!$E:$E,Bookings!$P:$P,$B46,Bookings!$O:$O,$C46)</f>
        <v>5384293</v>
      </c>
      <c r="F46" s="42">
        <f t="shared" si="2"/>
        <v>14358074.28</v>
      </c>
      <c r="G46" s="4"/>
      <c r="H46" s="4"/>
      <c r="I46" s="4"/>
      <c r="J46" s="4"/>
    </row>
    <row r="47" ht="15.75" customHeight="1">
      <c r="A47" s="77">
        <f t="shared" si="1"/>
        <v>46332</v>
      </c>
      <c r="B47" s="4">
        <v>2026.0</v>
      </c>
      <c r="C47" s="3">
        <v>45.0</v>
      </c>
      <c r="D47" s="42">
        <f>SUMIFS('AR Aging 20260320'!$H:$H,'AR Aging 20260320'!$J:$J,$B47,'AR Aging 20260320'!$K:$K,$C47)+SUMIFS(Bookings!$E:$E,Bookings!$L:$L,$B47,Bookings!$K:$K,$C47)</f>
        <v>0</v>
      </c>
      <c r="E47" s="42">
        <f>SUMIFS('AR Aging 20260320'!$H:$H, 'AR Aging 20260320'!$N:$N,$C47,'AR Aging 20260320'!$M:$M,$B47)+SUMIFS(Bookings!$E:$E,Bookings!$P:$P,$B47,Bookings!$O:$O,$C47)</f>
        <v>0</v>
      </c>
      <c r="F47" s="42">
        <f t="shared" si="2"/>
        <v>14358074.28</v>
      </c>
      <c r="G47" s="4"/>
      <c r="H47" s="4"/>
      <c r="I47" s="4"/>
      <c r="J47" s="4"/>
    </row>
    <row r="48" ht="15.75" customHeight="1">
      <c r="A48" s="77">
        <f t="shared" si="1"/>
        <v>46339</v>
      </c>
      <c r="B48" s="4">
        <v>2026.0</v>
      </c>
      <c r="C48" s="3">
        <v>46.0</v>
      </c>
      <c r="D48" s="42">
        <f>SUMIFS('AR Aging 20260320'!$H:$H,'AR Aging 20260320'!$J:$J,$B48,'AR Aging 20260320'!$K:$K,$C48)+SUMIFS(Bookings!$E:$E,Bookings!$L:$L,$B48,Bookings!$K:$K,$C48)</f>
        <v>0</v>
      </c>
      <c r="E48" s="42">
        <f>SUMIFS('AR Aging 20260320'!$H:$H, 'AR Aging 20260320'!$N:$N,$C48,'AR Aging 20260320'!$M:$M,$B48)+SUMIFS(Bookings!$E:$E,Bookings!$P:$P,$B48,Bookings!$O:$O,$C48)</f>
        <v>1128070.4</v>
      </c>
      <c r="F48" s="42">
        <f t="shared" si="2"/>
        <v>13230003.88</v>
      </c>
      <c r="G48" s="4"/>
      <c r="H48" s="4"/>
      <c r="I48" s="4"/>
      <c r="J48" s="4"/>
    </row>
    <row r="49" ht="15.75" customHeight="1">
      <c r="A49" s="77">
        <f t="shared" si="1"/>
        <v>46346</v>
      </c>
      <c r="B49" s="4">
        <v>2026.0</v>
      </c>
      <c r="C49" s="3">
        <v>47.0</v>
      </c>
      <c r="D49" s="42">
        <f>SUMIFS('AR Aging 20260320'!$H:$H,'AR Aging 20260320'!$J:$J,$B49,'AR Aging 20260320'!$K:$K,$C49)+SUMIFS(Bookings!$E:$E,Bookings!$L:$L,$B49,Bookings!$K:$K,$C49)</f>
        <v>0</v>
      </c>
      <c r="E49" s="42">
        <f>SUMIFS('AR Aging 20260320'!$H:$H, 'AR Aging 20260320'!$N:$N,$C49,'AR Aging 20260320'!$M:$M,$B49)+SUMIFS(Bookings!$E:$E,Bookings!$P:$P,$B49,Bookings!$O:$O,$C49)</f>
        <v>0</v>
      </c>
      <c r="F49" s="42">
        <f t="shared" si="2"/>
        <v>13230003.88</v>
      </c>
      <c r="G49" s="4"/>
      <c r="H49" s="4"/>
      <c r="I49" s="4"/>
      <c r="J49" s="4"/>
    </row>
    <row r="50" ht="15.75" customHeight="1">
      <c r="A50" s="77">
        <f t="shared" si="1"/>
        <v>46353</v>
      </c>
      <c r="B50" s="4">
        <v>2026.0</v>
      </c>
      <c r="C50" s="3">
        <v>48.0</v>
      </c>
      <c r="D50" s="42">
        <f>SUMIFS('AR Aging 20260320'!$H:$H,'AR Aging 20260320'!$J:$J,$B50,'AR Aging 20260320'!$K:$K,$C50)+SUMIFS(Bookings!$E:$E,Bookings!$L:$L,$B50,Bookings!$K:$K,$C50)</f>
        <v>0</v>
      </c>
      <c r="E50" s="42">
        <f>SUMIFS('AR Aging 20260320'!$H:$H, 'AR Aging 20260320'!$N:$N,$C50,'AR Aging 20260320'!$M:$M,$B50)+SUMIFS(Bookings!$E:$E,Bookings!$P:$P,$B50,Bookings!$O:$O,$C50)</f>
        <v>5101727.5</v>
      </c>
      <c r="F50" s="42">
        <f t="shared" si="2"/>
        <v>8128276.375</v>
      </c>
      <c r="G50" s="4"/>
      <c r="H50" s="4"/>
      <c r="I50" s="4"/>
      <c r="J50" s="4"/>
    </row>
    <row r="51" ht="15.75" customHeight="1">
      <c r="A51" s="77">
        <f t="shared" si="1"/>
        <v>46360</v>
      </c>
      <c r="B51" s="4">
        <v>2026.0</v>
      </c>
      <c r="C51" s="3">
        <v>49.0</v>
      </c>
      <c r="D51" s="42">
        <f>SUMIFS('AR Aging 20260320'!$H:$H,'AR Aging 20260320'!$J:$J,$B51,'AR Aging 20260320'!$K:$K,$C51)+SUMIFS(Bookings!$E:$E,Bookings!$L:$L,$B51,Bookings!$K:$K,$C51)</f>
        <v>3000000</v>
      </c>
      <c r="E51" s="42">
        <f>SUMIFS('AR Aging 20260320'!$H:$H, 'AR Aging 20260320'!$N:$N,$C51,'AR Aging 20260320'!$M:$M,$B51)+SUMIFS(Bookings!$E:$E,Bookings!$P:$P,$B51,Bookings!$O:$O,$C51)</f>
        <v>0</v>
      </c>
      <c r="F51" s="42">
        <f t="shared" si="2"/>
        <v>11128276.38</v>
      </c>
      <c r="G51" s="4"/>
      <c r="H51" s="4"/>
      <c r="I51" s="4"/>
      <c r="J51" s="4"/>
    </row>
    <row r="52" ht="15.75" customHeight="1">
      <c r="A52" s="77">
        <f t="shared" si="1"/>
        <v>46367</v>
      </c>
      <c r="B52" s="4">
        <v>2026.0</v>
      </c>
      <c r="C52" s="3">
        <v>50.0</v>
      </c>
      <c r="D52" s="42">
        <f>SUMIFS('AR Aging 20260320'!$H:$H,'AR Aging 20260320'!$J:$J,$B52,'AR Aging 20260320'!$K:$K,$C52)+SUMIFS(Bookings!$E:$E,Bookings!$L:$L,$B52,Bookings!$K:$K,$C52)</f>
        <v>0</v>
      </c>
      <c r="E52" s="42">
        <f>SUMIFS('AR Aging 20260320'!$H:$H, 'AR Aging 20260320'!$N:$N,$C52,'AR Aging 20260320'!$M:$M,$B52)+SUMIFS(Bookings!$E:$E,Bookings!$P:$P,$B52,Bookings!$O:$O,$C52)</f>
        <v>0</v>
      </c>
      <c r="F52" s="42">
        <f t="shared" si="2"/>
        <v>11128276.38</v>
      </c>
      <c r="G52" s="4"/>
      <c r="H52" s="4"/>
      <c r="I52" s="4"/>
      <c r="J52" s="4"/>
    </row>
    <row r="53" ht="15.75" customHeight="1">
      <c r="A53" s="77">
        <f t="shared" si="1"/>
        <v>46374</v>
      </c>
      <c r="B53" s="4">
        <v>2026.0</v>
      </c>
      <c r="C53" s="3">
        <v>51.0</v>
      </c>
      <c r="D53" s="42">
        <f>SUMIFS('AR Aging 20260320'!$H:$H,'AR Aging 20260320'!$J:$J,$B53,'AR Aging 20260320'!$K:$K,$C53)+SUMIFS(Bookings!$E:$E,Bookings!$L:$L,$B53,Bookings!$K:$K,$C53)</f>
        <v>0</v>
      </c>
      <c r="E53" s="42">
        <f>SUMIFS('AR Aging 20260320'!$H:$H, 'AR Aging 20260320'!$N:$N,$C53,'AR Aging 20260320'!$M:$M,$B53)+SUMIFS(Bookings!$E:$E,Bookings!$P:$P,$B53,Bookings!$O:$O,$C53)</f>
        <v>232020.4</v>
      </c>
      <c r="F53" s="42">
        <f t="shared" si="2"/>
        <v>10896255.98</v>
      </c>
      <c r="G53" s="4"/>
      <c r="H53" s="4"/>
      <c r="I53" s="4"/>
      <c r="J53" s="4"/>
    </row>
    <row r="54" ht="15.75" customHeight="1">
      <c r="A54" s="77">
        <f t="shared" si="1"/>
        <v>46381</v>
      </c>
      <c r="B54" s="4">
        <v>2026.0</v>
      </c>
      <c r="C54" s="3">
        <v>52.0</v>
      </c>
      <c r="D54" s="42">
        <f>SUMIFS('AR Aging 20260320'!$H:$H,'AR Aging 20260320'!$J:$J,$B54,'AR Aging 20260320'!$K:$K,$C54)+SUMIFS(Bookings!$E:$E,Bookings!$L:$L,$B54,Bookings!$K:$K,$C54)</f>
        <v>0</v>
      </c>
      <c r="E54" s="42">
        <f>SUMIFS('AR Aging 20260320'!$H:$H, 'AR Aging 20260320'!$N:$N,$C54,'AR Aging 20260320'!$M:$M,$B54)+SUMIFS(Bookings!$E:$E,Bookings!$P:$P,$B54,Bookings!$O:$O,$C54)</f>
        <v>0</v>
      </c>
      <c r="F54" s="42">
        <f t="shared" si="2"/>
        <v>10896255.98</v>
      </c>
      <c r="G54" s="4"/>
      <c r="H54" s="4"/>
      <c r="I54" s="4"/>
      <c r="J54" s="4"/>
    </row>
    <row r="55" ht="15.75" customHeight="1">
      <c r="A55" s="77">
        <f t="shared" si="1"/>
        <v>46388</v>
      </c>
      <c r="B55" s="4">
        <v>2027.0</v>
      </c>
      <c r="C55" s="3">
        <v>1.0</v>
      </c>
      <c r="D55" s="42">
        <f>SUMIFS('AR Aging 20260320'!$H:$H,'AR Aging 20260320'!$J:$J,$B55,'AR Aging 20260320'!$K:$K,$C55)+SUMIFS(Bookings!$E:$E,Bookings!$L:$L,$B55,Bookings!$K:$K,$C55)</f>
        <v>0</v>
      </c>
      <c r="E55" s="42">
        <f>SUMIFS('AR Aging 20260320'!$H:$H, 'AR Aging 20260320'!$N:$N,$C55,'AR Aging 20260320'!$M:$M,$B55)+SUMIFS(Bookings!$E:$E,Bookings!$P:$P,$B55,Bookings!$O:$O,$C55)</f>
        <v>4031200</v>
      </c>
      <c r="F55" s="42">
        <f t="shared" si="2"/>
        <v>6865055.975</v>
      </c>
      <c r="G55" s="4"/>
      <c r="H55" s="4"/>
      <c r="I55" s="4"/>
      <c r="J55" s="4"/>
    </row>
    <row r="56" ht="15.75" customHeight="1">
      <c r="A56" s="77">
        <f t="shared" si="1"/>
        <v>46395</v>
      </c>
      <c r="B56" s="4">
        <v>2027.0</v>
      </c>
      <c r="C56" s="3">
        <v>2.0</v>
      </c>
      <c r="D56" s="42">
        <f>SUMIFS('AR Aging 20260320'!$H:$H,'AR Aging 20260320'!$J:$J,$B56,'AR Aging 20260320'!$K:$K,$C56)+SUMIFS(Bookings!$E:$E,Bookings!$L:$L,$B56,Bookings!$K:$K,$C56)</f>
        <v>0</v>
      </c>
      <c r="E56" s="42">
        <f>SUMIFS('AR Aging 20260320'!$H:$H, 'AR Aging 20260320'!$N:$N,$C56,'AR Aging 20260320'!$M:$M,$B56)+SUMIFS(Bookings!$E:$E,Bookings!$P:$P,$B56,Bookings!$O:$O,$C56)</f>
        <v>0</v>
      </c>
      <c r="F56" s="42">
        <f t="shared" si="2"/>
        <v>6865055.975</v>
      </c>
      <c r="G56" s="4"/>
      <c r="H56" s="4"/>
      <c r="I56" s="4"/>
      <c r="J56" s="4"/>
    </row>
    <row r="57" ht="15.75" customHeight="1">
      <c r="A57" s="77">
        <f t="shared" si="1"/>
        <v>46402</v>
      </c>
      <c r="B57" s="4">
        <v>2027.0</v>
      </c>
      <c r="C57" s="3">
        <v>3.0</v>
      </c>
      <c r="D57" s="42">
        <f>SUMIFS('AR Aging 20260320'!$H:$H,'AR Aging 20260320'!$J:$J,$B57,'AR Aging 20260320'!$K:$K,$C57)+SUMIFS(Bookings!$E:$E,Bookings!$L:$L,$B57,Bookings!$K:$K,$C57)</f>
        <v>0</v>
      </c>
      <c r="E57" s="42">
        <f>SUMIFS('AR Aging 20260320'!$H:$H, 'AR Aging 20260320'!$N:$N,$C57,'AR Aging 20260320'!$M:$M,$B57)+SUMIFS(Bookings!$E:$E,Bookings!$P:$P,$B57,Bookings!$O:$O,$C57)</f>
        <v>0</v>
      </c>
      <c r="F57" s="42">
        <f t="shared" si="2"/>
        <v>6865055.975</v>
      </c>
      <c r="G57" s="4"/>
      <c r="H57" s="4"/>
      <c r="I57" s="4"/>
      <c r="J57" s="4"/>
    </row>
    <row r="58" ht="15.75" customHeight="1">
      <c r="A58" s="77">
        <f t="shared" si="1"/>
        <v>46409</v>
      </c>
      <c r="B58" s="4">
        <v>2027.0</v>
      </c>
      <c r="C58" s="3">
        <v>4.0</v>
      </c>
      <c r="D58" s="42">
        <f>SUMIFS('AR Aging 20260320'!$H:$H,'AR Aging 20260320'!$J:$J,$B58,'AR Aging 20260320'!$K:$K,$C58)+SUMIFS(Bookings!$E:$E,Bookings!$L:$L,$B58,Bookings!$K:$K,$C58)</f>
        <v>0</v>
      </c>
      <c r="E58" s="42">
        <f>SUMIFS('AR Aging 20260320'!$H:$H, 'AR Aging 20260320'!$N:$N,$C58,'AR Aging 20260320'!$M:$M,$B58)+SUMIFS(Bookings!$E:$E,Bookings!$P:$P,$B58,Bookings!$O:$O,$C58)</f>
        <v>0</v>
      </c>
      <c r="F58" s="42">
        <f t="shared" si="2"/>
        <v>6865055.975</v>
      </c>
      <c r="G58" s="4"/>
      <c r="H58" s="4"/>
      <c r="I58" s="4"/>
      <c r="J58" s="4"/>
    </row>
    <row r="59" ht="15.75" customHeight="1">
      <c r="A59" s="77">
        <f t="shared" si="1"/>
        <v>46416</v>
      </c>
      <c r="B59" s="4">
        <v>2027.0</v>
      </c>
      <c r="C59" s="3">
        <v>5.0</v>
      </c>
      <c r="D59" s="42">
        <f>SUMIFS('AR Aging 20260320'!$H:$H,'AR Aging 20260320'!$J:$J,$B59,'AR Aging 20260320'!$K:$K,$C59)+SUMIFS(Bookings!$E:$E,Bookings!$L:$L,$B59,Bookings!$K:$K,$C59)</f>
        <v>0</v>
      </c>
      <c r="E59" s="42">
        <f>SUMIFS('AR Aging 20260320'!$H:$H, 'AR Aging 20260320'!$N:$N,$C59,'AR Aging 20260320'!$M:$M,$B59)+SUMIFS(Bookings!$E:$E,Bookings!$P:$P,$B59,Bookings!$O:$O,$C59)</f>
        <v>3000000</v>
      </c>
      <c r="F59" s="42">
        <f t="shared" si="2"/>
        <v>3865055.975</v>
      </c>
      <c r="G59" s="4"/>
      <c r="H59" s="4"/>
      <c r="I59" s="4"/>
      <c r="J59" s="4"/>
    </row>
    <row r="60" ht="15.75" customHeight="1">
      <c r="A60" s="77">
        <f t="shared" si="1"/>
        <v>46423</v>
      </c>
      <c r="B60" s="4">
        <v>2027.0</v>
      </c>
      <c r="C60" s="3">
        <v>6.0</v>
      </c>
      <c r="D60" s="42">
        <f>SUMIFS('AR Aging 20260320'!$H:$H,'AR Aging 20260320'!$J:$J,$B60,'AR Aging 20260320'!$K:$K,$C60)+SUMIFS(Bookings!$E:$E,Bookings!$L:$L,$B60,Bookings!$K:$K,$C60)</f>
        <v>1000000</v>
      </c>
      <c r="E60" s="42">
        <f>SUMIFS('AR Aging 20260320'!$H:$H, 'AR Aging 20260320'!$N:$N,$C60,'AR Aging 20260320'!$M:$M,$B60)+SUMIFS(Bookings!$E:$E,Bookings!$P:$P,$B60,Bookings!$O:$O,$C60)</f>
        <v>0</v>
      </c>
      <c r="F60" s="42">
        <f t="shared" si="2"/>
        <v>4865055.975</v>
      </c>
      <c r="G60" s="4"/>
      <c r="H60" s="4"/>
      <c r="I60" s="4"/>
      <c r="J60" s="4"/>
    </row>
    <row r="61" ht="15.75" customHeight="1">
      <c r="A61" s="77">
        <f t="shared" si="1"/>
        <v>46430</v>
      </c>
      <c r="B61" s="4">
        <v>2027.0</v>
      </c>
      <c r="C61" s="3">
        <v>7.0</v>
      </c>
      <c r="D61" s="42">
        <f>SUMIFS('AR Aging 20260320'!$H:$H,'AR Aging 20260320'!$J:$J,$B61,'AR Aging 20260320'!$K:$K,$C61)+SUMIFS(Bookings!$E:$E,Bookings!$L:$L,$B61,Bookings!$K:$K,$C61)</f>
        <v>0</v>
      </c>
      <c r="E61" s="42">
        <f>SUMIFS('AR Aging 20260320'!$H:$H, 'AR Aging 20260320'!$N:$N,$C61,'AR Aging 20260320'!$M:$M,$B61)+SUMIFS(Bookings!$E:$E,Bookings!$P:$P,$B61,Bookings!$O:$O,$C61)</f>
        <v>0</v>
      </c>
      <c r="F61" s="42">
        <f t="shared" si="2"/>
        <v>4865055.975</v>
      </c>
      <c r="G61" s="4"/>
      <c r="H61" s="4"/>
      <c r="I61" s="4"/>
      <c r="J61" s="4"/>
    </row>
    <row r="62" ht="15.75" customHeight="1">
      <c r="A62" s="77">
        <f t="shared" si="1"/>
        <v>46437</v>
      </c>
      <c r="B62" s="4">
        <v>2027.0</v>
      </c>
      <c r="C62" s="3">
        <v>8.0</v>
      </c>
      <c r="D62" s="42">
        <f>SUMIFS('AR Aging 20260320'!$H:$H,'AR Aging 20260320'!$J:$J,$B62,'AR Aging 20260320'!$K:$K,$C62)+SUMIFS(Bookings!$E:$E,Bookings!$L:$L,$B62,Bookings!$K:$K,$C62)</f>
        <v>0</v>
      </c>
      <c r="E62" s="42">
        <f>SUMIFS('AR Aging 20260320'!$H:$H, 'AR Aging 20260320'!$N:$N,$C62,'AR Aging 20260320'!$M:$M,$B62)+SUMIFS(Bookings!$E:$E,Bookings!$P:$P,$B62,Bookings!$O:$O,$C62)</f>
        <v>0</v>
      </c>
      <c r="F62" s="42">
        <f t="shared" si="2"/>
        <v>4865055.975</v>
      </c>
      <c r="G62" s="4"/>
      <c r="H62" s="4"/>
      <c r="I62" s="4"/>
      <c r="J62" s="4"/>
    </row>
    <row r="63" ht="15.75" customHeight="1">
      <c r="A63" s="77">
        <f t="shared" si="1"/>
        <v>46444</v>
      </c>
      <c r="B63" s="4">
        <v>2027.0</v>
      </c>
      <c r="C63" s="3">
        <v>9.0</v>
      </c>
      <c r="D63" s="42">
        <f>SUMIFS('AR Aging 20260320'!$H:$H,'AR Aging 20260320'!$J:$J,$B63,'AR Aging 20260320'!$K:$K,$C63)+SUMIFS(Bookings!$E:$E,Bookings!$L:$L,$B63,Bookings!$K:$K,$C63)</f>
        <v>0</v>
      </c>
      <c r="E63" s="42">
        <f>SUMIFS('AR Aging 20260320'!$H:$H, 'AR Aging 20260320'!$N:$N,$C63,'AR Aging 20260320'!$M:$M,$B63)+SUMIFS(Bookings!$E:$E,Bookings!$P:$P,$B63,Bookings!$O:$O,$C63)</f>
        <v>0</v>
      </c>
      <c r="F63" s="42">
        <f t="shared" si="2"/>
        <v>4865055.975</v>
      </c>
      <c r="G63" s="4"/>
      <c r="H63" s="4"/>
      <c r="I63" s="4"/>
      <c r="J63" s="4"/>
    </row>
    <row r="64" ht="15.75" customHeight="1">
      <c r="A64" s="77">
        <f t="shared" si="1"/>
        <v>46451</v>
      </c>
      <c r="B64" s="4">
        <v>2027.0</v>
      </c>
      <c r="C64" s="3">
        <v>10.0</v>
      </c>
      <c r="D64" s="42">
        <f>SUMIFS('AR Aging 20260320'!$H:$H,'AR Aging 20260320'!$J:$J,$B64,'AR Aging 20260320'!$K:$K,$C64)+SUMIFS(Bookings!$E:$E,Bookings!$L:$L,$B64,Bookings!$K:$K,$C64)</f>
        <v>0</v>
      </c>
      <c r="E64" s="42">
        <f>SUMIFS('AR Aging 20260320'!$H:$H, 'AR Aging 20260320'!$N:$N,$C64,'AR Aging 20260320'!$M:$M,$B64)+SUMIFS(Bookings!$E:$E,Bookings!$P:$P,$B64,Bookings!$O:$O,$C64)</f>
        <v>2000000</v>
      </c>
      <c r="F64" s="42">
        <f t="shared" si="2"/>
        <v>2865055.975</v>
      </c>
      <c r="G64" s="4"/>
      <c r="H64" s="4"/>
      <c r="I64" s="4"/>
      <c r="J64" s="4"/>
    </row>
    <row r="65" ht="15.75" customHeight="1">
      <c r="A65" s="77">
        <f t="shared" si="1"/>
        <v>46458</v>
      </c>
      <c r="B65" s="4">
        <v>2027.0</v>
      </c>
      <c r="C65" s="3">
        <v>11.0</v>
      </c>
      <c r="D65" s="42">
        <f>SUMIFS('AR Aging 20260320'!$H:$H,'AR Aging 20260320'!$J:$J,$B65,'AR Aging 20260320'!$K:$K,$C65)+SUMIFS(Bookings!$E:$E,Bookings!$L:$L,$B65,Bookings!$K:$K,$C65)</f>
        <v>0</v>
      </c>
      <c r="E65" s="42">
        <f>SUMIFS('AR Aging 20260320'!$H:$H, 'AR Aging 20260320'!$N:$N,$C65,'AR Aging 20260320'!$M:$M,$B65)+SUMIFS(Bookings!$E:$E,Bookings!$P:$P,$B65,Bookings!$O:$O,$C65)</f>
        <v>0</v>
      </c>
      <c r="F65" s="42">
        <f t="shared" si="2"/>
        <v>2865055.975</v>
      </c>
      <c r="G65" s="4"/>
      <c r="H65" s="4"/>
      <c r="I65" s="4"/>
      <c r="J65" s="4"/>
    </row>
    <row r="66" ht="15.75" customHeight="1">
      <c r="A66" s="77">
        <f t="shared" si="1"/>
        <v>46465</v>
      </c>
      <c r="B66" s="4">
        <v>2027.0</v>
      </c>
      <c r="C66" s="3">
        <v>12.0</v>
      </c>
      <c r="D66" s="42">
        <f>SUMIFS('AR Aging 20260320'!$H:$H,'AR Aging 20260320'!$J:$J,$B66,'AR Aging 20260320'!$K:$K,$C66)+SUMIFS(Bookings!$E:$E,Bookings!$L:$L,$B66,Bookings!$K:$K,$C66)</f>
        <v>0</v>
      </c>
      <c r="E66" s="42">
        <f>SUMIFS('AR Aging 20260320'!$H:$H, 'AR Aging 20260320'!$N:$N,$C66,'AR Aging 20260320'!$M:$M,$B66)+SUMIFS(Bookings!$E:$E,Bookings!$P:$P,$B66,Bookings!$O:$O,$C66)</f>
        <v>0</v>
      </c>
      <c r="F66" s="42">
        <f t="shared" si="2"/>
        <v>2865055.975</v>
      </c>
      <c r="G66" s="4"/>
      <c r="H66" s="4"/>
      <c r="I66" s="4"/>
      <c r="J66" s="4"/>
    </row>
    <row r="67" ht="15.75" customHeight="1">
      <c r="A67" s="77">
        <f t="shared" si="1"/>
        <v>46472</v>
      </c>
      <c r="B67" s="4">
        <v>2027.0</v>
      </c>
      <c r="C67" s="3">
        <v>13.0</v>
      </c>
      <c r="D67" s="42">
        <f>SUMIFS('AR Aging 20260320'!$H:$H,'AR Aging 20260320'!$J:$J,$B67,'AR Aging 20260320'!$K:$K,$C67)+SUMIFS(Bookings!$E:$E,Bookings!$L:$L,$B67,Bookings!$K:$K,$C67)</f>
        <v>0</v>
      </c>
      <c r="E67" s="42">
        <f>SUMIFS('AR Aging 20260320'!$H:$H, 'AR Aging 20260320'!$N:$N,$C67,'AR Aging 20260320'!$M:$M,$B67)+SUMIFS(Bookings!$E:$E,Bookings!$P:$P,$B67,Bookings!$O:$O,$C67)</f>
        <v>0</v>
      </c>
      <c r="F67" s="42">
        <f t="shared" si="2"/>
        <v>2865055.975</v>
      </c>
      <c r="G67" s="4"/>
      <c r="H67" s="4"/>
      <c r="I67" s="4"/>
      <c r="J67" s="4"/>
    </row>
    <row r="68" ht="15.75" customHeight="1">
      <c r="A68" s="77">
        <f t="shared" si="1"/>
        <v>46479</v>
      </c>
      <c r="B68" s="4">
        <v>2027.0</v>
      </c>
      <c r="C68" s="3">
        <v>14.0</v>
      </c>
      <c r="D68" s="42">
        <f>SUMIFS('AR Aging 20260320'!$H:$H,'AR Aging 20260320'!$J:$J,$B68,'AR Aging 20260320'!$K:$K,$C68)+SUMIFS(Bookings!$E:$E,Bookings!$L:$L,$B68,Bookings!$K:$K,$C68)</f>
        <v>0</v>
      </c>
      <c r="E68" s="42">
        <f>SUMIFS('AR Aging 20260320'!$H:$H, 'AR Aging 20260320'!$N:$N,$C68,'AR Aging 20260320'!$M:$M,$B68)+SUMIFS(Bookings!$E:$E,Bookings!$P:$P,$B68,Bookings!$O:$O,$C68)</f>
        <v>1000000</v>
      </c>
      <c r="F68" s="42">
        <f t="shared" si="2"/>
        <v>1865055.975</v>
      </c>
      <c r="G68" s="4"/>
      <c r="H68" s="4"/>
      <c r="I68" s="4"/>
      <c r="J68" s="4"/>
    </row>
    <row r="69" ht="15.75" customHeight="1">
      <c r="A69" s="77">
        <f t="shared" si="1"/>
        <v>46486</v>
      </c>
      <c r="B69" s="4">
        <v>2027.0</v>
      </c>
      <c r="C69" s="3">
        <v>15.0</v>
      </c>
      <c r="D69" s="42">
        <f>SUMIFS('AR Aging 20260320'!$H:$H,'AR Aging 20260320'!$J:$J,$B69,'AR Aging 20260320'!$K:$K,$C69)+SUMIFS(Bookings!$E:$E,Bookings!$L:$L,$B69,Bookings!$K:$K,$C69)</f>
        <v>0</v>
      </c>
      <c r="E69" s="42">
        <f>SUMIFS('AR Aging 20260320'!$H:$H, 'AR Aging 20260320'!$N:$N,$C69,'AR Aging 20260320'!$M:$M,$B69)+SUMIFS(Bookings!$E:$E,Bookings!$P:$P,$B69,Bookings!$O:$O,$C69)</f>
        <v>0</v>
      </c>
      <c r="F69" s="42">
        <f t="shared" si="2"/>
        <v>1865055.975</v>
      </c>
      <c r="G69" s="4"/>
      <c r="H69" s="4"/>
      <c r="I69" s="4"/>
      <c r="J69" s="4"/>
    </row>
    <row r="70" ht="15.75" customHeight="1">
      <c r="A70" s="77">
        <f t="shared" si="1"/>
        <v>46493</v>
      </c>
      <c r="B70" s="4">
        <v>2027.0</v>
      </c>
      <c r="C70" s="3">
        <v>16.0</v>
      </c>
      <c r="D70" s="42">
        <f>SUMIFS('AR Aging 20260320'!$H:$H,'AR Aging 20260320'!$J:$J,$B70,'AR Aging 20260320'!$K:$K,$C70)+SUMIFS(Bookings!$E:$E,Bookings!$L:$L,$B70,Bookings!$K:$K,$C70)</f>
        <v>0</v>
      </c>
      <c r="E70" s="42">
        <f>SUMIFS('AR Aging 20260320'!$H:$H, 'AR Aging 20260320'!$N:$N,$C70,'AR Aging 20260320'!$M:$M,$B70)+SUMIFS(Bookings!$E:$E,Bookings!$P:$P,$B70,Bookings!$O:$O,$C70)</f>
        <v>0</v>
      </c>
      <c r="F70" s="42">
        <f t="shared" si="2"/>
        <v>1865055.975</v>
      </c>
      <c r="G70" s="4"/>
      <c r="H70" s="4"/>
      <c r="I70" s="4"/>
      <c r="J70" s="4"/>
    </row>
    <row r="71" ht="15.75" customHeight="1">
      <c r="A71" s="77">
        <f t="shared" si="1"/>
        <v>46500</v>
      </c>
      <c r="B71" s="4">
        <v>2027.0</v>
      </c>
      <c r="C71" s="3">
        <v>17.0</v>
      </c>
      <c r="D71" s="42">
        <f>SUMIFS('AR Aging 20260320'!$H:$H,'AR Aging 20260320'!$J:$J,$B71,'AR Aging 20260320'!$K:$K,$C71)+SUMIFS(Bookings!$E:$E,Bookings!$L:$L,$B71,Bookings!$K:$K,$C71)</f>
        <v>0</v>
      </c>
      <c r="E71" s="42">
        <f>SUMIFS('AR Aging 20260320'!$H:$H, 'AR Aging 20260320'!$N:$N,$C71,'AR Aging 20260320'!$M:$M,$B71)+SUMIFS(Bookings!$E:$E,Bookings!$P:$P,$B71,Bookings!$O:$O,$C71)</f>
        <v>0</v>
      </c>
      <c r="F71" s="42">
        <f t="shared" si="2"/>
        <v>1865055.975</v>
      </c>
      <c r="G71" s="4"/>
      <c r="H71" s="4"/>
      <c r="I71" s="4"/>
      <c r="J71" s="4"/>
    </row>
    <row r="72" ht="15.75" customHeight="1">
      <c r="A72" s="77">
        <f t="shared" si="1"/>
        <v>46507</v>
      </c>
      <c r="B72" s="4">
        <v>2027.0</v>
      </c>
      <c r="C72" s="3">
        <v>18.0</v>
      </c>
      <c r="D72" s="42">
        <f>SUMIFS('AR Aging 20260320'!$H:$H,'AR Aging 20260320'!$J:$J,$B72,'AR Aging 20260320'!$K:$K,$C72)+SUMIFS(Bookings!$E:$E,Bookings!$L:$L,$B72,Bookings!$K:$K,$C72)</f>
        <v>0</v>
      </c>
      <c r="E72" s="42">
        <f>SUMIFS('AR Aging 20260320'!$H:$H, 'AR Aging 20260320'!$N:$N,$C72,'AR Aging 20260320'!$M:$M,$B72)+SUMIFS(Bookings!$E:$E,Bookings!$P:$P,$B72,Bookings!$O:$O,$C72)</f>
        <v>0</v>
      </c>
      <c r="F72" s="42">
        <f t="shared" si="2"/>
        <v>1865055.975</v>
      </c>
      <c r="G72" s="4"/>
      <c r="H72" s="4"/>
      <c r="I72" s="4"/>
      <c r="J72" s="4"/>
    </row>
    <row r="73" ht="15.75" customHeight="1">
      <c r="A73" s="77">
        <f t="shared" si="1"/>
        <v>46514</v>
      </c>
      <c r="B73" s="4">
        <v>2027.0</v>
      </c>
      <c r="C73" s="3">
        <v>19.0</v>
      </c>
      <c r="D73" s="42">
        <f>SUMIFS('AR Aging 20260320'!$H:$H,'AR Aging 20260320'!$J:$J,$B73,'AR Aging 20260320'!$K:$K,$C73)+SUMIFS(Bookings!$E:$E,Bookings!$L:$L,$B73,Bookings!$K:$K,$C73)</f>
        <v>0</v>
      </c>
      <c r="E73" s="42">
        <f>SUMIFS('AR Aging 20260320'!$H:$H, 'AR Aging 20260320'!$N:$N,$C73,'AR Aging 20260320'!$M:$M,$B73)+SUMIFS(Bookings!$E:$E,Bookings!$P:$P,$B73,Bookings!$O:$O,$C73)</f>
        <v>0</v>
      </c>
      <c r="F73" s="42">
        <f t="shared" si="2"/>
        <v>1865055.975</v>
      </c>
      <c r="G73" s="4"/>
      <c r="H73" s="4"/>
      <c r="I73" s="4"/>
      <c r="J73" s="4"/>
    </row>
    <row r="74" ht="15.75" customHeight="1">
      <c r="A74" s="77">
        <f t="shared" si="1"/>
        <v>46521</v>
      </c>
      <c r="B74" s="4">
        <v>2027.0</v>
      </c>
      <c r="C74" s="3">
        <v>20.0</v>
      </c>
      <c r="D74" s="42">
        <f>SUMIFS('AR Aging 20260320'!$H:$H,'AR Aging 20260320'!$J:$J,$B74,'AR Aging 20260320'!$K:$K,$C74)+SUMIFS(Bookings!$E:$E,Bookings!$L:$L,$B74,Bookings!$K:$K,$C74)</f>
        <v>0</v>
      </c>
      <c r="E74" s="42">
        <f>SUMIFS('AR Aging 20260320'!$H:$H, 'AR Aging 20260320'!$N:$N,$C74,'AR Aging 20260320'!$M:$M,$B74)+SUMIFS(Bookings!$E:$E,Bookings!$P:$P,$B74,Bookings!$O:$O,$C74)</f>
        <v>0</v>
      </c>
      <c r="F74" s="42">
        <f t="shared" si="2"/>
        <v>1865055.975</v>
      </c>
      <c r="G74" s="4"/>
      <c r="H74" s="4"/>
      <c r="I74" s="4"/>
      <c r="J74" s="4"/>
    </row>
    <row r="75" ht="15.75" customHeight="1">
      <c r="A75" s="77">
        <f t="shared" si="1"/>
        <v>46528</v>
      </c>
      <c r="B75" s="4">
        <v>2027.0</v>
      </c>
      <c r="C75" s="3">
        <v>21.0</v>
      </c>
      <c r="D75" s="42">
        <f>SUMIFS('AR Aging 20260320'!$H:$H,'AR Aging 20260320'!$J:$J,$B75,'AR Aging 20260320'!$K:$K,$C75)+SUMIFS(Bookings!$E:$E,Bookings!$L:$L,$B75,Bookings!$K:$K,$C75)</f>
        <v>0</v>
      </c>
      <c r="E75" s="42">
        <f>SUMIFS('AR Aging 20260320'!$H:$H, 'AR Aging 20260320'!$N:$N,$C75,'AR Aging 20260320'!$M:$M,$B75)+SUMIFS(Bookings!$E:$E,Bookings!$P:$P,$B75,Bookings!$O:$O,$C75)</f>
        <v>0</v>
      </c>
      <c r="F75" s="42">
        <f t="shared" si="2"/>
        <v>1865055.975</v>
      </c>
      <c r="G75" s="4"/>
      <c r="H75" s="4"/>
      <c r="I75" s="4"/>
      <c r="J75" s="4"/>
    </row>
    <row r="76" ht="15.75" customHeight="1">
      <c r="A76" s="77">
        <f t="shared" si="1"/>
        <v>46535</v>
      </c>
      <c r="B76" s="4">
        <v>2027.0</v>
      </c>
      <c r="C76" s="3">
        <v>22.0</v>
      </c>
      <c r="D76" s="42">
        <f>SUMIFS('AR Aging 20260320'!$H:$H,'AR Aging 20260320'!$J:$J,$B76,'AR Aging 20260320'!$K:$K,$C76)+SUMIFS(Bookings!$E:$E,Bookings!$L:$L,$B76,Bookings!$K:$K,$C76)</f>
        <v>0</v>
      </c>
      <c r="E76" s="42">
        <f>SUMIFS('AR Aging 20260320'!$H:$H, 'AR Aging 20260320'!$N:$N,$C76,'AR Aging 20260320'!$M:$M,$B76)+SUMIFS(Bookings!$E:$E,Bookings!$P:$P,$B76,Bookings!$O:$O,$C76)</f>
        <v>0</v>
      </c>
      <c r="F76" s="42">
        <f t="shared" si="2"/>
        <v>1865055.975</v>
      </c>
      <c r="G76" s="4"/>
      <c r="H76" s="4"/>
      <c r="I76" s="4"/>
      <c r="J76" s="4"/>
    </row>
    <row r="77" ht="15.75" customHeight="1">
      <c r="A77" s="77">
        <f t="shared" si="1"/>
        <v>46542</v>
      </c>
      <c r="B77" s="4">
        <v>2027.0</v>
      </c>
      <c r="C77" s="3">
        <v>23.0</v>
      </c>
      <c r="D77" s="42">
        <f>SUMIFS('AR Aging 20260320'!$H:$H,'AR Aging 20260320'!$J:$J,$B77,'AR Aging 20260320'!$K:$K,$C77)+SUMIFS(Bookings!$E:$E,Bookings!$L:$L,$B77,Bookings!$K:$K,$C77)</f>
        <v>0</v>
      </c>
      <c r="E77" s="42">
        <f>SUMIFS('AR Aging 20260320'!$H:$H, 'AR Aging 20260320'!$N:$N,$C77,'AR Aging 20260320'!$M:$M,$B77)+SUMIFS(Bookings!$E:$E,Bookings!$P:$P,$B77,Bookings!$O:$O,$C77)</f>
        <v>0</v>
      </c>
      <c r="F77" s="42">
        <f t="shared" si="2"/>
        <v>1865055.975</v>
      </c>
      <c r="G77" s="4"/>
      <c r="H77" s="4"/>
      <c r="I77" s="4"/>
      <c r="J77" s="4"/>
    </row>
    <row r="78" ht="15.75" customHeight="1">
      <c r="A78" s="77">
        <f t="shared" si="1"/>
        <v>46549</v>
      </c>
      <c r="B78" s="4">
        <v>2027.0</v>
      </c>
      <c r="C78" s="3">
        <v>24.0</v>
      </c>
      <c r="D78" s="42">
        <f>SUMIFS('AR Aging 20260320'!$H:$H,'AR Aging 20260320'!$J:$J,$B78,'AR Aging 20260320'!$K:$K,$C78)+SUMIFS(Bookings!$E:$E,Bookings!$L:$L,$B78,Bookings!$K:$K,$C78)</f>
        <v>0</v>
      </c>
      <c r="E78" s="42">
        <f>SUMIFS('AR Aging 20260320'!$H:$H, 'AR Aging 20260320'!$N:$N,$C78,'AR Aging 20260320'!$M:$M,$B78)+SUMIFS(Bookings!$E:$E,Bookings!$P:$P,$B78,Bookings!$O:$O,$C78)</f>
        <v>0</v>
      </c>
      <c r="F78" s="42">
        <f t="shared" si="2"/>
        <v>1865055.975</v>
      </c>
      <c r="G78" s="4"/>
      <c r="H78" s="4"/>
      <c r="I78" s="4"/>
      <c r="J78" s="4"/>
    </row>
    <row r="79" ht="15.75" customHeight="1">
      <c r="A79" s="77">
        <f t="shared" si="1"/>
        <v>46556</v>
      </c>
      <c r="B79" s="4">
        <v>2027.0</v>
      </c>
      <c r="C79" s="3">
        <v>25.0</v>
      </c>
      <c r="D79" s="42">
        <f>SUMIFS('AR Aging 20260320'!$H:$H,'AR Aging 20260320'!$J:$J,$B79,'AR Aging 20260320'!$K:$K,$C79)+SUMIFS(Bookings!$E:$E,Bookings!$L:$L,$B79,Bookings!$K:$K,$C79)</f>
        <v>0</v>
      </c>
      <c r="E79" s="42">
        <f>SUMIFS('AR Aging 20260320'!$H:$H, 'AR Aging 20260320'!$N:$N,$C79,'AR Aging 20260320'!$M:$M,$B79)+SUMIFS(Bookings!$E:$E,Bookings!$P:$P,$B79,Bookings!$O:$O,$C79)</f>
        <v>0</v>
      </c>
      <c r="F79" s="42">
        <f t="shared" si="2"/>
        <v>1865055.975</v>
      </c>
      <c r="G79" s="4"/>
      <c r="H79" s="4"/>
      <c r="I79" s="4"/>
      <c r="J79" s="4"/>
    </row>
    <row r="80" ht="15.75" customHeight="1">
      <c r="A80" s="77">
        <f t="shared" si="1"/>
        <v>46563</v>
      </c>
      <c r="B80" s="4">
        <v>2027.0</v>
      </c>
      <c r="C80" s="3">
        <v>26.0</v>
      </c>
      <c r="D80" s="42">
        <f>SUMIFS('AR Aging 20260320'!$H:$H,'AR Aging 20260320'!$J:$J,$B80,'AR Aging 20260320'!$K:$K,$C80)+SUMIFS(Bookings!$E:$E,Bookings!$L:$L,$B80,Bookings!$K:$K,$C80)</f>
        <v>0</v>
      </c>
      <c r="E80" s="42">
        <f>SUMIFS('AR Aging 20260320'!$H:$H, 'AR Aging 20260320'!$N:$N,$C80,'AR Aging 20260320'!$M:$M,$B80)+SUMIFS(Bookings!$E:$E,Bookings!$P:$P,$B80,Bookings!$O:$O,$C80)</f>
        <v>0</v>
      </c>
      <c r="F80" s="42">
        <f t="shared" si="2"/>
        <v>1865055.975</v>
      </c>
      <c r="G80" s="4"/>
      <c r="H80" s="4"/>
      <c r="I80" s="4"/>
      <c r="J80" s="4"/>
    </row>
    <row r="81" ht="15.75" customHeight="1">
      <c r="A81" s="77">
        <f t="shared" si="1"/>
        <v>46570</v>
      </c>
      <c r="B81" s="4">
        <v>2027.0</v>
      </c>
      <c r="C81" s="3">
        <v>27.0</v>
      </c>
      <c r="D81" s="42">
        <f>SUMIFS('AR Aging 20260320'!$H:$H,'AR Aging 20260320'!$J:$J,$B81,'AR Aging 20260320'!$K:$K,$C81)+SUMIFS(Bookings!$E:$E,Bookings!$L:$L,$B81,Bookings!$K:$K,$C81)</f>
        <v>0</v>
      </c>
      <c r="E81" s="42">
        <f>SUMIFS('AR Aging 20260320'!$H:$H, 'AR Aging 20260320'!$N:$N,$C81,'AR Aging 20260320'!$M:$M,$B81)+SUMIFS(Bookings!$E:$E,Bookings!$P:$P,$B81,Bookings!$O:$O,$C81)</f>
        <v>0</v>
      </c>
      <c r="F81" s="42">
        <f t="shared" si="2"/>
        <v>1865055.975</v>
      </c>
      <c r="G81" s="4"/>
      <c r="H81" s="4"/>
      <c r="I81" s="4"/>
      <c r="J81" s="4"/>
    </row>
    <row r="82" ht="15.75" customHeight="1">
      <c r="A82" s="77">
        <f t="shared" si="1"/>
        <v>46577</v>
      </c>
      <c r="B82" s="4">
        <v>2027.0</v>
      </c>
      <c r="C82" s="3">
        <v>28.0</v>
      </c>
      <c r="D82" s="42">
        <f>SUMIFS('AR Aging 20260320'!$H:$H,'AR Aging 20260320'!$J:$J,$B82,'AR Aging 20260320'!$K:$K,$C82)+SUMIFS(Bookings!$E:$E,Bookings!$L:$L,$B82,Bookings!$K:$K,$C82)</f>
        <v>0</v>
      </c>
      <c r="E82" s="42">
        <f>SUMIFS('AR Aging 20260320'!$H:$H, 'AR Aging 20260320'!$N:$N,$C82,'AR Aging 20260320'!$M:$M,$B82)+SUMIFS(Bookings!$E:$E,Bookings!$P:$P,$B82,Bookings!$O:$O,$C82)</f>
        <v>0</v>
      </c>
      <c r="F82" s="42">
        <f t="shared" si="2"/>
        <v>1865055.975</v>
      </c>
      <c r="G82" s="4"/>
      <c r="H82" s="4"/>
      <c r="I82" s="4"/>
      <c r="J82" s="4"/>
    </row>
    <row r="83" ht="15.75" customHeight="1">
      <c r="A83" s="77">
        <f t="shared" si="1"/>
        <v>46584</v>
      </c>
      <c r="B83" s="4">
        <v>2027.0</v>
      </c>
      <c r="C83" s="3">
        <v>29.0</v>
      </c>
      <c r="D83" s="42">
        <f>SUMIFS('AR Aging 20260320'!$H:$H,'AR Aging 20260320'!$J:$J,$B83,'AR Aging 20260320'!$K:$K,$C83)+SUMIFS(Bookings!$E:$E,Bookings!$L:$L,$B83,Bookings!$K:$K,$C83)</f>
        <v>0</v>
      </c>
      <c r="E83" s="42">
        <f>SUMIFS('AR Aging 20260320'!$H:$H, 'AR Aging 20260320'!$N:$N,$C83,'AR Aging 20260320'!$M:$M,$B83)+SUMIFS(Bookings!$E:$E,Bookings!$P:$P,$B83,Bookings!$O:$O,$C83)</f>
        <v>0</v>
      </c>
      <c r="F83" s="42">
        <f t="shared" si="2"/>
        <v>1865055.975</v>
      </c>
      <c r="G83" s="4"/>
      <c r="H83" s="4"/>
      <c r="I83" s="4"/>
      <c r="J83" s="4"/>
    </row>
    <row r="84" ht="15.75" customHeight="1">
      <c r="A84" s="77">
        <f t="shared" si="1"/>
        <v>46591</v>
      </c>
      <c r="B84" s="4">
        <v>2027.0</v>
      </c>
      <c r="C84" s="3">
        <v>30.0</v>
      </c>
      <c r="D84" s="42">
        <f>SUMIFS('AR Aging 20260320'!$H:$H,'AR Aging 20260320'!$J:$J,$B84,'AR Aging 20260320'!$K:$K,$C84)+SUMIFS(Bookings!$E:$E,Bookings!$L:$L,$B84,Bookings!$K:$K,$C84)</f>
        <v>0</v>
      </c>
      <c r="E84" s="42">
        <f>SUMIFS('AR Aging 20260320'!$H:$H, 'AR Aging 20260320'!$N:$N,$C84,'AR Aging 20260320'!$M:$M,$B84)+SUMIFS(Bookings!$E:$E,Bookings!$P:$P,$B84,Bookings!$O:$O,$C84)</f>
        <v>0</v>
      </c>
      <c r="F84" s="42">
        <f t="shared" si="2"/>
        <v>1865055.975</v>
      </c>
      <c r="G84" s="4"/>
      <c r="H84" s="4"/>
      <c r="I84" s="4"/>
      <c r="J84" s="4"/>
    </row>
    <row r="85" ht="15.75" customHeight="1">
      <c r="A85" s="77">
        <f t="shared" si="1"/>
        <v>46598</v>
      </c>
      <c r="B85" s="4">
        <v>2027.0</v>
      </c>
      <c r="C85" s="3">
        <v>31.0</v>
      </c>
      <c r="D85" s="42">
        <f>SUMIFS('AR Aging 20260320'!$H:$H,'AR Aging 20260320'!$J:$J,$B85,'AR Aging 20260320'!$K:$K,$C85)+SUMIFS(Bookings!$E:$E,Bookings!$L:$L,$B85,Bookings!$K:$K,$C85)</f>
        <v>0</v>
      </c>
      <c r="E85" s="42">
        <f>SUMIFS('AR Aging 20260320'!$H:$H, 'AR Aging 20260320'!$N:$N,$C85,'AR Aging 20260320'!$M:$M,$B85)+SUMIFS(Bookings!$E:$E,Bookings!$P:$P,$B85,Bookings!$O:$O,$C85)</f>
        <v>0</v>
      </c>
      <c r="F85" s="42">
        <f t="shared" si="2"/>
        <v>1865055.975</v>
      </c>
      <c r="G85" s="4"/>
      <c r="H85" s="4"/>
      <c r="I85" s="4"/>
      <c r="J85" s="4"/>
    </row>
    <row r="86" ht="15.75" customHeight="1">
      <c r="A86" s="77">
        <f t="shared" si="1"/>
        <v>46605</v>
      </c>
      <c r="B86" s="4">
        <v>2027.0</v>
      </c>
      <c r="C86" s="3">
        <v>32.0</v>
      </c>
      <c r="D86" s="42">
        <f>SUMIFS('AR Aging 20260320'!$H:$H,'AR Aging 20260320'!$J:$J,$B86,'AR Aging 20260320'!$K:$K,$C86)+SUMIFS(Bookings!$E:$E,Bookings!$L:$L,$B86,Bookings!$K:$K,$C86)</f>
        <v>0</v>
      </c>
      <c r="E86" s="42">
        <f>SUMIFS('AR Aging 20260320'!$H:$H, 'AR Aging 20260320'!$N:$N,$C86,'AR Aging 20260320'!$M:$M,$B86)+SUMIFS(Bookings!$E:$E,Bookings!$P:$P,$B86,Bookings!$O:$O,$C86)</f>
        <v>0</v>
      </c>
      <c r="F86" s="42">
        <f t="shared" si="2"/>
        <v>1865055.975</v>
      </c>
      <c r="G86" s="4"/>
      <c r="H86" s="4"/>
      <c r="I86" s="4"/>
      <c r="J86" s="4"/>
    </row>
    <row r="87" ht="15.75" customHeight="1">
      <c r="A87" s="77">
        <f t="shared" si="1"/>
        <v>46612</v>
      </c>
      <c r="B87" s="4">
        <v>2027.0</v>
      </c>
      <c r="C87" s="3">
        <v>33.0</v>
      </c>
      <c r="D87" s="42">
        <f>SUMIFS('AR Aging 20260320'!$H:$H,'AR Aging 20260320'!$J:$J,$B87,'AR Aging 20260320'!$K:$K,$C87)+SUMIFS(Bookings!$E:$E,Bookings!$L:$L,$B87,Bookings!$K:$K,$C87)</f>
        <v>0</v>
      </c>
      <c r="E87" s="42">
        <f>SUMIFS('AR Aging 20260320'!$H:$H, 'AR Aging 20260320'!$N:$N,$C87,'AR Aging 20260320'!$M:$M,$B87)+SUMIFS(Bookings!$E:$E,Bookings!$P:$P,$B87,Bookings!$O:$O,$C87)</f>
        <v>0</v>
      </c>
      <c r="F87" s="42">
        <f t="shared" si="2"/>
        <v>1865055.975</v>
      </c>
      <c r="G87" s="4"/>
      <c r="H87" s="4"/>
      <c r="I87" s="4"/>
      <c r="J87" s="4"/>
    </row>
    <row r="88" ht="15.75" customHeight="1">
      <c r="A88" s="77">
        <f t="shared" si="1"/>
        <v>46619</v>
      </c>
      <c r="B88" s="4">
        <v>2027.0</v>
      </c>
      <c r="C88" s="3">
        <v>34.0</v>
      </c>
      <c r="D88" s="42">
        <f>SUMIFS('AR Aging 20260320'!$H:$H,'AR Aging 20260320'!$J:$J,$B88,'AR Aging 20260320'!$K:$K,$C88)+SUMIFS(Bookings!$E:$E,Bookings!$L:$L,$B88,Bookings!$K:$K,$C88)</f>
        <v>0</v>
      </c>
      <c r="E88" s="42">
        <f>SUMIFS('AR Aging 20260320'!$H:$H, 'AR Aging 20260320'!$N:$N,$C88,'AR Aging 20260320'!$M:$M,$B88)+SUMIFS(Bookings!$E:$E,Bookings!$P:$P,$B88,Bookings!$O:$O,$C88)</f>
        <v>0</v>
      </c>
      <c r="F88" s="42">
        <f t="shared" si="2"/>
        <v>1865055.975</v>
      </c>
      <c r="G88" s="4"/>
      <c r="H88" s="4"/>
      <c r="I88" s="4"/>
      <c r="J88" s="4"/>
    </row>
    <row r="89" ht="15.75" customHeight="1">
      <c r="A89" s="77">
        <f t="shared" si="1"/>
        <v>46626</v>
      </c>
      <c r="B89" s="4">
        <v>2027.0</v>
      </c>
      <c r="C89" s="3">
        <v>35.0</v>
      </c>
      <c r="D89" s="42">
        <f>SUMIFS('AR Aging 20260320'!$H:$H,'AR Aging 20260320'!$J:$J,$B89,'AR Aging 20260320'!$K:$K,$C89)+SUMIFS(Bookings!$E:$E,Bookings!$L:$L,$B89,Bookings!$K:$K,$C89)</f>
        <v>0</v>
      </c>
      <c r="E89" s="42">
        <f>SUMIFS('AR Aging 20260320'!$H:$H, 'AR Aging 20260320'!$N:$N,$C89,'AR Aging 20260320'!$M:$M,$B89)+SUMIFS(Bookings!$E:$E,Bookings!$P:$P,$B89,Bookings!$O:$O,$C89)</f>
        <v>0</v>
      </c>
      <c r="F89" s="42">
        <f t="shared" si="2"/>
        <v>1865055.975</v>
      </c>
      <c r="G89" s="4"/>
      <c r="H89" s="4"/>
      <c r="I89" s="4"/>
      <c r="J89" s="4"/>
    </row>
    <row r="90" ht="15.75" customHeight="1">
      <c r="A90" s="77">
        <f t="shared" si="1"/>
        <v>46633</v>
      </c>
      <c r="B90" s="4">
        <v>2027.0</v>
      </c>
      <c r="C90" s="3">
        <v>36.0</v>
      </c>
      <c r="D90" s="42">
        <f>SUMIFS('AR Aging 20260320'!$H:$H,'AR Aging 20260320'!$J:$J,$B90,'AR Aging 20260320'!$K:$K,$C90)+SUMIFS(Bookings!$E:$E,Bookings!$L:$L,$B90,Bookings!$K:$K,$C90)</f>
        <v>0</v>
      </c>
      <c r="E90" s="42">
        <f>SUMIFS('AR Aging 20260320'!$H:$H, 'AR Aging 20260320'!$N:$N,$C90,'AR Aging 20260320'!$M:$M,$B90)+SUMIFS(Bookings!$E:$E,Bookings!$P:$P,$B90,Bookings!$O:$O,$C90)</f>
        <v>0</v>
      </c>
      <c r="F90" s="42">
        <f t="shared" si="2"/>
        <v>1865055.975</v>
      </c>
      <c r="G90" s="4"/>
      <c r="H90" s="4"/>
      <c r="I90" s="4"/>
      <c r="J90" s="4"/>
    </row>
    <row r="91" ht="15.75" customHeight="1">
      <c r="A91" s="77">
        <f t="shared" si="1"/>
        <v>46640</v>
      </c>
      <c r="B91" s="4">
        <v>2027.0</v>
      </c>
      <c r="C91" s="3">
        <v>37.0</v>
      </c>
      <c r="D91" s="42">
        <f>SUMIFS('AR Aging 20260320'!$H:$H,'AR Aging 20260320'!$J:$J,$B91,'AR Aging 20260320'!$K:$K,$C91)+SUMIFS(Bookings!$E:$E,Bookings!$L:$L,$B91,Bookings!$K:$K,$C91)</f>
        <v>0</v>
      </c>
      <c r="E91" s="42">
        <f>SUMIFS('AR Aging 20260320'!$H:$H, 'AR Aging 20260320'!$N:$N,$C91,'AR Aging 20260320'!$M:$M,$B91)+SUMIFS(Bookings!$E:$E,Bookings!$P:$P,$B91,Bookings!$O:$O,$C91)</f>
        <v>0</v>
      </c>
      <c r="F91" s="42">
        <f t="shared" si="2"/>
        <v>1865055.975</v>
      </c>
      <c r="G91" s="4"/>
      <c r="H91" s="4"/>
      <c r="I91" s="4"/>
      <c r="J91" s="4"/>
    </row>
    <row r="92" ht="15.75" customHeight="1">
      <c r="A92" s="77">
        <f t="shared" si="1"/>
        <v>46647</v>
      </c>
      <c r="B92" s="4">
        <v>2027.0</v>
      </c>
      <c r="C92" s="3">
        <v>38.0</v>
      </c>
      <c r="D92" s="42">
        <f>SUMIFS('AR Aging 20260320'!$H:$H,'AR Aging 20260320'!$J:$J,$B92,'AR Aging 20260320'!$K:$K,$C92)+SUMIFS(Bookings!$E:$E,Bookings!$L:$L,$B92,Bookings!$K:$K,$C92)</f>
        <v>0</v>
      </c>
      <c r="E92" s="42">
        <f>SUMIFS('AR Aging 20260320'!$H:$H, 'AR Aging 20260320'!$N:$N,$C92,'AR Aging 20260320'!$M:$M,$B92)+SUMIFS(Bookings!$E:$E,Bookings!$P:$P,$B92,Bookings!$O:$O,$C92)</f>
        <v>0</v>
      </c>
      <c r="F92" s="42">
        <f t="shared" si="2"/>
        <v>1865055.975</v>
      </c>
      <c r="G92" s="4"/>
      <c r="H92" s="4"/>
      <c r="I92" s="4"/>
      <c r="J92" s="4"/>
    </row>
    <row r="93" ht="15.75" customHeight="1">
      <c r="A93" s="77">
        <f t="shared" si="1"/>
        <v>46654</v>
      </c>
      <c r="B93" s="4">
        <v>2027.0</v>
      </c>
      <c r="C93" s="3">
        <v>39.0</v>
      </c>
      <c r="D93" s="42">
        <f>SUMIFS('AR Aging 20260320'!$H:$H,'AR Aging 20260320'!$J:$J,$B93,'AR Aging 20260320'!$K:$K,$C93)+SUMIFS(Bookings!$E:$E,Bookings!$L:$L,$B93,Bookings!$K:$K,$C93)</f>
        <v>0</v>
      </c>
      <c r="E93" s="42">
        <f>SUMIFS('AR Aging 20260320'!$H:$H, 'AR Aging 20260320'!$N:$N,$C93,'AR Aging 20260320'!$M:$M,$B93)+SUMIFS(Bookings!$E:$E,Bookings!$P:$P,$B93,Bookings!$O:$O,$C93)</f>
        <v>0</v>
      </c>
      <c r="F93" s="42">
        <f t="shared" si="2"/>
        <v>1865055.975</v>
      </c>
      <c r="G93" s="4"/>
      <c r="H93" s="4"/>
      <c r="I93" s="4"/>
      <c r="J93" s="4"/>
    </row>
    <row r="94" ht="15.75" customHeight="1">
      <c r="A94" s="77">
        <f t="shared" si="1"/>
        <v>46661</v>
      </c>
      <c r="B94" s="4">
        <v>2027.0</v>
      </c>
      <c r="C94" s="3">
        <v>40.0</v>
      </c>
      <c r="D94" s="42">
        <f>SUMIFS('AR Aging 20260320'!$H:$H,'AR Aging 20260320'!$J:$J,$B94,'AR Aging 20260320'!$K:$K,$C94)+SUMIFS(Bookings!$E:$E,Bookings!$L:$L,$B94,Bookings!$K:$K,$C94)</f>
        <v>0</v>
      </c>
      <c r="E94" s="42">
        <f>SUMIFS('AR Aging 20260320'!$H:$H, 'AR Aging 20260320'!$N:$N,$C94,'AR Aging 20260320'!$M:$M,$B94)+SUMIFS(Bookings!$E:$E,Bookings!$P:$P,$B94,Bookings!$O:$O,$C94)</f>
        <v>0</v>
      </c>
      <c r="F94" s="42">
        <f t="shared" si="2"/>
        <v>1865055.975</v>
      </c>
      <c r="G94" s="4"/>
      <c r="H94" s="4"/>
      <c r="I94" s="4"/>
      <c r="J94" s="4"/>
    </row>
    <row r="95" ht="15.75" customHeight="1">
      <c r="A95" s="77">
        <f t="shared" si="1"/>
        <v>46668</v>
      </c>
      <c r="B95" s="4">
        <v>2027.0</v>
      </c>
      <c r="C95" s="3">
        <v>41.0</v>
      </c>
      <c r="D95" s="42">
        <f>SUMIFS('AR Aging 20260320'!$H:$H,'AR Aging 20260320'!$J:$J,$B95,'AR Aging 20260320'!$K:$K,$C95)+SUMIFS(Bookings!$E:$E,Bookings!$L:$L,$B95,Bookings!$K:$K,$C95)</f>
        <v>0</v>
      </c>
      <c r="E95" s="42">
        <f>SUMIFS('AR Aging 20260320'!$H:$H, 'AR Aging 20260320'!$N:$N,$C95,'AR Aging 20260320'!$M:$M,$B95)+SUMIFS(Bookings!$E:$E,Bookings!$P:$P,$B95,Bookings!$O:$O,$C95)</f>
        <v>0</v>
      </c>
      <c r="F95" s="42">
        <f t="shared" si="2"/>
        <v>1865055.975</v>
      </c>
      <c r="G95" s="4"/>
      <c r="H95" s="4"/>
      <c r="I95" s="4"/>
      <c r="J95" s="4"/>
    </row>
    <row r="96" ht="15.75" customHeight="1">
      <c r="A96" s="77">
        <f t="shared" si="1"/>
        <v>46675</v>
      </c>
      <c r="B96" s="4">
        <v>2027.0</v>
      </c>
      <c r="C96" s="3">
        <v>42.0</v>
      </c>
      <c r="D96" s="42">
        <f>SUMIFS('AR Aging 20260320'!$H:$H,'AR Aging 20260320'!$J:$J,$B96,'AR Aging 20260320'!$K:$K,$C96)+SUMIFS(Bookings!$E:$E,Bookings!$L:$L,$B96,Bookings!$K:$K,$C96)</f>
        <v>0</v>
      </c>
      <c r="E96" s="42">
        <f>SUMIFS('AR Aging 20260320'!$H:$H, 'AR Aging 20260320'!$N:$N,$C96,'AR Aging 20260320'!$M:$M,$B96)+SUMIFS(Bookings!$E:$E,Bookings!$P:$P,$B96,Bookings!$O:$O,$C96)</f>
        <v>0</v>
      </c>
      <c r="F96" s="42">
        <f t="shared" si="2"/>
        <v>1865055.975</v>
      </c>
      <c r="G96" s="4"/>
      <c r="H96" s="4"/>
      <c r="I96" s="4"/>
      <c r="J96" s="4"/>
    </row>
    <row r="97" ht="15.75" customHeight="1">
      <c r="A97" s="77">
        <f t="shared" si="1"/>
        <v>46682</v>
      </c>
      <c r="B97" s="4">
        <v>2027.0</v>
      </c>
      <c r="C97" s="3">
        <v>43.0</v>
      </c>
      <c r="D97" s="42">
        <f>SUMIFS('AR Aging 20260320'!$H:$H,'AR Aging 20260320'!$J:$J,$B97,'AR Aging 20260320'!$K:$K,$C97)+SUMIFS(Bookings!$E:$E,Bookings!$L:$L,$B97,Bookings!$K:$K,$C97)</f>
        <v>0</v>
      </c>
      <c r="E97" s="42">
        <f>SUMIFS('AR Aging 20260320'!$H:$H, 'AR Aging 20260320'!$N:$N,$C97,'AR Aging 20260320'!$M:$M,$B97)+SUMIFS(Bookings!$E:$E,Bookings!$P:$P,$B97,Bookings!$O:$O,$C97)</f>
        <v>0</v>
      </c>
      <c r="F97" s="42">
        <f t="shared" si="2"/>
        <v>1865055.975</v>
      </c>
      <c r="G97" s="4"/>
      <c r="H97" s="4"/>
      <c r="I97" s="4"/>
      <c r="J97" s="4"/>
    </row>
    <row r="98" ht="15.75" customHeight="1">
      <c r="A98" s="77">
        <f t="shared" si="1"/>
        <v>46689</v>
      </c>
      <c r="B98" s="4">
        <v>2027.0</v>
      </c>
      <c r="C98" s="3">
        <v>44.0</v>
      </c>
      <c r="D98" s="42">
        <f>SUMIFS('AR Aging 20260320'!$H:$H,'AR Aging 20260320'!$J:$J,$B98,'AR Aging 20260320'!$K:$K,$C98)+SUMIFS(Bookings!$E:$E,Bookings!$L:$L,$B98,Bookings!$K:$K,$C98)</f>
        <v>0</v>
      </c>
      <c r="E98" s="42">
        <f>SUMIFS('AR Aging 20260320'!$H:$H, 'AR Aging 20260320'!$N:$N,$C98,'AR Aging 20260320'!$M:$M,$B98)+SUMIFS(Bookings!$E:$E,Bookings!$P:$P,$B98,Bookings!$O:$O,$C98)</f>
        <v>0</v>
      </c>
      <c r="F98" s="42">
        <f t="shared" si="2"/>
        <v>1865055.975</v>
      </c>
      <c r="G98" s="4"/>
      <c r="H98" s="4"/>
      <c r="I98" s="4"/>
      <c r="J98" s="4"/>
    </row>
    <row r="99" ht="15.75" customHeight="1">
      <c r="A99" s="77">
        <f t="shared" si="1"/>
        <v>46696</v>
      </c>
      <c r="B99" s="4">
        <v>2027.0</v>
      </c>
      <c r="C99" s="3">
        <v>45.0</v>
      </c>
      <c r="D99" s="42">
        <f>SUMIFS('AR Aging 20260320'!$H:$H,'AR Aging 20260320'!$J:$J,$B99,'AR Aging 20260320'!$K:$K,$C99)+SUMIFS(Bookings!$E:$E,Bookings!$L:$L,$B99,Bookings!$K:$K,$C99)</f>
        <v>0</v>
      </c>
      <c r="E99" s="42">
        <f>SUMIFS('AR Aging 20260320'!$H:$H, 'AR Aging 20260320'!$N:$N,$C99,'AR Aging 20260320'!$M:$M,$B99)+SUMIFS(Bookings!$E:$E,Bookings!$P:$P,$B99,Bookings!$O:$O,$C99)</f>
        <v>0</v>
      </c>
      <c r="F99" s="42">
        <f t="shared" si="2"/>
        <v>1865055.975</v>
      </c>
      <c r="G99" s="4"/>
      <c r="H99" s="4"/>
      <c r="I99" s="4"/>
      <c r="J99" s="4"/>
    </row>
    <row r="100" ht="15.75" customHeight="1">
      <c r="A100" s="77">
        <f t="shared" si="1"/>
        <v>46703</v>
      </c>
      <c r="B100" s="4">
        <v>2027.0</v>
      </c>
      <c r="C100" s="3">
        <v>46.0</v>
      </c>
      <c r="D100" s="42">
        <f>SUMIFS('AR Aging 20260320'!$H:$H,'AR Aging 20260320'!$J:$J,$B100,'AR Aging 20260320'!$K:$K,$C100)+SUMIFS(Bookings!$E:$E,Bookings!$L:$L,$B100,Bookings!$K:$K,$C100)</f>
        <v>0</v>
      </c>
      <c r="E100" s="42">
        <f>SUMIFS('AR Aging 20260320'!$H:$H, 'AR Aging 20260320'!$N:$N,$C100,'AR Aging 20260320'!$M:$M,$B100)+SUMIFS(Bookings!$E:$E,Bookings!$P:$P,$B100,Bookings!$O:$O,$C100)</f>
        <v>0</v>
      </c>
      <c r="F100" s="42">
        <f t="shared" si="2"/>
        <v>1865055.975</v>
      </c>
      <c r="G100" s="4"/>
      <c r="H100" s="4"/>
      <c r="I100" s="4"/>
      <c r="J100" s="4"/>
    </row>
    <row r="101" ht="15.75" customHeight="1">
      <c r="A101" s="77">
        <f t="shared" si="1"/>
        <v>46710</v>
      </c>
      <c r="B101" s="4">
        <v>2027.0</v>
      </c>
      <c r="C101" s="3">
        <v>47.0</v>
      </c>
      <c r="D101" s="42">
        <f>SUMIFS('AR Aging 20260320'!$H:$H,'AR Aging 20260320'!$J:$J,$B101,'AR Aging 20260320'!$K:$K,$C101)+SUMIFS(Bookings!$E:$E,Bookings!$L:$L,$B101,Bookings!$K:$K,$C101)</f>
        <v>0</v>
      </c>
      <c r="E101" s="42">
        <f>SUMIFS('AR Aging 20260320'!$H:$H, 'AR Aging 20260320'!$N:$N,$C101,'AR Aging 20260320'!$M:$M,$B101)+SUMIFS(Bookings!$E:$E,Bookings!$P:$P,$B101,Bookings!$O:$O,$C101)</f>
        <v>0</v>
      </c>
      <c r="F101" s="42">
        <f t="shared" si="2"/>
        <v>1865055.975</v>
      </c>
      <c r="G101" s="4"/>
      <c r="H101" s="4"/>
      <c r="I101" s="4"/>
      <c r="J101" s="4"/>
    </row>
    <row r="102" ht="15.75" customHeight="1">
      <c r="A102" s="77">
        <f t="shared" si="1"/>
        <v>46717</v>
      </c>
      <c r="B102" s="4">
        <v>2027.0</v>
      </c>
      <c r="C102" s="3">
        <v>48.0</v>
      </c>
      <c r="D102" s="42">
        <f>SUMIFS('AR Aging 20260320'!$H:$H,'AR Aging 20260320'!$J:$J,$B102,'AR Aging 20260320'!$K:$K,$C102)+SUMIFS(Bookings!$E:$E,Bookings!$L:$L,$B102,Bookings!$K:$K,$C102)</f>
        <v>0</v>
      </c>
      <c r="E102" s="42">
        <f>SUMIFS('AR Aging 20260320'!$H:$H, 'AR Aging 20260320'!$N:$N,$C102,'AR Aging 20260320'!$M:$M,$B102)+SUMIFS(Bookings!$E:$E,Bookings!$P:$P,$B102,Bookings!$O:$O,$C102)</f>
        <v>0</v>
      </c>
      <c r="F102" s="42">
        <f t="shared" si="2"/>
        <v>1865055.975</v>
      </c>
      <c r="G102" s="4"/>
      <c r="H102" s="4"/>
      <c r="I102" s="4"/>
      <c r="J102" s="4"/>
    </row>
    <row r="103" ht="15.75" customHeight="1">
      <c r="A103" s="77">
        <f t="shared" si="1"/>
        <v>46724</v>
      </c>
      <c r="B103" s="4">
        <v>2027.0</v>
      </c>
      <c r="C103" s="3">
        <v>49.0</v>
      </c>
      <c r="D103" s="42">
        <f>SUMIFS('AR Aging 20260320'!$H:$H,'AR Aging 20260320'!$J:$J,$B103,'AR Aging 20260320'!$K:$K,$C103)+SUMIFS(Bookings!$E:$E,Bookings!$L:$L,$B103,Bookings!$K:$K,$C103)</f>
        <v>0</v>
      </c>
      <c r="E103" s="42">
        <f>SUMIFS('AR Aging 20260320'!$H:$H, 'AR Aging 20260320'!$N:$N,$C103,'AR Aging 20260320'!$M:$M,$B103)+SUMIFS(Bookings!$E:$E,Bookings!$P:$P,$B103,Bookings!$O:$O,$C103)</f>
        <v>0</v>
      </c>
      <c r="F103" s="42">
        <f t="shared" si="2"/>
        <v>1865055.975</v>
      </c>
      <c r="G103" s="4"/>
      <c r="H103" s="4"/>
      <c r="I103" s="4"/>
      <c r="J103" s="4"/>
    </row>
    <row r="104" ht="15.75" customHeight="1">
      <c r="A104" s="77">
        <f t="shared" si="1"/>
        <v>46731</v>
      </c>
      <c r="B104" s="4">
        <v>2027.0</v>
      </c>
      <c r="C104" s="3">
        <v>50.0</v>
      </c>
      <c r="D104" s="42">
        <f>SUMIFS('AR Aging 20260320'!$H:$H,'AR Aging 20260320'!$J:$J,$B104,'AR Aging 20260320'!$K:$K,$C104)+SUMIFS(Bookings!$E:$E,Bookings!$L:$L,$B104,Bookings!$K:$K,$C104)</f>
        <v>0</v>
      </c>
      <c r="E104" s="42">
        <f>SUMIFS('AR Aging 20260320'!$H:$H, 'AR Aging 20260320'!$N:$N,$C104,'AR Aging 20260320'!$M:$M,$B104)+SUMIFS(Bookings!$E:$E,Bookings!$P:$P,$B104,Bookings!$O:$O,$C104)</f>
        <v>0</v>
      </c>
      <c r="F104" s="42">
        <f t="shared" si="2"/>
        <v>1865055.975</v>
      </c>
      <c r="G104" s="4"/>
      <c r="H104" s="4"/>
      <c r="I104" s="4"/>
      <c r="J104" s="4"/>
    </row>
    <row r="105" ht="15.75" customHeight="1">
      <c r="A105" s="77">
        <f t="shared" si="1"/>
        <v>46738</v>
      </c>
      <c r="B105" s="4">
        <v>2027.0</v>
      </c>
      <c r="C105" s="3">
        <v>51.0</v>
      </c>
      <c r="D105" s="42">
        <f>SUMIFS('AR Aging 20260320'!$H:$H,'AR Aging 20260320'!$J:$J,$B105,'AR Aging 20260320'!$K:$K,$C105)+SUMIFS(Bookings!$E:$E,Bookings!$L:$L,$B105,Bookings!$K:$K,$C105)</f>
        <v>0</v>
      </c>
      <c r="E105" s="42">
        <f>SUMIFS('AR Aging 20260320'!$H:$H, 'AR Aging 20260320'!$N:$N,$C105,'AR Aging 20260320'!$M:$M,$B105)+SUMIFS(Bookings!$E:$E,Bookings!$P:$P,$B105,Bookings!$O:$O,$C105)</f>
        <v>0</v>
      </c>
      <c r="F105" s="42">
        <f t="shared" si="2"/>
        <v>1865055.975</v>
      </c>
      <c r="G105" s="4"/>
      <c r="H105" s="4"/>
      <c r="I105" s="4"/>
      <c r="J105" s="4"/>
    </row>
    <row r="106" ht="15.75" customHeight="1">
      <c r="A106" s="77">
        <f t="shared" si="1"/>
        <v>46745</v>
      </c>
      <c r="B106" s="4">
        <v>2027.0</v>
      </c>
      <c r="C106" s="3">
        <v>52.0</v>
      </c>
      <c r="D106" s="42">
        <f>SUMIFS('AR Aging 20260320'!$H:$H,'AR Aging 20260320'!$J:$J,$B106,'AR Aging 20260320'!$K:$K,$C106)+SUMIFS(Bookings!$E:$E,Bookings!$L:$L,$B106,Bookings!$K:$K,$C106)</f>
        <v>0</v>
      </c>
      <c r="E106" s="42">
        <f>SUMIFS('AR Aging 20260320'!$H:$H, 'AR Aging 20260320'!$N:$N,$C106,'AR Aging 20260320'!$M:$M,$B106)+SUMIFS(Bookings!$E:$E,Bookings!$P:$P,$B106,Bookings!$O:$O,$C106)</f>
        <v>0</v>
      </c>
      <c r="F106" s="42">
        <f t="shared" si="2"/>
        <v>1865055.975</v>
      </c>
      <c r="G106" s="4"/>
      <c r="H106" s="4"/>
      <c r="I106" s="4"/>
      <c r="J106" s="4"/>
    </row>
    <row r="107" ht="15.75" customHeight="1">
      <c r="A107" s="77">
        <f t="shared" si="1"/>
        <v>46752</v>
      </c>
      <c r="B107" s="4">
        <v>2027.0</v>
      </c>
      <c r="C107" s="3">
        <v>53.0</v>
      </c>
      <c r="D107" s="42">
        <f>SUMIFS('AR Aging 20260320'!$H:$H,'AR Aging 20260320'!$J:$J,$B107,'AR Aging 20260320'!$K:$K,$C107)+SUMIFS(Bookings!$E:$E,Bookings!$L:$L,$B107,Bookings!$K:$K,$C107)</f>
        <v>0</v>
      </c>
      <c r="E107" s="42">
        <f>SUMIFS('AR Aging 20260320'!$H:$H, 'AR Aging 20260320'!$N:$N,$C107,'AR Aging 20260320'!$M:$M,$B107)+SUMIFS(Bookings!$E:$E,Bookings!$P:$P,$B107,Bookings!$O:$O,$C107)</f>
        <v>0</v>
      </c>
      <c r="F107" s="42">
        <f t="shared" si="2"/>
        <v>1865055.975</v>
      </c>
      <c r="G107" s="4"/>
      <c r="H107" s="4"/>
      <c r="I107" s="4"/>
      <c r="J107" s="4"/>
    </row>
    <row r="108" ht="15.75" customHeight="1">
      <c r="A108" s="77"/>
      <c r="B108" s="4"/>
      <c r="C108" s="3"/>
      <c r="D108" s="42"/>
      <c r="E108" s="42"/>
      <c r="F108" s="42"/>
      <c r="G108" s="4"/>
      <c r="H108" s="4"/>
      <c r="I108" s="4"/>
      <c r="J108" s="4"/>
    </row>
    <row r="109" ht="15.75" customHeight="1">
      <c r="A109" s="77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77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77"/>
      <c r="B111" s="4"/>
      <c r="C111" s="4"/>
      <c r="D111" s="42">
        <f>SUM(D3:D109)</f>
        <v>54287218.27</v>
      </c>
      <c r="E111" s="42">
        <f>SUM(E3:E32)</f>
        <v>15762211.69</v>
      </c>
      <c r="F111" s="4"/>
      <c r="G111" s="4"/>
      <c r="H111" s="4"/>
      <c r="I111" s="4"/>
      <c r="J111" s="4"/>
    </row>
    <row r="112" ht="15.75" customHeight="1">
      <c r="A112" s="77"/>
      <c r="B112" s="4"/>
      <c r="C112" s="4"/>
      <c r="D112" s="42">
        <f>D111-'AR Aging 20260320'!H4-Bookings!E1</f>
        <v>-2465407.32</v>
      </c>
      <c r="E112" s="42">
        <f>SUM(Bookings!$E$1,'AR Aging 20260320'!$H$4)-'AR Aging Balance'!E111</f>
        <v>40990413.9</v>
      </c>
      <c r="F112" s="4"/>
      <c r="G112" s="4"/>
      <c r="H112" s="4"/>
      <c r="I112" s="4"/>
      <c r="J112" s="4"/>
    </row>
    <row r="113" ht="15.75" customHeight="1">
      <c r="A113" s="77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77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77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77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77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77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77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77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77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77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77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77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77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77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77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77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77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77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77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77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77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77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77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77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77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77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77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77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77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77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77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77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77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77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77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77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77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77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77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autoFilter ref="$A$2:$F$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0.57"/>
    <col customWidth="1" min="3" max="3" width="24.14"/>
    <col customWidth="1" min="4" max="4" width="38.29"/>
    <col customWidth="1" min="5" max="5" width="11.57"/>
    <col customWidth="1" min="6" max="6" width="10.71"/>
    <col customWidth="1" min="7" max="7" width="9.71"/>
    <col customWidth="1" min="8" max="8" width="10.71"/>
    <col customWidth="1" min="9" max="9" width="8.71"/>
    <col customWidth="1" min="10" max="10" width="10.57"/>
    <col customWidth="1" min="11" max="15" width="8.71"/>
    <col customWidth="1" min="16" max="16" width="13.57"/>
    <col customWidth="1" min="17" max="20" width="8.71"/>
    <col customWidth="1" min="21" max="21" width="11.29"/>
    <col customWidth="1" min="22" max="22" width="8.71"/>
    <col customWidth="1" min="23" max="23" width="12.0"/>
    <col customWidth="1" min="24" max="26" width="8.71"/>
  </cols>
  <sheetData>
    <row r="1" ht="14.25" customHeight="1">
      <c r="A1" s="4"/>
      <c r="B1" s="4"/>
      <c r="C1" s="4"/>
      <c r="D1" s="4"/>
      <c r="E1" s="42">
        <f>SUBTOTAL(9,$E$3:$E$4919)</f>
        <v>30000000</v>
      </c>
      <c r="F1" s="78"/>
      <c r="G1" s="4"/>
      <c r="H1" s="4"/>
      <c r="I1" s="79" t="s">
        <v>45</v>
      </c>
      <c r="J1" s="80">
        <f>SUM($E$3:$E$4920)-SUM($W:$W)</f>
        <v>0</v>
      </c>
      <c r="K1" s="4"/>
      <c r="L1" s="4"/>
      <c r="M1" s="81"/>
      <c r="N1" s="82" t="s">
        <v>46</v>
      </c>
      <c r="O1" s="83">
        <f>'AR Aging 20260320'!$N$2</f>
        <v>2</v>
      </c>
      <c r="P1" s="4"/>
      <c r="Q1" s="4"/>
      <c r="R1" s="84" t="s">
        <v>47</v>
      </c>
      <c r="X1" s="4"/>
      <c r="Y1" s="4"/>
      <c r="Z1" s="4"/>
    </row>
    <row r="2" ht="30.0" customHeight="1">
      <c r="A2" s="85"/>
      <c r="B2" s="86" t="s">
        <v>48</v>
      </c>
      <c r="C2" s="87" t="s">
        <v>49</v>
      </c>
      <c r="D2" s="87" t="s">
        <v>50</v>
      </c>
      <c r="E2" s="87" t="s">
        <v>51</v>
      </c>
      <c r="F2" s="87" t="s">
        <v>52</v>
      </c>
      <c r="G2" s="86" t="s">
        <v>53</v>
      </c>
      <c r="H2" s="87" t="s">
        <v>54</v>
      </c>
      <c r="I2" s="88" t="s">
        <v>55</v>
      </c>
      <c r="J2" s="88" t="s">
        <v>56</v>
      </c>
      <c r="K2" s="89" t="s">
        <v>57</v>
      </c>
      <c r="L2" s="89" t="s">
        <v>58</v>
      </c>
      <c r="M2" s="89" t="s">
        <v>59</v>
      </c>
      <c r="N2" s="89" t="s">
        <v>60</v>
      </c>
      <c r="O2" s="89" t="s">
        <v>61</v>
      </c>
      <c r="P2" s="89" t="s">
        <v>62</v>
      </c>
      <c r="Q2" s="85"/>
      <c r="R2" s="76" t="s">
        <v>40</v>
      </c>
      <c r="S2" s="86" t="s">
        <v>63</v>
      </c>
      <c r="T2" s="86" t="s">
        <v>64</v>
      </c>
      <c r="U2" s="86" t="s">
        <v>65</v>
      </c>
      <c r="V2" s="86" t="s">
        <v>66</v>
      </c>
      <c r="W2" s="86" t="s">
        <v>67</v>
      </c>
      <c r="X2" s="85"/>
      <c r="Y2" s="85"/>
      <c r="Z2" s="85"/>
    </row>
    <row r="3" ht="15.75" customHeight="1">
      <c r="A3" s="4"/>
      <c r="B3" s="90"/>
      <c r="C3" s="4"/>
      <c r="D3" s="4"/>
      <c r="E3" s="42"/>
      <c r="F3" s="90"/>
      <c r="G3" s="4"/>
      <c r="H3" s="90"/>
      <c r="I3" s="3"/>
      <c r="J3" s="3"/>
      <c r="K3" s="3"/>
      <c r="L3" s="3"/>
      <c r="M3" s="3"/>
      <c r="N3" s="3"/>
      <c r="O3" s="3"/>
      <c r="P3" s="3"/>
      <c r="Q3" s="4"/>
      <c r="R3" s="4">
        <v>2026.0</v>
      </c>
      <c r="S3" s="3">
        <v>1.0</v>
      </c>
      <c r="T3" s="77">
        <v>46024.0</v>
      </c>
      <c r="U3" s="91">
        <f t="shared" ref="U3:U106" si="1">SUMIFS($E:$E,$O:$O,$S3,$P:$P,$R3)</f>
        <v>0</v>
      </c>
      <c r="V3" s="4"/>
      <c r="W3" s="92">
        <f t="shared" ref="W3:W106" si="2">SUM(U3:V3)</f>
        <v>0</v>
      </c>
      <c r="X3" s="4"/>
      <c r="Y3" s="4"/>
      <c r="Z3" s="4"/>
    </row>
    <row r="4" ht="15.75" customHeight="1">
      <c r="A4" s="4"/>
      <c r="B4" s="90"/>
      <c r="C4" s="4"/>
      <c r="D4" s="4"/>
      <c r="E4" s="42"/>
      <c r="F4" s="90"/>
      <c r="G4" s="4"/>
      <c r="H4" s="90"/>
      <c r="I4" s="3"/>
      <c r="J4" s="3"/>
      <c r="K4" s="3"/>
      <c r="L4" s="3"/>
      <c r="M4" s="3"/>
      <c r="N4" s="3"/>
      <c r="O4" s="3"/>
      <c r="P4" s="3"/>
      <c r="Q4" s="4"/>
      <c r="R4" s="4">
        <v>2026.0</v>
      </c>
      <c r="S4" s="3">
        <v>2.0</v>
      </c>
      <c r="T4" s="77">
        <f t="shared" ref="T4:T106" si="3">T3+7</f>
        <v>46031</v>
      </c>
      <c r="U4" s="91">
        <f t="shared" si="1"/>
        <v>0</v>
      </c>
      <c r="V4" s="4"/>
      <c r="W4" s="92">
        <f t="shared" si="2"/>
        <v>0</v>
      </c>
      <c r="X4" s="4"/>
      <c r="Y4" s="4"/>
      <c r="Z4" s="4"/>
    </row>
    <row r="5" ht="15.75" customHeight="1">
      <c r="A5" s="4"/>
      <c r="B5" s="90"/>
      <c r="C5" s="4"/>
      <c r="D5" s="4"/>
      <c r="E5" s="42"/>
      <c r="F5" s="90"/>
      <c r="G5" s="4"/>
      <c r="H5" s="90"/>
      <c r="I5" s="3"/>
      <c r="J5" s="3"/>
      <c r="K5" s="3"/>
      <c r="L5" s="3"/>
      <c r="M5" s="3"/>
      <c r="N5" s="3"/>
      <c r="O5" s="3"/>
      <c r="P5" s="3"/>
      <c r="Q5" s="4"/>
      <c r="R5" s="4">
        <v>2026.0</v>
      </c>
      <c r="S5" s="3">
        <v>3.0</v>
      </c>
      <c r="T5" s="77">
        <f t="shared" si="3"/>
        <v>46038</v>
      </c>
      <c r="U5" s="91">
        <f t="shared" si="1"/>
        <v>0</v>
      </c>
      <c r="V5" s="4"/>
      <c r="W5" s="92">
        <f t="shared" si="2"/>
        <v>0</v>
      </c>
      <c r="X5" s="4"/>
      <c r="Y5" s="4"/>
      <c r="Z5" s="4"/>
    </row>
    <row r="6" ht="15.75" customHeight="1">
      <c r="A6" s="4"/>
      <c r="B6" s="90"/>
      <c r="C6" s="4"/>
      <c r="D6" s="4"/>
      <c r="E6" s="42"/>
      <c r="F6" s="90"/>
      <c r="G6" s="4"/>
      <c r="H6" s="90"/>
      <c r="I6" s="3"/>
      <c r="J6" s="3"/>
      <c r="K6" s="3"/>
      <c r="L6" s="3"/>
      <c r="M6" s="3"/>
      <c r="N6" s="3"/>
      <c r="O6" s="3"/>
      <c r="P6" s="3"/>
      <c r="Q6" s="4"/>
      <c r="R6" s="4">
        <v>2026.0</v>
      </c>
      <c r="S6" s="3">
        <v>4.0</v>
      </c>
      <c r="T6" s="77">
        <f t="shared" si="3"/>
        <v>46045</v>
      </c>
      <c r="U6" s="91">
        <f t="shared" si="1"/>
        <v>0</v>
      </c>
      <c r="V6" s="4"/>
      <c r="W6" s="92">
        <f t="shared" si="2"/>
        <v>0</v>
      </c>
      <c r="X6" s="4"/>
      <c r="Y6" s="4"/>
      <c r="Z6" s="4"/>
    </row>
    <row r="7" ht="15.75" customHeight="1">
      <c r="A7" s="4"/>
      <c r="B7" s="93"/>
      <c r="C7" s="44"/>
      <c r="D7" s="44"/>
      <c r="E7" s="51"/>
      <c r="F7" s="93"/>
      <c r="G7" s="44"/>
      <c r="H7" s="93"/>
      <c r="I7" s="94"/>
      <c r="J7" s="94"/>
      <c r="K7" s="94"/>
      <c r="L7" s="94"/>
      <c r="M7" s="94"/>
      <c r="N7" s="94"/>
      <c r="O7" s="94"/>
      <c r="P7" s="94"/>
      <c r="Q7" s="4"/>
      <c r="R7" s="4">
        <v>2026.0</v>
      </c>
      <c r="S7" s="3">
        <v>5.0</v>
      </c>
      <c r="T7" s="77">
        <f t="shared" si="3"/>
        <v>46052</v>
      </c>
      <c r="U7" s="91">
        <f t="shared" si="1"/>
        <v>0</v>
      </c>
      <c r="V7" s="4"/>
      <c r="W7" s="92">
        <f t="shared" si="2"/>
        <v>0</v>
      </c>
      <c r="X7" s="4"/>
      <c r="Y7" s="4"/>
      <c r="Z7" s="4"/>
    </row>
    <row r="8" ht="15.75" customHeight="1">
      <c r="A8" s="4"/>
      <c r="B8" s="90">
        <v>46142.0</v>
      </c>
      <c r="C8" s="4" t="s">
        <v>68</v>
      </c>
      <c r="D8" s="4"/>
      <c r="E8" s="42">
        <v>1000000.0</v>
      </c>
      <c r="F8" s="90">
        <v>46142.0</v>
      </c>
      <c r="G8" s="4">
        <v>45.0</v>
      </c>
      <c r="H8" s="90">
        <f t="shared" ref="H8:H26" si="4">F8+G8</f>
        <v>46187</v>
      </c>
      <c r="I8" s="3">
        <f t="shared" ref="I8:I37" si="5">MONTH(B8)</f>
        <v>4</v>
      </c>
      <c r="J8" s="3">
        <f t="shared" ref="J8:J37" si="6">YEAR(B8)</f>
        <v>2026</v>
      </c>
      <c r="K8" s="3">
        <f t="shared" ref="K8:K37" si="7">WEEKNUM($F8)</f>
        <v>18</v>
      </c>
      <c r="L8" s="3">
        <f t="shared" ref="L8:L37" si="8">YEAR($F8)</f>
        <v>2026</v>
      </c>
      <c r="M8" s="3">
        <f t="shared" ref="M8:M37" si="9">WEEKNUM($H8)</f>
        <v>25</v>
      </c>
      <c r="N8" s="3">
        <f t="shared" ref="N8:N37" si="10">YEAR(H8)</f>
        <v>2026</v>
      </c>
      <c r="O8" s="3">
        <f t="shared" ref="O8:O37" si="11">IF(ISBLANK($B8),"",IF($M8&lt;51,$M8+$O$1,$M8-52+$O$1))</f>
        <v>27</v>
      </c>
      <c r="P8" s="3">
        <f t="shared" ref="P8:P37" si="12">IF(ISBLANK($B8),"",IF($M8&lt;51,YEAR($H8),YEAR($H8)+1))</f>
        <v>2026</v>
      </c>
      <c r="Q8" s="4"/>
      <c r="R8" s="4">
        <v>2026.0</v>
      </c>
      <c r="S8" s="3">
        <v>6.0</v>
      </c>
      <c r="T8" s="77">
        <f t="shared" si="3"/>
        <v>46059</v>
      </c>
      <c r="U8" s="91">
        <f t="shared" si="1"/>
        <v>0</v>
      </c>
      <c r="V8" s="4"/>
      <c r="W8" s="92">
        <f t="shared" si="2"/>
        <v>0</v>
      </c>
      <c r="X8" s="4"/>
      <c r="Y8" s="4"/>
      <c r="Z8" s="4"/>
    </row>
    <row r="9" ht="15.75" customHeight="1">
      <c r="A9" s="4"/>
      <c r="B9" s="90">
        <v>46142.0</v>
      </c>
      <c r="C9" s="4" t="s">
        <v>68</v>
      </c>
      <c r="D9" s="4"/>
      <c r="E9" s="42">
        <v>1000000.0</v>
      </c>
      <c r="F9" s="90">
        <v>46173.0</v>
      </c>
      <c r="G9" s="4">
        <v>45.0</v>
      </c>
      <c r="H9" s="90">
        <f t="shared" si="4"/>
        <v>46218</v>
      </c>
      <c r="I9" s="3">
        <f t="shared" si="5"/>
        <v>4</v>
      </c>
      <c r="J9" s="3">
        <f t="shared" si="6"/>
        <v>2026</v>
      </c>
      <c r="K9" s="3">
        <f t="shared" si="7"/>
        <v>23</v>
      </c>
      <c r="L9" s="3">
        <f t="shared" si="8"/>
        <v>2026</v>
      </c>
      <c r="M9" s="3">
        <f t="shared" si="9"/>
        <v>29</v>
      </c>
      <c r="N9" s="3">
        <f t="shared" si="10"/>
        <v>2026</v>
      </c>
      <c r="O9" s="3">
        <f t="shared" si="11"/>
        <v>31</v>
      </c>
      <c r="P9" s="3">
        <f t="shared" si="12"/>
        <v>2026</v>
      </c>
      <c r="Q9" s="4"/>
      <c r="R9" s="4">
        <v>2026.0</v>
      </c>
      <c r="S9" s="3">
        <v>7.0</v>
      </c>
      <c r="T9" s="77">
        <f t="shared" si="3"/>
        <v>46066</v>
      </c>
      <c r="U9" s="91">
        <f t="shared" si="1"/>
        <v>0</v>
      </c>
      <c r="V9" s="4"/>
      <c r="W9" s="92">
        <f t="shared" si="2"/>
        <v>0</v>
      </c>
      <c r="X9" s="4"/>
      <c r="Y9" s="4"/>
      <c r="Z9" s="4"/>
    </row>
    <row r="10" ht="15.75" customHeight="1">
      <c r="A10" s="4"/>
      <c r="B10" s="90">
        <v>46142.0</v>
      </c>
      <c r="C10" s="4" t="s">
        <v>68</v>
      </c>
      <c r="D10" s="4"/>
      <c r="E10" s="42">
        <v>1000000.0</v>
      </c>
      <c r="F10" s="90">
        <v>46203.0</v>
      </c>
      <c r="G10" s="4">
        <v>45.0</v>
      </c>
      <c r="H10" s="90">
        <f t="shared" si="4"/>
        <v>46248</v>
      </c>
      <c r="I10" s="3">
        <f t="shared" si="5"/>
        <v>4</v>
      </c>
      <c r="J10" s="3">
        <f t="shared" si="6"/>
        <v>2026</v>
      </c>
      <c r="K10" s="3">
        <f t="shared" si="7"/>
        <v>27</v>
      </c>
      <c r="L10" s="3">
        <f t="shared" si="8"/>
        <v>2026</v>
      </c>
      <c r="M10" s="3">
        <f t="shared" si="9"/>
        <v>33</v>
      </c>
      <c r="N10" s="3">
        <f t="shared" si="10"/>
        <v>2026</v>
      </c>
      <c r="O10" s="3">
        <f t="shared" si="11"/>
        <v>35</v>
      </c>
      <c r="P10" s="3">
        <f t="shared" si="12"/>
        <v>2026</v>
      </c>
      <c r="Q10" s="4"/>
      <c r="R10" s="4">
        <v>2026.0</v>
      </c>
      <c r="S10" s="3">
        <v>8.0</v>
      </c>
      <c r="T10" s="77">
        <f t="shared" si="3"/>
        <v>46073</v>
      </c>
      <c r="U10" s="91">
        <f t="shared" si="1"/>
        <v>0</v>
      </c>
      <c r="V10" s="4"/>
      <c r="W10" s="92">
        <f t="shared" si="2"/>
        <v>0</v>
      </c>
      <c r="X10" s="4"/>
      <c r="Y10" s="4"/>
      <c r="Z10" s="4"/>
    </row>
    <row r="11" ht="15.75" customHeight="1">
      <c r="A11" s="4"/>
      <c r="B11" s="90">
        <v>46142.0</v>
      </c>
      <c r="C11" s="4" t="s">
        <v>68</v>
      </c>
      <c r="D11" s="4"/>
      <c r="E11" s="42">
        <v>1000000.0</v>
      </c>
      <c r="F11" s="90">
        <v>46234.0</v>
      </c>
      <c r="G11" s="4">
        <v>45.0</v>
      </c>
      <c r="H11" s="90">
        <f t="shared" si="4"/>
        <v>46279</v>
      </c>
      <c r="I11" s="3">
        <f t="shared" si="5"/>
        <v>4</v>
      </c>
      <c r="J11" s="3">
        <f t="shared" si="6"/>
        <v>2026</v>
      </c>
      <c r="K11" s="3">
        <f t="shared" si="7"/>
        <v>31</v>
      </c>
      <c r="L11" s="3">
        <f t="shared" si="8"/>
        <v>2026</v>
      </c>
      <c r="M11" s="3">
        <f t="shared" si="9"/>
        <v>38</v>
      </c>
      <c r="N11" s="3">
        <f t="shared" si="10"/>
        <v>2026</v>
      </c>
      <c r="O11" s="3">
        <f t="shared" si="11"/>
        <v>40</v>
      </c>
      <c r="P11" s="3">
        <f t="shared" si="12"/>
        <v>2026</v>
      </c>
      <c r="Q11" s="4"/>
      <c r="R11" s="4">
        <v>2026.0</v>
      </c>
      <c r="S11" s="3">
        <v>9.0</v>
      </c>
      <c r="T11" s="77">
        <f t="shared" si="3"/>
        <v>46080</v>
      </c>
      <c r="U11" s="91">
        <f t="shared" si="1"/>
        <v>0</v>
      </c>
      <c r="V11" s="4"/>
      <c r="W11" s="92">
        <f t="shared" si="2"/>
        <v>0</v>
      </c>
      <c r="X11" s="4"/>
      <c r="Y11" s="4"/>
      <c r="Z11" s="4"/>
    </row>
    <row r="12" ht="15.75" customHeight="1">
      <c r="A12" s="4"/>
      <c r="B12" s="93">
        <v>46142.0</v>
      </c>
      <c r="C12" s="44" t="s">
        <v>68</v>
      </c>
      <c r="D12" s="44"/>
      <c r="E12" s="51">
        <v>1000000.0</v>
      </c>
      <c r="F12" s="93">
        <v>46265.0</v>
      </c>
      <c r="G12" s="44">
        <v>45.0</v>
      </c>
      <c r="H12" s="93">
        <f t="shared" si="4"/>
        <v>46310</v>
      </c>
      <c r="I12" s="94">
        <f t="shared" si="5"/>
        <v>4</v>
      </c>
      <c r="J12" s="94">
        <f t="shared" si="6"/>
        <v>2026</v>
      </c>
      <c r="K12" s="94">
        <f t="shared" si="7"/>
        <v>36</v>
      </c>
      <c r="L12" s="94">
        <f t="shared" si="8"/>
        <v>2026</v>
      </c>
      <c r="M12" s="94">
        <f t="shared" si="9"/>
        <v>42</v>
      </c>
      <c r="N12" s="94">
        <f t="shared" si="10"/>
        <v>2026</v>
      </c>
      <c r="O12" s="94">
        <f t="shared" si="11"/>
        <v>44</v>
      </c>
      <c r="P12" s="94">
        <f t="shared" si="12"/>
        <v>2026</v>
      </c>
      <c r="Q12" s="4"/>
      <c r="R12" s="4">
        <v>2026.0</v>
      </c>
      <c r="S12" s="3">
        <v>10.0</v>
      </c>
      <c r="T12" s="77">
        <f t="shared" si="3"/>
        <v>46087</v>
      </c>
      <c r="U12" s="91">
        <f t="shared" si="1"/>
        <v>0</v>
      </c>
      <c r="V12" s="4"/>
      <c r="W12" s="92">
        <f t="shared" si="2"/>
        <v>0</v>
      </c>
      <c r="X12" s="4"/>
      <c r="Y12" s="4"/>
      <c r="Z12" s="4"/>
    </row>
    <row r="13" ht="15.75" customHeight="1">
      <c r="A13" s="4"/>
      <c r="B13" s="90">
        <v>46173.0</v>
      </c>
      <c r="C13" s="4" t="s">
        <v>68</v>
      </c>
      <c r="D13" s="4"/>
      <c r="E13" s="42">
        <v>1000000.0</v>
      </c>
      <c r="F13" s="90">
        <v>46173.0</v>
      </c>
      <c r="G13" s="4">
        <v>45.0</v>
      </c>
      <c r="H13" s="90">
        <f t="shared" si="4"/>
        <v>46218</v>
      </c>
      <c r="I13" s="3">
        <f t="shared" si="5"/>
        <v>5</v>
      </c>
      <c r="J13" s="3">
        <f t="shared" si="6"/>
        <v>2026</v>
      </c>
      <c r="K13" s="3">
        <f t="shared" si="7"/>
        <v>23</v>
      </c>
      <c r="L13" s="3">
        <f t="shared" si="8"/>
        <v>2026</v>
      </c>
      <c r="M13" s="3">
        <f t="shared" si="9"/>
        <v>29</v>
      </c>
      <c r="N13" s="3">
        <f t="shared" si="10"/>
        <v>2026</v>
      </c>
      <c r="O13" s="3">
        <f t="shared" si="11"/>
        <v>31</v>
      </c>
      <c r="P13" s="3">
        <f t="shared" si="12"/>
        <v>2026</v>
      </c>
      <c r="Q13" s="4"/>
      <c r="R13" s="4">
        <v>2026.0</v>
      </c>
      <c r="S13" s="3">
        <v>11.0</v>
      </c>
      <c r="T13" s="77">
        <f t="shared" si="3"/>
        <v>46094</v>
      </c>
      <c r="U13" s="91">
        <f t="shared" si="1"/>
        <v>0</v>
      </c>
      <c r="V13" s="4"/>
      <c r="W13" s="92">
        <f t="shared" si="2"/>
        <v>0</v>
      </c>
      <c r="X13" s="4"/>
      <c r="Y13" s="4"/>
      <c r="Z13" s="4"/>
    </row>
    <row r="14" ht="15.75" customHeight="1">
      <c r="A14" s="4"/>
      <c r="B14" s="90">
        <v>46173.0</v>
      </c>
      <c r="C14" s="4" t="s">
        <v>68</v>
      </c>
      <c r="D14" s="4"/>
      <c r="E14" s="42">
        <v>1000000.0</v>
      </c>
      <c r="F14" s="90">
        <v>46203.0</v>
      </c>
      <c r="G14" s="4">
        <v>45.0</v>
      </c>
      <c r="H14" s="90">
        <f t="shared" si="4"/>
        <v>46248</v>
      </c>
      <c r="I14" s="3">
        <f t="shared" si="5"/>
        <v>5</v>
      </c>
      <c r="J14" s="3">
        <f t="shared" si="6"/>
        <v>2026</v>
      </c>
      <c r="K14" s="3">
        <f t="shared" si="7"/>
        <v>27</v>
      </c>
      <c r="L14" s="3">
        <f t="shared" si="8"/>
        <v>2026</v>
      </c>
      <c r="M14" s="3">
        <f t="shared" si="9"/>
        <v>33</v>
      </c>
      <c r="N14" s="3">
        <f t="shared" si="10"/>
        <v>2026</v>
      </c>
      <c r="O14" s="3">
        <f t="shared" si="11"/>
        <v>35</v>
      </c>
      <c r="P14" s="3">
        <f t="shared" si="12"/>
        <v>2026</v>
      </c>
      <c r="Q14" s="4"/>
      <c r="R14" s="4">
        <v>2026.0</v>
      </c>
      <c r="S14" s="3">
        <v>12.0</v>
      </c>
      <c r="T14" s="77">
        <f t="shared" si="3"/>
        <v>46101</v>
      </c>
      <c r="U14" s="91">
        <f t="shared" si="1"/>
        <v>0</v>
      </c>
      <c r="V14" s="4"/>
      <c r="W14" s="92">
        <f t="shared" si="2"/>
        <v>0</v>
      </c>
      <c r="X14" s="4"/>
      <c r="Y14" s="4"/>
      <c r="Z14" s="4"/>
    </row>
    <row r="15" ht="15.75" customHeight="1">
      <c r="A15" s="4"/>
      <c r="B15" s="90">
        <v>46173.0</v>
      </c>
      <c r="C15" s="4" t="s">
        <v>68</v>
      </c>
      <c r="D15" s="4"/>
      <c r="E15" s="42">
        <v>1000000.0</v>
      </c>
      <c r="F15" s="90">
        <v>46234.0</v>
      </c>
      <c r="G15" s="4">
        <v>45.0</v>
      </c>
      <c r="H15" s="90">
        <f t="shared" si="4"/>
        <v>46279</v>
      </c>
      <c r="I15" s="3">
        <f t="shared" si="5"/>
        <v>5</v>
      </c>
      <c r="J15" s="3">
        <f t="shared" si="6"/>
        <v>2026</v>
      </c>
      <c r="K15" s="3">
        <f t="shared" si="7"/>
        <v>31</v>
      </c>
      <c r="L15" s="3">
        <f t="shared" si="8"/>
        <v>2026</v>
      </c>
      <c r="M15" s="3">
        <f t="shared" si="9"/>
        <v>38</v>
      </c>
      <c r="N15" s="3">
        <f t="shared" si="10"/>
        <v>2026</v>
      </c>
      <c r="O15" s="3">
        <f t="shared" si="11"/>
        <v>40</v>
      </c>
      <c r="P15" s="3">
        <f t="shared" si="12"/>
        <v>2026</v>
      </c>
      <c r="Q15" s="4"/>
      <c r="R15" s="4">
        <v>2026.0</v>
      </c>
      <c r="S15" s="3">
        <v>13.0</v>
      </c>
      <c r="T15" s="77">
        <f t="shared" si="3"/>
        <v>46108</v>
      </c>
      <c r="U15" s="91">
        <f t="shared" si="1"/>
        <v>0</v>
      </c>
      <c r="V15" s="4"/>
      <c r="W15" s="92">
        <f t="shared" si="2"/>
        <v>0</v>
      </c>
      <c r="X15" s="4"/>
      <c r="Y15" s="4"/>
      <c r="Z15" s="4"/>
    </row>
    <row r="16" ht="15.75" customHeight="1">
      <c r="A16" s="4"/>
      <c r="B16" s="90">
        <v>46173.0</v>
      </c>
      <c r="C16" s="4" t="s">
        <v>68</v>
      </c>
      <c r="D16" s="4"/>
      <c r="E16" s="42">
        <v>1000000.0</v>
      </c>
      <c r="F16" s="90">
        <v>46265.0</v>
      </c>
      <c r="G16" s="4">
        <v>45.0</v>
      </c>
      <c r="H16" s="90">
        <f t="shared" si="4"/>
        <v>46310</v>
      </c>
      <c r="I16" s="3">
        <f t="shared" si="5"/>
        <v>5</v>
      </c>
      <c r="J16" s="3">
        <f t="shared" si="6"/>
        <v>2026</v>
      </c>
      <c r="K16" s="3">
        <f t="shared" si="7"/>
        <v>36</v>
      </c>
      <c r="L16" s="3">
        <f t="shared" si="8"/>
        <v>2026</v>
      </c>
      <c r="M16" s="3">
        <f t="shared" si="9"/>
        <v>42</v>
      </c>
      <c r="N16" s="3">
        <f t="shared" si="10"/>
        <v>2026</v>
      </c>
      <c r="O16" s="3">
        <f t="shared" si="11"/>
        <v>44</v>
      </c>
      <c r="P16" s="3">
        <f t="shared" si="12"/>
        <v>2026</v>
      </c>
      <c r="Q16" s="4"/>
      <c r="R16" s="4">
        <v>2026.0</v>
      </c>
      <c r="S16" s="3">
        <v>14.0</v>
      </c>
      <c r="T16" s="77">
        <f t="shared" si="3"/>
        <v>46115</v>
      </c>
      <c r="U16" s="91">
        <f t="shared" si="1"/>
        <v>0</v>
      </c>
      <c r="V16" s="4"/>
      <c r="W16" s="92">
        <f t="shared" si="2"/>
        <v>0</v>
      </c>
      <c r="X16" s="4"/>
      <c r="Y16" s="4"/>
      <c r="Z16" s="4"/>
    </row>
    <row r="17" ht="15.75" customHeight="1">
      <c r="A17" s="4"/>
      <c r="B17" s="93">
        <v>46173.0</v>
      </c>
      <c r="C17" s="44" t="s">
        <v>68</v>
      </c>
      <c r="D17" s="44"/>
      <c r="E17" s="51">
        <v>1000000.0</v>
      </c>
      <c r="F17" s="93">
        <v>46295.0</v>
      </c>
      <c r="G17" s="44">
        <v>45.0</v>
      </c>
      <c r="H17" s="93">
        <f t="shared" si="4"/>
        <v>46340</v>
      </c>
      <c r="I17" s="94">
        <f t="shared" si="5"/>
        <v>5</v>
      </c>
      <c r="J17" s="94">
        <f t="shared" si="6"/>
        <v>2026</v>
      </c>
      <c r="K17" s="94">
        <f t="shared" si="7"/>
        <v>40</v>
      </c>
      <c r="L17" s="94">
        <f t="shared" si="8"/>
        <v>2026</v>
      </c>
      <c r="M17" s="94">
        <f t="shared" si="9"/>
        <v>46</v>
      </c>
      <c r="N17" s="94">
        <f t="shared" si="10"/>
        <v>2026</v>
      </c>
      <c r="O17" s="94">
        <f t="shared" si="11"/>
        <v>48</v>
      </c>
      <c r="P17" s="94">
        <f t="shared" si="12"/>
        <v>2026</v>
      </c>
      <c r="Q17" s="4"/>
      <c r="R17" s="4">
        <v>2026.0</v>
      </c>
      <c r="S17" s="3">
        <v>15.0</v>
      </c>
      <c r="T17" s="77">
        <f t="shared" si="3"/>
        <v>46122</v>
      </c>
      <c r="U17" s="91">
        <f t="shared" si="1"/>
        <v>0</v>
      </c>
      <c r="V17" s="4"/>
      <c r="W17" s="92">
        <f t="shared" si="2"/>
        <v>0</v>
      </c>
      <c r="X17" s="4"/>
      <c r="Y17" s="4"/>
      <c r="Z17" s="4"/>
    </row>
    <row r="18" ht="15.75" customHeight="1">
      <c r="A18" s="4"/>
      <c r="B18" s="90">
        <v>46203.0</v>
      </c>
      <c r="C18" s="4" t="s">
        <v>68</v>
      </c>
      <c r="D18" s="4"/>
      <c r="E18" s="42">
        <v>1000000.0</v>
      </c>
      <c r="F18" s="90">
        <v>46203.0</v>
      </c>
      <c r="G18" s="4">
        <v>45.0</v>
      </c>
      <c r="H18" s="90">
        <f t="shared" si="4"/>
        <v>46248</v>
      </c>
      <c r="I18" s="3">
        <f t="shared" si="5"/>
        <v>6</v>
      </c>
      <c r="J18" s="3">
        <f t="shared" si="6"/>
        <v>2026</v>
      </c>
      <c r="K18" s="3">
        <f t="shared" si="7"/>
        <v>27</v>
      </c>
      <c r="L18" s="3">
        <f t="shared" si="8"/>
        <v>2026</v>
      </c>
      <c r="M18" s="3">
        <f t="shared" si="9"/>
        <v>33</v>
      </c>
      <c r="N18" s="3">
        <f t="shared" si="10"/>
        <v>2026</v>
      </c>
      <c r="O18" s="3">
        <f t="shared" si="11"/>
        <v>35</v>
      </c>
      <c r="P18" s="3">
        <f t="shared" si="12"/>
        <v>2026</v>
      </c>
      <c r="Q18" s="4"/>
      <c r="R18" s="4">
        <v>2026.0</v>
      </c>
      <c r="S18" s="3">
        <v>16.0</v>
      </c>
      <c r="T18" s="77">
        <f t="shared" si="3"/>
        <v>46129</v>
      </c>
      <c r="U18" s="91">
        <f t="shared" si="1"/>
        <v>0</v>
      </c>
      <c r="V18" s="4"/>
      <c r="W18" s="92">
        <f t="shared" si="2"/>
        <v>0</v>
      </c>
      <c r="X18" s="4"/>
      <c r="Y18" s="4"/>
      <c r="Z18" s="4"/>
    </row>
    <row r="19" ht="15.75" customHeight="1">
      <c r="A19" s="4"/>
      <c r="B19" s="90">
        <v>46203.0</v>
      </c>
      <c r="C19" s="4" t="s">
        <v>68</v>
      </c>
      <c r="D19" s="4"/>
      <c r="E19" s="42">
        <v>1000000.0</v>
      </c>
      <c r="F19" s="90">
        <v>46234.0</v>
      </c>
      <c r="G19" s="4">
        <v>45.0</v>
      </c>
      <c r="H19" s="90">
        <f t="shared" si="4"/>
        <v>46279</v>
      </c>
      <c r="I19" s="3">
        <f t="shared" si="5"/>
        <v>6</v>
      </c>
      <c r="J19" s="3">
        <f t="shared" si="6"/>
        <v>2026</v>
      </c>
      <c r="K19" s="3">
        <f t="shared" si="7"/>
        <v>31</v>
      </c>
      <c r="L19" s="3">
        <f t="shared" si="8"/>
        <v>2026</v>
      </c>
      <c r="M19" s="3">
        <f t="shared" si="9"/>
        <v>38</v>
      </c>
      <c r="N19" s="3">
        <f t="shared" si="10"/>
        <v>2026</v>
      </c>
      <c r="O19" s="3">
        <f t="shared" si="11"/>
        <v>40</v>
      </c>
      <c r="P19" s="3">
        <f t="shared" si="12"/>
        <v>2026</v>
      </c>
      <c r="Q19" s="4"/>
      <c r="R19" s="4">
        <v>2026.0</v>
      </c>
      <c r="S19" s="3">
        <v>17.0</v>
      </c>
      <c r="T19" s="77">
        <f t="shared" si="3"/>
        <v>46136</v>
      </c>
      <c r="U19" s="91">
        <f t="shared" si="1"/>
        <v>0</v>
      </c>
      <c r="V19" s="4"/>
      <c r="W19" s="92">
        <f t="shared" si="2"/>
        <v>0</v>
      </c>
      <c r="X19" s="4"/>
      <c r="Y19" s="4"/>
      <c r="Z19" s="4"/>
    </row>
    <row r="20" ht="15.75" customHeight="1">
      <c r="A20" s="4"/>
      <c r="B20" s="90">
        <v>46203.0</v>
      </c>
      <c r="C20" s="4" t="s">
        <v>68</v>
      </c>
      <c r="D20" s="4"/>
      <c r="E20" s="42">
        <v>1000000.0</v>
      </c>
      <c r="F20" s="90">
        <v>46265.0</v>
      </c>
      <c r="G20" s="4">
        <v>45.0</v>
      </c>
      <c r="H20" s="90">
        <f t="shared" si="4"/>
        <v>46310</v>
      </c>
      <c r="I20" s="3">
        <f t="shared" si="5"/>
        <v>6</v>
      </c>
      <c r="J20" s="3">
        <f t="shared" si="6"/>
        <v>2026</v>
      </c>
      <c r="K20" s="3">
        <f t="shared" si="7"/>
        <v>36</v>
      </c>
      <c r="L20" s="3">
        <f t="shared" si="8"/>
        <v>2026</v>
      </c>
      <c r="M20" s="3">
        <f t="shared" si="9"/>
        <v>42</v>
      </c>
      <c r="N20" s="3">
        <f t="shared" si="10"/>
        <v>2026</v>
      </c>
      <c r="O20" s="3">
        <f t="shared" si="11"/>
        <v>44</v>
      </c>
      <c r="P20" s="3">
        <f t="shared" si="12"/>
        <v>2026</v>
      </c>
      <c r="Q20" s="4"/>
      <c r="R20" s="4">
        <v>2026.0</v>
      </c>
      <c r="S20" s="3">
        <v>18.0</v>
      </c>
      <c r="T20" s="77">
        <f t="shared" si="3"/>
        <v>46143</v>
      </c>
      <c r="U20" s="91">
        <f t="shared" si="1"/>
        <v>0</v>
      </c>
      <c r="V20" s="4"/>
      <c r="W20" s="92">
        <f t="shared" si="2"/>
        <v>0</v>
      </c>
      <c r="X20" s="4"/>
      <c r="Y20" s="4"/>
      <c r="Z20" s="4"/>
    </row>
    <row r="21" ht="15.75" customHeight="1">
      <c r="A21" s="4"/>
      <c r="B21" s="90">
        <v>46203.0</v>
      </c>
      <c r="C21" s="4" t="s">
        <v>68</v>
      </c>
      <c r="D21" s="4"/>
      <c r="E21" s="42">
        <v>1000000.0</v>
      </c>
      <c r="F21" s="90">
        <v>46295.0</v>
      </c>
      <c r="G21" s="4">
        <v>45.0</v>
      </c>
      <c r="H21" s="90">
        <f t="shared" si="4"/>
        <v>46340</v>
      </c>
      <c r="I21" s="3">
        <f t="shared" si="5"/>
        <v>6</v>
      </c>
      <c r="J21" s="3">
        <f t="shared" si="6"/>
        <v>2026</v>
      </c>
      <c r="K21" s="3">
        <f t="shared" si="7"/>
        <v>40</v>
      </c>
      <c r="L21" s="3">
        <f t="shared" si="8"/>
        <v>2026</v>
      </c>
      <c r="M21" s="3">
        <f t="shared" si="9"/>
        <v>46</v>
      </c>
      <c r="N21" s="3">
        <f t="shared" si="10"/>
        <v>2026</v>
      </c>
      <c r="O21" s="3">
        <f t="shared" si="11"/>
        <v>48</v>
      </c>
      <c r="P21" s="3">
        <f t="shared" si="12"/>
        <v>2026</v>
      </c>
      <c r="Q21" s="4"/>
      <c r="R21" s="4">
        <v>2026.0</v>
      </c>
      <c r="S21" s="3">
        <v>19.0</v>
      </c>
      <c r="T21" s="77">
        <f t="shared" si="3"/>
        <v>46150</v>
      </c>
      <c r="U21" s="91">
        <f t="shared" si="1"/>
        <v>0</v>
      </c>
      <c r="V21" s="4"/>
      <c r="W21" s="92">
        <f t="shared" si="2"/>
        <v>0</v>
      </c>
      <c r="X21" s="4"/>
      <c r="Y21" s="4"/>
      <c r="Z21" s="4"/>
    </row>
    <row r="22" ht="15.75" customHeight="1">
      <c r="A22" s="4"/>
      <c r="B22" s="93">
        <v>46203.0</v>
      </c>
      <c r="C22" s="44" t="s">
        <v>68</v>
      </c>
      <c r="D22" s="44"/>
      <c r="E22" s="51">
        <v>1000000.0</v>
      </c>
      <c r="F22" s="93">
        <v>46326.0</v>
      </c>
      <c r="G22" s="44">
        <v>45.0</v>
      </c>
      <c r="H22" s="93">
        <f t="shared" si="4"/>
        <v>46371</v>
      </c>
      <c r="I22" s="94">
        <f t="shared" si="5"/>
        <v>6</v>
      </c>
      <c r="J22" s="94">
        <f t="shared" si="6"/>
        <v>2026</v>
      </c>
      <c r="K22" s="94">
        <f t="shared" si="7"/>
        <v>44</v>
      </c>
      <c r="L22" s="94">
        <f t="shared" si="8"/>
        <v>2026</v>
      </c>
      <c r="M22" s="94">
        <f t="shared" si="9"/>
        <v>51</v>
      </c>
      <c r="N22" s="94">
        <f t="shared" si="10"/>
        <v>2026</v>
      </c>
      <c r="O22" s="94">
        <f t="shared" si="11"/>
        <v>1</v>
      </c>
      <c r="P22" s="94">
        <f t="shared" si="12"/>
        <v>2027</v>
      </c>
      <c r="Q22" s="4"/>
      <c r="R22" s="4">
        <v>2026.0</v>
      </c>
      <c r="S22" s="3">
        <v>20.0</v>
      </c>
      <c r="T22" s="77">
        <f t="shared" si="3"/>
        <v>46157</v>
      </c>
      <c r="U22" s="91">
        <f t="shared" si="1"/>
        <v>0</v>
      </c>
      <c r="V22" s="4"/>
      <c r="W22" s="92">
        <f t="shared" si="2"/>
        <v>0</v>
      </c>
      <c r="X22" s="4"/>
      <c r="Y22" s="4"/>
      <c r="Z22" s="4"/>
    </row>
    <row r="23" ht="15.75" customHeight="1">
      <c r="A23" s="4"/>
      <c r="B23" s="90">
        <v>46234.0</v>
      </c>
      <c r="C23" s="4" t="s">
        <v>69</v>
      </c>
      <c r="D23" s="4"/>
      <c r="E23" s="42">
        <v>1000000.0</v>
      </c>
      <c r="F23" s="90">
        <v>46234.0</v>
      </c>
      <c r="G23" s="4">
        <v>45.0</v>
      </c>
      <c r="H23" s="90">
        <f t="shared" si="4"/>
        <v>46279</v>
      </c>
      <c r="I23" s="3">
        <f t="shared" si="5"/>
        <v>7</v>
      </c>
      <c r="J23" s="3">
        <f t="shared" si="6"/>
        <v>2026</v>
      </c>
      <c r="K23" s="3">
        <f t="shared" si="7"/>
        <v>31</v>
      </c>
      <c r="L23" s="3">
        <f t="shared" si="8"/>
        <v>2026</v>
      </c>
      <c r="M23" s="3">
        <f t="shared" si="9"/>
        <v>38</v>
      </c>
      <c r="N23" s="3">
        <f t="shared" si="10"/>
        <v>2026</v>
      </c>
      <c r="O23" s="3">
        <f t="shared" si="11"/>
        <v>40</v>
      </c>
      <c r="P23" s="3">
        <f t="shared" si="12"/>
        <v>2026</v>
      </c>
      <c r="Q23" s="4"/>
      <c r="R23" s="4">
        <v>2026.0</v>
      </c>
      <c r="S23" s="3">
        <v>21.0</v>
      </c>
      <c r="T23" s="77">
        <f t="shared" si="3"/>
        <v>46164</v>
      </c>
      <c r="U23" s="91">
        <f t="shared" si="1"/>
        <v>0</v>
      </c>
      <c r="V23" s="4"/>
      <c r="W23" s="92">
        <f t="shared" si="2"/>
        <v>0</v>
      </c>
      <c r="X23" s="4"/>
      <c r="Y23" s="4"/>
      <c r="Z23" s="4"/>
    </row>
    <row r="24" ht="15.75" customHeight="1">
      <c r="A24" s="4"/>
      <c r="B24" s="90">
        <v>46234.0</v>
      </c>
      <c r="C24" s="4" t="s">
        <v>69</v>
      </c>
      <c r="D24" s="4"/>
      <c r="E24" s="42">
        <v>1000000.0</v>
      </c>
      <c r="F24" s="90">
        <v>46265.0</v>
      </c>
      <c r="G24" s="4">
        <v>45.0</v>
      </c>
      <c r="H24" s="90">
        <f t="shared" si="4"/>
        <v>46310</v>
      </c>
      <c r="I24" s="3">
        <f t="shared" si="5"/>
        <v>7</v>
      </c>
      <c r="J24" s="3">
        <f t="shared" si="6"/>
        <v>2026</v>
      </c>
      <c r="K24" s="3">
        <f t="shared" si="7"/>
        <v>36</v>
      </c>
      <c r="L24" s="3">
        <f t="shared" si="8"/>
        <v>2026</v>
      </c>
      <c r="M24" s="3">
        <f t="shared" si="9"/>
        <v>42</v>
      </c>
      <c r="N24" s="3">
        <f t="shared" si="10"/>
        <v>2026</v>
      </c>
      <c r="O24" s="3">
        <f t="shared" si="11"/>
        <v>44</v>
      </c>
      <c r="P24" s="3">
        <f t="shared" si="12"/>
        <v>2026</v>
      </c>
      <c r="Q24" s="4"/>
      <c r="R24" s="4">
        <v>2026.0</v>
      </c>
      <c r="S24" s="3">
        <v>22.0</v>
      </c>
      <c r="T24" s="77">
        <f t="shared" si="3"/>
        <v>46171</v>
      </c>
      <c r="U24" s="91">
        <f t="shared" si="1"/>
        <v>0</v>
      </c>
      <c r="V24" s="4"/>
      <c r="W24" s="92">
        <f t="shared" si="2"/>
        <v>0</v>
      </c>
      <c r="X24" s="4"/>
      <c r="Y24" s="4"/>
      <c r="Z24" s="4"/>
    </row>
    <row r="25" ht="15.75" customHeight="1">
      <c r="A25" s="4"/>
      <c r="B25" s="90">
        <v>46234.0</v>
      </c>
      <c r="C25" s="4" t="s">
        <v>69</v>
      </c>
      <c r="D25" s="4"/>
      <c r="E25" s="42">
        <v>1000000.0</v>
      </c>
      <c r="F25" s="90">
        <v>46295.0</v>
      </c>
      <c r="G25" s="4">
        <v>45.0</v>
      </c>
      <c r="H25" s="90">
        <f t="shared" si="4"/>
        <v>46340</v>
      </c>
      <c r="I25" s="3">
        <f t="shared" si="5"/>
        <v>7</v>
      </c>
      <c r="J25" s="3">
        <f t="shared" si="6"/>
        <v>2026</v>
      </c>
      <c r="K25" s="3">
        <f t="shared" si="7"/>
        <v>40</v>
      </c>
      <c r="L25" s="3">
        <f t="shared" si="8"/>
        <v>2026</v>
      </c>
      <c r="M25" s="3">
        <f t="shared" si="9"/>
        <v>46</v>
      </c>
      <c r="N25" s="3">
        <f t="shared" si="10"/>
        <v>2026</v>
      </c>
      <c r="O25" s="3">
        <f t="shared" si="11"/>
        <v>48</v>
      </c>
      <c r="P25" s="3">
        <f t="shared" si="12"/>
        <v>2026</v>
      </c>
      <c r="Q25" s="4"/>
      <c r="R25" s="4">
        <v>2026.0</v>
      </c>
      <c r="S25" s="3">
        <v>23.0</v>
      </c>
      <c r="T25" s="77">
        <f t="shared" si="3"/>
        <v>46178</v>
      </c>
      <c r="U25" s="91">
        <f t="shared" si="1"/>
        <v>0</v>
      </c>
      <c r="V25" s="4"/>
      <c r="W25" s="92">
        <f t="shared" si="2"/>
        <v>0</v>
      </c>
      <c r="X25" s="4"/>
      <c r="Y25" s="4"/>
      <c r="Z25" s="4"/>
    </row>
    <row r="26" ht="15.75" customHeight="1">
      <c r="A26" s="4"/>
      <c r="B26" s="90">
        <v>46234.0</v>
      </c>
      <c r="C26" s="4" t="s">
        <v>69</v>
      </c>
      <c r="D26" s="4"/>
      <c r="E26" s="42">
        <v>1000000.0</v>
      </c>
      <c r="F26" s="90">
        <v>46326.0</v>
      </c>
      <c r="G26" s="4">
        <v>45.0</v>
      </c>
      <c r="H26" s="90">
        <f t="shared" si="4"/>
        <v>46371</v>
      </c>
      <c r="I26" s="3">
        <f t="shared" si="5"/>
        <v>7</v>
      </c>
      <c r="J26" s="3">
        <f t="shared" si="6"/>
        <v>2026</v>
      </c>
      <c r="K26" s="3">
        <f t="shared" si="7"/>
        <v>44</v>
      </c>
      <c r="L26" s="3">
        <f t="shared" si="8"/>
        <v>2026</v>
      </c>
      <c r="M26" s="3">
        <f t="shared" si="9"/>
        <v>51</v>
      </c>
      <c r="N26" s="3">
        <f t="shared" si="10"/>
        <v>2026</v>
      </c>
      <c r="O26" s="3">
        <f t="shared" si="11"/>
        <v>1</v>
      </c>
      <c r="P26" s="3">
        <f t="shared" si="12"/>
        <v>2027</v>
      </c>
      <c r="Q26" s="4"/>
      <c r="R26" s="4">
        <v>2026.0</v>
      </c>
      <c r="S26" s="3">
        <v>24.0</v>
      </c>
      <c r="T26" s="77">
        <f t="shared" si="3"/>
        <v>46185</v>
      </c>
      <c r="U26" s="91">
        <f t="shared" si="1"/>
        <v>0</v>
      </c>
      <c r="V26" s="4"/>
      <c r="W26" s="92">
        <f t="shared" si="2"/>
        <v>0</v>
      </c>
      <c r="X26" s="4"/>
      <c r="Y26" s="4"/>
      <c r="Z26" s="4"/>
    </row>
    <row r="27" ht="15.75" customHeight="1">
      <c r="A27" s="4"/>
      <c r="B27" s="93">
        <v>46234.0</v>
      </c>
      <c r="C27" s="44" t="s">
        <v>69</v>
      </c>
      <c r="D27" s="44"/>
      <c r="E27" s="51">
        <v>1000000.0</v>
      </c>
      <c r="F27" s="93">
        <v>46356.0</v>
      </c>
      <c r="G27" s="44">
        <v>45.0</v>
      </c>
      <c r="H27" s="93">
        <v>46402.0</v>
      </c>
      <c r="I27" s="94">
        <f t="shared" si="5"/>
        <v>7</v>
      </c>
      <c r="J27" s="94">
        <f t="shared" si="6"/>
        <v>2026</v>
      </c>
      <c r="K27" s="94">
        <f t="shared" si="7"/>
        <v>49</v>
      </c>
      <c r="L27" s="94">
        <f t="shared" si="8"/>
        <v>2026</v>
      </c>
      <c r="M27" s="94">
        <f t="shared" si="9"/>
        <v>3</v>
      </c>
      <c r="N27" s="94">
        <f t="shared" si="10"/>
        <v>2027</v>
      </c>
      <c r="O27" s="94">
        <f t="shared" si="11"/>
        <v>5</v>
      </c>
      <c r="P27" s="94">
        <f t="shared" si="12"/>
        <v>2027</v>
      </c>
      <c r="Q27" s="4"/>
      <c r="R27" s="4">
        <v>2026.0</v>
      </c>
      <c r="S27" s="3">
        <v>25.0</v>
      </c>
      <c r="T27" s="77">
        <f t="shared" si="3"/>
        <v>46192</v>
      </c>
      <c r="U27" s="91">
        <f t="shared" si="1"/>
        <v>0</v>
      </c>
      <c r="V27" s="4"/>
      <c r="W27" s="92">
        <f t="shared" si="2"/>
        <v>0</v>
      </c>
      <c r="X27" s="4"/>
      <c r="Y27" s="4"/>
      <c r="Z27" s="4"/>
    </row>
    <row r="28" ht="15.75" customHeight="1">
      <c r="A28" s="4"/>
      <c r="B28" s="90">
        <v>46265.0</v>
      </c>
      <c r="C28" s="4" t="s">
        <v>69</v>
      </c>
      <c r="D28" s="4"/>
      <c r="E28" s="42">
        <v>1000000.0</v>
      </c>
      <c r="F28" s="90">
        <v>46265.0</v>
      </c>
      <c r="G28" s="4">
        <v>45.0</v>
      </c>
      <c r="H28" s="90">
        <f t="shared" ref="H28:H30" si="13">F28+G28</f>
        <v>46310</v>
      </c>
      <c r="I28" s="3">
        <f t="shared" si="5"/>
        <v>8</v>
      </c>
      <c r="J28" s="3">
        <f t="shared" si="6"/>
        <v>2026</v>
      </c>
      <c r="K28" s="3">
        <f t="shared" si="7"/>
        <v>36</v>
      </c>
      <c r="L28" s="3">
        <f t="shared" si="8"/>
        <v>2026</v>
      </c>
      <c r="M28" s="3">
        <f t="shared" si="9"/>
        <v>42</v>
      </c>
      <c r="N28" s="3">
        <f t="shared" si="10"/>
        <v>2026</v>
      </c>
      <c r="O28" s="3">
        <f t="shared" si="11"/>
        <v>44</v>
      </c>
      <c r="P28" s="3">
        <f t="shared" si="12"/>
        <v>2026</v>
      </c>
      <c r="Q28" s="4"/>
      <c r="R28" s="4">
        <v>2026.0</v>
      </c>
      <c r="S28" s="3">
        <v>26.0</v>
      </c>
      <c r="T28" s="77">
        <f t="shared" si="3"/>
        <v>46199</v>
      </c>
      <c r="U28" s="91">
        <f t="shared" si="1"/>
        <v>0</v>
      </c>
      <c r="V28" s="4"/>
      <c r="W28" s="92">
        <f t="shared" si="2"/>
        <v>0</v>
      </c>
      <c r="X28" s="4"/>
      <c r="Y28" s="4"/>
      <c r="Z28" s="4"/>
    </row>
    <row r="29" ht="15.75" customHeight="1">
      <c r="A29" s="4"/>
      <c r="B29" s="90">
        <v>46265.0</v>
      </c>
      <c r="C29" s="4" t="s">
        <v>69</v>
      </c>
      <c r="D29" s="4"/>
      <c r="E29" s="42">
        <v>1000000.0</v>
      </c>
      <c r="F29" s="90">
        <v>46295.0</v>
      </c>
      <c r="G29" s="4">
        <v>45.0</v>
      </c>
      <c r="H29" s="90">
        <f t="shared" si="13"/>
        <v>46340</v>
      </c>
      <c r="I29" s="3">
        <f t="shared" si="5"/>
        <v>8</v>
      </c>
      <c r="J29" s="3">
        <f t="shared" si="6"/>
        <v>2026</v>
      </c>
      <c r="K29" s="3">
        <f t="shared" si="7"/>
        <v>40</v>
      </c>
      <c r="L29" s="3">
        <f t="shared" si="8"/>
        <v>2026</v>
      </c>
      <c r="M29" s="3">
        <f t="shared" si="9"/>
        <v>46</v>
      </c>
      <c r="N29" s="3">
        <f t="shared" si="10"/>
        <v>2026</v>
      </c>
      <c r="O29" s="3">
        <f t="shared" si="11"/>
        <v>48</v>
      </c>
      <c r="P29" s="3">
        <f t="shared" si="12"/>
        <v>2026</v>
      </c>
      <c r="Q29" s="4"/>
      <c r="R29" s="4">
        <v>2026.0</v>
      </c>
      <c r="S29" s="3">
        <v>27.0</v>
      </c>
      <c r="T29" s="77">
        <f t="shared" si="3"/>
        <v>46206</v>
      </c>
      <c r="U29" s="91">
        <f t="shared" si="1"/>
        <v>1000000</v>
      </c>
      <c r="V29" s="4"/>
      <c r="W29" s="92">
        <f t="shared" si="2"/>
        <v>1000000</v>
      </c>
      <c r="X29" s="4"/>
      <c r="Y29" s="4"/>
      <c r="Z29" s="4"/>
    </row>
    <row r="30" ht="15.75" customHeight="1">
      <c r="A30" s="4"/>
      <c r="B30" s="90">
        <v>46265.0</v>
      </c>
      <c r="C30" s="4" t="s">
        <v>69</v>
      </c>
      <c r="D30" s="4"/>
      <c r="E30" s="42">
        <v>1000000.0</v>
      </c>
      <c r="F30" s="90">
        <v>46326.0</v>
      </c>
      <c r="G30" s="4">
        <v>45.0</v>
      </c>
      <c r="H30" s="90">
        <f t="shared" si="13"/>
        <v>46371</v>
      </c>
      <c r="I30" s="3">
        <f t="shared" si="5"/>
        <v>8</v>
      </c>
      <c r="J30" s="3">
        <f t="shared" si="6"/>
        <v>2026</v>
      </c>
      <c r="K30" s="3">
        <f t="shared" si="7"/>
        <v>44</v>
      </c>
      <c r="L30" s="3">
        <f t="shared" si="8"/>
        <v>2026</v>
      </c>
      <c r="M30" s="3">
        <f t="shared" si="9"/>
        <v>51</v>
      </c>
      <c r="N30" s="3">
        <f t="shared" si="10"/>
        <v>2026</v>
      </c>
      <c r="O30" s="3">
        <f t="shared" si="11"/>
        <v>1</v>
      </c>
      <c r="P30" s="3">
        <f t="shared" si="12"/>
        <v>2027</v>
      </c>
      <c r="Q30" s="4"/>
      <c r="R30" s="4">
        <v>2026.0</v>
      </c>
      <c r="S30" s="3">
        <v>28.0</v>
      </c>
      <c r="T30" s="77">
        <f t="shared" si="3"/>
        <v>46213</v>
      </c>
      <c r="U30" s="91">
        <f t="shared" si="1"/>
        <v>0</v>
      </c>
      <c r="V30" s="4"/>
      <c r="W30" s="92">
        <f t="shared" si="2"/>
        <v>0</v>
      </c>
      <c r="X30" s="4"/>
      <c r="Y30" s="4"/>
      <c r="Z30" s="4"/>
    </row>
    <row r="31" ht="15.75" customHeight="1">
      <c r="A31" s="4"/>
      <c r="B31" s="90">
        <v>46265.0</v>
      </c>
      <c r="C31" s="4" t="s">
        <v>69</v>
      </c>
      <c r="D31" s="4"/>
      <c r="E31" s="42">
        <v>1000000.0</v>
      </c>
      <c r="F31" s="90">
        <v>46356.0</v>
      </c>
      <c r="G31" s="4">
        <v>45.0</v>
      </c>
      <c r="H31" s="90">
        <v>46402.0</v>
      </c>
      <c r="I31" s="3">
        <f t="shared" si="5"/>
        <v>8</v>
      </c>
      <c r="J31" s="3">
        <f t="shared" si="6"/>
        <v>2026</v>
      </c>
      <c r="K31" s="3">
        <f t="shared" si="7"/>
        <v>49</v>
      </c>
      <c r="L31" s="3">
        <f t="shared" si="8"/>
        <v>2026</v>
      </c>
      <c r="M31" s="3">
        <f t="shared" si="9"/>
        <v>3</v>
      </c>
      <c r="N31" s="3">
        <f t="shared" si="10"/>
        <v>2027</v>
      </c>
      <c r="O31" s="3">
        <f t="shared" si="11"/>
        <v>5</v>
      </c>
      <c r="P31" s="3">
        <f t="shared" si="12"/>
        <v>2027</v>
      </c>
      <c r="Q31" s="4"/>
      <c r="R31" s="4">
        <v>2026.0</v>
      </c>
      <c r="S31" s="3">
        <v>29.0</v>
      </c>
      <c r="T31" s="77">
        <f t="shared" si="3"/>
        <v>46220</v>
      </c>
      <c r="U31" s="91">
        <f t="shared" si="1"/>
        <v>0</v>
      </c>
      <c r="V31" s="4"/>
      <c r="W31" s="92">
        <f t="shared" si="2"/>
        <v>0</v>
      </c>
      <c r="X31" s="4"/>
      <c r="Y31" s="4"/>
      <c r="Z31" s="4"/>
    </row>
    <row r="32" ht="15.75" customHeight="1">
      <c r="A32" s="4"/>
      <c r="B32" s="93">
        <v>46265.0</v>
      </c>
      <c r="C32" s="44" t="s">
        <v>69</v>
      </c>
      <c r="D32" s="44"/>
      <c r="E32" s="51">
        <v>1000000.0</v>
      </c>
      <c r="F32" s="93">
        <v>46387.0</v>
      </c>
      <c r="G32" s="44">
        <v>45.0</v>
      </c>
      <c r="H32" s="93">
        <v>46432.0</v>
      </c>
      <c r="I32" s="94">
        <f t="shared" si="5"/>
        <v>8</v>
      </c>
      <c r="J32" s="94">
        <f t="shared" si="6"/>
        <v>2026</v>
      </c>
      <c r="K32" s="94">
        <f t="shared" si="7"/>
        <v>53</v>
      </c>
      <c r="L32" s="94">
        <f t="shared" si="8"/>
        <v>2026</v>
      </c>
      <c r="M32" s="94">
        <f t="shared" si="9"/>
        <v>8</v>
      </c>
      <c r="N32" s="94">
        <f t="shared" si="10"/>
        <v>2027</v>
      </c>
      <c r="O32" s="94">
        <f t="shared" si="11"/>
        <v>10</v>
      </c>
      <c r="P32" s="94">
        <f t="shared" si="12"/>
        <v>2027</v>
      </c>
      <c r="Q32" s="4"/>
      <c r="R32" s="4">
        <v>2026.0</v>
      </c>
      <c r="S32" s="3">
        <v>30.0</v>
      </c>
      <c r="T32" s="77">
        <f t="shared" si="3"/>
        <v>46227</v>
      </c>
      <c r="U32" s="91">
        <f t="shared" si="1"/>
        <v>0</v>
      </c>
      <c r="V32" s="4"/>
      <c r="W32" s="92">
        <f t="shared" si="2"/>
        <v>0</v>
      </c>
      <c r="X32" s="4"/>
      <c r="Y32" s="4"/>
      <c r="Z32" s="4"/>
    </row>
    <row r="33" ht="15.75" customHeight="1">
      <c r="A33" s="4"/>
      <c r="B33" s="90">
        <v>46295.0</v>
      </c>
      <c r="C33" s="4" t="s">
        <v>69</v>
      </c>
      <c r="D33" s="4"/>
      <c r="E33" s="42">
        <v>1000000.0</v>
      </c>
      <c r="F33" s="90">
        <v>46295.0</v>
      </c>
      <c r="G33" s="4">
        <v>45.0</v>
      </c>
      <c r="H33" s="90">
        <f t="shared" ref="H33:H34" si="14">F33+G33</f>
        <v>46340</v>
      </c>
      <c r="I33" s="3">
        <f t="shared" si="5"/>
        <v>9</v>
      </c>
      <c r="J33" s="3">
        <f t="shared" si="6"/>
        <v>2026</v>
      </c>
      <c r="K33" s="3">
        <f t="shared" si="7"/>
        <v>40</v>
      </c>
      <c r="L33" s="3">
        <f t="shared" si="8"/>
        <v>2026</v>
      </c>
      <c r="M33" s="3">
        <f t="shared" si="9"/>
        <v>46</v>
      </c>
      <c r="N33" s="3">
        <f t="shared" si="10"/>
        <v>2026</v>
      </c>
      <c r="O33" s="3">
        <f t="shared" si="11"/>
        <v>48</v>
      </c>
      <c r="P33" s="3">
        <f t="shared" si="12"/>
        <v>2026</v>
      </c>
      <c r="Q33" s="4"/>
      <c r="R33" s="4">
        <v>2026.0</v>
      </c>
      <c r="S33" s="3">
        <v>31.0</v>
      </c>
      <c r="T33" s="77">
        <f t="shared" si="3"/>
        <v>46234</v>
      </c>
      <c r="U33" s="91">
        <f t="shared" si="1"/>
        <v>2000000</v>
      </c>
      <c r="V33" s="4"/>
      <c r="W33" s="92">
        <f t="shared" si="2"/>
        <v>2000000</v>
      </c>
      <c r="X33" s="4"/>
      <c r="Y33" s="4"/>
      <c r="Z33" s="4"/>
    </row>
    <row r="34" ht="15.75" customHeight="1">
      <c r="A34" s="4"/>
      <c r="B34" s="90">
        <v>46295.0</v>
      </c>
      <c r="C34" s="4" t="s">
        <v>69</v>
      </c>
      <c r="D34" s="4"/>
      <c r="E34" s="42">
        <v>1000000.0</v>
      </c>
      <c r="F34" s="90">
        <v>46326.0</v>
      </c>
      <c r="G34" s="4">
        <v>45.0</v>
      </c>
      <c r="H34" s="90">
        <f t="shared" si="14"/>
        <v>46371</v>
      </c>
      <c r="I34" s="3">
        <f t="shared" si="5"/>
        <v>9</v>
      </c>
      <c r="J34" s="3">
        <f t="shared" si="6"/>
        <v>2026</v>
      </c>
      <c r="K34" s="3">
        <f t="shared" si="7"/>
        <v>44</v>
      </c>
      <c r="L34" s="3">
        <f t="shared" si="8"/>
        <v>2026</v>
      </c>
      <c r="M34" s="3">
        <f t="shared" si="9"/>
        <v>51</v>
      </c>
      <c r="N34" s="3">
        <f t="shared" si="10"/>
        <v>2026</v>
      </c>
      <c r="O34" s="3">
        <f t="shared" si="11"/>
        <v>1</v>
      </c>
      <c r="P34" s="3">
        <f t="shared" si="12"/>
        <v>2027</v>
      </c>
      <c r="Q34" s="4"/>
      <c r="R34" s="4">
        <v>2026.0</v>
      </c>
      <c r="S34" s="3">
        <v>32.0</v>
      </c>
      <c r="T34" s="77">
        <f t="shared" si="3"/>
        <v>46241</v>
      </c>
      <c r="U34" s="91">
        <f t="shared" si="1"/>
        <v>0</v>
      </c>
      <c r="V34" s="4"/>
      <c r="W34" s="92">
        <f t="shared" si="2"/>
        <v>0</v>
      </c>
      <c r="X34" s="4"/>
      <c r="Y34" s="4"/>
      <c r="Z34" s="4"/>
    </row>
    <row r="35" ht="15.75" customHeight="1">
      <c r="A35" s="4"/>
      <c r="B35" s="90">
        <v>46295.0</v>
      </c>
      <c r="C35" s="4" t="s">
        <v>69</v>
      </c>
      <c r="D35" s="4"/>
      <c r="E35" s="42">
        <v>1000000.0</v>
      </c>
      <c r="F35" s="90">
        <v>46356.0</v>
      </c>
      <c r="G35" s="4">
        <v>45.0</v>
      </c>
      <c r="H35" s="90">
        <v>46402.0</v>
      </c>
      <c r="I35" s="3">
        <f t="shared" si="5"/>
        <v>9</v>
      </c>
      <c r="J35" s="3">
        <f t="shared" si="6"/>
        <v>2026</v>
      </c>
      <c r="K35" s="3">
        <f t="shared" si="7"/>
        <v>49</v>
      </c>
      <c r="L35" s="3">
        <f t="shared" si="8"/>
        <v>2026</v>
      </c>
      <c r="M35" s="3">
        <f t="shared" si="9"/>
        <v>3</v>
      </c>
      <c r="N35" s="3">
        <f t="shared" si="10"/>
        <v>2027</v>
      </c>
      <c r="O35" s="3">
        <f t="shared" si="11"/>
        <v>5</v>
      </c>
      <c r="P35" s="3">
        <f t="shared" si="12"/>
        <v>2027</v>
      </c>
      <c r="Q35" s="4"/>
      <c r="R35" s="4">
        <v>2026.0</v>
      </c>
      <c r="S35" s="3">
        <v>33.0</v>
      </c>
      <c r="T35" s="77">
        <f t="shared" si="3"/>
        <v>46248</v>
      </c>
      <c r="U35" s="91">
        <f t="shared" si="1"/>
        <v>0</v>
      </c>
      <c r="V35" s="4"/>
      <c r="W35" s="92">
        <f t="shared" si="2"/>
        <v>0</v>
      </c>
      <c r="X35" s="4"/>
      <c r="Y35" s="4"/>
      <c r="Z35" s="4"/>
    </row>
    <row r="36" ht="15.75" customHeight="1">
      <c r="A36" s="4"/>
      <c r="B36" s="90">
        <v>46295.0</v>
      </c>
      <c r="C36" s="4" t="s">
        <v>69</v>
      </c>
      <c r="D36" s="4"/>
      <c r="E36" s="42">
        <v>1000000.0</v>
      </c>
      <c r="F36" s="90">
        <v>46387.0</v>
      </c>
      <c r="G36" s="4">
        <v>45.0</v>
      </c>
      <c r="H36" s="90">
        <v>46432.0</v>
      </c>
      <c r="I36" s="3">
        <f t="shared" si="5"/>
        <v>9</v>
      </c>
      <c r="J36" s="3">
        <f t="shared" si="6"/>
        <v>2026</v>
      </c>
      <c r="K36" s="3">
        <f t="shared" si="7"/>
        <v>53</v>
      </c>
      <c r="L36" s="3">
        <f t="shared" si="8"/>
        <v>2026</v>
      </c>
      <c r="M36" s="3">
        <f t="shared" si="9"/>
        <v>8</v>
      </c>
      <c r="N36" s="3">
        <f t="shared" si="10"/>
        <v>2027</v>
      </c>
      <c r="O36" s="3">
        <f t="shared" si="11"/>
        <v>10</v>
      </c>
      <c r="P36" s="3">
        <f t="shared" si="12"/>
        <v>2027</v>
      </c>
      <c r="Q36" s="4"/>
      <c r="R36" s="4">
        <v>2026.0</v>
      </c>
      <c r="S36" s="3">
        <v>34.0</v>
      </c>
      <c r="T36" s="77">
        <f t="shared" si="3"/>
        <v>46255</v>
      </c>
      <c r="U36" s="91">
        <f t="shared" si="1"/>
        <v>0</v>
      </c>
      <c r="V36" s="4"/>
      <c r="W36" s="92">
        <f t="shared" si="2"/>
        <v>0</v>
      </c>
      <c r="X36" s="4"/>
      <c r="Y36" s="4"/>
      <c r="Z36" s="4"/>
    </row>
    <row r="37" ht="15.75" customHeight="1">
      <c r="A37" s="4"/>
      <c r="B37" s="93">
        <v>46295.0</v>
      </c>
      <c r="C37" s="44" t="s">
        <v>69</v>
      </c>
      <c r="D37" s="44"/>
      <c r="E37" s="51">
        <v>1000000.0</v>
      </c>
      <c r="F37" s="93">
        <v>46418.0</v>
      </c>
      <c r="G37" s="44">
        <v>45.0</v>
      </c>
      <c r="H37" s="93">
        <v>46461.0</v>
      </c>
      <c r="I37" s="94">
        <f t="shared" si="5"/>
        <v>9</v>
      </c>
      <c r="J37" s="94">
        <f t="shared" si="6"/>
        <v>2026</v>
      </c>
      <c r="K37" s="94">
        <f t="shared" si="7"/>
        <v>6</v>
      </c>
      <c r="L37" s="94">
        <f t="shared" si="8"/>
        <v>2027</v>
      </c>
      <c r="M37" s="94">
        <f t="shared" si="9"/>
        <v>12</v>
      </c>
      <c r="N37" s="94">
        <f t="shared" si="10"/>
        <v>2027</v>
      </c>
      <c r="O37" s="94">
        <f t="shared" si="11"/>
        <v>14</v>
      </c>
      <c r="P37" s="94">
        <f t="shared" si="12"/>
        <v>2027</v>
      </c>
      <c r="Q37" s="4"/>
      <c r="R37" s="4">
        <v>2026.0</v>
      </c>
      <c r="S37" s="3">
        <v>35.0</v>
      </c>
      <c r="T37" s="77">
        <f t="shared" si="3"/>
        <v>46262</v>
      </c>
      <c r="U37" s="91">
        <f t="shared" si="1"/>
        <v>3000000</v>
      </c>
      <c r="V37" s="4"/>
      <c r="W37" s="92">
        <f t="shared" si="2"/>
        <v>3000000</v>
      </c>
      <c r="X37" s="4"/>
      <c r="Y37" s="4"/>
      <c r="Z37" s="4"/>
    </row>
    <row r="38" ht="15.75" customHeight="1">
      <c r="A38" s="4"/>
      <c r="B38" s="90"/>
      <c r="C38" s="4"/>
      <c r="D38" s="4"/>
      <c r="E38" s="42"/>
      <c r="F38" s="90"/>
      <c r="G38" s="4"/>
      <c r="H38" s="90"/>
      <c r="I38" s="3"/>
      <c r="J38" s="3"/>
      <c r="K38" s="3"/>
      <c r="L38" s="3"/>
      <c r="M38" s="3"/>
      <c r="N38" s="3"/>
      <c r="O38" s="3"/>
      <c r="P38" s="3"/>
      <c r="Q38" s="4"/>
      <c r="R38" s="4">
        <v>2026.0</v>
      </c>
      <c r="S38" s="3">
        <v>36.0</v>
      </c>
      <c r="T38" s="77">
        <f t="shared" si="3"/>
        <v>46269</v>
      </c>
      <c r="U38" s="91">
        <f t="shared" si="1"/>
        <v>0</v>
      </c>
      <c r="V38" s="4"/>
      <c r="W38" s="92">
        <f t="shared" si="2"/>
        <v>0</v>
      </c>
      <c r="X38" s="4"/>
      <c r="Y38" s="4"/>
      <c r="Z38" s="4"/>
    </row>
    <row r="39" ht="15.75" customHeight="1">
      <c r="A39" s="4"/>
      <c r="B39" s="90"/>
      <c r="C39" s="4"/>
      <c r="D39" s="4"/>
      <c r="E39" s="42"/>
      <c r="F39" s="90"/>
      <c r="G39" s="4"/>
      <c r="H39" s="90"/>
      <c r="I39" s="3"/>
      <c r="J39" s="3"/>
      <c r="K39" s="3"/>
      <c r="L39" s="3"/>
      <c r="M39" s="3"/>
      <c r="N39" s="3"/>
      <c r="O39" s="3"/>
      <c r="P39" s="3"/>
      <c r="Q39" s="4"/>
      <c r="R39" s="4">
        <v>2026.0</v>
      </c>
      <c r="S39" s="3">
        <v>37.0</v>
      </c>
      <c r="T39" s="77">
        <f t="shared" si="3"/>
        <v>46276</v>
      </c>
      <c r="U39" s="91">
        <f t="shared" si="1"/>
        <v>0</v>
      </c>
      <c r="V39" s="4"/>
      <c r="W39" s="92">
        <f t="shared" si="2"/>
        <v>0</v>
      </c>
      <c r="X39" s="4"/>
      <c r="Y39" s="4"/>
      <c r="Z39" s="4"/>
    </row>
    <row r="40" ht="15.75" customHeight="1">
      <c r="A40" s="4"/>
      <c r="B40" s="90"/>
      <c r="C40" s="4"/>
      <c r="D40" s="4"/>
      <c r="E40" s="42"/>
      <c r="F40" s="90"/>
      <c r="G40" s="4"/>
      <c r="H40" s="90"/>
      <c r="I40" s="3"/>
      <c r="J40" s="3"/>
      <c r="K40" s="3"/>
      <c r="L40" s="3"/>
      <c r="M40" s="3"/>
      <c r="N40" s="3"/>
      <c r="O40" s="3"/>
      <c r="P40" s="3"/>
      <c r="Q40" s="4"/>
      <c r="R40" s="4">
        <v>2026.0</v>
      </c>
      <c r="S40" s="3">
        <v>38.0</v>
      </c>
      <c r="T40" s="77">
        <f t="shared" si="3"/>
        <v>46283</v>
      </c>
      <c r="U40" s="91">
        <f t="shared" si="1"/>
        <v>0</v>
      </c>
      <c r="V40" s="4"/>
      <c r="W40" s="92">
        <f t="shared" si="2"/>
        <v>0</v>
      </c>
      <c r="X40" s="4"/>
      <c r="Y40" s="4"/>
      <c r="Z40" s="4"/>
    </row>
    <row r="41" ht="15.75" customHeight="1">
      <c r="A41" s="4"/>
      <c r="B41" s="90"/>
      <c r="C41" s="4"/>
      <c r="D41" s="4"/>
      <c r="E41" s="42"/>
      <c r="F41" s="90"/>
      <c r="G41" s="4"/>
      <c r="H41" s="90"/>
      <c r="I41" s="3"/>
      <c r="J41" s="3"/>
      <c r="K41" s="3"/>
      <c r="L41" s="3"/>
      <c r="M41" s="3"/>
      <c r="N41" s="3"/>
      <c r="O41" s="3"/>
      <c r="P41" s="3"/>
      <c r="Q41" s="4"/>
      <c r="R41" s="4">
        <v>2026.0</v>
      </c>
      <c r="S41" s="3">
        <v>39.0</v>
      </c>
      <c r="T41" s="77">
        <f t="shared" si="3"/>
        <v>46290</v>
      </c>
      <c r="U41" s="91">
        <f t="shared" si="1"/>
        <v>0</v>
      </c>
      <c r="V41" s="4"/>
      <c r="W41" s="92">
        <f t="shared" si="2"/>
        <v>0</v>
      </c>
      <c r="X41" s="4"/>
      <c r="Y41" s="4"/>
      <c r="Z41" s="4"/>
    </row>
    <row r="42" ht="15.75" customHeight="1">
      <c r="A42" s="4"/>
      <c r="B42" s="93"/>
      <c r="C42" s="44"/>
      <c r="D42" s="44"/>
      <c r="E42" s="51"/>
      <c r="F42" s="93"/>
      <c r="G42" s="44"/>
      <c r="H42" s="93"/>
      <c r="I42" s="94"/>
      <c r="J42" s="94"/>
      <c r="K42" s="94"/>
      <c r="L42" s="94"/>
      <c r="M42" s="94"/>
      <c r="N42" s="94"/>
      <c r="O42" s="94"/>
      <c r="P42" s="94"/>
      <c r="Q42" s="4"/>
      <c r="R42" s="4">
        <v>2026.0</v>
      </c>
      <c r="S42" s="3">
        <v>40.0</v>
      </c>
      <c r="T42" s="77">
        <f t="shared" si="3"/>
        <v>46297</v>
      </c>
      <c r="U42" s="91">
        <f t="shared" si="1"/>
        <v>4000000</v>
      </c>
      <c r="V42" s="4"/>
      <c r="W42" s="92">
        <f t="shared" si="2"/>
        <v>4000000</v>
      </c>
      <c r="X42" s="4"/>
      <c r="Y42" s="4"/>
      <c r="Z42" s="4"/>
    </row>
    <row r="43" ht="15.75" customHeight="1">
      <c r="A43" s="4"/>
      <c r="B43" s="90"/>
      <c r="C43" s="4"/>
      <c r="D43" s="4"/>
      <c r="E43" s="42"/>
      <c r="F43" s="90"/>
      <c r="G43" s="4"/>
      <c r="H43" s="90"/>
      <c r="I43" s="3"/>
      <c r="J43" s="3"/>
      <c r="K43" s="3"/>
      <c r="L43" s="3"/>
      <c r="M43" s="3"/>
      <c r="N43" s="3"/>
      <c r="O43" s="3"/>
      <c r="P43" s="3"/>
      <c r="Q43" s="4"/>
      <c r="R43" s="4">
        <v>2026.0</v>
      </c>
      <c r="S43" s="3">
        <v>41.0</v>
      </c>
      <c r="T43" s="77">
        <f t="shared" si="3"/>
        <v>46304</v>
      </c>
      <c r="U43" s="91">
        <f t="shared" si="1"/>
        <v>0</v>
      </c>
      <c r="V43" s="4"/>
      <c r="W43" s="92">
        <f t="shared" si="2"/>
        <v>0</v>
      </c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>
        <v>2026.0</v>
      </c>
      <c r="S44" s="3">
        <v>42.0</v>
      </c>
      <c r="T44" s="77">
        <f t="shared" si="3"/>
        <v>46311</v>
      </c>
      <c r="U44" s="91">
        <f t="shared" si="1"/>
        <v>0</v>
      </c>
      <c r="V44" s="4"/>
      <c r="W44" s="92">
        <f t="shared" si="2"/>
        <v>0</v>
      </c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>
        <v>2026.0</v>
      </c>
      <c r="S45" s="3">
        <v>43.0</v>
      </c>
      <c r="T45" s="77">
        <f t="shared" si="3"/>
        <v>46318</v>
      </c>
      <c r="U45" s="91">
        <f t="shared" si="1"/>
        <v>0</v>
      </c>
      <c r="V45" s="4"/>
      <c r="W45" s="92">
        <f t="shared" si="2"/>
        <v>0</v>
      </c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>
        <v>2026.0</v>
      </c>
      <c r="S46" s="3">
        <v>44.0</v>
      </c>
      <c r="T46" s="77">
        <f t="shared" si="3"/>
        <v>46325</v>
      </c>
      <c r="U46" s="91">
        <f t="shared" si="1"/>
        <v>5000000</v>
      </c>
      <c r="V46" s="4"/>
      <c r="W46" s="92">
        <f t="shared" si="2"/>
        <v>5000000</v>
      </c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>
        <v>2026.0</v>
      </c>
      <c r="S47" s="3">
        <v>45.0</v>
      </c>
      <c r="T47" s="77">
        <f t="shared" si="3"/>
        <v>46332</v>
      </c>
      <c r="U47" s="91">
        <f t="shared" si="1"/>
        <v>0</v>
      </c>
      <c r="V47" s="4"/>
      <c r="W47" s="92">
        <f t="shared" si="2"/>
        <v>0</v>
      </c>
      <c r="X47" s="4"/>
      <c r="Y47" s="4"/>
      <c r="Z47" s="4"/>
    </row>
    <row r="48" ht="15.75" customHeight="1">
      <c r="A48" s="4"/>
      <c r="B48" s="90"/>
      <c r="C48" s="4"/>
      <c r="D48" s="4"/>
      <c r="E48" s="42"/>
      <c r="F48" s="90"/>
      <c r="G48" s="4"/>
      <c r="H48" s="90"/>
      <c r="I48" s="3"/>
      <c r="J48" s="3"/>
      <c r="K48" s="3"/>
      <c r="L48" s="3"/>
      <c r="M48" s="3"/>
      <c r="N48" s="3"/>
      <c r="O48" s="3"/>
      <c r="P48" s="3"/>
      <c r="Q48" s="4"/>
      <c r="R48" s="4">
        <v>2026.0</v>
      </c>
      <c r="S48" s="3">
        <v>46.0</v>
      </c>
      <c r="T48" s="77">
        <f t="shared" si="3"/>
        <v>46339</v>
      </c>
      <c r="U48" s="91">
        <f t="shared" si="1"/>
        <v>0</v>
      </c>
      <c r="V48" s="4"/>
      <c r="W48" s="92">
        <f t="shared" si="2"/>
        <v>0</v>
      </c>
      <c r="X48" s="4"/>
      <c r="Y48" s="4"/>
      <c r="Z48" s="4"/>
    </row>
    <row r="49" ht="15.75" customHeight="1">
      <c r="A49" s="4"/>
      <c r="B49" s="90"/>
      <c r="C49" s="4"/>
      <c r="D49" s="4"/>
      <c r="E49" s="42"/>
      <c r="F49" s="90"/>
      <c r="G49" s="4"/>
      <c r="H49" s="90"/>
      <c r="I49" s="3"/>
      <c r="J49" s="3"/>
      <c r="K49" s="3"/>
      <c r="L49" s="3"/>
      <c r="M49" s="3"/>
      <c r="N49" s="3"/>
      <c r="O49" s="3"/>
      <c r="P49" s="3"/>
      <c r="Q49" s="4"/>
      <c r="R49" s="4">
        <v>2026.0</v>
      </c>
      <c r="S49" s="3">
        <v>47.0</v>
      </c>
      <c r="T49" s="77">
        <f t="shared" si="3"/>
        <v>46346</v>
      </c>
      <c r="U49" s="91">
        <f t="shared" si="1"/>
        <v>0</v>
      </c>
      <c r="V49" s="4"/>
      <c r="W49" s="92">
        <f t="shared" si="2"/>
        <v>0</v>
      </c>
      <c r="X49" s="4"/>
      <c r="Y49" s="4"/>
      <c r="Z49" s="4"/>
    </row>
    <row r="50" ht="15.75" customHeight="1">
      <c r="A50" s="4"/>
      <c r="B50" s="90"/>
      <c r="C50" s="4"/>
      <c r="D50" s="4"/>
      <c r="E50" s="42"/>
      <c r="F50" s="90"/>
      <c r="G50" s="4"/>
      <c r="H50" s="90"/>
      <c r="I50" s="3"/>
      <c r="J50" s="3"/>
      <c r="K50" s="3"/>
      <c r="L50" s="3"/>
      <c r="M50" s="3"/>
      <c r="N50" s="3"/>
      <c r="O50" s="3"/>
      <c r="P50" s="3"/>
      <c r="Q50" s="4"/>
      <c r="R50" s="4">
        <v>2026.0</v>
      </c>
      <c r="S50" s="3">
        <v>48.0</v>
      </c>
      <c r="T50" s="77">
        <f t="shared" si="3"/>
        <v>46353</v>
      </c>
      <c r="U50" s="91">
        <f t="shared" si="1"/>
        <v>5000000</v>
      </c>
      <c r="V50" s="4"/>
      <c r="W50" s="92">
        <f t="shared" si="2"/>
        <v>5000000</v>
      </c>
      <c r="X50" s="4"/>
      <c r="Y50" s="4"/>
      <c r="Z50" s="4"/>
    </row>
    <row r="51" ht="15.75" customHeight="1">
      <c r="A51" s="4"/>
      <c r="B51" s="90"/>
      <c r="C51" s="4"/>
      <c r="D51" s="4"/>
      <c r="E51" s="42"/>
      <c r="F51" s="90"/>
      <c r="G51" s="4"/>
      <c r="H51" s="90"/>
      <c r="I51" s="3"/>
      <c r="J51" s="3"/>
      <c r="K51" s="3"/>
      <c r="L51" s="3"/>
      <c r="M51" s="3"/>
      <c r="N51" s="3"/>
      <c r="O51" s="3"/>
      <c r="P51" s="3"/>
      <c r="Q51" s="4"/>
      <c r="R51" s="4">
        <v>2026.0</v>
      </c>
      <c r="S51" s="3">
        <v>49.0</v>
      </c>
      <c r="T51" s="77">
        <f t="shared" si="3"/>
        <v>46360</v>
      </c>
      <c r="U51" s="91">
        <f t="shared" si="1"/>
        <v>0</v>
      </c>
      <c r="V51" s="4"/>
      <c r="W51" s="92">
        <f t="shared" si="2"/>
        <v>0</v>
      </c>
      <c r="X51" s="4"/>
      <c r="Y51" s="4"/>
      <c r="Z51" s="4"/>
    </row>
    <row r="52" ht="15.75" customHeight="1">
      <c r="A52" s="4"/>
      <c r="B52" s="90"/>
      <c r="C52" s="4"/>
      <c r="D52" s="4"/>
      <c r="E52" s="42"/>
      <c r="F52" s="90"/>
      <c r="G52" s="4"/>
      <c r="H52" s="90"/>
      <c r="I52" s="3"/>
      <c r="J52" s="3"/>
      <c r="K52" s="3"/>
      <c r="L52" s="3"/>
      <c r="M52" s="3"/>
      <c r="N52" s="3"/>
      <c r="O52" s="3"/>
      <c r="P52" s="3"/>
      <c r="Q52" s="4"/>
      <c r="R52" s="4">
        <v>2026.0</v>
      </c>
      <c r="S52" s="3">
        <v>50.0</v>
      </c>
      <c r="T52" s="77">
        <f t="shared" si="3"/>
        <v>46367</v>
      </c>
      <c r="U52" s="91">
        <f t="shared" si="1"/>
        <v>0</v>
      </c>
      <c r="V52" s="4"/>
      <c r="W52" s="92">
        <f t="shared" si="2"/>
        <v>0</v>
      </c>
      <c r="X52" s="4"/>
      <c r="Y52" s="4"/>
      <c r="Z52" s="4"/>
    </row>
    <row r="53" ht="15.75" customHeight="1">
      <c r="A53" s="4"/>
      <c r="B53" s="90"/>
      <c r="C53" s="4"/>
      <c r="D53" s="4"/>
      <c r="E53" s="42"/>
      <c r="F53" s="90"/>
      <c r="G53" s="4"/>
      <c r="H53" s="90"/>
      <c r="I53" s="3"/>
      <c r="J53" s="3"/>
      <c r="K53" s="3"/>
      <c r="L53" s="3"/>
      <c r="M53" s="3"/>
      <c r="N53" s="3"/>
      <c r="O53" s="3"/>
      <c r="P53" s="3"/>
      <c r="Q53" s="4"/>
      <c r="R53" s="4">
        <v>2026.0</v>
      </c>
      <c r="S53" s="3">
        <v>51.0</v>
      </c>
      <c r="T53" s="77">
        <f t="shared" si="3"/>
        <v>46374</v>
      </c>
      <c r="U53" s="91">
        <f t="shared" si="1"/>
        <v>0</v>
      </c>
      <c r="V53" s="4"/>
      <c r="W53" s="92">
        <f t="shared" si="2"/>
        <v>0</v>
      </c>
      <c r="X53" s="4"/>
      <c r="Y53" s="4"/>
      <c r="Z53" s="4"/>
    </row>
    <row r="54" ht="15.75" customHeight="1">
      <c r="A54" s="4"/>
      <c r="B54" s="90"/>
      <c r="C54" s="4"/>
      <c r="D54" s="4"/>
      <c r="E54" s="42"/>
      <c r="F54" s="90"/>
      <c r="G54" s="4"/>
      <c r="H54" s="90"/>
      <c r="I54" s="3"/>
      <c r="J54" s="3"/>
      <c r="K54" s="3"/>
      <c r="L54" s="3"/>
      <c r="M54" s="3"/>
      <c r="N54" s="3"/>
      <c r="O54" s="3"/>
      <c r="P54" s="3"/>
      <c r="Q54" s="4"/>
      <c r="R54" s="4">
        <v>2026.0</v>
      </c>
      <c r="S54" s="3">
        <v>52.0</v>
      </c>
      <c r="T54" s="77">
        <f t="shared" si="3"/>
        <v>46381</v>
      </c>
      <c r="U54" s="91">
        <f t="shared" si="1"/>
        <v>0</v>
      </c>
      <c r="V54" s="4"/>
      <c r="W54" s="92">
        <f t="shared" si="2"/>
        <v>0</v>
      </c>
      <c r="X54" s="4"/>
      <c r="Y54" s="4"/>
      <c r="Z54" s="4"/>
    </row>
    <row r="55" ht="15.75" customHeight="1">
      <c r="A55" s="4"/>
      <c r="B55" s="90"/>
      <c r="C55" s="4"/>
      <c r="D55" s="4"/>
      <c r="E55" s="42"/>
      <c r="F55" s="90"/>
      <c r="G55" s="4"/>
      <c r="H55" s="90"/>
      <c r="I55" s="3"/>
      <c r="J55" s="3"/>
      <c r="K55" s="3"/>
      <c r="L55" s="3"/>
      <c r="M55" s="3"/>
      <c r="N55" s="3"/>
      <c r="O55" s="3"/>
      <c r="P55" s="3"/>
      <c r="Q55" s="4"/>
      <c r="R55" s="4">
        <v>2027.0</v>
      </c>
      <c r="S55" s="3">
        <v>1.0</v>
      </c>
      <c r="T55" s="77">
        <f t="shared" si="3"/>
        <v>46388</v>
      </c>
      <c r="U55" s="91">
        <f t="shared" si="1"/>
        <v>4000000</v>
      </c>
      <c r="V55" s="4"/>
      <c r="W55" s="92">
        <f t="shared" si="2"/>
        <v>4000000</v>
      </c>
      <c r="X55" s="4"/>
      <c r="Y55" s="4"/>
      <c r="Z55" s="4"/>
    </row>
    <row r="56" ht="15.75" customHeight="1">
      <c r="A56" s="4"/>
      <c r="B56" s="90"/>
      <c r="C56" s="4"/>
      <c r="D56" s="4"/>
      <c r="E56" s="42"/>
      <c r="F56" s="90"/>
      <c r="G56" s="4"/>
      <c r="H56" s="90"/>
      <c r="I56" s="3"/>
      <c r="J56" s="3"/>
      <c r="K56" s="3"/>
      <c r="L56" s="3"/>
      <c r="M56" s="3"/>
      <c r="N56" s="3"/>
      <c r="O56" s="3"/>
      <c r="P56" s="3"/>
      <c r="Q56" s="4"/>
      <c r="R56" s="4">
        <v>2027.0</v>
      </c>
      <c r="S56" s="3">
        <v>2.0</v>
      </c>
      <c r="T56" s="77">
        <f t="shared" si="3"/>
        <v>46395</v>
      </c>
      <c r="U56" s="91">
        <f t="shared" si="1"/>
        <v>0</v>
      </c>
      <c r="V56" s="4"/>
      <c r="W56" s="92">
        <f t="shared" si="2"/>
        <v>0</v>
      </c>
      <c r="X56" s="4"/>
      <c r="Y56" s="4"/>
      <c r="Z56" s="4"/>
    </row>
    <row r="57" ht="15.75" customHeight="1">
      <c r="A57" s="4"/>
      <c r="B57" s="90"/>
      <c r="C57" s="4"/>
      <c r="D57" s="4"/>
      <c r="E57" s="42"/>
      <c r="F57" s="90"/>
      <c r="G57" s="4"/>
      <c r="H57" s="90"/>
      <c r="I57" s="3"/>
      <c r="J57" s="3"/>
      <c r="K57" s="3"/>
      <c r="L57" s="3"/>
      <c r="M57" s="3"/>
      <c r="N57" s="3"/>
      <c r="O57" s="3"/>
      <c r="P57" s="3"/>
      <c r="Q57" s="4"/>
      <c r="R57" s="4">
        <v>2027.0</v>
      </c>
      <c r="S57" s="3">
        <v>3.0</v>
      </c>
      <c r="T57" s="77">
        <f t="shared" si="3"/>
        <v>46402</v>
      </c>
      <c r="U57" s="91">
        <f t="shared" si="1"/>
        <v>0</v>
      </c>
      <c r="V57" s="4"/>
      <c r="W57" s="92">
        <f t="shared" si="2"/>
        <v>0</v>
      </c>
      <c r="X57" s="4"/>
      <c r="Y57" s="4"/>
      <c r="Z57" s="4"/>
    </row>
    <row r="58" ht="15.75" customHeight="1">
      <c r="A58" s="4"/>
      <c r="B58" s="90"/>
      <c r="C58" s="4"/>
      <c r="D58" s="4"/>
      <c r="E58" s="42"/>
      <c r="F58" s="90"/>
      <c r="G58" s="4"/>
      <c r="H58" s="90"/>
      <c r="I58" s="3"/>
      <c r="J58" s="3"/>
      <c r="K58" s="3"/>
      <c r="L58" s="3"/>
      <c r="M58" s="3"/>
      <c r="N58" s="3"/>
      <c r="O58" s="3"/>
      <c r="P58" s="3"/>
      <c r="Q58" s="4"/>
      <c r="R58" s="4">
        <v>2027.0</v>
      </c>
      <c r="S58" s="3">
        <v>4.0</v>
      </c>
      <c r="T58" s="77">
        <f t="shared" si="3"/>
        <v>46409</v>
      </c>
      <c r="U58" s="91">
        <f t="shared" si="1"/>
        <v>0</v>
      </c>
      <c r="V58" s="4"/>
      <c r="W58" s="92">
        <f t="shared" si="2"/>
        <v>0</v>
      </c>
      <c r="X58" s="4"/>
      <c r="Y58" s="4"/>
      <c r="Z58" s="4"/>
    </row>
    <row r="59" ht="15.75" customHeight="1">
      <c r="A59" s="4"/>
      <c r="B59" s="90"/>
      <c r="C59" s="4"/>
      <c r="D59" s="4"/>
      <c r="E59" s="42"/>
      <c r="F59" s="90"/>
      <c r="G59" s="4"/>
      <c r="H59" s="90"/>
      <c r="I59" s="3"/>
      <c r="J59" s="3"/>
      <c r="K59" s="3"/>
      <c r="L59" s="3"/>
      <c r="M59" s="3"/>
      <c r="N59" s="3"/>
      <c r="O59" s="3"/>
      <c r="P59" s="3"/>
      <c r="Q59" s="4"/>
      <c r="R59" s="4">
        <v>2027.0</v>
      </c>
      <c r="S59" s="3">
        <v>5.0</v>
      </c>
      <c r="T59" s="77">
        <f t="shared" si="3"/>
        <v>46416</v>
      </c>
      <c r="U59" s="91">
        <f t="shared" si="1"/>
        <v>3000000</v>
      </c>
      <c r="V59" s="4"/>
      <c r="W59" s="92">
        <f t="shared" si="2"/>
        <v>3000000</v>
      </c>
      <c r="X59" s="4"/>
      <c r="Y59" s="4"/>
      <c r="Z59" s="4"/>
    </row>
    <row r="60" ht="15.75" customHeight="1">
      <c r="A60" s="4"/>
      <c r="B60" s="90"/>
      <c r="C60" s="4"/>
      <c r="D60" s="4"/>
      <c r="E60" s="42"/>
      <c r="F60" s="90"/>
      <c r="G60" s="4"/>
      <c r="H60" s="90"/>
      <c r="I60" s="3"/>
      <c r="J60" s="3"/>
      <c r="K60" s="3"/>
      <c r="L60" s="3"/>
      <c r="M60" s="3"/>
      <c r="N60" s="3"/>
      <c r="O60" s="3"/>
      <c r="P60" s="3"/>
      <c r="Q60" s="4"/>
      <c r="R60" s="4">
        <v>2027.0</v>
      </c>
      <c r="S60" s="3">
        <v>6.0</v>
      </c>
      <c r="T60" s="77">
        <f t="shared" si="3"/>
        <v>46423</v>
      </c>
      <c r="U60" s="91">
        <f t="shared" si="1"/>
        <v>0</v>
      </c>
      <c r="V60" s="4"/>
      <c r="W60" s="92">
        <f t="shared" si="2"/>
        <v>0</v>
      </c>
      <c r="X60" s="4"/>
      <c r="Y60" s="4"/>
      <c r="Z60" s="4"/>
    </row>
    <row r="61" ht="15.75" customHeight="1">
      <c r="A61" s="4"/>
      <c r="B61" s="90"/>
      <c r="C61" s="4"/>
      <c r="D61" s="4"/>
      <c r="E61" s="42"/>
      <c r="F61" s="90"/>
      <c r="G61" s="4"/>
      <c r="H61" s="90"/>
      <c r="I61" s="3"/>
      <c r="J61" s="3"/>
      <c r="K61" s="3"/>
      <c r="L61" s="3"/>
      <c r="M61" s="3"/>
      <c r="N61" s="3"/>
      <c r="O61" s="3"/>
      <c r="P61" s="3"/>
      <c r="Q61" s="4"/>
      <c r="R61" s="4">
        <v>2027.0</v>
      </c>
      <c r="S61" s="3">
        <v>7.0</v>
      </c>
      <c r="T61" s="77">
        <f t="shared" si="3"/>
        <v>46430</v>
      </c>
      <c r="U61" s="91">
        <f t="shared" si="1"/>
        <v>0</v>
      </c>
      <c r="V61" s="4"/>
      <c r="W61" s="92">
        <f t="shared" si="2"/>
        <v>0</v>
      </c>
      <c r="X61" s="4"/>
      <c r="Y61" s="4"/>
      <c r="Z61" s="4"/>
    </row>
    <row r="62" ht="15.75" customHeight="1">
      <c r="A62" s="4"/>
      <c r="B62" s="90"/>
      <c r="C62" s="4"/>
      <c r="D62" s="4"/>
      <c r="E62" s="42"/>
      <c r="F62" s="90"/>
      <c r="G62" s="4"/>
      <c r="H62" s="90"/>
      <c r="I62" s="3"/>
      <c r="J62" s="3"/>
      <c r="K62" s="3"/>
      <c r="L62" s="3"/>
      <c r="M62" s="3"/>
      <c r="N62" s="3"/>
      <c r="O62" s="3"/>
      <c r="P62" s="3"/>
      <c r="Q62" s="4"/>
      <c r="R62" s="4">
        <v>2027.0</v>
      </c>
      <c r="S62" s="3">
        <v>8.0</v>
      </c>
      <c r="T62" s="77">
        <f t="shared" si="3"/>
        <v>46437</v>
      </c>
      <c r="U62" s="91">
        <f t="shared" si="1"/>
        <v>0</v>
      </c>
      <c r="V62" s="4"/>
      <c r="W62" s="92">
        <f t="shared" si="2"/>
        <v>0</v>
      </c>
      <c r="X62" s="4"/>
      <c r="Y62" s="4"/>
      <c r="Z62" s="4"/>
    </row>
    <row r="63" ht="15.75" customHeight="1">
      <c r="A63" s="4"/>
      <c r="B63" s="90"/>
      <c r="C63" s="4"/>
      <c r="D63" s="4"/>
      <c r="E63" s="42"/>
      <c r="F63" s="90"/>
      <c r="G63" s="4"/>
      <c r="H63" s="90"/>
      <c r="I63" s="3"/>
      <c r="J63" s="3"/>
      <c r="K63" s="3"/>
      <c r="L63" s="3"/>
      <c r="M63" s="3"/>
      <c r="N63" s="3"/>
      <c r="O63" s="3"/>
      <c r="P63" s="3"/>
      <c r="Q63" s="4"/>
      <c r="R63" s="4">
        <v>2027.0</v>
      </c>
      <c r="S63" s="3">
        <v>9.0</v>
      </c>
      <c r="T63" s="77">
        <f t="shared" si="3"/>
        <v>46444</v>
      </c>
      <c r="U63" s="91">
        <f t="shared" si="1"/>
        <v>0</v>
      </c>
      <c r="V63" s="4"/>
      <c r="W63" s="92">
        <f t="shared" si="2"/>
        <v>0</v>
      </c>
      <c r="X63" s="4"/>
      <c r="Y63" s="4"/>
      <c r="Z63" s="4"/>
    </row>
    <row r="64" ht="15.75" customHeight="1">
      <c r="A64" s="4"/>
      <c r="B64" s="90"/>
      <c r="C64" s="4"/>
      <c r="D64" s="4"/>
      <c r="E64" s="42"/>
      <c r="F64" s="90"/>
      <c r="G64" s="4"/>
      <c r="H64" s="90"/>
      <c r="I64" s="3"/>
      <c r="J64" s="3"/>
      <c r="K64" s="3"/>
      <c r="L64" s="3"/>
      <c r="M64" s="3"/>
      <c r="N64" s="3"/>
      <c r="O64" s="3"/>
      <c r="P64" s="3"/>
      <c r="Q64" s="4"/>
      <c r="R64" s="4">
        <v>2027.0</v>
      </c>
      <c r="S64" s="3">
        <v>10.0</v>
      </c>
      <c r="T64" s="77">
        <f t="shared" si="3"/>
        <v>46451</v>
      </c>
      <c r="U64" s="91">
        <f t="shared" si="1"/>
        <v>2000000</v>
      </c>
      <c r="V64" s="4"/>
      <c r="W64" s="92">
        <f t="shared" si="2"/>
        <v>2000000</v>
      </c>
      <c r="X64" s="4"/>
      <c r="Y64" s="4"/>
      <c r="Z64" s="4"/>
    </row>
    <row r="65" ht="15.75" customHeight="1">
      <c r="A65" s="4"/>
      <c r="B65" s="90"/>
      <c r="C65" s="4"/>
      <c r="D65" s="4"/>
      <c r="E65" s="42"/>
      <c r="F65" s="90"/>
      <c r="G65" s="4"/>
      <c r="H65" s="90"/>
      <c r="I65" s="3"/>
      <c r="J65" s="3"/>
      <c r="K65" s="3"/>
      <c r="L65" s="3"/>
      <c r="M65" s="3"/>
      <c r="N65" s="3"/>
      <c r="O65" s="3"/>
      <c r="P65" s="3"/>
      <c r="Q65" s="4"/>
      <c r="R65" s="4">
        <v>2027.0</v>
      </c>
      <c r="S65" s="3">
        <v>11.0</v>
      </c>
      <c r="T65" s="77">
        <f t="shared" si="3"/>
        <v>46458</v>
      </c>
      <c r="U65" s="91">
        <f t="shared" si="1"/>
        <v>0</v>
      </c>
      <c r="V65" s="4"/>
      <c r="W65" s="92">
        <f t="shared" si="2"/>
        <v>0</v>
      </c>
      <c r="X65" s="4"/>
      <c r="Y65" s="4"/>
      <c r="Z65" s="4"/>
    </row>
    <row r="66" ht="15.75" customHeight="1">
      <c r="A66" s="4"/>
      <c r="B66" s="90"/>
      <c r="C66" s="4"/>
      <c r="D66" s="4"/>
      <c r="E66" s="42"/>
      <c r="F66" s="90"/>
      <c r="G66" s="4"/>
      <c r="H66" s="90"/>
      <c r="I66" s="3"/>
      <c r="J66" s="3"/>
      <c r="K66" s="3"/>
      <c r="L66" s="3"/>
      <c r="M66" s="3"/>
      <c r="N66" s="3"/>
      <c r="O66" s="3"/>
      <c r="P66" s="3"/>
      <c r="Q66" s="4"/>
      <c r="R66" s="4">
        <v>2027.0</v>
      </c>
      <c r="S66" s="3">
        <v>12.0</v>
      </c>
      <c r="T66" s="77">
        <f t="shared" si="3"/>
        <v>46465</v>
      </c>
      <c r="U66" s="91">
        <f t="shared" si="1"/>
        <v>0</v>
      </c>
      <c r="V66" s="4"/>
      <c r="W66" s="92">
        <f t="shared" si="2"/>
        <v>0</v>
      </c>
      <c r="X66" s="4"/>
      <c r="Y66" s="4"/>
      <c r="Z66" s="4"/>
    </row>
    <row r="67" ht="15.75" customHeight="1">
      <c r="A67" s="4"/>
      <c r="B67" s="90"/>
      <c r="C67" s="4"/>
      <c r="D67" s="4"/>
      <c r="E67" s="42"/>
      <c r="F67" s="90"/>
      <c r="G67" s="4"/>
      <c r="H67" s="90"/>
      <c r="I67" s="3"/>
      <c r="J67" s="3"/>
      <c r="K67" s="3"/>
      <c r="L67" s="3"/>
      <c r="M67" s="3"/>
      <c r="N67" s="3"/>
      <c r="O67" s="3"/>
      <c r="P67" s="3"/>
      <c r="Q67" s="4"/>
      <c r="R67" s="4">
        <v>2027.0</v>
      </c>
      <c r="S67" s="3">
        <v>13.0</v>
      </c>
      <c r="T67" s="77">
        <f t="shared" si="3"/>
        <v>46472</v>
      </c>
      <c r="U67" s="91">
        <f t="shared" si="1"/>
        <v>0</v>
      </c>
      <c r="V67" s="4"/>
      <c r="W67" s="92">
        <f t="shared" si="2"/>
        <v>0</v>
      </c>
      <c r="X67" s="4"/>
      <c r="Y67" s="4"/>
      <c r="Z67" s="4"/>
    </row>
    <row r="68" ht="15.75" customHeight="1">
      <c r="A68" s="4"/>
      <c r="B68" s="90"/>
      <c r="C68" s="4"/>
      <c r="D68" s="4"/>
      <c r="E68" s="42"/>
      <c r="F68" s="90"/>
      <c r="G68" s="4"/>
      <c r="H68" s="90"/>
      <c r="I68" s="3"/>
      <c r="J68" s="3"/>
      <c r="K68" s="3"/>
      <c r="L68" s="3"/>
      <c r="M68" s="3"/>
      <c r="N68" s="3"/>
      <c r="O68" s="3"/>
      <c r="P68" s="3"/>
      <c r="Q68" s="4"/>
      <c r="R68" s="4">
        <v>2027.0</v>
      </c>
      <c r="S68" s="3">
        <v>14.0</v>
      </c>
      <c r="T68" s="77">
        <f t="shared" si="3"/>
        <v>46479</v>
      </c>
      <c r="U68" s="91">
        <f t="shared" si="1"/>
        <v>1000000</v>
      </c>
      <c r="V68" s="4"/>
      <c r="W68" s="92">
        <f t="shared" si="2"/>
        <v>1000000</v>
      </c>
      <c r="X68" s="4"/>
      <c r="Y68" s="4"/>
      <c r="Z68" s="4"/>
    </row>
    <row r="69" ht="15.75" customHeight="1">
      <c r="A69" s="4"/>
      <c r="B69" s="90"/>
      <c r="C69" s="4"/>
      <c r="D69" s="4"/>
      <c r="E69" s="42"/>
      <c r="F69" s="90"/>
      <c r="G69" s="4"/>
      <c r="H69" s="90"/>
      <c r="I69" s="3"/>
      <c r="J69" s="3"/>
      <c r="K69" s="3"/>
      <c r="L69" s="3"/>
      <c r="M69" s="3"/>
      <c r="N69" s="3"/>
      <c r="O69" s="3"/>
      <c r="P69" s="3"/>
      <c r="Q69" s="4"/>
      <c r="R69" s="4">
        <v>2027.0</v>
      </c>
      <c r="S69" s="3">
        <v>15.0</v>
      </c>
      <c r="T69" s="77">
        <f t="shared" si="3"/>
        <v>46486</v>
      </c>
      <c r="U69" s="91">
        <f t="shared" si="1"/>
        <v>0</v>
      </c>
      <c r="V69" s="4"/>
      <c r="W69" s="92">
        <f t="shared" si="2"/>
        <v>0</v>
      </c>
      <c r="X69" s="4"/>
      <c r="Y69" s="4"/>
      <c r="Z69" s="4"/>
    </row>
    <row r="70" ht="15.75" customHeight="1">
      <c r="A70" s="4"/>
      <c r="B70" s="90"/>
      <c r="C70" s="4"/>
      <c r="D70" s="4"/>
      <c r="E70" s="42"/>
      <c r="F70" s="90"/>
      <c r="G70" s="4"/>
      <c r="H70" s="90"/>
      <c r="I70" s="3"/>
      <c r="J70" s="3"/>
      <c r="K70" s="3"/>
      <c r="L70" s="3"/>
      <c r="M70" s="3"/>
      <c r="N70" s="3"/>
      <c r="O70" s="3"/>
      <c r="P70" s="3"/>
      <c r="Q70" s="4"/>
      <c r="R70" s="4">
        <v>2027.0</v>
      </c>
      <c r="S70" s="3">
        <v>16.0</v>
      </c>
      <c r="T70" s="77">
        <f t="shared" si="3"/>
        <v>46493</v>
      </c>
      <c r="U70" s="91">
        <f t="shared" si="1"/>
        <v>0</v>
      </c>
      <c r="V70" s="4"/>
      <c r="W70" s="92">
        <f t="shared" si="2"/>
        <v>0</v>
      </c>
      <c r="X70" s="4"/>
      <c r="Y70" s="4"/>
      <c r="Z70" s="4"/>
    </row>
    <row r="71" ht="15.75" customHeight="1">
      <c r="A71" s="4"/>
      <c r="B71" s="90"/>
      <c r="C71" s="4"/>
      <c r="D71" s="4"/>
      <c r="E71" s="42"/>
      <c r="F71" s="90"/>
      <c r="G71" s="4"/>
      <c r="H71" s="90"/>
      <c r="I71" s="3"/>
      <c r="J71" s="3"/>
      <c r="K71" s="3"/>
      <c r="L71" s="3"/>
      <c r="M71" s="3"/>
      <c r="N71" s="3"/>
      <c r="O71" s="3"/>
      <c r="P71" s="3"/>
      <c r="Q71" s="4"/>
      <c r="R71" s="4">
        <v>2027.0</v>
      </c>
      <c r="S71" s="3">
        <v>17.0</v>
      </c>
      <c r="T71" s="77">
        <f t="shared" si="3"/>
        <v>46500</v>
      </c>
      <c r="U71" s="91">
        <f t="shared" si="1"/>
        <v>0</v>
      </c>
      <c r="V71" s="4"/>
      <c r="W71" s="92">
        <f t="shared" si="2"/>
        <v>0</v>
      </c>
      <c r="X71" s="4"/>
      <c r="Y71" s="4"/>
      <c r="Z71" s="4"/>
    </row>
    <row r="72" ht="15.75" customHeight="1">
      <c r="A72" s="4"/>
      <c r="B72" s="90"/>
      <c r="C72" s="4"/>
      <c r="D72" s="4"/>
      <c r="E72" s="42"/>
      <c r="F72" s="90"/>
      <c r="G72" s="4"/>
      <c r="H72" s="90"/>
      <c r="I72" s="3"/>
      <c r="J72" s="3"/>
      <c r="K72" s="3"/>
      <c r="L72" s="3"/>
      <c r="M72" s="3"/>
      <c r="N72" s="3"/>
      <c r="O72" s="3"/>
      <c r="P72" s="3"/>
      <c r="Q72" s="4"/>
      <c r="R72" s="4">
        <v>2027.0</v>
      </c>
      <c r="S72" s="3">
        <v>18.0</v>
      </c>
      <c r="T72" s="77">
        <f t="shared" si="3"/>
        <v>46507</v>
      </c>
      <c r="U72" s="91">
        <f t="shared" si="1"/>
        <v>0</v>
      </c>
      <c r="V72" s="4"/>
      <c r="W72" s="92">
        <f t="shared" si="2"/>
        <v>0</v>
      </c>
      <c r="X72" s="4"/>
      <c r="Y72" s="4"/>
      <c r="Z72" s="4"/>
    </row>
    <row r="73" ht="15.75" customHeight="1">
      <c r="A73" s="4"/>
      <c r="B73" s="90"/>
      <c r="C73" s="4"/>
      <c r="D73" s="4"/>
      <c r="E73" s="42"/>
      <c r="F73" s="90"/>
      <c r="G73" s="4"/>
      <c r="H73" s="90"/>
      <c r="I73" s="3"/>
      <c r="J73" s="3"/>
      <c r="K73" s="3"/>
      <c r="L73" s="3"/>
      <c r="M73" s="3"/>
      <c r="N73" s="3"/>
      <c r="O73" s="3"/>
      <c r="P73" s="3"/>
      <c r="Q73" s="4"/>
      <c r="R73" s="4">
        <v>2027.0</v>
      </c>
      <c r="S73" s="3">
        <v>19.0</v>
      </c>
      <c r="T73" s="77">
        <f t="shared" si="3"/>
        <v>46514</v>
      </c>
      <c r="U73" s="91">
        <f t="shared" si="1"/>
        <v>0</v>
      </c>
      <c r="V73" s="4"/>
      <c r="W73" s="92">
        <f t="shared" si="2"/>
        <v>0</v>
      </c>
      <c r="X73" s="4"/>
      <c r="Y73" s="4"/>
      <c r="Z73" s="4"/>
    </row>
    <row r="74" ht="15.75" customHeight="1">
      <c r="A74" s="4"/>
      <c r="B74" s="90"/>
      <c r="C74" s="4"/>
      <c r="D74" s="4"/>
      <c r="E74" s="42"/>
      <c r="F74" s="90"/>
      <c r="G74" s="4"/>
      <c r="H74" s="90"/>
      <c r="I74" s="3"/>
      <c r="J74" s="3"/>
      <c r="K74" s="3"/>
      <c r="L74" s="3"/>
      <c r="M74" s="3"/>
      <c r="N74" s="3"/>
      <c r="O74" s="3"/>
      <c r="P74" s="3"/>
      <c r="Q74" s="4"/>
      <c r="R74" s="4">
        <v>2027.0</v>
      </c>
      <c r="S74" s="3">
        <v>20.0</v>
      </c>
      <c r="T74" s="77">
        <f t="shared" si="3"/>
        <v>46521</v>
      </c>
      <c r="U74" s="91">
        <f t="shared" si="1"/>
        <v>0</v>
      </c>
      <c r="V74" s="4"/>
      <c r="W74" s="92">
        <f t="shared" si="2"/>
        <v>0</v>
      </c>
      <c r="X74" s="4"/>
      <c r="Y74" s="4"/>
      <c r="Z74" s="4"/>
    </row>
    <row r="75" ht="15.75" customHeight="1">
      <c r="A75" s="4"/>
      <c r="B75" s="90"/>
      <c r="C75" s="4"/>
      <c r="D75" s="4"/>
      <c r="E75" s="42"/>
      <c r="F75" s="90"/>
      <c r="G75" s="4"/>
      <c r="H75" s="90"/>
      <c r="I75" s="3"/>
      <c r="J75" s="3"/>
      <c r="K75" s="3"/>
      <c r="L75" s="3"/>
      <c r="M75" s="3"/>
      <c r="N75" s="3"/>
      <c r="O75" s="3"/>
      <c r="P75" s="3"/>
      <c r="Q75" s="4"/>
      <c r="R75" s="4">
        <v>2027.0</v>
      </c>
      <c r="S75" s="3">
        <v>21.0</v>
      </c>
      <c r="T75" s="77">
        <f t="shared" si="3"/>
        <v>46528</v>
      </c>
      <c r="U75" s="91">
        <f t="shared" si="1"/>
        <v>0</v>
      </c>
      <c r="V75" s="4"/>
      <c r="W75" s="92">
        <f t="shared" si="2"/>
        <v>0</v>
      </c>
      <c r="X75" s="4"/>
      <c r="Y75" s="4"/>
      <c r="Z75" s="4"/>
    </row>
    <row r="76" ht="15.75" customHeight="1">
      <c r="A76" s="4"/>
      <c r="B76" s="90"/>
      <c r="C76" s="4"/>
      <c r="D76" s="4"/>
      <c r="E76" s="42"/>
      <c r="F76" s="90"/>
      <c r="G76" s="4"/>
      <c r="H76" s="90"/>
      <c r="I76" s="3"/>
      <c r="J76" s="3"/>
      <c r="K76" s="3"/>
      <c r="L76" s="3"/>
      <c r="M76" s="3"/>
      <c r="N76" s="3"/>
      <c r="O76" s="3"/>
      <c r="P76" s="3"/>
      <c r="Q76" s="4"/>
      <c r="R76" s="4">
        <v>2027.0</v>
      </c>
      <c r="S76" s="3">
        <v>22.0</v>
      </c>
      <c r="T76" s="77">
        <f t="shared" si="3"/>
        <v>46535</v>
      </c>
      <c r="U76" s="91">
        <f t="shared" si="1"/>
        <v>0</v>
      </c>
      <c r="V76" s="4"/>
      <c r="W76" s="92">
        <f t="shared" si="2"/>
        <v>0</v>
      </c>
      <c r="X76" s="4"/>
      <c r="Y76" s="4"/>
      <c r="Z76" s="4"/>
    </row>
    <row r="77" ht="15.75" customHeight="1">
      <c r="A77" s="4"/>
      <c r="B77" s="90"/>
      <c r="C77" s="4"/>
      <c r="D77" s="4"/>
      <c r="E77" s="42"/>
      <c r="F77" s="90"/>
      <c r="G77" s="4"/>
      <c r="H77" s="90"/>
      <c r="I77" s="3"/>
      <c r="J77" s="3"/>
      <c r="K77" s="3"/>
      <c r="L77" s="3"/>
      <c r="M77" s="3"/>
      <c r="N77" s="3"/>
      <c r="O77" s="3"/>
      <c r="P77" s="3"/>
      <c r="Q77" s="4"/>
      <c r="R77" s="4">
        <v>2027.0</v>
      </c>
      <c r="S77" s="3">
        <v>23.0</v>
      </c>
      <c r="T77" s="77">
        <f t="shared" si="3"/>
        <v>46542</v>
      </c>
      <c r="U77" s="91">
        <f t="shared" si="1"/>
        <v>0</v>
      </c>
      <c r="V77" s="4"/>
      <c r="W77" s="92">
        <f t="shared" si="2"/>
        <v>0</v>
      </c>
      <c r="X77" s="4"/>
      <c r="Y77" s="4"/>
      <c r="Z77" s="4"/>
    </row>
    <row r="78" ht="15.75" customHeight="1">
      <c r="A78" s="4"/>
      <c r="B78" s="90"/>
      <c r="C78" s="4"/>
      <c r="D78" s="4"/>
      <c r="E78" s="42"/>
      <c r="F78" s="90"/>
      <c r="G78" s="4"/>
      <c r="H78" s="90"/>
      <c r="I78" s="3"/>
      <c r="J78" s="3"/>
      <c r="K78" s="3"/>
      <c r="L78" s="3"/>
      <c r="M78" s="3"/>
      <c r="N78" s="3"/>
      <c r="O78" s="3"/>
      <c r="P78" s="3"/>
      <c r="Q78" s="4"/>
      <c r="R78" s="4">
        <v>2027.0</v>
      </c>
      <c r="S78" s="3">
        <v>24.0</v>
      </c>
      <c r="T78" s="77">
        <f t="shared" si="3"/>
        <v>46549</v>
      </c>
      <c r="U78" s="91">
        <f t="shared" si="1"/>
        <v>0</v>
      </c>
      <c r="V78" s="4"/>
      <c r="W78" s="92">
        <f t="shared" si="2"/>
        <v>0</v>
      </c>
      <c r="X78" s="4"/>
      <c r="Y78" s="4"/>
      <c r="Z78" s="4"/>
    </row>
    <row r="79" ht="15.75" customHeight="1">
      <c r="A79" s="4"/>
      <c r="B79" s="90"/>
      <c r="C79" s="4"/>
      <c r="D79" s="4"/>
      <c r="E79" s="42"/>
      <c r="F79" s="90"/>
      <c r="G79" s="4"/>
      <c r="H79" s="90"/>
      <c r="I79" s="3"/>
      <c r="J79" s="3"/>
      <c r="K79" s="3"/>
      <c r="L79" s="3"/>
      <c r="M79" s="3"/>
      <c r="N79" s="3"/>
      <c r="O79" s="3"/>
      <c r="P79" s="3"/>
      <c r="Q79" s="4"/>
      <c r="R79" s="4">
        <v>2027.0</v>
      </c>
      <c r="S79" s="3">
        <v>25.0</v>
      </c>
      <c r="T79" s="77">
        <f t="shared" si="3"/>
        <v>46556</v>
      </c>
      <c r="U79" s="91">
        <f t="shared" si="1"/>
        <v>0</v>
      </c>
      <c r="V79" s="4"/>
      <c r="W79" s="92">
        <f t="shared" si="2"/>
        <v>0</v>
      </c>
      <c r="X79" s="4"/>
      <c r="Y79" s="4"/>
      <c r="Z79" s="4"/>
    </row>
    <row r="80" ht="15.75" customHeight="1">
      <c r="A80" s="4"/>
      <c r="B80" s="90"/>
      <c r="C80" s="4"/>
      <c r="D80" s="4"/>
      <c r="E80" s="42"/>
      <c r="F80" s="90"/>
      <c r="G80" s="4"/>
      <c r="H80" s="90"/>
      <c r="I80" s="3"/>
      <c r="J80" s="3"/>
      <c r="K80" s="3"/>
      <c r="L80" s="3"/>
      <c r="M80" s="3"/>
      <c r="N80" s="3"/>
      <c r="O80" s="3"/>
      <c r="P80" s="3"/>
      <c r="Q80" s="4"/>
      <c r="R80" s="4">
        <v>2027.0</v>
      </c>
      <c r="S80" s="3">
        <v>26.0</v>
      </c>
      <c r="T80" s="77">
        <f t="shared" si="3"/>
        <v>46563</v>
      </c>
      <c r="U80" s="91">
        <f t="shared" si="1"/>
        <v>0</v>
      </c>
      <c r="V80" s="4"/>
      <c r="W80" s="92">
        <f t="shared" si="2"/>
        <v>0</v>
      </c>
      <c r="X80" s="4"/>
      <c r="Y80" s="4"/>
      <c r="Z80" s="4"/>
    </row>
    <row r="81" ht="15.75" customHeight="1">
      <c r="A81" s="4"/>
      <c r="B81" s="90"/>
      <c r="C81" s="4"/>
      <c r="D81" s="4"/>
      <c r="E81" s="42"/>
      <c r="F81" s="90"/>
      <c r="G81" s="4"/>
      <c r="H81" s="90"/>
      <c r="I81" s="3"/>
      <c r="J81" s="3"/>
      <c r="K81" s="3"/>
      <c r="L81" s="3"/>
      <c r="M81" s="3"/>
      <c r="N81" s="3"/>
      <c r="O81" s="3"/>
      <c r="P81" s="3"/>
      <c r="Q81" s="4"/>
      <c r="R81" s="4">
        <v>2027.0</v>
      </c>
      <c r="S81" s="3">
        <v>27.0</v>
      </c>
      <c r="T81" s="77">
        <f t="shared" si="3"/>
        <v>46570</v>
      </c>
      <c r="U81" s="91">
        <f t="shared" si="1"/>
        <v>0</v>
      </c>
      <c r="V81" s="4"/>
      <c r="W81" s="92">
        <f t="shared" si="2"/>
        <v>0</v>
      </c>
      <c r="X81" s="4"/>
      <c r="Y81" s="4"/>
      <c r="Z81" s="4"/>
    </row>
    <row r="82" ht="15.75" customHeight="1">
      <c r="A82" s="4"/>
      <c r="B82" s="90"/>
      <c r="C82" s="4"/>
      <c r="D82" s="4"/>
      <c r="E82" s="42"/>
      <c r="F82" s="90"/>
      <c r="G82" s="4"/>
      <c r="H82" s="90"/>
      <c r="I82" s="3"/>
      <c r="J82" s="3"/>
      <c r="K82" s="3"/>
      <c r="L82" s="3"/>
      <c r="M82" s="3"/>
      <c r="N82" s="3"/>
      <c r="O82" s="3"/>
      <c r="P82" s="3"/>
      <c r="Q82" s="4"/>
      <c r="R82" s="4">
        <v>2027.0</v>
      </c>
      <c r="S82" s="3">
        <v>28.0</v>
      </c>
      <c r="T82" s="77">
        <f t="shared" si="3"/>
        <v>46577</v>
      </c>
      <c r="U82" s="91">
        <f t="shared" si="1"/>
        <v>0</v>
      </c>
      <c r="V82" s="4"/>
      <c r="W82" s="92">
        <f t="shared" si="2"/>
        <v>0</v>
      </c>
      <c r="X82" s="4"/>
      <c r="Y82" s="4"/>
      <c r="Z82" s="4"/>
    </row>
    <row r="83" ht="15.75" customHeight="1">
      <c r="A83" s="4"/>
      <c r="B83" s="90"/>
      <c r="C83" s="4"/>
      <c r="D83" s="4"/>
      <c r="E83" s="42"/>
      <c r="F83" s="90"/>
      <c r="G83" s="4"/>
      <c r="H83" s="90"/>
      <c r="I83" s="3"/>
      <c r="J83" s="3"/>
      <c r="K83" s="3"/>
      <c r="L83" s="3"/>
      <c r="M83" s="3"/>
      <c r="N83" s="3"/>
      <c r="O83" s="3"/>
      <c r="P83" s="3"/>
      <c r="Q83" s="4"/>
      <c r="R83" s="4">
        <v>2027.0</v>
      </c>
      <c r="S83" s="3">
        <v>29.0</v>
      </c>
      <c r="T83" s="77">
        <f t="shared" si="3"/>
        <v>46584</v>
      </c>
      <c r="U83" s="91">
        <f t="shared" si="1"/>
        <v>0</v>
      </c>
      <c r="V83" s="4"/>
      <c r="W83" s="92">
        <f t="shared" si="2"/>
        <v>0</v>
      </c>
      <c r="X83" s="4"/>
      <c r="Y83" s="4"/>
      <c r="Z83" s="4"/>
    </row>
    <row r="84" ht="15.75" customHeight="1">
      <c r="A84" s="4"/>
      <c r="B84" s="90"/>
      <c r="C84" s="4"/>
      <c r="D84" s="4"/>
      <c r="E84" s="42"/>
      <c r="F84" s="90"/>
      <c r="G84" s="4"/>
      <c r="H84" s="90"/>
      <c r="I84" s="3"/>
      <c r="J84" s="3"/>
      <c r="K84" s="3"/>
      <c r="L84" s="3"/>
      <c r="M84" s="3"/>
      <c r="N84" s="3"/>
      <c r="O84" s="3"/>
      <c r="P84" s="3"/>
      <c r="Q84" s="4"/>
      <c r="R84" s="4">
        <v>2027.0</v>
      </c>
      <c r="S84" s="3">
        <v>30.0</v>
      </c>
      <c r="T84" s="77">
        <f t="shared" si="3"/>
        <v>46591</v>
      </c>
      <c r="U84" s="91">
        <f t="shared" si="1"/>
        <v>0</v>
      </c>
      <c r="V84" s="4"/>
      <c r="W84" s="92">
        <f t="shared" si="2"/>
        <v>0</v>
      </c>
      <c r="X84" s="4"/>
      <c r="Y84" s="4"/>
      <c r="Z84" s="4"/>
    </row>
    <row r="85" ht="15.75" customHeight="1">
      <c r="A85" s="4"/>
      <c r="B85" s="90"/>
      <c r="C85" s="4"/>
      <c r="D85" s="4"/>
      <c r="E85" s="42"/>
      <c r="F85" s="90"/>
      <c r="G85" s="4"/>
      <c r="H85" s="90"/>
      <c r="I85" s="3"/>
      <c r="J85" s="3"/>
      <c r="K85" s="3"/>
      <c r="L85" s="3"/>
      <c r="M85" s="3"/>
      <c r="N85" s="3"/>
      <c r="O85" s="3"/>
      <c r="P85" s="3"/>
      <c r="Q85" s="4"/>
      <c r="R85" s="4">
        <v>2027.0</v>
      </c>
      <c r="S85" s="3">
        <v>31.0</v>
      </c>
      <c r="T85" s="77">
        <f t="shared" si="3"/>
        <v>46598</v>
      </c>
      <c r="U85" s="91">
        <f t="shared" si="1"/>
        <v>0</v>
      </c>
      <c r="V85" s="4"/>
      <c r="W85" s="92">
        <f t="shared" si="2"/>
        <v>0</v>
      </c>
      <c r="X85" s="4"/>
      <c r="Y85" s="4"/>
      <c r="Z85" s="4"/>
    </row>
    <row r="86" ht="15.75" customHeight="1">
      <c r="A86" s="4"/>
      <c r="B86" s="90"/>
      <c r="C86" s="4"/>
      <c r="D86" s="4"/>
      <c r="E86" s="42"/>
      <c r="F86" s="90"/>
      <c r="G86" s="4"/>
      <c r="H86" s="90"/>
      <c r="I86" s="3"/>
      <c r="J86" s="3"/>
      <c r="K86" s="3"/>
      <c r="L86" s="3"/>
      <c r="M86" s="3"/>
      <c r="N86" s="3"/>
      <c r="O86" s="3"/>
      <c r="P86" s="3"/>
      <c r="Q86" s="4"/>
      <c r="R86" s="4">
        <v>2027.0</v>
      </c>
      <c r="S86" s="3">
        <v>32.0</v>
      </c>
      <c r="T86" s="77">
        <f t="shared" si="3"/>
        <v>46605</v>
      </c>
      <c r="U86" s="91">
        <f t="shared" si="1"/>
        <v>0</v>
      </c>
      <c r="V86" s="4"/>
      <c r="W86" s="92">
        <f t="shared" si="2"/>
        <v>0</v>
      </c>
      <c r="X86" s="4"/>
      <c r="Y86" s="4"/>
      <c r="Z86" s="4"/>
    </row>
    <row r="87" ht="15.75" customHeight="1">
      <c r="A87" s="4"/>
      <c r="B87" s="90"/>
      <c r="C87" s="4"/>
      <c r="D87" s="4"/>
      <c r="E87" s="42"/>
      <c r="F87" s="90"/>
      <c r="G87" s="4"/>
      <c r="H87" s="90"/>
      <c r="I87" s="3"/>
      <c r="J87" s="3"/>
      <c r="K87" s="3"/>
      <c r="L87" s="3"/>
      <c r="M87" s="3"/>
      <c r="N87" s="3"/>
      <c r="O87" s="3"/>
      <c r="P87" s="3"/>
      <c r="Q87" s="4"/>
      <c r="R87" s="4">
        <v>2027.0</v>
      </c>
      <c r="S87" s="3">
        <v>33.0</v>
      </c>
      <c r="T87" s="77">
        <f t="shared" si="3"/>
        <v>46612</v>
      </c>
      <c r="U87" s="91">
        <f t="shared" si="1"/>
        <v>0</v>
      </c>
      <c r="V87" s="4"/>
      <c r="W87" s="92">
        <f t="shared" si="2"/>
        <v>0</v>
      </c>
      <c r="X87" s="4"/>
      <c r="Y87" s="4"/>
      <c r="Z87" s="4"/>
    </row>
    <row r="88" ht="15.75" customHeight="1">
      <c r="A88" s="4"/>
      <c r="B88" s="90"/>
      <c r="C88" s="4"/>
      <c r="D88" s="4"/>
      <c r="E88" s="42"/>
      <c r="F88" s="90"/>
      <c r="G88" s="4"/>
      <c r="H88" s="90"/>
      <c r="I88" s="3"/>
      <c r="J88" s="3"/>
      <c r="K88" s="3"/>
      <c r="L88" s="3"/>
      <c r="M88" s="3"/>
      <c r="N88" s="3"/>
      <c r="O88" s="3"/>
      <c r="P88" s="3"/>
      <c r="Q88" s="4"/>
      <c r="R88" s="4">
        <v>2027.0</v>
      </c>
      <c r="S88" s="3">
        <v>34.0</v>
      </c>
      <c r="T88" s="77">
        <f t="shared" si="3"/>
        <v>46619</v>
      </c>
      <c r="U88" s="91">
        <f t="shared" si="1"/>
        <v>0</v>
      </c>
      <c r="V88" s="4"/>
      <c r="W88" s="92">
        <f t="shared" si="2"/>
        <v>0</v>
      </c>
      <c r="X88" s="4"/>
      <c r="Y88" s="4"/>
      <c r="Z88" s="4"/>
    </row>
    <row r="89" ht="15.75" customHeight="1">
      <c r="A89" s="4"/>
      <c r="B89" s="90"/>
      <c r="C89" s="4"/>
      <c r="D89" s="4"/>
      <c r="E89" s="42"/>
      <c r="F89" s="90"/>
      <c r="G89" s="4"/>
      <c r="H89" s="90"/>
      <c r="I89" s="3"/>
      <c r="J89" s="3"/>
      <c r="K89" s="3"/>
      <c r="L89" s="3"/>
      <c r="M89" s="3"/>
      <c r="N89" s="3"/>
      <c r="O89" s="3"/>
      <c r="P89" s="3"/>
      <c r="Q89" s="4"/>
      <c r="R89" s="4">
        <v>2027.0</v>
      </c>
      <c r="S89" s="3">
        <v>35.0</v>
      </c>
      <c r="T89" s="77">
        <f t="shared" si="3"/>
        <v>46626</v>
      </c>
      <c r="U89" s="91">
        <f t="shared" si="1"/>
        <v>0</v>
      </c>
      <c r="V89" s="4"/>
      <c r="W89" s="92">
        <f t="shared" si="2"/>
        <v>0</v>
      </c>
      <c r="X89" s="4"/>
      <c r="Y89" s="4"/>
      <c r="Z89" s="4"/>
    </row>
    <row r="90" ht="15.75" customHeight="1">
      <c r="A90" s="4"/>
      <c r="B90" s="90"/>
      <c r="C90" s="4"/>
      <c r="D90" s="4"/>
      <c r="E90" s="42"/>
      <c r="F90" s="90"/>
      <c r="G90" s="4"/>
      <c r="H90" s="90"/>
      <c r="I90" s="3"/>
      <c r="J90" s="3"/>
      <c r="K90" s="3"/>
      <c r="L90" s="3"/>
      <c r="M90" s="3"/>
      <c r="N90" s="3"/>
      <c r="O90" s="3"/>
      <c r="P90" s="3"/>
      <c r="Q90" s="4"/>
      <c r="R90" s="4">
        <v>2027.0</v>
      </c>
      <c r="S90" s="3">
        <v>36.0</v>
      </c>
      <c r="T90" s="77">
        <f t="shared" si="3"/>
        <v>46633</v>
      </c>
      <c r="U90" s="91">
        <f t="shared" si="1"/>
        <v>0</v>
      </c>
      <c r="V90" s="4"/>
      <c r="W90" s="92">
        <f t="shared" si="2"/>
        <v>0</v>
      </c>
      <c r="X90" s="4"/>
      <c r="Y90" s="4"/>
      <c r="Z90" s="4"/>
    </row>
    <row r="91" ht="15.75" customHeight="1">
      <c r="A91" s="4"/>
      <c r="B91" s="90"/>
      <c r="C91" s="4"/>
      <c r="D91" s="4"/>
      <c r="E91" s="42"/>
      <c r="F91" s="90"/>
      <c r="G91" s="4"/>
      <c r="H91" s="90"/>
      <c r="I91" s="3"/>
      <c r="J91" s="3"/>
      <c r="K91" s="3"/>
      <c r="L91" s="3"/>
      <c r="M91" s="3"/>
      <c r="N91" s="3"/>
      <c r="O91" s="3"/>
      <c r="P91" s="3"/>
      <c r="Q91" s="4"/>
      <c r="R91" s="4">
        <v>2027.0</v>
      </c>
      <c r="S91" s="3">
        <v>37.0</v>
      </c>
      <c r="T91" s="77">
        <f t="shared" si="3"/>
        <v>46640</v>
      </c>
      <c r="U91" s="91">
        <f t="shared" si="1"/>
        <v>0</v>
      </c>
      <c r="V91" s="4"/>
      <c r="W91" s="92">
        <f t="shared" si="2"/>
        <v>0</v>
      </c>
      <c r="X91" s="4"/>
      <c r="Y91" s="4"/>
      <c r="Z91" s="4"/>
    </row>
    <row r="92" ht="15.75" customHeight="1">
      <c r="A92" s="4"/>
      <c r="B92" s="90"/>
      <c r="C92" s="4"/>
      <c r="D92" s="4"/>
      <c r="E92" s="42"/>
      <c r="F92" s="90"/>
      <c r="G92" s="4"/>
      <c r="H92" s="90"/>
      <c r="I92" s="3"/>
      <c r="J92" s="3"/>
      <c r="K92" s="3"/>
      <c r="L92" s="3"/>
      <c r="M92" s="3"/>
      <c r="N92" s="3"/>
      <c r="O92" s="3"/>
      <c r="P92" s="3"/>
      <c r="Q92" s="4"/>
      <c r="R92" s="4">
        <v>2027.0</v>
      </c>
      <c r="S92" s="3">
        <v>38.0</v>
      </c>
      <c r="T92" s="77">
        <f t="shared" si="3"/>
        <v>46647</v>
      </c>
      <c r="U92" s="91">
        <f t="shared" si="1"/>
        <v>0</v>
      </c>
      <c r="V92" s="4"/>
      <c r="W92" s="92">
        <f t="shared" si="2"/>
        <v>0</v>
      </c>
      <c r="X92" s="4"/>
      <c r="Y92" s="4"/>
      <c r="Z92" s="4"/>
    </row>
    <row r="93" ht="15.75" customHeight="1">
      <c r="A93" s="4"/>
      <c r="B93" s="90"/>
      <c r="C93" s="4"/>
      <c r="D93" s="4"/>
      <c r="E93" s="42"/>
      <c r="F93" s="90"/>
      <c r="G93" s="4"/>
      <c r="H93" s="90"/>
      <c r="I93" s="3"/>
      <c r="J93" s="3"/>
      <c r="K93" s="3"/>
      <c r="L93" s="3"/>
      <c r="M93" s="3"/>
      <c r="N93" s="3"/>
      <c r="O93" s="3"/>
      <c r="P93" s="3"/>
      <c r="Q93" s="4"/>
      <c r="R93" s="4">
        <v>2027.0</v>
      </c>
      <c r="S93" s="3">
        <v>39.0</v>
      </c>
      <c r="T93" s="77">
        <f t="shared" si="3"/>
        <v>46654</v>
      </c>
      <c r="U93" s="91">
        <f t="shared" si="1"/>
        <v>0</v>
      </c>
      <c r="V93" s="4"/>
      <c r="W93" s="92">
        <f t="shared" si="2"/>
        <v>0</v>
      </c>
      <c r="X93" s="4"/>
      <c r="Y93" s="4"/>
      <c r="Z93" s="4"/>
    </row>
    <row r="94" ht="15.75" customHeight="1">
      <c r="A94" s="4"/>
      <c r="B94" s="90"/>
      <c r="C94" s="4"/>
      <c r="D94" s="4"/>
      <c r="E94" s="42"/>
      <c r="F94" s="90"/>
      <c r="G94" s="4"/>
      <c r="H94" s="90"/>
      <c r="I94" s="3"/>
      <c r="J94" s="3"/>
      <c r="K94" s="3"/>
      <c r="L94" s="3"/>
      <c r="M94" s="3"/>
      <c r="N94" s="3"/>
      <c r="O94" s="3"/>
      <c r="P94" s="3"/>
      <c r="Q94" s="4"/>
      <c r="R94" s="4">
        <v>2027.0</v>
      </c>
      <c r="S94" s="3">
        <v>40.0</v>
      </c>
      <c r="T94" s="77">
        <f t="shared" si="3"/>
        <v>46661</v>
      </c>
      <c r="U94" s="91">
        <f t="shared" si="1"/>
        <v>0</v>
      </c>
      <c r="V94" s="4"/>
      <c r="W94" s="92">
        <f t="shared" si="2"/>
        <v>0</v>
      </c>
      <c r="X94" s="4"/>
      <c r="Y94" s="4"/>
      <c r="Z94" s="4"/>
    </row>
    <row r="95" ht="15.75" customHeight="1">
      <c r="A95" s="4"/>
      <c r="B95" s="90"/>
      <c r="C95" s="4"/>
      <c r="D95" s="4"/>
      <c r="E95" s="42"/>
      <c r="F95" s="90"/>
      <c r="G95" s="4"/>
      <c r="H95" s="90"/>
      <c r="I95" s="3"/>
      <c r="J95" s="3"/>
      <c r="K95" s="3"/>
      <c r="L95" s="3"/>
      <c r="M95" s="3"/>
      <c r="N95" s="3"/>
      <c r="O95" s="3"/>
      <c r="P95" s="3"/>
      <c r="Q95" s="4"/>
      <c r="R95" s="4">
        <v>2027.0</v>
      </c>
      <c r="S95" s="3">
        <v>41.0</v>
      </c>
      <c r="T95" s="77">
        <f t="shared" si="3"/>
        <v>46668</v>
      </c>
      <c r="U95" s="91">
        <f t="shared" si="1"/>
        <v>0</v>
      </c>
      <c r="V95" s="4"/>
      <c r="W95" s="92">
        <f t="shared" si="2"/>
        <v>0</v>
      </c>
      <c r="X95" s="4"/>
      <c r="Y95" s="4"/>
      <c r="Z95" s="4"/>
    </row>
    <row r="96" ht="15.75" customHeight="1">
      <c r="A96" s="4"/>
      <c r="B96" s="90"/>
      <c r="C96" s="4"/>
      <c r="D96" s="4"/>
      <c r="E96" s="42"/>
      <c r="F96" s="90"/>
      <c r="G96" s="4"/>
      <c r="H96" s="90"/>
      <c r="I96" s="3"/>
      <c r="J96" s="3"/>
      <c r="K96" s="3"/>
      <c r="L96" s="3"/>
      <c r="M96" s="3"/>
      <c r="N96" s="3"/>
      <c r="O96" s="3"/>
      <c r="P96" s="3"/>
      <c r="Q96" s="4"/>
      <c r="R96" s="4">
        <v>2027.0</v>
      </c>
      <c r="S96" s="3">
        <v>42.0</v>
      </c>
      <c r="T96" s="77">
        <f t="shared" si="3"/>
        <v>46675</v>
      </c>
      <c r="U96" s="91">
        <f t="shared" si="1"/>
        <v>0</v>
      </c>
      <c r="V96" s="4"/>
      <c r="W96" s="92">
        <f t="shared" si="2"/>
        <v>0</v>
      </c>
      <c r="X96" s="4"/>
      <c r="Y96" s="4"/>
      <c r="Z96" s="4"/>
    </row>
    <row r="97" ht="15.75" customHeight="1">
      <c r="A97" s="4"/>
      <c r="B97" s="90"/>
      <c r="C97" s="4"/>
      <c r="D97" s="4"/>
      <c r="E97" s="42"/>
      <c r="F97" s="90"/>
      <c r="G97" s="4"/>
      <c r="H97" s="90"/>
      <c r="I97" s="4"/>
      <c r="J97" s="4"/>
      <c r="K97" s="4"/>
      <c r="L97" s="4"/>
      <c r="M97" s="4"/>
      <c r="N97" s="4"/>
      <c r="O97" s="4"/>
      <c r="P97" s="4"/>
      <c r="Q97" s="4"/>
      <c r="R97" s="4">
        <v>2027.0</v>
      </c>
      <c r="S97" s="3">
        <v>43.0</v>
      </c>
      <c r="T97" s="77">
        <f t="shared" si="3"/>
        <v>46682</v>
      </c>
      <c r="U97" s="91">
        <f t="shared" si="1"/>
        <v>0</v>
      </c>
      <c r="V97" s="4"/>
      <c r="W97" s="92">
        <f t="shared" si="2"/>
        <v>0</v>
      </c>
      <c r="X97" s="4"/>
      <c r="Y97" s="4"/>
      <c r="Z97" s="4"/>
    </row>
    <row r="98" ht="15.75" customHeight="1">
      <c r="A98" s="4"/>
      <c r="B98" s="90"/>
      <c r="C98" s="4"/>
      <c r="D98" s="4"/>
      <c r="E98" s="42"/>
      <c r="F98" s="90"/>
      <c r="G98" s="4"/>
      <c r="H98" s="90"/>
      <c r="I98" s="4"/>
      <c r="J98" s="4"/>
      <c r="K98" s="4"/>
      <c r="L98" s="4"/>
      <c r="M98" s="4"/>
      <c r="N98" s="4"/>
      <c r="O98" s="4"/>
      <c r="P98" s="4"/>
      <c r="Q98" s="4"/>
      <c r="R98" s="4">
        <v>2027.0</v>
      </c>
      <c r="S98" s="3">
        <v>44.0</v>
      </c>
      <c r="T98" s="77">
        <f t="shared" si="3"/>
        <v>46689</v>
      </c>
      <c r="U98" s="91">
        <f t="shared" si="1"/>
        <v>0</v>
      </c>
      <c r="V98" s="4"/>
      <c r="W98" s="92">
        <f t="shared" si="2"/>
        <v>0</v>
      </c>
      <c r="X98" s="4"/>
      <c r="Y98" s="4"/>
      <c r="Z98" s="4"/>
    </row>
    <row r="99" ht="15.75" customHeight="1">
      <c r="A99" s="4"/>
      <c r="B99" s="90"/>
      <c r="C99" s="4"/>
      <c r="D99" s="4"/>
      <c r="E99" s="42"/>
      <c r="F99" s="90"/>
      <c r="G99" s="4"/>
      <c r="H99" s="90"/>
      <c r="I99" s="4"/>
      <c r="J99" s="4"/>
      <c r="K99" s="4"/>
      <c r="L99" s="4"/>
      <c r="M99" s="4"/>
      <c r="N99" s="4"/>
      <c r="O99" s="4"/>
      <c r="P99" s="4"/>
      <c r="Q99" s="4"/>
      <c r="R99" s="4">
        <v>2027.0</v>
      </c>
      <c r="S99" s="3">
        <v>45.0</v>
      </c>
      <c r="T99" s="77">
        <f t="shared" si="3"/>
        <v>46696</v>
      </c>
      <c r="U99" s="91">
        <f t="shared" si="1"/>
        <v>0</v>
      </c>
      <c r="V99" s="4"/>
      <c r="W99" s="92">
        <f t="shared" si="2"/>
        <v>0</v>
      </c>
      <c r="X99" s="4"/>
      <c r="Y99" s="4"/>
      <c r="Z99" s="4"/>
    </row>
    <row r="100" ht="15.75" customHeight="1">
      <c r="A100" s="4"/>
      <c r="B100" s="90"/>
      <c r="C100" s="4"/>
      <c r="D100" s="4"/>
      <c r="E100" s="42"/>
      <c r="F100" s="90"/>
      <c r="G100" s="4"/>
      <c r="H100" s="90"/>
      <c r="I100" s="4"/>
      <c r="J100" s="4"/>
      <c r="K100" s="4"/>
      <c r="L100" s="4"/>
      <c r="M100" s="4"/>
      <c r="N100" s="4"/>
      <c r="O100" s="4"/>
      <c r="P100" s="4"/>
      <c r="Q100" s="4"/>
      <c r="R100" s="4">
        <v>2027.0</v>
      </c>
      <c r="S100" s="3">
        <v>46.0</v>
      </c>
      <c r="T100" s="77">
        <f t="shared" si="3"/>
        <v>46703</v>
      </c>
      <c r="U100" s="91">
        <f t="shared" si="1"/>
        <v>0</v>
      </c>
      <c r="V100" s="4"/>
      <c r="W100" s="92">
        <f t="shared" si="2"/>
        <v>0</v>
      </c>
      <c r="X100" s="4"/>
      <c r="Y100" s="4"/>
      <c r="Z100" s="4"/>
    </row>
    <row r="101" ht="15.75" customHeight="1">
      <c r="A101" s="4"/>
      <c r="B101" s="90"/>
      <c r="C101" s="4"/>
      <c r="D101" s="4"/>
      <c r="E101" s="42"/>
      <c r="F101" s="90"/>
      <c r="G101" s="4"/>
      <c r="H101" s="90"/>
      <c r="I101" s="4"/>
      <c r="J101" s="4"/>
      <c r="K101" s="4"/>
      <c r="L101" s="4"/>
      <c r="M101" s="4"/>
      <c r="N101" s="4"/>
      <c r="O101" s="4"/>
      <c r="P101" s="4"/>
      <c r="Q101" s="4"/>
      <c r="R101" s="4">
        <v>2027.0</v>
      </c>
      <c r="S101" s="3">
        <v>47.0</v>
      </c>
      <c r="T101" s="77">
        <f t="shared" si="3"/>
        <v>46710</v>
      </c>
      <c r="U101" s="91">
        <f t="shared" si="1"/>
        <v>0</v>
      </c>
      <c r="V101" s="4"/>
      <c r="W101" s="92">
        <f t="shared" si="2"/>
        <v>0</v>
      </c>
      <c r="X101" s="4"/>
      <c r="Y101" s="4"/>
      <c r="Z101" s="4"/>
    </row>
    <row r="102" ht="15.75" customHeight="1">
      <c r="A102" s="4"/>
      <c r="B102" s="90"/>
      <c r="C102" s="4"/>
      <c r="D102" s="4"/>
      <c r="E102" s="42"/>
      <c r="F102" s="90"/>
      <c r="G102" s="4"/>
      <c r="H102" s="90"/>
      <c r="I102" s="4"/>
      <c r="J102" s="4"/>
      <c r="K102" s="4"/>
      <c r="L102" s="4"/>
      <c r="M102" s="4"/>
      <c r="N102" s="4"/>
      <c r="O102" s="4"/>
      <c r="P102" s="4"/>
      <c r="Q102" s="4"/>
      <c r="R102" s="4">
        <v>2027.0</v>
      </c>
      <c r="S102" s="3">
        <v>48.0</v>
      </c>
      <c r="T102" s="77">
        <f t="shared" si="3"/>
        <v>46717</v>
      </c>
      <c r="U102" s="91">
        <f t="shared" si="1"/>
        <v>0</v>
      </c>
      <c r="V102" s="4"/>
      <c r="W102" s="92">
        <f t="shared" si="2"/>
        <v>0</v>
      </c>
      <c r="X102" s="4"/>
      <c r="Y102" s="4"/>
      <c r="Z102" s="4"/>
    </row>
    <row r="103" ht="15.75" customHeight="1">
      <c r="A103" s="4"/>
      <c r="B103" s="90"/>
      <c r="C103" s="4"/>
      <c r="D103" s="4"/>
      <c r="E103" s="42"/>
      <c r="F103" s="90"/>
      <c r="G103" s="4"/>
      <c r="H103" s="90"/>
      <c r="I103" s="4"/>
      <c r="J103" s="4"/>
      <c r="K103" s="4"/>
      <c r="L103" s="4"/>
      <c r="M103" s="4"/>
      <c r="N103" s="4"/>
      <c r="O103" s="4"/>
      <c r="P103" s="4"/>
      <c r="Q103" s="4"/>
      <c r="R103" s="4">
        <v>2027.0</v>
      </c>
      <c r="S103" s="3">
        <v>49.0</v>
      </c>
      <c r="T103" s="77">
        <f t="shared" si="3"/>
        <v>46724</v>
      </c>
      <c r="U103" s="91">
        <f t="shared" si="1"/>
        <v>0</v>
      </c>
      <c r="V103" s="4"/>
      <c r="W103" s="92">
        <f t="shared" si="2"/>
        <v>0</v>
      </c>
      <c r="X103" s="4"/>
      <c r="Y103" s="4"/>
      <c r="Z103" s="4"/>
    </row>
    <row r="104" ht="15.75" customHeight="1">
      <c r="A104" s="4"/>
      <c r="B104" s="90"/>
      <c r="C104" s="4"/>
      <c r="D104" s="4"/>
      <c r="E104" s="42"/>
      <c r="F104" s="90"/>
      <c r="G104" s="4"/>
      <c r="H104" s="90"/>
      <c r="I104" s="4"/>
      <c r="J104" s="4"/>
      <c r="K104" s="4"/>
      <c r="L104" s="4"/>
      <c r="M104" s="4"/>
      <c r="N104" s="4"/>
      <c r="O104" s="4"/>
      <c r="P104" s="4"/>
      <c r="Q104" s="4"/>
      <c r="R104" s="4">
        <v>2027.0</v>
      </c>
      <c r="S104" s="3">
        <v>50.0</v>
      </c>
      <c r="T104" s="77">
        <f t="shared" si="3"/>
        <v>46731</v>
      </c>
      <c r="U104" s="91">
        <f t="shared" si="1"/>
        <v>0</v>
      </c>
      <c r="V104" s="4"/>
      <c r="W104" s="92">
        <f t="shared" si="2"/>
        <v>0</v>
      </c>
      <c r="X104" s="4"/>
      <c r="Y104" s="4"/>
      <c r="Z104" s="4"/>
    </row>
    <row r="105" ht="15.75" customHeight="1">
      <c r="A105" s="4"/>
      <c r="B105" s="90"/>
      <c r="C105" s="4"/>
      <c r="D105" s="4"/>
      <c r="E105" s="42"/>
      <c r="F105" s="90"/>
      <c r="G105" s="4"/>
      <c r="H105" s="90"/>
      <c r="I105" s="4"/>
      <c r="J105" s="4"/>
      <c r="K105" s="4"/>
      <c r="L105" s="4"/>
      <c r="M105" s="4"/>
      <c r="N105" s="4"/>
      <c r="O105" s="4"/>
      <c r="P105" s="4"/>
      <c r="Q105" s="4"/>
      <c r="R105" s="4">
        <v>2027.0</v>
      </c>
      <c r="S105" s="3">
        <v>51.0</v>
      </c>
      <c r="T105" s="77">
        <f t="shared" si="3"/>
        <v>46738</v>
      </c>
      <c r="U105" s="91">
        <f t="shared" si="1"/>
        <v>0</v>
      </c>
      <c r="V105" s="4"/>
      <c r="W105" s="92">
        <f t="shared" si="2"/>
        <v>0</v>
      </c>
      <c r="X105" s="4"/>
      <c r="Y105" s="4"/>
      <c r="Z105" s="4"/>
    </row>
    <row r="106" ht="15.75" customHeight="1">
      <c r="A106" s="4"/>
      <c r="B106" s="90"/>
      <c r="C106" s="4"/>
      <c r="D106" s="4"/>
      <c r="E106" s="42"/>
      <c r="F106" s="90"/>
      <c r="G106" s="4"/>
      <c r="H106" s="90"/>
      <c r="I106" s="4"/>
      <c r="J106" s="4"/>
      <c r="K106" s="4"/>
      <c r="L106" s="4"/>
      <c r="M106" s="4"/>
      <c r="N106" s="4"/>
      <c r="O106" s="4"/>
      <c r="P106" s="4"/>
      <c r="Q106" s="4"/>
      <c r="R106" s="4">
        <v>2027.0</v>
      </c>
      <c r="S106" s="3">
        <v>52.0</v>
      </c>
      <c r="T106" s="77">
        <f t="shared" si="3"/>
        <v>46745</v>
      </c>
      <c r="U106" s="91">
        <f t="shared" si="1"/>
        <v>0</v>
      </c>
      <c r="V106" s="4"/>
      <c r="W106" s="92">
        <f t="shared" si="2"/>
        <v>0</v>
      </c>
      <c r="X106" s="4"/>
      <c r="Y106" s="4"/>
      <c r="Z106" s="4"/>
    </row>
    <row r="107" ht="15.75" customHeight="1">
      <c r="A107" s="4"/>
      <c r="B107" s="90"/>
      <c r="C107" s="4"/>
      <c r="D107" s="4"/>
      <c r="E107" s="42"/>
      <c r="F107" s="90"/>
      <c r="G107" s="4"/>
      <c r="H107" s="9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90"/>
      <c r="C108" s="4"/>
      <c r="D108" s="4"/>
      <c r="E108" s="42"/>
      <c r="F108" s="90"/>
      <c r="G108" s="4"/>
      <c r="H108" s="9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90"/>
      <c r="C109" s="4"/>
      <c r="D109" s="4"/>
      <c r="E109" s="42"/>
      <c r="F109" s="90"/>
      <c r="G109" s="4"/>
      <c r="H109" s="9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90"/>
      <c r="C110" s="4"/>
      <c r="D110" s="4"/>
      <c r="E110" s="42"/>
      <c r="F110" s="90"/>
      <c r="G110" s="4"/>
      <c r="H110" s="9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90"/>
      <c r="C111" s="4"/>
      <c r="D111" s="4"/>
      <c r="E111" s="42"/>
      <c r="F111" s="90"/>
      <c r="G111" s="4"/>
      <c r="H111" s="9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90"/>
      <c r="C112" s="4"/>
      <c r="D112" s="4"/>
      <c r="E112" s="42"/>
      <c r="F112" s="90"/>
      <c r="G112" s="4"/>
      <c r="H112" s="9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90"/>
      <c r="C113" s="4"/>
      <c r="D113" s="4"/>
      <c r="E113" s="42"/>
      <c r="F113" s="90"/>
      <c r="G113" s="4"/>
      <c r="H113" s="9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90"/>
      <c r="C114" s="4"/>
      <c r="D114" s="4"/>
      <c r="E114" s="42"/>
      <c r="F114" s="90"/>
      <c r="G114" s="4"/>
      <c r="H114" s="9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90"/>
      <c r="C115" s="4"/>
      <c r="D115" s="4"/>
      <c r="E115" s="42"/>
      <c r="F115" s="90"/>
      <c r="G115" s="4"/>
      <c r="H115" s="9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90"/>
      <c r="C116" s="4"/>
      <c r="D116" s="4"/>
      <c r="E116" s="42"/>
      <c r="F116" s="90"/>
      <c r="G116" s="4"/>
      <c r="H116" s="9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90"/>
      <c r="C117" s="4"/>
      <c r="D117" s="4"/>
      <c r="E117" s="42"/>
      <c r="F117" s="90"/>
      <c r="G117" s="4"/>
      <c r="H117" s="9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90"/>
      <c r="C118" s="4"/>
      <c r="D118" s="4"/>
      <c r="E118" s="42"/>
      <c r="F118" s="90"/>
      <c r="G118" s="4"/>
      <c r="H118" s="9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90"/>
      <c r="C119" s="4"/>
      <c r="D119" s="4"/>
      <c r="E119" s="42"/>
      <c r="F119" s="90"/>
      <c r="G119" s="4"/>
      <c r="H119" s="9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90"/>
      <c r="C120" s="4"/>
      <c r="D120" s="4"/>
      <c r="E120" s="42"/>
      <c r="F120" s="90"/>
      <c r="G120" s="4"/>
      <c r="H120" s="9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90"/>
      <c r="C121" s="4"/>
      <c r="D121" s="4"/>
      <c r="E121" s="42"/>
      <c r="F121" s="90"/>
      <c r="G121" s="4"/>
      <c r="H121" s="9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90"/>
      <c r="C122" s="4"/>
      <c r="D122" s="4"/>
      <c r="E122" s="42"/>
      <c r="F122" s="90"/>
      <c r="G122" s="4"/>
      <c r="H122" s="9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90"/>
      <c r="C123" s="4"/>
      <c r="D123" s="4"/>
      <c r="E123" s="42"/>
      <c r="F123" s="90"/>
      <c r="G123" s="4"/>
      <c r="H123" s="9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90"/>
      <c r="C124" s="4"/>
      <c r="D124" s="4"/>
      <c r="E124" s="42"/>
      <c r="F124" s="90"/>
      <c r="G124" s="4"/>
      <c r="H124" s="9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90"/>
      <c r="C125" s="4"/>
      <c r="D125" s="4"/>
      <c r="E125" s="42"/>
      <c r="F125" s="90"/>
      <c r="G125" s="4"/>
      <c r="H125" s="9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90"/>
      <c r="C126" s="4"/>
      <c r="D126" s="4"/>
      <c r="E126" s="42"/>
      <c r="F126" s="90"/>
      <c r="G126" s="4"/>
      <c r="H126" s="9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90"/>
      <c r="C127" s="4"/>
      <c r="D127" s="4"/>
      <c r="E127" s="42"/>
      <c r="F127" s="90"/>
      <c r="G127" s="4"/>
      <c r="H127" s="9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90"/>
      <c r="C128" s="4"/>
      <c r="D128" s="4"/>
      <c r="E128" s="42"/>
      <c r="F128" s="90"/>
      <c r="G128" s="4"/>
      <c r="H128" s="9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90"/>
      <c r="C129" s="4"/>
      <c r="D129" s="4"/>
      <c r="E129" s="42"/>
      <c r="F129" s="90"/>
      <c r="G129" s="4"/>
      <c r="H129" s="9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90"/>
      <c r="C130" s="4"/>
      <c r="D130" s="4"/>
      <c r="E130" s="42"/>
      <c r="F130" s="90"/>
      <c r="G130" s="4"/>
      <c r="H130" s="9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90"/>
      <c r="C131" s="4"/>
      <c r="D131" s="4"/>
      <c r="E131" s="42"/>
      <c r="F131" s="90"/>
      <c r="G131" s="4"/>
      <c r="H131" s="9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90"/>
      <c r="C132" s="4"/>
      <c r="D132" s="4"/>
      <c r="E132" s="42"/>
      <c r="F132" s="90"/>
      <c r="G132" s="4"/>
      <c r="H132" s="9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90"/>
      <c r="C133" s="4"/>
      <c r="D133" s="4"/>
      <c r="E133" s="42"/>
      <c r="F133" s="90"/>
      <c r="G133" s="4"/>
      <c r="H133" s="9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90"/>
      <c r="C134" s="4"/>
      <c r="D134" s="4"/>
      <c r="E134" s="42"/>
      <c r="F134" s="90"/>
      <c r="G134" s="4"/>
      <c r="H134" s="9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90"/>
      <c r="C135" s="4"/>
      <c r="D135" s="4"/>
      <c r="E135" s="42"/>
      <c r="F135" s="90"/>
      <c r="G135" s="4"/>
      <c r="H135" s="9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90"/>
      <c r="C136" s="4"/>
      <c r="D136" s="4"/>
      <c r="E136" s="42"/>
      <c r="F136" s="90"/>
      <c r="G136" s="4"/>
      <c r="H136" s="9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90"/>
      <c r="C137" s="4"/>
      <c r="D137" s="4"/>
      <c r="E137" s="42"/>
      <c r="F137" s="90"/>
      <c r="G137" s="4"/>
      <c r="H137" s="9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90"/>
      <c r="C138" s="4"/>
      <c r="D138" s="4"/>
      <c r="E138" s="42"/>
      <c r="F138" s="90"/>
      <c r="G138" s="4"/>
      <c r="H138" s="9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90"/>
      <c r="C139" s="4"/>
      <c r="D139" s="4"/>
      <c r="E139" s="42"/>
      <c r="F139" s="90"/>
      <c r="G139" s="4"/>
      <c r="H139" s="9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90"/>
      <c r="C140" s="4"/>
      <c r="D140" s="4"/>
      <c r="E140" s="42"/>
      <c r="F140" s="90"/>
      <c r="G140" s="4"/>
      <c r="H140" s="9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90"/>
      <c r="C141" s="4"/>
      <c r="D141" s="4"/>
      <c r="E141" s="42"/>
      <c r="F141" s="90"/>
      <c r="G141" s="4"/>
      <c r="H141" s="9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90"/>
      <c r="C142" s="4"/>
      <c r="D142" s="4"/>
      <c r="E142" s="42"/>
      <c r="F142" s="90"/>
      <c r="G142" s="4"/>
      <c r="H142" s="9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90"/>
      <c r="C143" s="4"/>
      <c r="D143" s="4"/>
      <c r="E143" s="42"/>
      <c r="F143" s="90"/>
      <c r="G143" s="4"/>
      <c r="H143" s="9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90"/>
      <c r="C144" s="4"/>
      <c r="D144" s="4"/>
      <c r="E144" s="42"/>
      <c r="F144" s="90"/>
      <c r="G144" s="4"/>
      <c r="H144" s="9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90"/>
      <c r="C145" s="4"/>
      <c r="D145" s="4"/>
      <c r="E145" s="42"/>
      <c r="F145" s="90"/>
      <c r="G145" s="4"/>
      <c r="H145" s="9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90"/>
      <c r="C146" s="4"/>
      <c r="D146" s="4"/>
      <c r="E146" s="42"/>
      <c r="F146" s="90"/>
      <c r="G146" s="4"/>
      <c r="H146" s="9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90"/>
      <c r="C147" s="4"/>
      <c r="D147" s="4"/>
      <c r="E147" s="42"/>
      <c r="F147" s="90"/>
      <c r="G147" s="4"/>
      <c r="H147" s="9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90"/>
      <c r="C148" s="4"/>
      <c r="D148" s="4"/>
      <c r="E148" s="42"/>
      <c r="F148" s="90"/>
      <c r="G148" s="4"/>
      <c r="H148" s="9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90"/>
      <c r="C149" s="4"/>
      <c r="D149" s="4"/>
      <c r="E149" s="42"/>
      <c r="F149" s="90"/>
      <c r="G149" s="4"/>
      <c r="H149" s="9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90"/>
      <c r="C150" s="4"/>
      <c r="D150" s="4"/>
      <c r="E150" s="42"/>
      <c r="F150" s="90"/>
      <c r="G150" s="4"/>
      <c r="H150" s="9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90"/>
      <c r="C151" s="4"/>
      <c r="D151" s="4"/>
      <c r="E151" s="42"/>
      <c r="F151" s="90"/>
      <c r="G151" s="4"/>
      <c r="H151" s="9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90"/>
      <c r="C152" s="4"/>
      <c r="D152" s="4"/>
      <c r="E152" s="42"/>
      <c r="F152" s="90"/>
      <c r="G152" s="4"/>
      <c r="H152" s="9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90"/>
      <c r="C153" s="4"/>
      <c r="D153" s="4"/>
      <c r="E153" s="42"/>
      <c r="F153" s="90"/>
      <c r="G153" s="4"/>
      <c r="H153" s="9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90"/>
      <c r="C154" s="4"/>
      <c r="D154" s="4"/>
      <c r="E154" s="42"/>
      <c r="F154" s="90"/>
      <c r="G154" s="4"/>
      <c r="H154" s="9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90"/>
      <c r="C155" s="4"/>
      <c r="D155" s="4"/>
      <c r="E155" s="42"/>
      <c r="F155" s="90"/>
      <c r="G155" s="4"/>
      <c r="H155" s="9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90"/>
      <c r="C156" s="4"/>
      <c r="D156" s="4"/>
      <c r="E156" s="42"/>
      <c r="F156" s="90"/>
      <c r="G156" s="4"/>
      <c r="H156" s="9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90"/>
      <c r="C157" s="4"/>
      <c r="D157" s="4"/>
      <c r="E157" s="42"/>
      <c r="F157" s="90"/>
      <c r="G157" s="4"/>
      <c r="H157" s="9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90"/>
      <c r="C158" s="4"/>
      <c r="D158" s="4"/>
      <c r="E158" s="42"/>
      <c r="F158" s="90"/>
      <c r="G158" s="4"/>
      <c r="H158" s="9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90"/>
      <c r="C159" s="4"/>
      <c r="D159" s="4"/>
      <c r="E159" s="42"/>
      <c r="F159" s="90"/>
      <c r="G159" s="4"/>
      <c r="H159" s="9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90"/>
      <c r="C160" s="4"/>
      <c r="D160" s="4"/>
      <c r="E160" s="42"/>
      <c r="F160" s="90"/>
      <c r="G160" s="4"/>
      <c r="H160" s="9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90"/>
      <c r="C161" s="4"/>
      <c r="D161" s="4"/>
      <c r="E161" s="42"/>
      <c r="F161" s="90"/>
      <c r="G161" s="4"/>
      <c r="H161" s="9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90"/>
      <c r="C162" s="4"/>
      <c r="D162" s="4"/>
      <c r="E162" s="42"/>
      <c r="F162" s="90"/>
      <c r="G162" s="4"/>
      <c r="H162" s="9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90"/>
      <c r="C163" s="4"/>
      <c r="D163" s="4"/>
      <c r="E163" s="42"/>
      <c r="F163" s="90"/>
      <c r="G163" s="4"/>
      <c r="H163" s="9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90"/>
      <c r="C164" s="4"/>
      <c r="D164" s="4"/>
      <c r="E164" s="42"/>
      <c r="F164" s="90"/>
      <c r="G164" s="4"/>
      <c r="H164" s="9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90"/>
      <c r="C165" s="4"/>
      <c r="D165" s="4"/>
      <c r="E165" s="42"/>
      <c r="F165" s="90"/>
      <c r="G165" s="4"/>
      <c r="H165" s="9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90"/>
      <c r="C166" s="4"/>
      <c r="D166" s="4"/>
      <c r="E166" s="42"/>
      <c r="F166" s="90"/>
      <c r="G166" s="4"/>
      <c r="H166" s="9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90"/>
      <c r="C167" s="4"/>
      <c r="D167" s="4"/>
      <c r="E167" s="42"/>
      <c r="F167" s="90"/>
      <c r="G167" s="4"/>
      <c r="H167" s="9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90"/>
      <c r="C168" s="4"/>
      <c r="D168" s="4"/>
      <c r="E168" s="42"/>
      <c r="F168" s="90"/>
      <c r="G168" s="4"/>
      <c r="H168" s="9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90"/>
      <c r="C169" s="4"/>
      <c r="D169" s="4"/>
      <c r="E169" s="42"/>
      <c r="F169" s="90"/>
      <c r="G169" s="4"/>
      <c r="H169" s="9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90"/>
      <c r="C170" s="4"/>
      <c r="D170" s="4"/>
      <c r="E170" s="42"/>
      <c r="F170" s="90"/>
      <c r="G170" s="4"/>
      <c r="H170" s="9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90"/>
      <c r="C171" s="4"/>
      <c r="D171" s="4"/>
      <c r="E171" s="42"/>
      <c r="F171" s="90"/>
      <c r="G171" s="4"/>
      <c r="H171" s="9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90"/>
      <c r="C172" s="4"/>
      <c r="D172" s="4"/>
      <c r="E172" s="42"/>
      <c r="F172" s="90"/>
      <c r="G172" s="4"/>
      <c r="H172" s="9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90"/>
      <c r="C173" s="4"/>
      <c r="D173" s="4"/>
      <c r="E173" s="42"/>
      <c r="F173" s="90"/>
      <c r="G173" s="4"/>
      <c r="H173" s="9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90"/>
      <c r="C174" s="4"/>
      <c r="D174" s="4"/>
      <c r="E174" s="42"/>
      <c r="F174" s="90"/>
      <c r="G174" s="4"/>
      <c r="H174" s="9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90"/>
      <c r="C175" s="4"/>
      <c r="D175" s="4"/>
      <c r="E175" s="42"/>
      <c r="F175" s="90"/>
      <c r="G175" s="4"/>
      <c r="H175" s="9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90"/>
      <c r="C176" s="4"/>
      <c r="D176" s="4"/>
      <c r="E176" s="42"/>
      <c r="F176" s="90"/>
      <c r="G176" s="4"/>
      <c r="H176" s="9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90"/>
      <c r="C177" s="4"/>
      <c r="D177" s="4"/>
      <c r="E177" s="42"/>
      <c r="F177" s="90"/>
      <c r="G177" s="4"/>
      <c r="H177" s="9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90"/>
      <c r="C178" s="4"/>
      <c r="D178" s="4"/>
      <c r="E178" s="42"/>
      <c r="F178" s="90"/>
      <c r="G178" s="4"/>
      <c r="H178" s="9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90"/>
      <c r="C179" s="4"/>
      <c r="D179" s="4"/>
      <c r="E179" s="42"/>
      <c r="F179" s="90"/>
      <c r="G179" s="4"/>
      <c r="H179" s="9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90"/>
      <c r="C180" s="4"/>
      <c r="D180" s="4"/>
      <c r="E180" s="42"/>
      <c r="F180" s="90"/>
      <c r="G180" s="4"/>
      <c r="H180" s="9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90"/>
      <c r="C181" s="4"/>
      <c r="D181" s="4"/>
      <c r="E181" s="42"/>
      <c r="F181" s="90"/>
      <c r="G181" s="4"/>
      <c r="H181" s="9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90"/>
      <c r="C182" s="4"/>
      <c r="D182" s="4"/>
      <c r="E182" s="42"/>
      <c r="F182" s="90"/>
      <c r="G182" s="4"/>
      <c r="H182" s="9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90"/>
      <c r="C183" s="4"/>
      <c r="D183" s="4"/>
      <c r="E183" s="42"/>
      <c r="F183" s="90"/>
      <c r="G183" s="4"/>
      <c r="H183" s="9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90"/>
      <c r="C184" s="4"/>
      <c r="D184" s="4"/>
      <c r="E184" s="42"/>
      <c r="F184" s="90"/>
      <c r="G184" s="4"/>
      <c r="H184" s="9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90"/>
      <c r="C185" s="4"/>
      <c r="D185" s="4"/>
      <c r="E185" s="42"/>
      <c r="F185" s="90"/>
      <c r="G185" s="4"/>
      <c r="H185" s="9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90"/>
      <c r="C186" s="4"/>
      <c r="D186" s="4"/>
      <c r="E186" s="42"/>
      <c r="F186" s="90"/>
      <c r="G186" s="4"/>
      <c r="H186" s="9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90"/>
      <c r="C187" s="4"/>
      <c r="D187" s="4"/>
      <c r="E187" s="42"/>
      <c r="F187" s="90"/>
      <c r="G187" s="4"/>
      <c r="H187" s="9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90"/>
      <c r="C188" s="4"/>
      <c r="D188" s="4"/>
      <c r="E188" s="42"/>
      <c r="F188" s="90"/>
      <c r="G188" s="4"/>
      <c r="H188" s="9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90"/>
      <c r="C189" s="4"/>
      <c r="D189" s="4"/>
      <c r="E189" s="42"/>
      <c r="F189" s="90"/>
      <c r="G189" s="4"/>
      <c r="H189" s="9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90"/>
      <c r="C190" s="4"/>
      <c r="D190" s="4"/>
      <c r="E190" s="42"/>
      <c r="F190" s="90"/>
      <c r="G190" s="4"/>
      <c r="H190" s="9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90"/>
      <c r="C191" s="4"/>
      <c r="D191" s="4"/>
      <c r="E191" s="42"/>
      <c r="F191" s="90"/>
      <c r="G191" s="4"/>
      <c r="H191" s="9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90"/>
      <c r="C192" s="4"/>
      <c r="D192" s="4"/>
      <c r="E192" s="42"/>
      <c r="F192" s="90"/>
      <c r="G192" s="4"/>
      <c r="H192" s="9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90"/>
      <c r="C193" s="4"/>
      <c r="D193" s="4"/>
      <c r="E193" s="42"/>
      <c r="F193" s="90"/>
      <c r="G193" s="4"/>
      <c r="H193" s="9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90"/>
      <c r="C194" s="4"/>
      <c r="D194" s="4"/>
      <c r="E194" s="42"/>
      <c r="F194" s="90"/>
      <c r="G194" s="4"/>
      <c r="H194" s="9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90"/>
      <c r="C195" s="4"/>
      <c r="D195" s="4"/>
      <c r="E195" s="42"/>
      <c r="F195" s="90"/>
      <c r="G195" s="4"/>
      <c r="H195" s="9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90"/>
      <c r="C196" s="4"/>
      <c r="D196" s="4"/>
      <c r="E196" s="42"/>
      <c r="F196" s="90"/>
      <c r="G196" s="4"/>
      <c r="H196" s="9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90"/>
      <c r="C197" s="4"/>
      <c r="D197" s="4"/>
      <c r="E197" s="42"/>
      <c r="F197" s="90"/>
      <c r="G197" s="4"/>
      <c r="H197" s="9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90"/>
      <c r="C198" s="4"/>
      <c r="D198" s="4"/>
      <c r="E198" s="42"/>
      <c r="F198" s="90"/>
      <c r="G198" s="4"/>
      <c r="H198" s="9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90"/>
      <c r="C199" s="4"/>
      <c r="D199" s="4"/>
      <c r="E199" s="42"/>
      <c r="F199" s="90"/>
      <c r="G199" s="4"/>
      <c r="H199" s="9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90"/>
      <c r="C200" s="4"/>
      <c r="D200" s="4"/>
      <c r="E200" s="42"/>
      <c r="F200" s="90"/>
      <c r="G200" s="4"/>
      <c r="H200" s="9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90"/>
      <c r="C201" s="4"/>
      <c r="D201" s="4"/>
      <c r="E201" s="42"/>
      <c r="F201" s="90"/>
      <c r="G201" s="4"/>
      <c r="H201" s="9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90"/>
      <c r="C202" s="4"/>
      <c r="D202" s="4"/>
      <c r="E202" s="42"/>
      <c r="F202" s="90"/>
      <c r="G202" s="4"/>
      <c r="H202" s="9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90"/>
      <c r="C203" s="4"/>
      <c r="D203" s="4"/>
      <c r="E203" s="42"/>
      <c r="F203" s="90"/>
      <c r="G203" s="4"/>
      <c r="H203" s="9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90"/>
      <c r="C204" s="4"/>
      <c r="D204" s="4"/>
      <c r="E204" s="42"/>
      <c r="F204" s="90"/>
      <c r="G204" s="4"/>
      <c r="H204" s="9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90"/>
      <c r="C205" s="4"/>
      <c r="D205" s="4"/>
      <c r="E205" s="42"/>
      <c r="F205" s="90"/>
      <c r="G205" s="4"/>
      <c r="H205" s="9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90"/>
      <c r="C206" s="4"/>
      <c r="D206" s="4"/>
      <c r="E206" s="42"/>
      <c r="F206" s="90"/>
      <c r="G206" s="4"/>
      <c r="H206" s="9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90"/>
      <c r="C207" s="4"/>
      <c r="D207" s="4"/>
      <c r="E207" s="42"/>
      <c r="F207" s="90"/>
      <c r="G207" s="4"/>
      <c r="H207" s="9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90"/>
      <c r="C208" s="4"/>
      <c r="D208" s="4"/>
      <c r="E208" s="42"/>
      <c r="F208" s="90"/>
      <c r="G208" s="4"/>
      <c r="H208" s="9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90"/>
      <c r="C209" s="4"/>
      <c r="D209" s="4"/>
      <c r="E209" s="42"/>
      <c r="F209" s="90"/>
      <c r="G209" s="4"/>
      <c r="H209" s="9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90"/>
      <c r="C210" s="4"/>
      <c r="D210" s="4"/>
      <c r="E210" s="42"/>
      <c r="F210" s="90"/>
      <c r="G210" s="4"/>
      <c r="H210" s="9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90"/>
      <c r="C211" s="4"/>
      <c r="D211" s="4"/>
      <c r="E211" s="42"/>
      <c r="F211" s="90"/>
      <c r="G211" s="4"/>
      <c r="H211" s="9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90"/>
      <c r="C212" s="4"/>
      <c r="D212" s="4"/>
      <c r="E212" s="42"/>
      <c r="F212" s="90"/>
      <c r="G212" s="4"/>
      <c r="H212" s="9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90"/>
      <c r="C213" s="4"/>
      <c r="D213" s="4"/>
      <c r="E213" s="42"/>
      <c r="F213" s="90"/>
      <c r="G213" s="4"/>
      <c r="H213" s="9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90"/>
      <c r="C214" s="4"/>
      <c r="D214" s="4"/>
      <c r="E214" s="42"/>
      <c r="F214" s="90"/>
      <c r="G214" s="4"/>
      <c r="H214" s="9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90"/>
      <c r="C215" s="4"/>
      <c r="D215" s="4"/>
      <c r="E215" s="42"/>
      <c r="F215" s="90"/>
      <c r="G215" s="4"/>
      <c r="H215" s="9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90"/>
      <c r="C216" s="4"/>
      <c r="D216" s="4"/>
      <c r="E216" s="42"/>
      <c r="F216" s="90"/>
      <c r="G216" s="4"/>
      <c r="H216" s="9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90"/>
      <c r="C217" s="4"/>
      <c r="D217" s="4"/>
      <c r="E217" s="42"/>
      <c r="F217" s="90"/>
      <c r="G217" s="4"/>
      <c r="H217" s="9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90"/>
      <c r="C218" s="4"/>
      <c r="D218" s="4"/>
      <c r="E218" s="42"/>
      <c r="F218" s="90"/>
      <c r="G218" s="4"/>
      <c r="H218" s="9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90"/>
      <c r="C219" s="4"/>
      <c r="D219" s="4"/>
      <c r="E219" s="42"/>
      <c r="F219" s="90"/>
      <c r="G219" s="4"/>
      <c r="H219" s="9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90"/>
      <c r="C220" s="4"/>
      <c r="D220" s="4"/>
      <c r="E220" s="42"/>
      <c r="F220" s="90"/>
      <c r="G220" s="4"/>
      <c r="H220" s="9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90"/>
      <c r="C221" s="4"/>
      <c r="D221" s="4"/>
      <c r="E221" s="42"/>
      <c r="F221" s="90"/>
      <c r="G221" s="4"/>
      <c r="H221" s="9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90"/>
      <c r="C222" s="4"/>
      <c r="D222" s="4"/>
      <c r="E222" s="42"/>
      <c r="F222" s="90"/>
      <c r="G222" s="4"/>
      <c r="H222" s="9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90"/>
      <c r="C223" s="4"/>
      <c r="D223" s="4"/>
      <c r="E223" s="42"/>
      <c r="F223" s="90"/>
      <c r="G223" s="4"/>
      <c r="H223" s="9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90"/>
      <c r="C224" s="4"/>
      <c r="D224" s="4"/>
      <c r="E224" s="42"/>
      <c r="F224" s="90"/>
      <c r="G224" s="4"/>
      <c r="H224" s="9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90"/>
      <c r="C225" s="4"/>
      <c r="D225" s="4"/>
      <c r="E225" s="42"/>
      <c r="F225" s="90"/>
      <c r="G225" s="4"/>
      <c r="H225" s="9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90"/>
      <c r="C226" s="4"/>
      <c r="D226" s="4"/>
      <c r="E226" s="42"/>
      <c r="F226" s="90"/>
      <c r="G226" s="4"/>
      <c r="H226" s="9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90"/>
      <c r="C227" s="4"/>
      <c r="D227" s="4"/>
      <c r="E227" s="42"/>
      <c r="F227" s="90"/>
      <c r="G227" s="4"/>
      <c r="H227" s="9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90"/>
      <c r="C228" s="4"/>
      <c r="D228" s="4"/>
      <c r="E228" s="42"/>
      <c r="F228" s="90"/>
      <c r="G228" s="4"/>
      <c r="H228" s="9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90"/>
      <c r="C229" s="4"/>
      <c r="D229" s="4"/>
      <c r="E229" s="42"/>
      <c r="F229" s="90"/>
      <c r="G229" s="4"/>
      <c r="H229" s="9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90"/>
      <c r="C230" s="4"/>
      <c r="D230" s="4"/>
      <c r="E230" s="42"/>
      <c r="F230" s="90"/>
      <c r="G230" s="4"/>
      <c r="H230" s="9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90"/>
      <c r="C231" s="4"/>
      <c r="D231" s="4"/>
      <c r="E231" s="42"/>
      <c r="F231" s="90"/>
      <c r="G231" s="4"/>
      <c r="H231" s="9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90"/>
      <c r="C232" s="4"/>
      <c r="D232" s="4"/>
      <c r="E232" s="42"/>
      <c r="F232" s="90"/>
      <c r="G232" s="4"/>
      <c r="H232" s="9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90"/>
      <c r="C233" s="4"/>
      <c r="D233" s="4"/>
      <c r="E233" s="42"/>
      <c r="F233" s="90"/>
      <c r="G233" s="4"/>
      <c r="H233" s="9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90"/>
      <c r="C234" s="4"/>
      <c r="D234" s="4"/>
      <c r="E234" s="42"/>
      <c r="F234" s="90"/>
      <c r="G234" s="4"/>
      <c r="H234" s="9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90"/>
      <c r="C235" s="4"/>
      <c r="D235" s="4"/>
      <c r="E235" s="42"/>
      <c r="F235" s="90"/>
      <c r="G235" s="4"/>
      <c r="H235" s="9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90"/>
      <c r="C236" s="4"/>
      <c r="D236" s="4"/>
      <c r="E236" s="42"/>
      <c r="F236" s="90"/>
      <c r="G236" s="4"/>
      <c r="H236" s="9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90"/>
      <c r="C237" s="4"/>
      <c r="D237" s="4"/>
      <c r="E237" s="42"/>
      <c r="F237" s="90"/>
      <c r="G237" s="4"/>
      <c r="H237" s="9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90"/>
      <c r="C238" s="4"/>
      <c r="D238" s="4"/>
      <c r="E238" s="42"/>
      <c r="F238" s="90"/>
      <c r="G238" s="4"/>
      <c r="H238" s="9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90"/>
      <c r="C239" s="4"/>
      <c r="D239" s="4"/>
      <c r="E239" s="42"/>
      <c r="F239" s="90"/>
      <c r="G239" s="4"/>
      <c r="H239" s="9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90"/>
      <c r="C240" s="4"/>
      <c r="D240" s="4"/>
      <c r="E240" s="42"/>
      <c r="F240" s="90"/>
      <c r="G240" s="4"/>
      <c r="H240" s="9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90"/>
      <c r="C241" s="4"/>
      <c r="D241" s="4"/>
      <c r="E241" s="42"/>
      <c r="F241" s="90"/>
      <c r="G241" s="4"/>
      <c r="H241" s="9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90"/>
      <c r="C242" s="4"/>
      <c r="D242" s="4"/>
      <c r="E242" s="42"/>
      <c r="F242" s="90"/>
      <c r="G242" s="4"/>
      <c r="H242" s="9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90"/>
      <c r="C243" s="4"/>
      <c r="D243" s="4"/>
      <c r="E243" s="42"/>
      <c r="F243" s="90"/>
      <c r="G243" s="4"/>
      <c r="H243" s="9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90"/>
      <c r="C244" s="4"/>
      <c r="D244" s="4"/>
      <c r="E244" s="42"/>
      <c r="F244" s="90"/>
      <c r="G244" s="4"/>
      <c r="H244" s="9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90"/>
      <c r="C245" s="4"/>
      <c r="D245" s="4"/>
      <c r="E245" s="42"/>
      <c r="F245" s="90"/>
      <c r="G245" s="4"/>
      <c r="H245" s="9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90"/>
      <c r="C246" s="4"/>
      <c r="D246" s="4"/>
      <c r="E246" s="42"/>
      <c r="F246" s="90"/>
      <c r="G246" s="4"/>
      <c r="H246" s="9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90"/>
      <c r="C247" s="4"/>
      <c r="D247" s="4"/>
      <c r="E247" s="42"/>
      <c r="F247" s="90"/>
      <c r="G247" s="4"/>
      <c r="H247" s="9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90"/>
      <c r="C248" s="4"/>
      <c r="D248" s="4"/>
      <c r="E248" s="42"/>
      <c r="F248" s="90"/>
      <c r="G248" s="4"/>
      <c r="H248" s="9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90"/>
      <c r="C249" s="4"/>
      <c r="D249" s="4"/>
      <c r="E249" s="42"/>
      <c r="F249" s="90"/>
      <c r="G249" s="4"/>
      <c r="H249" s="9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90"/>
      <c r="C250" s="4"/>
      <c r="D250" s="4"/>
      <c r="E250" s="42"/>
      <c r="F250" s="90"/>
      <c r="G250" s="4"/>
      <c r="H250" s="9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90"/>
      <c r="C251" s="4"/>
      <c r="D251" s="4"/>
      <c r="E251" s="42"/>
      <c r="F251" s="90"/>
      <c r="G251" s="4"/>
      <c r="H251" s="9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90"/>
      <c r="C252" s="4"/>
      <c r="D252" s="4"/>
      <c r="E252" s="42"/>
      <c r="F252" s="90"/>
      <c r="G252" s="4"/>
      <c r="H252" s="9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90"/>
      <c r="C253" s="4"/>
      <c r="D253" s="4"/>
      <c r="E253" s="42"/>
      <c r="F253" s="90"/>
      <c r="G253" s="4"/>
      <c r="H253" s="9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90"/>
      <c r="C254" s="4"/>
      <c r="D254" s="4"/>
      <c r="E254" s="42"/>
      <c r="F254" s="90"/>
      <c r="G254" s="4"/>
      <c r="H254" s="9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90"/>
      <c r="C255" s="4"/>
      <c r="D255" s="4"/>
      <c r="E255" s="42"/>
      <c r="F255" s="90"/>
      <c r="G255" s="4"/>
      <c r="H255" s="9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90"/>
      <c r="C256" s="4"/>
      <c r="D256" s="4"/>
      <c r="E256" s="42"/>
      <c r="F256" s="90"/>
      <c r="G256" s="4"/>
      <c r="H256" s="9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90"/>
      <c r="C257" s="4"/>
      <c r="D257" s="4"/>
      <c r="E257" s="42"/>
      <c r="F257" s="90"/>
      <c r="G257" s="4"/>
      <c r="H257" s="9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90"/>
      <c r="C258" s="4"/>
      <c r="D258" s="4"/>
      <c r="E258" s="42"/>
      <c r="F258" s="90"/>
      <c r="G258" s="4"/>
      <c r="H258" s="9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90"/>
      <c r="C259" s="4"/>
      <c r="D259" s="4"/>
      <c r="E259" s="42"/>
      <c r="F259" s="90"/>
      <c r="G259" s="4"/>
      <c r="H259" s="9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90"/>
      <c r="C260" s="4"/>
      <c r="D260" s="4"/>
      <c r="E260" s="42"/>
      <c r="F260" s="90"/>
      <c r="G260" s="4"/>
      <c r="H260" s="9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90"/>
      <c r="C261" s="4"/>
      <c r="D261" s="4"/>
      <c r="E261" s="42"/>
      <c r="F261" s="90"/>
      <c r="G261" s="4"/>
      <c r="H261" s="9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90"/>
      <c r="C262" s="4"/>
      <c r="D262" s="4"/>
      <c r="E262" s="42"/>
      <c r="F262" s="90"/>
      <c r="G262" s="4"/>
      <c r="H262" s="9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90"/>
      <c r="C263" s="4"/>
      <c r="D263" s="4"/>
      <c r="E263" s="42"/>
      <c r="F263" s="90"/>
      <c r="G263" s="4"/>
      <c r="H263" s="9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90"/>
      <c r="C264" s="4"/>
      <c r="D264" s="4"/>
      <c r="E264" s="42"/>
      <c r="F264" s="90"/>
      <c r="G264" s="4"/>
      <c r="H264" s="9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90"/>
      <c r="C265" s="4"/>
      <c r="D265" s="4"/>
      <c r="E265" s="42"/>
      <c r="F265" s="90"/>
      <c r="G265" s="4"/>
      <c r="H265" s="9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90"/>
      <c r="C266" s="4"/>
      <c r="D266" s="4"/>
      <c r="E266" s="42"/>
      <c r="F266" s="90"/>
      <c r="G266" s="4"/>
      <c r="H266" s="9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90"/>
      <c r="C267" s="4"/>
      <c r="D267" s="4"/>
      <c r="E267" s="42"/>
      <c r="F267" s="90"/>
      <c r="G267" s="4"/>
      <c r="H267" s="9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90"/>
      <c r="C268" s="4"/>
      <c r="D268" s="4"/>
      <c r="E268" s="42"/>
      <c r="F268" s="90"/>
      <c r="G268" s="4"/>
      <c r="H268" s="9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90"/>
      <c r="C269" s="4"/>
      <c r="D269" s="4"/>
      <c r="E269" s="42"/>
      <c r="F269" s="90"/>
      <c r="G269" s="4"/>
      <c r="H269" s="9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90"/>
      <c r="C270" s="4"/>
      <c r="D270" s="4"/>
      <c r="E270" s="42"/>
      <c r="F270" s="90"/>
      <c r="G270" s="4"/>
      <c r="H270" s="9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90"/>
      <c r="C271" s="4"/>
      <c r="D271" s="4"/>
      <c r="E271" s="42"/>
      <c r="F271" s="90"/>
      <c r="G271" s="4"/>
      <c r="H271" s="9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90"/>
      <c r="C272" s="4"/>
      <c r="D272" s="4"/>
      <c r="E272" s="42"/>
      <c r="F272" s="90"/>
      <c r="G272" s="4"/>
      <c r="H272" s="9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90"/>
      <c r="C273" s="4"/>
      <c r="D273" s="4"/>
      <c r="E273" s="42"/>
      <c r="F273" s="90"/>
      <c r="G273" s="4"/>
      <c r="H273" s="9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90"/>
      <c r="C274" s="4"/>
      <c r="D274" s="4"/>
      <c r="E274" s="42"/>
      <c r="F274" s="90"/>
      <c r="G274" s="4"/>
      <c r="H274" s="9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90"/>
      <c r="C275" s="4"/>
      <c r="D275" s="4"/>
      <c r="E275" s="42"/>
      <c r="F275" s="90"/>
      <c r="G275" s="4"/>
      <c r="H275" s="9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90"/>
      <c r="C276" s="4"/>
      <c r="D276" s="4"/>
      <c r="E276" s="42"/>
      <c r="F276" s="90"/>
      <c r="G276" s="4"/>
      <c r="H276" s="9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90"/>
      <c r="C277" s="4"/>
      <c r="D277" s="4"/>
      <c r="E277" s="42"/>
      <c r="F277" s="90"/>
      <c r="G277" s="4"/>
      <c r="H277" s="9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90"/>
      <c r="C278" s="4"/>
      <c r="D278" s="4"/>
      <c r="E278" s="42"/>
      <c r="F278" s="90"/>
      <c r="G278" s="4"/>
      <c r="H278" s="9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90"/>
      <c r="C279" s="4"/>
      <c r="D279" s="4"/>
      <c r="E279" s="42"/>
      <c r="F279" s="90"/>
      <c r="G279" s="4"/>
      <c r="H279" s="9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90"/>
      <c r="C280" s="4"/>
      <c r="D280" s="4"/>
      <c r="E280" s="42"/>
      <c r="F280" s="90"/>
      <c r="G280" s="4"/>
      <c r="H280" s="9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90"/>
      <c r="C281" s="4"/>
      <c r="D281" s="4"/>
      <c r="E281" s="42"/>
      <c r="F281" s="90"/>
      <c r="G281" s="4"/>
      <c r="H281" s="9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90"/>
      <c r="C282" s="4"/>
      <c r="D282" s="4"/>
      <c r="E282" s="42"/>
      <c r="F282" s="90"/>
      <c r="G282" s="4"/>
      <c r="H282" s="9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90"/>
      <c r="C283" s="4"/>
      <c r="D283" s="4"/>
      <c r="E283" s="42"/>
      <c r="F283" s="90"/>
      <c r="G283" s="4"/>
      <c r="H283" s="9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90"/>
      <c r="C284" s="4"/>
      <c r="D284" s="4"/>
      <c r="E284" s="42"/>
      <c r="F284" s="90"/>
      <c r="G284" s="4"/>
      <c r="H284" s="9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90"/>
      <c r="C285" s="4"/>
      <c r="D285" s="4"/>
      <c r="E285" s="42"/>
      <c r="F285" s="90"/>
      <c r="G285" s="4"/>
      <c r="H285" s="9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90"/>
      <c r="C286" s="4"/>
      <c r="D286" s="4"/>
      <c r="E286" s="42"/>
      <c r="F286" s="90"/>
      <c r="G286" s="4"/>
      <c r="H286" s="9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90"/>
      <c r="C287" s="4"/>
      <c r="D287" s="4"/>
      <c r="E287" s="42"/>
      <c r="F287" s="90"/>
      <c r="G287" s="4"/>
      <c r="H287" s="9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90"/>
      <c r="C288" s="4"/>
      <c r="D288" s="4"/>
      <c r="E288" s="42"/>
      <c r="F288" s="90"/>
      <c r="G288" s="4"/>
      <c r="H288" s="9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90"/>
      <c r="C289" s="4"/>
      <c r="D289" s="4"/>
      <c r="E289" s="42"/>
      <c r="F289" s="90"/>
      <c r="G289" s="4"/>
      <c r="H289" s="9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90"/>
      <c r="C290" s="4"/>
      <c r="D290" s="4"/>
      <c r="E290" s="42"/>
      <c r="F290" s="90"/>
      <c r="G290" s="4"/>
      <c r="H290" s="9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90"/>
      <c r="C291" s="4"/>
      <c r="D291" s="4"/>
      <c r="E291" s="42"/>
      <c r="F291" s="90"/>
      <c r="G291" s="4"/>
      <c r="H291" s="9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90"/>
      <c r="C292" s="4"/>
      <c r="D292" s="4"/>
      <c r="E292" s="42"/>
      <c r="F292" s="90"/>
      <c r="G292" s="4"/>
      <c r="H292" s="9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90"/>
      <c r="C293" s="4"/>
      <c r="D293" s="4"/>
      <c r="E293" s="42"/>
      <c r="F293" s="90"/>
      <c r="G293" s="4"/>
      <c r="H293" s="9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90"/>
      <c r="C294" s="4"/>
      <c r="D294" s="4"/>
      <c r="E294" s="42"/>
      <c r="F294" s="90"/>
      <c r="G294" s="4"/>
      <c r="H294" s="9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90"/>
      <c r="C295" s="4"/>
      <c r="D295" s="4"/>
      <c r="E295" s="42"/>
      <c r="F295" s="90"/>
      <c r="G295" s="4"/>
      <c r="H295" s="9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90"/>
      <c r="C296" s="4"/>
      <c r="D296" s="4"/>
      <c r="E296" s="42"/>
      <c r="F296" s="90"/>
      <c r="G296" s="4"/>
      <c r="H296" s="9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90"/>
      <c r="C297" s="4"/>
      <c r="D297" s="4"/>
      <c r="E297" s="42"/>
      <c r="F297" s="90"/>
      <c r="G297" s="4"/>
      <c r="H297" s="9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90"/>
      <c r="C298" s="4"/>
      <c r="D298" s="4"/>
      <c r="E298" s="42"/>
      <c r="F298" s="90"/>
      <c r="G298" s="4"/>
      <c r="H298" s="9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90"/>
      <c r="C299" s="4"/>
      <c r="D299" s="4"/>
      <c r="E299" s="42"/>
      <c r="F299" s="90"/>
      <c r="G299" s="4"/>
      <c r="H299" s="9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90"/>
      <c r="C300" s="4"/>
      <c r="D300" s="4"/>
      <c r="E300" s="42"/>
      <c r="F300" s="90"/>
      <c r="G300" s="4"/>
      <c r="H300" s="9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90"/>
      <c r="C301" s="4"/>
      <c r="D301" s="4"/>
      <c r="E301" s="42"/>
      <c r="F301" s="90"/>
      <c r="G301" s="4"/>
      <c r="H301" s="9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90"/>
      <c r="C302" s="4"/>
      <c r="D302" s="4"/>
      <c r="E302" s="42"/>
      <c r="F302" s="90"/>
      <c r="G302" s="4"/>
      <c r="H302" s="9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90"/>
      <c r="C303" s="4"/>
      <c r="D303" s="4"/>
      <c r="E303" s="42"/>
      <c r="F303" s="90"/>
      <c r="G303" s="4"/>
      <c r="H303" s="9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90"/>
      <c r="C304" s="4"/>
      <c r="D304" s="4"/>
      <c r="E304" s="42"/>
      <c r="F304" s="90"/>
      <c r="G304" s="4"/>
      <c r="H304" s="9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90"/>
      <c r="C305" s="4"/>
      <c r="D305" s="4"/>
      <c r="E305" s="42"/>
      <c r="F305" s="90"/>
      <c r="G305" s="4"/>
      <c r="H305" s="9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90"/>
      <c r="C306" s="4"/>
      <c r="D306" s="4"/>
      <c r="E306" s="42"/>
      <c r="F306" s="90"/>
      <c r="G306" s="4"/>
      <c r="H306" s="9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B$2:$P$96">
    <sortState ref="B2:P96">
      <sortCondition ref="B2:B96"/>
    </sortState>
  </autoFilter>
  <mergeCells count="1">
    <mergeCell ref="R1:W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10.43"/>
    <col customWidth="1" min="3" max="3" width="12.0"/>
    <col customWidth="1" min="4" max="4" width="11.14"/>
    <col customWidth="1" min="5" max="5" width="74.43"/>
    <col customWidth="1" min="6" max="8" width="12.0"/>
    <col customWidth="1" min="9" max="11" width="8.71"/>
    <col customWidth="1" min="12" max="14" width="12.0"/>
    <col customWidth="1" min="15" max="16" width="2.86"/>
    <col customWidth="1" min="17" max="17" width="5.0"/>
    <col customWidth="1" min="18" max="18" width="6.29"/>
    <col customWidth="1" min="19" max="19" width="11.57"/>
    <col customWidth="1" min="20" max="21" width="11.43"/>
    <col customWidth="1" min="22" max="30" width="8.71"/>
  </cols>
  <sheetData>
    <row r="1" ht="18.0" customHeight="1">
      <c r="A1" s="95" t="s">
        <v>70</v>
      </c>
      <c r="I1" s="92"/>
      <c r="J1" s="3"/>
      <c r="K1" s="3"/>
      <c r="L1" s="3"/>
      <c r="M1" s="3"/>
      <c r="N1" s="3"/>
      <c r="O1" s="3"/>
      <c r="P1" s="3"/>
      <c r="Q1" s="3"/>
      <c r="R1" s="96" t="s">
        <v>45</v>
      </c>
      <c r="S1" s="97">
        <f>SUM($H:$H)-SUM($U:$U)-H4</f>
        <v>-0.000000003725290298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8.0" customHeight="1">
      <c r="A2" s="95" t="s">
        <v>71</v>
      </c>
      <c r="I2" s="92"/>
      <c r="J2" s="3"/>
      <c r="K2" s="3"/>
      <c r="L2" s="98" t="s">
        <v>46</v>
      </c>
      <c r="M2" s="99"/>
      <c r="N2" s="100">
        <v>2.0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4.25" customHeight="1">
      <c r="A3" s="101" t="s">
        <v>72</v>
      </c>
      <c r="I3" s="3"/>
      <c r="J3" s="3"/>
      <c r="K3" s="3"/>
      <c r="L3" s="3"/>
      <c r="M3" s="3"/>
      <c r="N3" s="3"/>
      <c r="O3" s="3"/>
      <c r="P3" s="3"/>
      <c r="Q3" s="102" t="s">
        <v>47</v>
      </c>
      <c r="R3" s="103"/>
      <c r="S3" s="103"/>
      <c r="T3" s="103"/>
      <c r="U3" s="103"/>
      <c r="V3" s="3"/>
      <c r="W3" s="3"/>
      <c r="X3" s="3"/>
      <c r="Y3" s="3"/>
      <c r="Z3" s="3"/>
      <c r="AA3" s="3"/>
      <c r="AB3" s="3"/>
      <c r="AC3" s="3"/>
      <c r="AD3" s="3"/>
    </row>
    <row r="4" ht="14.25" customHeight="1">
      <c r="A4" s="3"/>
      <c r="B4" s="3"/>
      <c r="C4" s="3"/>
      <c r="D4" s="3"/>
      <c r="E4" s="3"/>
      <c r="F4" s="104"/>
      <c r="G4" s="92">
        <f>SUBTOTAL(9,$G$6:$G$4657)</f>
        <v>26764153.96</v>
      </c>
      <c r="H4" s="92">
        <f>SUBTOTAL(9,$H$6:$H$4657)</f>
        <v>26752625.59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30.0" customHeight="1">
      <c r="A5" s="105"/>
      <c r="B5" s="106" t="s">
        <v>73</v>
      </c>
      <c r="C5" s="106" t="s">
        <v>74</v>
      </c>
      <c r="D5" s="106" t="s">
        <v>75</v>
      </c>
      <c r="E5" s="106" t="s">
        <v>49</v>
      </c>
      <c r="F5" s="107" t="s">
        <v>54</v>
      </c>
      <c r="G5" s="108" t="s">
        <v>76</v>
      </c>
      <c r="H5" s="106" t="s">
        <v>77</v>
      </c>
      <c r="I5" s="109" t="s">
        <v>78</v>
      </c>
      <c r="J5" s="109" t="s">
        <v>79</v>
      </c>
      <c r="K5" s="109" t="s">
        <v>80</v>
      </c>
      <c r="L5" s="109" t="s">
        <v>81</v>
      </c>
      <c r="M5" s="109" t="s">
        <v>82</v>
      </c>
      <c r="N5" s="109" t="s">
        <v>61</v>
      </c>
      <c r="O5" s="105"/>
      <c r="P5" s="105"/>
      <c r="Q5" s="88" t="s">
        <v>40</v>
      </c>
      <c r="R5" s="86" t="s">
        <v>63</v>
      </c>
      <c r="S5" s="86" t="s">
        <v>64</v>
      </c>
      <c r="T5" s="86" t="s">
        <v>65</v>
      </c>
      <c r="U5" s="86" t="s">
        <v>67</v>
      </c>
      <c r="V5" s="105"/>
      <c r="W5" s="105"/>
      <c r="X5" s="105"/>
      <c r="Y5" s="105"/>
      <c r="Z5" s="105"/>
      <c r="AA5" s="105"/>
      <c r="AB5" s="105"/>
      <c r="AC5" s="105"/>
      <c r="AD5" s="105"/>
      <c r="AE5" s="110"/>
    </row>
    <row r="6" ht="14.25" customHeight="1">
      <c r="A6" s="3"/>
      <c r="B6" s="111" t="s">
        <v>83</v>
      </c>
      <c r="C6" s="111" t="s">
        <v>84</v>
      </c>
      <c r="D6" s="111" t="s">
        <v>85</v>
      </c>
      <c r="E6" s="111" t="s">
        <v>86</v>
      </c>
      <c r="F6" s="112">
        <v>46023.0</v>
      </c>
      <c r="G6" s="113">
        <v>7425.6</v>
      </c>
      <c r="H6" s="113">
        <v>7425.6</v>
      </c>
      <c r="I6" s="114">
        <v>120.0</v>
      </c>
      <c r="J6" s="115">
        <f t="shared" ref="J6:J148" si="1">IF(ISBLANK($B6),"",YEAR($B6))</f>
        <v>2025</v>
      </c>
      <c r="K6" s="115">
        <f t="shared" ref="K6:K148" si="2">IF(ISBLANK($B6),"",WEEKNUM($B6))</f>
        <v>9</v>
      </c>
      <c r="L6" s="115">
        <f t="shared" ref="L6:L148" si="3">IF(ISBLANK($B6),"",WEEKNUM($F6))</f>
        <v>1</v>
      </c>
      <c r="M6" s="115">
        <f t="shared" ref="M6:M148" si="4">IF(ISBLANK($B6),"",IF($L6&lt;51,YEAR($F6),YEAR($F6)+1))</f>
        <v>2026</v>
      </c>
      <c r="N6" s="115">
        <f t="shared" ref="N6:N148" si="5">IF(ISBLANK($B6),"",IF($L6&lt;51,$L6+$N$2,$L6-52+$N$2))</f>
        <v>3</v>
      </c>
      <c r="O6" s="3"/>
      <c r="P6" s="3"/>
      <c r="Q6" s="3">
        <v>2026.0</v>
      </c>
      <c r="R6" s="3">
        <v>1.0</v>
      </c>
      <c r="S6" s="77">
        <v>46024.0</v>
      </c>
      <c r="T6" s="91">
        <f t="shared" ref="T6:T106" si="6">SUMIFS($H:$H,$N:$N,$R6,$M:$M,$Q6)</f>
        <v>0</v>
      </c>
      <c r="U6" s="92">
        <f t="shared" ref="U6:U106" si="7">SUM(T6)</f>
        <v>0</v>
      </c>
      <c r="V6" s="3"/>
      <c r="W6" s="3"/>
      <c r="X6" s="3"/>
      <c r="Y6" s="3"/>
      <c r="Z6" s="3"/>
      <c r="AA6" s="3"/>
      <c r="AB6" s="3"/>
      <c r="AC6" s="3"/>
      <c r="AD6" s="3"/>
    </row>
    <row r="7" ht="14.25" customHeight="1">
      <c r="A7" s="3"/>
      <c r="B7" s="111" t="s">
        <v>87</v>
      </c>
      <c r="C7" s="111" t="s">
        <v>84</v>
      </c>
      <c r="D7" s="111" t="s">
        <v>88</v>
      </c>
      <c r="E7" s="111" t="s">
        <v>89</v>
      </c>
      <c r="F7" s="112">
        <v>46023.0</v>
      </c>
      <c r="G7" s="113">
        <v>14880.0</v>
      </c>
      <c r="H7" s="113">
        <v>14880.0</v>
      </c>
      <c r="I7" s="114">
        <v>30.0</v>
      </c>
      <c r="J7" s="115">
        <f t="shared" si="1"/>
        <v>2025</v>
      </c>
      <c r="K7" s="115">
        <f t="shared" si="2"/>
        <v>40</v>
      </c>
      <c r="L7" s="115">
        <f t="shared" si="3"/>
        <v>1</v>
      </c>
      <c r="M7" s="115">
        <f t="shared" si="4"/>
        <v>2026</v>
      </c>
      <c r="N7" s="115">
        <f t="shared" si="5"/>
        <v>3</v>
      </c>
      <c r="O7" s="3"/>
      <c r="P7" s="3"/>
      <c r="Q7" s="3">
        <v>2026.0</v>
      </c>
      <c r="R7" s="3">
        <v>2.0</v>
      </c>
      <c r="S7" s="77">
        <f t="shared" ref="S7:S106" si="8">S6+7</f>
        <v>46031</v>
      </c>
      <c r="T7" s="91">
        <f t="shared" si="6"/>
        <v>0</v>
      </c>
      <c r="U7" s="92">
        <f t="shared" si="7"/>
        <v>0</v>
      </c>
      <c r="V7" s="3"/>
      <c r="W7" s="3"/>
      <c r="X7" s="3"/>
      <c r="Y7" s="3"/>
      <c r="Z7" s="3"/>
      <c r="AA7" s="3"/>
      <c r="AB7" s="3"/>
      <c r="AC7" s="3"/>
      <c r="AD7" s="3"/>
    </row>
    <row r="8" ht="14.25" customHeight="1">
      <c r="A8" s="3"/>
      <c r="B8" s="111" t="s">
        <v>90</v>
      </c>
      <c r="C8" s="111" t="s">
        <v>84</v>
      </c>
      <c r="D8" s="111" t="s">
        <v>91</v>
      </c>
      <c r="E8" s="111" t="s">
        <v>92</v>
      </c>
      <c r="F8" s="112">
        <v>46023.0</v>
      </c>
      <c r="G8" s="113">
        <v>11685.0</v>
      </c>
      <c r="H8" s="113">
        <v>11685.0</v>
      </c>
      <c r="I8" s="114">
        <v>90.0</v>
      </c>
      <c r="J8" s="115">
        <f t="shared" si="1"/>
        <v>2025</v>
      </c>
      <c r="K8" s="115">
        <f t="shared" si="2"/>
        <v>36</v>
      </c>
      <c r="L8" s="115">
        <f t="shared" si="3"/>
        <v>1</v>
      </c>
      <c r="M8" s="115">
        <f t="shared" si="4"/>
        <v>2026</v>
      </c>
      <c r="N8" s="115">
        <f t="shared" si="5"/>
        <v>3</v>
      </c>
      <c r="O8" s="3"/>
      <c r="P8" s="3"/>
      <c r="Q8" s="3">
        <v>2026.0</v>
      </c>
      <c r="R8" s="3">
        <v>3.0</v>
      </c>
      <c r="S8" s="77">
        <f t="shared" si="8"/>
        <v>46038</v>
      </c>
      <c r="T8" s="91">
        <f t="shared" si="6"/>
        <v>297412.6</v>
      </c>
      <c r="U8" s="92">
        <f t="shared" si="7"/>
        <v>297412.6</v>
      </c>
      <c r="V8" s="3"/>
      <c r="W8" s="3"/>
      <c r="X8" s="3"/>
      <c r="Y8" s="3"/>
      <c r="Z8" s="3"/>
      <c r="AA8" s="3"/>
      <c r="AB8" s="3"/>
      <c r="AC8" s="3"/>
      <c r="AD8" s="3"/>
    </row>
    <row r="9" ht="14.25" customHeight="1">
      <c r="A9" s="4"/>
      <c r="B9" s="111" t="s">
        <v>93</v>
      </c>
      <c r="C9" s="111" t="s">
        <v>84</v>
      </c>
      <c r="D9" s="111" t="s">
        <v>94</v>
      </c>
      <c r="E9" s="111" t="s">
        <v>89</v>
      </c>
      <c r="F9" s="112">
        <v>46023.0</v>
      </c>
      <c r="G9" s="113">
        <v>24000.0</v>
      </c>
      <c r="H9" s="113">
        <v>24000.0</v>
      </c>
      <c r="I9" s="114">
        <v>30.0</v>
      </c>
      <c r="J9" s="115">
        <f t="shared" si="1"/>
        <v>2025</v>
      </c>
      <c r="K9" s="115">
        <f t="shared" si="2"/>
        <v>44</v>
      </c>
      <c r="L9" s="115">
        <f t="shared" si="3"/>
        <v>1</v>
      </c>
      <c r="M9" s="115">
        <f t="shared" si="4"/>
        <v>2026</v>
      </c>
      <c r="N9" s="115">
        <f t="shared" si="5"/>
        <v>3</v>
      </c>
      <c r="O9" s="3"/>
      <c r="P9" s="3"/>
      <c r="Q9" s="3">
        <v>2026.0</v>
      </c>
      <c r="R9" s="3">
        <v>4.0</v>
      </c>
      <c r="S9" s="77">
        <f t="shared" si="8"/>
        <v>46045</v>
      </c>
      <c r="T9" s="91">
        <f t="shared" si="6"/>
        <v>0</v>
      </c>
      <c r="U9" s="92">
        <f t="shared" si="7"/>
        <v>0</v>
      </c>
      <c r="V9" s="3"/>
      <c r="W9" s="3"/>
      <c r="X9" s="3"/>
      <c r="Y9" s="3"/>
      <c r="Z9" s="3"/>
      <c r="AA9" s="3"/>
      <c r="AB9" s="3"/>
      <c r="AC9" s="3"/>
      <c r="AD9" s="3"/>
    </row>
    <row r="10" ht="16.5" customHeight="1">
      <c r="A10" s="3"/>
      <c r="B10" s="111" t="s">
        <v>95</v>
      </c>
      <c r="C10" s="111" t="s">
        <v>84</v>
      </c>
      <c r="D10" s="111" t="s">
        <v>96</v>
      </c>
      <c r="E10" s="111" t="s">
        <v>97</v>
      </c>
      <c r="F10" s="112">
        <v>46023.0</v>
      </c>
      <c r="G10" s="113">
        <v>48402.0</v>
      </c>
      <c r="H10" s="113">
        <v>48402.0</v>
      </c>
      <c r="I10" s="114">
        <v>30.0</v>
      </c>
      <c r="J10" s="115">
        <f t="shared" si="1"/>
        <v>2025</v>
      </c>
      <c r="K10" s="115">
        <f t="shared" si="2"/>
        <v>48</v>
      </c>
      <c r="L10" s="115">
        <f t="shared" si="3"/>
        <v>1</v>
      </c>
      <c r="M10" s="115">
        <f t="shared" si="4"/>
        <v>2026</v>
      </c>
      <c r="N10" s="115">
        <f t="shared" si="5"/>
        <v>3</v>
      </c>
      <c r="O10" s="3"/>
      <c r="P10" s="3"/>
      <c r="Q10" s="3">
        <v>2026.0</v>
      </c>
      <c r="R10" s="3">
        <v>5.0</v>
      </c>
      <c r="S10" s="77">
        <f t="shared" si="8"/>
        <v>46052</v>
      </c>
      <c r="T10" s="91">
        <f t="shared" si="6"/>
        <v>0</v>
      </c>
      <c r="U10" s="92">
        <f t="shared" si="7"/>
        <v>0</v>
      </c>
      <c r="V10" s="3"/>
      <c r="W10" s="3"/>
      <c r="X10" s="3"/>
      <c r="Y10" s="3"/>
      <c r="Z10" s="3"/>
      <c r="AA10" s="3"/>
      <c r="AB10" s="3"/>
      <c r="AC10" s="3"/>
      <c r="AD10" s="3"/>
    </row>
    <row r="11" ht="13.5" customHeight="1">
      <c r="A11" s="4"/>
      <c r="B11" s="111" t="s">
        <v>87</v>
      </c>
      <c r="C11" s="111" t="s">
        <v>84</v>
      </c>
      <c r="D11" s="111" t="s">
        <v>98</v>
      </c>
      <c r="E11" s="111" t="s">
        <v>92</v>
      </c>
      <c r="F11" s="112">
        <v>46023.0</v>
      </c>
      <c r="G11" s="113">
        <v>11400.0</v>
      </c>
      <c r="H11" s="113">
        <v>11400.0</v>
      </c>
      <c r="I11" s="114">
        <v>90.0</v>
      </c>
      <c r="J11" s="115">
        <f t="shared" si="1"/>
        <v>2025</v>
      </c>
      <c r="K11" s="115">
        <f t="shared" si="2"/>
        <v>40</v>
      </c>
      <c r="L11" s="115">
        <f t="shared" si="3"/>
        <v>1</v>
      </c>
      <c r="M11" s="115">
        <f t="shared" si="4"/>
        <v>2026</v>
      </c>
      <c r="N11" s="115">
        <f t="shared" si="5"/>
        <v>3</v>
      </c>
      <c r="O11" s="3"/>
      <c r="P11" s="3"/>
      <c r="Q11" s="3">
        <v>2026.0</v>
      </c>
      <c r="R11" s="3">
        <v>6.0</v>
      </c>
      <c r="S11" s="77">
        <f t="shared" si="8"/>
        <v>46059</v>
      </c>
      <c r="T11" s="91">
        <f t="shared" si="6"/>
        <v>0</v>
      </c>
      <c r="U11" s="92">
        <f t="shared" si="7"/>
        <v>0</v>
      </c>
      <c r="V11" s="3"/>
      <c r="W11" s="3"/>
      <c r="X11" s="3"/>
      <c r="Y11" s="3"/>
      <c r="Z11" s="3"/>
      <c r="AA11" s="3"/>
      <c r="AB11" s="3"/>
      <c r="AC11" s="3"/>
      <c r="AD11" s="3"/>
    </row>
    <row r="12" ht="14.25" customHeight="1">
      <c r="A12" s="3"/>
      <c r="B12" s="111" t="s">
        <v>99</v>
      </c>
      <c r="C12" s="111" t="s">
        <v>84</v>
      </c>
      <c r="D12" s="111" t="s">
        <v>100</v>
      </c>
      <c r="E12" s="111" t="s">
        <v>101</v>
      </c>
      <c r="F12" s="112">
        <v>46023.0</v>
      </c>
      <c r="G12" s="113">
        <v>44000.0</v>
      </c>
      <c r="H12" s="113">
        <v>44000.0</v>
      </c>
      <c r="I12" s="114">
        <v>30.0</v>
      </c>
      <c r="J12" s="115">
        <f t="shared" si="1"/>
        <v>2025</v>
      </c>
      <c r="K12" s="115">
        <f t="shared" si="2"/>
        <v>49</v>
      </c>
      <c r="L12" s="115">
        <f t="shared" si="3"/>
        <v>1</v>
      </c>
      <c r="M12" s="115">
        <f t="shared" si="4"/>
        <v>2026</v>
      </c>
      <c r="N12" s="115">
        <f t="shared" si="5"/>
        <v>3</v>
      </c>
      <c r="O12" s="3"/>
      <c r="P12" s="3"/>
      <c r="Q12" s="3">
        <v>2026.0</v>
      </c>
      <c r="R12" s="3">
        <v>7.0</v>
      </c>
      <c r="S12" s="77">
        <f t="shared" si="8"/>
        <v>46066</v>
      </c>
      <c r="T12" s="91">
        <f t="shared" si="6"/>
        <v>272280</v>
      </c>
      <c r="U12" s="92">
        <f t="shared" si="7"/>
        <v>272280</v>
      </c>
      <c r="V12" s="3"/>
      <c r="W12" s="3"/>
      <c r="X12" s="3"/>
      <c r="Y12" s="3"/>
      <c r="Z12" s="3"/>
      <c r="AA12" s="3"/>
      <c r="AB12" s="3"/>
      <c r="AC12" s="3"/>
      <c r="AD12" s="3"/>
    </row>
    <row r="13" ht="14.25" customHeight="1">
      <c r="A13" s="3"/>
      <c r="B13" s="111" t="s">
        <v>99</v>
      </c>
      <c r="C13" s="111" t="s">
        <v>84</v>
      </c>
      <c r="D13" s="111" t="s">
        <v>102</v>
      </c>
      <c r="E13" s="116" t="s">
        <v>103</v>
      </c>
      <c r="F13" s="112">
        <v>46023.0</v>
      </c>
      <c r="G13" s="113">
        <v>120500.0</v>
      </c>
      <c r="H13" s="113">
        <v>120500.0</v>
      </c>
      <c r="I13" s="114">
        <v>30.0</v>
      </c>
      <c r="J13" s="115">
        <f t="shared" si="1"/>
        <v>2025</v>
      </c>
      <c r="K13" s="115">
        <f t="shared" si="2"/>
        <v>49</v>
      </c>
      <c r="L13" s="115">
        <f t="shared" si="3"/>
        <v>1</v>
      </c>
      <c r="M13" s="115">
        <f t="shared" si="4"/>
        <v>2026</v>
      </c>
      <c r="N13" s="115">
        <f t="shared" si="5"/>
        <v>3</v>
      </c>
      <c r="O13" s="3"/>
      <c r="P13" s="3"/>
      <c r="Q13" s="3">
        <v>2026.0</v>
      </c>
      <c r="R13" s="3">
        <v>8.0</v>
      </c>
      <c r="S13" s="77">
        <f t="shared" si="8"/>
        <v>46073</v>
      </c>
      <c r="T13" s="91">
        <f t="shared" si="6"/>
        <v>33667.2</v>
      </c>
      <c r="U13" s="92">
        <f t="shared" si="7"/>
        <v>33667.2</v>
      </c>
      <c r="V13" s="3"/>
      <c r="W13" s="3"/>
      <c r="X13" s="3"/>
      <c r="Y13" s="3"/>
      <c r="Z13" s="3"/>
      <c r="AA13" s="3"/>
      <c r="AB13" s="3"/>
      <c r="AC13" s="3"/>
      <c r="AD13" s="3"/>
    </row>
    <row r="14" ht="14.25" customHeight="1">
      <c r="A14" s="3"/>
      <c r="B14" s="111" t="s">
        <v>99</v>
      </c>
      <c r="C14" s="111" t="s">
        <v>84</v>
      </c>
      <c r="D14" s="111" t="s">
        <v>104</v>
      </c>
      <c r="E14" s="116" t="s">
        <v>89</v>
      </c>
      <c r="F14" s="112">
        <v>46023.0</v>
      </c>
      <c r="G14" s="113">
        <v>15120.0</v>
      </c>
      <c r="H14" s="113">
        <v>15120.0</v>
      </c>
      <c r="I14" s="114">
        <v>30.0</v>
      </c>
      <c r="J14" s="115">
        <f t="shared" si="1"/>
        <v>2025</v>
      </c>
      <c r="K14" s="115">
        <f t="shared" si="2"/>
        <v>49</v>
      </c>
      <c r="L14" s="115">
        <f t="shared" si="3"/>
        <v>1</v>
      </c>
      <c r="M14" s="115">
        <f t="shared" si="4"/>
        <v>2026</v>
      </c>
      <c r="N14" s="115">
        <f t="shared" si="5"/>
        <v>3</v>
      </c>
      <c r="O14" s="3"/>
      <c r="P14" s="3"/>
      <c r="Q14" s="3">
        <v>2026.0</v>
      </c>
      <c r="R14" s="3">
        <v>9.0</v>
      </c>
      <c r="S14" s="77">
        <f t="shared" si="8"/>
        <v>46080</v>
      </c>
      <c r="T14" s="91">
        <f t="shared" si="6"/>
        <v>209760</v>
      </c>
      <c r="U14" s="92">
        <f t="shared" si="7"/>
        <v>209760</v>
      </c>
      <c r="V14" s="3"/>
      <c r="W14" s="3"/>
      <c r="X14" s="3"/>
      <c r="Y14" s="3"/>
      <c r="Z14" s="3"/>
      <c r="AA14" s="3"/>
      <c r="AB14" s="3"/>
      <c r="AC14" s="3"/>
      <c r="AD14" s="3"/>
    </row>
    <row r="15" ht="15.75" customHeight="1">
      <c r="A15" s="3"/>
      <c r="B15" s="111" t="s">
        <v>105</v>
      </c>
      <c r="C15" s="111" t="s">
        <v>84</v>
      </c>
      <c r="D15" s="111" t="s">
        <v>106</v>
      </c>
      <c r="E15" s="116" t="s">
        <v>89</v>
      </c>
      <c r="F15" s="112" t="s">
        <v>107</v>
      </c>
      <c r="G15" s="113">
        <v>16080.0</v>
      </c>
      <c r="H15" s="113">
        <v>16080.0</v>
      </c>
      <c r="I15" s="114">
        <v>30.0</v>
      </c>
      <c r="J15" s="115">
        <f t="shared" si="1"/>
        <v>2025</v>
      </c>
      <c r="K15" s="115">
        <f t="shared" si="2"/>
        <v>53</v>
      </c>
      <c r="L15" s="115">
        <f t="shared" si="3"/>
        <v>5</v>
      </c>
      <c r="M15" s="115">
        <f t="shared" si="4"/>
        <v>2026</v>
      </c>
      <c r="N15" s="115">
        <f t="shared" si="5"/>
        <v>7</v>
      </c>
      <c r="O15" s="3"/>
      <c r="P15" s="3"/>
      <c r="Q15" s="3">
        <v>2026.0</v>
      </c>
      <c r="R15" s="3">
        <v>10.0</v>
      </c>
      <c r="S15" s="77">
        <f t="shared" si="8"/>
        <v>46087</v>
      </c>
      <c r="T15" s="91">
        <f t="shared" si="6"/>
        <v>0</v>
      </c>
      <c r="U15" s="92">
        <f t="shared" si="7"/>
        <v>0</v>
      </c>
      <c r="V15" s="3"/>
      <c r="W15" s="3"/>
      <c r="X15" s="3"/>
      <c r="Y15" s="3"/>
      <c r="Z15" s="3"/>
      <c r="AA15" s="3"/>
      <c r="AB15" s="3"/>
      <c r="AC15" s="3"/>
      <c r="AD15" s="3"/>
    </row>
    <row r="16" ht="15.75" customHeight="1">
      <c r="A16" s="3"/>
      <c r="B16" s="111" t="s">
        <v>105</v>
      </c>
      <c r="C16" s="111" t="s">
        <v>84</v>
      </c>
      <c r="D16" s="111" t="s">
        <v>108</v>
      </c>
      <c r="E16" s="116" t="s">
        <v>109</v>
      </c>
      <c r="F16" s="112" t="s">
        <v>107</v>
      </c>
      <c r="G16" s="113">
        <v>13000.0</v>
      </c>
      <c r="H16" s="113">
        <v>13000.0</v>
      </c>
      <c r="I16" s="114">
        <v>30.0</v>
      </c>
      <c r="J16" s="115">
        <f t="shared" si="1"/>
        <v>2025</v>
      </c>
      <c r="K16" s="115">
        <f t="shared" si="2"/>
        <v>53</v>
      </c>
      <c r="L16" s="115">
        <f t="shared" si="3"/>
        <v>5</v>
      </c>
      <c r="M16" s="115">
        <f t="shared" si="4"/>
        <v>2026</v>
      </c>
      <c r="N16" s="115">
        <f t="shared" si="5"/>
        <v>7</v>
      </c>
      <c r="O16" s="3"/>
      <c r="P16" s="3"/>
      <c r="Q16" s="3">
        <v>2026.0</v>
      </c>
      <c r="R16" s="3">
        <v>11.0</v>
      </c>
      <c r="S16" s="77">
        <f t="shared" si="8"/>
        <v>46094</v>
      </c>
      <c r="T16" s="91">
        <f t="shared" si="6"/>
        <v>4315.72</v>
      </c>
      <c r="U16" s="92">
        <f t="shared" si="7"/>
        <v>4315.72</v>
      </c>
      <c r="V16" s="3"/>
      <c r="W16" s="3"/>
      <c r="X16" s="3"/>
      <c r="Y16" s="3"/>
      <c r="Z16" s="3"/>
      <c r="AA16" s="3"/>
      <c r="AB16" s="3"/>
      <c r="AC16" s="3"/>
      <c r="AD16" s="3"/>
    </row>
    <row r="17" ht="15.75" customHeight="1">
      <c r="A17" s="3"/>
      <c r="B17" s="111" t="s">
        <v>110</v>
      </c>
      <c r="C17" s="111" t="s">
        <v>84</v>
      </c>
      <c r="D17" s="111" t="s">
        <v>111</v>
      </c>
      <c r="E17" s="116" t="s">
        <v>112</v>
      </c>
      <c r="F17" s="112" t="s">
        <v>113</v>
      </c>
      <c r="G17" s="113">
        <v>243200.0</v>
      </c>
      <c r="H17" s="113">
        <v>243200.0</v>
      </c>
      <c r="I17" s="114">
        <v>30.0</v>
      </c>
      <c r="J17" s="115">
        <f t="shared" si="1"/>
        <v>2026</v>
      </c>
      <c r="K17" s="115">
        <f t="shared" si="2"/>
        <v>1</v>
      </c>
      <c r="L17" s="115">
        <f t="shared" si="3"/>
        <v>5</v>
      </c>
      <c r="M17" s="115">
        <f t="shared" si="4"/>
        <v>2026</v>
      </c>
      <c r="N17" s="115">
        <f t="shared" si="5"/>
        <v>7</v>
      </c>
      <c r="O17" s="3"/>
      <c r="P17" s="3"/>
      <c r="Q17" s="3">
        <v>2026.0</v>
      </c>
      <c r="R17" s="3">
        <v>12.0</v>
      </c>
      <c r="S17" s="77">
        <f t="shared" si="8"/>
        <v>46101</v>
      </c>
      <c r="T17" s="91">
        <f t="shared" si="6"/>
        <v>80420</v>
      </c>
      <c r="U17" s="92">
        <f t="shared" si="7"/>
        <v>80420</v>
      </c>
      <c r="V17" s="3"/>
      <c r="W17" s="3"/>
      <c r="X17" s="3"/>
      <c r="Y17" s="3"/>
      <c r="Z17" s="3"/>
      <c r="AA17" s="3"/>
      <c r="AB17" s="3"/>
      <c r="AC17" s="3"/>
      <c r="AD17" s="3"/>
    </row>
    <row r="18" ht="15.75" customHeight="1">
      <c r="A18" s="3"/>
      <c r="B18" s="111" t="s">
        <v>114</v>
      </c>
      <c r="C18" s="111" t="s">
        <v>84</v>
      </c>
      <c r="D18" s="111" t="s">
        <v>115</v>
      </c>
      <c r="E18" s="116" t="s">
        <v>116</v>
      </c>
      <c r="F18" s="112" t="s">
        <v>117</v>
      </c>
      <c r="G18" s="113">
        <v>33667.2</v>
      </c>
      <c r="H18" s="113">
        <v>33667.2</v>
      </c>
      <c r="I18" s="114">
        <v>45.0</v>
      </c>
      <c r="J18" s="115">
        <f t="shared" si="1"/>
        <v>2025</v>
      </c>
      <c r="K18" s="115">
        <f t="shared" si="2"/>
        <v>52</v>
      </c>
      <c r="L18" s="115">
        <f t="shared" si="3"/>
        <v>6</v>
      </c>
      <c r="M18" s="115">
        <f t="shared" si="4"/>
        <v>2026</v>
      </c>
      <c r="N18" s="115">
        <f t="shared" si="5"/>
        <v>8</v>
      </c>
      <c r="O18" s="3"/>
      <c r="P18" s="3"/>
      <c r="Q18" s="3">
        <v>2026.0</v>
      </c>
      <c r="R18" s="3">
        <v>13.0</v>
      </c>
      <c r="S18" s="77">
        <f t="shared" si="8"/>
        <v>46108</v>
      </c>
      <c r="T18" s="91">
        <f t="shared" si="6"/>
        <v>172530</v>
      </c>
      <c r="U18" s="92">
        <f t="shared" si="7"/>
        <v>172530</v>
      </c>
      <c r="V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3"/>
      <c r="B19" s="111" t="s">
        <v>118</v>
      </c>
      <c r="C19" s="111" t="s">
        <v>84</v>
      </c>
      <c r="D19" s="111" t="s">
        <v>119</v>
      </c>
      <c r="E19" s="116" t="s">
        <v>120</v>
      </c>
      <c r="F19" s="112" t="s">
        <v>121</v>
      </c>
      <c r="G19" s="113">
        <v>27360.0</v>
      </c>
      <c r="H19" s="113">
        <v>27360.0</v>
      </c>
      <c r="I19" s="114">
        <v>30.0</v>
      </c>
      <c r="J19" s="115">
        <f t="shared" si="1"/>
        <v>2026</v>
      </c>
      <c r="K19" s="115">
        <f t="shared" si="2"/>
        <v>3</v>
      </c>
      <c r="L19" s="115">
        <f t="shared" si="3"/>
        <v>7</v>
      </c>
      <c r="M19" s="115">
        <f t="shared" si="4"/>
        <v>2026</v>
      </c>
      <c r="N19" s="115">
        <f t="shared" si="5"/>
        <v>9</v>
      </c>
      <c r="O19" s="3"/>
      <c r="P19" s="3"/>
      <c r="Q19" s="3">
        <v>2026.0</v>
      </c>
      <c r="R19" s="3">
        <v>14.0</v>
      </c>
      <c r="S19" s="77">
        <f t="shared" si="8"/>
        <v>46115</v>
      </c>
      <c r="T19" s="91">
        <f t="shared" si="6"/>
        <v>368726.4</v>
      </c>
      <c r="U19" s="92">
        <f t="shared" si="7"/>
        <v>368726.4</v>
      </c>
      <c r="V19" s="3"/>
      <c r="W19" s="3"/>
      <c r="X19" s="3"/>
      <c r="Y19" s="3"/>
      <c r="Z19" s="3"/>
      <c r="AA19" s="3"/>
      <c r="AB19" s="3"/>
      <c r="AC19" s="3"/>
      <c r="AD19" s="3"/>
    </row>
    <row r="20" ht="15.75" customHeight="1">
      <c r="A20" s="3"/>
      <c r="B20" s="111" t="s">
        <v>118</v>
      </c>
      <c r="C20" s="111" t="s">
        <v>84</v>
      </c>
      <c r="D20" s="111" t="s">
        <v>122</v>
      </c>
      <c r="E20" s="116" t="s">
        <v>112</v>
      </c>
      <c r="F20" s="112" t="s">
        <v>121</v>
      </c>
      <c r="G20" s="113">
        <v>182400.0</v>
      </c>
      <c r="H20" s="113">
        <v>182400.0</v>
      </c>
      <c r="I20" s="114">
        <v>30.0</v>
      </c>
      <c r="J20" s="115">
        <f t="shared" si="1"/>
        <v>2026</v>
      </c>
      <c r="K20" s="115">
        <f t="shared" si="2"/>
        <v>3</v>
      </c>
      <c r="L20" s="115">
        <f t="shared" si="3"/>
        <v>7</v>
      </c>
      <c r="M20" s="115">
        <f t="shared" si="4"/>
        <v>2026</v>
      </c>
      <c r="N20" s="115">
        <f t="shared" si="5"/>
        <v>9</v>
      </c>
      <c r="O20" s="3"/>
      <c r="P20" s="3"/>
      <c r="Q20" s="3">
        <v>2026.0</v>
      </c>
      <c r="R20" s="3">
        <v>15.0</v>
      </c>
      <c r="S20" s="77">
        <f t="shared" si="8"/>
        <v>46122</v>
      </c>
      <c r="T20" s="91">
        <f t="shared" si="6"/>
        <v>41126.66</v>
      </c>
      <c r="U20" s="92">
        <f t="shared" si="7"/>
        <v>41126.66</v>
      </c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3"/>
      <c r="B21" s="111" t="s">
        <v>95</v>
      </c>
      <c r="C21" s="111" t="s">
        <v>84</v>
      </c>
      <c r="D21" s="111" t="s">
        <v>123</v>
      </c>
      <c r="E21" s="116" t="s">
        <v>124</v>
      </c>
      <c r="F21" s="112" t="s">
        <v>125</v>
      </c>
      <c r="G21" s="113">
        <v>15844.08</v>
      </c>
      <c r="H21" s="113">
        <v>4315.72</v>
      </c>
      <c r="I21" s="114">
        <v>90.0</v>
      </c>
      <c r="J21" s="115">
        <f t="shared" si="1"/>
        <v>2025</v>
      </c>
      <c r="K21" s="115">
        <f t="shared" si="2"/>
        <v>48</v>
      </c>
      <c r="L21" s="115">
        <f t="shared" si="3"/>
        <v>9</v>
      </c>
      <c r="M21" s="115">
        <f t="shared" si="4"/>
        <v>2026</v>
      </c>
      <c r="N21" s="115">
        <f t="shared" si="5"/>
        <v>11</v>
      </c>
      <c r="O21" s="3"/>
      <c r="P21" s="3"/>
      <c r="Q21" s="3">
        <v>2026.0</v>
      </c>
      <c r="R21" s="3">
        <v>16.0</v>
      </c>
      <c r="S21" s="77">
        <f t="shared" si="8"/>
        <v>46129</v>
      </c>
      <c r="T21" s="91">
        <f t="shared" si="6"/>
        <v>285706.8</v>
      </c>
      <c r="U21" s="92">
        <f t="shared" si="7"/>
        <v>285706.8</v>
      </c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3"/>
      <c r="B22" s="111" t="s">
        <v>107</v>
      </c>
      <c r="C22" s="111" t="s">
        <v>84</v>
      </c>
      <c r="D22" s="111" t="s">
        <v>126</v>
      </c>
      <c r="E22" s="116" t="s">
        <v>89</v>
      </c>
      <c r="F22" s="112" t="s">
        <v>127</v>
      </c>
      <c r="G22" s="113">
        <v>18720.0</v>
      </c>
      <c r="H22" s="113">
        <v>18720.0</v>
      </c>
      <c r="I22" s="114">
        <v>30.0</v>
      </c>
      <c r="J22" s="115">
        <f t="shared" si="1"/>
        <v>2026</v>
      </c>
      <c r="K22" s="115">
        <f t="shared" si="2"/>
        <v>5</v>
      </c>
      <c r="L22" s="115">
        <f t="shared" si="3"/>
        <v>10</v>
      </c>
      <c r="M22" s="115">
        <f t="shared" si="4"/>
        <v>2026</v>
      </c>
      <c r="N22" s="115">
        <f t="shared" si="5"/>
        <v>12</v>
      </c>
      <c r="O22" s="3"/>
      <c r="P22" s="3"/>
      <c r="Q22" s="3">
        <v>2026.0</v>
      </c>
      <c r="R22" s="3">
        <v>17.0</v>
      </c>
      <c r="S22" s="77">
        <f t="shared" si="8"/>
        <v>46136</v>
      </c>
      <c r="T22" s="91">
        <f t="shared" si="6"/>
        <v>11000</v>
      </c>
      <c r="U22" s="92">
        <f t="shared" si="7"/>
        <v>11000</v>
      </c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3"/>
      <c r="B23" s="111" t="s">
        <v>107</v>
      </c>
      <c r="C23" s="111" t="s">
        <v>84</v>
      </c>
      <c r="D23" s="111" t="s">
        <v>128</v>
      </c>
      <c r="E23" s="116" t="s">
        <v>109</v>
      </c>
      <c r="F23" s="112" t="s">
        <v>127</v>
      </c>
      <c r="G23" s="113">
        <v>11500.0</v>
      </c>
      <c r="H23" s="113">
        <v>11500.0</v>
      </c>
      <c r="I23" s="114">
        <v>30.0</v>
      </c>
      <c r="J23" s="115">
        <f t="shared" si="1"/>
        <v>2026</v>
      </c>
      <c r="K23" s="115">
        <f t="shared" si="2"/>
        <v>5</v>
      </c>
      <c r="L23" s="115">
        <f t="shared" si="3"/>
        <v>10</v>
      </c>
      <c r="M23" s="115">
        <f t="shared" si="4"/>
        <v>2026</v>
      </c>
      <c r="N23" s="115">
        <f t="shared" si="5"/>
        <v>12</v>
      </c>
      <c r="O23" s="3"/>
      <c r="P23" s="3"/>
      <c r="Q23" s="3">
        <v>2026.0</v>
      </c>
      <c r="R23" s="3">
        <v>18.0</v>
      </c>
      <c r="S23" s="77">
        <f t="shared" si="8"/>
        <v>46143</v>
      </c>
      <c r="T23" s="91">
        <f t="shared" si="6"/>
        <v>430690.5</v>
      </c>
      <c r="U23" s="92">
        <f t="shared" si="7"/>
        <v>430690.5</v>
      </c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111" t="s">
        <v>107</v>
      </c>
      <c r="C24" s="111" t="s">
        <v>84</v>
      </c>
      <c r="D24" s="111" t="s">
        <v>129</v>
      </c>
      <c r="E24" s="116" t="s">
        <v>130</v>
      </c>
      <c r="F24" s="112" t="s">
        <v>127</v>
      </c>
      <c r="G24" s="113">
        <v>2200.0</v>
      </c>
      <c r="H24" s="113">
        <v>2200.0</v>
      </c>
      <c r="I24" s="114">
        <v>30.0</v>
      </c>
      <c r="J24" s="115">
        <f t="shared" si="1"/>
        <v>2026</v>
      </c>
      <c r="K24" s="115">
        <f t="shared" si="2"/>
        <v>5</v>
      </c>
      <c r="L24" s="115">
        <f t="shared" si="3"/>
        <v>10</v>
      </c>
      <c r="M24" s="115">
        <f t="shared" si="4"/>
        <v>2026</v>
      </c>
      <c r="N24" s="115">
        <f t="shared" si="5"/>
        <v>12</v>
      </c>
      <c r="O24" s="3"/>
      <c r="P24" s="3"/>
      <c r="Q24" s="3">
        <v>2026.0</v>
      </c>
      <c r="R24" s="3">
        <v>19.0</v>
      </c>
      <c r="S24" s="77">
        <f t="shared" si="8"/>
        <v>46150</v>
      </c>
      <c r="T24" s="91">
        <f t="shared" si="6"/>
        <v>1398444.165</v>
      </c>
      <c r="U24" s="92">
        <f t="shared" si="7"/>
        <v>1398444.165</v>
      </c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3"/>
      <c r="B25" s="111" t="s">
        <v>131</v>
      </c>
      <c r="C25" s="111" t="s">
        <v>84</v>
      </c>
      <c r="D25" s="111" t="s">
        <v>132</v>
      </c>
      <c r="E25" s="116" t="s">
        <v>133</v>
      </c>
      <c r="F25" s="112" t="s">
        <v>134</v>
      </c>
      <c r="G25" s="113">
        <v>48000.0</v>
      </c>
      <c r="H25" s="113">
        <v>48000.0</v>
      </c>
      <c r="I25" s="114">
        <v>30.0</v>
      </c>
      <c r="J25" s="115">
        <f t="shared" si="1"/>
        <v>2026</v>
      </c>
      <c r="K25" s="115">
        <f t="shared" si="2"/>
        <v>6</v>
      </c>
      <c r="L25" s="115">
        <f t="shared" si="3"/>
        <v>10</v>
      </c>
      <c r="M25" s="115">
        <f t="shared" si="4"/>
        <v>2026</v>
      </c>
      <c r="N25" s="115">
        <f t="shared" si="5"/>
        <v>12</v>
      </c>
      <c r="O25" s="3"/>
      <c r="P25" s="3"/>
      <c r="Q25" s="3">
        <v>2026.0</v>
      </c>
      <c r="R25" s="3">
        <v>20.0</v>
      </c>
      <c r="S25" s="77">
        <f t="shared" si="8"/>
        <v>46157</v>
      </c>
      <c r="T25" s="91">
        <f t="shared" si="6"/>
        <v>981511.67</v>
      </c>
      <c r="U25" s="92">
        <f t="shared" si="7"/>
        <v>981511.67</v>
      </c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111" t="s">
        <v>135</v>
      </c>
      <c r="C26" s="111" t="s">
        <v>84</v>
      </c>
      <c r="D26" s="111" t="s">
        <v>136</v>
      </c>
      <c r="E26" s="116" t="s">
        <v>137</v>
      </c>
      <c r="F26" s="112" t="s">
        <v>138</v>
      </c>
      <c r="G26" s="113">
        <v>172530.0</v>
      </c>
      <c r="H26" s="113">
        <v>172530.0</v>
      </c>
      <c r="I26" s="114">
        <v>45.0</v>
      </c>
      <c r="J26" s="115">
        <f t="shared" si="1"/>
        <v>2026</v>
      </c>
      <c r="K26" s="115">
        <f t="shared" si="2"/>
        <v>5</v>
      </c>
      <c r="L26" s="115">
        <f t="shared" si="3"/>
        <v>11</v>
      </c>
      <c r="M26" s="115">
        <f t="shared" si="4"/>
        <v>2026</v>
      </c>
      <c r="N26" s="115">
        <f t="shared" si="5"/>
        <v>13</v>
      </c>
      <c r="O26" s="3"/>
      <c r="P26" s="3"/>
      <c r="Q26" s="3">
        <v>2026.0</v>
      </c>
      <c r="R26" s="3">
        <v>21.0</v>
      </c>
      <c r="S26" s="77">
        <f t="shared" si="8"/>
        <v>46164</v>
      </c>
      <c r="T26" s="91">
        <f t="shared" si="6"/>
        <v>0</v>
      </c>
      <c r="U26" s="92">
        <f t="shared" si="7"/>
        <v>0</v>
      </c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3"/>
      <c r="B27" s="111" t="s">
        <v>139</v>
      </c>
      <c r="C27" s="111" t="s">
        <v>84</v>
      </c>
      <c r="D27" s="111" t="s">
        <v>140</v>
      </c>
      <c r="E27" s="116" t="s">
        <v>141</v>
      </c>
      <c r="F27" s="112" t="s">
        <v>142</v>
      </c>
      <c r="G27" s="113">
        <v>81000.0</v>
      </c>
      <c r="H27" s="113">
        <v>81000.0</v>
      </c>
      <c r="I27" s="114">
        <v>90.0</v>
      </c>
      <c r="J27" s="115">
        <f t="shared" si="1"/>
        <v>2025</v>
      </c>
      <c r="K27" s="115">
        <f t="shared" si="2"/>
        <v>51</v>
      </c>
      <c r="L27" s="115">
        <f t="shared" si="3"/>
        <v>12</v>
      </c>
      <c r="M27" s="115">
        <f t="shared" si="4"/>
        <v>2026</v>
      </c>
      <c r="N27" s="115">
        <f t="shared" si="5"/>
        <v>14</v>
      </c>
      <c r="O27" s="3"/>
      <c r="P27" s="3"/>
      <c r="Q27" s="3">
        <v>2026.0</v>
      </c>
      <c r="R27" s="3">
        <v>22.0</v>
      </c>
      <c r="S27" s="77">
        <f t="shared" si="8"/>
        <v>46171</v>
      </c>
      <c r="T27" s="91">
        <f t="shared" si="6"/>
        <v>2522706.806</v>
      </c>
      <c r="U27" s="92">
        <f t="shared" si="7"/>
        <v>2522706.806</v>
      </c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111" t="s">
        <v>107</v>
      </c>
      <c r="C28" s="111" t="s">
        <v>84</v>
      </c>
      <c r="D28" s="111" t="s">
        <v>143</v>
      </c>
      <c r="E28" s="116" t="s">
        <v>144</v>
      </c>
      <c r="F28" s="112" t="s">
        <v>142</v>
      </c>
      <c r="G28" s="113">
        <v>15840.0</v>
      </c>
      <c r="H28" s="113">
        <v>15840.0</v>
      </c>
      <c r="I28" s="114">
        <v>45.0</v>
      </c>
      <c r="J28" s="115">
        <f t="shared" si="1"/>
        <v>2026</v>
      </c>
      <c r="K28" s="115">
        <f t="shared" si="2"/>
        <v>5</v>
      </c>
      <c r="L28" s="115">
        <f t="shared" si="3"/>
        <v>12</v>
      </c>
      <c r="M28" s="115">
        <f t="shared" si="4"/>
        <v>2026</v>
      </c>
      <c r="N28" s="115">
        <f t="shared" si="5"/>
        <v>14</v>
      </c>
      <c r="O28" s="3"/>
      <c r="P28" s="3"/>
      <c r="Q28" s="3">
        <v>2026.0</v>
      </c>
      <c r="R28" s="3">
        <v>23.0</v>
      </c>
      <c r="S28" s="77">
        <f t="shared" si="8"/>
        <v>46178</v>
      </c>
      <c r="T28" s="91">
        <f t="shared" si="6"/>
        <v>177216.75</v>
      </c>
      <c r="U28" s="92">
        <f t="shared" si="7"/>
        <v>177216.75</v>
      </c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3"/>
      <c r="B29" s="111" t="s">
        <v>145</v>
      </c>
      <c r="C29" s="111" t="s">
        <v>84</v>
      </c>
      <c r="D29" s="111" t="s">
        <v>146</v>
      </c>
      <c r="E29" s="116" t="s">
        <v>120</v>
      </c>
      <c r="F29" s="112" t="s">
        <v>147</v>
      </c>
      <c r="G29" s="113">
        <v>22360.0</v>
      </c>
      <c r="H29" s="113">
        <v>22360.0</v>
      </c>
      <c r="I29" s="114">
        <v>30.0</v>
      </c>
      <c r="J29" s="115">
        <f t="shared" si="1"/>
        <v>2026</v>
      </c>
      <c r="K29" s="115">
        <f t="shared" si="2"/>
        <v>8</v>
      </c>
      <c r="L29" s="115">
        <f t="shared" si="3"/>
        <v>12</v>
      </c>
      <c r="M29" s="115">
        <f t="shared" si="4"/>
        <v>2026</v>
      </c>
      <c r="N29" s="115">
        <f t="shared" si="5"/>
        <v>14</v>
      </c>
      <c r="O29" s="3"/>
      <c r="P29" s="3"/>
      <c r="Q29" s="3">
        <v>2026.0</v>
      </c>
      <c r="R29" s="3">
        <v>24.0</v>
      </c>
      <c r="S29" s="77">
        <f t="shared" si="8"/>
        <v>46185</v>
      </c>
      <c r="T29" s="91">
        <f t="shared" si="6"/>
        <v>2735404.45</v>
      </c>
      <c r="U29" s="92">
        <f t="shared" si="7"/>
        <v>2735404.45</v>
      </c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111" t="s">
        <v>148</v>
      </c>
      <c r="C30" s="111" t="s">
        <v>84</v>
      </c>
      <c r="D30" s="111" t="s">
        <v>149</v>
      </c>
      <c r="E30" s="116" t="s">
        <v>150</v>
      </c>
      <c r="F30" s="112" t="s">
        <v>151</v>
      </c>
      <c r="G30" s="113">
        <v>89035.2</v>
      </c>
      <c r="H30" s="113">
        <v>89035.2</v>
      </c>
      <c r="I30" s="114">
        <v>30.0</v>
      </c>
      <c r="J30" s="115">
        <f t="shared" si="1"/>
        <v>2026</v>
      </c>
      <c r="K30" s="115">
        <f t="shared" si="2"/>
        <v>8</v>
      </c>
      <c r="L30" s="115">
        <f t="shared" si="3"/>
        <v>12</v>
      </c>
      <c r="M30" s="115">
        <f t="shared" si="4"/>
        <v>2026</v>
      </c>
      <c r="N30" s="115">
        <f t="shared" si="5"/>
        <v>14</v>
      </c>
      <c r="O30" s="3"/>
      <c r="P30" s="3"/>
      <c r="Q30" s="3">
        <v>2026.0</v>
      </c>
      <c r="R30" s="3">
        <v>25.0</v>
      </c>
      <c r="S30" s="77">
        <f t="shared" si="8"/>
        <v>46192</v>
      </c>
      <c r="T30" s="91">
        <f t="shared" si="6"/>
        <v>49761.6</v>
      </c>
      <c r="U30" s="92">
        <f t="shared" si="7"/>
        <v>49761.6</v>
      </c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111" t="s">
        <v>148</v>
      </c>
      <c r="C31" s="111" t="s">
        <v>84</v>
      </c>
      <c r="D31" s="111" t="s">
        <v>152</v>
      </c>
      <c r="E31" s="116" t="s">
        <v>150</v>
      </c>
      <c r="F31" s="112" t="s">
        <v>151</v>
      </c>
      <c r="G31" s="113">
        <v>89035.2</v>
      </c>
      <c r="H31" s="113">
        <v>89035.2</v>
      </c>
      <c r="I31" s="114">
        <v>30.0</v>
      </c>
      <c r="J31" s="115">
        <f t="shared" si="1"/>
        <v>2026</v>
      </c>
      <c r="K31" s="115">
        <f t="shared" si="2"/>
        <v>8</v>
      </c>
      <c r="L31" s="115">
        <f t="shared" si="3"/>
        <v>12</v>
      </c>
      <c r="M31" s="115">
        <f t="shared" si="4"/>
        <v>2026</v>
      </c>
      <c r="N31" s="115">
        <f t="shared" si="5"/>
        <v>14</v>
      </c>
      <c r="O31" s="3"/>
      <c r="P31" s="3"/>
      <c r="Q31" s="3">
        <v>2026.0</v>
      </c>
      <c r="R31" s="3">
        <v>26.0</v>
      </c>
      <c r="S31" s="77">
        <f t="shared" si="8"/>
        <v>46199</v>
      </c>
      <c r="T31" s="91">
        <f t="shared" si="6"/>
        <v>0</v>
      </c>
      <c r="U31" s="92">
        <f t="shared" si="7"/>
        <v>0</v>
      </c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111" t="s">
        <v>153</v>
      </c>
      <c r="C32" s="111" t="s">
        <v>84</v>
      </c>
      <c r="D32" s="111" t="s">
        <v>154</v>
      </c>
      <c r="E32" s="116" t="s">
        <v>155</v>
      </c>
      <c r="F32" s="112" t="s">
        <v>156</v>
      </c>
      <c r="G32" s="113">
        <v>71456.0</v>
      </c>
      <c r="H32" s="113">
        <v>71456.0</v>
      </c>
      <c r="I32" s="114">
        <v>30.0</v>
      </c>
      <c r="J32" s="115">
        <f t="shared" si="1"/>
        <v>2026</v>
      </c>
      <c r="K32" s="115">
        <f t="shared" si="2"/>
        <v>8</v>
      </c>
      <c r="L32" s="115">
        <f t="shared" si="3"/>
        <v>12</v>
      </c>
      <c r="M32" s="115">
        <f t="shared" si="4"/>
        <v>2026</v>
      </c>
      <c r="N32" s="115">
        <f t="shared" si="5"/>
        <v>14</v>
      </c>
      <c r="O32" s="3"/>
      <c r="P32" s="3"/>
      <c r="Q32" s="3">
        <v>2026.0</v>
      </c>
      <c r="R32" s="3">
        <v>27.0</v>
      </c>
      <c r="S32" s="77">
        <f t="shared" si="8"/>
        <v>46206</v>
      </c>
      <c r="T32" s="91">
        <f t="shared" si="6"/>
        <v>1914366.75</v>
      </c>
      <c r="U32" s="92">
        <f t="shared" si="7"/>
        <v>1914366.75</v>
      </c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117" t="s">
        <v>157</v>
      </c>
      <c r="C33" s="117" t="s">
        <v>84</v>
      </c>
      <c r="D33" s="117" t="s">
        <v>158</v>
      </c>
      <c r="E33" s="117" t="s">
        <v>89</v>
      </c>
      <c r="F33" s="117" t="s">
        <v>159</v>
      </c>
      <c r="G33" s="118">
        <v>4166.66</v>
      </c>
      <c r="H33" s="118">
        <v>4166.66</v>
      </c>
      <c r="I33" s="117">
        <v>30.0</v>
      </c>
      <c r="J33" s="115">
        <f t="shared" si="1"/>
        <v>2026</v>
      </c>
      <c r="K33" s="115">
        <f t="shared" si="2"/>
        <v>9</v>
      </c>
      <c r="L33" s="115">
        <f t="shared" si="3"/>
        <v>13</v>
      </c>
      <c r="M33" s="115">
        <f t="shared" si="4"/>
        <v>2026</v>
      </c>
      <c r="N33" s="115">
        <f t="shared" si="5"/>
        <v>15</v>
      </c>
      <c r="O33" s="3"/>
      <c r="P33" s="3"/>
      <c r="Q33" s="3">
        <v>2026.0</v>
      </c>
      <c r="R33" s="3">
        <v>28.0</v>
      </c>
      <c r="S33" s="77">
        <f t="shared" si="8"/>
        <v>46213</v>
      </c>
      <c r="T33" s="91">
        <f t="shared" si="6"/>
        <v>307517</v>
      </c>
      <c r="U33" s="92">
        <f t="shared" si="7"/>
        <v>307517</v>
      </c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117" t="s">
        <v>125</v>
      </c>
      <c r="C34" s="117" t="s">
        <v>84</v>
      </c>
      <c r="D34" s="117" t="s">
        <v>160</v>
      </c>
      <c r="E34" s="117" t="s">
        <v>161</v>
      </c>
      <c r="F34" s="117" t="s">
        <v>162</v>
      </c>
      <c r="G34" s="118">
        <v>36960.0</v>
      </c>
      <c r="H34" s="118">
        <v>36960.0</v>
      </c>
      <c r="I34" s="117">
        <v>30.0</v>
      </c>
      <c r="J34" s="115">
        <f t="shared" si="1"/>
        <v>2026</v>
      </c>
      <c r="K34" s="115">
        <f t="shared" si="2"/>
        <v>9</v>
      </c>
      <c r="L34" s="115">
        <f t="shared" si="3"/>
        <v>13</v>
      </c>
      <c r="M34" s="115">
        <f t="shared" si="4"/>
        <v>2026</v>
      </c>
      <c r="N34" s="115">
        <f t="shared" si="5"/>
        <v>15</v>
      </c>
      <c r="O34" s="3"/>
      <c r="P34" s="3"/>
      <c r="Q34" s="3">
        <v>2026.0</v>
      </c>
      <c r="R34" s="3">
        <v>29.0</v>
      </c>
      <c r="S34" s="77">
        <f t="shared" si="8"/>
        <v>46220</v>
      </c>
      <c r="T34" s="91">
        <f t="shared" si="6"/>
        <v>2467646.62</v>
      </c>
      <c r="U34" s="92">
        <f t="shared" si="7"/>
        <v>2467646.62</v>
      </c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117" t="s">
        <v>163</v>
      </c>
      <c r="C35" s="117" t="s">
        <v>84</v>
      </c>
      <c r="D35" s="117" t="s">
        <v>164</v>
      </c>
      <c r="E35" s="117" t="s">
        <v>165</v>
      </c>
      <c r="F35" s="117" t="s">
        <v>166</v>
      </c>
      <c r="G35" s="118">
        <v>48750.0</v>
      </c>
      <c r="H35" s="118">
        <v>48750.0</v>
      </c>
      <c r="I35" s="117">
        <v>30.0</v>
      </c>
      <c r="J35" s="115">
        <f t="shared" si="1"/>
        <v>2026</v>
      </c>
      <c r="K35" s="115">
        <f t="shared" si="2"/>
        <v>9</v>
      </c>
      <c r="L35" s="115">
        <f t="shared" si="3"/>
        <v>14</v>
      </c>
      <c r="M35" s="115">
        <f t="shared" si="4"/>
        <v>2026</v>
      </c>
      <c r="N35" s="115">
        <f t="shared" si="5"/>
        <v>16</v>
      </c>
      <c r="O35" s="3"/>
      <c r="P35" s="3"/>
      <c r="Q35" s="3">
        <v>2026.0</v>
      </c>
      <c r="R35" s="3">
        <v>30.0</v>
      </c>
      <c r="S35" s="77">
        <f t="shared" si="8"/>
        <v>46227</v>
      </c>
      <c r="T35" s="91">
        <f t="shared" si="6"/>
        <v>0</v>
      </c>
      <c r="U35" s="92">
        <f t="shared" si="7"/>
        <v>0</v>
      </c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117" t="s">
        <v>163</v>
      </c>
      <c r="C36" s="117" t="s">
        <v>84</v>
      </c>
      <c r="D36" s="117" t="s">
        <v>167</v>
      </c>
      <c r="E36" s="117" t="s">
        <v>89</v>
      </c>
      <c r="F36" s="117" t="s">
        <v>166</v>
      </c>
      <c r="G36" s="118">
        <v>9360.0</v>
      </c>
      <c r="H36" s="118">
        <v>9360.0</v>
      </c>
      <c r="I36" s="117">
        <v>30.0</v>
      </c>
      <c r="J36" s="115">
        <f t="shared" si="1"/>
        <v>2026</v>
      </c>
      <c r="K36" s="115">
        <f t="shared" si="2"/>
        <v>9</v>
      </c>
      <c r="L36" s="115">
        <f t="shared" si="3"/>
        <v>14</v>
      </c>
      <c r="M36" s="115">
        <f t="shared" si="4"/>
        <v>2026</v>
      </c>
      <c r="N36" s="115">
        <f t="shared" si="5"/>
        <v>16</v>
      </c>
      <c r="O36" s="3"/>
      <c r="P36" s="3"/>
      <c r="Q36" s="3">
        <v>2026.0</v>
      </c>
      <c r="R36" s="3">
        <v>31.0</v>
      </c>
      <c r="S36" s="77">
        <f t="shared" si="8"/>
        <v>46234</v>
      </c>
      <c r="T36" s="91">
        <f t="shared" si="6"/>
        <v>1802824.75</v>
      </c>
      <c r="U36" s="92">
        <f t="shared" si="7"/>
        <v>1802824.75</v>
      </c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3"/>
      <c r="B37" s="117" t="s">
        <v>163</v>
      </c>
      <c r="C37" s="117" t="s">
        <v>84</v>
      </c>
      <c r="D37" s="117" t="s">
        <v>168</v>
      </c>
      <c r="E37" s="117" t="s">
        <v>109</v>
      </c>
      <c r="F37" s="117" t="s">
        <v>166</v>
      </c>
      <c r="G37" s="118">
        <v>2500.0</v>
      </c>
      <c r="H37" s="118">
        <v>2500.0</v>
      </c>
      <c r="I37" s="117">
        <v>30.0</v>
      </c>
      <c r="J37" s="115">
        <f t="shared" si="1"/>
        <v>2026</v>
      </c>
      <c r="K37" s="115">
        <f t="shared" si="2"/>
        <v>9</v>
      </c>
      <c r="L37" s="115">
        <f t="shared" si="3"/>
        <v>14</v>
      </c>
      <c r="M37" s="115">
        <f t="shared" si="4"/>
        <v>2026</v>
      </c>
      <c r="N37" s="115">
        <f t="shared" si="5"/>
        <v>16</v>
      </c>
      <c r="O37" s="3"/>
      <c r="P37" s="3"/>
      <c r="Q37" s="3">
        <v>2026.0</v>
      </c>
      <c r="R37" s="3">
        <v>32.0</v>
      </c>
      <c r="S37" s="77">
        <f t="shared" si="8"/>
        <v>46241</v>
      </c>
      <c r="T37" s="91">
        <f t="shared" si="6"/>
        <v>282700.5</v>
      </c>
      <c r="U37" s="92">
        <f t="shared" si="7"/>
        <v>282700.5</v>
      </c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3"/>
      <c r="B38" s="117" t="s">
        <v>169</v>
      </c>
      <c r="C38" s="117" t="s">
        <v>84</v>
      </c>
      <c r="D38" s="117" t="s">
        <v>170</v>
      </c>
      <c r="E38" s="117" t="s">
        <v>124</v>
      </c>
      <c r="F38" s="117" t="s">
        <v>171</v>
      </c>
      <c r="G38" s="118">
        <v>19931.8</v>
      </c>
      <c r="H38" s="118">
        <v>19931.8</v>
      </c>
      <c r="I38" s="117">
        <v>90.0</v>
      </c>
      <c r="J38" s="115">
        <f t="shared" si="1"/>
        <v>2025</v>
      </c>
      <c r="K38" s="115">
        <f t="shared" si="2"/>
        <v>53</v>
      </c>
      <c r="L38" s="115">
        <f t="shared" si="3"/>
        <v>14</v>
      </c>
      <c r="M38" s="115">
        <f t="shared" si="4"/>
        <v>2026</v>
      </c>
      <c r="N38" s="115">
        <f t="shared" si="5"/>
        <v>16</v>
      </c>
      <c r="O38" s="3"/>
      <c r="P38" s="3"/>
      <c r="Q38" s="3">
        <v>2026.0</v>
      </c>
      <c r="R38" s="3">
        <v>33.0</v>
      </c>
      <c r="S38" s="77">
        <f t="shared" si="8"/>
        <v>46248</v>
      </c>
      <c r="T38" s="91">
        <f t="shared" si="6"/>
        <v>2554433.4</v>
      </c>
      <c r="U38" s="92">
        <f t="shared" si="7"/>
        <v>2554433.4</v>
      </c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117" t="s">
        <v>110</v>
      </c>
      <c r="C39" s="117" t="s">
        <v>84</v>
      </c>
      <c r="D39" s="117" t="s">
        <v>172</v>
      </c>
      <c r="E39" s="117" t="s">
        <v>173</v>
      </c>
      <c r="F39" s="117" t="s">
        <v>174</v>
      </c>
      <c r="G39" s="118">
        <v>57600.0</v>
      </c>
      <c r="H39" s="118">
        <v>57600.0</v>
      </c>
      <c r="I39" s="117">
        <v>90.0</v>
      </c>
      <c r="J39" s="115">
        <f t="shared" si="1"/>
        <v>2026</v>
      </c>
      <c r="K39" s="115">
        <f t="shared" si="2"/>
        <v>1</v>
      </c>
      <c r="L39" s="115">
        <f t="shared" si="3"/>
        <v>14</v>
      </c>
      <c r="M39" s="115">
        <f t="shared" si="4"/>
        <v>2026</v>
      </c>
      <c r="N39" s="115">
        <f t="shared" si="5"/>
        <v>16</v>
      </c>
      <c r="O39" s="3"/>
      <c r="P39" s="3"/>
      <c r="Q39" s="3">
        <v>2026.0</v>
      </c>
      <c r="R39" s="3">
        <v>34.0</v>
      </c>
      <c r="S39" s="77">
        <f t="shared" si="8"/>
        <v>46255</v>
      </c>
      <c r="T39" s="91">
        <f t="shared" si="6"/>
        <v>0</v>
      </c>
      <c r="U39" s="92">
        <f t="shared" si="7"/>
        <v>0</v>
      </c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3"/>
      <c r="B40" s="117" t="s">
        <v>145</v>
      </c>
      <c r="C40" s="117" t="s">
        <v>84</v>
      </c>
      <c r="D40" s="117" t="s">
        <v>175</v>
      </c>
      <c r="E40" s="117" t="s">
        <v>176</v>
      </c>
      <c r="F40" s="117" t="s">
        <v>177</v>
      </c>
      <c r="G40" s="118">
        <v>20020.0</v>
      </c>
      <c r="H40" s="118">
        <v>20020.0</v>
      </c>
      <c r="I40" s="117">
        <v>45.0</v>
      </c>
      <c r="J40" s="115">
        <f t="shared" si="1"/>
        <v>2026</v>
      </c>
      <c r="K40" s="115">
        <f t="shared" si="2"/>
        <v>8</v>
      </c>
      <c r="L40" s="115">
        <f t="shared" si="3"/>
        <v>14</v>
      </c>
      <c r="M40" s="115">
        <f t="shared" si="4"/>
        <v>2026</v>
      </c>
      <c r="N40" s="115">
        <f t="shared" si="5"/>
        <v>16</v>
      </c>
      <c r="O40" s="3"/>
      <c r="P40" s="3"/>
      <c r="Q40" s="3">
        <v>2026.0</v>
      </c>
      <c r="R40" s="3">
        <v>35.0</v>
      </c>
      <c r="S40" s="77">
        <f t="shared" si="8"/>
        <v>46262</v>
      </c>
      <c r="T40" s="91">
        <f t="shared" si="6"/>
        <v>2379456.68</v>
      </c>
      <c r="U40" s="92">
        <f t="shared" si="7"/>
        <v>2379456.68</v>
      </c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117" t="s">
        <v>148</v>
      </c>
      <c r="C41" s="117" t="s">
        <v>84</v>
      </c>
      <c r="D41" s="117" t="s">
        <v>178</v>
      </c>
      <c r="E41" s="117" t="s">
        <v>179</v>
      </c>
      <c r="F41" s="117" t="s">
        <v>180</v>
      </c>
      <c r="G41" s="118">
        <v>24910.0</v>
      </c>
      <c r="H41" s="118">
        <v>24910.0</v>
      </c>
      <c r="I41" s="117">
        <v>45.0</v>
      </c>
      <c r="J41" s="115">
        <f t="shared" si="1"/>
        <v>2026</v>
      </c>
      <c r="K41" s="115">
        <f t="shared" si="2"/>
        <v>8</v>
      </c>
      <c r="L41" s="115">
        <f t="shared" si="3"/>
        <v>14</v>
      </c>
      <c r="M41" s="115">
        <f t="shared" si="4"/>
        <v>2026</v>
      </c>
      <c r="N41" s="115">
        <f t="shared" si="5"/>
        <v>16</v>
      </c>
      <c r="O41" s="3"/>
      <c r="P41" s="3"/>
      <c r="Q41" s="3">
        <v>2026.0</v>
      </c>
      <c r="R41" s="3">
        <v>36.0</v>
      </c>
      <c r="S41" s="77">
        <f t="shared" si="8"/>
        <v>46269</v>
      </c>
      <c r="T41" s="91">
        <f t="shared" si="6"/>
        <v>0</v>
      </c>
      <c r="U41" s="92">
        <f t="shared" si="7"/>
        <v>0</v>
      </c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117" t="s">
        <v>131</v>
      </c>
      <c r="C42" s="117" t="s">
        <v>84</v>
      </c>
      <c r="D42" s="117" t="s">
        <v>181</v>
      </c>
      <c r="E42" s="117" t="s">
        <v>182</v>
      </c>
      <c r="F42" s="117" t="s">
        <v>183</v>
      </c>
      <c r="G42" s="118">
        <v>7000.0</v>
      </c>
      <c r="H42" s="118">
        <v>7000.0</v>
      </c>
      <c r="I42" s="117">
        <v>60.0</v>
      </c>
      <c r="J42" s="115">
        <f t="shared" si="1"/>
        <v>2026</v>
      </c>
      <c r="K42" s="115">
        <f t="shared" si="2"/>
        <v>6</v>
      </c>
      <c r="L42" s="115">
        <f t="shared" si="3"/>
        <v>14</v>
      </c>
      <c r="M42" s="115">
        <f t="shared" si="4"/>
        <v>2026</v>
      </c>
      <c r="N42" s="115">
        <f t="shared" si="5"/>
        <v>16</v>
      </c>
      <c r="O42" s="3"/>
      <c r="P42" s="3"/>
      <c r="Q42" s="3">
        <v>2026.0</v>
      </c>
      <c r="R42" s="3">
        <v>37.0</v>
      </c>
      <c r="S42" s="77">
        <f t="shared" si="8"/>
        <v>46276</v>
      </c>
      <c r="T42" s="91">
        <f t="shared" si="6"/>
        <v>539549.77</v>
      </c>
      <c r="U42" s="92">
        <f t="shared" si="7"/>
        <v>539549.77</v>
      </c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117" t="s">
        <v>184</v>
      </c>
      <c r="C43" s="117" t="s">
        <v>84</v>
      </c>
      <c r="D43" s="117" t="s">
        <v>185</v>
      </c>
      <c r="E43" s="117" t="s">
        <v>186</v>
      </c>
      <c r="F43" s="117" t="s">
        <v>183</v>
      </c>
      <c r="G43" s="118">
        <v>95635.0</v>
      </c>
      <c r="H43" s="118">
        <v>95635.0</v>
      </c>
      <c r="I43" s="117">
        <v>45.0</v>
      </c>
      <c r="J43" s="115">
        <f t="shared" si="1"/>
        <v>2026</v>
      </c>
      <c r="K43" s="115">
        <f t="shared" si="2"/>
        <v>8</v>
      </c>
      <c r="L43" s="115">
        <f t="shared" si="3"/>
        <v>14</v>
      </c>
      <c r="M43" s="115">
        <f t="shared" si="4"/>
        <v>2026</v>
      </c>
      <c r="N43" s="115">
        <f t="shared" si="5"/>
        <v>16</v>
      </c>
      <c r="O43" s="3"/>
      <c r="P43" s="3"/>
      <c r="Q43" s="3">
        <v>2026.0</v>
      </c>
      <c r="R43" s="3">
        <v>38.0</v>
      </c>
      <c r="S43" s="77">
        <f t="shared" si="8"/>
        <v>46283</v>
      </c>
      <c r="T43" s="91">
        <f t="shared" si="6"/>
        <v>603337.6</v>
      </c>
      <c r="U43" s="92">
        <f t="shared" si="7"/>
        <v>603337.6</v>
      </c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117" t="s">
        <v>187</v>
      </c>
      <c r="C44" s="117" t="s">
        <v>84</v>
      </c>
      <c r="D44" s="117" t="s">
        <v>188</v>
      </c>
      <c r="E44" s="117" t="s">
        <v>109</v>
      </c>
      <c r="F44" s="117" t="s">
        <v>189</v>
      </c>
      <c r="G44" s="118">
        <v>11000.0</v>
      </c>
      <c r="H44" s="118">
        <v>11000.0</v>
      </c>
      <c r="I44" s="117">
        <v>30.0</v>
      </c>
      <c r="J44" s="115">
        <f t="shared" si="1"/>
        <v>2026</v>
      </c>
      <c r="K44" s="115">
        <f t="shared" si="2"/>
        <v>11</v>
      </c>
      <c r="L44" s="115">
        <f t="shared" si="3"/>
        <v>15</v>
      </c>
      <c r="M44" s="115">
        <f t="shared" si="4"/>
        <v>2026</v>
      </c>
      <c r="N44" s="115">
        <f t="shared" si="5"/>
        <v>17</v>
      </c>
      <c r="O44" s="3"/>
      <c r="P44" s="3"/>
      <c r="Q44" s="3">
        <v>2026.0</v>
      </c>
      <c r="R44" s="3">
        <v>39.0</v>
      </c>
      <c r="S44" s="77">
        <f t="shared" si="8"/>
        <v>46290</v>
      </c>
      <c r="T44" s="91">
        <f t="shared" si="6"/>
        <v>0</v>
      </c>
      <c r="U44" s="92">
        <f t="shared" si="7"/>
        <v>0</v>
      </c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117" t="s">
        <v>125</v>
      </c>
      <c r="C45" s="117" t="s">
        <v>84</v>
      </c>
      <c r="D45" s="117" t="s">
        <v>190</v>
      </c>
      <c r="E45" s="117" t="s">
        <v>191</v>
      </c>
      <c r="F45" s="117" t="s">
        <v>192</v>
      </c>
      <c r="G45" s="118">
        <v>187782.0</v>
      </c>
      <c r="H45" s="118">
        <v>187782.0</v>
      </c>
      <c r="I45" s="117">
        <v>45.0</v>
      </c>
      <c r="J45" s="115">
        <f t="shared" si="1"/>
        <v>2026</v>
      </c>
      <c r="K45" s="115">
        <f t="shared" si="2"/>
        <v>9</v>
      </c>
      <c r="L45" s="115">
        <f t="shared" si="3"/>
        <v>16</v>
      </c>
      <c r="M45" s="115">
        <f t="shared" si="4"/>
        <v>2026</v>
      </c>
      <c r="N45" s="115">
        <f t="shared" si="5"/>
        <v>18</v>
      </c>
      <c r="O45" s="3"/>
      <c r="P45" s="3"/>
      <c r="Q45" s="3">
        <v>2026.0</v>
      </c>
      <c r="R45" s="3">
        <v>40.0</v>
      </c>
      <c r="S45" s="77">
        <f t="shared" si="8"/>
        <v>46297</v>
      </c>
      <c r="T45" s="91">
        <f t="shared" si="6"/>
        <v>1528567.5</v>
      </c>
      <c r="U45" s="92">
        <f t="shared" si="7"/>
        <v>1528567.5</v>
      </c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117" t="s">
        <v>163</v>
      </c>
      <c r="C46" s="117" t="s">
        <v>84</v>
      </c>
      <c r="D46" s="117" t="s">
        <v>193</v>
      </c>
      <c r="E46" s="117" t="s">
        <v>194</v>
      </c>
      <c r="F46" s="117" t="s">
        <v>195</v>
      </c>
      <c r="G46" s="118">
        <v>34944.0</v>
      </c>
      <c r="H46" s="118">
        <v>34944.0</v>
      </c>
      <c r="I46" s="117">
        <v>45.0</v>
      </c>
      <c r="J46" s="115">
        <f t="shared" si="1"/>
        <v>2026</v>
      </c>
      <c r="K46" s="115">
        <f t="shared" si="2"/>
        <v>9</v>
      </c>
      <c r="L46" s="115">
        <f t="shared" si="3"/>
        <v>16</v>
      </c>
      <c r="M46" s="115">
        <f t="shared" si="4"/>
        <v>2026</v>
      </c>
      <c r="N46" s="115">
        <f t="shared" si="5"/>
        <v>18</v>
      </c>
      <c r="O46" s="3"/>
      <c r="P46" s="3"/>
      <c r="Q46" s="3">
        <v>2026.0</v>
      </c>
      <c r="R46" s="3">
        <v>41.0</v>
      </c>
      <c r="S46" s="77">
        <f t="shared" si="8"/>
        <v>46304</v>
      </c>
      <c r="T46" s="91">
        <f t="shared" si="6"/>
        <v>0</v>
      </c>
      <c r="U46" s="92">
        <f t="shared" si="7"/>
        <v>0</v>
      </c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3"/>
      <c r="B47" s="117" t="s">
        <v>163</v>
      </c>
      <c r="C47" s="117" t="s">
        <v>84</v>
      </c>
      <c r="D47" s="117" t="s">
        <v>196</v>
      </c>
      <c r="E47" s="117" t="s">
        <v>197</v>
      </c>
      <c r="F47" s="117" t="s">
        <v>195</v>
      </c>
      <c r="G47" s="118">
        <v>15000.0</v>
      </c>
      <c r="H47" s="118">
        <v>15000.0</v>
      </c>
      <c r="I47" s="117">
        <v>45.0</v>
      </c>
      <c r="J47" s="115">
        <f t="shared" si="1"/>
        <v>2026</v>
      </c>
      <c r="K47" s="115">
        <f t="shared" si="2"/>
        <v>9</v>
      </c>
      <c r="L47" s="115">
        <f t="shared" si="3"/>
        <v>16</v>
      </c>
      <c r="M47" s="115">
        <f t="shared" si="4"/>
        <v>2026</v>
      </c>
      <c r="N47" s="115">
        <f t="shared" si="5"/>
        <v>18</v>
      </c>
      <c r="O47" s="3"/>
      <c r="P47" s="3"/>
      <c r="Q47" s="3">
        <v>2026.0</v>
      </c>
      <c r="R47" s="3">
        <v>42.0</v>
      </c>
      <c r="S47" s="77">
        <f t="shared" si="8"/>
        <v>46311</v>
      </c>
      <c r="T47" s="91">
        <f t="shared" si="6"/>
        <v>422232.4</v>
      </c>
      <c r="U47" s="92">
        <f t="shared" si="7"/>
        <v>422232.4</v>
      </c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3"/>
      <c r="B48" s="117" t="s">
        <v>163</v>
      </c>
      <c r="C48" s="117" t="s">
        <v>84</v>
      </c>
      <c r="D48" s="117" t="s">
        <v>198</v>
      </c>
      <c r="E48" s="117" t="s">
        <v>144</v>
      </c>
      <c r="F48" s="117" t="s">
        <v>195</v>
      </c>
      <c r="G48" s="118">
        <v>38880.0</v>
      </c>
      <c r="H48" s="118">
        <v>38880.0</v>
      </c>
      <c r="I48" s="117">
        <v>45.0</v>
      </c>
      <c r="J48" s="115">
        <f t="shared" si="1"/>
        <v>2026</v>
      </c>
      <c r="K48" s="115">
        <f t="shared" si="2"/>
        <v>9</v>
      </c>
      <c r="L48" s="115">
        <f t="shared" si="3"/>
        <v>16</v>
      </c>
      <c r="M48" s="115">
        <f t="shared" si="4"/>
        <v>2026</v>
      </c>
      <c r="N48" s="115">
        <f t="shared" si="5"/>
        <v>18</v>
      </c>
      <c r="O48" s="3"/>
      <c r="P48" s="3"/>
      <c r="Q48" s="3">
        <v>2026.0</v>
      </c>
      <c r="R48" s="3">
        <v>43.0</v>
      </c>
      <c r="S48" s="77">
        <f t="shared" si="8"/>
        <v>46318</v>
      </c>
      <c r="T48" s="91">
        <f t="shared" si="6"/>
        <v>0</v>
      </c>
      <c r="U48" s="92">
        <f t="shared" si="7"/>
        <v>0</v>
      </c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3"/>
      <c r="B49" s="117" t="s">
        <v>163</v>
      </c>
      <c r="C49" s="117" t="s">
        <v>84</v>
      </c>
      <c r="D49" s="117" t="s">
        <v>199</v>
      </c>
      <c r="E49" s="117" t="s">
        <v>200</v>
      </c>
      <c r="F49" s="117" t="s">
        <v>195</v>
      </c>
      <c r="G49" s="118">
        <v>1920.0</v>
      </c>
      <c r="H49" s="118">
        <v>1920.0</v>
      </c>
      <c r="I49" s="117">
        <v>45.0</v>
      </c>
      <c r="J49" s="115">
        <f t="shared" si="1"/>
        <v>2026</v>
      </c>
      <c r="K49" s="115">
        <f t="shared" si="2"/>
        <v>9</v>
      </c>
      <c r="L49" s="115">
        <f t="shared" si="3"/>
        <v>16</v>
      </c>
      <c r="M49" s="115">
        <f t="shared" si="4"/>
        <v>2026</v>
      </c>
      <c r="N49" s="115">
        <f t="shared" si="5"/>
        <v>18</v>
      </c>
      <c r="O49" s="3"/>
      <c r="P49" s="3"/>
      <c r="Q49" s="3">
        <v>2026.0</v>
      </c>
      <c r="R49" s="3">
        <v>44.0</v>
      </c>
      <c r="S49" s="77">
        <f t="shared" si="8"/>
        <v>46325</v>
      </c>
      <c r="T49" s="91">
        <f t="shared" si="6"/>
        <v>384293</v>
      </c>
      <c r="U49" s="92">
        <f t="shared" si="7"/>
        <v>384293</v>
      </c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3"/>
      <c r="B50" s="117" t="s">
        <v>127</v>
      </c>
      <c r="C50" s="117" t="s">
        <v>84</v>
      </c>
      <c r="D50" s="117" t="s">
        <v>201</v>
      </c>
      <c r="E50" s="117" t="s">
        <v>202</v>
      </c>
      <c r="F50" s="117" t="s">
        <v>203</v>
      </c>
      <c r="G50" s="118">
        <v>21703.5</v>
      </c>
      <c r="H50" s="118">
        <v>21703.5</v>
      </c>
      <c r="I50" s="117">
        <v>45.0</v>
      </c>
      <c r="J50" s="115">
        <f t="shared" si="1"/>
        <v>2026</v>
      </c>
      <c r="K50" s="115">
        <f t="shared" si="2"/>
        <v>10</v>
      </c>
      <c r="L50" s="115">
        <f t="shared" si="3"/>
        <v>16</v>
      </c>
      <c r="M50" s="115">
        <f t="shared" si="4"/>
        <v>2026</v>
      </c>
      <c r="N50" s="115">
        <f t="shared" si="5"/>
        <v>18</v>
      </c>
      <c r="O50" s="3"/>
      <c r="P50" s="3"/>
      <c r="Q50" s="3">
        <v>2026.0</v>
      </c>
      <c r="R50" s="3">
        <v>45.0</v>
      </c>
      <c r="S50" s="77">
        <f t="shared" si="8"/>
        <v>46332</v>
      </c>
      <c r="T50" s="91">
        <f t="shared" si="6"/>
        <v>0</v>
      </c>
      <c r="U50" s="92">
        <f t="shared" si="7"/>
        <v>0</v>
      </c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3"/>
      <c r="B51" s="117" t="s">
        <v>142</v>
      </c>
      <c r="C51" s="117" t="s">
        <v>84</v>
      </c>
      <c r="D51" s="117" t="s">
        <v>204</v>
      </c>
      <c r="E51" s="117" t="s">
        <v>205</v>
      </c>
      <c r="F51" s="117" t="s">
        <v>203</v>
      </c>
      <c r="G51" s="118">
        <v>96981.0</v>
      </c>
      <c r="H51" s="118">
        <v>96981.0</v>
      </c>
      <c r="I51" s="117">
        <v>30.0</v>
      </c>
      <c r="J51" s="115">
        <f t="shared" si="1"/>
        <v>2026</v>
      </c>
      <c r="K51" s="115">
        <f t="shared" si="2"/>
        <v>12</v>
      </c>
      <c r="L51" s="115">
        <f t="shared" si="3"/>
        <v>16</v>
      </c>
      <c r="M51" s="115">
        <f t="shared" si="4"/>
        <v>2026</v>
      </c>
      <c r="N51" s="115">
        <f t="shared" si="5"/>
        <v>18</v>
      </c>
      <c r="O51" s="3"/>
      <c r="P51" s="3"/>
      <c r="Q51" s="3">
        <v>2026.0</v>
      </c>
      <c r="R51" s="3">
        <v>46.0</v>
      </c>
      <c r="S51" s="77">
        <f t="shared" si="8"/>
        <v>46339</v>
      </c>
      <c r="T51" s="91">
        <f t="shared" si="6"/>
        <v>1128070.4</v>
      </c>
      <c r="U51" s="92">
        <f t="shared" si="7"/>
        <v>1128070.4</v>
      </c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117" t="s">
        <v>147</v>
      </c>
      <c r="C52" s="117" t="s">
        <v>84</v>
      </c>
      <c r="D52" s="117" t="s">
        <v>206</v>
      </c>
      <c r="E52" s="117" t="s">
        <v>207</v>
      </c>
      <c r="F52" s="117" t="s">
        <v>208</v>
      </c>
      <c r="G52" s="118">
        <v>33480.0</v>
      </c>
      <c r="H52" s="118">
        <v>33480.0</v>
      </c>
      <c r="I52" s="117">
        <v>30.0</v>
      </c>
      <c r="J52" s="115">
        <f t="shared" si="1"/>
        <v>2026</v>
      </c>
      <c r="K52" s="115">
        <f t="shared" si="2"/>
        <v>12</v>
      </c>
      <c r="L52" s="115">
        <f t="shared" si="3"/>
        <v>16</v>
      </c>
      <c r="M52" s="115">
        <f t="shared" si="4"/>
        <v>2026</v>
      </c>
      <c r="N52" s="115">
        <f t="shared" si="5"/>
        <v>18</v>
      </c>
      <c r="O52" s="3"/>
      <c r="P52" s="3"/>
      <c r="Q52" s="3">
        <v>2026.0</v>
      </c>
      <c r="R52" s="3">
        <v>47.0</v>
      </c>
      <c r="S52" s="77">
        <f t="shared" si="8"/>
        <v>46346</v>
      </c>
      <c r="T52" s="91">
        <f t="shared" si="6"/>
        <v>0</v>
      </c>
      <c r="U52" s="92">
        <f t="shared" si="7"/>
        <v>0</v>
      </c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117" t="s">
        <v>209</v>
      </c>
      <c r="C53" s="117" t="s">
        <v>84</v>
      </c>
      <c r="D53" s="117" t="s">
        <v>210</v>
      </c>
      <c r="E53" s="117" t="s">
        <v>211</v>
      </c>
      <c r="F53" s="117" t="s">
        <v>212</v>
      </c>
      <c r="G53" s="118">
        <v>60480.0</v>
      </c>
      <c r="H53" s="118">
        <v>60480.0</v>
      </c>
      <c r="I53" s="117">
        <v>45.0</v>
      </c>
      <c r="J53" s="115">
        <f t="shared" si="1"/>
        <v>2026</v>
      </c>
      <c r="K53" s="115">
        <f t="shared" si="2"/>
        <v>10</v>
      </c>
      <c r="L53" s="115">
        <f t="shared" si="3"/>
        <v>17</v>
      </c>
      <c r="M53" s="115">
        <f t="shared" si="4"/>
        <v>2026</v>
      </c>
      <c r="N53" s="115">
        <f t="shared" si="5"/>
        <v>19</v>
      </c>
      <c r="O53" s="3"/>
      <c r="P53" s="3"/>
      <c r="Q53" s="3">
        <v>2026.0</v>
      </c>
      <c r="R53" s="3">
        <v>48.0</v>
      </c>
      <c r="S53" s="77">
        <f t="shared" si="8"/>
        <v>46353</v>
      </c>
      <c r="T53" s="91">
        <f t="shared" si="6"/>
        <v>101727.5</v>
      </c>
      <c r="U53" s="92">
        <f t="shared" si="7"/>
        <v>101727.5</v>
      </c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117" t="s">
        <v>213</v>
      </c>
      <c r="C54" s="117" t="s">
        <v>84</v>
      </c>
      <c r="D54" s="117" t="s">
        <v>214</v>
      </c>
      <c r="E54" s="117" t="s">
        <v>155</v>
      </c>
      <c r="F54" s="117" t="s">
        <v>215</v>
      </c>
      <c r="G54" s="118">
        <v>71456.0</v>
      </c>
      <c r="H54" s="118">
        <v>71456.0</v>
      </c>
      <c r="I54" s="117">
        <v>30.0</v>
      </c>
      <c r="J54" s="115">
        <f t="shared" si="1"/>
        <v>2026</v>
      </c>
      <c r="K54" s="115">
        <f t="shared" si="2"/>
        <v>13</v>
      </c>
      <c r="L54" s="115">
        <f t="shared" si="3"/>
        <v>17</v>
      </c>
      <c r="M54" s="115">
        <f t="shared" si="4"/>
        <v>2026</v>
      </c>
      <c r="N54" s="115">
        <f t="shared" si="5"/>
        <v>19</v>
      </c>
      <c r="O54" s="3"/>
      <c r="P54" s="3"/>
      <c r="Q54" s="3">
        <v>2026.0</v>
      </c>
      <c r="R54" s="3">
        <v>49.0</v>
      </c>
      <c r="S54" s="77">
        <f t="shared" si="8"/>
        <v>46360</v>
      </c>
      <c r="T54" s="91">
        <f t="shared" si="6"/>
        <v>0</v>
      </c>
      <c r="U54" s="92">
        <f t="shared" si="7"/>
        <v>0</v>
      </c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117" t="s">
        <v>215</v>
      </c>
      <c r="C55" s="117" t="s">
        <v>216</v>
      </c>
      <c r="D55" s="117" t="s">
        <v>217</v>
      </c>
      <c r="E55" s="117" t="s">
        <v>218</v>
      </c>
      <c r="F55" s="117" t="s">
        <v>215</v>
      </c>
      <c r="G55" s="118">
        <v>-42336.0</v>
      </c>
      <c r="H55" s="118">
        <v>-42336.0</v>
      </c>
      <c r="I55" s="117"/>
      <c r="J55" s="115">
        <f t="shared" si="1"/>
        <v>2026</v>
      </c>
      <c r="K55" s="115">
        <f t="shared" si="2"/>
        <v>17</v>
      </c>
      <c r="L55" s="115">
        <f t="shared" si="3"/>
        <v>17</v>
      </c>
      <c r="M55" s="115">
        <f t="shared" si="4"/>
        <v>2026</v>
      </c>
      <c r="N55" s="115">
        <f t="shared" si="5"/>
        <v>19</v>
      </c>
      <c r="O55" s="3"/>
      <c r="P55" s="3"/>
      <c r="Q55" s="3">
        <v>2026.0</v>
      </c>
      <c r="R55" s="3">
        <v>50.0</v>
      </c>
      <c r="S55" s="77">
        <f t="shared" si="8"/>
        <v>46367</v>
      </c>
      <c r="T55" s="91">
        <f t="shared" si="6"/>
        <v>0</v>
      </c>
      <c r="U55" s="92">
        <f t="shared" si="7"/>
        <v>0</v>
      </c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117" t="s">
        <v>219</v>
      </c>
      <c r="C56" s="117" t="s">
        <v>84</v>
      </c>
      <c r="D56" s="117" t="s">
        <v>220</v>
      </c>
      <c r="E56" s="117" t="s">
        <v>124</v>
      </c>
      <c r="F56" s="117" t="s">
        <v>221</v>
      </c>
      <c r="G56" s="118">
        <v>21592.9</v>
      </c>
      <c r="H56" s="118">
        <v>21592.9</v>
      </c>
      <c r="I56" s="117">
        <v>90.0</v>
      </c>
      <c r="J56" s="115">
        <f t="shared" si="1"/>
        <v>2026</v>
      </c>
      <c r="K56" s="115">
        <f t="shared" si="2"/>
        <v>4</v>
      </c>
      <c r="L56" s="115">
        <f t="shared" si="3"/>
        <v>17</v>
      </c>
      <c r="M56" s="115">
        <f t="shared" si="4"/>
        <v>2026</v>
      </c>
      <c r="N56" s="115">
        <f t="shared" si="5"/>
        <v>19</v>
      </c>
      <c r="O56" s="3"/>
      <c r="P56" s="3"/>
      <c r="Q56" s="3">
        <v>2026.0</v>
      </c>
      <c r="R56" s="3">
        <v>51.0</v>
      </c>
      <c r="S56" s="77">
        <f t="shared" si="8"/>
        <v>46374</v>
      </c>
      <c r="T56" s="91">
        <f t="shared" si="6"/>
        <v>232020.4</v>
      </c>
      <c r="U56" s="92">
        <f t="shared" si="7"/>
        <v>232020.4</v>
      </c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117" t="s">
        <v>222</v>
      </c>
      <c r="C57" s="117" t="s">
        <v>84</v>
      </c>
      <c r="D57" s="117" t="s">
        <v>223</v>
      </c>
      <c r="E57" s="117" t="s">
        <v>224</v>
      </c>
      <c r="F57" s="117" t="s">
        <v>225</v>
      </c>
      <c r="G57" s="118">
        <v>1117000.0</v>
      </c>
      <c r="H57" s="118">
        <v>1117000.0</v>
      </c>
      <c r="I57" s="117">
        <v>45.0</v>
      </c>
      <c r="J57" s="115">
        <f t="shared" si="1"/>
        <v>2026</v>
      </c>
      <c r="K57" s="115">
        <f t="shared" si="2"/>
        <v>11</v>
      </c>
      <c r="L57" s="115">
        <f t="shared" si="3"/>
        <v>17</v>
      </c>
      <c r="M57" s="115">
        <f t="shared" si="4"/>
        <v>2026</v>
      </c>
      <c r="N57" s="115">
        <f t="shared" si="5"/>
        <v>19</v>
      </c>
      <c r="O57" s="3"/>
      <c r="P57" s="3"/>
      <c r="Q57" s="3">
        <v>2026.0</v>
      </c>
      <c r="R57" s="3">
        <v>52.0</v>
      </c>
      <c r="S57" s="77">
        <f t="shared" si="8"/>
        <v>46381</v>
      </c>
      <c r="T57" s="91">
        <f t="shared" si="6"/>
        <v>0</v>
      </c>
      <c r="U57" s="92">
        <f t="shared" si="7"/>
        <v>0</v>
      </c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117" t="s">
        <v>226</v>
      </c>
      <c r="C58" s="117" t="s">
        <v>84</v>
      </c>
      <c r="D58" s="117" t="s">
        <v>227</v>
      </c>
      <c r="E58" s="117" t="s">
        <v>228</v>
      </c>
      <c r="F58" s="117" t="s">
        <v>229</v>
      </c>
      <c r="G58" s="118">
        <v>74858.47</v>
      </c>
      <c r="H58" s="118">
        <v>74858.465</v>
      </c>
      <c r="I58" s="117">
        <v>30.0</v>
      </c>
      <c r="J58" s="115">
        <f t="shared" si="1"/>
        <v>2026</v>
      </c>
      <c r="K58" s="115">
        <f t="shared" si="2"/>
        <v>13</v>
      </c>
      <c r="L58" s="115">
        <f t="shared" si="3"/>
        <v>17</v>
      </c>
      <c r="M58" s="115">
        <f t="shared" si="4"/>
        <v>2026</v>
      </c>
      <c r="N58" s="115">
        <f t="shared" si="5"/>
        <v>19</v>
      </c>
      <c r="O58" s="3"/>
      <c r="P58" s="3"/>
      <c r="Q58" s="3">
        <v>2027.0</v>
      </c>
      <c r="R58" s="3">
        <v>1.0</v>
      </c>
      <c r="S58" s="77">
        <f t="shared" si="8"/>
        <v>46388</v>
      </c>
      <c r="T58" s="91">
        <f t="shared" si="6"/>
        <v>31200</v>
      </c>
      <c r="U58" s="92">
        <f t="shared" si="7"/>
        <v>31200</v>
      </c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117" t="s">
        <v>226</v>
      </c>
      <c r="C59" s="117" t="s">
        <v>84</v>
      </c>
      <c r="D59" s="117" t="s">
        <v>230</v>
      </c>
      <c r="E59" s="117" t="s">
        <v>231</v>
      </c>
      <c r="F59" s="117" t="s">
        <v>229</v>
      </c>
      <c r="G59" s="118">
        <v>26500.0</v>
      </c>
      <c r="H59" s="118">
        <v>26500.0</v>
      </c>
      <c r="I59" s="117">
        <v>30.0</v>
      </c>
      <c r="J59" s="115">
        <f t="shared" si="1"/>
        <v>2026</v>
      </c>
      <c r="K59" s="115">
        <f t="shared" si="2"/>
        <v>13</v>
      </c>
      <c r="L59" s="115">
        <f t="shared" si="3"/>
        <v>17</v>
      </c>
      <c r="M59" s="115">
        <f t="shared" si="4"/>
        <v>2026</v>
      </c>
      <c r="N59" s="115">
        <f t="shared" si="5"/>
        <v>19</v>
      </c>
      <c r="O59" s="3"/>
      <c r="P59" s="3"/>
      <c r="Q59" s="3">
        <v>2027.0</v>
      </c>
      <c r="R59" s="3">
        <v>2.0</v>
      </c>
      <c r="S59" s="77">
        <f t="shared" si="8"/>
        <v>46395</v>
      </c>
      <c r="T59" s="91">
        <f t="shared" si="6"/>
        <v>0</v>
      </c>
      <c r="U59" s="92">
        <f t="shared" si="7"/>
        <v>0</v>
      </c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117" t="s">
        <v>226</v>
      </c>
      <c r="C60" s="117" t="s">
        <v>84</v>
      </c>
      <c r="D60" s="117" t="s">
        <v>232</v>
      </c>
      <c r="E60" s="117" t="s">
        <v>233</v>
      </c>
      <c r="F60" s="117" t="s">
        <v>229</v>
      </c>
      <c r="G60" s="118">
        <v>18892.8</v>
      </c>
      <c r="H60" s="118">
        <v>18892.8</v>
      </c>
      <c r="I60" s="117">
        <v>30.0</v>
      </c>
      <c r="J60" s="115">
        <f t="shared" si="1"/>
        <v>2026</v>
      </c>
      <c r="K60" s="115">
        <f t="shared" si="2"/>
        <v>13</v>
      </c>
      <c r="L60" s="115">
        <f t="shared" si="3"/>
        <v>17</v>
      </c>
      <c r="M60" s="115">
        <f t="shared" si="4"/>
        <v>2026</v>
      </c>
      <c r="N60" s="115">
        <f t="shared" si="5"/>
        <v>19</v>
      </c>
      <c r="O60" s="3"/>
      <c r="P60" s="3"/>
      <c r="Q60" s="3">
        <v>2027.0</v>
      </c>
      <c r="R60" s="3">
        <v>3.0</v>
      </c>
      <c r="S60" s="77">
        <f t="shared" si="8"/>
        <v>46402</v>
      </c>
      <c r="T60" s="91">
        <f t="shared" si="6"/>
        <v>0</v>
      </c>
      <c r="U60" s="92">
        <f t="shared" si="7"/>
        <v>0</v>
      </c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117" t="s">
        <v>226</v>
      </c>
      <c r="C61" s="117" t="s">
        <v>84</v>
      </c>
      <c r="D61" s="117" t="s">
        <v>234</v>
      </c>
      <c r="E61" s="117" t="s">
        <v>235</v>
      </c>
      <c r="F61" s="117" t="s">
        <v>229</v>
      </c>
      <c r="G61" s="118">
        <v>50000.0</v>
      </c>
      <c r="H61" s="118">
        <v>50000.0</v>
      </c>
      <c r="I61" s="117">
        <v>30.0</v>
      </c>
      <c r="J61" s="115">
        <f t="shared" si="1"/>
        <v>2026</v>
      </c>
      <c r="K61" s="115">
        <f t="shared" si="2"/>
        <v>13</v>
      </c>
      <c r="L61" s="115">
        <f t="shared" si="3"/>
        <v>17</v>
      </c>
      <c r="M61" s="115">
        <f t="shared" si="4"/>
        <v>2026</v>
      </c>
      <c r="N61" s="115">
        <f t="shared" si="5"/>
        <v>19</v>
      </c>
      <c r="O61" s="3"/>
      <c r="P61" s="3"/>
      <c r="Q61" s="3">
        <v>2027.0</v>
      </c>
      <c r="R61" s="3">
        <v>4.0</v>
      </c>
      <c r="S61" s="77">
        <f t="shared" si="8"/>
        <v>46409</v>
      </c>
      <c r="T61" s="91">
        <f t="shared" si="6"/>
        <v>0</v>
      </c>
      <c r="U61" s="92">
        <f t="shared" si="7"/>
        <v>0</v>
      </c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117" t="s">
        <v>163</v>
      </c>
      <c r="C62" s="117" t="s">
        <v>84</v>
      </c>
      <c r="D62" s="117" t="s">
        <v>236</v>
      </c>
      <c r="E62" s="117" t="s">
        <v>237</v>
      </c>
      <c r="F62" s="117" t="s">
        <v>238</v>
      </c>
      <c r="G62" s="118">
        <v>10640.0</v>
      </c>
      <c r="H62" s="118">
        <v>10640.0</v>
      </c>
      <c r="I62" s="117">
        <v>60.0</v>
      </c>
      <c r="J62" s="115">
        <f t="shared" si="1"/>
        <v>2026</v>
      </c>
      <c r="K62" s="115">
        <f t="shared" si="2"/>
        <v>9</v>
      </c>
      <c r="L62" s="115">
        <f t="shared" si="3"/>
        <v>18</v>
      </c>
      <c r="M62" s="115">
        <f t="shared" si="4"/>
        <v>2026</v>
      </c>
      <c r="N62" s="115">
        <f t="shared" si="5"/>
        <v>20</v>
      </c>
      <c r="O62" s="3"/>
      <c r="P62" s="3"/>
      <c r="Q62" s="3">
        <v>2027.0</v>
      </c>
      <c r="R62" s="3">
        <v>5.0</v>
      </c>
      <c r="S62" s="77">
        <f t="shared" si="8"/>
        <v>46416</v>
      </c>
      <c r="T62" s="91">
        <f t="shared" si="6"/>
        <v>0</v>
      </c>
      <c r="U62" s="92">
        <f t="shared" si="7"/>
        <v>0</v>
      </c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117" t="s">
        <v>171</v>
      </c>
      <c r="C63" s="117" t="s">
        <v>84</v>
      </c>
      <c r="D63" s="117" t="s">
        <v>239</v>
      </c>
      <c r="E63" s="117" t="s">
        <v>240</v>
      </c>
      <c r="F63" s="117" t="s">
        <v>241</v>
      </c>
      <c r="G63" s="118">
        <v>93324.0</v>
      </c>
      <c r="H63" s="118">
        <v>93324.0</v>
      </c>
      <c r="I63" s="117">
        <v>30.0</v>
      </c>
      <c r="J63" s="115">
        <f t="shared" si="1"/>
        <v>2026</v>
      </c>
      <c r="K63" s="115">
        <f t="shared" si="2"/>
        <v>14</v>
      </c>
      <c r="L63" s="115">
        <f t="shared" si="3"/>
        <v>18</v>
      </c>
      <c r="M63" s="115">
        <f t="shared" si="4"/>
        <v>2026</v>
      </c>
      <c r="N63" s="115">
        <f t="shared" si="5"/>
        <v>20</v>
      </c>
      <c r="O63" s="3"/>
      <c r="P63" s="3"/>
      <c r="Q63" s="3">
        <v>2027.0</v>
      </c>
      <c r="R63" s="3">
        <v>6.0</v>
      </c>
      <c r="S63" s="77">
        <f t="shared" si="8"/>
        <v>46423</v>
      </c>
      <c r="T63" s="91">
        <f t="shared" si="6"/>
        <v>0</v>
      </c>
      <c r="U63" s="92">
        <f t="shared" si="7"/>
        <v>0</v>
      </c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117" t="s">
        <v>107</v>
      </c>
      <c r="C64" s="117" t="s">
        <v>84</v>
      </c>
      <c r="D64" s="117" t="s">
        <v>242</v>
      </c>
      <c r="E64" s="117" t="s">
        <v>243</v>
      </c>
      <c r="F64" s="117" t="s">
        <v>244</v>
      </c>
      <c r="G64" s="118">
        <v>159200.0</v>
      </c>
      <c r="H64" s="118">
        <v>159200.0</v>
      </c>
      <c r="I64" s="117">
        <v>90.0</v>
      </c>
      <c r="J64" s="115">
        <f t="shared" si="1"/>
        <v>2026</v>
      </c>
      <c r="K64" s="115">
        <f t="shared" si="2"/>
        <v>5</v>
      </c>
      <c r="L64" s="115">
        <f t="shared" si="3"/>
        <v>18</v>
      </c>
      <c r="M64" s="115">
        <f t="shared" si="4"/>
        <v>2026</v>
      </c>
      <c r="N64" s="115">
        <f t="shared" si="5"/>
        <v>20</v>
      </c>
      <c r="O64" s="3"/>
      <c r="P64" s="3"/>
      <c r="Q64" s="3">
        <v>2027.0</v>
      </c>
      <c r="R64" s="3">
        <v>7.0</v>
      </c>
      <c r="S64" s="77">
        <f t="shared" si="8"/>
        <v>46430</v>
      </c>
      <c r="T64" s="91">
        <f t="shared" si="6"/>
        <v>0</v>
      </c>
      <c r="U64" s="92">
        <f t="shared" si="7"/>
        <v>0</v>
      </c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117" t="s">
        <v>107</v>
      </c>
      <c r="C65" s="117" t="s">
        <v>84</v>
      </c>
      <c r="D65" s="117" t="s">
        <v>245</v>
      </c>
      <c r="E65" s="117" t="s">
        <v>92</v>
      </c>
      <c r="F65" s="117" t="s">
        <v>244</v>
      </c>
      <c r="G65" s="118">
        <v>39615.0</v>
      </c>
      <c r="H65" s="118">
        <v>39615.0</v>
      </c>
      <c r="I65" s="117">
        <v>90.0</v>
      </c>
      <c r="J65" s="115">
        <f t="shared" si="1"/>
        <v>2026</v>
      </c>
      <c r="K65" s="115">
        <f t="shared" si="2"/>
        <v>5</v>
      </c>
      <c r="L65" s="115">
        <f t="shared" si="3"/>
        <v>18</v>
      </c>
      <c r="M65" s="115">
        <f t="shared" si="4"/>
        <v>2026</v>
      </c>
      <c r="N65" s="115">
        <f t="shared" si="5"/>
        <v>20</v>
      </c>
      <c r="O65" s="3"/>
      <c r="P65" s="3"/>
      <c r="Q65" s="3">
        <v>2027.0</v>
      </c>
      <c r="R65" s="3">
        <v>8.0</v>
      </c>
      <c r="S65" s="77">
        <f t="shared" si="8"/>
        <v>46437</v>
      </c>
      <c r="T65" s="91">
        <f t="shared" si="6"/>
        <v>0</v>
      </c>
      <c r="U65" s="92">
        <f t="shared" si="7"/>
        <v>0</v>
      </c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117" t="s">
        <v>142</v>
      </c>
      <c r="C66" s="117" t="s">
        <v>84</v>
      </c>
      <c r="D66" s="117" t="s">
        <v>246</v>
      </c>
      <c r="E66" s="117" t="s">
        <v>247</v>
      </c>
      <c r="F66" s="117" t="s">
        <v>244</v>
      </c>
      <c r="G66" s="118">
        <v>55250.0</v>
      </c>
      <c r="H66" s="118">
        <v>55250.0</v>
      </c>
      <c r="I66" s="117">
        <v>45.0</v>
      </c>
      <c r="J66" s="115">
        <f t="shared" si="1"/>
        <v>2026</v>
      </c>
      <c r="K66" s="115">
        <f t="shared" si="2"/>
        <v>12</v>
      </c>
      <c r="L66" s="115">
        <f t="shared" si="3"/>
        <v>18</v>
      </c>
      <c r="M66" s="115">
        <f t="shared" si="4"/>
        <v>2026</v>
      </c>
      <c r="N66" s="115">
        <f t="shared" si="5"/>
        <v>20</v>
      </c>
      <c r="O66" s="3"/>
      <c r="P66" s="3"/>
      <c r="Q66" s="3">
        <v>2027.0</v>
      </c>
      <c r="R66" s="3">
        <v>9.0</v>
      </c>
      <c r="S66" s="77">
        <f t="shared" si="8"/>
        <v>46444</v>
      </c>
      <c r="T66" s="91">
        <f t="shared" si="6"/>
        <v>0</v>
      </c>
      <c r="U66" s="92">
        <f t="shared" si="7"/>
        <v>0</v>
      </c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117" t="s">
        <v>248</v>
      </c>
      <c r="C67" s="117" t="s">
        <v>84</v>
      </c>
      <c r="D67" s="117" t="s">
        <v>249</v>
      </c>
      <c r="E67" s="117" t="s">
        <v>250</v>
      </c>
      <c r="F67" s="117" t="s">
        <v>244</v>
      </c>
      <c r="G67" s="118">
        <v>99228.0</v>
      </c>
      <c r="H67" s="118">
        <v>99228.0</v>
      </c>
      <c r="I67" s="117">
        <v>30.0</v>
      </c>
      <c r="J67" s="115">
        <f t="shared" si="1"/>
        <v>2026</v>
      </c>
      <c r="K67" s="115">
        <f t="shared" si="2"/>
        <v>14</v>
      </c>
      <c r="L67" s="115">
        <f t="shared" si="3"/>
        <v>18</v>
      </c>
      <c r="M67" s="115">
        <f t="shared" si="4"/>
        <v>2026</v>
      </c>
      <c r="N67" s="115">
        <f t="shared" si="5"/>
        <v>20</v>
      </c>
      <c r="O67" s="3"/>
      <c r="P67" s="3"/>
      <c r="Q67" s="3">
        <v>2027.0</v>
      </c>
      <c r="R67" s="3">
        <v>10.0</v>
      </c>
      <c r="S67" s="77">
        <f t="shared" si="8"/>
        <v>46451</v>
      </c>
      <c r="T67" s="91">
        <f t="shared" si="6"/>
        <v>0</v>
      </c>
      <c r="U67" s="92">
        <f t="shared" si="7"/>
        <v>0</v>
      </c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117" t="s">
        <v>248</v>
      </c>
      <c r="C68" s="117" t="s">
        <v>84</v>
      </c>
      <c r="D68" s="117" t="s">
        <v>251</v>
      </c>
      <c r="E68" s="117" t="s">
        <v>250</v>
      </c>
      <c r="F68" s="117" t="s">
        <v>244</v>
      </c>
      <c r="G68" s="118">
        <v>59536.8</v>
      </c>
      <c r="H68" s="118">
        <v>59536.8</v>
      </c>
      <c r="I68" s="117">
        <v>30.0</v>
      </c>
      <c r="J68" s="115">
        <f t="shared" si="1"/>
        <v>2026</v>
      </c>
      <c r="K68" s="115">
        <f t="shared" si="2"/>
        <v>14</v>
      </c>
      <c r="L68" s="115">
        <f t="shared" si="3"/>
        <v>18</v>
      </c>
      <c r="M68" s="115">
        <f t="shared" si="4"/>
        <v>2026</v>
      </c>
      <c r="N68" s="115">
        <f t="shared" si="5"/>
        <v>20</v>
      </c>
      <c r="O68" s="3"/>
      <c r="P68" s="3"/>
      <c r="Q68" s="3">
        <v>2027.0</v>
      </c>
      <c r="R68" s="3">
        <v>11.0</v>
      </c>
      <c r="S68" s="77">
        <f t="shared" si="8"/>
        <v>46458</v>
      </c>
      <c r="T68" s="91">
        <f t="shared" si="6"/>
        <v>0</v>
      </c>
      <c r="U68" s="92">
        <f t="shared" si="7"/>
        <v>0</v>
      </c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117" t="s">
        <v>248</v>
      </c>
      <c r="C69" s="117" t="s">
        <v>84</v>
      </c>
      <c r="D69" s="117" t="s">
        <v>252</v>
      </c>
      <c r="E69" s="117" t="s">
        <v>161</v>
      </c>
      <c r="F69" s="117" t="s">
        <v>244</v>
      </c>
      <c r="G69" s="118">
        <v>36960.0</v>
      </c>
      <c r="H69" s="118">
        <v>36960.0</v>
      </c>
      <c r="I69" s="117">
        <v>30.0</v>
      </c>
      <c r="J69" s="115">
        <f t="shared" si="1"/>
        <v>2026</v>
      </c>
      <c r="K69" s="115">
        <f t="shared" si="2"/>
        <v>14</v>
      </c>
      <c r="L69" s="115">
        <f t="shared" si="3"/>
        <v>18</v>
      </c>
      <c r="M69" s="115">
        <f t="shared" si="4"/>
        <v>2026</v>
      </c>
      <c r="N69" s="115">
        <f t="shared" si="5"/>
        <v>20</v>
      </c>
      <c r="O69" s="3"/>
      <c r="P69" s="3"/>
      <c r="Q69" s="3">
        <v>2027.0</v>
      </c>
      <c r="R69" s="3">
        <v>12.0</v>
      </c>
      <c r="S69" s="77">
        <f t="shared" si="8"/>
        <v>46465</v>
      </c>
      <c r="T69" s="91">
        <f t="shared" si="6"/>
        <v>0</v>
      </c>
      <c r="U69" s="92">
        <f t="shared" si="7"/>
        <v>0</v>
      </c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117" t="s">
        <v>248</v>
      </c>
      <c r="C70" s="117" t="s">
        <v>84</v>
      </c>
      <c r="D70" s="117" t="s">
        <v>253</v>
      </c>
      <c r="E70" s="117" t="s">
        <v>150</v>
      </c>
      <c r="F70" s="117" t="s">
        <v>244</v>
      </c>
      <c r="G70" s="118">
        <v>89035.2</v>
      </c>
      <c r="H70" s="118">
        <v>89035.2</v>
      </c>
      <c r="I70" s="117">
        <v>30.0</v>
      </c>
      <c r="J70" s="115">
        <f t="shared" si="1"/>
        <v>2026</v>
      </c>
      <c r="K70" s="115">
        <f t="shared" si="2"/>
        <v>14</v>
      </c>
      <c r="L70" s="115">
        <f t="shared" si="3"/>
        <v>18</v>
      </c>
      <c r="M70" s="115">
        <f t="shared" si="4"/>
        <v>2026</v>
      </c>
      <c r="N70" s="115">
        <f t="shared" si="5"/>
        <v>20</v>
      </c>
      <c r="O70" s="3"/>
      <c r="P70" s="3"/>
      <c r="Q70" s="3">
        <v>2027.0</v>
      </c>
      <c r="R70" s="3">
        <v>13.0</v>
      </c>
      <c r="S70" s="77">
        <f t="shared" si="8"/>
        <v>46472</v>
      </c>
      <c r="T70" s="91">
        <f t="shared" si="6"/>
        <v>0</v>
      </c>
      <c r="U70" s="92">
        <f t="shared" si="7"/>
        <v>0</v>
      </c>
      <c r="V70" s="3"/>
      <c r="W70" s="3"/>
      <c r="X70" s="3"/>
      <c r="Y70" s="3"/>
      <c r="Z70" s="3"/>
      <c r="AA70" s="3"/>
      <c r="AB70" s="3"/>
      <c r="AC70" s="3"/>
      <c r="AD70" s="3"/>
    </row>
    <row r="71" ht="15.0" customHeight="1">
      <c r="A71" s="3"/>
      <c r="B71" s="117" t="s">
        <v>248</v>
      </c>
      <c r="C71" s="117" t="s">
        <v>84</v>
      </c>
      <c r="D71" s="117" t="s">
        <v>254</v>
      </c>
      <c r="E71" s="117" t="s">
        <v>255</v>
      </c>
      <c r="F71" s="117" t="s">
        <v>244</v>
      </c>
      <c r="G71" s="118">
        <v>8736.0</v>
      </c>
      <c r="H71" s="118">
        <v>8736.0</v>
      </c>
      <c r="I71" s="117">
        <v>30.0</v>
      </c>
      <c r="J71" s="115">
        <f t="shared" si="1"/>
        <v>2026</v>
      </c>
      <c r="K71" s="115">
        <f t="shared" si="2"/>
        <v>14</v>
      </c>
      <c r="L71" s="115">
        <f t="shared" si="3"/>
        <v>18</v>
      </c>
      <c r="M71" s="115">
        <f t="shared" si="4"/>
        <v>2026</v>
      </c>
      <c r="N71" s="115">
        <f t="shared" si="5"/>
        <v>20</v>
      </c>
      <c r="O71" s="4"/>
      <c r="P71" s="4"/>
      <c r="Q71" s="3">
        <v>2027.0</v>
      </c>
      <c r="R71" s="3">
        <v>14.0</v>
      </c>
      <c r="S71" s="77">
        <f t="shared" si="8"/>
        <v>46479</v>
      </c>
      <c r="T71" s="91">
        <f t="shared" si="6"/>
        <v>0</v>
      </c>
      <c r="U71" s="92">
        <f t="shared" si="7"/>
        <v>0</v>
      </c>
      <c r="V71" s="4"/>
      <c r="W71" s="4"/>
      <c r="X71" s="4"/>
      <c r="Y71" s="4"/>
      <c r="Z71" s="4"/>
      <c r="AA71" s="4"/>
      <c r="AB71" s="4"/>
      <c r="AC71" s="4"/>
      <c r="AD71" s="4"/>
    </row>
    <row r="72" ht="15.0" customHeight="1">
      <c r="A72" s="3"/>
      <c r="B72" s="117" t="s">
        <v>248</v>
      </c>
      <c r="C72" s="117" t="s">
        <v>84</v>
      </c>
      <c r="D72" s="117" t="s">
        <v>256</v>
      </c>
      <c r="E72" s="117" t="s">
        <v>257</v>
      </c>
      <c r="F72" s="117" t="s">
        <v>244</v>
      </c>
      <c r="G72" s="118">
        <v>10368.0</v>
      </c>
      <c r="H72" s="118">
        <v>10368.0</v>
      </c>
      <c r="I72" s="117">
        <v>30.0</v>
      </c>
      <c r="J72" s="115">
        <f t="shared" si="1"/>
        <v>2026</v>
      </c>
      <c r="K72" s="115">
        <f t="shared" si="2"/>
        <v>14</v>
      </c>
      <c r="L72" s="115">
        <f t="shared" si="3"/>
        <v>18</v>
      </c>
      <c r="M72" s="115">
        <f t="shared" si="4"/>
        <v>2026</v>
      </c>
      <c r="N72" s="115">
        <f t="shared" si="5"/>
        <v>20</v>
      </c>
      <c r="O72" s="4"/>
      <c r="P72" s="4"/>
      <c r="Q72" s="3">
        <v>2027.0</v>
      </c>
      <c r="R72" s="3">
        <v>15.0</v>
      </c>
      <c r="S72" s="77">
        <f t="shared" si="8"/>
        <v>46486</v>
      </c>
      <c r="T72" s="91">
        <f t="shared" si="6"/>
        <v>0</v>
      </c>
      <c r="U72" s="92">
        <f t="shared" si="7"/>
        <v>0</v>
      </c>
      <c r="V72" s="4"/>
      <c r="W72" s="4"/>
      <c r="X72" s="4"/>
      <c r="Y72" s="4"/>
      <c r="Z72" s="4"/>
      <c r="AA72" s="4"/>
      <c r="AB72" s="4"/>
      <c r="AC72" s="4"/>
      <c r="AD72" s="4"/>
    </row>
    <row r="73" ht="15.0" customHeight="1">
      <c r="A73" s="3"/>
      <c r="B73" s="117" t="s">
        <v>248</v>
      </c>
      <c r="C73" s="117" t="s">
        <v>84</v>
      </c>
      <c r="D73" s="117" t="s">
        <v>258</v>
      </c>
      <c r="E73" s="117" t="s">
        <v>259</v>
      </c>
      <c r="F73" s="117" t="s">
        <v>244</v>
      </c>
      <c r="G73" s="118">
        <v>19440.0</v>
      </c>
      <c r="H73" s="118">
        <v>19440.0</v>
      </c>
      <c r="I73" s="117">
        <v>30.0</v>
      </c>
      <c r="J73" s="115">
        <f t="shared" si="1"/>
        <v>2026</v>
      </c>
      <c r="K73" s="115">
        <f t="shared" si="2"/>
        <v>14</v>
      </c>
      <c r="L73" s="115">
        <f t="shared" si="3"/>
        <v>18</v>
      </c>
      <c r="M73" s="115">
        <f t="shared" si="4"/>
        <v>2026</v>
      </c>
      <c r="N73" s="115">
        <f t="shared" si="5"/>
        <v>20</v>
      </c>
      <c r="O73" s="4"/>
      <c r="P73" s="4"/>
      <c r="Q73" s="3">
        <v>2027.0</v>
      </c>
      <c r="R73" s="3">
        <v>16.0</v>
      </c>
      <c r="S73" s="77">
        <f t="shared" si="8"/>
        <v>46493</v>
      </c>
      <c r="T73" s="91">
        <f t="shared" si="6"/>
        <v>0</v>
      </c>
      <c r="U73" s="92">
        <f t="shared" si="7"/>
        <v>0</v>
      </c>
      <c r="V73" s="4"/>
      <c r="W73" s="4"/>
      <c r="X73" s="4"/>
      <c r="Y73" s="4"/>
      <c r="Z73" s="4"/>
      <c r="AA73" s="4"/>
      <c r="AB73" s="4"/>
      <c r="AC73" s="4"/>
      <c r="AD73" s="4"/>
    </row>
    <row r="74" ht="15.0" customHeight="1">
      <c r="A74" s="3"/>
      <c r="B74" s="117" t="s">
        <v>248</v>
      </c>
      <c r="C74" s="117" t="s">
        <v>84</v>
      </c>
      <c r="D74" s="117" t="s">
        <v>260</v>
      </c>
      <c r="E74" s="117" t="s">
        <v>261</v>
      </c>
      <c r="F74" s="117" t="s">
        <v>244</v>
      </c>
      <c r="G74" s="118">
        <v>27682.0</v>
      </c>
      <c r="H74" s="118">
        <v>27682.0</v>
      </c>
      <c r="I74" s="117">
        <v>30.0</v>
      </c>
      <c r="J74" s="115">
        <f t="shared" si="1"/>
        <v>2026</v>
      </c>
      <c r="K74" s="115">
        <f t="shared" si="2"/>
        <v>14</v>
      </c>
      <c r="L74" s="115">
        <f t="shared" si="3"/>
        <v>18</v>
      </c>
      <c r="M74" s="115">
        <f t="shared" si="4"/>
        <v>2026</v>
      </c>
      <c r="N74" s="115">
        <f t="shared" si="5"/>
        <v>20</v>
      </c>
      <c r="O74" s="4"/>
      <c r="P74" s="4"/>
      <c r="Q74" s="3">
        <v>2027.0</v>
      </c>
      <c r="R74" s="3">
        <v>17.0</v>
      </c>
      <c r="S74" s="77">
        <f t="shared" si="8"/>
        <v>46500</v>
      </c>
      <c r="T74" s="91">
        <f t="shared" si="6"/>
        <v>0</v>
      </c>
      <c r="U74" s="92">
        <f t="shared" si="7"/>
        <v>0</v>
      </c>
      <c r="V74" s="4"/>
      <c r="W74" s="4"/>
      <c r="X74" s="4"/>
      <c r="Y74" s="4"/>
      <c r="Z74" s="4"/>
      <c r="AA74" s="4"/>
      <c r="AB74" s="4"/>
      <c r="AC74" s="4"/>
      <c r="AD74" s="4"/>
    </row>
    <row r="75" ht="15.0" customHeight="1">
      <c r="A75" s="3"/>
      <c r="B75" s="117" t="s">
        <v>248</v>
      </c>
      <c r="C75" s="117" t="s">
        <v>84</v>
      </c>
      <c r="D75" s="117" t="s">
        <v>262</v>
      </c>
      <c r="E75" s="117" t="s">
        <v>261</v>
      </c>
      <c r="F75" s="117" t="s">
        <v>244</v>
      </c>
      <c r="G75" s="118">
        <v>27682.0</v>
      </c>
      <c r="H75" s="118">
        <v>27682.0</v>
      </c>
      <c r="I75" s="117">
        <v>30.0</v>
      </c>
      <c r="J75" s="115">
        <f t="shared" si="1"/>
        <v>2026</v>
      </c>
      <c r="K75" s="115">
        <f t="shared" si="2"/>
        <v>14</v>
      </c>
      <c r="L75" s="115">
        <f t="shared" si="3"/>
        <v>18</v>
      </c>
      <c r="M75" s="115">
        <f t="shared" si="4"/>
        <v>2026</v>
      </c>
      <c r="N75" s="115">
        <f t="shared" si="5"/>
        <v>20</v>
      </c>
      <c r="O75" s="4"/>
      <c r="P75" s="4"/>
      <c r="Q75" s="3">
        <v>2027.0</v>
      </c>
      <c r="R75" s="3">
        <v>18.0</v>
      </c>
      <c r="S75" s="77">
        <f t="shared" si="8"/>
        <v>46507</v>
      </c>
      <c r="T75" s="91">
        <f t="shared" si="6"/>
        <v>0</v>
      </c>
      <c r="U75" s="92">
        <f t="shared" si="7"/>
        <v>0</v>
      </c>
      <c r="V75" s="4"/>
      <c r="W75" s="4"/>
      <c r="X75" s="4"/>
      <c r="Y75" s="4"/>
      <c r="Z75" s="4"/>
      <c r="AA75" s="4"/>
      <c r="AB75" s="4"/>
      <c r="AC75" s="4"/>
      <c r="AD75" s="4"/>
    </row>
    <row r="76" ht="15.0" customHeight="1">
      <c r="A76" s="3"/>
      <c r="B76" s="117" t="s">
        <v>248</v>
      </c>
      <c r="C76" s="117" t="s">
        <v>84</v>
      </c>
      <c r="D76" s="117" t="s">
        <v>263</v>
      </c>
      <c r="E76" s="117" t="s">
        <v>261</v>
      </c>
      <c r="F76" s="117" t="s">
        <v>244</v>
      </c>
      <c r="G76" s="118">
        <v>27682.0</v>
      </c>
      <c r="H76" s="118">
        <v>27682.0</v>
      </c>
      <c r="I76" s="117">
        <v>30.0</v>
      </c>
      <c r="J76" s="115">
        <f t="shared" si="1"/>
        <v>2026</v>
      </c>
      <c r="K76" s="115">
        <f t="shared" si="2"/>
        <v>14</v>
      </c>
      <c r="L76" s="115">
        <f t="shared" si="3"/>
        <v>18</v>
      </c>
      <c r="M76" s="115">
        <f t="shared" si="4"/>
        <v>2026</v>
      </c>
      <c r="N76" s="115">
        <f t="shared" si="5"/>
        <v>20</v>
      </c>
      <c r="O76" s="4"/>
      <c r="P76" s="4"/>
      <c r="Q76" s="3">
        <v>2027.0</v>
      </c>
      <c r="R76" s="3">
        <v>19.0</v>
      </c>
      <c r="S76" s="77">
        <f t="shared" si="8"/>
        <v>46514</v>
      </c>
      <c r="T76" s="91">
        <f t="shared" si="6"/>
        <v>0</v>
      </c>
      <c r="U76" s="92">
        <f t="shared" si="7"/>
        <v>0</v>
      </c>
      <c r="V76" s="4"/>
      <c r="W76" s="4"/>
      <c r="X76" s="4"/>
      <c r="Y76" s="4"/>
      <c r="Z76" s="4"/>
      <c r="AA76" s="4"/>
      <c r="AB76" s="4"/>
      <c r="AC76" s="4"/>
      <c r="AD76" s="4"/>
    </row>
    <row r="77" ht="15.0" customHeight="1">
      <c r="A77" s="3"/>
      <c r="B77" s="117" t="s">
        <v>248</v>
      </c>
      <c r="C77" s="117" t="s">
        <v>84</v>
      </c>
      <c r="D77" s="117" t="s">
        <v>264</v>
      </c>
      <c r="E77" s="117" t="s">
        <v>261</v>
      </c>
      <c r="F77" s="117" t="s">
        <v>244</v>
      </c>
      <c r="G77" s="118">
        <v>27682.0</v>
      </c>
      <c r="H77" s="118">
        <v>27682.0</v>
      </c>
      <c r="I77" s="117">
        <v>30.0</v>
      </c>
      <c r="J77" s="115">
        <f t="shared" si="1"/>
        <v>2026</v>
      </c>
      <c r="K77" s="115">
        <f t="shared" si="2"/>
        <v>14</v>
      </c>
      <c r="L77" s="115">
        <f t="shared" si="3"/>
        <v>18</v>
      </c>
      <c r="M77" s="115">
        <f t="shared" si="4"/>
        <v>2026</v>
      </c>
      <c r="N77" s="115">
        <f t="shared" si="5"/>
        <v>20</v>
      </c>
      <c r="O77" s="4"/>
      <c r="P77" s="4"/>
      <c r="Q77" s="3">
        <v>2027.0</v>
      </c>
      <c r="R77" s="3">
        <v>20.0</v>
      </c>
      <c r="S77" s="77">
        <f t="shared" si="8"/>
        <v>46521</v>
      </c>
      <c r="T77" s="91">
        <f t="shared" si="6"/>
        <v>0</v>
      </c>
      <c r="U77" s="92">
        <f t="shared" si="7"/>
        <v>0</v>
      </c>
      <c r="V77" s="4"/>
      <c r="W77" s="4"/>
      <c r="X77" s="4"/>
      <c r="Y77" s="4"/>
      <c r="Z77" s="4"/>
      <c r="AA77" s="4"/>
      <c r="AB77" s="4"/>
      <c r="AC77" s="4"/>
      <c r="AD77" s="4"/>
    </row>
    <row r="78" ht="15.0" customHeight="1">
      <c r="A78" s="3"/>
      <c r="B78" s="117" t="s">
        <v>248</v>
      </c>
      <c r="C78" s="117" t="s">
        <v>84</v>
      </c>
      <c r="D78" s="117" t="s">
        <v>265</v>
      </c>
      <c r="E78" s="117" t="s">
        <v>261</v>
      </c>
      <c r="F78" s="117" t="s">
        <v>244</v>
      </c>
      <c r="G78" s="118">
        <v>27682.0</v>
      </c>
      <c r="H78" s="118">
        <v>27682.0</v>
      </c>
      <c r="I78" s="117">
        <v>30.0</v>
      </c>
      <c r="J78" s="115">
        <f t="shared" si="1"/>
        <v>2026</v>
      </c>
      <c r="K78" s="115">
        <f t="shared" si="2"/>
        <v>14</v>
      </c>
      <c r="L78" s="115">
        <f t="shared" si="3"/>
        <v>18</v>
      </c>
      <c r="M78" s="115">
        <f t="shared" si="4"/>
        <v>2026</v>
      </c>
      <c r="N78" s="115">
        <f t="shared" si="5"/>
        <v>20</v>
      </c>
      <c r="O78" s="4"/>
      <c r="P78" s="4"/>
      <c r="Q78" s="3">
        <v>2027.0</v>
      </c>
      <c r="R78" s="3">
        <v>21.0</v>
      </c>
      <c r="S78" s="77">
        <f t="shared" si="8"/>
        <v>46528</v>
      </c>
      <c r="T78" s="91">
        <f t="shared" si="6"/>
        <v>0</v>
      </c>
      <c r="U78" s="92">
        <f t="shared" si="7"/>
        <v>0</v>
      </c>
      <c r="V78" s="4"/>
      <c r="W78" s="4"/>
      <c r="X78" s="4"/>
      <c r="Y78" s="4"/>
      <c r="Z78" s="4"/>
      <c r="AA78" s="4"/>
      <c r="AB78" s="4"/>
      <c r="AC78" s="4"/>
      <c r="AD78" s="4"/>
    </row>
    <row r="79" ht="15.0" customHeight="1">
      <c r="A79" s="3"/>
      <c r="B79" s="117" t="s">
        <v>248</v>
      </c>
      <c r="C79" s="117" t="s">
        <v>84</v>
      </c>
      <c r="D79" s="117" t="s">
        <v>266</v>
      </c>
      <c r="E79" s="117" t="s">
        <v>267</v>
      </c>
      <c r="F79" s="117" t="s">
        <v>244</v>
      </c>
      <c r="G79" s="118">
        <v>14750.0</v>
      </c>
      <c r="H79" s="118">
        <v>14750.0</v>
      </c>
      <c r="I79" s="117">
        <v>30.0</v>
      </c>
      <c r="J79" s="115">
        <f t="shared" si="1"/>
        <v>2026</v>
      </c>
      <c r="K79" s="115">
        <f t="shared" si="2"/>
        <v>14</v>
      </c>
      <c r="L79" s="115">
        <f t="shared" si="3"/>
        <v>18</v>
      </c>
      <c r="M79" s="115">
        <f t="shared" si="4"/>
        <v>2026</v>
      </c>
      <c r="N79" s="115">
        <f t="shared" si="5"/>
        <v>20</v>
      </c>
      <c r="O79" s="4"/>
      <c r="P79" s="4"/>
      <c r="Q79" s="3">
        <v>2027.0</v>
      </c>
      <c r="R79" s="3">
        <v>22.0</v>
      </c>
      <c r="S79" s="77">
        <f t="shared" si="8"/>
        <v>46535</v>
      </c>
      <c r="T79" s="91">
        <f t="shared" si="6"/>
        <v>0</v>
      </c>
      <c r="U79" s="92">
        <f t="shared" si="7"/>
        <v>0</v>
      </c>
      <c r="V79" s="4"/>
      <c r="W79" s="4"/>
      <c r="X79" s="4"/>
      <c r="Y79" s="4"/>
      <c r="Z79" s="4"/>
      <c r="AA79" s="4"/>
      <c r="AB79" s="4"/>
      <c r="AC79" s="4"/>
      <c r="AD79" s="4"/>
    </row>
    <row r="80" ht="15.0" customHeight="1">
      <c r="A80" s="3"/>
      <c r="B80" s="117" t="s">
        <v>248</v>
      </c>
      <c r="C80" s="117" t="s">
        <v>84</v>
      </c>
      <c r="D80" s="117" t="s">
        <v>268</v>
      </c>
      <c r="E80" s="117" t="s">
        <v>269</v>
      </c>
      <c r="F80" s="117" t="s">
        <v>244</v>
      </c>
      <c r="G80" s="118">
        <v>22632.0</v>
      </c>
      <c r="H80" s="118">
        <v>22632.0</v>
      </c>
      <c r="I80" s="117">
        <v>30.0</v>
      </c>
      <c r="J80" s="115">
        <f t="shared" si="1"/>
        <v>2026</v>
      </c>
      <c r="K80" s="115">
        <f t="shared" si="2"/>
        <v>14</v>
      </c>
      <c r="L80" s="115">
        <f t="shared" si="3"/>
        <v>18</v>
      </c>
      <c r="M80" s="115">
        <f t="shared" si="4"/>
        <v>2026</v>
      </c>
      <c r="N80" s="115">
        <f t="shared" si="5"/>
        <v>20</v>
      </c>
      <c r="O80" s="4"/>
      <c r="P80" s="4"/>
      <c r="Q80" s="3">
        <v>2027.0</v>
      </c>
      <c r="R80" s="3">
        <v>23.0</v>
      </c>
      <c r="S80" s="77">
        <f t="shared" si="8"/>
        <v>46542</v>
      </c>
      <c r="T80" s="91">
        <f t="shared" si="6"/>
        <v>0</v>
      </c>
      <c r="U80" s="92">
        <f t="shared" si="7"/>
        <v>0</v>
      </c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3"/>
      <c r="B81" s="117" t="s">
        <v>248</v>
      </c>
      <c r="C81" s="117" t="s">
        <v>84</v>
      </c>
      <c r="D81" s="117" t="s">
        <v>270</v>
      </c>
      <c r="E81" s="117" t="s">
        <v>89</v>
      </c>
      <c r="F81" s="117" t="s">
        <v>244</v>
      </c>
      <c r="G81" s="118">
        <v>7920.0</v>
      </c>
      <c r="H81" s="118">
        <v>7920.0</v>
      </c>
      <c r="I81" s="117">
        <v>30.0</v>
      </c>
      <c r="J81" s="115">
        <f t="shared" si="1"/>
        <v>2026</v>
      </c>
      <c r="K81" s="115">
        <f t="shared" si="2"/>
        <v>14</v>
      </c>
      <c r="L81" s="115">
        <f t="shared" si="3"/>
        <v>18</v>
      </c>
      <c r="M81" s="115">
        <f t="shared" si="4"/>
        <v>2026</v>
      </c>
      <c r="N81" s="115">
        <f t="shared" si="5"/>
        <v>20</v>
      </c>
      <c r="O81" s="4"/>
      <c r="P81" s="4"/>
      <c r="Q81" s="3">
        <v>2027.0</v>
      </c>
      <c r="R81" s="3">
        <v>24.0</v>
      </c>
      <c r="S81" s="77">
        <f t="shared" si="8"/>
        <v>46549</v>
      </c>
      <c r="T81" s="91">
        <f t="shared" si="6"/>
        <v>0</v>
      </c>
      <c r="U81" s="92">
        <f t="shared" si="7"/>
        <v>0</v>
      </c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3"/>
      <c r="B82" s="117" t="s">
        <v>248</v>
      </c>
      <c r="C82" s="117" t="s">
        <v>84</v>
      </c>
      <c r="D82" s="117" t="s">
        <v>271</v>
      </c>
      <c r="E82" s="117" t="s">
        <v>130</v>
      </c>
      <c r="F82" s="117" t="s">
        <v>244</v>
      </c>
      <c r="G82" s="118">
        <v>2600.0</v>
      </c>
      <c r="H82" s="118">
        <v>2600.0</v>
      </c>
      <c r="I82" s="117">
        <v>30.0</v>
      </c>
      <c r="J82" s="115">
        <f t="shared" si="1"/>
        <v>2026</v>
      </c>
      <c r="K82" s="115">
        <f t="shared" si="2"/>
        <v>14</v>
      </c>
      <c r="L82" s="115">
        <f t="shared" si="3"/>
        <v>18</v>
      </c>
      <c r="M82" s="115">
        <f t="shared" si="4"/>
        <v>2026</v>
      </c>
      <c r="N82" s="115">
        <f t="shared" si="5"/>
        <v>20</v>
      </c>
      <c r="O82" s="4"/>
      <c r="P82" s="4"/>
      <c r="Q82" s="3">
        <v>2027.0</v>
      </c>
      <c r="R82" s="3">
        <v>25.0</v>
      </c>
      <c r="S82" s="77">
        <f t="shared" si="8"/>
        <v>46556</v>
      </c>
      <c r="T82" s="91">
        <f t="shared" si="6"/>
        <v>0</v>
      </c>
      <c r="U82" s="92">
        <f t="shared" si="7"/>
        <v>0</v>
      </c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117" t="s">
        <v>248</v>
      </c>
      <c r="C83" s="117" t="s">
        <v>84</v>
      </c>
      <c r="D83" s="117" t="s">
        <v>272</v>
      </c>
      <c r="E83" s="117" t="s">
        <v>273</v>
      </c>
      <c r="F83" s="117" t="s">
        <v>244</v>
      </c>
      <c r="G83" s="118">
        <v>14946.67</v>
      </c>
      <c r="H83" s="118">
        <v>14946.67</v>
      </c>
      <c r="I83" s="117">
        <v>30.0</v>
      </c>
      <c r="J83" s="115">
        <f t="shared" si="1"/>
        <v>2026</v>
      </c>
      <c r="K83" s="115">
        <f t="shared" si="2"/>
        <v>14</v>
      </c>
      <c r="L83" s="115">
        <f t="shared" si="3"/>
        <v>18</v>
      </c>
      <c r="M83" s="115">
        <f t="shared" si="4"/>
        <v>2026</v>
      </c>
      <c r="N83" s="115">
        <f t="shared" si="5"/>
        <v>20</v>
      </c>
      <c r="O83" s="4"/>
      <c r="P83" s="4"/>
      <c r="Q83" s="3">
        <v>2027.0</v>
      </c>
      <c r="R83" s="3">
        <v>26.0</v>
      </c>
      <c r="S83" s="77">
        <f t="shared" si="8"/>
        <v>46563</v>
      </c>
      <c r="T83" s="91">
        <f t="shared" si="6"/>
        <v>0</v>
      </c>
      <c r="U83" s="92">
        <f t="shared" si="7"/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117" t="s">
        <v>248</v>
      </c>
      <c r="C84" s="117" t="s">
        <v>84</v>
      </c>
      <c r="D84" s="117" t="s">
        <v>274</v>
      </c>
      <c r="E84" s="117" t="s">
        <v>275</v>
      </c>
      <c r="F84" s="117" t="s">
        <v>244</v>
      </c>
      <c r="G84" s="118">
        <v>720.0</v>
      </c>
      <c r="H84" s="118">
        <v>720.0</v>
      </c>
      <c r="I84" s="117">
        <v>30.0</v>
      </c>
      <c r="J84" s="115">
        <f t="shared" si="1"/>
        <v>2026</v>
      </c>
      <c r="K84" s="115">
        <f t="shared" si="2"/>
        <v>14</v>
      </c>
      <c r="L84" s="115">
        <f t="shared" si="3"/>
        <v>18</v>
      </c>
      <c r="M84" s="115">
        <f t="shared" si="4"/>
        <v>2026</v>
      </c>
      <c r="N84" s="115">
        <f t="shared" si="5"/>
        <v>20</v>
      </c>
      <c r="O84" s="4"/>
      <c r="P84" s="4"/>
      <c r="Q84" s="3">
        <v>2027.0</v>
      </c>
      <c r="R84" s="3">
        <v>27.0</v>
      </c>
      <c r="S84" s="77">
        <f t="shared" si="8"/>
        <v>46570</v>
      </c>
      <c r="T84" s="91">
        <f t="shared" si="6"/>
        <v>0</v>
      </c>
      <c r="U84" s="92">
        <f t="shared" si="7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117" t="s">
        <v>276</v>
      </c>
      <c r="C85" s="117" t="s">
        <v>84</v>
      </c>
      <c r="D85" s="117" t="s">
        <v>277</v>
      </c>
      <c r="E85" s="117" t="s">
        <v>182</v>
      </c>
      <c r="F85" s="117" t="s">
        <v>278</v>
      </c>
      <c r="G85" s="118">
        <v>7000.0</v>
      </c>
      <c r="H85" s="118">
        <v>7000.0</v>
      </c>
      <c r="I85" s="117">
        <v>60.0</v>
      </c>
      <c r="J85" s="115">
        <f t="shared" si="1"/>
        <v>2026</v>
      </c>
      <c r="K85" s="115">
        <f t="shared" si="2"/>
        <v>10</v>
      </c>
      <c r="L85" s="115">
        <f t="shared" si="3"/>
        <v>18</v>
      </c>
      <c r="M85" s="115">
        <f t="shared" si="4"/>
        <v>2026</v>
      </c>
      <c r="N85" s="115">
        <f t="shared" si="5"/>
        <v>20</v>
      </c>
      <c r="O85" s="4"/>
      <c r="P85" s="4"/>
      <c r="Q85" s="3">
        <v>2027.0</v>
      </c>
      <c r="R85" s="3">
        <v>28.0</v>
      </c>
      <c r="S85" s="77">
        <f t="shared" si="8"/>
        <v>46577</v>
      </c>
      <c r="T85" s="91">
        <f t="shared" si="6"/>
        <v>0</v>
      </c>
      <c r="U85" s="92">
        <f t="shared" si="7"/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117" t="s">
        <v>174</v>
      </c>
      <c r="C86" s="117" t="s">
        <v>84</v>
      </c>
      <c r="D86" s="117" t="s">
        <v>279</v>
      </c>
      <c r="E86" s="117" t="s">
        <v>280</v>
      </c>
      <c r="F86" s="117" t="s">
        <v>278</v>
      </c>
      <c r="G86" s="118">
        <v>54720.0</v>
      </c>
      <c r="H86" s="118">
        <v>54720.0</v>
      </c>
      <c r="I86" s="117">
        <v>30.0</v>
      </c>
      <c r="J86" s="115">
        <f t="shared" si="1"/>
        <v>2026</v>
      </c>
      <c r="K86" s="115">
        <f t="shared" si="2"/>
        <v>14</v>
      </c>
      <c r="L86" s="115">
        <f t="shared" si="3"/>
        <v>18</v>
      </c>
      <c r="M86" s="115">
        <f t="shared" si="4"/>
        <v>2026</v>
      </c>
      <c r="N86" s="115">
        <f t="shared" si="5"/>
        <v>20</v>
      </c>
      <c r="O86" s="4"/>
      <c r="P86" s="4"/>
      <c r="Q86" s="3">
        <v>2027.0</v>
      </c>
      <c r="R86" s="3">
        <v>29.0</v>
      </c>
      <c r="S86" s="77">
        <f t="shared" si="8"/>
        <v>46584</v>
      </c>
      <c r="T86" s="91">
        <f t="shared" si="6"/>
        <v>0</v>
      </c>
      <c r="U86" s="92">
        <f t="shared" si="7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117" t="s">
        <v>174</v>
      </c>
      <c r="C87" s="117" t="s">
        <v>84</v>
      </c>
      <c r="D87" s="117" t="s">
        <v>281</v>
      </c>
      <c r="E87" s="117" t="s">
        <v>280</v>
      </c>
      <c r="F87" s="117" t="s">
        <v>278</v>
      </c>
      <c r="G87" s="118">
        <v>36480.0</v>
      </c>
      <c r="H87" s="118">
        <v>36480.0</v>
      </c>
      <c r="I87" s="117">
        <v>30.0</v>
      </c>
      <c r="J87" s="115">
        <f t="shared" si="1"/>
        <v>2026</v>
      </c>
      <c r="K87" s="115">
        <f t="shared" si="2"/>
        <v>14</v>
      </c>
      <c r="L87" s="115">
        <f t="shared" si="3"/>
        <v>18</v>
      </c>
      <c r="M87" s="115">
        <f t="shared" si="4"/>
        <v>2026</v>
      </c>
      <c r="N87" s="115">
        <f t="shared" si="5"/>
        <v>20</v>
      </c>
      <c r="O87" s="4"/>
      <c r="P87" s="4"/>
      <c r="Q87" s="3">
        <v>2027.0</v>
      </c>
      <c r="R87" s="3">
        <v>30.0</v>
      </c>
      <c r="S87" s="77">
        <f t="shared" si="8"/>
        <v>46591</v>
      </c>
      <c r="T87" s="91">
        <f t="shared" si="6"/>
        <v>0</v>
      </c>
      <c r="U87" s="92">
        <f t="shared" si="7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117" t="s">
        <v>226</v>
      </c>
      <c r="C88" s="117" t="s">
        <v>84</v>
      </c>
      <c r="D88" s="117" t="s">
        <v>282</v>
      </c>
      <c r="E88" s="117" t="s">
        <v>283</v>
      </c>
      <c r="F88" s="117" t="s">
        <v>284</v>
      </c>
      <c r="G88" s="118">
        <v>135160.0</v>
      </c>
      <c r="H88" s="118">
        <v>135160.0</v>
      </c>
      <c r="I88" s="117">
        <v>45.0</v>
      </c>
      <c r="J88" s="115">
        <f t="shared" si="1"/>
        <v>2026</v>
      </c>
      <c r="K88" s="115">
        <f t="shared" si="2"/>
        <v>13</v>
      </c>
      <c r="L88" s="115">
        <f t="shared" si="3"/>
        <v>20</v>
      </c>
      <c r="M88" s="115">
        <f t="shared" si="4"/>
        <v>2026</v>
      </c>
      <c r="N88" s="115">
        <f t="shared" si="5"/>
        <v>22</v>
      </c>
      <c r="O88" s="4"/>
      <c r="P88" s="4"/>
      <c r="Q88" s="3">
        <v>2027.0</v>
      </c>
      <c r="R88" s="3">
        <v>31.0</v>
      </c>
      <c r="S88" s="77">
        <f t="shared" si="8"/>
        <v>46598</v>
      </c>
      <c r="T88" s="91">
        <f t="shared" si="6"/>
        <v>0</v>
      </c>
      <c r="U88" s="92">
        <f t="shared" si="7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117" t="s">
        <v>226</v>
      </c>
      <c r="C89" s="117" t="s">
        <v>84</v>
      </c>
      <c r="D89" s="117" t="s">
        <v>285</v>
      </c>
      <c r="E89" s="117" t="s">
        <v>137</v>
      </c>
      <c r="F89" s="117" t="s">
        <v>284</v>
      </c>
      <c r="G89" s="118">
        <v>57510.0</v>
      </c>
      <c r="H89" s="118">
        <v>57510.0</v>
      </c>
      <c r="I89" s="117">
        <v>45.0</v>
      </c>
      <c r="J89" s="115">
        <f t="shared" si="1"/>
        <v>2026</v>
      </c>
      <c r="K89" s="115">
        <f t="shared" si="2"/>
        <v>13</v>
      </c>
      <c r="L89" s="115">
        <f t="shared" si="3"/>
        <v>20</v>
      </c>
      <c r="M89" s="115">
        <f t="shared" si="4"/>
        <v>2026</v>
      </c>
      <c r="N89" s="115">
        <f t="shared" si="5"/>
        <v>22</v>
      </c>
      <c r="O89" s="4"/>
      <c r="P89" s="4"/>
      <c r="Q89" s="3">
        <v>2027.0</v>
      </c>
      <c r="R89" s="3">
        <v>32.0</v>
      </c>
      <c r="S89" s="77">
        <f t="shared" si="8"/>
        <v>46605</v>
      </c>
      <c r="T89" s="91">
        <f t="shared" si="6"/>
        <v>0</v>
      </c>
      <c r="U89" s="92">
        <f t="shared" si="7"/>
        <v>0</v>
      </c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117" t="s">
        <v>226</v>
      </c>
      <c r="C90" s="117" t="s">
        <v>84</v>
      </c>
      <c r="D90" s="117" t="s">
        <v>286</v>
      </c>
      <c r="E90" s="117" t="s">
        <v>137</v>
      </c>
      <c r="F90" s="117" t="s">
        <v>284</v>
      </c>
      <c r="G90" s="118">
        <v>57510.0</v>
      </c>
      <c r="H90" s="118">
        <v>57510.0</v>
      </c>
      <c r="I90" s="117">
        <v>45.0</v>
      </c>
      <c r="J90" s="115">
        <f t="shared" si="1"/>
        <v>2026</v>
      </c>
      <c r="K90" s="115">
        <f t="shared" si="2"/>
        <v>13</v>
      </c>
      <c r="L90" s="115">
        <f t="shared" si="3"/>
        <v>20</v>
      </c>
      <c r="M90" s="115">
        <f t="shared" si="4"/>
        <v>2026</v>
      </c>
      <c r="N90" s="115">
        <f t="shared" si="5"/>
        <v>22</v>
      </c>
      <c r="O90" s="4"/>
      <c r="P90" s="4"/>
      <c r="Q90" s="3">
        <v>2027.0</v>
      </c>
      <c r="R90" s="3">
        <v>33.0</v>
      </c>
      <c r="S90" s="77">
        <f t="shared" si="8"/>
        <v>46612</v>
      </c>
      <c r="T90" s="91">
        <f t="shared" si="6"/>
        <v>0</v>
      </c>
      <c r="U90" s="92">
        <f t="shared" si="7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117" t="s">
        <v>159</v>
      </c>
      <c r="C91" s="117" t="s">
        <v>84</v>
      </c>
      <c r="D91" s="117" t="s">
        <v>287</v>
      </c>
      <c r="E91" s="117" t="s">
        <v>137</v>
      </c>
      <c r="F91" s="117" t="s">
        <v>288</v>
      </c>
      <c r="G91" s="118">
        <v>57510.0</v>
      </c>
      <c r="H91" s="118">
        <v>57510.0</v>
      </c>
      <c r="I91" s="117">
        <v>45.0</v>
      </c>
      <c r="J91" s="115">
        <f t="shared" si="1"/>
        <v>2026</v>
      </c>
      <c r="K91" s="115">
        <f t="shared" si="2"/>
        <v>13</v>
      </c>
      <c r="L91" s="115">
        <f t="shared" si="3"/>
        <v>20</v>
      </c>
      <c r="M91" s="115">
        <f t="shared" si="4"/>
        <v>2026</v>
      </c>
      <c r="N91" s="115">
        <f t="shared" si="5"/>
        <v>22</v>
      </c>
      <c r="O91" s="4"/>
      <c r="P91" s="4"/>
      <c r="Q91" s="3">
        <v>2027.0</v>
      </c>
      <c r="R91" s="3">
        <v>34.0</v>
      </c>
      <c r="S91" s="77">
        <f t="shared" si="8"/>
        <v>46619</v>
      </c>
      <c r="T91" s="91">
        <f t="shared" si="6"/>
        <v>0</v>
      </c>
      <c r="U91" s="92">
        <f t="shared" si="7"/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117" t="s">
        <v>159</v>
      </c>
      <c r="C92" s="117" t="s">
        <v>84</v>
      </c>
      <c r="D92" s="117" t="s">
        <v>289</v>
      </c>
      <c r="E92" s="117" t="s">
        <v>290</v>
      </c>
      <c r="F92" s="117" t="s">
        <v>288</v>
      </c>
      <c r="G92" s="118">
        <v>110532.0</v>
      </c>
      <c r="H92" s="118">
        <v>110532.0</v>
      </c>
      <c r="I92" s="117">
        <v>45.0</v>
      </c>
      <c r="J92" s="115">
        <f t="shared" si="1"/>
        <v>2026</v>
      </c>
      <c r="K92" s="115">
        <f t="shared" si="2"/>
        <v>13</v>
      </c>
      <c r="L92" s="115">
        <f t="shared" si="3"/>
        <v>20</v>
      </c>
      <c r="M92" s="115">
        <f t="shared" si="4"/>
        <v>2026</v>
      </c>
      <c r="N92" s="115">
        <f t="shared" si="5"/>
        <v>22</v>
      </c>
      <c r="O92" s="4"/>
      <c r="P92" s="4"/>
      <c r="Q92" s="3">
        <v>2027.0</v>
      </c>
      <c r="R92" s="3">
        <v>35.0</v>
      </c>
      <c r="S92" s="77">
        <f t="shared" si="8"/>
        <v>46626</v>
      </c>
      <c r="T92" s="91">
        <f t="shared" si="6"/>
        <v>0</v>
      </c>
      <c r="U92" s="92">
        <f t="shared" si="7"/>
        <v>0</v>
      </c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117" t="s">
        <v>171</v>
      </c>
      <c r="C93" s="117" t="s">
        <v>84</v>
      </c>
      <c r="D93" s="117" t="s">
        <v>291</v>
      </c>
      <c r="E93" s="117" t="s">
        <v>292</v>
      </c>
      <c r="F93" s="117" t="s">
        <v>293</v>
      </c>
      <c r="G93" s="118">
        <v>25400.0</v>
      </c>
      <c r="H93" s="118">
        <v>25400.0</v>
      </c>
      <c r="I93" s="117">
        <v>45.0</v>
      </c>
      <c r="J93" s="115">
        <f t="shared" si="1"/>
        <v>2026</v>
      </c>
      <c r="K93" s="115">
        <f t="shared" si="2"/>
        <v>14</v>
      </c>
      <c r="L93" s="115">
        <f t="shared" si="3"/>
        <v>20</v>
      </c>
      <c r="M93" s="115">
        <f t="shared" si="4"/>
        <v>2026</v>
      </c>
      <c r="N93" s="115">
        <f t="shared" si="5"/>
        <v>22</v>
      </c>
      <c r="O93" s="4"/>
      <c r="P93" s="4"/>
      <c r="Q93" s="3">
        <v>2027.0</v>
      </c>
      <c r="R93" s="3">
        <v>36.0</v>
      </c>
      <c r="S93" s="77">
        <f t="shared" si="8"/>
        <v>46633</v>
      </c>
      <c r="T93" s="91">
        <f t="shared" si="6"/>
        <v>0</v>
      </c>
      <c r="U93" s="92">
        <f t="shared" si="7"/>
        <v>0</v>
      </c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117" t="s">
        <v>171</v>
      </c>
      <c r="C94" s="117" t="s">
        <v>84</v>
      </c>
      <c r="D94" s="117" t="s">
        <v>294</v>
      </c>
      <c r="E94" s="117" t="s">
        <v>295</v>
      </c>
      <c r="F94" s="117" t="s">
        <v>293</v>
      </c>
      <c r="G94" s="118">
        <v>85000.0</v>
      </c>
      <c r="H94" s="118">
        <v>85000.0</v>
      </c>
      <c r="I94" s="117">
        <v>45.0</v>
      </c>
      <c r="J94" s="115">
        <f t="shared" si="1"/>
        <v>2026</v>
      </c>
      <c r="K94" s="115">
        <f t="shared" si="2"/>
        <v>14</v>
      </c>
      <c r="L94" s="115">
        <f t="shared" si="3"/>
        <v>20</v>
      </c>
      <c r="M94" s="115">
        <f t="shared" si="4"/>
        <v>2026</v>
      </c>
      <c r="N94" s="115">
        <f t="shared" si="5"/>
        <v>22</v>
      </c>
      <c r="O94" s="4"/>
      <c r="P94" s="4"/>
      <c r="Q94" s="3">
        <v>2027.0</v>
      </c>
      <c r="R94" s="3">
        <v>37.0</v>
      </c>
      <c r="S94" s="77">
        <f t="shared" si="8"/>
        <v>46640</v>
      </c>
      <c r="T94" s="91">
        <f t="shared" si="6"/>
        <v>0</v>
      </c>
      <c r="U94" s="92">
        <f t="shared" si="7"/>
        <v>0</v>
      </c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117" t="s">
        <v>171</v>
      </c>
      <c r="C95" s="117" t="s">
        <v>84</v>
      </c>
      <c r="D95" s="117" t="s">
        <v>296</v>
      </c>
      <c r="E95" s="117" t="s">
        <v>297</v>
      </c>
      <c r="F95" s="117" t="s">
        <v>293</v>
      </c>
      <c r="G95" s="118">
        <v>68830.0</v>
      </c>
      <c r="H95" s="118">
        <v>68830.0</v>
      </c>
      <c r="I95" s="117">
        <v>45.0</v>
      </c>
      <c r="J95" s="115">
        <f t="shared" si="1"/>
        <v>2026</v>
      </c>
      <c r="K95" s="115">
        <f t="shared" si="2"/>
        <v>14</v>
      </c>
      <c r="L95" s="115">
        <f t="shared" si="3"/>
        <v>20</v>
      </c>
      <c r="M95" s="115">
        <f t="shared" si="4"/>
        <v>2026</v>
      </c>
      <c r="N95" s="115">
        <f t="shared" si="5"/>
        <v>22</v>
      </c>
      <c r="O95" s="4"/>
      <c r="P95" s="4"/>
      <c r="Q95" s="3">
        <v>2027.0</v>
      </c>
      <c r="R95" s="3">
        <v>38.0</v>
      </c>
      <c r="S95" s="77">
        <f t="shared" si="8"/>
        <v>46647</v>
      </c>
      <c r="T95" s="91">
        <f t="shared" si="6"/>
        <v>0</v>
      </c>
      <c r="U95" s="92">
        <f t="shared" si="7"/>
        <v>0</v>
      </c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117" t="s">
        <v>171</v>
      </c>
      <c r="C96" s="117" t="s">
        <v>84</v>
      </c>
      <c r="D96" s="117" t="s">
        <v>298</v>
      </c>
      <c r="E96" s="117" t="s">
        <v>299</v>
      </c>
      <c r="F96" s="117" t="s">
        <v>293</v>
      </c>
      <c r="G96" s="118">
        <v>49920.0</v>
      </c>
      <c r="H96" s="118">
        <v>49920.0</v>
      </c>
      <c r="I96" s="117">
        <v>45.0</v>
      </c>
      <c r="J96" s="115">
        <f t="shared" si="1"/>
        <v>2026</v>
      </c>
      <c r="K96" s="115">
        <f t="shared" si="2"/>
        <v>14</v>
      </c>
      <c r="L96" s="115">
        <f t="shared" si="3"/>
        <v>20</v>
      </c>
      <c r="M96" s="115">
        <f t="shared" si="4"/>
        <v>2026</v>
      </c>
      <c r="N96" s="115">
        <f t="shared" si="5"/>
        <v>22</v>
      </c>
      <c r="O96" s="4"/>
      <c r="P96" s="4"/>
      <c r="Q96" s="3">
        <v>2027.0</v>
      </c>
      <c r="R96" s="3">
        <v>39.0</v>
      </c>
      <c r="S96" s="77">
        <f t="shared" si="8"/>
        <v>46654</v>
      </c>
      <c r="T96" s="91">
        <f t="shared" si="6"/>
        <v>0</v>
      </c>
      <c r="U96" s="92">
        <f t="shared" si="7"/>
        <v>0</v>
      </c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117" t="s">
        <v>300</v>
      </c>
      <c r="C97" s="117" t="s">
        <v>84</v>
      </c>
      <c r="D97" s="117" t="s">
        <v>301</v>
      </c>
      <c r="E97" s="117" t="s">
        <v>205</v>
      </c>
      <c r="F97" s="117" t="s">
        <v>293</v>
      </c>
      <c r="G97" s="118">
        <v>96981.0</v>
      </c>
      <c r="H97" s="118">
        <v>96981.0</v>
      </c>
      <c r="I97" s="117">
        <v>30.0</v>
      </c>
      <c r="J97" s="115">
        <f t="shared" si="1"/>
        <v>2026</v>
      </c>
      <c r="K97" s="115">
        <f t="shared" si="2"/>
        <v>16</v>
      </c>
      <c r="L97" s="115">
        <f t="shared" si="3"/>
        <v>20</v>
      </c>
      <c r="M97" s="115">
        <f t="shared" si="4"/>
        <v>2026</v>
      </c>
      <c r="N97" s="115">
        <f t="shared" si="5"/>
        <v>22</v>
      </c>
      <c r="O97" s="4"/>
      <c r="P97" s="4"/>
      <c r="Q97" s="3">
        <v>2027.0</v>
      </c>
      <c r="R97" s="3">
        <v>40.0</v>
      </c>
      <c r="S97" s="77">
        <f t="shared" si="8"/>
        <v>46661</v>
      </c>
      <c r="T97" s="91">
        <f t="shared" si="6"/>
        <v>0</v>
      </c>
      <c r="U97" s="92">
        <f t="shared" si="7"/>
        <v>0</v>
      </c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117" t="s">
        <v>142</v>
      </c>
      <c r="C98" s="117" t="s">
        <v>84</v>
      </c>
      <c r="D98" s="117" t="s">
        <v>302</v>
      </c>
      <c r="E98" s="117" t="s">
        <v>303</v>
      </c>
      <c r="F98" s="117" t="s">
        <v>304</v>
      </c>
      <c r="G98" s="118">
        <v>34560.0</v>
      </c>
      <c r="H98" s="118">
        <v>34560.0</v>
      </c>
      <c r="I98" s="117">
        <v>60.0</v>
      </c>
      <c r="J98" s="115">
        <f t="shared" si="1"/>
        <v>2026</v>
      </c>
      <c r="K98" s="115">
        <f t="shared" si="2"/>
        <v>12</v>
      </c>
      <c r="L98" s="115">
        <f t="shared" si="3"/>
        <v>20</v>
      </c>
      <c r="M98" s="115">
        <f t="shared" si="4"/>
        <v>2026</v>
      </c>
      <c r="N98" s="115">
        <f t="shared" si="5"/>
        <v>22</v>
      </c>
      <c r="O98" s="3"/>
      <c r="P98" s="3"/>
      <c r="Q98" s="3">
        <v>2027.0</v>
      </c>
      <c r="R98" s="3">
        <v>41.0</v>
      </c>
      <c r="S98" s="77">
        <f t="shared" si="8"/>
        <v>46668</v>
      </c>
      <c r="T98" s="91">
        <f t="shared" si="6"/>
        <v>0</v>
      </c>
      <c r="U98" s="92">
        <f t="shared" si="7"/>
        <v>0</v>
      </c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117" t="s">
        <v>142</v>
      </c>
      <c r="C99" s="117" t="s">
        <v>84</v>
      </c>
      <c r="D99" s="117" t="s">
        <v>305</v>
      </c>
      <c r="E99" s="117" t="s">
        <v>306</v>
      </c>
      <c r="F99" s="117" t="s">
        <v>304</v>
      </c>
      <c r="G99" s="118">
        <v>59500.0</v>
      </c>
      <c r="H99" s="118">
        <v>59500.0</v>
      </c>
      <c r="I99" s="117">
        <v>60.0</v>
      </c>
      <c r="J99" s="115">
        <f t="shared" si="1"/>
        <v>2026</v>
      </c>
      <c r="K99" s="115">
        <f t="shared" si="2"/>
        <v>12</v>
      </c>
      <c r="L99" s="115">
        <f t="shared" si="3"/>
        <v>20</v>
      </c>
      <c r="M99" s="115">
        <f t="shared" si="4"/>
        <v>2026</v>
      </c>
      <c r="N99" s="115">
        <f t="shared" si="5"/>
        <v>22</v>
      </c>
      <c r="O99" s="3"/>
      <c r="P99" s="3"/>
      <c r="Q99" s="3">
        <v>2027.0</v>
      </c>
      <c r="R99" s="3">
        <v>42.0</v>
      </c>
      <c r="S99" s="77">
        <f t="shared" si="8"/>
        <v>46675</v>
      </c>
      <c r="T99" s="91">
        <f t="shared" si="6"/>
        <v>0</v>
      </c>
      <c r="U99" s="92">
        <f t="shared" si="7"/>
        <v>0</v>
      </c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117" t="s">
        <v>248</v>
      </c>
      <c r="C100" s="117" t="s">
        <v>84</v>
      </c>
      <c r="D100" s="117" t="s">
        <v>307</v>
      </c>
      <c r="E100" s="117" t="s">
        <v>308</v>
      </c>
      <c r="F100" s="117" t="s">
        <v>304</v>
      </c>
      <c r="G100" s="118">
        <v>211660.0</v>
      </c>
      <c r="H100" s="118">
        <v>211660.0</v>
      </c>
      <c r="I100" s="117">
        <v>45.0</v>
      </c>
      <c r="J100" s="115">
        <f t="shared" si="1"/>
        <v>2026</v>
      </c>
      <c r="K100" s="115">
        <f t="shared" si="2"/>
        <v>14</v>
      </c>
      <c r="L100" s="115">
        <f t="shared" si="3"/>
        <v>20</v>
      </c>
      <c r="M100" s="115">
        <f t="shared" si="4"/>
        <v>2026</v>
      </c>
      <c r="N100" s="115">
        <f t="shared" si="5"/>
        <v>22</v>
      </c>
      <c r="O100" s="3"/>
      <c r="P100" s="3"/>
      <c r="Q100" s="3">
        <v>2027.0</v>
      </c>
      <c r="R100" s="3">
        <v>43.0</v>
      </c>
      <c r="S100" s="77">
        <f t="shared" si="8"/>
        <v>46682</v>
      </c>
      <c r="T100" s="91">
        <f t="shared" si="6"/>
        <v>0</v>
      </c>
      <c r="U100" s="92">
        <f t="shared" si="7"/>
        <v>0</v>
      </c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117" t="s">
        <v>248</v>
      </c>
      <c r="C101" s="117" t="s">
        <v>84</v>
      </c>
      <c r="D101" s="117" t="s">
        <v>309</v>
      </c>
      <c r="E101" s="117" t="s">
        <v>310</v>
      </c>
      <c r="F101" s="117" t="s">
        <v>304</v>
      </c>
      <c r="G101" s="118">
        <v>20000.0</v>
      </c>
      <c r="H101" s="118">
        <v>20000.0</v>
      </c>
      <c r="I101" s="117">
        <v>45.0</v>
      </c>
      <c r="J101" s="115">
        <f t="shared" si="1"/>
        <v>2026</v>
      </c>
      <c r="K101" s="115">
        <f t="shared" si="2"/>
        <v>14</v>
      </c>
      <c r="L101" s="115">
        <f t="shared" si="3"/>
        <v>20</v>
      </c>
      <c r="M101" s="115">
        <f t="shared" si="4"/>
        <v>2026</v>
      </c>
      <c r="N101" s="115">
        <f t="shared" si="5"/>
        <v>22</v>
      </c>
      <c r="O101" s="3"/>
      <c r="P101" s="3"/>
      <c r="Q101" s="3">
        <v>2027.0</v>
      </c>
      <c r="R101" s="3">
        <v>44.0</v>
      </c>
      <c r="S101" s="77">
        <f t="shared" si="8"/>
        <v>46689</v>
      </c>
      <c r="T101" s="91">
        <f t="shared" si="6"/>
        <v>0</v>
      </c>
      <c r="U101" s="92">
        <f t="shared" si="7"/>
        <v>0</v>
      </c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117" t="s">
        <v>248</v>
      </c>
      <c r="C102" s="117" t="s">
        <v>84</v>
      </c>
      <c r="D102" s="117" t="s">
        <v>311</v>
      </c>
      <c r="E102" s="117" t="s">
        <v>312</v>
      </c>
      <c r="F102" s="117" t="s">
        <v>304</v>
      </c>
      <c r="G102" s="118">
        <v>482700.0</v>
      </c>
      <c r="H102" s="118">
        <v>482700.0</v>
      </c>
      <c r="I102" s="117">
        <v>45.0</v>
      </c>
      <c r="J102" s="115">
        <f t="shared" si="1"/>
        <v>2026</v>
      </c>
      <c r="K102" s="115">
        <f t="shared" si="2"/>
        <v>14</v>
      </c>
      <c r="L102" s="115">
        <f t="shared" si="3"/>
        <v>20</v>
      </c>
      <c r="M102" s="115">
        <f t="shared" si="4"/>
        <v>2026</v>
      </c>
      <c r="N102" s="115">
        <f t="shared" si="5"/>
        <v>22</v>
      </c>
      <c r="O102" s="3"/>
      <c r="P102" s="3"/>
      <c r="Q102" s="3">
        <v>2027.0</v>
      </c>
      <c r="R102" s="3">
        <v>45.0</v>
      </c>
      <c r="S102" s="77">
        <f t="shared" si="8"/>
        <v>46696</v>
      </c>
      <c r="T102" s="91">
        <f t="shared" si="6"/>
        <v>0</v>
      </c>
      <c r="U102" s="92">
        <f t="shared" si="7"/>
        <v>0</v>
      </c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117" t="s">
        <v>248</v>
      </c>
      <c r="C103" s="117" t="s">
        <v>84</v>
      </c>
      <c r="D103" s="117" t="s">
        <v>313</v>
      </c>
      <c r="E103" s="117" t="s">
        <v>314</v>
      </c>
      <c r="F103" s="117" t="s">
        <v>304</v>
      </c>
      <c r="G103" s="118">
        <v>40500.0</v>
      </c>
      <c r="H103" s="118">
        <v>40500.0</v>
      </c>
      <c r="I103" s="117">
        <v>45.0</v>
      </c>
      <c r="J103" s="115">
        <f t="shared" si="1"/>
        <v>2026</v>
      </c>
      <c r="K103" s="115">
        <f t="shared" si="2"/>
        <v>14</v>
      </c>
      <c r="L103" s="115">
        <f t="shared" si="3"/>
        <v>20</v>
      </c>
      <c r="M103" s="115">
        <f t="shared" si="4"/>
        <v>2026</v>
      </c>
      <c r="N103" s="115">
        <f t="shared" si="5"/>
        <v>22</v>
      </c>
      <c r="O103" s="3"/>
      <c r="P103" s="3"/>
      <c r="Q103" s="3">
        <v>2027.0</v>
      </c>
      <c r="R103" s="3">
        <v>46.0</v>
      </c>
      <c r="S103" s="77">
        <f t="shared" si="8"/>
        <v>46703</v>
      </c>
      <c r="T103" s="91">
        <f t="shared" si="6"/>
        <v>0</v>
      </c>
      <c r="U103" s="92">
        <f t="shared" si="7"/>
        <v>0</v>
      </c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117" t="s">
        <v>248</v>
      </c>
      <c r="C104" s="117" t="s">
        <v>84</v>
      </c>
      <c r="D104" s="117" t="s">
        <v>315</v>
      </c>
      <c r="E104" s="117" t="s">
        <v>176</v>
      </c>
      <c r="F104" s="117" t="s">
        <v>304</v>
      </c>
      <c r="G104" s="118">
        <v>11220.0</v>
      </c>
      <c r="H104" s="118">
        <v>11220.0</v>
      </c>
      <c r="I104" s="117">
        <v>45.0</v>
      </c>
      <c r="J104" s="115">
        <f t="shared" si="1"/>
        <v>2026</v>
      </c>
      <c r="K104" s="115">
        <f t="shared" si="2"/>
        <v>14</v>
      </c>
      <c r="L104" s="115">
        <f t="shared" si="3"/>
        <v>20</v>
      </c>
      <c r="M104" s="115">
        <f t="shared" si="4"/>
        <v>2026</v>
      </c>
      <c r="N104" s="115">
        <f t="shared" si="5"/>
        <v>22</v>
      </c>
      <c r="O104" s="3"/>
      <c r="P104" s="3"/>
      <c r="Q104" s="3">
        <v>2027.0</v>
      </c>
      <c r="R104" s="3">
        <v>47.0</v>
      </c>
      <c r="S104" s="77">
        <f t="shared" si="8"/>
        <v>46710</v>
      </c>
      <c r="T104" s="91">
        <f t="shared" si="6"/>
        <v>0</v>
      </c>
      <c r="U104" s="92">
        <f t="shared" si="7"/>
        <v>0</v>
      </c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117" t="s">
        <v>248</v>
      </c>
      <c r="C105" s="117" t="s">
        <v>84</v>
      </c>
      <c r="D105" s="117" t="s">
        <v>316</v>
      </c>
      <c r="E105" s="117" t="s">
        <v>144</v>
      </c>
      <c r="F105" s="117" t="s">
        <v>304</v>
      </c>
      <c r="G105" s="118">
        <v>29280.0</v>
      </c>
      <c r="H105" s="118">
        <v>29280.0</v>
      </c>
      <c r="I105" s="117">
        <v>45.0</v>
      </c>
      <c r="J105" s="115">
        <f t="shared" si="1"/>
        <v>2026</v>
      </c>
      <c r="K105" s="115">
        <f t="shared" si="2"/>
        <v>14</v>
      </c>
      <c r="L105" s="115">
        <f t="shared" si="3"/>
        <v>20</v>
      </c>
      <c r="M105" s="115">
        <f t="shared" si="4"/>
        <v>2026</v>
      </c>
      <c r="N105" s="115">
        <f t="shared" si="5"/>
        <v>22</v>
      </c>
      <c r="O105" s="3"/>
      <c r="P105" s="3"/>
      <c r="Q105" s="3">
        <v>2027.0</v>
      </c>
      <c r="R105" s="3">
        <v>48.0</v>
      </c>
      <c r="S105" s="77">
        <f t="shared" si="8"/>
        <v>46717</v>
      </c>
      <c r="T105" s="91">
        <f t="shared" si="6"/>
        <v>0</v>
      </c>
      <c r="U105" s="92">
        <f t="shared" si="7"/>
        <v>0</v>
      </c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117" t="s">
        <v>248</v>
      </c>
      <c r="C106" s="117" t="s">
        <v>84</v>
      </c>
      <c r="D106" s="117" t="s">
        <v>317</v>
      </c>
      <c r="E106" s="117" t="s">
        <v>200</v>
      </c>
      <c r="F106" s="117" t="s">
        <v>304</v>
      </c>
      <c r="G106" s="118">
        <v>720.0</v>
      </c>
      <c r="H106" s="118">
        <v>720.0</v>
      </c>
      <c r="I106" s="117">
        <v>45.0</v>
      </c>
      <c r="J106" s="115">
        <f t="shared" si="1"/>
        <v>2026</v>
      </c>
      <c r="K106" s="115">
        <f t="shared" si="2"/>
        <v>14</v>
      </c>
      <c r="L106" s="115">
        <f t="shared" si="3"/>
        <v>20</v>
      </c>
      <c r="M106" s="115">
        <f t="shared" si="4"/>
        <v>2026</v>
      </c>
      <c r="N106" s="115">
        <f t="shared" si="5"/>
        <v>22</v>
      </c>
      <c r="O106" s="3"/>
      <c r="P106" s="3"/>
      <c r="Q106" s="3">
        <v>2027.0</v>
      </c>
      <c r="R106" s="3">
        <v>49.0</v>
      </c>
      <c r="S106" s="77">
        <f t="shared" si="8"/>
        <v>46724</v>
      </c>
      <c r="T106" s="91">
        <f t="shared" si="6"/>
        <v>0</v>
      </c>
      <c r="U106" s="92">
        <f t="shared" si="7"/>
        <v>0</v>
      </c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117" t="s">
        <v>248</v>
      </c>
      <c r="C107" s="117" t="s">
        <v>84</v>
      </c>
      <c r="D107" s="117" t="s">
        <v>318</v>
      </c>
      <c r="E107" s="117" t="s">
        <v>319</v>
      </c>
      <c r="F107" s="117" t="s">
        <v>304</v>
      </c>
      <c r="G107" s="118">
        <v>3510.0</v>
      </c>
      <c r="H107" s="118">
        <v>3510.0</v>
      </c>
      <c r="I107" s="117">
        <v>45.0</v>
      </c>
      <c r="J107" s="115">
        <f t="shared" si="1"/>
        <v>2026</v>
      </c>
      <c r="K107" s="115">
        <f t="shared" si="2"/>
        <v>14</v>
      </c>
      <c r="L107" s="115">
        <f t="shared" si="3"/>
        <v>20</v>
      </c>
      <c r="M107" s="115">
        <f t="shared" si="4"/>
        <v>2026</v>
      </c>
      <c r="N107" s="115">
        <f t="shared" si="5"/>
        <v>22</v>
      </c>
      <c r="O107" s="3"/>
      <c r="P107" s="3"/>
      <c r="Q107" s="4"/>
      <c r="R107" s="4"/>
      <c r="S107" s="4"/>
      <c r="T107" s="4"/>
      <c r="U107" s="4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117" t="s">
        <v>248</v>
      </c>
      <c r="C108" s="117" t="s">
        <v>84</v>
      </c>
      <c r="D108" s="117" t="s">
        <v>320</v>
      </c>
      <c r="E108" s="117" t="s">
        <v>321</v>
      </c>
      <c r="F108" s="117" t="s">
        <v>304</v>
      </c>
      <c r="G108" s="118">
        <v>10725.0</v>
      </c>
      <c r="H108" s="118">
        <v>10725.0</v>
      </c>
      <c r="I108" s="117">
        <v>45.0</v>
      </c>
      <c r="J108" s="115">
        <f t="shared" si="1"/>
        <v>2026</v>
      </c>
      <c r="K108" s="115">
        <f t="shared" si="2"/>
        <v>14</v>
      </c>
      <c r="L108" s="115">
        <f t="shared" si="3"/>
        <v>20</v>
      </c>
      <c r="M108" s="115">
        <f t="shared" si="4"/>
        <v>2026</v>
      </c>
      <c r="N108" s="115">
        <f t="shared" si="5"/>
        <v>22</v>
      </c>
      <c r="O108" s="3"/>
      <c r="P108" s="3"/>
      <c r="Q108" s="4"/>
      <c r="R108" s="4"/>
      <c r="S108" s="4"/>
      <c r="T108" s="4"/>
      <c r="U108" s="4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117" t="s">
        <v>248</v>
      </c>
      <c r="C109" s="117" t="s">
        <v>84</v>
      </c>
      <c r="D109" s="117" t="s">
        <v>322</v>
      </c>
      <c r="E109" s="117" t="s">
        <v>323</v>
      </c>
      <c r="F109" s="117" t="s">
        <v>304</v>
      </c>
      <c r="G109" s="118">
        <v>18000.0</v>
      </c>
      <c r="H109" s="118">
        <v>18000.0</v>
      </c>
      <c r="I109" s="117">
        <v>45.0</v>
      </c>
      <c r="J109" s="115">
        <f t="shared" si="1"/>
        <v>2026</v>
      </c>
      <c r="K109" s="115">
        <f t="shared" si="2"/>
        <v>14</v>
      </c>
      <c r="L109" s="115">
        <f t="shared" si="3"/>
        <v>20</v>
      </c>
      <c r="M109" s="115">
        <f t="shared" si="4"/>
        <v>2026</v>
      </c>
      <c r="N109" s="115">
        <f t="shared" si="5"/>
        <v>22</v>
      </c>
      <c r="O109" s="3"/>
      <c r="P109" s="3"/>
      <c r="Q109" s="4"/>
      <c r="R109" s="4"/>
      <c r="S109" s="4"/>
      <c r="T109" s="4"/>
      <c r="U109" s="4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117" t="s">
        <v>203</v>
      </c>
      <c r="C110" s="117" t="s">
        <v>84</v>
      </c>
      <c r="D110" s="117" t="s">
        <v>324</v>
      </c>
      <c r="E110" s="117" t="s">
        <v>325</v>
      </c>
      <c r="F110" s="117" t="s">
        <v>304</v>
      </c>
      <c r="G110" s="118">
        <v>38016.0</v>
      </c>
      <c r="H110" s="118">
        <v>38016.0</v>
      </c>
      <c r="I110" s="117">
        <v>30.0</v>
      </c>
      <c r="J110" s="115">
        <f t="shared" si="1"/>
        <v>2026</v>
      </c>
      <c r="K110" s="115">
        <f t="shared" si="2"/>
        <v>16</v>
      </c>
      <c r="L110" s="115">
        <f t="shared" si="3"/>
        <v>20</v>
      </c>
      <c r="M110" s="115">
        <f t="shared" si="4"/>
        <v>2026</v>
      </c>
      <c r="N110" s="115">
        <f t="shared" si="5"/>
        <v>22</v>
      </c>
      <c r="O110" s="3"/>
      <c r="P110" s="3"/>
      <c r="Q110" s="4"/>
      <c r="R110" s="4"/>
      <c r="S110" s="4"/>
      <c r="T110" s="4"/>
      <c r="U110" s="4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117" t="s">
        <v>203</v>
      </c>
      <c r="C111" s="117" t="s">
        <v>84</v>
      </c>
      <c r="D111" s="117" t="s">
        <v>326</v>
      </c>
      <c r="E111" s="117" t="s">
        <v>233</v>
      </c>
      <c r="F111" s="117" t="s">
        <v>304</v>
      </c>
      <c r="G111" s="118">
        <v>18892.8</v>
      </c>
      <c r="H111" s="118">
        <v>18892.8</v>
      </c>
      <c r="I111" s="117">
        <v>30.0</v>
      </c>
      <c r="J111" s="115">
        <f t="shared" si="1"/>
        <v>2026</v>
      </c>
      <c r="K111" s="115">
        <f t="shared" si="2"/>
        <v>16</v>
      </c>
      <c r="L111" s="115">
        <f t="shared" si="3"/>
        <v>20</v>
      </c>
      <c r="M111" s="115">
        <f t="shared" si="4"/>
        <v>2026</v>
      </c>
      <c r="N111" s="115">
        <f t="shared" si="5"/>
        <v>22</v>
      </c>
      <c r="O111" s="3"/>
      <c r="P111" s="3"/>
      <c r="Q111" s="4"/>
      <c r="R111" s="4"/>
      <c r="S111" s="4"/>
      <c r="T111" s="4"/>
      <c r="U111" s="4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117" t="s">
        <v>203</v>
      </c>
      <c r="C112" s="117" t="s">
        <v>84</v>
      </c>
      <c r="D112" s="117" t="s">
        <v>327</v>
      </c>
      <c r="E112" s="117" t="s">
        <v>328</v>
      </c>
      <c r="F112" s="117" t="s">
        <v>304</v>
      </c>
      <c r="G112" s="118">
        <v>29700.0</v>
      </c>
      <c r="H112" s="118">
        <v>29700.0</v>
      </c>
      <c r="I112" s="117">
        <v>30.0</v>
      </c>
      <c r="J112" s="115">
        <f t="shared" si="1"/>
        <v>2026</v>
      </c>
      <c r="K112" s="115">
        <f t="shared" si="2"/>
        <v>16</v>
      </c>
      <c r="L112" s="115">
        <f t="shared" si="3"/>
        <v>20</v>
      </c>
      <c r="M112" s="115">
        <f t="shared" si="4"/>
        <v>2026</v>
      </c>
      <c r="N112" s="115">
        <f t="shared" si="5"/>
        <v>22</v>
      </c>
      <c r="O112" s="3"/>
      <c r="P112" s="3"/>
      <c r="Q112" s="4"/>
      <c r="R112" s="4"/>
      <c r="S112" s="4"/>
      <c r="T112" s="4"/>
      <c r="U112" s="4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117" t="s">
        <v>203</v>
      </c>
      <c r="C113" s="117" t="s">
        <v>84</v>
      </c>
      <c r="D113" s="117" t="s">
        <v>329</v>
      </c>
      <c r="E113" s="117" t="s">
        <v>330</v>
      </c>
      <c r="F113" s="117" t="s">
        <v>304</v>
      </c>
      <c r="G113" s="118">
        <v>98710.71</v>
      </c>
      <c r="H113" s="118">
        <v>98710.706185</v>
      </c>
      <c r="I113" s="117">
        <v>30.0</v>
      </c>
      <c r="J113" s="115">
        <f t="shared" si="1"/>
        <v>2026</v>
      </c>
      <c r="K113" s="115">
        <f t="shared" si="2"/>
        <v>16</v>
      </c>
      <c r="L113" s="115">
        <f t="shared" si="3"/>
        <v>20</v>
      </c>
      <c r="M113" s="115">
        <f t="shared" si="4"/>
        <v>2026</v>
      </c>
      <c r="N113" s="115">
        <f t="shared" si="5"/>
        <v>22</v>
      </c>
      <c r="O113" s="3"/>
      <c r="P113" s="3"/>
      <c r="Q113" s="4"/>
      <c r="R113" s="4"/>
      <c r="S113" s="4"/>
      <c r="T113" s="4"/>
      <c r="U113" s="4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4"/>
      <c r="B114" s="117" t="s">
        <v>203</v>
      </c>
      <c r="C114" s="117" t="s">
        <v>84</v>
      </c>
      <c r="D114" s="117" t="s">
        <v>331</v>
      </c>
      <c r="E114" s="117" t="s">
        <v>332</v>
      </c>
      <c r="F114" s="117" t="s">
        <v>304</v>
      </c>
      <c r="G114" s="118">
        <v>21562.5</v>
      </c>
      <c r="H114" s="118">
        <v>21562.5</v>
      </c>
      <c r="I114" s="117">
        <v>30.0</v>
      </c>
      <c r="J114" s="115">
        <f t="shared" si="1"/>
        <v>2026</v>
      </c>
      <c r="K114" s="115">
        <f t="shared" si="2"/>
        <v>16</v>
      </c>
      <c r="L114" s="115">
        <f t="shared" si="3"/>
        <v>20</v>
      </c>
      <c r="M114" s="115">
        <f t="shared" si="4"/>
        <v>2026</v>
      </c>
      <c r="N114" s="115">
        <f t="shared" si="5"/>
        <v>22</v>
      </c>
      <c r="O114" s="3"/>
      <c r="P114" s="3"/>
      <c r="Q114" s="4"/>
      <c r="R114" s="4"/>
      <c r="S114" s="4"/>
      <c r="T114" s="4"/>
      <c r="U114" s="4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117" t="s">
        <v>203</v>
      </c>
      <c r="C115" s="117" t="s">
        <v>84</v>
      </c>
      <c r="D115" s="117" t="s">
        <v>333</v>
      </c>
      <c r="E115" s="117" t="s">
        <v>250</v>
      </c>
      <c r="F115" s="117" t="s">
        <v>304</v>
      </c>
      <c r="G115" s="118">
        <v>59536.8</v>
      </c>
      <c r="H115" s="118">
        <v>59536.8</v>
      </c>
      <c r="I115" s="117">
        <v>30.0</v>
      </c>
      <c r="J115" s="115">
        <f t="shared" si="1"/>
        <v>2026</v>
      </c>
      <c r="K115" s="115">
        <f t="shared" si="2"/>
        <v>16</v>
      </c>
      <c r="L115" s="115">
        <f t="shared" si="3"/>
        <v>20</v>
      </c>
      <c r="M115" s="115">
        <f t="shared" si="4"/>
        <v>2026</v>
      </c>
      <c r="N115" s="115">
        <f t="shared" si="5"/>
        <v>22</v>
      </c>
      <c r="O115" s="3"/>
      <c r="P115" s="3"/>
      <c r="Q115" s="4"/>
      <c r="R115" s="4"/>
      <c r="S115" s="4"/>
      <c r="T115" s="4"/>
      <c r="U115" s="4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117" t="s">
        <v>203</v>
      </c>
      <c r="C116" s="117" t="s">
        <v>84</v>
      </c>
      <c r="D116" s="117" t="s">
        <v>334</v>
      </c>
      <c r="E116" s="117" t="s">
        <v>112</v>
      </c>
      <c r="F116" s="117" t="s">
        <v>304</v>
      </c>
      <c r="G116" s="118">
        <v>182400.0</v>
      </c>
      <c r="H116" s="118">
        <v>182400.0</v>
      </c>
      <c r="I116" s="117">
        <v>30.0</v>
      </c>
      <c r="J116" s="115">
        <f t="shared" si="1"/>
        <v>2026</v>
      </c>
      <c r="K116" s="115">
        <f t="shared" si="2"/>
        <v>16</v>
      </c>
      <c r="L116" s="115">
        <f t="shared" si="3"/>
        <v>20</v>
      </c>
      <c r="M116" s="115">
        <f t="shared" si="4"/>
        <v>2026</v>
      </c>
      <c r="N116" s="115">
        <f t="shared" si="5"/>
        <v>22</v>
      </c>
      <c r="O116" s="3"/>
      <c r="P116" s="3"/>
      <c r="Q116" s="4"/>
      <c r="R116" s="4"/>
      <c r="S116" s="4"/>
      <c r="T116" s="4"/>
      <c r="U116" s="4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117" t="s">
        <v>203</v>
      </c>
      <c r="C117" s="117" t="s">
        <v>84</v>
      </c>
      <c r="D117" s="117" t="s">
        <v>335</v>
      </c>
      <c r="E117" s="117" t="s">
        <v>336</v>
      </c>
      <c r="F117" s="117" t="s">
        <v>304</v>
      </c>
      <c r="G117" s="118">
        <v>40000.0</v>
      </c>
      <c r="H117" s="118">
        <v>40000.0</v>
      </c>
      <c r="I117" s="117">
        <v>30.0</v>
      </c>
      <c r="J117" s="115">
        <f t="shared" si="1"/>
        <v>2026</v>
      </c>
      <c r="K117" s="115">
        <f t="shared" si="2"/>
        <v>16</v>
      </c>
      <c r="L117" s="115">
        <f t="shared" si="3"/>
        <v>20</v>
      </c>
      <c r="M117" s="115">
        <f t="shared" si="4"/>
        <v>2026</v>
      </c>
      <c r="N117" s="115">
        <f t="shared" si="5"/>
        <v>22</v>
      </c>
      <c r="O117" s="3"/>
      <c r="P117" s="3"/>
      <c r="Q117" s="4"/>
      <c r="R117" s="4"/>
      <c r="S117" s="4"/>
      <c r="T117" s="4"/>
      <c r="U117" s="4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117" t="s">
        <v>203</v>
      </c>
      <c r="C118" s="117" t="s">
        <v>84</v>
      </c>
      <c r="D118" s="117" t="s">
        <v>337</v>
      </c>
      <c r="E118" s="117" t="s">
        <v>336</v>
      </c>
      <c r="F118" s="117" t="s">
        <v>304</v>
      </c>
      <c r="G118" s="118">
        <v>159760.0</v>
      </c>
      <c r="H118" s="118">
        <v>159760.0</v>
      </c>
      <c r="I118" s="117">
        <v>30.0</v>
      </c>
      <c r="J118" s="115">
        <f t="shared" si="1"/>
        <v>2026</v>
      </c>
      <c r="K118" s="115">
        <f t="shared" si="2"/>
        <v>16</v>
      </c>
      <c r="L118" s="115">
        <f t="shared" si="3"/>
        <v>20</v>
      </c>
      <c r="M118" s="115">
        <f t="shared" si="4"/>
        <v>2026</v>
      </c>
      <c r="N118" s="115">
        <f t="shared" si="5"/>
        <v>22</v>
      </c>
      <c r="O118" s="3"/>
      <c r="P118" s="3"/>
      <c r="Q118" s="4"/>
      <c r="R118" s="4"/>
      <c r="S118" s="4"/>
      <c r="T118" s="4"/>
      <c r="U118" s="4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117" t="s">
        <v>203</v>
      </c>
      <c r="C119" s="117" t="s">
        <v>84</v>
      </c>
      <c r="D119" s="117" t="s">
        <v>338</v>
      </c>
      <c r="E119" s="117" t="s">
        <v>336</v>
      </c>
      <c r="F119" s="117" t="s">
        <v>304</v>
      </c>
      <c r="G119" s="118">
        <v>70000.0</v>
      </c>
      <c r="H119" s="118">
        <v>70000.0</v>
      </c>
      <c r="I119" s="117">
        <v>30.0</v>
      </c>
      <c r="J119" s="115">
        <f t="shared" si="1"/>
        <v>2026</v>
      </c>
      <c r="K119" s="115">
        <f t="shared" si="2"/>
        <v>16</v>
      </c>
      <c r="L119" s="115">
        <f t="shared" si="3"/>
        <v>20</v>
      </c>
      <c r="M119" s="115">
        <f t="shared" si="4"/>
        <v>2026</v>
      </c>
      <c r="N119" s="115">
        <f t="shared" si="5"/>
        <v>22</v>
      </c>
      <c r="O119" s="3"/>
      <c r="P119" s="3"/>
      <c r="Q119" s="4"/>
      <c r="R119" s="4"/>
      <c r="S119" s="4"/>
      <c r="T119" s="4"/>
      <c r="U119" s="4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117" t="s">
        <v>203</v>
      </c>
      <c r="C120" s="117" t="s">
        <v>84</v>
      </c>
      <c r="D120" s="117" t="s">
        <v>339</v>
      </c>
      <c r="E120" s="117" t="s">
        <v>89</v>
      </c>
      <c r="F120" s="117" t="s">
        <v>304</v>
      </c>
      <c r="G120" s="118">
        <v>40800.0</v>
      </c>
      <c r="H120" s="118">
        <v>40800.0</v>
      </c>
      <c r="I120" s="117">
        <v>30.0</v>
      </c>
      <c r="J120" s="115">
        <f t="shared" si="1"/>
        <v>2026</v>
      </c>
      <c r="K120" s="115">
        <f t="shared" si="2"/>
        <v>16</v>
      </c>
      <c r="L120" s="115">
        <f t="shared" si="3"/>
        <v>20</v>
      </c>
      <c r="M120" s="115">
        <f t="shared" si="4"/>
        <v>2026</v>
      </c>
      <c r="N120" s="115">
        <f t="shared" si="5"/>
        <v>22</v>
      </c>
      <c r="O120" s="3"/>
      <c r="P120" s="3"/>
      <c r="Q120" s="4"/>
      <c r="R120" s="4"/>
      <c r="S120" s="4"/>
      <c r="T120" s="4"/>
      <c r="U120" s="4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117" t="s">
        <v>174</v>
      </c>
      <c r="C121" s="117" t="s">
        <v>84</v>
      </c>
      <c r="D121" s="117" t="s">
        <v>340</v>
      </c>
      <c r="E121" s="117" t="s">
        <v>341</v>
      </c>
      <c r="F121" s="117" t="s">
        <v>342</v>
      </c>
      <c r="G121" s="118">
        <v>21600.0</v>
      </c>
      <c r="H121" s="118">
        <v>21600.0</v>
      </c>
      <c r="I121" s="117">
        <v>45.0</v>
      </c>
      <c r="J121" s="115">
        <f t="shared" si="1"/>
        <v>2026</v>
      </c>
      <c r="K121" s="115">
        <f t="shared" si="2"/>
        <v>14</v>
      </c>
      <c r="L121" s="115">
        <f t="shared" si="3"/>
        <v>20</v>
      </c>
      <c r="M121" s="115">
        <f t="shared" si="4"/>
        <v>2026</v>
      </c>
      <c r="N121" s="115">
        <f t="shared" si="5"/>
        <v>22</v>
      </c>
      <c r="O121" s="3"/>
      <c r="P121" s="3"/>
      <c r="Q121" s="4"/>
      <c r="R121" s="4"/>
      <c r="S121" s="4"/>
      <c r="T121" s="4"/>
      <c r="U121" s="4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117" t="s">
        <v>174</v>
      </c>
      <c r="C122" s="117" t="s">
        <v>84</v>
      </c>
      <c r="D122" s="117" t="s">
        <v>343</v>
      </c>
      <c r="E122" s="117" t="s">
        <v>344</v>
      </c>
      <c r="F122" s="117" t="s">
        <v>342</v>
      </c>
      <c r="G122" s="118">
        <v>75000.0</v>
      </c>
      <c r="H122" s="118">
        <v>75000.0</v>
      </c>
      <c r="I122" s="117">
        <v>45.0</v>
      </c>
      <c r="J122" s="115">
        <f t="shared" si="1"/>
        <v>2026</v>
      </c>
      <c r="K122" s="115">
        <f t="shared" si="2"/>
        <v>14</v>
      </c>
      <c r="L122" s="115">
        <f t="shared" si="3"/>
        <v>20</v>
      </c>
      <c r="M122" s="115">
        <f t="shared" si="4"/>
        <v>2026</v>
      </c>
      <c r="N122" s="115">
        <f t="shared" si="5"/>
        <v>22</v>
      </c>
      <c r="O122" s="3"/>
      <c r="P122" s="3"/>
      <c r="Q122" s="4"/>
      <c r="R122" s="4"/>
      <c r="S122" s="4"/>
      <c r="T122" s="4"/>
      <c r="U122" s="4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117" t="s">
        <v>134</v>
      </c>
      <c r="C123" s="117" t="s">
        <v>84</v>
      </c>
      <c r="D123" s="117" t="s">
        <v>345</v>
      </c>
      <c r="E123" s="117" t="s">
        <v>346</v>
      </c>
      <c r="F123" s="117" t="s">
        <v>347</v>
      </c>
      <c r="G123" s="118">
        <v>132980.0</v>
      </c>
      <c r="H123" s="118">
        <v>132980.0</v>
      </c>
      <c r="I123" s="117">
        <v>75.0</v>
      </c>
      <c r="J123" s="115">
        <f t="shared" si="1"/>
        <v>2026</v>
      </c>
      <c r="K123" s="115">
        <f t="shared" si="2"/>
        <v>10</v>
      </c>
      <c r="L123" s="115">
        <f t="shared" si="3"/>
        <v>21</v>
      </c>
      <c r="M123" s="115">
        <f t="shared" si="4"/>
        <v>2026</v>
      </c>
      <c r="N123" s="115">
        <f t="shared" si="5"/>
        <v>23</v>
      </c>
      <c r="O123" s="3"/>
      <c r="P123" s="3"/>
      <c r="Q123" s="4"/>
      <c r="R123" s="4"/>
      <c r="S123" s="4"/>
      <c r="T123" s="4"/>
      <c r="U123" s="4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117" t="s">
        <v>348</v>
      </c>
      <c r="C124" s="117" t="s">
        <v>84</v>
      </c>
      <c r="D124" s="117" t="s">
        <v>349</v>
      </c>
      <c r="E124" s="117" t="s">
        <v>350</v>
      </c>
      <c r="F124" s="117" t="s">
        <v>347</v>
      </c>
      <c r="G124" s="118">
        <v>44236.75</v>
      </c>
      <c r="H124" s="118">
        <v>44236.75</v>
      </c>
      <c r="I124" s="117">
        <v>60.0</v>
      </c>
      <c r="J124" s="115">
        <f t="shared" si="1"/>
        <v>2026</v>
      </c>
      <c r="K124" s="115">
        <f t="shared" si="2"/>
        <v>12</v>
      </c>
      <c r="L124" s="115">
        <f t="shared" si="3"/>
        <v>21</v>
      </c>
      <c r="M124" s="115">
        <f t="shared" si="4"/>
        <v>2026</v>
      </c>
      <c r="N124" s="115">
        <f t="shared" si="5"/>
        <v>23</v>
      </c>
      <c r="O124" s="3"/>
      <c r="P124" s="3"/>
      <c r="Q124" s="4"/>
      <c r="R124" s="4"/>
      <c r="S124" s="4"/>
      <c r="T124" s="4"/>
      <c r="U124" s="4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117" t="s">
        <v>351</v>
      </c>
      <c r="C125" s="117" t="s">
        <v>84</v>
      </c>
      <c r="D125" s="117" t="s">
        <v>352</v>
      </c>
      <c r="E125" s="117" t="s">
        <v>124</v>
      </c>
      <c r="F125" s="117" t="s">
        <v>353</v>
      </c>
      <c r="G125" s="118">
        <v>25324.6</v>
      </c>
      <c r="H125" s="118">
        <v>25324.6</v>
      </c>
      <c r="I125" s="117">
        <v>90.0</v>
      </c>
      <c r="J125" s="115">
        <f t="shared" si="1"/>
        <v>2026</v>
      </c>
      <c r="K125" s="115">
        <f t="shared" si="2"/>
        <v>9</v>
      </c>
      <c r="L125" s="115">
        <f t="shared" si="3"/>
        <v>22</v>
      </c>
      <c r="M125" s="115">
        <f t="shared" si="4"/>
        <v>2026</v>
      </c>
      <c r="N125" s="115">
        <f t="shared" si="5"/>
        <v>24</v>
      </c>
      <c r="O125" s="3"/>
      <c r="P125" s="3"/>
      <c r="Q125" s="4"/>
      <c r="R125" s="4"/>
      <c r="S125" s="4"/>
      <c r="T125" s="4"/>
      <c r="U125" s="4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117" t="s">
        <v>226</v>
      </c>
      <c r="C126" s="117" t="s">
        <v>84</v>
      </c>
      <c r="D126" s="117" t="s">
        <v>354</v>
      </c>
      <c r="E126" s="117" t="s">
        <v>355</v>
      </c>
      <c r="F126" s="117" t="s">
        <v>353</v>
      </c>
      <c r="G126" s="118">
        <v>46080.0</v>
      </c>
      <c r="H126" s="118">
        <v>46080.0</v>
      </c>
      <c r="I126" s="117">
        <v>60.0</v>
      </c>
      <c r="J126" s="115">
        <f t="shared" si="1"/>
        <v>2026</v>
      </c>
      <c r="K126" s="115">
        <f t="shared" si="2"/>
        <v>13</v>
      </c>
      <c r="L126" s="115">
        <f t="shared" si="3"/>
        <v>22</v>
      </c>
      <c r="M126" s="115">
        <f t="shared" si="4"/>
        <v>2026</v>
      </c>
      <c r="N126" s="115">
        <f t="shared" si="5"/>
        <v>24</v>
      </c>
      <c r="O126" s="3"/>
      <c r="P126" s="3"/>
      <c r="Q126" s="4"/>
      <c r="R126" s="4"/>
      <c r="S126" s="4"/>
      <c r="T126" s="4"/>
      <c r="U126" s="4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117" t="s">
        <v>226</v>
      </c>
      <c r="C127" s="117" t="s">
        <v>84</v>
      </c>
      <c r="D127" s="117" t="s">
        <v>356</v>
      </c>
      <c r="E127" s="117" t="s">
        <v>357</v>
      </c>
      <c r="F127" s="117" t="s">
        <v>353</v>
      </c>
      <c r="G127" s="118">
        <v>50064.0</v>
      </c>
      <c r="H127" s="118">
        <v>50064.0</v>
      </c>
      <c r="I127" s="117">
        <v>60.0</v>
      </c>
      <c r="J127" s="115">
        <f t="shared" si="1"/>
        <v>2026</v>
      </c>
      <c r="K127" s="115">
        <f t="shared" si="2"/>
        <v>13</v>
      </c>
      <c r="L127" s="115">
        <f t="shared" si="3"/>
        <v>22</v>
      </c>
      <c r="M127" s="115">
        <f t="shared" si="4"/>
        <v>2026</v>
      </c>
      <c r="N127" s="115">
        <f t="shared" si="5"/>
        <v>24</v>
      </c>
      <c r="O127" s="3"/>
      <c r="P127" s="3"/>
      <c r="Q127" s="4"/>
      <c r="R127" s="4"/>
      <c r="S127" s="4"/>
      <c r="T127" s="4"/>
      <c r="U127" s="4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117" t="s">
        <v>163</v>
      </c>
      <c r="C128" s="117" t="s">
        <v>84</v>
      </c>
      <c r="D128" s="117" t="s">
        <v>358</v>
      </c>
      <c r="E128" s="117" t="s">
        <v>92</v>
      </c>
      <c r="F128" s="117" t="s">
        <v>359</v>
      </c>
      <c r="G128" s="118">
        <v>45600.0</v>
      </c>
      <c r="H128" s="118">
        <v>45600.0</v>
      </c>
      <c r="I128" s="117">
        <v>90.0</v>
      </c>
      <c r="J128" s="115">
        <f t="shared" si="1"/>
        <v>2026</v>
      </c>
      <c r="K128" s="115">
        <f t="shared" si="2"/>
        <v>9</v>
      </c>
      <c r="L128" s="115">
        <f t="shared" si="3"/>
        <v>22</v>
      </c>
      <c r="M128" s="115">
        <f t="shared" si="4"/>
        <v>2026</v>
      </c>
      <c r="N128" s="115">
        <f t="shared" si="5"/>
        <v>24</v>
      </c>
      <c r="O128" s="3"/>
      <c r="P128" s="3"/>
      <c r="Q128" s="4"/>
      <c r="R128" s="4"/>
      <c r="S128" s="4"/>
      <c r="T128" s="4"/>
      <c r="U128" s="4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117" t="s">
        <v>248</v>
      </c>
      <c r="C129" s="117" t="s">
        <v>84</v>
      </c>
      <c r="D129" s="117" t="s">
        <v>360</v>
      </c>
      <c r="E129" s="117" t="s">
        <v>237</v>
      </c>
      <c r="F129" s="117" t="s">
        <v>361</v>
      </c>
      <c r="G129" s="118">
        <v>3360.0</v>
      </c>
      <c r="H129" s="118">
        <v>3360.0</v>
      </c>
      <c r="I129" s="117">
        <v>60.0</v>
      </c>
      <c r="J129" s="115">
        <f t="shared" si="1"/>
        <v>2026</v>
      </c>
      <c r="K129" s="115">
        <f t="shared" si="2"/>
        <v>14</v>
      </c>
      <c r="L129" s="115">
        <f t="shared" si="3"/>
        <v>22</v>
      </c>
      <c r="M129" s="115">
        <f t="shared" si="4"/>
        <v>2026</v>
      </c>
      <c r="N129" s="115">
        <f t="shared" si="5"/>
        <v>24</v>
      </c>
      <c r="O129" s="3"/>
      <c r="P129" s="3"/>
      <c r="Q129" s="4"/>
      <c r="R129" s="4"/>
      <c r="S129" s="4"/>
      <c r="T129" s="4"/>
      <c r="U129" s="4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117" t="s">
        <v>203</v>
      </c>
      <c r="C130" s="117" t="s">
        <v>84</v>
      </c>
      <c r="D130" s="117" t="s">
        <v>362</v>
      </c>
      <c r="E130" s="117" t="s">
        <v>247</v>
      </c>
      <c r="F130" s="117" t="s">
        <v>361</v>
      </c>
      <c r="G130" s="118">
        <v>55250.0</v>
      </c>
      <c r="H130" s="118">
        <v>55250.0</v>
      </c>
      <c r="I130" s="117">
        <v>45.0</v>
      </c>
      <c r="J130" s="115">
        <f t="shared" si="1"/>
        <v>2026</v>
      </c>
      <c r="K130" s="115">
        <f t="shared" si="2"/>
        <v>16</v>
      </c>
      <c r="L130" s="115">
        <f t="shared" si="3"/>
        <v>22</v>
      </c>
      <c r="M130" s="115">
        <f t="shared" si="4"/>
        <v>2026</v>
      </c>
      <c r="N130" s="115">
        <f t="shared" si="5"/>
        <v>24</v>
      </c>
      <c r="O130" s="3"/>
      <c r="P130" s="3"/>
      <c r="Q130" s="4"/>
      <c r="R130" s="4"/>
      <c r="S130" s="4"/>
      <c r="T130" s="4"/>
      <c r="U130" s="4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117" t="s">
        <v>363</v>
      </c>
      <c r="C131" s="117" t="s">
        <v>84</v>
      </c>
      <c r="D131" s="117" t="s">
        <v>364</v>
      </c>
      <c r="E131" s="117" t="s">
        <v>218</v>
      </c>
      <c r="F131" s="117" t="s">
        <v>365</v>
      </c>
      <c r="G131" s="118">
        <v>42336.0</v>
      </c>
      <c r="H131" s="118">
        <v>42336.0</v>
      </c>
      <c r="I131" s="117">
        <v>120.0</v>
      </c>
      <c r="J131" s="115">
        <f t="shared" si="1"/>
        <v>2026</v>
      </c>
      <c r="K131" s="115">
        <f t="shared" si="2"/>
        <v>6</v>
      </c>
      <c r="L131" s="115">
        <f t="shared" si="3"/>
        <v>23</v>
      </c>
      <c r="M131" s="115">
        <f t="shared" si="4"/>
        <v>2026</v>
      </c>
      <c r="N131" s="115">
        <f t="shared" si="5"/>
        <v>25</v>
      </c>
      <c r="O131" s="3"/>
      <c r="P131" s="3"/>
      <c r="Q131" s="4"/>
      <c r="R131" s="4"/>
      <c r="S131" s="4"/>
      <c r="T131" s="4"/>
      <c r="U131" s="4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117" t="s">
        <v>363</v>
      </c>
      <c r="C132" s="117" t="s">
        <v>84</v>
      </c>
      <c r="D132" s="117" t="s">
        <v>366</v>
      </c>
      <c r="E132" s="117" t="s">
        <v>367</v>
      </c>
      <c r="F132" s="117" t="s">
        <v>365</v>
      </c>
      <c r="G132" s="118">
        <v>7425.6</v>
      </c>
      <c r="H132" s="118">
        <v>7425.6</v>
      </c>
      <c r="I132" s="117">
        <v>120.0</v>
      </c>
      <c r="J132" s="115">
        <f t="shared" si="1"/>
        <v>2026</v>
      </c>
      <c r="K132" s="115">
        <f t="shared" si="2"/>
        <v>6</v>
      </c>
      <c r="L132" s="115">
        <f t="shared" si="3"/>
        <v>23</v>
      </c>
      <c r="M132" s="115">
        <f t="shared" si="4"/>
        <v>2026</v>
      </c>
      <c r="N132" s="115">
        <f t="shared" si="5"/>
        <v>25</v>
      </c>
      <c r="O132" s="3"/>
      <c r="P132" s="3"/>
      <c r="Q132" s="4"/>
      <c r="R132" s="4"/>
      <c r="S132" s="4"/>
      <c r="T132" s="4"/>
      <c r="U132" s="4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117" t="s">
        <v>203</v>
      </c>
      <c r="C133" s="117" t="s">
        <v>84</v>
      </c>
      <c r="D133" s="117" t="s">
        <v>368</v>
      </c>
      <c r="E133" s="117" t="s">
        <v>303</v>
      </c>
      <c r="F133" s="117" t="s">
        <v>369</v>
      </c>
      <c r="G133" s="118">
        <v>34560.0</v>
      </c>
      <c r="H133" s="118">
        <v>34560.0</v>
      </c>
      <c r="I133" s="117">
        <v>60.0</v>
      </c>
      <c r="J133" s="115">
        <f t="shared" si="1"/>
        <v>2026</v>
      </c>
      <c r="K133" s="115">
        <f t="shared" si="2"/>
        <v>16</v>
      </c>
      <c r="L133" s="115">
        <f t="shared" si="3"/>
        <v>25</v>
      </c>
      <c r="M133" s="115">
        <f t="shared" si="4"/>
        <v>2026</v>
      </c>
      <c r="N133" s="115">
        <f t="shared" si="5"/>
        <v>27</v>
      </c>
      <c r="O133" s="3"/>
      <c r="P133" s="3"/>
      <c r="Q133" s="4"/>
      <c r="R133" s="4"/>
      <c r="S133" s="4"/>
      <c r="T133" s="4"/>
      <c r="U133" s="4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117" t="s">
        <v>370</v>
      </c>
      <c r="C134" s="117" t="s">
        <v>84</v>
      </c>
      <c r="D134" s="117" t="s">
        <v>371</v>
      </c>
      <c r="E134" s="117" t="s">
        <v>124</v>
      </c>
      <c r="F134" s="117" t="s">
        <v>372</v>
      </c>
      <c r="G134" s="118">
        <v>23945.25</v>
      </c>
      <c r="H134" s="118">
        <v>23945.25</v>
      </c>
      <c r="I134" s="117">
        <v>90.0</v>
      </c>
      <c r="J134" s="115">
        <f t="shared" si="1"/>
        <v>2026</v>
      </c>
      <c r="K134" s="115">
        <f t="shared" si="2"/>
        <v>12</v>
      </c>
      <c r="L134" s="115">
        <f t="shared" si="3"/>
        <v>25</v>
      </c>
      <c r="M134" s="115">
        <f t="shared" si="4"/>
        <v>2026</v>
      </c>
      <c r="N134" s="115">
        <f t="shared" si="5"/>
        <v>27</v>
      </c>
      <c r="O134" s="3"/>
      <c r="P134" s="3"/>
      <c r="Q134" s="4"/>
      <c r="R134" s="4"/>
      <c r="S134" s="4"/>
      <c r="T134" s="4"/>
      <c r="U134" s="4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117" t="s">
        <v>221</v>
      </c>
      <c r="C135" s="117" t="s">
        <v>84</v>
      </c>
      <c r="D135" s="117" t="s">
        <v>373</v>
      </c>
      <c r="E135" s="117" t="s">
        <v>374</v>
      </c>
      <c r="F135" s="117" t="s">
        <v>375</v>
      </c>
      <c r="G135" s="118">
        <v>26880.0</v>
      </c>
      <c r="H135" s="118">
        <v>26880.0</v>
      </c>
      <c r="I135" s="117">
        <v>60.0</v>
      </c>
      <c r="J135" s="115">
        <f t="shared" si="1"/>
        <v>2026</v>
      </c>
      <c r="K135" s="115">
        <f t="shared" si="2"/>
        <v>17</v>
      </c>
      <c r="L135" s="115">
        <f t="shared" si="3"/>
        <v>26</v>
      </c>
      <c r="M135" s="115">
        <f t="shared" si="4"/>
        <v>2026</v>
      </c>
      <c r="N135" s="115">
        <f t="shared" si="5"/>
        <v>28</v>
      </c>
      <c r="O135" s="3"/>
      <c r="P135" s="3"/>
      <c r="Q135" s="4"/>
      <c r="R135" s="4"/>
      <c r="S135" s="4"/>
      <c r="T135" s="4"/>
      <c r="U135" s="4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117" t="s">
        <v>226</v>
      </c>
      <c r="C136" s="117" t="s">
        <v>84</v>
      </c>
      <c r="D136" s="117" t="s">
        <v>376</v>
      </c>
      <c r="E136" s="117" t="s">
        <v>377</v>
      </c>
      <c r="F136" s="117" t="s">
        <v>378</v>
      </c>
      <c r="G136" s="118">
        <v>280637.0</v>
      </c>
      <c r="H136" s="118">
        <v>280637.0</v>
      </c>
      <c r="I136" s="117">
        <v>90.0</v>
      </c>
      <c r="J136" s="115">
        <f t="shared" si="1"/>
        <v>2026</v>
      </c>
      <c r="K136" s="115">
        <f t="shared" si="2"/>
        <v>13</v>
      </c>
      <c r="L136" s="115">
        <f t="shared" si="3"/>
        <v>26</v>
      </c>
      <c r="M136" s="115">
        <f t="shared" si="4"/>
        <v>2026</v>
      </c>
      <c r="N136" s="115">
        <f t="shared" si="5"/>
        <v>28</v>
      </c>
      <c r="O136" s="3"/>
      <c r="P136" s="3"/>
      <c r="Q136" s="4"/>
      <c r="R136" s="4"/>
      <c r="S136" s="4"/>
      <c r="T136" s="4"/>
      <c r="U136" s="4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117" t="s">
        <v>248</v>
      </c>
      <c r="C137" s="117" t="s">
        <v>84</v>
      </c>
      <c r="D137" s="117" t="s">
        <v>379</v>
      </c>
      <c r="E137" s="117" t="s">
        <v>92</v>
      </c>
      <c r="F137" s="117" t="s">
        <v>380</v>
      </c>
      <c r="G137" s="118">
        <v>37335.0</v>
      </c>
      <c r="H137" s="118">
        <v>37335.0</v>
      </c>
      <c r="I137" s="117">
        <v>90.0</v>
      </c>
      <c r="J137" s="115">
        <f t="shared" si="1"/>
        <v>2026</v>
      </c>
      <c r="K137" s="115">
        <f t="shared" si="2"/>
        <v>14</v>
      </c>
      <c r="L137" s="115">
        <f t="shared" si="3"/>
        <v>27</v>
      </c>
      <c r="M137" s="115">
        <f t="shared" si="4"/>
        <v>2026</v>
      </c>
      <c r="N137" s="115">
        <f t="shared" si="5"/>
        <v>29</v>
      </c>
      <c r="O137" s="3"/>
      <c r="P137" s="3"/>
      <c r="Q137" s="4"/>
      <c r="R137" s="4"/>
      <c r="S137" s="4"/>
      <c r="T137" s="4"/>
      <c r="U137" s="4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117" t="s">
        <v>381</v>
      </c>
      <c r="C138" s="117" t="s">
        <v>84</v>
      </c>
      <c r="D138" s="117" t="s">
        <v>382</v>
      </c>
      <c r="E138" s="117" t="s">
        <v>124</v>
      </c>
      <c r="F138" s="117" t="s">
        <v>383</v>
      </c>
      <c r="G138" s="118">
        <v>20772.5</v>
      </c>
      <c r="H138" s="118">
        <v>20772.5</v>
      </c>
      <c r="I138" s="117">
        <v>90.0</v>
      </c>
      <c r="J138" s="115">
        <f t="shared" si="1"/>
        <v>2026</v>
      </c>
      <c r="K138" s="115">
        <f t="shared" si="2"/>
        <v>17</v>
      </c>
      <c r="L138" s="115">
        <f t="shared" si="3"/>
        <v>30</v>
      </c>
      <c r="M138" s="115">
        <f t="shared" si="4"/>
        <v>2026</v>
      </c>
      <c r="N138" s="115">
        <f t="shared" si="5"/>
        <v>32</v>
      </c>
      <c r="O138" s="3"/>
      <c r="P138" s="3"/>
      <c r="Q138" s="4"/>
      <c r="R138" s="4"/>
      <c r="S138" s="4"/>
      <c r="T138" s="4"/>
      <c r="U138" s="4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117" t="s">
        <v>215</v>
      </c>
      <c r="C139" s="117" t="s">
        <v>84</v>
      </c>
      <c r="D139" s="117" t="s">
        <v>384</v>
      </c>
      <c r="E139" s="117" t="s">
        <v>377</v>
      </c>
      <c r="F139" s="117" t="s">
        <v>385</v>
      </c>
      <c r="G139" s="118">
        <v>261928.0</v>
      </c>
      <c r="H139" s="118">
        <v>261928.0</v>
      </c>
      <c r="I139" s="117">
        <v>90.0</v>
      </c>
      <c r="J139" s="115">
        <f t="shared" si="1"/>
        <v>2026</v>
      </c>
      <c r="K139" s="115">
        <f t="shared" si="2"/>
        <v>17</v>
      </c>
      <c r="L139" s="115">
        <f t="shared" si="3"/>
        <v>30</v>
      </c>
      <c r="M139" s="115">
        <f t="shared" si="4"/>
        <v>2026</v>
      </c>
      <c r="N139" s="115">
        <f t="shared" si="5"/>
        <v>32</v>
      </c>
      <c r="O139" s="3"/>
      <c r="P139" s="3"/>
      <c r="Q139" s="4"/>
      <c r="R139" s="4"/>
      <c r="S139" s="4"/>
      <c r="T139" s="4"/>
      <c r="U139" s="4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111"/>
      <c r="C140" s="111"/>
      <c r="D140" s="111"/>
      <c r="E140" s="111"/>
      <c r="F140" s="111"/>
      <c r="G140" s="113"/>
      <c r="H140" s="113"/>
      <c r="I140" s="114"/>
      <c r="J140" s="115" t="str">
        <f t="shared" si="1"/>
        <v/>
      </c>
      <c r="K140" s="115" t="str">
        <f t="shared" si="2"/>
        <v/>
      </c>
      <c r="L140" s="115" t="str">
        <f t="shared" si="3"/>
        <v/>
      </c>
      <c r="M140" s="115" t="str">
        <f t="shared" si="4"/>
        <v/>
      </c>
      <c r="N140" s="115" t="str">
        <f t="shared" si="5"/>
        <v/>
      </c>
      <c r="O140" s="3"/>
      <c r="P140" s="3"/>
      <c r="Q140" s="4"/>
      <c r="R140" s="4"/>
      <c r="S140" s="4"/>
      <c r="T140" s="4"/>
      <c r="U140" s="4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111"/>
      <c r="C141" s="111"/>
      <c r="D141" s="111"/>
      <c r="E141" s="111"/>
      <c r="F141" s="111"/>
      <c r="G141" s="113"/>
      <c r="H141" s="113"/>
      <c r="I141" s="114"/>
      <c r="J141" s="115" t="str">
        <f t="shared" si="1"/>
        <v/>
      </c>
      <c r="K141" s="115" t="str">
        <f t="shared" si="2"/>
        <v/>
      </c>
      <c r="L141" s="115" t="str">
        <f t="shared" si="3"/>
        <v/>
      </c>
      <c r="M141" s="115" t="str">
        <f t="shared" si="4"/>
        <v/>
      </c>
      <c r="N141" s="115" t="str">
        <f t="shared" si="5"/>
        <v/>
      </c>
      <c r="O141" s="3"/>
      <c r="P141" s="3"/>
      <c r="Q141" s="4"/>
      <c r="R141" s="4"/>
      <c r="S141" s="4"/>
      <c r="T141" s="4"/>
      <c r="U141" s="4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4"/>
      <c r="B142" s="111"/>
      <c r="C142" s="111"/>
      <c r="D142" s="111"/>
      <c r="E142" s="111"/>
      <c r="F142" s="111"/>
      <c r="G142" s="113"/>
      <c r="H142" s="113"/>
      <c r="I142" s="114"/>
      <c r="J142" s="115" t="str">
        <f t="shared" si="1"/>
        <v/>
      </c>
      <c r="K142" s="115" t="str">
        <f t="shared" si="2"/>
        <v/>
      </c>
      <c r="L142" s="115" t="str">
        <f t="shared" si="3"/>
        <v/>
      </c>
      <c r="M142" s="115" t="str">
        <f t="shared" si="4"/>
        <v/>
      </c>
      <c r="N142" s="115" t="str">
        <f t="shared" si="5"/>
        <v/>
      </c>
      <c r="O142" s="3"/>
      <c r="P142" s="3"/>
      <c r="Q142" s="4"/>
      <c r="R142" s="4"/>
      <c r="S142" s="4"/>
      <c r="T142" s="4"/>
      <c r="U142" s="4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111"/>
      <c r="C143" s="111"/>
      <c r="D143" s="111"/>
      <c r="E143" s="111"/>
      <c r="F143" s="111"/>
      <c r="G143" s="113"/>
      <c r="H143" s="113"/>
      <c r="I143" s="114"/>
      <c r="J143" s="115" t="str">
        <f t="shared" si="1"/>
        <v/>
      </c>
      <c r="K143" s="115" t="str">
        <f t="shared" si="2"/>
        <v/>
      </c>
      <c r="L143" s="115" t="str">
        <f t="shared" si="3"/>
        <v/>
      </c>
      <c r="M143" s="115" t="str">
        <f t="shared" si="4"/>
        <v/>
      </c>
      <c r="N143" s="115" t="str">
        <f t="shared" si="5"/>
        <v/>
      </c>
      <c r="O143" s="3"/>
      <c r="P143" s="3"/>
      <c r="Q143" s="4"/>
      <c r="R143" s="4"/>
      <c r="S143" s="4"/>
      <c r="T143" s="4"/>
      <c r="U143" s="4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111"/>
      <c r="C144" s="111"/>
      <c r="D144" s="111"/>
      <c r="E144" s="111"/>
      <c r="F144" s="111"/>
      <c r="G144" s="113"/>
      <c r="H144" s="113"/>
      <c r="I144" s="114"/>
      <c r="J144" s="115" t="str">
        <f t="shared" si="1"/>
        <v/>
      </c>
      <c r="K144" s="115" t="str">
        <f t="shared" si="2"/>
        <v/>
      </c>
      <c r="L144" s="115" t="str">
        <f t="shared" si="3"/>
        <v/>
      </c>
      <c r="M144" s="115" t="str">
        <f t="shared" si="4"/>
        <v/>
      </c>
      <c r="N144" s="115" t="str">
        <f t="shared" si="5"/>
        <v/>
      </c>
      <c r="O144" s="3"/>
      <c r="P144" s="3"/>
      <c r="Q144" s="4"/>
      <c r="R144" s="4"/>
      <c r="S144" s="4"/>
      <c r="T144" s="4"/>
      <c r="U144" s="4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111"/>
      <c r="C145" s="111"/>
      <c r="D145" s="111"/>
      <c r="E145" s="111"/>
      <c r="F145" s="111"/>
      <c r="G145" s="113"/>
      <c r="H145" s="113"/>
      <c r="I145" s="114"/>
      <c r="J145" s="115" t="str">
        <f t="shared" si="1"/>
        <v/>
      </c>
      <c r="K145" s="115" t="str">
        <f t="shared" si="2"/>
        <v/>
      </c>
      <c r="L145" s="115" t="str">
        <f t="shared" si="3"/>
        <v/>
      </c>
      <c r="M145" s="115" t="str">
        <f t="shared" si="4"/>
        <v/>
      </c>
      <c r="N145" s="115" t="str">
        <f t="shared" si="5"/>
        <v/>
      </c>
      <c r="O145" s="3"/>
      <c r="P145" s="3"/>
      <c r="Q145" s="4"/>
      <c r="R145" s="4"/>
      <c r="S145" s="4"/>
      <c r="T145" s="4"/>
      <c r="U145" s="4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111"/>
      <c r="C146" s="111"/>
      <c r="D146" s="111"/>
      <c r="E146" s="111"/>
      <c r="F146" s="111"/>
      <c r="G146" s="113"/>
      <c r="H146" s="113"/>
      <c r="I146" s="114"/>
      <c r="J146" s="115" t="str">
        <f t="shared" si="1"/>
        <v/>
      </c>
      <c r="K146" s="115" t="str">
        <f t="shared" si="2"/>
        <v/>
      </c>
      <c r="L146" s="115" t="str">
        <f t="shared" si="3"/>
        <v/>
      </c>
      <c r="M146" s="115" t="str">
        <f t="shared" si="4"/>
        <v/>
      </c>
      <c r="N146" s="115" t="str">
        <f t="shared" si="5"/>
        <v/>
      </c>
      <c r="O146" s="3"/>
      <c r="P146" s="3"/>
      <c r="Q146" s="4"/>
      <c r="R146" s="4"/>
      <c r="S146" s="4"/>
      <c r="T146" s="4"/>
      <c r="U146" s="4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111"/>
      <c r="C147" s="111"/>
      <c r="D147" s="111"/>
      <c r="E147" s="111"/>
      <c r="F147" s="111"/>
      <c r="G147" s="113"/>
      <c r="H147" s="113"/>
      <c r="I147" s="114"/>
      <c r="J147" s="115" t="str">
        <f t="shared" si="1"/>
        <v/>
      </c>
      <c r="K147" s="115" t="str">
        <f t="shared" si="2"/>
        <v/>
      </c>
      <c r="L147" s="115" t="str">
        <f t="shared" si="3"/>
        <v/>
      </c>
      <c r="M147" s="115" t="str">
        <f t="shared" si="4"/>
        <v/>
      </c>
      <c r="N147" s="115" t="str">
        <f t="shared" si="5"/>
        <v/>
      </c>
      <c r="O147" s="3"/>
      <c r="P147" s="3"/>
      <c r="Q147" s="4"/>
      <c r="R147" s="4"/>
      <c r="S147" s="4"/>
      <c r="T147" s="4"/>
      <c r="U147" s="4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4"/>
      <c r="B148" s="114"/>
      <c r="C148" s="114"/>
      <c r="D148" s="114"/>
      <c r="E148" s="114"/>
      <c r="F148" s="114"/>
      <c r="G148" s="119"/>
      <c r="H148" s="119"/>
      <c r="I148" s="114"/>
      <c r="J148" s="115" t="str">
        <f t="shared" si="1"/>
        <v/>
      </c>
      <c r="K148" s="115" t="str">
        <f t="shared" si="2"/>
        <v/>
      </c>
      <c r="L148" s="115" t="str">
        <f t="shared" si="3"/>
        <v/>
      </c>
      <c r="M148" s="115" t="str">
        <f t="shared" si="4"/>
        <v/>
      </c>
      <c r="N148" s="115" t="str">
        <f t="shared" si="5"/>
        <v/>
      </c>
      <c r="O148" s="3"/>
      <c r="P148" s="3"/>
      <c r="Q148" s="4"/>
      <c r="R148" s="4"/>
      <c r="S148" s="4"/>
      <c r="T148" s="4"/>
      <c r="U148" s="4"/>
      <c r="V148" s="3"/>
      <c r="W148" s="3"/>
      <c r="X148" s="3"/>
      <c r="Y148" s="3"/>
      <c r="Z148" s="3"/>
      <c r="AA148" s="3"/>
      <c r="AB148" s="3"/>
      <c r="AC148" s="3"/>
      <c r="AD148" s="3"/>
    </row>
    <row r="149" ht="7.5" customHeight="1">
      <c r="A149" s="4"/>
      <c r="B149" s="114"/>
      <c r="C149" s="114"/>
      <c r="D149" s="114"/>
      <c r="E149" s="114"/>
      <c r="F149" s="114"/>
      <c r="G149" s="119"/>
      <c r="H149" s="119"/>
      <c r="I149" s="114"/>
      <c r="J149" s="115"/>
      <c r="K149" s="115"/>
      <c r="L149" s="115"/>
      <c r="M149" s="115"/>
      <c r="N149" s="115"/>
      <c r="O149" s="3"/>
      <c r="P149" s="3"/>
      <c r="Q149" s="4"/>
      <c r="R149" s="4"/>
      <c r="S149" s="4"/>
      <c r="T149" s="4"/>
      <c r="U149" s="4"/>
      <c r="V149" s="3"/>
      <c r="W149" s="3"/>
      <c r="X149" s="3"/>
      <c r="Y149" s="3"/>
      <c r="Z149" s="3"/>
      <c r="AA149" s="3"/>
      <c r="AB149" s="3"/>
      <c r="AC149" s="3"/>
      <c r="AD149" s="3"/>
    </row>
    <row r="150" ht="4.5" customHeight="1">
      <c r="A150" s="120"/>
      <c r="B150" s="121"/>
      <c r="C150" s="121"/>
      <c r="D150" s="121"/>
      <c r="E150" s="121"/>
      <c r="F150" s="121"/>
      <c r="G150" s="122"/>
      <c r="H150" s="122"/>
      <c r="I150" s="121"/>
      <c r="J150" s="123"/>
      <c r="K150" s="123"/>
      <c r="L150" s="123"/>
      <c r="M150" s="123"/>
      <c r="N150" s="123"/>
      <c r="O150" s="3"/>
      <c r="P150" s="3"/>
      <c r="Q150" s="4"/>
      <c r="R150" s="4"/>
      <c r="S150" s="4"/>
      <c r="T150" s="4"/>
      <c r="U150" s="4"/>
      <c r="V150" s="3"/>
      <c r="W150" s="3"/>
      <c r="X150" s="3"/>
      <c r="Y150" s="3"/>
      <c r="Z150" s="3"/>
      <c r="AA150" s="3"/>
      <c r="AB150" s="3"/>
      <c r="AC150" s="3"/>
      <c r="AD150" s="3"/>
    </row>
    <row r="151" ht="7.5" customHeight="1">
      <c r="A151" s="4"/>
      <c r="B151" s="114"/>
      <c r="C151" s="114"/>
      <c r="D151" s="114"/>
      <c r="E151" s="114"/>
      <c r="F151" s="114"/>
      <c r="G151" s="119"/>
      <c r="H151" s="119"/>
      <c r="I151" s="114"/>
      <c r="J151" s="115"/>
      <c r="K151" s="115"/>
      <c r="L151" s="115"/>
      <c r="M151" s="115"/>
      <c r="N151" s="115"/>
      <c r="O151" s="3"/>
      <c r="P151" s="3"/>
      <c r="Q151" s="4"/>
      <c r="R151" s="4"/>
      <c r="S151" s="4"/>
      <c r="T151" s="4"/>
      <c r="U151" s="4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1">
        <v>46142.0</v>
      </c>
      <c r="C152" s="3"/>
      <c r="D152" s="124"/>
      <c r="E152" s="124" t="s">
        <v>386</v>
      </c>
      <c r="F152" s="125">
        <f t="shared" ref="F152:F574" si="9">IF(ISBLANK($B152),"",B152+I152)</f>
        <v>46202</v>
      </c>
      <c r="G152" s="126">
        <v>89500.0</v>
      </c>
      <c r="H152" s="127">
        <f t="shared" ref="H152:H574" si="10">IF(ISBLANK($B152),"",$G152)</f>
        <v>89500</v>
      </c>
      <c r="I152" s="3">
        <v>60.0</v>
      </c>
      <c r="J152" s="115">
        <f t="shared" ref="J152:J574" si="11">IF(ISBLANK($B152),"",YEAR($B152))</f>
        <v>2026</v>
      </c>
      <c r="K152" s="115">
        <f t="shared" ref="K152:K574" si="12">IF(ISBLANK($B152),"",WEEKNUM($B152))</f>
        <v>18</v>
      </c>
      <c r="L152" s="115">
        <f t="shared" ref="L152:L574" si="13">IF(ISBLANK($B152),"",WEEKNUM($F152))</f>
        <v>27</v>
      </c>
      <c r="M152" s="115">
        <f t="shared" ref="M152:M574" si="14">IF(ISBLANK($B152),"",IF($L152&lt;51,YEAR($F152),YEAR($F152)+1))</f>
        <v>2026</v>
      </c>
      <c r="N152" s="115">
        <f t="shared" ref="N152:N574" si="15">IF(ISBLANK($B152),"",IF($L152&lt;51,$L152+$N$2,$L152-52+$N$2))</f>
        <v>29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1">
        <v>46142.0</v>
      </c>
      <c r="C153" s="3"/>
      <c r="D153" s="124"/>
      <c r="E153" s="128" t="s">
        <v>387</v>
      </c>
      <c r="F153" s="125">
        <f t="shared" si="9"/>
        <v>46172</v>
      </c>
      <c r="G153" s="126">
        <v>2500.0</v>
      </c>
      <c r="H153" s="127">
        <f t="shared" si="10"/>
        <v>2500</v>
      </c>
      <c r="I153" s="3">
        <v>30.0</v>
      </c>
      <c r="J153" s="115">
        <f t="shared" si="11"/>
        <v>2026</v>
      </c>
      <c r="K153" s="115">
        <f t="shared" si="12"/>
        <v>18</v>
      </c>
      <c r="L153" s="115">
        <f t="shared" si="13"/>
        <v>22</v>
      </c>
      <c r="M153" s="115">
        <f t="shared" si="14"/>
        <v>2026</v>
      </c>
      <c r="N153" s="115">
        <f t="shared" si="15"/>
        <v>24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1">
        <v>46142.0</v>
      </c>
      <c r="C154" s="3"/>
      <c r="D154" s="124"/>
      <c r="E154" s="124" t="s">
        <v>388</v>
      </c>
      <c r="F154" s="125">
        <f t="shared" si="9"/>
        <v>46202</v>
      </c>
      <c r="G154" s="126">
        <v>907.1200000000026</v>
      </c>
      <c r="H154" s="127">
        <f t="shared" si="10"/>
        <v>907.12</v>
      </c>
      <c r="I154" s="3">
        <v>60.0</v>
      </c>
      <c r="J154" s="115">
        <f t="shared" si="11"/>
        <v>2026</v>
      </c>
      <c r="K154" s="115">
        <f t="shared" si="12"/>
        <v>18</v>
      </c>
      <c r="L154" s="115">
        <f t="shared" si="13"/>
        <v>27</v>
      </c>
      <c r="M154" s="115">
        <f t="shared" si="14"/>
        <v>2026</v>
      </c>
      <c r="N154" s="115">
        <f t="shared" si="15"/>
        <v>29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1">
        <v>46142.0</v>
      </c>
      <c r="C155" s="3"/>
      <c r="D155" s="124"/>
      <c r="E155" s="124" t="s">
        <v>389</v>
      </c>
      <c r="F155" s="125">
        <f t="shared" si="9"/>
        <v>46172</v>
      </c>
      <c r="G155" s="126">
        <v>3200.0</v>
      </c>
      <c r="H155" s="127">
        <f t="shared" si="10"/>
        <v>3200</v>
      </c>
      <c r="I155" s="3">
        <v>30.0</v>
      </c>
      <c r="J155" s="115">
        <f t="shared" si="11"/>
        <v>2026</v>
      </c>
      <c r="K155" s="115">
        <f t="shared" si="12"/>
        <v>18</v>
      </c>
      <c r="L155" s="115">
        <f t="shared" si="13"/>
        <v>22</v>
      </c>
      <c r="M155" s="115">
        <f t="shared" si="14"/>
        <v>2026</v>
      </c>
      <c r="N155" s="115">
        <f t="shared" si="15"/>
        <v>24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1">
        <v>46142.0</v>
      </c>
      <c r="C156" s="3"/>
      <c r="D156" s="124"/>
      <c r="E156" s="124" t="s">
        <v>390</v>
      </c>
      <c r="F156" s="125">
        <f t="shared" si="9"/>
        <v>46202</v>
      </c>
      <c r="G156" s="126">
        <v>560.0</v>
      </c>
      <c r="H156" s="127">
        <f t="shared" si="10"/>
        <v>560</v>
      </c>
      <c r="I156" s="3">
        <v>60.0</v>
      </c>
      <c r="J156" s="115">
        <f t="shared" si="11"/>
        <v>2026</v>
      </c>
      <c r="K156" s="115">
        <f t="shared" si="12"/>
        <v>18</v>
      </c>
      <c r="L156" s="115">
        <f t="shared" si="13"/>
        <v>27</v>
      </c>
      <c r="M156" s="115">
        <f t="shared" si="14"/>
        <v>2026</v>
      </c>
      <c r="N156" s="115">
        <f t="shared" si="15"/>
        <v>29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1">
        <v>46142.0</v>
      </c>
      <c r="C157" s="3"/>
      <c r="D157" s="124"/>
      <c r="E157" s="124" t="s">
        <v>391</v>
      </c>
      <c r="F157" s="125">
        <f t="shared" si="9"/>
        <v>46172</v>
      </c>
      <c r="G157" s="126">
        <v>205902.0</v>
      </c>
      <c r="H157" s="127">
        <f t="shared" si="10"/>
        <v>205902</v>
      </c>
      <c r="I157" s="3">
        <v>30.0</v>
      </c>
      <c r="J157" s="115">
        <f t="shared" si="11"/>
        <v>2026</v>
      </c>
      <c r="K157" s="115">
        <f t="shared" si="12"/>
        <v>18</v>
      </c>
      <c r="L157" s="115">
        <f t="shared" si="13"/>
        <v>22</v>
      </c>
      <c r="M157" s="115">
        <f t="shared" si="14"/>
        <v>2026</v>
      </c>
      <c r="N157" s="115">
        <f t="shared" si="15"/>
        <v>24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1">
        <v>46142.0</v>
      </c>
      <c r="C158" s="3"/>
      <c r="D158" s="124"/>
      <c r="E158" s="124" t="s">
        <v>392</v>
      </c>
      <c r="F158" s="125">
        <f t="shared" si="9"/>
        <v>46202</v>
      </c>
      <c r="G158" s="126">
        <v>24999.59999999998</v>
      </c>
      <c r="H158" s="127">
        <f t="shared" si="10"/>
        <v>24999.6</v>
      </c>
      <c r="I158" s="3">
        <v>60.0</v>
      </c>
      <c r="J158" s="115">
        <f t="shared" si="11"/>
        <v>2026</v>
      </c>
      <c r="K158" s="115">
        <f t="shared" si="12"/>
        <v>18</v>
      </c>
      <c r="L158" s="115">
        <f t="shared" si="13"/>
        <v>27</v>
      </c>
      <c r="M158" s="115">
        <f t="shared" si="14"/>
        <v>2026</v>
      </c>
      <c r="N158" s="115">
        <f t="shared" si="15"/>
        <v>29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1">
        <v>46142.0</v>
      </c>
      <c r="C159" s="3"/>
      <c r="D159" s="124"/>
      <c r="E159" s="124" t="s">
        <v>393</v>
      </c>
      <c r="F159" s="125">
        <f t="shared" si="9"/>
        <v>46187</v>
      </c>
      <c r="G159" s="126">
        <v>27000.0</v>
      </c>
      <c r="H159" s="127">
        <f t="shared" si="10"/>
        <v>27000</v>
      </c>
      <c r="I159" s="3">
        <v>45.0</v>
      </c>
      <c r="J159" s="115">
        <f t="shared" si="11"/>
        <v>2026</v>
      </c>
      <c r="K159" s="115">
        <f t="shared" si="12"/>
        <v>18</v>
      </c>
      <c r="L159" s="115">
        <f t="shared" si="13"/>
        <v>25</v>
      </c>
      <c r="M159" s="115">
        <f t="shared" si="14"/>
        <v>2026</v>
      </c>
      <c r="N159" s="115">
        <f t="shared" si="15"/>
        <v>27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1">
        <v>46142.0</v>
      </c>
      <c r="C160" s="3"/>
      <c r="D160" s="124"/>
      <c r="E160" s="124" t="s">
        <v>394</v>
      </c>
      <c r="F160" s="125">
        <f t="shared" si="9"/>
        <v>46187</v>
      </c>
      <c r="G160" s="126">
        <v>35750.0</v>
      </c>
      <c r="H160" s="127">
        <f t="shared" si="10"/>
        <v>35750</v>
      </c>
      <c r="I160" s="3">
        <v>45.0</v>
      </c>
      <c r="J160" s="115">
        <f t="shared" si="11"/>
        <v>2026</v>
      </c>
      <c r="K160" s="115">
        <f t="shared" si="12"/>
        <v>18</v>
      </c>
      <c r="L160" s="115">
        <f t="shared" si="13"/>
        <v>25</v>
      </c>
      <c r="M160" s="115">
        <f t="shared" si="14"/>
        <v>2026</v>
      </c>
      <c r="N160" s="115">
        <f t="shared" si="15"/>
        <v>27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1">
        <v>46142.0</v>
      </c>
      <c r="C161" s="3"/>
      <c r="D161" s="124"/>
      <c r="E161" s="124" t="s">
        <v>395</v>
      </c>
      <c r="F161" s="125">
        <f t="shared" si="9"/>
        <v>46172</v>
      </c>
      <c r="G161" s="126">
        <v>15000.0</v>
      </c>
      <c r="H161" s="127">
        <f t="shared" si="10"/>
        <v>15000</v>
      </c>
      <c r="I161" s="3">
        <v>30.0</v>
      </c>
      <c r="J161" s="115">
        <f t="shared" si="11"/>
        <v>2026</v>
      </c>
      <c r="K161" s="115">
        <f t="shared" si="12"/>
        <v>18</v>
      </c>
      <c r="L161" s="115">
        <f t="shared" si="13"/>
        <v>22</v>
      </c>
      <c r="M161" s="115">
        <f t="shared" si="14"/>
        <v>2026</v>
      </c>
      <c r="N161" s="115">
        <f t="shared" si="15"/>
        <v>24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1">
        <v>46142.0</v>
      </c>
      <c r="C162" s="3"/>
      <c r="D162" s="124"/>
      <c r="E162" s="124" t="s">
        <v>396</v>
      </c>
      <c r="F162" s="125">
        <f t="shared" si="9"/>
        <v>46172</v>
      </c>
      <c r="G162" s="126">
        <v>44000.0</v>
      </c>
      <c r="H162" s="127">
        <f t="shared" si="10"/>
        <v>44000</v>
      </c>
      <c r="I162" s="3">
        <v>30.0</v>
      </c>
      <c r="J162" s="115">
        <f t="shared" si="11"/>
        <v>2026</v>
      </c>
      <c r="K162" s="115">
        <f t="shared" si="12"/>
        <v>18</v>
      </c>
      <c r="L162" s="115">
        <f t="shared" si="13"/>
        <v>22</v>
      </c>
      <c r="M162" s="115">
        <f t="shared" si="14"/>
        <v>2026</v>
      </c>
      <c r="N162" s="115">
        <f t="shared" si="15"/>
        <v>24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1">
        <v>46142.0</v>
      </c>
      <c r="C163" s="3"/>
      <c r="D163" s="124"/>
      <c r="E163" s="124" t="s">
        <v>397</v>
      </c>
      <c r="F163" s="125">
        <f t="shared" si="9"/>
        <v>46172</v>
      </c>
      <c r="G163" s="126">
        <v>18300.0</v>
      </c>
      <c r="H163" s="127">
        <f t="shared" si="10"/>
        <v>18300</v>
      </c>
      <c r="I163" s="3">
        <v>30.0</v>
      </c>
      <c r="J163" s="115">
        <f t="shared" si="11"/>
        <v>2026</v>
      </c>
      <c r="K163" s="115">
        <f t="shared" si="12"/>
        <v>18</v>
      </c>
      <c r="L163" s="115">
        <f t="shared" si="13"/>
        <v>22</v>
      </c>
      <c r="M163" s="115">
        <f t="shared" si="14"/>
        <v>2026</v>
      </c>
      <c r="N163" s="115">
        <f t="shared" si="15"/>
        <v>24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1">
        <v>46142.0</v>
      </c>
      <c r="C164" s="3"/>
      <c r="D164" s="124"/>
      <c r="E164" s="124" t="s">
        <v>398</v>
      </c>
      <c r="F164" s="125">
        <f t="shared" si="9"/>
        <v>46172</v>
      </c>
      <c r="G164" s="126">
        <v>76358.0</v>
      </c>
      <c r="H164" s="127">
        <f t="shared" si="10"/>
        <v>76358</v>
      </c>
      <c r="I164" s="3">
        <v>30.0</v>
      </c>
      <c r="J164" s="115">
        <f t="shared" si="11"/>
        <v>2026</v>
      </c>
      <c r="K164" s="115">
        <f t="shared" si="12"/>
        <v>18</v>
      </c>
      <c r="L164" s="115">
        <f t="shared" si="13"/>
        <v>22</v>
      </c>
      <c r="M164" s="115">
        <f t="shared" si="14"/>
        <v>2026</v>
      </c>
      <c r="N164" s="115">
        <f t="shared" si="15"/>
        <v>24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1">
        <v>46142.0</v>
      </c>
      <c r="C165" s="3"/>
      <c r="D165" s="124"/>
      <c r="E165" s="124" t="s">
        <v>399</v>
      </c>
      <c r="F165" s="125">
        <f t="shared" si="9"/>
        <v>46187</v>
      </c>
      <c r="G165" s="126">
        <v>23400.0</v>
      </c>
      <c r="H165" s="127">
        <f t="shared" si="10"/>
        <v>23400</v>
      </c>
      <c r="I165" s="3">
        <v>45.0</v>
      </c>
      <c r="J165" s="115">
        <f t="shared" si="11"/>
        <v>2026</v>
      </c>
      <c r="K165" s="115">
        <f t="shared" si="12"/>
        <v>18</v>
      </c>
      <c r="L165" s="115">
        <f t="shared" si="13"/>
        <v>25</v>
      </c>
      <c r="M165" s="115">
        <f t="shared" si="14"/>
        <v>2026</v>
      </c>
      <c r="N165" s="115">
        <f t="shared" si="15"/>
        <v>27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1">
        <v>46142.0</v>
      </c>
      <c r="C166" s="3"/>
      <c r="D166" s="124"/>
      <c r="E166" s="124" t="s">
        <v>400</v>
      </c>
      <c r="F166" s="125">
        <f t="shared" si="9"/>
        <v>46172</v>
      </c>
      <c r="G166" s="126">
        <v>18892.8</v>
      </c>
      <c r="H166" s="127">
        <f t="shared" si="10"/>
        <v>18892.8</v>
      </c>
      <c r="I166" s="3">
        <v>30.0</v>
      </c>
      <c r="J166" s="115">
        <f t="shared" si="11"/>
        <v>2026</v>
      </c>
      <c r="K166" s="115">
        <f t="shared" si="12"/>
        <v>18</v>
      </c>
      <c r="L166" s="115">
        <f t="shared" si="13"/>
        <v>22</v>
      </c>
      <c r="M166" s="115">
        <f t="shared" si="14"/>
        <v>2026</v>
      </c>
      <c r="N166" s="115">
        <f t="shared" si="15"/>
        <v>24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1">
        <v>46142.0</v>
      </c>
      <c r="C167" s="3"/>
      <c r="D167" s="124"/>
      <c r="E167" s="124" t="s">
        <v>401</v>
      </c>
      <c r="F167" s="125">
        <f t="shared" si="9"/>
        <v>46172</v>
      </c>
      <c r="G167" s="126">
        <v>8400.0</v>
      </c>
      <c r="H167" s="127">
        <f t="shared" si="10"/>
        <v>8400</v>
      </c>
      <c r="I167" s="3">
        <v>30.0</v>
      </c>
      <c r="J167" s="115">
        <f t="shared" si="11"/>
        <v>2026</v>
      </c>
      <c r="K167" s="115">
        <f t="shared" si="12"/>
        <v>18</v>
      </c>
      <c r="L167" s="115">
        <f t="shared" si="13"/>
        <v>22</v>
      </c>
      <c r="M167" s="115">
        <f t="shared" si="14"/>
        <v>2026</v>
      </c>
      <c r="N167" s="115">
        <f t="shared" si="15"/>
        <v>24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1">
        <v>46142.0</v>
      </c>
      <c r="C168" s="3"/>
      <c r="D168" s="124"/>
      <c r="E168" s="124" t="s">
        <v>402</v>
      </c>
      <c r="F168" s="125">
        <f t="shared" si="9"/>
        <v>46172</v>
      </c>
      <c r="G168" s="126">
        <v>38016.0</v>
      </c>
      <c r="H168" s="127">
        <f t="shared" si="10"/>
        <v>38016</v>
      </c>
      <c r="I168" s="3">
        <v>30.0</v>
      </c>
      <c r="J168" s="115">
        <f t="shared" si="11"/>
        <v>2026</v>
      </c>
      <c r="K168" s="115">
        <f t="shared" si="12"/>
        <v>18</v>
      </c>
      <c r="L168" s="115">
        <f t="shared" si="13"/>
        <v>22</v>
      </c>
      <c r="M168" s="115">
        <f t="shared" si="14"/>
        <v>2026</v>
      </c>
      <c r="N168" s="115">
        <f t="shared" si="15"/>
        <v>24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1">
        <v>46142.0</v>
      </c>
      <c r="C169" s="3"/>
      <c r="D169" s="124"/>
      <c r="E169" s="124" t="s">
        <v>403</v>
      </c>
      <c r="F169" s="125">
        <f t="shared" si="9"/>
        <v>46187</v>
      </c>
      <c r="G169" s="126">
        <v>57996.0</v>
      </c>
      <c r="H169" s="127">
        <f t="shared" si="10"/>
        <v>57996</v>
      </c>
      <c r="I169" s="3">
        <v>45.0</v>
      </c>
      <c r="J169" s="115">
        <f t="shared" si="11"/>
        <v>2026</v>
      </c>
      <c r="K169" s="115">
        <f t="shared" si="12"/>
        <v>18</v>
      </c>
      <c r="L169" s="115">
        <f t="shared" si="13"/>
        <v>25</v>
      </c>
      <c r="M169" s="115">
        <f t="shared" si="14"/>
        <v>2026</v>
      </c>
      <c r="N169" s="115">
        <f t="shared" si="15"/>
        <v>27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1">
        <v>46142.0</v>
      </c>
      <c r="C170" s="3"/>
      <c r="D170" s="124"/>
      <c r="E170" s="124" t="s">
        <v>404</v>
      </c>
      <c r="F170" s="125">
        <f t="shared" si="9"/>
        <v>46187</v>
      </c>
      <c r="G170" s="126">
        <v>25042.5</v>
      </c>
      <c r="H170" s="127">
        <f t="shared" si="10"/>
        <v>25042.5</v>
      </c>
      <c r="I170" s="3">
        <v>45.0</v>
      </c>
      <c r="J170" s="115">
        <f t="shared" si="11"/>
        <v>2026</v>
      </c>
      <c r="K170" s="115">
        <f t="shared" si="12"/>
        <v>18</v>
      </c>
      <c r="L170" s="115">
        <f t="shared" si="13"/>
        <v>25</v>
      </c>
      <c r="M170" s="115">
        <f t="shared" si="14"/>
        <v>2026</v>
      </c>
      <c r="N170" s="115">
        <f t="shared" si="15"/>
        <v>27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1">
        <v>46142.0</v>
      </c>
      <c r="C171" s="3"/>
      <c r="D171" s="124"/>
      <c r="E171" s="124" t="s">
        <v>405</v>
      </c>
      <c r="F171" s="125">
        <f t="shared" si="9"/>
        <v>46172</v>
      </c>
      <c r="G171" s="126">
        <v>29700.0</v>
      </c>
      <c r="H171" s="127">
        <f t="shared" si="10"/>
        <v>29700</v>
      </c>
      <c r="I171" s="3">
        <v>30.0</v>
      </c>
      <c r="J171" s="115">
        <f t="shared" si="11"/>
        <v>2026</v>
      </c>
      <c r="K171" s="115">
        <f t="shared" si="12"/>
        <v>18</v>
      </c>
      <c r="L171" s="115">
        <f t="shared" si="13"/>
        <v>22</v>
      </c>
      <c r="M171" s="115">
        <f t="shared" si="14"/>
        <v>2026</v>
      </c>
      <c r="N171" s="115">
        <f t="shared" si="15"/>
        <v>24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1">
        <v>46142.0</v>
      </c>
      <c r="C172" s="3"/>
      <c r="D172" s="124"/>
      <c r="E172" s="129" t="s">
        <v>406</v>
      </c>
      <c r="F172" s="125">
        <f t="shared" si="9"/>
        <v>46187</v>
      </c>
      <c r="G172" s="126">
        <v>125000.0</v>
      </c>
      <c r="H172" s="127">
        <f t="shared" si="10"/>
        <v>125000</v>
      </c>
      <c r="I172" s="3">
        <v>45.0</v>
      </c>
      <c r="J172" s="115">
        <f t="shared" si="11"/>
        <v>2026</v>
      </c>
      <c r="K172" s="115">
        <f t="shared" si="12"/>
        <v>18</v>
      </c>
      <c r="L172" s="115">
        <f t="shared" si="13"/>
        <v>25</v>
      </c>
      <c r="M172" s="115">
        <f t="shared" si="14"/>
        <v>2026</v>
      </c>
      <c r="N172" s="115">
        <f t="shared" si="15"/>
        <v>27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1">
        <v>46142.0</v>
      </c>
      <c r="C173" s="3"/>
      <c r="D173" s="124"/>
      <c r="E173" s="124" t="s">
        <v>407</v>
      </c>
      <c r="F173" s="125">
        <f t="shared" si="9"/>
        <v>46172</v>
      </c>
      <c r="G173" s="126">
        <v>150000.0</v>
      </c>
      <c r="H173" s="127">
        <f t="shared" si="10"/>
        <v>150000</v>
      </c>
      <c r="I173" s="3">
        <v>30.0</v>
      </c>
      <c r="J173" s="115">
        <f t="shared" si="11"/>
        <v>2026</v>
      </c>
      <c r="K173" s="115">
        <f t="shared" si="12"/>
        <v>18</v>
      </c>
      <c r="L173" s="115">
        <f t="shared" si="13"/>
        <v>22</v>
      </c>
      <c r="M173" s="115">
        <f t="shared" si="14"/>
        <v>2026</v>
      </c>
      <c r="N173" s="115">
        <f t="shared" si="15"/>
        <v>24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1">
        <v>46142.0</v>
      </c>
      <c r="C174" s="3"/>
      <c r="D174" s="124"/>
      <c r="E174" s="124" t="s">
        <v>408</v>
      </c>
      <c r="F174" s="125">
        <f t="shared" si="9"/>
        <v>46172</v>
      </c>
      <c r="G174" s="126">
        <v>229708.0</v>
      </c>
      <c r="H174" s="127">
        <f t="shared" si="10"/>
        <v>229708</v>
      </c>
      <c r="I174" s="3">
        <v>30.0</v>
      </c>
      <c r="J174" s="115">
        <f t="shared" si="11"/>
        <v>2026</v>
      </c>
      <c r="K174" s="115">
        <f t="shared" si="12"/>
        <v>18</v>
      </c>
      <c r="L174" s="115">
        <f t="shared" si="13"/>
        <v>22</v>
      </c>
      <c r="M174" s="115">
        <f t="shared" si="14"/>
        <v>2026</v>
      </c>
      <c r="N174" s="115">
        <f t="shared" si="15"/>
        <v>24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1">
        <v>46142.0</v>
      </c>
      <c r="C175" s="3"/>
      <c r="D175" s="124"/>
      <c r="E175" s="124" t="s">
        <v>409</v>
      </c>
      <c r="F175" s="125">
        <f t="shared" si="9"/>
        <v>46187</v>
      </c>
      <c r="G175" s="126">
        <v>71456.0</v>
      </c>
      <c r="H175" s="127">
        <f t="shared" si="10"/>
        <v>71456</v>
      </c>
      <c r="I175" s="3">
        <v>45.0</v>
      </c>
      <c r="J175" s="115">
        <f t="shared" si="11"/>
        <v>2026</v>
      </c>
      <c r="K175" s="115">
        <f t="shared" si="12"/>
        <v>18</v>
      </c>
      <c r="L175" s="115">
        <f t="shared" si="13"/>
        <v>25</v>
      </c>
      <c r="M175" s="115">
        <f t="shared" si="14"/>
        <v>2026</v>
      </c>
      <c r="N175" s="115">
        <f t="shared" si="15"/>
        <v>27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1">
        <v>46142.0</v>
      </c>
      <c r="C176" s="3"/>
      <c r="D176" s="124"/>
      <c r="E176" s="124" t="s">
        <v>410</v>
      </c>
      <c r="F176" s="125">
        <f t="shared" si="9"/>
        <v>46187</v>
      </c>
      <c r="G176" s="126">
        <v>30694.0</v>
      </c>
      <c r="H176" s="127">
        <f t="shared" si="10"/>
        <v>30694</v>
      </c>
      <c r="I176" s="3">
        <v>45.0</v>
      </c>
      <c r="J176" s="115">
        <f t="shared" si="11"/>
        <v>2026</v>
      </c>
      <c r="K176" s="115">
        <f t="shared" si="12"/>
        <v>18</v>
      </c>
      <c r="L176" s="115">
        <f t="shared" si="13"/>
        <v>25</v>
      </c>
      <c r="M176" s="115">
        <f t="shared" si="14"/>
        <v>2026</v>
      </c>
      <c r="N176" s="115">
        <f t="shared" si="15"/>
        <v>27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1">
        <v>46142.0</v>
      </c>
      <c r="C177" s="3"/>
      <c r="D177" s="124"/>
      <c r="E177" s="124" t="s">
        <v>411</v>
      </c>
      <c r="F177" s="125">
        <f t="shared" si="9"/>
        <v>46187</v>
      </c>
      <c r="G177" s="126">
        <v>108864.0</v>
      </c>
      <c r="H177" s="127">
        <f t="shared" si="10"/>
        <v>108864</v>
      </c>
      <c r="I177" s="3">
        <v>45.0</v>
      </c>
      <c r="J177" s="115">
        <f t="shared" si="11"/>
        <v>2026</v>
      </c>
      <c r="K177" s="115">
        <f t="shared" si="12"/>
        <v>18</v>
      </c>
      <c r="L177" s="115">
        <f t="shared" si="13"/>
        <v>25</v>
      </c>
      <c r="M177" s="115">
        <f t="shared" si="14"/>
        <v>2026</v>
      </c>
      <c r="N177" s="115">
        <f t="shared" si="15"/>
        <v>27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1">
        <v>46142.0</v>
      </c>
      <c r="C178" s="3"/>
      <c r="D178" s="124"/>
      <c r="E178" s="124" t="s">
        <v>412</v>
      </c>
      <c r="F178" s="125">
        <f t="shared" si="9"/>
        <v>46172</v>
      </c>
      <c r="G178" s="126">
        <v>19387.5</v>
      </c>
      <c r="H178" s="127">
        <f t="shared" si="10"/>
        <v>19387.5</v>
      </c>
      <c r="I178" s="3">
        <v>30.0</v>
      </c>
      <c r="J178" s="115">
        <f t="shared" si="11"/>
        <v>2026</v>
      </c>
      <c r="K178" s="115">
        <f t="shared" si="12"/>
        <v>18</v>
      </c>
      <c r="L178" s="115">
        <f t="shared" si="13"/>
        <v>22</v>
      </c>
      <c r="M178" s="115">
        <f t="shared" si="14"/>
        <v>2026</v>
      </c>
      <c r="N178" s="115">
        <f t="shared" si="15"/>
        <v>24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1">
        <v>46142.0</v>
      </c>
      <c r="C179" s="3"/>
      <c r="D179" s="124"/>
      <c r="E179" s="124" t="s">
        <v>413</v>
      </c>
      <c r="F179" s="125">
        <f t="shared" si="9"/>
        <v>46202</v>
      </c>
      <c r="G179" s="126">
        <v>34560.0</v>
      </c>
      <c r="H179" s="127">
        <f t="shared" si="10"/>
        <v>34560</v>
      </c>
      <c r="I179" s="3">
        <v>60.0</v>
      </c>
      <c r="J179" s="115">
        <f t="shared" si="11"/>
        <v>2026</v>
      </c>
      <c r="K179" s="115">
        <f t="shared" si="12"/>
        <v>18</v>
      </c>
      <c r="L179" s="115">
        <f t="shared" si="13"/>
        <v>27</v>
      </c>
      <c r="M179" s="115">
        <f t="shared" si="14"/>
        <v>2026</v>
      </c>
      <c r="N179" s="115">
        <f t="shared" si="15"/>
        <v>29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1">
        <v>46142.0</v>
      </c>
      <c r="C180" s="3"/>
      <c r="D180" s="124"/>
      <c r="E180" s="124" t="s">
        <v>414</v>
      </c>
      <c r="F180" s="125">
        <f t="shared" si="9"/>
        <v>46172</v>
      </c>
      <c r="G180" s="126">
        <v>110728.0</v>
      </c>
      <c r="H180" s="127">
        <f t="shared" si="10"/>
        <v>110728</v>
      </c>
      <c r="I180" s="3">
        <v>30.0</v>
      </c>
      <c r="J180" s="115">
        <f t="shared" si="11"/>
        <v>2026</v>
      </c>
      <c r="K180" s="115">
        <f t="shared" si="12"/>
        <v>18</v>
      </c>
      <c r="L180" s="115">
        <f t="shared" si="13"/>
        <v>22</v>
      </c>
      <c r="M180" s="115">
        <f t="shared" si="14"/>
        <v>2026</v>
      </c>
      <c r="N180" s="115">
        <f t="shared" si="15"/>
        <v>24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1">
        <v>46142.0</v>
      </c>
      <c r="C181" s="3"/>
      <c r="D181" s="124"/>
      <c r="E181" s="124" t="s">
        <v>415</v>
      </c>
      <c r="F181" s="125">
        <f t="shared" si="9"/>
        <v>46172</v>
      </c>
      <c r="G181" s="126">
        <v>96981.0</v>
      </c>
      <c r="H181" s="127">
        <f t="shared" si="10"/>
        <v>96981</v>
      </c>
      <c r="I181" s="3">
        <v>30.0</v>
      </c>
      <c r="J181" s="115">
        <f t="shared" si="11"/>
        <v>2026</v>
      </c>
      <c r="K181" s="115">
        <f t="shared" si="12"/>
        <v>18</v>
      </c>
      <c r="L181" s="115">
        <f t="shared" si="13"/>
        <v>22</v>
      </c>
      <c r="M181" s="115">
        <f t="shared" si="14"/>
        <v>2026</v>
      </c>
      <c r="N181" s="115">
        <f t="shared" si="15"/>
        <v>24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1">
        <v>46142.0</v>
      </c>
      <c r="C182" s="3"/>
      <c r="D182" s="124"/>
      <c r="E182" s="124" t="s">
        <v>416</v>
      </c>
      <c r="F182" s="125">
        <f t="shared" si="9"/>
        <v>46172</v>
      </c>
      <c r="G182" s="126">
        <v>97879.25</v>
      </c>
      <c r="H182" s="127">
        <f t="shared" si="10"/>
        <v>97879.25</v>
      </c>
      <c r="I182" s="3">
        <v>30.0</v>
      </c>
      <c r="J182" s="115">
        <f t="shared" si="11"/>
        <v>2026</v>
      </c>
      <c r="K182" s="115">
        <f t="shared" si="12"/>
        <v>18</v>
      </c>
      <c r="L182" s="115">
        <f t="shared" si="13"/>
        <v>22</v>
      </c>
      <c r="M182" s="115">
        <f t="shared" si="14"/>
        <v>2026</v>
      </c>
      <c r="N182" s="115">
        <f t="shared" si="15"/>
        <v>24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1">
        <v>46142.0</v>
      </c>
      <c r="C183" s="3"/>
      <c r="D183" s="124"/>
      <c r="E183" s="124" t="s">
        <v>417</v>
      </c>
      <c r="F183" s="125">
        <f t="shared" si="9"/>
        <v>46172</v>
      </c>
      <c r="G183" s="126">
        <v>16000.0</v>
      </c>
      <c r="H183" s="127">
        <f t="shared" si="10"/>
        <v>16000</v>
      </c>
      <c r="I183" s="3">
        <v>30.0</v>
      </c>
      <c r="J183" s="115">
        <f t="shared" si="11"/>
        <v>2026</v>
      </c>
      <c r="K183" s="115">
        <f t="shared" si="12"/>
        <v>18</v>
      </c>
      <c r="L183" s="115">
        <f t="shared" si="13"/>
        <v>22</v>
      </c>
      <c r="M183" s="115">
        <f t="shared" si="14"/>
        <v>2026</v>
      </c>
      <c r="N183" s="115">
        <f t="shared" si="15"/>
        <v>24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1">
        <v>46142.0</v>
      </c>
      <c r="C184" s="3"/>
      <c r="D184" s="130"/>
      <c r="E184" s="124" t="s">
        <v>418</v>
      </c>
      <c r="F184" s="125">
        <f t="shared" si="9"/>
        <v>46187</v>
      </c>
      <c r="G184" s="126">
        <v>34944.0</v>
      </c>
      <c r="H184" s="127">
        <f t="shared" si="10"/>
        <v>34944</v>
      </c>
      <c r="I184" s="3">
        <v>45.0</v>
      </c>
      <c r="J184" s="115">
        <f t="shared" si="11"/>
        <v>2026</v>
      </c>
      <c r="K184" s="115">
        <f t="shared" si="12"/>
        <v>18</v>
      </c>
      <c r="L184" s="115">
        <f t="shared" si="13"/>
        <v>25</v>
      </c>
      <c r="M184" s="115">
        <f t="shared" si="14"/>
        <v>2026</v>
      </c>
      <c r="N184" s="115">
        <f t="shared" si="15"/>
        <v>27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1">
        <v>46142.0</v>
      </c>
      <c r="C185" s="3"/>
      <c r="D185" s="124"/>
      <c r="E185" s="124" t="s">
        <v>419</v>
      </c>
      <c r="F185" s="125">
        <f t="shared" si="9"/>
        <v>46172</v>
      </c>
      <c r="G185" s="126">
        <v>46080.0</v>
      </c>
      <c r="H185" s="127">
        <f t="shared" si="10"/>
        <v>46080</v>
      </c>
      <c r="I185" s="3">
        <v>30.0</v>
      </c>
      <c r="J185" s="115">
        <f t="shared" si="11"/>
        <v>2026</v>
      </c>
      <c r="K185" s="115">
        <f t="shared" si="12"/>
        <v>18</v>
      </c>
      <c r="L185" s="115">
        <f t="shared" si="13"/>
        <v>22</v>
      </c>
      <c r="M185" s="115">
        <f t="shared" si="14"/>
        <v>2026</v>
      </c>
      <c r="N185" s="115">
        <f t="shared" si="15"/>
        <v>24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1">
        <v>46142.0</v>
      </c>
      <c r="C186" s="3"/>
      <c r="D186" s="124"/>
      <c r="E186" s="124" t="s">
        <v>420</v>
      </c>
      <c r="F186" s="125">
        <f t="shared" si="9"/>
        <v>46172</v>
      </c>
      <c r="G186" s="126">
        <v>91200.0</v>
      </c>
      <c r="H186" s="127">
        <f t="shared" si="10"/>
        <v>91200</v>
      </c>
      <c r="I186" s="3">
        <v>30.0</v>
      </c>
      <c r="J186" s="115">
        <f t="shared" si="11"/>
        <v>2026</v>
      </c>
      <c r="K186" s="115">
        <f t="shared" si="12"/>
        <v>18</v>
      </c>
      <c r="L186" s="115">
        <f t="shared" si="13"/>
        <v>22</v>
      </c>
      <c r="M186" s="115">
        <f t="shared" si="14"/>
        <v>2026</v>
      </c>
      <c r="N186" s="115">
        <f t="shared" si="15"/>
        <v>24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1">
        <v>46142.0</v>
      </c>
      <c r="C187" s="3"/>
      <c r="D187" s="124"/>
      <c r="E187" s="124" t="s">
        <v>421</v>
      </c>
      <c r="F187" s="125">
        <f t="shared" si="9"/>
        <v>46172</v>
      </c>
      <c r="G187" s="126">
        <v>62100.0</v>
      </c>
      <c r="H187" s="127">
        <f t="shared" si="10"/>
        <v>62100</v>
      </c>
      <c r="I187" s="3">
        <v>30.0</v>
      </c>
      <c r="J187" s="115">
        <f t="shared" si="11"/>
        <v>2026</v>
      </c>
      <c r="K187" s="115">
        <f t="shared" si="12"/>
        <v>18</v>
      </c>
      <c r="L187" s="115">
        <f t="shared" si="13"/>
        <v>22</v>
      </c>
      <c r="M187" s="115">
        <f t="shared" si="14"/>
        <v>2026</v>
      </c>
      <c r="N187" s="115">
        <f t="shared" si="15"/>
        <v>24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1">
        <v>46142.0</v>
      </c>
      <c r="C188" s="3"/>
      <c r="D188" s="124"/>
      <c r="E188" s="124" t="s">
        <v>422</v>
      </c>
      <c r="F188" s="125">
        <f t="shared" si="9"/>
        <v>46187</v>
      </c>
      <c r="G188" s="126">
        <v>28080.0</v>
      </c>
      <c r="H188" s="127">
        <f t="shared" si="10"/>
        <v>28080</v>
      </c>
      <c r="I188" s="3">
        <v>45.0</v>
      </c>
      <c r="J188" s="115">
        <f t="shared" si="11"/>
        <v>2026</v>
      </c>
      <c r="K188" s="115">
        <f t="shared" si="12"/>
        <v>18</v>
      </c>
      <c r="L188" s="115">
        <f t="shared" si="13"/>
        <v>25</v>
      </c>
      <c r="M188" s="115">
        <f t="shared" si="14"/>
        <v>2026</v>
      </c>
      <c r="N188" s="115">
        <f t="shared" si="15"/>
        <v>27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1">
        <v>46142.0</v>
      </c>
      <c r="C189" s="3"/>
      <c r="D189" s="124"/>
      <c r="E189" s="124" t="s">
        <v>423</v>
      </c>
      <c r="F189" s="125">
        <f t="shared" si="9"/>
        <v>46187</v>
      </c>
      <c r="G189" s="126">
        <v>36960.0</v>
      </c>
      <c r="H189" s="127">
        <f t="shared" si="10"/>
        <v>36960</v>
      </c>
      <c r="I189" s="3">
        <v>45.0</v>
      </c>
      <c r="J189" s="115">
        <f t="shared" si="11"/>
        <v>2026</v>
      </c>
      <c r="K189" s="115">
        <f t="shared" si="12"/>
        <v>18</v>
      </c>
      <c r="L189" s="115">
        <f t="shared" si="13"/>
        <v>25</v>
      </c>
      <c r="M189" s="115">
        <f t="shared" si="14"/>
        <v>2026</v>
      </c>
      <c r="N189" s="115">
        <f t="shared" si="15"/>
        <v>27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1">
        <v>46142.0</v>
      </c>
      <c r="C190" s="3"/>
      <c r="D190" s="124"/>
      <c r="E190" s="124" t="s">
        <v>424</v>
      </c>
      <c r="F190" s="125">
        <f t="shared" si="9"/>
        <v>46187</v>
      </c>
      <c r="G190" s="126">
        <v>195220.0</v>
      </c>
      <c r="H190" s="127">
        <f t="shared" si="10"/>
        <v>195220</v>
      </c>
      <c r="I190" s="3">
        <v>45.0</v>
      </c>
      <c r="J190" s="115">
        <f t="shared" si="11"/>
        <v>2026</v>
      </c>
      <c r="K190" s="115">
        <f t="shared" si="12"/>
        <v>18</v>
      </c>
      <c r="L190" s="115">
        <f t="shared" si="13"/>
        <v>25</v>
      </c>
      <c r="M190" s="115">
        <f t="shared" si="14"/>
        <v>2026</v>
      </c>
      <c r="N190" s="115">
        <f t="shared" si="15"/>
        <v>27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1">
        <v>46142.0</v>
      </c>
      <c r="C191" s="3"/>
      <c r="D191" s="124"/>
      <c r="E191" s="124" t="s">
        <v>425</v>
      </c>
      <c r="F191" s="125">
        <f t="shared" si="9"/>
        <v>46172</v>
      </c>
      <c r="G191" s="126">
        <v>18000.0</v>
      </c>
      <c r="H191" s="127">
        <f t="shared" si="10"/>
        <v>18000</v>
      </c>
      <c r="I191" s="3">
        <v>30.0</v>
      </c>
      <c r="J191" s="115">
        <f t="shared" si="11"/>
        <v>2026</v>
      </c>
      <c r="K191" s="115">
        <f t="shared" si="12"/>
        <v>18</v>
      </c>
      <c r="L191" s="115">
        <f t="shared" si="13"/>
        <v>22</v>
      </c>
      <c r="M191" s="115">
        <f t="shared" si="14"/>
        <v>2026</v>
      </c>
      <c r="N191" s="115">
        <f t="shared" si="15"/>
        <v>24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1">
        <v>46142.0</v>
      </c>
      <c r="C192" s="3"/>
      <c r="D192" s="124"/>
      <c r="E192" s="124" t="s">
        <v>426</v>
      </c>
      <c r="F192" s="125">
        <f t="shared" si="9"/>
        <v>46172</v>
      </c>
      <c r="G192" s="126">
        <v>21562.5</v>
      </c>
      <c r="H192" s="127">
        <f t="shared" si="10"/>
        <v>21562.5</v>
      </c>
      <c r="I192" s="3">
        <v>30.0</v>
      </c>
      <c r="J192" s="115">
        <f t="shared" si="11"/>
        <v>2026</v>
      </c>
      <c r="K192" s="115">
        <f t="shared" si="12"/>
        <v>18</v>
      </c>
      <c r="L192" s="115">
        <f t="shared" si="13"/>
        <v>22</v>
      </c>
      <c r="M192" s="115">
        <f t="shared" si="14"/>
        <v>2026</v>
      </c>
      <c r="N192" s="115">
        <f t="shared" si="15"/>
        <v>24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1">
        <v>46142.0</v>
      </c>
      <c r="C193" s="3"/>
      <c r="D193" s="124"/>
      <c r="E193" s="124" t="s">
        <v>427</v>
      </c>
      <c r="F193" s="125">
        <f t="shared" si="9"/>
        <v>46172</v>
      </c>
      <c r="G193" s="126">
        <v>178070.4</v>
      </c>
      <c r="H193" s="127">
        <f t="shared" si="10"/>
        <v>178070.4</v>
      </c>
      <c r="I193" s="3">
        <v>30.0</v>
      </c>
      <c r="J193" s="115">
        <f t="shared" si="11"/>
        <v>2026</v>
      </c>
      <c r="K193" s="115">
        <f t="shared" si="12"/>
        <v>18</v>
      </c>
      <c r="L193" s="115">
        <f t="shared" si="13"/>
        <v>22</v>
      </c>
      <c r="M193" s="115">
        <f t="shared" si="14"/>
        <v>2026</v>
      </c>
      <c r="N193" s="115">
        <f t="shared" si="15"/>
        <v>24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1">
        <v>46142.0</v>
      </c>
      <c r="C194" s="3"/>
      <c r="D194" s="124"/>
      <c r="E194" s="124" t="s">
        <v>428</v>
      </c>
      <c r="F194" s="125">
        <f t="shared" si="9"/>
        <v>46187</v>
      </c>
      <c r="G194" s="126">
        <v>9600.0</v>
      </c>
      <c r="H194" s="127">
        <f t="shared" si="10"/>
        <v>9600</v>
      </c>
      <c r="I194" s="3">
        <v>45.0</v>
      </c>
      <c r="J194" s="115">
        <f t="shared" si="11"/>
        <v>2026</v>
      </c>
      <c r="K194" s="115">
        <f t="shared" si="12"/>
        <v>18</v>
      </c>
      <c r="L194" s="115">
        <f t="shared" si="13"/>
        <v>25</v>
      </c>
      <c r="M194" s="115">
        <f t="shared" si="14"/>
        <v>2026</v>
      </c>
      <c r="N194" s="115">
        <f t="shared" si="15"/>
        <v>27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1">
        <v>46142.0</v>
      </c>
      <c r="C195" s="3"/>
      <c r="D195" s="124"/>
      <c r="E195" s="124" t="s">
        <v>429</v>
      </c>
      <c r="F195" s="125">
        <f t="shared" si="9"/>
        <v>46187</v>
      </c>
      <c r="G195" s="126">
        <v>191270.0</v>
      </c>
      <c r="H195" s="127">
        <f t="shared" si="10"/>
        <v>191270</v>
      </c>
      <c r="I195" s="3">
        <v>45.0</v>
      </c>
      <c r="J195" s="115">
        <f t="shared" si="11"/>
        <v>2026</v>
      </c>
      <c r="K195" s="115">
        <f t="shared" si="12"/>
        <v>18</v>
      </c>
      <c r="L195" s="115">
        <f t="shared" si="13"/>
        <v>25</v>
      </c>
      <c r="M195" s="115">
        <f t="shared" si="14"/>
        <v>2026</v>
      </c>
      <c r="N195" s="115">
        <f t="shared" si="15"/>
        <v>27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1">
        <v>46142.0</v>
      </c>
      <c r="C196" s="3"/>
      <c r="D196" s="124"/>
      <c r="E196" s="124" t="s">
        <v>430</v>
      </c>
      <c r="F196" s="125">
        <f t="shared" si="9"/>
        <v>46172</v>
      </c>
      <c r="G196" s="126">
        <v>78750.0</v>
      </c>
      <c r="H196" s="127">
        <f t="shared" si="10"/>
        <v>78750</v>
      </c>
      <c r="I196" s="3">
        <v>30.0</v>
      </c>
      <c r="J196" s="115">
        <f t="shared" si="11"/>
        <v>2026</v>
      </c>
      <c r="K196" s="115">
        <f t="shared" si="12"/>
        <v>18</v>
      </c>
      <c r="L196" s="115">
        <f t="shared" si="13"/>
        <v>22</v>
      </c>
      <c r="M196" s="115">
        <f t="shared" si="14"/>
        <v>2026</v>
      </c>
      <c r="N196" s="115">
        <f t="shared" si="15"/>
        <v>24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1">
        <v>46142.0</v>
      </c>
      <c r="C197" s="3"/>
      <c r="D197" s="124"/>
      <c r="E197" s="124" t="s">
        <v>431</v>
      </c>
      <c r="F197" s="125">
        <f t="shared" si="9"/>
        <v>46172</v>
      </c>
      <c r="G197" s="126">
        <v>182400.0</v>
      </c>
      <c r="H197" s="127">
        <f t="shared" si="10"/>
        <v>182400</v>
      </c>
      <c r="I197" s="3">
        <v>30.0</v>
      </c>
      <c r="J197" s="115">
        <f t="shared" si="11"/>
        <v>2026</v>
      </c>
      <c r="K197" s="115">
        <f t="shared" si="12"/>
        <v>18</v>
      </c>
      <c r="L197" s="115">
        <f t="shared" si="13"/>
        <v>22</v>
      </c>
      <c r="M197" s="115">
        <f t="shared" si="14"/>
        <v>2026</v>
      </c>
      <c r="N197" s="115">
        <f t="shared" si="15"/>
        <v>24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1">
        <v>46142.0</v>
      </c>
      <c r="C198" s="3"/>
      <c r="D198" s="124"/>
      <c r="E198" s="124" t="s">
        <v>432</v>
      </c>
      <c r="F198" s="125">
        <f t="shared" si="9"/>
        <v>46172</v>
      </c>
      <c r="G198" s="126">
        <v>25000.0</v>
      </c>
      <c r="H198" s="127">
        <f t="shared" si="10"/>
        <v>25000</v>
      </c>
      <c r="I198" s="3">
        <v>30.0</v>
      </c>
      <c r="J198" s="115">
        <f t="shared" si="11"/>
        <v>2026</v>
      </c>
      <c r="K198" s="115">
        <f t="shared" si="12"/>
        <v>18</v>
      </c>
      <c r="L198" s="115">
        <f t="shared" si="13"/>
        <v>22</v>
      </c>
      <c r="M198" s="115">
        <f t="shared" si="14"/>
        <v>2026</v>
      </c>
      <c r="N198" s="115">
        <f t="shared" si="15"/>
        <v>24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1">
        <v>46142.0</v>
      </c>
      <c r="C199" s="3"/>
      <c r="D199" s="124"/>
      <c r="E199" s="124" t="s">
        <v>433</v>
      </c>
      <c r="F199" s="125">
        <f t="shared" si="9"/>
        <v>46172</v>
      </c>
      <c r="G199" s="126">
        <v>55250.0</v>
      </c>
      <c r="H199" s="127">
        <f t="shared" si="10"/>
        <v>55250</v>
      </c>
      <c r="I199" s="3">
        <v>30.0</v>
      </c>
      <c r="J199" s="115">
        <f t="shared" si="11"/>
        <v>2026</v>
      </c>
      <c r="K199" s="115">
        <f t="shared" si="12"/>
        <v>18</v>
      </c>
      <c r="L199" s="115">
        <f t="shared" si="13"/>
        <v>22</v>
      </c>
      <c r="M199" s="115">
        <f t="shared" si="14"/>
        <v>2026</v>
      </c>
      <c r="N199" s="115">
        <f t="shared" si="15"/>
        <v>24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1">
        <v>46142.0</v>
      </c>
      <c r="C200" s="3"/>
      <c r="D200" s="124"/>
      <c r="E200" s="124" t="s">
        <v>434</v>
      </c>
      <c r="F200" s="125">
        <f t="shared" si="9"/>
        <v>46172</v>
      </c>
      <c r="G200" s="126">
        <v>9500.0</v>
      </c>
      <c r="H200" s="127">
        <f t="shared" si="10"/>
        <v>9500</v>
      </c>
      <c r="I200" s="3">
        <v>30.0</v>
      </c>
      <c r="J200" s="115">
        <f t="shared" si="11"/>
        <v>2026</v>
      </c>
      <c r="K200" s="115">
        <f t="shared" si="12"/>
        <v>18</v>
      </c>
      <c r="L200" s="115">
        <f t="shared" si="13"/>
        <v>22</v>
      </c>
      <c r="M200" s="115">
        <f t="shared" si="14"/>
        <v>2026</v>
      </c>
      <c r="N200" s="115">
        <f t="shared" si="15"/>
        <v>24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1">
        <v>46142.0</v>
      </c>
      <c r="C201" s="3"/>
      <c r="D201" s="124"/>
      <c r="E201" s="124" t="s">
        <v>435</v>
      </c>
      <c r="F201" s="125">
        <f t="shared" si="9"/>
        <v>46187</v>
      </c>
      <c r="G201" s="126">
        <v>58867.5</v>
      </c>
      <c r="H201" s="127">
        <f t="shared" si="10"/>
        <v>58867.5</v>
      </c>
      <c r="I201" s="3">
        <v>45.0</v>
      </c>
      <c r="J201" s="115">
        <f t="shared" si="11"/>
        <v>2026</v>
      </c>
      <c r="K201" s="115">
        <f t="shared" si="12"/>
        <v>18</v>
      </c>
      <c r="L201" s="115">
        <f t="shared" si="13"/>
        <v>25</v>
      </c>
      <c r="M201" s="115">
        <f t="shared" si="14"/>
        <v>2026</v>
      </c>
      <c r="N201" s="115">
        <f t="shared" si="15"/>
        <v>27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1">
        <v>46142.0</v>
      </c>
      <c r="C202" s="3"/>
      <c r="D202" s="124"/>
      <c r="E202" s="124" t="s">
        <v>436</v>
      </c>
      <c r="F202" s="125">
        <f t="shared" si="9"/>
        <v>46172</v>
      </c>
      <c r="G202" s="126">
        <v>59962.0</v>
      </c>
      <c r="H202" s="127">
        <f t="shared" si="10"/>
        <v>59962</v>
      </c>
      <c r="I202" s="3">
        <v>30.0</v>
      </c>
      <c r="J202" s="115">
        <f t="shared" si="11"/>
        <v>2026</v>
      </c>
      <c r="K202" s="115">
        <f t="shared" si="12"/>
        <v>18</v>
      </c>
      <c r="L202" s="115">
        <f t="shared" si="13"/>
        <v>22</v>
      </c>
      <c r="M202" s="115">
        <f t="shared" si="14"/>
        <v>2026</v>
      </c>
      <c r="N202" s="115">
        <f t="shared" si="15"/>
        <v>24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1">
        <v>46142.0</v>
      </c>
      <c r="C203" s="3"/>
      <c r="D203" s="124"/>
      <c r="E203" s="124" t="s">
        <v>437</v>
      </c>
      <c r="F203" s="125">
        <f t="shared" si="9"/>
        <v>46187</v>
      </c>
      <c r="G203" s="126">
        <v>138050.0</v>
      </c>
      <c r="H203" s="127">
        <f t="shared" si="10"/>
        <v>138050</v>
      </c>
      <c r="I203" s="3">
        <v>45.0</v>
      </c>
      <c r="J203" s="115">
        <f t="shared" si="11"/>
        <v>2026</v>
      </c>
      <c r="K203" s="115">
        <f t="shared" si="12"/>
        <v>18</v>
      </c>
      <c r="L203" s="115">
        <f t="shared" si="13"/>
        <v>25</v>
      </c>
      <c r="M203" s="115">
        <f t="shared" si="14"/>
        <v>2026</v>
      </c>
      <c r="N203" s="115">
        <f t="shared" si="15"/>
        <v>27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1">
        <v>46142.0</v>
      </c>
      <c r="C204" s="3"/>
      <c r="D204" s="124"/>
      <c r="E204" s="124" t="s">
        <v>438</v>
      </c>
      <c r="F204" s="125">
        <f t="shared" si="9"/>
        <v>46172</v>
      </c>
      <c r="G204" s="126">
        <v>163000.0</v>
      </c>
      <c r="H204" s="127">
        <f t="shared" si="10"/>
        <v>163000</v>
      </c>
      <c r="I204" s="3">
        <v>30.0</v>
      </c>
      <c r="J204" s="115">
        <f t="shared" si="11"/>
        <v>2026</v>
      </c>
      <c r="K204" s="115">
        <f t="shared" si="12"/>
        <v>18</v>
      </c>
      <c r="L204" s="115">
        <f t="shared" si="13"/>
        <v>22</v>
      </c>
      <c r="M204" s="115">
        <f t="shared" si="14"/>
        <v>2026</v>
      </c>
      <c r="N204" s="115">
        <f t="shared" si="15"/>
        <v>24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1">
        <v>46142.0</v>
      </c>
      <c r="C205" s="3"/>
      <c r="D205" s="124"/>
      <c r="E205" s="124" t="s">
        <v>439</v>
      </c>
      <c r="F205" s="125">
        <f t="shared" si="9"/>
        <v>46172</v>
      </c>
      <c r="G205" s="126">
        <v>68154.4</v>
      </c>
      <c r="H205" s="127">
        <f t="shared" si="10"/>
        <v>68154.4</v>
      </c>
      <c r="I205" s="3">
        <v>30.0</v>
      </c>
      <c r="J205" s="115">
        <f t="shared" si="11"/>
        <v>2026</v>
      </c>
      <c r="K205" s="115">
        <f t="shared" si="12"/>
        <v>18</v>
      </c>
      <c r="L205" s="115">
        <f t="shared" si="13"/>
        <v>22</v>
      </c>
      <c r="M205" s="115">
        <f t="shared" si="14"/>
        <v>2026</v>
      </c>
      <c r="N205" s="115">
        <f t="shared" si="15"/>
        <v>24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1">
        <v>46142.0</v>
      </c>
      <c r="C206" s="3"/>
      <c r="D206" s="124"/>
      <c r="E206" s="124" t="s">
        <v>440</v>
      </c>
      <c r="F206" s="125">
        <f t="shared" si="9"/>
        <v>46187</v>
      </c>
      <c r="G206" s="126">
        <v>23232.0</v>
      </c>
      <c r="H206" s="127">
        <f t="shared" si="10"/>
        <v>23232</v>
      </c>
      <c r="I206" s="3">
        <v>45.0</v>
      </c>
      <c r="J206" s="115">
        <f t="shared" si="11"/>
        <v>2026</v>
      </c>
      <c r="K206" s="115">
        <f t="shared" si="12"/>
        <v>18</v>
      </c>
      <c r="L206" s="115">
        <f t="shared" si="13"/>
        <v>25</v>
      </c>
      <c r="M206" s="115">
        <f t="shared" si="14"/>
        <v>2026</v>
      </c>
      <c r="N206" s="115">
        <f t="shared" si="15"/>
        <v>27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1">
        <v>46142.0</v>
      </c>
      <c r="C207" s="3"/>
      <c r="D207" s="124"/>
      <c r="E207" s="124" t="s">
        <v>441</v>
      </c>
      <c r="F207" s="125">
        <f t="shared" si="9"/>
        <v>46187</v>
      </c>
      <c r="G207" s="126">
        <v>11440.0</v>
      </c>
      <c r="H207" s="127">
        <f t="shared" si="10"/>
        <v>11440</v>
      </c>
      <c r="I207" s="3">
        <v>45.0</v>
      </c>
      <c r="J207" s="115">
        <f t="shared" si="11"/>
        <v>2026</v>
      </c>
      <c r="K207" s="115">
        <f t="shared" si="12"/>
        <v>18</v>
      </c>
      <c r="L207" s="115">
        <f t="shared" si="13"/>
        <v>25</v>
      </c>
      <c r="M207" s="115">
        <f t="shared" si="14"/>
        <v>2026</v>
      </c>
      <c r="N207" s="115">
        <f t="shared" si="15"/>
        <v>27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1">
        <v>46142.0</v>
      </c>
      <c r="C208" s="3"/>
      <c r="D208" s="124"/>
      <c r="E208" s="124" t="s">
        <v>442</v>
      </c>
      <c r="F208" s="125">
        <f t="shared" si="9"/>
        <v>46187</v>
      </c>
      <c r="G208" s="126">
        <v>68040.0</v>
      </c>
      <c r="H208" s="127">
        <f t="shared" si="10"/>
        <v>68040</v>
      </c>
      <c r="I208" s="3">
        <v>45.0</v>
      </c>
      <c r="J208" s="115">
        <f t="shared" si="11"/>
        <v>2026</v>
      </c>
      <c r="K208" s="115">
        <f t="shared" si="12"/>
        <v>18</v>
      </c>
      <c r="L208" s="115">
        <f t="shared" si="13"/>
        <v>25</v>
      </c>
      <c r="M208" s="115">
        <f t="shared" si="14"/>
        <v>2026</v>
      </c>
      <c r="N208" s="115">
        <f t="shared" si="15"/>
        <v>27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1">
        <v>46142.0</v>
      </c>
      <c r="C209" s="3"/>
      <c r="D209" s="124"/>
      <c r="E209" s="124" t="s">
        <v>443</v>
      </c>
      <c r="F209" s="125">
        <f t="shared" si="9"/>
        <v>46187</v>
      </c>
      <c r="G209" s="126">
        <v>28800.0</v>
      </c>
      <c r="H209" s="127">
        <f t="shared" si="10"/>
        <v>28800</v>
      </c>
      <c r="I209" s="3">
        <v>45.0</v>
      </c>
      <c r="J209" s="115">
        <f t="shared" si="11"/>
        <v>2026</v>
      </c>
      <c r="K209" s="115">
        <f t="shared" si="12"/>
        <v>18</v>
      </c>
      <c r="L209" s="115">
        <f t="shared" si="13"/>
        <v>25</v>
      </c>
      <c r="M209" s="115">
        <f t="shared" si="14"/>
        <v>2026</v>
      </c>
      <c r="N209" s="115">
        <f t="shared" si="15"/>
        <v>27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4"/>
      <c r="B210" s="1">
        <v>46142.0</v>
      </c>
      <c r="C210" s="4"/>
      <c r="D210" s="124"/>
      <c r="E210" s="124" t="s">
        <v>444</v>
      </c>
      <c r="F210" s="125">
        <f t="shared" si="9"/>
        <v>46172</v>
      </c>
      <c r="G210" s="126">
        <v>34750.0</v>
      </c>
      <c r="H210" s="127">
        <f t="shared" si="10"/>
        <v>34750</v>
      </c>
      <c r="I210" s="3">
        <v>30.0</v>
      </c>
      <c r="J210" s="115">
        <f t="shared" si="11"/>
        <v>2026</v>
      </c>
      <c r="K210" s="115">
        <f t="shared" si="12"/>
        <v>18</v>
      </c>
      <c r="L210" s="115">
        <f t="shared" si="13"/>
        <v>22</v>
      </c>
      <c r="M210" s="115">
        <f t="shared" si="14"/>
        <v>2026</v>
      </c>
      <c r="N210" s="115">
        <f t="shared" si="15"/>
        <v>24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1">
        <v>46142.0</v>
      </c>
      <c r="C211" s="4"/>
      <c r="D211" s="124"/>
      <c r="E211" s="124" t="s">
        <v>445</v>
      </c>
      <c r="F211" s="125">
        <f t="shared" si="9"/>
        <v>46187</v>
      </c>
      <c r="G211" s="126">
        <v>21600.0</v>
      </c>
      <c r="H211" s="127">
        <f t="shared" si="10"/>
        <v>21600</v>
      </c>
      <c r="I211" s="3">
        <v>45.0</v>
      </c>
      <c r="J211" s="115">
        <f t="shared" si="11"/>
        <v>2026</v>
      </c>
      <c r="K211" s="115">
        <f t="shared" si="12"/>
        <v>18</v>
      </c>
      <c r="L211" s="115">
        <f t="shared" si="13"/>
        <v>25</v>
      </c>
      <c r="M211" s="115">
        <f t="shared" si="14"/>
        <v>2026</v>
      </c>
      <c r="N211" s="115">
        <f t="shared" si="15"/>
        <v>27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1">
        <v>46142.0</v>
      </c>
      <c r="C212" s="4"/>
      <c r="D212" s="124"/>
      <c r="E212" s="124" t="s">
        <v>446</v>
      </c>
      <c r="F212" s="125">
        <f t="shared" si="9"/>
        <v>46187</v>
      </c>
      <c r="G212" s="126">
        <v>163283.0</v>
      </c>
      <c r="H212" s="127">
        <f t="shared" si="10"/>
        <v>163283</v>
      </c>
      <c r="I212" s="3">
        <v>45.0</v>
      </c>
      <c r="J212" s="115">
        <f t="shared" si="11"/>
        <v>2026</v>
      </c>
      <c r="K212" s="115">
        <f t="shared" si="12"/>
        <v>18</v>
      </c>
      <c r="L212" s="115">
        <f t="shared" si="13"/>
        <v>25</v>
      </c>
      <c r="M212" s="115">
        <f t="shared" si="14"/>
        <v>2026</v>
      </c>
      <c r="N212" s="115">
        <f t="shared" si="15"/>
        <v>27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1">
        <v>46142.0</v>
      </c>
      <c r="C213" s="4"/>
      <c r="D213" s="124"/>
      <c r="E213" s="124" t="s">
        <v>447</v>
      </c>
      <c r="F213" s="125">
        <f t="shared" si="9"/>
        <v>46232</v>
      </c>
      <c r="G213" s="126">
        <v>261928.0</v>
      </c>
      <c r="H213" s="127">
        <f t="shared" si="10"/>
        <v>261928</v>
      </c>
      <c r="I213" s="3">
        <v>90.0</v>
      </c>
      <c r="J213" s="115">
        <f t="shared" si="11"/>
        <v>2026</v>
      </c>
      <c r="K213" s="115">
        <f t="shared" si="12"/>
        <v>18</v>
      </c>
      <c r="L213" s="115">
        <f t="shared" si="13"/>
        <v>31</v>
      </c>
      <c r="M213" s="115">
        <f t="shared" si="14"/>
        <v>2026</v>
      </c>
      <c r="N213" s="115">
        <f t="shared" si="15"/>
        <v>33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1">
        <v>46142.0</v>
      </c>
      <c r="C214" s="4"/>
      <c r="D214" s="124"/>
      <c r="E214" s="124" t="s">
        <v>448</v>
      </c>
      <c r="F214" s="125">
        <f t="shared" si="9"/>
        <v>46187</v>
      </c>
      <c r="G214" s="126">
        <v>30240.0</v>
      </c>
      <c r="H214" s="127">
        <f t="shared" si="10"/>
        <v>30240</v>
      </c>
      <c r="I214" s="3">
        <v>45.0</v>
      </c>
      <c r="J214" s="115">
        <f t="shared" si="11"/>
        <v>2026</v>
      </c>
      <c r="K214" s="115">
        <f t="shared" si="12"/>
        <v>18</v>
      </c>
      <c r="L214" s="115">
        <f t="shared" si="13"/>
        <v>25</v>
      </c>
      <c r="M214" s="115">
        <f t="shared" si="14"/>
        <v>2026</v>
      </c>
      <c r="N214" s="115">
        <f t="shared" si="15"/>
        <v>27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1">
        <v>46142.0</v>
      </c>
      <c r="C215" s="4"/>
      <c r="D215" s="124"/>
      <c r="E215" s="124" t="s">
        <v>449</v>
      </c>
      <c r="F215" s="125">
        <f t="shared" si="9"/>
        <v>46172</v>
      </c>
      <c r="G215" s="126">
        <v>40000.0</v>
      </c>
      <c r="H215" s="127">
        <f t="shared" si="10"/>
        <v>40000</v>
      </c>
      <c r="I215" s="3">
        <v>30.0</v>
      </c>
      <c r="J215" s="115">
        <f t="shared" si="11"/>
        <v>2026</v>
      </c>
      <c r="K215" s="115">
        <f t="shared" si="12"/>
        <v>18</v>
      </c>
      <c r="L215" s="115">
        <f t="shared" si="13"/>
        <v>22</v>
      </c>
      <c r="M215" s="115">
        <f t="shared" si="14"/>
        <v>2026</v>
      </c>
      <c r="N215" s="115">
        <f t="shared" si="15"/>
        <v>24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1">
        <v>46142.0</v>
      </c>
      <c r="C216" s="4"/>
      <c r="D216" s="124"/>
      <c r="E216" s="124" t="s">
        <v>450</v>
      </c>
      <c r="F216" s="125">
        <f t="shared" si="9"/>
        <v>46187</v>
      </c>
      <c r="G216" s="126">
        <v>11059.5</v>
      </c>
      <c r="H216" s="127">
        <f t="shared" si="10"/>
        <v>11059.5</v>
      </c>
      <c r="I216" s="3">
        <v>45.0</v>
      </c>
      <c r="J216" s="115">
        <f t="shared" si="11"/>
        <v>2026</v>
      </c>
      <c r="K216" s="115">
        <f t="shared" si="12"/>
        <v>18</v>
      </c>
      <c r="L216" s="115">
        <f t="shared" si="13"/>
        <v>25</v>
      </c>
      <c r="M216" s="115">
        <f t="shared" si="14"/>
        <v>2026</v>
      </c>
      <c r="N216" s="115">
        <f t="shared" si="15"/>
        <v>27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1">
        <v>46142.0</v>
      </c>
      <c r="C217" s="4"/>
      <c r="D217" s="124"/>
      <c r="E217" s="124" t="s">
        <v>451</v>
      </c>
      <c r="F217" s="125">
        <f t="shared" si="9"/>
        <v>46187</v>
      </c>
      <c r="G217" s="126">
        <v>50508.0</v>
      </c>
      <c r="H217" s="127">
        <f t="shared" si="10"/>
        <v>50508</v>
      </c>
      <c r="I217" s="3">
        <v>45.0</v>
      </c>
      <c r="J217" s="115">
        <f t="shared" si="11"/>
        <v>2026</v>
      </c>
      <c r="K217" s="115">
        <f t="shared" si="12"/>
        <v>18</v>
      </c>
      <c r="L217" s="115">
        <f t="shared" si="13"/>
        <v>25</v>
      </c>
      <c r="M217" s="115">
        <f t="shared" si="14"/>
        <v>2026</v>
      </c>
      <c r="N217" s="115">
        <f t="shared" si="15"/>
        <v>27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1">
        <v>46142.0</v>
      </c>
      <c r="C218" s="4"/>
      <c r="D218" s="124"/>
      <c r="E218" s="124" t="s">
        <v>452</v>
      </c>
      <c r="F218" s="125">
        <f t="shared" si="9"/>
        <v>46202</v>
      </c>
      <c r="G218" s="126">
        <v>41000.0</v>
      </c>
      <c r="H218" s="127">
        <f t="shared" si="10"/>
        <v>41000</v>
      </c>
      <c r="I218" s="3">
        <v>60.0</v>
      </c>
      <c r="J218" s="115">
        <f t="shared" si="11"/>
        <v>2026</v>
      </c>
      <c r="K218" s="115">
        <f t="shared" si="12"/>
        <v>18</v>
      </c>
      <c r="L218" s="115">
        <f t="shared" si="13"/>
        <v>27</v>
      </c>
      <c r="M218" s="115">
        <f t="shared" si="14"/>
        <v>2026</v>
      </c>
      <c r="N218" s="115">
        <f t="shared" si="15"/>
        <v>29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1">
        <v>46142.0</v>
      </c>
      <c r="C219" s="4"/>
      <c r="D219" s="124"/>
      <c r="E219" s="124" t="s">
        <v>453</v>
      </c>
      <c r="F219" s="125">
        <f t="shared" si="9"/>
        <v>46172</v>
      </c>
      <c r="G219" s="126">
        <v>69993.0</v>
      </c>
      <c r="H219" s="127">
        <f t="shared" si="10"/>
        <v>69993</v>
      </c>
      <c r="I219" s="3">
        <v>30.0</v>
      </c>
      <c r="J219" s="115">
        <f t="shared" si="11"/>
        <v>2026</v>
      </c>
      <c r="K219" s="115">
        <f t="shared" si="12"/>
        <v>18</v>
      </c>
      <c r="L219" s="115">
        <f t="shared" si="13"/>
        <v>22</v>
      </c>
      <c r="M219" s="115">
        <f t="shared" si="14"/>
        <v>2026</v>
      </c>
      <c r="N219" s="115">
        <f t="shared" si="15"/>
        <v>24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1">
        <v>46142.0</v>
      </c>
      <c r="C220" s="4"/>
      <c r="D220" s="124"/>
      <c r="E220" s="124" t="s">
        <v>454</v>
      </c>
      <c r="F220" s="125">
        <f t="shared" si="9"/>
        <v>46187</v>
      </c>
      <c r="G220" s="126">
        <v>27000.0</v>
      </c>
      <c r="H220" s="127">
        <f t="shared" si="10"/>
        <v>27000</v>
      </c>
      <c r="I220" s="3">
        <v>45.0</v>
      </c>
      <c r="J220" s="115">
        <f t="shared" si="11"/>
        <v>2026</v>
      </c>
      <c r="K220" s="115">
        <f t="shared" si="12"/>
        <v>18</v>
      </c>
      <c r="L220" s="115">
        <f t="shared" si="13"/>
        <v>25</v>
      </c>
      <c r="M220" s="115">
        <f t="shared" si="14"/>
        <v>2026</v>
      </c>
      <c r="N220" s="115">
        <f t="shared" si="15"/>
        <v>27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1">
        <v>46142.0</v>
      </c>
      <c r="C221" s="4"/>
      <c r="D221" s="124"/>
      <c r="E221" s="124" t="s">
        <v>455</v>
      </c>
      <c r="F221" s="125">
        <f t="shared" si="9"/>
        <v>46172</v>
      </c>
      <c r="G221" s="126">
        <v>114201.0</v>
      </c>
      <c r="H221" s="127">
        <f t="shared" si="10"/>
        <v>114201</v>
      </c>
      <c r="I221" s="3">
        <v>30.0</v>
      </c>
      <c r="J221" s="115">
        <f t="shared" si="11"/>
        <v>2026</v>
      </c>
      <c r="K221" s="115">
        <f t="shared" si="12"/>
        <v>18</v>
      </c>
      <c r="L221" s="115">
        <f t="shared" si="13"/>
        <v>22</v>
      </c>
      <c r="M221" s="115">
        <f t="shared" si="14"/>
        <v>2026</v>
      </c>
      <c r="N221" s="115">
        <f t="shared" si="15"/>
        <v>24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1">
        <v>46142.0</v>
      </c>
      <c r="C222" s="4"/>
      <c r="D222" s="124"/>
      <c r="E222" s="124" t="s">
        <v>456</v>
      </c>
      <c r="F222" s="125">
        <f t="shared" si="9"/>
        <v>46187</v>
      </c>
      <c r="G222" s="126">
        <v>69300.0</v>
      </c>
      <c r="H222" s="127">
        <f t="shared" si="10"/>
        <v>69300</v>
      </c>
      <c r="I222" s="3">
        <v>45.0</v>
      </c>
      <c r="J222" s="115">
        <f t="shared" si="11"/>
        <v>2026</v>
      </c>
      <c r="K222" s="115">
        <f t="shared" si="12"/>
        <v>18</v>
      </c>
      <c r="L222" s="115">
        <f t="shared" si="13"/>
        <v>25</v>
      </c>
      <c r="M222" s="115">
        <f t="shared" si="14"/>
        <v>2026</v>
      </c>
      <c r="N222" s="115">
        <f t="shared" si="15"/>
        <v>27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1">
        <v>46142.0</v>
      </c>
      <c r="C223" s="4"/>
      <c r="D223" s="124"/>
      <c r="E223" s="124" t="s">
        <v>457</v>
      </c>
      <c r="F223" s="125">
        <f t="shared" si="9"/>
        <v>46202</v>
      </c>
      <c r="G223" s="126">
        <v>26880.0</v>
      </c>
      <c r="H223" s="127">
        <f t="shared" si="10"/>
        <v>26880</v>
      </c>
      <c r="I223" s="3">
        <v>60.0</v>
      </c>
      <c r="J223" s="115">
        <f t="shared" si="11"/>
        <v>2026</v>
      </c>
      <c r="K223" s="115">
        <f t="shared" si="12"/>
        <v>18</v>
      </c>
      <c r="L223" s="115">
        <f t="shared" si="13"/>
        <v>27</v>
      </c>
      <c r="M223" s="115">
        <f t="shared" si="14"/>
        <v>2026</v>
      </c>
      <c r="N223" s="115">
        <f t="shared" si="15"/>
        <v>29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1">
        <v>46142.0</v>
      </c>
      <c r="C224" s="4"/>
      <c r="D224" s="124"/>
      <c r="E224" s="124" t="s">
        <v>458</v>
      </c>
      <c r="F224" s="125">
        <f t="shared" si="9"/>
        <v>46172</v>
      </c>
      <c r="G224" s="126">
        <v>10800.0</v>
      </c>
      <c r="H224" s="127">
        <f t="shared" si="10"/>
        <v>10800</v>
      </c>
      <c r="I224" s="3">
        <v>30.0</v>
      </c>
      <c r="J224" s="115">
        <f t="shared" si="11"/>
        <v>2026</v>
      </c>
      <c r="K224" s="115">
        <f t="shared" si="12"/>
        <v>18</v>
      </c>
      <c r="L224" s="115">
        <f t="shared" si="13"/>
        <v>22</v>
      </c>
      <c r="M224" s="115">
        <f t="shared" si="14"/>
        <v>2026</v>
      </c>
      <c r="N224" s="115">
        <f t="shared" si="15"/>
        <v>24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1">
        <v>46173.0</v>
      </c>
      <c r="C225" s="4"/>
      <c r="D225" s="124"/>
      <c r="E225" s="128" t="s">
        <v>387</v>
      </c>
      <c r="F225" s="125">
        <f t="shared" si="9"/>
        <v>46203</v>
      </c>
      <c r="G225" s="126">
        <v>2500.0</v>
      </c>
      <c r="H225" s="127">
        <f t="shared" si="10"/>
        <v>2500</v>
      </c>
      <c r="I225" s="3">
        <v>30.0</v>
      </c>
      <c r="J225" s="115">
        <f t="shared" si="11"/>
        <v>2026</v>
      </c>
      <c r="K225" s="115">
        <f t="shared" si="12"/>
        <v>23</v>
      </c>
      <c r="L225" s="115">
        <f t="shared" si="13"/>
        <v>27</v>
      </c>
      <c r="M225" s="115">
        <f t="shared" si="14"/>
        <v>2026</v>
      </c>
      <c r="N225" s="115">
        <f t="shared" si="15"/>
        <v>29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1">
        <v>46173.0</v>
      </c>
      <c r="C226" s="4"/>
      <c r="D226" s="124"/>
      <c r="E226" s="124" t="s">
        <v>388</v>
      </c>
      <c r="F226" s="125">
        <f t="shared" si="9"/>
        <v>46233</v>
      </c>
      <c r="G226" s="126">
        <v>1209.5</v>
      </c>
      <c r="H226" s="127">
        <f t="shared" si="10"/>
        <v>1209.5</v>
      </c>
      <c r="I226" s="3">
        <v>60.0</v>
      </c>
      <c r="J226" s="115">
        <f t="shared" si="11"/>
        <v>2026</v>
      </c>
      <c r="K226" s="115">
        <f t="shared" si="12"/>
        <v>23</v>
      </c>
      <c r="L226" s="115">
        <f t="shared" si="13"/>
        <v>31</v>
      </c>
      <c r="M226" s="115">
        <f t="shared" si="14"/>
        <v>2026</v>
      </c>
      <c r="N226" s="115">
        <f t="shared" si="15"/>
        <v>33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1">
        <v>46173.0</v>
      </c>
      <c r="C227" s="4"/>
      <c r="D227" s="124"/>
      <c r="E227" s="124" t="s">
        <v>392</v>
      </c>
      <c r="F227" s="125">
        <f t="shared" si="9"/>
        <v>46233</v>
      </c>
      <c r="G227" s="126">
        <v>24999.59999999998</v>
      </c>
      <c r="H227" s="127">
        <f t="shared" si="10"/>
        <v>24999.6</v>
      </c>
      <c r="I227" s="3">
        <v>60.0</v>
      </c>
      <c r="J227" s="115">
        <f t="shared" si="11"/>
        <v>2026</v>
      </c>
      <c r="K227" s="115">
        <f t="shared" si="12"/>
        <v>23</v>
      </c>
      <c r="L227" s="115">
        <f t="shared" si="13"/>
        <v>31</v>
      </c>
      <c r="M227" s="115">
        <f t="shared" si="14"/>
        <v>2026</v>
      </c>
      <c r="N227" s="115">
        <f t="shared" si="15"/>
        <v>33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1">
        <v>46173.0</v>
      </c>
      <c r="C228" s="4"/>
      <c r="D228" s="124"/>
      <c r="E228" s="124" t="s">
        <v>393</v>
      </c>
      <c r="F228" s="125">
        <f t="shared" si="9"/>
        <v>46218</v>
      </c>
      <c r="G228" s="126">
        <v>21600.0</v>
      </c>
      <c r="H228" s="127">
        <f t="shared" si="10"/>
        <v>21600</v>
      </c>
      <c r="I228" s="3">
        <v>45.0</v>
      </c>
      <c r="J228" s="115">
        <f t="shared" si="11"/>
        <v>2026</v>
      </c>
      <c r="K228" s="115">
        <f t="shared" si="12"/>
        <v>23</v>
      </c>
      <c r="L228" s="115">
        <f t="shared" si="13"/>
        <v>29</v>
      </c>
      <c r="M228" s="115">
        <f t="shared" si="14"/>
        <v>2026</v>
      </c>
      <c r="N228" s="115">
        <f t="shared" si="15"/>
        <v>31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1">
        <v>46173.0</v>
      </c>
      <c r="C229" s="4"/>
      <c r="D229" s="124"/>
      <c r="E229" s="124" t="s">
        <v>394</v>
      </c>
      <c r="F229" s="125">
        <f t="shared" si="9"/>
        <v>46218</v>
      </c>
      <c r="G229" s="126">
        <v>42350.0</v>
      </c>
      <c r="H229" s="127">
        <f t="shared" si="10"/>
        <v>42350</v>
      </c>
      <c r="I229" s="3">
        <v>45.0</v>
      </c>
      <c r="J229" s="115">
        <f t="shared" si="11"/>
        <v>2026</v>
      </c>
      <c r="K229" s="115">
        <f t="shared" si="12"/>
        <v>23</v>
      </c>
      <c r="L229" s="115">
        <f t="shared" si="13"/>
        <v>29</v>
      </c>
      <c r="M229" s="115">
        <f t="shared" si="14"/>
        <v>2026</v>
      </c>
      <c r="N229" s="115">
        <f t="shared" si="15"/>
        <v>31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1">
        <v>46173.0</v>
      </c>
      <c r="C230" s="4"/>
      <c r="D230" s="124"/>
      <c r="E230" s="124" t="s">
        <v>395</v>
      </c>
      <c r="F230" s="125">
        <f t="shared" si="9"/>
        <v>46203</v>
      </c>
      <c r="G230" s="126">
        <v>25800.0</v>
      </c>
      <c r="H230" s="127">
        <f t="shared" si="10"/>
        <v>25800</v>
      </c>
      <c r="I230" s="3">
        <v>30.0</v>
      </c>
      <c r="J230" s="115">
        <f t="shared" si="11"/>
        <v>2026</v>
      </c>
      <c r="K230" s="115">
        <f t="shared" si="12"/>
        <v>23</v>
      </c>
      <c r="L230" s="115">
        <f t="shared" si="13"/>
        <v>27</v>
      </c>
      <c r="M230" s="115">
        <f t="shared" si="14"/>
        <v>2026</v>
      </c>
      <c r="N230" s="115">
        <f t="shared" si="15"/>
        <v>29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1">
        <v>46173.0</v>
      </c>
      <c r="C231" s="4"/>
      <c r="D231" s="124"/>
      <c r="E231" s="124" t="s">
        <v>459</v>
      </c>
      <c r="F231" s="125">
        <f t="shared" si="9"/>
        <v>46203</v>
      </c>
      <c r="G231" s="126">
        <v>138483.0</v>
      </c>
      <c r="H231" s="127">
        <f t="shared" si="10"/>
        <v>138483</v>
      </c>
      <c r="I231" s="3">
        <v>30.0</v>
      </c>
      <c r="J231" s="115">
        <f t="shared" si="11"/>
        <v>2026</v>
      </c>
      <c r="K231" s="115">
        <f t="shared" si="12"/>
        <v>23</v>
      </c>
      <c r="L231" s="115">
        <f t="shared" si="13"/>
        <v>27</v>
      </c>
      <c r="M231" s="115">
        <f t="shared" si="14"/>
        <v>2026</v>
      </c>
      <c r="N231" s="115">
        <f t="shared" si="15"/>
        <v>29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1">
        <v>46173.0</v>
      </c>
      <c r="C232" s="4"/>
      <c r="D232" s="124"/>
      <c r="E232" s="124" t="s">
        <v>460</v>
      </c>
      <c r="F232" s="125">
        <f t="shared" si="9"/>
        <v>46203</v>
      </c>
      <c r="G232" s="126">
        <v>38722.0</v>
      </c>
      <c r="H232" s="127">
        <f t="shared" si="10"/>
        <v>38722</v>
      </c>
      <c r="I232" s="3">
        <v>30.0</v>
      </c>
      <c r="J232" s="115">
        <f t="shared" si="11"/>
        <v>2026</v>
      </c>
      <c r="K232" s="115">
        <f t="shared" si="12"/>
        <v>23</v>
      </c>
      <c r="L232" s="115">
        <f t="shared" si="13"/>
        <v>27</v>
      </c>
      <c r="M232" s="115">
        <f t="shared" si="14"/>
        <v>2026</v>
      </c>
      <c r="N232" s="115">
        <f t="shared" si="15"/>
        <v>29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1">
        <v>46173.0</v>
      </c>
      <c r="C233" s="4"/>
      <c r="D233" s="124"/>
      <c r="E233" s="124" t="s">
        <v>401</v>
      </c>
      <c r="F233" s="125">
        <f t="shared" si="9"/>
        <v>46203</v>
      </c>
      <c r="G233" s="126">
        <v>8400.0</v>
      </c>
      <c r="H233" s="127">
        <f t="shared" si="10"/>
        <v>8400</v>
      </c>
      <c r="I233" s="3">
        <v>30.0</v>
      </c>
      <c r="J233" s="115">
        <f t="shared" si="11"/>
        <v>2026</v>
      </c>
      <c r="K233" s="115">
        <f t="shared" si="12"/>
        <v>23</v>
      </c>
      <c r="L233" s="115">
        <f t="shared" si="13"/>
        <v>27</v>
      </c>
      <c r="M233" s="115">
        <f t="shared" si="14"/>
        <v>2026</v>
      </c>
      <c r="N233" s="115">
        <f t="shared" si="15"/>
        <v>29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1">
        <v>46173.0</v>
      </c>
      <c r="C234" s="4"/>
      <c r="D234" s="124"/>
      <c r="E234" s="124" t="s">
        <v>461</v>
      </c>
      <c r="F234" s="125">
        <f t="shared" si="9"/>
        <v>46203</v>
      </c>
      <c r="G234" s="126">
        <v>94185.0</v>
      </c>
      <c r="H234" s="127">
        <f t="shared" si="10"/>
        <v>94185</v>
      </c>
      <c r="I234" s="3">
        <v>30.0</v>
      </c>
      <c r="J234" s="115">
        <f t="shared" si="11"/>
        <v>2026</v>
      </c>
      <c r="K234" s="115">
        <f t="shared" si="12"/>
        <v>23</v>
      </c>
      <c r="L234" s="115">
        <f t="shared" si="13"/>
        <v>27</v>
      </c>
      <c r="M234" s="115">
        <f t="shared" si="14"/>
        <v>2026</v>
      </c>
      <c r="N234" s="115">
        <f t="shared" si="15"/>
        <v>29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1">
        <v>46173.0</v>
      </c>
      <c r="C235" s="4"/>
      <c r="D235" s="124"/>
      <c r="E235" s="124" t="s">
        <v>462</v>
      </c>
      <c r="F235" s="125">
        <f t="shared" si="9"/>
        <v>46218</v>
      </c>
      <c r="G235" s="126">
        <v>161333.0</v>
      </c>
      <c r="H235" s="127">
        <f t="shared" si="10"/>
        <v>161333</v>
      </c>
      <c r="I235" s="3">
        <v>45.0</v>
      </c>
      <c r="J235" s="115">
        <f t="shared" si="11"/>
        <v>2026</v>
      </c>
      <c r="K235" s="115">
        <f t="shared" si="12"/>
        <v>23</v>
      </c>
      <c r="L235" s="115">
        <f t="shared" si="13"/>
        <v>29</v>
      </c>
      <c r="M235" s="115">
        <f t="shared" si="14"/>
        <v>2026</v>
      </c>
      <c r="N235" s="115">
        <f t="shared" si="15"/>
        <v>31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1">
        <v>46173.0</v>
      </c>
      <c r="C236" s="4"/>
      <c r="D236" s="124"/>
      <c r="E236" s="124" t="s">
        <v>463</v>
      </c>
      <c r="F236" s="125">
        <f t="shared" si="9"/>
        <v>46263</v>
      </c>
      <c r="G236" s="126">
        <v>76800.0</v>
      </c>
      <c r="H236" s="127">
        <f t="shared" si="10"/>
        <v>76800</v>
      </c>
      <c r="I236" s="3">
        <v>90.0</v>
      </c>
      <c r="J236" s="115">
        <f t="shared" si="11"/>
        <v>2026</v>
      </c>
      <c r="K236" s="115">
        <f t="shared" si="12"/>
        <v>23</v>
      </c>
      <c r="L236" s="115">
        <f t="shared" si="13"/>
        <v>35</v>
      </c>
      <c r="M236" s="115">
        <f t="shared" si="14"/>
        <v>2026</v>
      </c>
      <c r="N236" s="115">
        <f t="shared" si="15"/>
        <v>37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1">
        <v>46173.0</v>
      </c>
      <c r="C237" s="4"/>
      <c r="D237" s="124"/>
      <c r="E237" s="124" t="s">
        <v>464</v>
      </c>
      <c r="F237" s="125">
        <f t="shared" si="9"/>
        <v>46218</v>
      </c>
      <c r="G237" s="126">
        <v>57510.0</v>
      </c>
      <c r="H237" s="127">
        <f t="shared" si="10"/>
        <v>57510</v>
      </c>
      <c r="I237" s="3">
        <v>45.0</v>
      </c>
      <c r="J237" s="115">
        <f t="shared" si="11"/>
        <v>2026</v>
      </c>
      <c r="K237" s="115">
        <f t="shared" si="12"/>
        <v>23</v>
      </c>
      <c r="L237" s="115">
        <f t="shared" si="13"/>
        <v>29</v>
      </c>
      <c r="M237" s="115">
        <f t="shared" si="14"/>
        <v>2026</v>
      </c>
      <c r="N237" s="115">
        <f t="shared" si="15"/>
        <v>31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1">
        <v>46173.0</v>
      </c>
      <c r="C238" s="4"/>
      <c r="D238" s="124"/>
      <c r="E238" s="124" t="s">
        <v>404</v>
      </c>
      <c r="F238" s="125">
        <f t="shared" si="9"/>
        <v>46218</v>
      </c>
      <c r="G238" s="126">
        <v>23152.5</v>
      </c>
      <c r="H238" s="127">
        <f t="shared" si="10"/>
        <v>23152.5</v>
      </c>
      <c r="I238" s="3">
        <v>45.0</v>
      </c>
      <c r="J238" s="115">
        <f t="shared" si="11"/>
        <v>2026</v>
      </c>
      <c r="K238" s="115">
        <f t="shared" si="12"/>
        <v>23</v>
      </c>
      <c r="L238" s="115">
        <f t="shared" si="13"/>
        <v>29</v>
      </c>
      <c r="M238" s="115">
        <f t="shared" si="14"/>
        <v>2026</v>
      </c>
      <c r="N238" s="115">
        <f t="shared" si="15"/>
        <v>31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1">
        <v>46173.0</v>
      </c>
      <c r="C239" s="4"/>
      <c r="D239" s="124"/>
      <c r="E239" s="129" t="s">
        <v>406</v>
      </c>
      <c r="F239" s="125">
        <f t="shared" si="9"/>
        <v>46218</v>
      </c>
      <c r="G239" s="126">
        <v>85000.0</v>
      </c>
      <c r="H239" s="127">
        <f t="shared" si="10"/>
        <v>85000</v>
      </c>
      <c r="I239" s="3">
        <v>45.0</v>
      </c>
      <c r="J239" s="115">
        <f t="shared" si="11"/>
        <v>2026</v>
      </c>
      <c r="K239" s="115">
        <f t="shared" si="12"/>
        <v>23</v>
      </c>
      <c r="L239" s="115">
        <f t="shared" si="13"/>
        <v>29</v>
      </c>
      <c r="M239" s="115">
        <f t="shared" si="14"/>
        <v>2026</v>
      </c>
      <c r="N239" s="115">
        <f t="shared" si="15"/>
        <v>31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1">
        <v>46173.0</v>
      </c>
      <c r="C240" s="4"/>
      <c r="D240" s="124"/>
      <c r="E240" s="124" t="s">
        <v>465</v>
      </c>
      <c r="F240" s="125">
        <f t="shared" si="9"/>
        <v>46218</v>
      </c>
      <c r="G240" s="126">
        <v>80352.0</v>
      </c>
      <c r="H240" s="127">
        <f t="shared" si="10"/>
        <v>80352</v>
      </c>
      <c r="I240" s="3">
        <v>45.0</v>
      </c>
      <c r="J240" s="115">
        <f t="shared" si="11"/>
        <v>2026</v>
      </c>
      <c r="K240" s="115">
        <f t="shared" si="12"/>
        <v>23</v>
      </c>
      <c r="L240" s="115">
        <f t="shared" si="13"/>
        <v>29</v>
      </c>
      <c r="M240" s="115">
        <f t="shared" si="14"/>
        <v>2026</v>
      </c>
      <c r="N240" s="115">
        <f t="shared" si="15"/>
        <v>31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1">
        <v>46173.0</v>
      </c>
      <c r="C241" s="4"/>
      <c r="D241" s="124"/>
      <c r="E241" s="124" t="s">
        <v>407</v>
      </c>
      <c r="F241" s="125">
        <f t="shared" si="9"/>
        <v>46203</v>
      </c>
      <c r="G241" s="126">
        <v>150000.0</v>
      </c>
      <c r="H241" s="127">
        <f t="shared" si="10"/>
        <v>150000</v>
      </c>
      <c r="I241" s="3">
        <v>30.0</v>
      </c>
      <c r="J241" s="115">
        <f t="shared" si="11"/>
        <v>2026</v>
      </c>
      <c r="K241" s="115">
        <f t="shared" si="12"/>
        <v>23</v>
      </c>
      <c r="L241" s="115">
        <f t="shared" si="13"/>
        <v>27</v>
      </c>
      <c r="M241" s="115">
        <f t="shared" si="14"/>
        <v>2026</v>
      </c>
      <c r="N241" s="115">
        <f t="shared" si="15"/>
        <v>29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1">
        <v>46173.0</v>
      </c>
      <c r="C242" s="4"/>
      <c r="D242" s="124"/>
      <c r="E242" s="124" t="s">
        <v>411</v>
      </c>
      <c r="F242" s="125">
        <f t="shared" si="9"/>
        <v>46218</v>
      </c>
      <c r="G242" s="126">
        <v>108864.0</v>
      </c>
      <c r="H242" s="127">
        <f t="shared" si="10"/>
        <v>108864</v>
      </c>
      <c r="I242" s="3">
        <v>45.0</v>
      </c>
      <c r="J242" s="115">
        <f t="shared" si="11"/>
        <v>2026</v>
      </c>
      <c r="K242" s="115">
        <f t="shared" si="12"/>
        <v>23</v>
      </c>
      <c r="L242" s="115">
        <f t="shared" si="13"/>
        <v>29</v>
      </c>
      <c r="M242" s="115">
        <f t="shared" si="14"/>
        <v>2026</v>
      </c>
      <c r="N242" s="115">
        <f t="shared" si="15"/>
        <v>31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1">
        <v>46173.0</v>
      </c>
      <c r="C243" s="4"/>
      <c r="D243" s="124"/>
      <c r="E243" s="124" t="s">
        <v>412</v>
      </c>
      <c r="F243" s="125">
        <f t="shared" si="9"/>
        <v>46203</v>
      </c>
      <c r="G243" s="126">
        <v>19387.5</v>
      </c>
      <c r="H243" s="127">
        <f t="shared" si="10"/>
        <v>19387.5</v>
      </c>
      <c r="I243" s="3">
        <v>30.0</v>
      </c>
      <c r="J243" s="115">
        <f t="shared" si="11"/>
        <v>2026</v>
      </c>
      <c r="K243" s="115">
        <f t="shared" si="12"/>
        <v>23</v>
      </c>
      <c r="L243" s="115">
        <f t="shared" si="13"/>
        <v>27</v>
      </c>
      <c r="M243" s="115">
        <f t="shared" si="14"/>
        <v>2026</v>
      </c>
      <c r="N243" s="115">
        <f t="shared" si="15"/>
        <v>29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1">
        <v>46173.0</v>
      </c>
      <c r="C244" s="4"/>
      <c r="D244" s="124"/>
      <c r="E244" s="124" t="s">
        <v>414</v>
      </c>
      <c r="F244" s="125">
        <f t="shared" si="9"/>
        <v>46203</v>
      </c>
      <c r="G244" s="126">
        <v>27680.0</v>
      </c>
      <c r="H244" s="127">
        <f t="shared" si="10"/>
        <v>27680</v>
      </c>
      <c r="I244" s="3">
        <v>30.0</v>
      </c>
      <c r="J244" s="115">
        <f t="shared" si="11"/>
        <v>2026</v>
      </c>
      <c r="K244" s="115">
        <f t="shared" si="12"/>
        <v>23</v>
      </c>
      <c r="L244" s="115">
        <f t="shared" si="13"/>
        <v>27</v>
      </c>
      <c r="M244" s="115">
        <f t="shared" si="14"/>
        <v>2026</v>
      </c>
      <c r="N244" s="115">
        <f t="shared" si="15"/>
        <v>29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1">
        <v>46173.0</v>
      </c>
      <c r="C245" s="4"/>
      <c r="D245" s="124"/>
      <c r="E245" s="124" t="s">
        <v>415</v>
      </c>
      <c r="F245" s="125">
        <f t="shared" si="9"/>
        <v>46203</v>
      </c>
      <c r="G245" s="126">
        <v>96981.0</v>
      </c>
      <c r="H245" s="127">
        <f t="shared" si="10"/>
        <v>96981</v>
      </c>
      <c r="I245" s="3">
        <v>30.0</v>
      </c>
      <c r="J245" s="115">
        <f t="shared" si="11"/>
        <v>2026</v>
      </c>
      <c r="K245" s="115">
        <f t="shared" si="12"/>
        <v>23</v>
      </c>
      <c r="L245" s="115">
        <f t="shared" si="13"/>
        <v>27</v>
      </c>
      <c r="M245" s="115">
        <f t="shared" si="14"/>
        <v>2026</v>
      </c>
      <c r="N245" s="115">
        <f t="shared" si="15"/>
        <v>29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1">
        <v>46173.0</v>
      </c>
      <c r="C246" s="4"/>
      <c r="D246" s="124"/>
      <c r="E246" s="124" t="s">
        <v>418</v>
      </c>
      <c r="F246" s="125">
        <f t="shared" si="9"/>
        <v>46218</v>
      </c>
      <c r="G246" s="126">
        <v>104832.0</v>
      </c>
      <c r="H246" s="127">
        <f t="shared" si="10"/>
        <v>104832</v>
      </c>
      <c r="I246" s="3">
        <v>45.0</v>
      </c>
      <c r="J246" s="115">
        <f t="shared" si="11"/>
        <v>2026</v>
      </c>
      <c r="K246" s="115">
        <f t="shared" si="12"/>
        <v>23</v>
      </c>
      <c r="L246" s="115">
        <f t="shared" si="13"/>
        <v>29</v>
      </c>
      <c r="M246" s="115">
        <f t="shared" si="14"/>
        <v>2026</v>
      </c>
      <c r="N246" s="115">
        <f t="shared" si="15"/>
        <v>31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1">
        <v>46173.0</v>
      </c>
      <c r="C247" s="4"/>
      <c r="D247" s="124"/>
      <c r="E247" s="124" t="s">
        <v>466</v>
      </c>
      <c r="F247" s="125">
        <f t="shared" si="9"/>
        <v>46263</v>
      </c>
      <c r="G247" s="126">
        <v>159200.0</v>
      </c>
      <c r="H247" s="127">
        <f t="shared" si="10"/>
        <v>159200</v>
      </c>
      <c r="I247" s="3">
        <v>90.0</v>
      </c>
      <c r="J247" s="115">
        <f t="shared" si="11"/>
        <v>2026</v>
      </c>
      <c r="K247" s="115">
        <f t="shared" si="12"/>
        <v>23</v>
      </c>
      <c r="L247" s="115">
        <f t="shared" si="13"/>
        <v>35</v>
      </c>
      <c r="M247" s="115">
        <f t="shared" si="14"/>
        <v>2026</v>
      </c>
      <c r="N247" s="115">
        <f t="shared" si="15"/>
        <v>37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1">
        <v>46173.0</v>
      </c>
      <c r="C248" s="4"/>
      <c r="D248" s="124"/>
      <c r="E248" s="124" t="s">
        <v>419</v>
      </c>
      <c r="F248" s="125">
        <f t="shared" si="9"/>
        <v>46203</v>
      </c>
      <c r="G248" s="126">
        <v>46080.0</v>
      </c>
      <c r="H248" s="127">
        <f t="shared" si="10"/>
        <v>46080</v>
      </c>
      <c r="I248" s="3">
        <v>30.0</v>
      </c>
      <c r="J248" s="115">
        <f t="shared" si="11"/>
        <v>2026</v>
      </c>
      <c r="K248" s="115">
        <f t="shared" si="12"/>
        <v>23</v>
      </c>
      <c r="L248" s="115">
        <f t="shared" si="13"/>
        <v>27</v>
      </c>
      <c r="M248" s="115">
        <f t="shared" si="14"/>
        <v>2026</v>
      </c>
      <c r="N248" s="115">
        <f t="shared" si="15"/>
        <v>29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1">
        <v>46173.0</v>
      </c>
      <c r="C249" s="4"/>
      <c r="D249" s="124"/>
      <c r="E249" s="124" t="s">
        <v>424</v>
      </c>
      <c r="F249" s="125">
        <f t="shared" si="9"/>
        <v>46218</v>
      </c>
      <c r="G249" s="126">
        <v>144350.0</v>
      </c>
      <c r="H249" s="127">
        <f t="shared" si="10"/>
        <v>144350</v>
      </c>
      <c r="I249" s="3">
        <v>45.0</v>
      </c>
      <c r="J249" s="115">
        <f t="shared" si="11"/>
        <v>2026</v>
      </c>
      <c r="K249" s="115">
        <f t="shared" si="12"/>
        <v>23</v>
      </c>
      <c r="L249" s="115">
        <f t="shared" si="13"/>
        <v>29</v>
      </c>
      <c r="M249" s="115">
        <f t="shared" si="14"/>
        <v>2026</v>
      </c>
      <c r="N249" s="115">
        <f t="shared" si="15"/>
        <v>31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1">
        <v>46173.0</v>
      </c>
      <c r="C250" s="4"/>
      <c r="D250" s="124"/>
      <c r="E250" s="124" t="s">
        <v>467</v>
      </c>
      <c r="F250" s="125">
        <f t="shared" si="9"/>
        <v>46218</v>
      </c>
      <c r="G250" s="126">
        <v>159440.0</v>
      </c>
      <c r="H250" s="127">
        <f t="shared" si="10"/>
        <v>159440</v>
      </c>
      <c r="I250" s="3">
        <v>45.0</v>
      </c>
      <c r="J250" s="115">
        <f t="shared" si="11"/>
        <v>2026</v>
      </c>
      <c r="K250" s="115">
        <f t="shared" si="12"/>
        <v>23</v>
      </c>
      <c r="L250" s="115">
        <f t="shared" si="13"/>
        <v>29</v>
      </c>
      <c r="M250" s="115">
        <f t="shared" si="14"/>
        <v>2026</v>
      </c>
      <c r="N250" s="115">
        <f t="shared" si="15"/>
        <v>31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1">
        <v>46173.0</v>
      </c>
      <c r="C251" s="4"/>
      <c r="D251" s="124"/>
      <c r="E251" s="124" t="s">
        <v>427</v>
      </c>
      <c r="F251" s="125">
        <f t="shared" si="9"/>
        <v>46203</v>
      </c>
      <c r="G251" s="126">
        <v>178070.4</v>
      </c>
      <c r="H251" s="127">
        <f t="shared" si="10"/>
        <v>178070.4</v>
      </c>
      <c r="I251" s="3">
        <v>30.0</v>
      </c>
      <c r="J251" s="115">
        <f t="shared" si="11"/>
        <v>2026</v>
      </c>
      <c r="K251" s="115">
        <f t="shared" si="12"/>
        <v>23</v>
      </c>
      <c r="L251" s="115">
        <f t="shared" si="13"/>
        <v>27</v>
      </c>
      <c r="M251" s="115">
        <f t="shared" si="14"/>
        <v>2026</v>
      </c>
      <c r="N251" s="115">
        <f t="shared" si="15"/>
        <v>29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1">
        <v>46173.0</v>
      </c>
      <c r="C252" s="4"/>
      <c r="D252" s="124"/>
      <c r="E252" s="124" t="s">
        <v>428</v>
      </c>
      <c r="F252" s="125">
        <f t="shared" si="9"/>
        <v>46218</v>
      </c>
      <c r="G252" s="126">
        <v>9600.0</v>
      </c>
      <c r="H252" s="127">
        <f t="shared" si="10"/>
        <v>9600</v>
      </c>
      <c r="I252" s="3">
        <v>45.0</v>
      </c>
      <c r="J252" s="115">
        <f t="shared" si="11"/>
        <v>2026</v>
      </c>
      <c r="K252" s="115">
        <f t="shared" si="12"/>
        <v>23</v>
      </c>
      <c r="L252" s="115">
        <f t="shared" si="13"/>
        <v>29</v>
      </c>
      <c r="M252" s="115">
        <f t="shared" si="14"/>
        <v>2026</v>
      </c>
      <c r="N252" s="115">
        <f t="shared" si="15"/>
        <v>31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1">
        <v>46173.0</v>
      </c>
      <c r="C253" s="4"/>
      <c r="D253" s="124"/>
      <c r="E253" s="124" t="s">
        <v>468</v>
      </c>
      <c r="F253" s="125">
        <f t="shared" si="9"/>
        <v>46233</v>
      </c>
      <c r="G253" s="126">
        <v>223411.5</v>
      </c>
      <c r="H253" s="127">
        <f t="shared" si="10"/>
        <v>223411.5</v>
      </c>
      <c r="I253" s="3">
        <v>60.0</v>
      </c>
      <c r="J253" s="115">
        <f t="shared" si="11"/>
        <v>2026</v>
      </c>
      <c r="K253" s="115">
        <f t="shared" si="12"/>
        <v>23</v>
      </c>
      <c r="L253" s="115">
        <f t="shared" si="13"/>
        <v>31</v>
      </c>
      <c r="M253" s="115">
        <f t="shared" si="14"/>
        <v>2026</v>
      </c>
      <c r="N253" s="115">
        <f t="shared" si="15"/>
        <v>33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1">
        <v>46173.0</v>
      </c>
      <c r="C254" s="4"/>
      <c r="D254" s="124"/>
      <c r="E254" s="124" t="s">
        <v>430</v>
      </c>
      <c r="F254" s="125">
        <f t="shared" si="9"/>
        <v>46203</v>
      </c>
      <c r="G254" s="126">
        <v>78750.0</v>
      </c>
      <c r="H254" s="127">
        <f t="shared" si="10"/>
        <v>78750</v>
      </c>
      <c r="I254" s="3">
        <v>30.0</v>
      </c>
      <c r="J254" s="115">
        <f t="shared" si="11"/>
        <v>2026</v>
      </c>
      <c r="K254" s="115">
        <f t="shared" si="12"/>
        <v>23</v>
      </c>
      <c r="L254" s="115">
        <f t="shared" si="13"/>
        <v>27</v>
      </c>
      <c r="M254" s="115">
        <f t="shared" si="14"/>
        <v>2026</v>
      </c>
      <c r="N254" s="115">
        <f t="shared" si="15"/>
        <v>29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1">
        <v>46173.0</v>
      </c>
      <c r="C255" s="4"/>
      <c r="D255" s="124"/>
      <c r="E255" s="124" t="s">
        <v>432</v>
      </c>
      <c r="F255" s="125">
        <f t="shared" si="9"/>
        <v>46203</v>
      </c>
      <c r="G255" s="126">
        <v>25000.0</v>
      </c>
      <c r="H255" s="127">
        <f t="shared" si="10"/>
        <v>25000</v>
      </c>
      <c r="I255" s="3">
        <v>30.0</v>
      </c>
      <c r="J255" s="115">
        <f t="shared" si="11"/>
        <v>2026</v>
      </c>
      <c r="K255" s="115">
        <f t="shared" si="12"/>
        <v>23</v>
      </c>
      <c r="L255" s="115">
        <f t="shared" si="13"/>
        <v>27</v>
      </c>
      <c r="M255" s="115">
        <f t="shared" si="14"/>
        <v>2026</v>
      </c>
      <c r="N255" s="115">
        <f t="shared" si="15"/>
        <v>29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1">
        <v>46173.0</v>
      </c>
      <c r="C256" s="4"/>
      <c r="D256" s="124"/>
      <c r="E256" s="124" t="s">
        <v>433</v>
      </c>
      <c r="F256" s="125">
        <f t="shared" si="9"/>
        <v>46203</v>
      </c>
      <c r="G256" s="126">
        <v>55250.0</v>
      </c>
      <c r="H256" s="127">
        <f t="shared" si="10"/>
        <v>55250</v>
      </c>
      <c r="I256" s="3">
        <v>30.0</v>
      </c>
      <c r="J256" s="115">
        <f t="shared" si="11"/>
        <v>2026</v>
      </c>
      <c r="K256" s="115">
        <f t="shared" si="12"/>
        <v>23</v>
      </c>
      <c r="L256" s="115">
        <f t="shared" si="13"/>
        <v>27</v>
      </c>
      <c r="M256" s="115">
        <f t="shared" si="14"/>
        <v>2026</v>
      </c>
      <c r="N256" s="115">
        <f t="shared" si="15"/>
        <v>29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1">
        <v>46173.0</v>
      </c>
      <c r="C257" s="4"/>
      <c r="D257" s="124"/>
      <c r="E257" s="124" t="s">
        <v>469</v>
      </c>
      <c r="F257" s="125">
        <f t="shared" si="9"/>
        <v>46203</v>
      </c>
      <c r="G257" s="126">
        <v>153615.0</v>
      </c>
      <c r="H257" s="127">
        <f t="shared" si="10"/>
        <v>153615</v>
      </c>
      <c r="I257" s="3">
        <v>30.0</v>
      </c>
      <c r="J257" s="115">
        <f t="shared" si="11"/>
        <v>2026</v>
      </c>
      <c r="K257" s="115">
        <f t="shared" si="12"/>
        <v>23</v>
      </c>
      <c r="L257" s="115">
        <f t="shared" si="13"/>
        <v>27</v>
      </c>
      <c r="M257" s="115">
        <f t="shared" si="14"/>
        <v>2026</v>
      </c>
      <c r="N257" s="115">
        <f t="shared" si="15"/>
        <v>29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1">
        <v>46173.0</v>
      </c>
      <c r="C258" s="4"/>
      <c r="D258" s="124"/>
      <c r="E258" s="124" t="s">
        <v>434</v>
      </c>
      <c r="F258" s="125">
        <f t="shared" si="9"/>
        <v>46203</v>
      </c>
      <c r="G258" s="126">
        <v>7976.0</v>
      </c>
      <c r="H258" s="127">
        <f t="shared" si="10"/>
        <v>7976</v>
      </c>
      <c r="I258" s="3">
        <v>30.0</v>
      </c>
      <c r="J258" s="115">
        <f t="shared" si="11"/>
        <v>2026</v>
      </c>
      <c r="K258" s="115">
        <f t="shared" si="12"/>
        <v>23</v>
      </c>
      <c r="L258" s="115">
        <f t="shared" si="13"/>
        <v>27</v>
      </c>
      <c r="M258" s="115">
        <f t="shared" si="14"/>
        <v>2026</v>
      </c>
      <c r="N258" s="115">
        <f t="shared" si="15"/>
        <v>29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1">
        <v>46173.0</v>
      </c>
      <c r="C259" s="4"/>
      <c r="D259" s="124"/>
      <c r="E259" s="124" t="s">
        <v>470</v>
      </c>
      <c r="F259" s="125">
        <f t="shared" si="9"/>
        <v>46203</v>
      </c>
      <c r="G259" s="126">
        <v>45375.0</v>
      </c>
      <c r="H259" s="127">
        <f t="shared" si="10"/>
        <v>45375</v>
      </c>
      <c r="I259" s="3">
        <v>30.0</v>
      </c>
      <c r="J259" s="115">
        <f t="shared" si="11"/>
        <v>2026</v>
      </c>
      <c r="K259" s="115">
        <f t="shared" si="12"/>
        <v>23</v>
      </c>
      <c r="L259" s="115">
        <f t="shared" si="13"/>
        <v>27</v>
      </c>
      <c r="M259" s="115">
        <f t="shared" si="14"/>
        <v>2026</v>
      </c>
      <c r="N259" s="115">
        <f t="shared" si="15"/>
        <v>29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1">
        <v>46173.0</v>
      </c>
      <c r="C260" s="4"/>
      <c r="D260" s="124"/>
      <c r="E260" s="124" t="s">
        <v>435</v>
      </c>
      <c r="F260" s="125">
        <f t="shared" si="9"/>
        <v>46218</v>
      </c>
      <c r="G260" s="126">
        <v>58867.5</v>
      </c>
      <c r="H260" s="127">
        <f t="shared" si="10"/>
        <v>58867.5</v>
      </c>
      <c r="I260" s="3">
        <v>45.0</v>
      </c>
      <c r="J260" s="115">
        <f t="shared" si="11"/>
        <v>2026</v>
      </c>
      <c r="K260" s="115">
        <f t="shared" si="12"/>
        <v>23</v>
      </c>
      <c r="L260" s="115">
        <f t="shared" si="13"/>
        <v>29</v>
      </c>
      <c r="M260" s="115">
        <f t="shared" si="14"/>
        <v>2026</v>
      </c>
      <c r="N260" s="115">
        <f t="shared" si="15"/>
        <v>31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1">
        <v>46173.0</v>
      </c>
      <c r="C261" s="4"/>
      <c r="D261" s="124"/>
      <c r="E261" s="124" t="s">
        <v>436</v>
      </c>
      <c r="F261" s="125">
        <f t="shared" si="9"/>
        <v>46203</v>
      </c>
      <c r="G261" s="126">
        <v>59963.0</v>
      </c>
      <c r="H261" s="127">
        <f t="shared" si="10"/>
        <v>59963</v>
      </c>
      <c r="I261" s="3">
        <v>30.0</v>
      </c>
      <c r="J261" s="115">
        <f t="shared" si="11"/>
        <v>2026</v>
      </c>
      <c r="K261" s="115">
        <f t="shared" si="12"/>
        <v>23</v>
      </c>
      <c r="L261" s="115">
        <f t="shared" si="13"/>
        <v>27</v>
      </c>
      <c r="M261" s="115">
        <f t="shared" si="14"/>
        <v>2026</v>
      </c>
      <c r="N261" s="115">
        <f t="shared" si="15"/>
        <v>29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1">
        <v>46173.0</v>
      </c>
      <c r="C262" s="4"/>
      <c r="D262" s="124"/>
      <c r="E262" s="124" t="s">
        <v>471</v>
      </c>
      <c r="F262" s="125">
        <f t="shared" si="9"/>
        <v>46218</v>
      </c>
      <c r="G262" s="126">
        <v>48750.0</v>
      </c>
      <c r="H262" s="127">
        <f t="shared" si="10"/>
        <v>48750</v>
      </c>
      <c r="I262" s="3">
        <v>45.0</v>
      </c>
      <c r="J262" s="115">
        <f t="shared" si="11"/>
        <v>2026</v>
      </c>
      <c r="K262" s="115">
        <f t="shared" si="12"/>
        <v>23</v>
      </c>
      <c r="L262" s="115">
        <f t="shared" si="13"/>
        <v>29</v>
      </c>
      <c r="M262" s="115">
        <f t="shared" si="14"/>
        <v>2026</v>
      </c>
      <c r="N262" s="115">
        <f t="shared" si="15"/>
        <v>31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1">
        <v>46173.0</v>
      </c>
      <c r="C263" s="4"/>
      <c r="D263" s="124"/>
      <c r="E263" s="124" t="s">
        <v>437</v>
      </c>
      <c r="F263" s="125">
        <f t="shared" si="9"/>
        <v>46218</v>
      </c>
      <c r="G263" s="126">
        <v>138050.0</v>
      </c>
      <c r="H263" s="127">
        <f t="shared" si="10"/>
        <v>138050</v>
      </c>
      <c r="I263" s="3">
        <v>45.0</v>
      </c>
      <c r="J263" s="115">
        <f t="shared" si="11"/>
        <v>2026</v>
      </c>
      <c r="K263" s="115">
        <f t="shared" si="12"/>
        <v>23</v>
      </c>
      <c r="L263" s="115">
        <f t="shared" si="13"/>
        <v>29</v>
      </c>
      <c r="M263" s="115">
        <f t="shared" si="14"/>
        <v>2026</v>
      </c>
      <c r="N263" s="115">
        <f t="shared" si="15"/>
        <v>31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1">
        <v>46173.0</v>
      </c>
      <c r="C264" s="4"/>
      <c r="D264" s="124"/>
      <c r="E264" s="124" t="s">
        <v>438</v>
      </c>
      <c r="F264" s="125">
        <f t="shared" si="9"/>
        <v>46203</v>
      </c>
      <c r="G264" s="126">
        <v>59000.0</v>
      </c>
      <c r="H264" s="127">
        <f t="shared" si="10"/>
        <v>59000</v>
      </c>
      <c r="I264" s="3">
        <v>30.0</v>
      </c>
      <c r="J264" s="115">
        <f t="shared" si="11"/>
        <v>2026</v>
      </c>
      <c r="K264" s="115">
        <f t="shared" si="12"/>
        <v>23</v>
      </c>
      <c r="L264" s="115">
        <f t="shared" si="13"/>
        <v>27</v>
      </c>
      <c r="M264" s="115">
        <f t="shared" si="14"/>
        <v>2026</v>
      </c>
      <c r="N264" s="115">
        <f t="shared" si="15"/>
        <v>29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1">
        <v>46173.0</v>
      </c>
      <c r="C265" s="4"/>
      <c r="D265" s="124"/>
      <c r="E265" s="124" t="s">
        <v>472</v>
      </c>
      <c r="F265" s="125">
        <f t="shared" si="9"/>
        <v>46203</v>
      </c>
      <c r="G265" s="126">
        <v>199000.0</v>
      </c>
      <c r="H265" s="127">
        <f t="shared" si="10"/>
        <v>199000</v>
      </c>
      <c r="I265" s="3">
        <v>30.0</v>
      </c>
      <c r="J265" s="115">
        <f t="shared" si="11"/>
        <v>2026</v>
      </c>
      <c r="K265" s="115">
        <f t="shared" si="12"/>
        <v>23</v>
      </c>
      <c r="L265" s="115">
        <f t="shared" si="13"/>
        <v>27</v>
      </c>
      <c r="M265" s="115">
        <f t="shared" si="14"/>
        <v>2026</v>
      </c>
      <c r="N265" s="115">
        <f t="shared" si="15"/>
        <v>29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1">
        <v>46173.0</v>
      </c>
      <c r="C266" s="4"/>
      <c r="D266" s="124"/>
      <c r="E266" s="124" t="s">
        <v>439</v>
      </c>
      <c r="F266" s="125">
        <f t="shared" si="9"/>
        <v>46203</v>
      </c>
      <c r="G266" s="126">
        <v>53165.0</v>
      </c>
      <c r="H266" s="127">
        <f t="shared" si="10"/>
        <v>53165</v>
      </c>
      <c r="I266" s="3">
        <v>30.0</v>
      </c>
      <c r="J266" s="115">
        <f t="shared" si="11"/>
        <v>2026</v>
      </c>
      <c r="K266" s="115">
        <f t="shared" si="12"/>
        <v>23</v>
      </c>
      <c r="L266" s="115">
        <f t="shared" si="13"/>
        <v>27</v>
      </c>
      <c r="M266" s="115">
        <f t="shared" si="14"/>
        <v>2026</v>
      </c>
      <c r="N266" s="115">
        <f t="shared" si="15"/>
        <v>29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1">
        <v>46173.0</v>
      </c>
      <c r="C267" s="4"/>
      <c r="D267" s="124"/>
      <c r="E267" s="124" t="s">
        <v>440</v>
      </c>
      <c r="F267" s="125">
        <f t="shared" si="9"/>
        <v>46218</v>
      </c>
      <c r="G267" s="126">
        <v>23232.0</v>
      </c>
      <c r="H267" s="127">
        <f t="shared" si="10"/>
        <v>23232</v>
      </c>
      <c r="I267" s="3">
        <v>45.0</v>
      </c>
      <c r="J267" s="115">
        <f t="shared" si="11"/>
        <v>2026</v>
      </c>
      <c r="K267" s="115">
        <f t="shared" si="12"/>
        <v>23</v>
      </c>
      <c r="L267" s="115">
        <f t="shared" si="13"/>
        <v>29</v>
      </c>
      <c r="M267" s="115">
        <f t="shared" si="14"/>
        <v>2026</v>
      </c>
      <c r="N267" s="115">
        <f t="shared" si="15"/>
        <v>31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1">
        <v>46173.0</v>
      </c>
      <c r="C268" s="4"/>
      <c r="D268" s="124"/>
      <c r="E268" s="124" t="s">
        <v>441</v>
      </c>
      <c r="F268" s="125">
        <f t="shared" si="9"/>
        <v>46218</v>
      </c>
      <c r="G268" s="126">
        <v>11440.0</v>
      </c>
      <c r="H268" s="127">
        <f t="shared" si="10"/>
        <v>11440</v>
      </c>
      <c r="I268" s="3">
        <v>45.0</v>
      </c>
      <c r="J268" s="115">
        <f t="shared" si="11"/>
        <v>2026</v>
      </c>
      <c r="K268" s="115">
        <f t="shared" si="12"/>
        <v>23</v>
      </c>
      <c r="L268" s="115">
        <f t="shared" si="13"/>
        <v>29</v>
      </c>
      <c r="M268" s="115">
        <f t="shared" si="14"/>
        <v>2026</v>
      </c>
      <c r="N268" s="115">
        <f t="shared" si="15"/>
        <v>31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1">
        <v>46173.0</v>
      </c>
      <c r="C269" s="4"/>
      <c r="D269" s="124"/>
      <c r="E269" s="124" t="s">
        <v>442</v>
      </c>
      <c r="F269" s="125">
        <f t="shared" si="9"/>
        <v>46218</v>
      </c>
      <c r="G269" s="126">
        <v>68040.0</v>
      </c>
      <c r="H269" s="127">
        <f t="shared" si="10"/>
        <v>68040</v>
      </c>
      <c r="I269" s="3">
        <v>45.0</v>
      </c>
      <c r="J269" s="115">
        <f t="shared" si="11"/>
        <v>2026</v>
      </c>
      <c r="K269" s="115">
        <f t="shared" si="12"/>
        <v>23</v>
      </c>
      <c r="L269" s="115">
        <f t="shared" si="13"/>
        <v>29</v>
      </c>
      <c r="M269" s="115">
        <f t="shared" si="14"/>
        <v>2026</v>
      </c>
      <c r="N269" s="115">
        <f t="shared" si="15"/>
        <v>31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1">
        <v>46173.0</v>
      </c>
      <c r="C270" s="4"/>
      <c r="D270" s="124"/>
      <c r="E270" s="124" t="s">
        <v>443</v>
      </c>
      <c r="F270" s="125">
        <f t="shared" si="9"/>
        <v>46218</v>
      </c>
      <c r="G270" s="126">
        <v>28800.0</v>
      </c>
      <c r="H270" s="127">
        <f t="shared" si="10"/>
        <v>28800</v>
      </c>
      <c r="I270" s="3">
        <v>45.0</v>
      </c>
      <c r="J270" s="115">
        <f t="shared" si="11"/>
        <v>2026</v>
      </c>
      <c r="K270" s="115">
        <f t="shared" si="12"/>
        <v>23</v>
      </c>
      <c r="L270" s="115">
        <f t="shared" si="13"/>
        <v>29</v>
      </c>
      <c r="M270" s="115">
        <f t="shared" si="14"/>
        <v>2026</v>
      </c>
      <c r="N270" s="115">
        <f t="shared" si="15"/>
        <v>31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1">
        <v>46173.0</v>
      </c>
      <c r="C271" s="4"/>
      <c r="D271" s="124"/>
      <c r="E271" s="124" t="s">
        <v>444</v>
      </c>
      <c r="F271" s="125">
        <f t="shared" si="9"/>
        <v>46203</v>
      </c>
      <c r="G271" s="126">
        <v>34750.0</v>
      </c>
      <c r="H271" s="127">
        <f t="shared" si="10"/>
        <v>34750</v>
      </c>
      <c r="I271" s="3">
        <v>30.0</v>
      </c>
      <c r="J271" s="115">
        <f t="shared" si="11"/>
        <v>2026</v>
      </c>
      <c r="K271" s="115">
        <f t="shared" si="12"/>
        <v>23</v>
      </c>
      <c r="L271" s="115">
        <f t="shared" si="13"/>
        <v>27</v>
      </c>
      <c r="M271" s="115">
        <f t="shared" si="14"/>
        <v>2026</v>
      </c>
      <c r="N271" s="115">
        <f t="shared" si="15"/>
        <v>29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1">
        <v>46173.0</v>
      </c>
      <c r="C272" s="4"/>
      <c r="D272" s="124"/>
      <c r="E272" s="124" t="s">
        <v>473</v>
      </c>
      <c r="F272" s="125">
        <f t="shared" si="9"/>
        <v>46203</v>
      </c>
      <c r="G272" s="126">
        <v>112669.0</v>
      </c>
      <c r="H272" s="127">
        <f t="shared" si="10"/>
        <v>112669</v>
      </c>
      <c r="I272" s="3">
        <v>30.0</v>
      </c>
      <c r="J272" s="115">
        <f t="shared" si="11"/>
        <v>2026</v>
      </c>
      <c r="K272" s="115">
        <f t="shared" si="12"/>
        <v>23</v>
      </c>
      <c r="L272" s="115">
        <f t="shared" si="13"/>
        <v>27</v>
      </c>
      <c r="M272" s="115">
        <f t="shared" si="14"/>
        <v>2026</v>
      </c>
      <c r="N272" s="115">
        <f t="shared" si="15"/>
        <v>29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1">
        <v>46173.0</v>
      </c>
      <c r="C273" s="4"/>
      <c r="D273" s="124"/>
      <c r="E273" s="124" t="s">
        <v>445</v>
      </c>
      <c r="F273" s="125">
        <f t="shared" si="9"/>
        <v>46218</v>
      </c>
      <c r="G273" s="126">
        <v>21600.0</v>
      </c>
      <c r="H273" s="127">
        <f t="shared" si="10"/>
        <v>21600</v>
      </c>
      <c r="I273" s="3">
        <v>45.0</v>
      </c>
      <c r="J273" s="115">
        <f t="shared" si="11"/>
        <v>2026</v>
      </c>
      <c r="K273" s="115">
        <f t="shared" si="12"/>
        <v>23</v>
      </c>
      <c r="L273" s="115">
        <f t="shared" si="13"/>
        <v>29</v>
      </c>
      <c r="M273" s="115">
        <f t="shared" si="14"/>
        <v>2026</v>
      </c>
      <c r="N273" s="115">
        <f t="shared" si="15"/>
        <v>31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1">
        <v>46173.0</v>
      </c>
      <c r="C274" s="4"/>
      <c r="D274" s="124"/>
      <c r="E274" s="124" t="s">
        <v>448</v>
      </c>
      <c r="F274" s="125">
        <f t="shared" si="9"/>
        <v>46218</v>
      </c>
      <c r="G274" s="126">
        <v>30240.0</v>
      </c>
      <c r="H274" s="127">
        <f t="shared" si="10"/>
        <v>30240</v>
      </c>
      <c r="I274" s="3">
        <v>45.0</v>
      </c>
      <c r="J274" s="115">
        <f t="shared" si="11"/>
        <v>2026</v>
      </c>
      <c r="K274" s="115">
        <f t="shared" si="12"/>
        <v>23</v>
      </c>
      <c r="L274" s="115">
        <f t="shared" si="13"/>
        <v>29</v>
      </c>
      <c r="M274" s="115">
        <f t="shared" si="14"/>
        <v>2026</v>
      </c>
      <c r="N274" s="115">
        <f t="shared" si="15"/>
        <v>31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1">
        <v>46173.0</v>
      </c>
      <c r="C275" s="4"/>
      <c r="D275" s="124"/>
      <c r="E275" s="124" t="s">
        <v>449</v>
      </c>
      <c r="F275" s="125">
        <f t="shared" si="9"/>
        <v>46203</v>
      </c>
      <c r="G275" s="126">
        <v>159760.0</v>
      </c>
      <c r="H275" s="127">
        <f t="shared" si="10"/>
        <v>159760</v>
      </c>
      <c r="I275" s="3">
        <v>30.0</v>
      </c>
      <c r="J275" s="115">
        <f t="shared" si="11"/>
        <v>2026</v>
      </c>
      <c r="K275" s="115">
        <f t="shared" si="12"/>
        <v>23</v>
      </c>
      <c r="L275" s="115">
        <f t="shared" si="13"/>
        <v>27</v>
      </c>
      <c r="M275" s="115">
        <f t="shared" si="14"/>
        <v>2026</v>
      </c>
      <c r="N275" s="115">
        <f t="shared" si="15"/>
        <v>29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1">
        <v>46173.0</v>
      </c>
      <c r="C276" s="4"/>
      <c r="D276" s="124"/>
      <c r="E276" s="124" t="s">
        <v>450</v>
      </c>
      <c r="F276" s="125">
        <f t="shared" si="9"/>
        <v>46218</v>
      </c>
      <c r="G276" s="126">
        <v>66354.75</v>
      </c>
      <c r="H276" s="127">
        <f t="shared" si="10"/>
        <v>66354.75</v>
      </c>
      <c r="I276" s="3">
        <v>45.0</v>
      </c>
      <c r="J276" s="115">
        <f t="shared" si="11"/>
        <v>2026</v>
      </c>
      <c r="K276" s="115">
        <f t="shared" si="12"/>
        <v>23</v>
      </c>
      <c r="L276" s="115">
        <f t="shared" si="13"/>
        <v>29</v>
      </c>
      <c r="M276" s="115">
        <f t="shared" si="14"/>
        <v>2026</v>
      </c>
      <c r="N276" s="115">
        <f t="shared" si="15"/>
        <v>31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1">
        <v>46173.0</v>
      </c>
      <c r="C277" s="4"/>
      <c r="D277" s="124"/>
      <c r="E277" s="124" t="s">
        <v>474</v>
      </c>
      <c r="F277" s="125">
        <f t="shared" si="9"/>
        <v>46218</v>
      </c>
      <c r="G277" s="126">
        <v>96552.0</v>
      </c>
      <c r="H277" s="127">
        <f t="shared" si="10"/>
        <v>96552</v>
      </c>
      <c r="I277" s="3">
        <v>45.0</v>
      </c>
      <c r="J277" s="115">
        <f t="shared" si="11"/>
        <v>2026</v>
      </c>
      <c r="K277" s="115">
        <f t="shared" si="12"/>
        <v>23</v>
      </c>
      <c r="L277" s="115">
        <f t="shared" si="13"/>
        <v>29</v>
      </c>
      <c r="M277" s="115">
        <f t="shared" si="14"/>
        <v>2026</v>
      </c>
      <c r="N277" s="115">
        <f t="shared" si="15"/>
        <v>31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1">
        <v>46173.0</v>
      </c>
      <c r="C278" s="4"/>
      <c r="D278" s="124"/>
      <c r="E278" s="124" t="s">
        <v>475</v>
      </c>
      <c r="F278" s="125">
        <f t="shared" si="9"/>
        <v>46203</v>
      </c>
      <c r="G278" s="126">
        <v>260550.0</v>
      </c>
      <c r="H278" s="127">
        <f t="shared" si="10"/>
        <v>260550</v>
      </c>
      <c r="I278" s="3">
        <v>30.0</v>
      </c>
      <c r="J278" s="115">
        <f t="shared" si="11"/>
        <v>2026</v>
      </c>
      <c r="K278" s="115">
        <f t="shared" si="12"/>
        <v>23</v>
      </c>
      <c r="L278" s="115">
        <f t="shared" si="13"/>
        <v>27</v>
      </c>
      <c r="M278" s="115">
        <f t="shared" si="14"/>
        <v>2026</v>
      </c>
      <c r="N278" s="115">
        <f t="shared" si="15"/>
        <v>29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1">
        <v>46173.0</v>
      </c>
      <c r="C279" s="4"/>
      <c r="D279" s="124"/>
      <c r="E279" s="124" t="s">
        <v>452</v>
      </c>
      <c r="F279" s="125">
        <f t="shared" si="9"/>
        <v>46233</v>
      </c>
      <c r="G279" s="126">
        <v>123000.0</v>
      </c>
      <c r="H279" s="127">
        <f t="shared" si="10"/>
        <v>123000</v>
      </c>
      <c r="I279" s="3">
        <v>60.0</v>
      </c>
      <c r="J279" s="115">
        <f t="shared" si="11"/>
        <v>2026</v>
      </c>
      <c r="K279" s="115">
        <f t="shared" si="12"/>
        <v>23</v>
      </c>
      <c r="L279" s="115">
        <f t="shared" si="13"/>
        <v>31</v>
      </c>
      <c r="M279" s="115">
        <f t="shared" si="14"/>
        <v>2026</v>
      </c>
      <c r="N279" s="115">
        <f t="shared" si="15"/>
        <v>33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1">
        <v>46173.0</v>
      </c>
      <c r="C280" s="4"/>
      <c r="D280" s="124"/>
      <c r="E280" s="124" t="s">
        <v>476</v>
      </c>
      <c r="F280" s="125">
        <f t="shared" si="9"/>
        <v>46218</v>
      </c>
      <c r="G280" s="126">
        <v>25400.0</v>
      </c>
      <c r="H280" s="127">
        <f t="shared" si="10"/>
        <v>25400</v>
      </c>
      <c r="I280" s="3">
        <v>45.0</v>
      </c>
      <c r="J280" s="115">
        <f t="shared" si="11"/>
        <v>2026</v>
      </c>
      <c r="K280" s="115">
        <f t="shared" si="12"/>
        <v>23</v>
      </c>
      <c r="L280" s="115">
        <f t="shared" si="13"/>
        <v>29</v>
      </c>
      <c r="M280" s="115">
        <f t="shared" si="14"/>
        <v>2026</v>
      </c>
      <c r="N280" s="115">
        <f t="shared" si="15"/>
        <v>31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1">
        <v>46173.0</v>
      </c>
      <c r="C281" s="4"/>
      <c r="D281" s="124"/>
      <c r="E281" s="124" t="s">
        <v>453</v>
      </c>
      <c r="F281" s="125">
        <f t="shared" si="9"/>
        <v>46203</v>
      </c>
      <c r="G281" s="126">
        <v>69993.0</v>
      </c>
      <c r="H281" s="127">
        <f t="shared" si="10"/>
        <v>69993</v>
      </c>
      <c r="I281" s="3">
        <v>30.0</v>
      </c>
      <c r="J281" s="115">
        <f t="shared" si="11"/>
        <v>2026</v>
      </c>
      <c r="K281" s="115">
        <f t="shared" si="12"/>
        <v>23</v>
      </c>
      <c r="L281" s="115">
        <f t="shared" si="13"/>
        <v>27</v>
      </c>
      <c r="M281" s="115">
        <f t="shared" si="14"/>
        <v>2026</v>
      </c>
      <c r="N281" s="115">
        <f t="shared" si="15"/>
        <v>29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1">
        <v>46173.0</v>
      </c>
      <c r="C282" s="4"/>
      <c r="D282" s="124"/>
      <c r="E282" s="124" t="s">
        <v>477</v>
      </c>
      <c r="F282" s="125">
        <f t="shared" si="9"/>
        <v>46188</v>
      </c>
      <c r="G282" s="126">
        <v>103245.0</v>
      </c>
      <c r="H282" s="127">
        <f t="shared" si="10"/>
        <v>103245</v>
      </c>
      <c r="I282" s="3">
        <v>15.0</v>
      </c>
      <c r="J282" s="115">
        <f t="shared" si="11"/>
        <v>2026</v>
      </c>
      <c r="K282" s="115">
        <f t="shared" si="12"/>
        <v>23</v>
      </c>
      <c r="L282" s="115">
        <f t="shared" si="13"/>
        <v>25</v>
      </c>
      <c r="M282" s="115">
        <f t="shared" si="14"/>
        <v>2026</v>
      </c>
      <c r="N282" s="115">
        <f t="shared" si="15"/>
        <v>27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1">
        <v>46173.0</v>
      </c>
      <c r="C283" s="4"/>
      <c r="D283" s="124"/>
      <c r="E283" s="124" t="s">
        <v>478</v>
      </c>
      <c r="F283" s="125">
        <f t="shared" si="9"/>
        <v>46188</v>
      </c>
      <c r="G283" s="126">
        <v>49920.0</v>
      </c>
      <c r="H283" s="127">
        <f t="shared" si="10"/>
        <v>49920</v>
      </c>
      <c r="I283" s="3">
        <v>15.0</v>
      </c>
      <c r="J283" s="115">
        <f t="shared" si="11"/>
        <v>2026</v>
      </c>
      <c r="K283" s="115">
        <f t="shared" si="12"/>
        <v>23</v>
      </c>
      <c r="L283" s="115">
        <f t="shared" si="13"/>
        <v>25</v>
      </c>
      <c r="M283" s="115">
        <f t="shared" si="14"/>
        <v>2026</v>
      </c>
      <c r="N283" s="115">
        <f t="shared" si="15"/>
        <v>27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1">
        <v>46173.0</v>
      </c>
      <c r="C284" s="4"/>
      <c r="D284" s="124"/>
      <c r="E284" s="124" t="s">
        <v>454</v>
      </c>
      <c r="F284" s="125">
        <f t="shared" si="9"/>
        <v>46218</v>
      </c>
      <c r="G284" s="126">
        <v>27000.0</v>
      </c>
      <c r="H284" s="127">
        <f t="shared" si="10"/>
        <v>27000</v>
      </c>
      <c r="I284" s="3">
        <v>45.0</v>
      </c>
      <c r="J284" s="115">
        <f t="shared" si="11"/>
        <v>2026</v>
      </c>
      <c r="K284" s="115">
        <f t="shared" si="12"/>
        <v>23</v>
      </c>
      <c r="L284" s="115">
        <f t="shared" si="13"/>
        <v>29</v>
      </c>
      <c r="M284" s="115">
        <f t="shared" si="14"/>
        <v>2026</v>
      </c>
      <c r="N284" s="115">
        <f t="shared" si="15"/>
        <v>31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1">
        <v>46173.0</v>
      </c>
      <c r="C285" s="4"/>
      <c r="D285" s="124"/>
      <c r="E285" s="124" t="s">
        <v>456</v>
      </c>
      <c r="F285" s="125">
        <f t="shared" si="9"/>
        <v>46218</v>
      </c>
      <c r="G285" s="126">
        <v>69300.0</v>
      </c>
      <c r="H285" s="127">
        <f t="shared" si="10"/>
        <v>69300</v>
      </c>
      <c r="I285" s="3">
        <v>45.0</v>
      </c>
      <c r="J285" s="115">
        <f t="shared" si="11"/>
        <v>2026</v>
      </c>
      <c r="K285" s="115">
        <f t="shared" si="12"/>
        <v>23</v>
      </c>
      <c r="L285" s="115">
        <f t="shared" si="13"/>
        <v>29</v>
      </c>
      <c r="M285" s="115">
        <f t="shared" si="14"/>
        <v>2026</v>
      </c>
      <c r="N285" s="115">
        <f t="shared" si="15"/>
        <v>31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1">
        <v>46173.0</v>
      </c>
      <c r="C286" s="4"/>
      <c r="D286" s="124"/>
      <c r="E286" s="124" t="s">
        <v>457</v>
      </c>
      <c r="F286" s="125">
        <f t="shared" si="9"/>
        <v>46233</v>
      </c>
      <c r="G286" s="126">
        <v>26880.0</v>
      </c>
      <c r="H286" s="127">
        <f t="shared" si="10"/>
        <v>26880</v>
      </c>
      <c r="I286" s="3">
        <v>60.0</v>
      </c>
      <c r="J286" s="115">
        <f t="shared" si="11"/>
        <v>2026</v>
      </c>
      <c r="K286" s="115">
        <f t="shared" si="12"/>
        <v>23</v>
      </c>
      <c r="L286" s="115">
        <f t="shared" si="13"/>
        <v>31</v>
      </c>
      <c r="M286" s="115">
        <f t="shared" si="14"/>
        <v>2026</v>
      </c>
      <c r="N286" s="115">
        <f t="shared" si="15"/>
        <v>33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1">
        <v>46173.0</v>
      </c>
      <c r="C287" s="4"/>
      <c r="D287" s="124"/>
      <c r="E287" s="124" t="s">
        <v>458</v>
      </c>
      <c r="F287" s="125">
        <f t="shared" si="9"/>
        <v>46203</v>
      </c>
      <c r="G287" s="126">
        <v>10800.0</v>
      </c>
      <c r="H287" s="127">
        <f t="shared" si="10"/>
        <v>10800</v>
      </c>
      <c r="I287" s="3">
        <v>30.0</v>
      </c>
      <c r="J287" s="115">
        <f t="shared" si="11"/>
        <v>2026</v>
      </c>
      <c r="K287" s="115">
        <f t="shared" si="12"/>
        <v>23</v>
      </c>
      <c r="L287" s="115">
        <f t="shared" si="13"/>
        <v>27</v>
      </c>
      <c r="M287" s="115">
        <f t="shared" si="14"/>
        <v>2026</v>
      </c>
      <c r="N287" s="115">
        <f t="shared" si="15"/>
        <v>29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1">
        <v>46173.0</v>
      </c>
      <c r="C288" s="4"/>
      <c r="D288" s="124"/>
      <c r="E288" s="124" t="s">
        <v>479</v>
      </c>
      <c r="F288" s="125">
        <f t="shared" si="9"/>
        <v>46218</v>
      </c>
      <c r="G288" s="126">
        <v>56400.0</v>
      </c>
      <c r="H288" s="127">
        <f t="shared" si="10"/>
        <v>56400</v>
      </c>
      <c r="I288" s="3">
        <v>45.0</v>
      </c>
      <c r="J288" s="115">
        <f t="shared" si="11"/>
        <v>2026</v>
      </c>
      <c r="K288" s="115">
        <f t="shared" si="12"/>
        <v>23</v>
      </c>
      <c r="L288" s="115">
        <f t="shared" si="13"/>
        <v>29</v>
      </c>
      <c r="M288" s="115">
        <f t="shared" si="14"/>
        <v>2026</v>
      </c>
      <c r="N288" s="115">
        <f t="shared" si="15"/>
        <v>31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90">
        <v>46203.0</v>
      </c>
      <c r="C289" s="4"/>
      <c r="D289" s="124"/>
      <c r="E289" s="124" t="s">
        <v>388</v>
      </c>
      <c r="F289" s="125">
        <f t="shared" si="9"/>
        <v>46263</v>
      </c>
      <c r="G289" s="126">
        <v>727.7700000000041</v>
      </c>
      <c r="H289" s="127">
        <f t="shared" si="10"/>
        <v>727.77</v>
      </c>
      <c r="I289" s="3">
        <v>60.0</v>
      </c>
      <c r="J289" s="115">
        <f t="shared" si="11"/>
        <v>2026</v>
      </c>
      <c r="K289" s="115">
        <f t="shared" si="12"/>
        <v>27</v>
      </c>
      <c r="L289" s="115">
        <f t="shared" si="13"/>
        <v>35</v>
      </c>
      <c r="M289" s="115">
        <f t="shared" si="14"/>
        <v>2026</v>
      </c>
      <c r="N289" s="115">
        <f t="shared" si="15"/>
        <v>37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90">
        <v>46203.0</v>
      </c>
      <c r="C290" s="4"/>
      <c r="D290" s="124"/>
      <c r="E290" s="124" t="s">
        <v>392</v>
      </c>
      <c r="F290" s="125">
        <f t="shared" si="9"/>
        <v>46263</v>
      </c>
      <c r="G290" s="126">
        <v>3062.0</v>
      </c>
      <c r="H290" s="127">
        <f t="shared" si="10"/>
        <v>3062</v>
      </c>
      <c r="I290" s="3">
        <v>60.0</v>
      </c>
      <c r="J290" s="115">
        <f t="shared" si="11"/>
        <v>2026</v>
      </c>
      <c r="K290" s="115">
        <f t="shared" si="12"/>
        <v>27</v>
      </c>
      <c r="L290" s="115">
        <f t="shared" si="13"/>
        <v>35</v>
      </c>
      <c r="M290" s="115">
        <f t="shared" si="14"/>
        <v>2026</v>
      </c>
      <c r="N290" s="115">
        <f t="shared" si="15"/>
        <v>37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90">
        <v>46203.0</v>
      </c>
      <c r="C291" s="4"/>
      <c r="D291" s="124"/>
      <c r="E291" s="124" t="s">
        <v>459</v>
      </c>
      <c r="F291" s="125">
        <f t="shared" si="9"/>
        <v>46233</v>
      </c>
      <c r="G291" s="126">
        <v>51931.0</v>
      </c>
      <c r="H291" s="127">
        <f t="shared" si="10"/>
        <v>51931</v>
      </c>
      <c r="I291" s="3">
        <v>30.0</v>
      </c>
      <c r="J291" s="115">
        <f t="shared" si="11"/>
        <v>2026</v>
      </c>
      <c r="K291" s="115">
        <f t="shared" si="12"/>
        <v>27</v>
      </c>
      <c r="L291" s="115">
        <f t="shared" si="13"/>
        <v>31</v>
      </c>
      <c r="M291" s="115">
        <f t="shared" si="14"/>
        <v>2026</v>
      </c>
      <c r="N291" s="115">
        <f t="shared" si="15"/>
        <v>33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90">
        <v>46203.0</v>
      </c>
      <c r="C292" s="4"/>
      <c r="D292" s="124"/>
      <c r="E292" s="124" t="s">
        <v>401</v>
      </c>
      <c r="F292" s="125">
        <f t="shared" si="9"/>
        <v>46233</v>
      </c>
      <c r="G292" s="126">
        <v>8400.0</v>
      </c>
      <c r="H292" s="127">
        <f t="shared" si="10"/>
        <v>8400</v>
      </c>
      <c r="I292" s="3">
        <v>30.0</v>
      </c>
      <c r="J292" s="115">
        <f t="shared" si="11"/>
        <v>2026</v>
      </c>
      <c r="K292" s="115">
        <f t="shared" si="12"/>
        <v>27</v>
      </c>
      <c r="L292" s="115">
        <f t="shared" si="13"/>
        <v>31</v>
      </c>
      <c r="M292" s="115">
        <f t="shared" si="14"/>
        <v>2026</v>
      </c>
      <c r="N292" s="115">
        <f t="shared" si="15"/>
        <v>33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90">
        <v>46203.0</v>
      </c>
      <c r="C293" s="4"/>
      <c r="D293" s="124"/>
      <c r="E293" s="124" t="s">
        <v>461</v>
      </c>
      <c r="F293" s="125">
        <f t="shared" si="9"/>
        <v>46233</v>
      </c>
      <c r="G293" s="126">
        <v>26910.0</v>
      </c>
      <c r="H293" s="127">
        <f t="shared" si="10"/>
        <v>26910</v>
      </c>
      <c r="I293" s="3">
        <v>30.0</v>
      </c>
      <c r="J293" s="115">
        <f t="shared" si="11"/>
        <v>2026</v>
      </c>
      <c r="K293" s="115">
        <f t="shared" si="12"/>
        <v>27</v>
      </c>
      <c r="L293" s="115">
        <f t="shared" si="13"/>
        <v>31</v>
      </c>
      <c r="M293" s="115">
        <f t="shared" si="14"/>
        <v>2026</v>
      </c>
      <c r="N293" s="115">
        <f t="shared" si="15"/>
        <v>33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90">
        <v>46203.0</v>
      </c>
      <c r="C294" s="4"/>
      <c r="D294" s="124"/>
      <c r="E294" s="124" t="s">
        <v>462</v>
      </c>
      <c r="F294" s="125">
        <f t="shared" si="9"/>
        <v>46248</v>
      </c>
      <c r="G294" s="126">
        <v>126667.0</v>
      </c>
      <c r="H294" s="127">
        <f t="shared" si="10"/>
        <v>126667</v>
      </c>
      <c r="I294" s="3">
        <v>45.0</v>
      </c>
      <c r="J294" s="115">
        <f t="shared" si="11"/>
        <v>2026</v>
      </c>
      <c r="K294" s="115">
        <f t="shared" si="12"/>
        <v>27</v>
      </c>
      <c r="L294" s="115">
        <f t="shared" si="13"/>
        <v>33</v>
      </c>
      <c r="M294" s="115">
        <f t="shared" si="14"/>
        <v>2026</v>
      </c>
      <c r="N294" s="115">
        <f t="shared" si="15"/>
        <v>35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90">
        <v>46203.0</v>
      </c>
      <c r="C295" s="4"/>
      <c r="D295" s="124"/>
      <c r="E295" s="124" t="s">
        <v>464</v>
      </c>
      <c r="F295" s="125">
        <f t="shared" si="9"/>
        <v>46248</v>
      </c>
      <c r="G295" s="126">
        <v>172530.0</v>
      </c>
      <c r="H295" s="127">
        <f t="shared" si="10"/>
        <v>172530</v>
      </c>
      <c r="I295" s="3">
        <v>45.0</v>
      </c>
      <c r="J295" s="115">
        <f t="shared" si="11"/>
        <v>2026</v>
      </c>
      <c r="K295" s="115">
        <f t="shared" si="12"/>
        <v>27</v>
      </c>
      <c r="L295" s="115">
        <f t="shared" si="13"/>
        <v>33</v>
      </c>
      <c r="M295" s="115">
        <f t="shared" si="14"/>
        <v>2026</v>
      </c>
      <c r="N295" s="115">
        <f t="shared" si="15"/>
        <v>35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90">
        <v>46203.0</v>
      </c>
      <c r="C296" s="4"/>
      <c r="D296" s="124"/>
      <c r="E296" s="124" t="s">
        <v>404</v>
      </c>
      <c r="F296" s="125">
        <f t="shared" si="9"/>
        <v>46248</v>
      </c>
      <c r="G296" s="126">
        <v>45765.0</v>
      </c>
      <c r="H296" s="127">
        <f t="shared" si="10"/>
        <v>45765</v>
      </c>
      <c r="I296" s="3">
        <v>45.0</v>
      </c>
      <c r="J296" s="115">
        <f t="shared" si="11"/>
        <v>2026</v>
      </c>
      <c r="K296" s="115">
        <f t="shared" si="12"/>
        <v>27</v>
      </c>
      <c r="L296" s="115">
        <f t="shared" si="13"/>
        <v>33</v>
      </c>
      <c r="M296" s="115">
        <f t="shared" si="14"/>
        <v>2026</v>
      </c>
      <c r="N296" s="115">
        <f t="shared" si="15"/>
        <v>35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90">
        <v>46203.0</v>
      </c>
      <c r="C297" s="4"/>
      <c r="D297" s="124"/>
      <c r="E297" s="129" t="s">
        <v>406</v>
      </c>
      <c r="F297" s="125">
        <f t="shared" si="9"/>
        <v>46248</v>
      </c>
      <c r="G297" s="126">
        <v>210000.0</v>
      </c>
      <c r="H297" s="127">
        <f t="shared" si="10"/>
        <v>210000</v>
      </c>
      <c r="I297" s="3">
        <v>45.0</v>
      </c>
      <c r="J297" s="115">
        <f t="shared" si="11"/>
        <v>2026</v>
      </c>
      <c r="K297" s="115">
        <f t="shared" si="12"/>
        <v>27</v>
      </c>
      <c r="L297" s="115">
        <f t="shared" si="13"/>
        <v>33</v>
      </c>
      <c r="M297" s="115">
        <f t="shared" si="14"/>
        <v>2026</v>
      </c>
      <c r="N297" s="115">
        <f t="shared" si="15"/>
        <v>35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90">
        <v>46203.0</v>
      </c>
      <c r="C298" s="4"/>
      <c r="D298" s="4"/>
      <c r="E298" s="124" t="s">
        <v>407</v>
      </c>
      <c r="F298" s="125">
        <f t="shared" si="9"/>
        <v>46233</v>
      </c>
      <c r="G298" s="126">
        <v>203360.0</v>
      </c>
      <c r="H298" s="127">
        <f t="shared" si="10"/>
        <v>203360</v>
      </c>
      <c r="I298" s="3">
        <v>30.0</v>
      </c>
      <c r="J298" s="115">
        <f t="shared" si="11"/>
        <v>2026</v>
      </c>
      <c r="K298" s="115">
        <f t="shared" si="12"/>
        <v>27</v>
      </c>
      <c r="L298" s="115">
        <f t="shared" si="13"/>
        <v>31</v>
      </c>
      <c r="M298" s="115">
        <f t="shared" si="14"/>
        <v>2026</v>
      </c>
      <c r="N298" s="115">
        <f t="shared" si="15"/>
        <v>33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90">
        <v>46203.0</v>
      </c>
      <c r="C299" s="4"/>
      <c r="D299" s="4"/>
      <c r="E299" s="124" t="s">
        <v>408</v>
      </c>
      <c r="F299" s="125">
        <f t="shared" si="9"/>
        <v>46233</v>
      </c>
      <c r="G299" s="126">
        <v>153140.0</v>
      </c>
      <c r="H299" s="127">
        <f t="shared" si="10"/>
        <v>153140</v>
      </c>
      <c r="I299" s="3">
        <v>30.0</v>
      </c>
      <c r="J299" s="115">
        <f t="shared" si="11"/>
        <v>2026</v>
      </c>
      <c r="K299" s="115">
        <f t="shared" si="12"/>
        <v>27</v>
      </c>
      <c r="L299" s="115">
        <f t="shared" si="13"/>
        <v>31</v>
      </c>
      <c r="M299" s="115">
        <f t="shared" si="14"/>
        <v>2026</v>
      </c>
      <c r="N299" s="115">
        <f t="shared" si="15"/>
        <v>33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90">
        <v>46203.0</v>
      </c>
      <c r="C300" s="4"/>
      <c r="D300" s="4"/>
      <c r="E300" s="124" t="s">
        <v>411</v>
      </c>
      <c r="F300" s="125">
        <f t="shared" si="9"/>
        <v>46248</v>
      </c>
      <c r="G300" s="126">
        <v>36288.0</v>
      </c>
      <c r="H300" s="127">
        <f t="shared" si="10"/>
        <v>36288</v>
      </c>
      <c r="I300" s="3">
        <v>45.0</v>
      </c>
      <c r="J300" s="115">
        <f t="shared" si="11"/>
        <v>2026</v>
      </c>
      <c r="K300" s="115">
        <f t="shared" si="12"/>
        <v>27</v>
      </c>
      <c r="L300" s="115">
        <f t="shared" si="13"/>
        <v>33</v>
      </c>
      <c r="M300" s="115">
        <f t="shared" si="14"/>
        <v>2026</v>
      </c>
      <c r="N300" s="115">
        <f t="shared" si="15"/>
        <v>35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90">
        <v>46203.0</v>
      </c>
      <c r="C301" s="4"/>
      <c r="D301" s="4"/>
      <c r="E301" s="124" t="s">
        <v>415</v>
      </c>
      <c r="F301" s="125">
        <f t="shared" si="9"/>
        <v>46233</v>
      </c>
      <c r="G301" s="126">
        <v>96981.0</v>
      </c>
      <c r="H301" s="127">
        <f t="shared" si="10"/>
        <v>96981</v>
      </c>
      <c r="I301" s="3">
        <v>30.0</v>
      </c>
      <c r="J301" s="115">
        <f t="shared" si="11"/>
        <v>2026</v>
      </c>
      <c r="K301" s="115">
        <f t="shared" si="12"/>
        <v>27</v>
      </c>
      <c r="L301" s="115">
        <f t="shared" si="13"/>
        <v>31</v>
      </c>
      <c r="M301" s="115">
        <f t="shared" si="14"/>
        <v>2026</v>
      </c>
      <c r="N301" s="115">
        <f t="shared" si="15"/>
        <v>33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90">
        <v>46203.0</v>
      </c>
      <c r="C302" s="4"/>
      <c r="D302" s="4"/>
      <c r="E302" s="124" t="s">
        <v>419</v>
      </c>
      <c r="F302" s="125">
        <f t="shared" si="9"/>
        <v>46233</v>
      </c>
      <c r="G302" s="126">
        <v>46080.0</v>
      </c>
      <c r="H302" s="127">
        <f t="shared" si="10"/>
        <v>46080</v>
      </c>
      <c r="I302" s="3">
        <v>30.0</v>
      </c>
      <c r="J302" s="115">
        <f t="shared" si="11"/>
        <v>2026</v>
      </c>
      <c r="K302" s="115">
        <f t="shared" si="12"/>
        <v>27</v>
      </c>
      <c r="L302" s="115">
        <f t="shared" si="13"/>
        <v>31</v>
      </c>
      <c r="M302" s="115">
        <f t="shared" si="14"/>
        <v>2026</v>
      </c>
      <c r="N302" s="115">
        <f t="shared" si="15"/>
        <v>33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90">
        <v>46203.0</v>
      </c>
      <c r="C303" s="4"/>
      <c r="D303" s="4"/>
      <c r="E303" s="124" t="s">
        <v>424</v>
      </c>
      <c r="F303" s="125">
        <f t="shared" si="9"/>
        <v>46248</v>
      </c>
      <c r="G303" s="126">
        <v>61740.0</v>
      </c>
      <c r="H303" s="127">
        <f t="shared" si="10"/>
        <v>61740</v>
      </c>
      <c r="I303" s="3">
        <v>45.0</v>
      </c>
      <c r="J303" s="115">
        <f t="shared" si="11"/>
        <v>2026</v>
      </c>
      <c r="K303" s="115">
        <f t="shared" si="12"/>
        <v>27</v>
      </c>
      <c r="L303" s="115">
        <f t="shared" si="13"/>
        <v>33</v>
      </c>
      <c r="M303" s="115">
        <f t="shared" si="14"/>
        <v>2026</v>
      </c>
      <c r="N303" s="115">
        <f t="shared" si="15"/>
        <v>35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90">
        <v>46203.0</v>
      </c>
      <c r="C304" s="4"/>
      <c r="D304" s="4"/>
      <c r="E304" s="124" t="s">
        <v>480</v>
      </c>
      <c r="F304" s="125">
        <f t="shared" si="9"/>
        <v>46248</v>
      </c>
      <c r="G304" s="126">
        <v>272166.68</v>
      </c>
      <c r="H304" s="127">
        <f t="shared" si="10"/>
        <v>272166.68</v>
      </c>
      <c r="I304" s="3">
        <v>45.0</v>
      </c>
      <c r="J304" s="115">
        <f t="shared" si="11"/>
        <v>2026</v>
      </c>
      <c r="K304" s="115">
        <f t="shared" si="12"/>
        <v>27</v>
      </c>
      <c r="L304" s="115">
        <f t="shared" si="13"/>
        <v>33</v>
      </c>
      <c r="M304" s="115">
        <f t="shared" si="14"/>
        <v>2026</v>
      </c>
      <c r="N304" s="115">
        <f t="shared" si="15"/>
        <v>35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90">
        <v>46203.0</v>
      </c>
      <c r="C305" s="4"/>
      <c r="D305" s="4"/>
      <c r="E305" s="124" t="s">
        <v>427</v>
      </c>
      <c r="F305" s="125">
        <f t="shared" si="9"/>
        <v>46233</v>
      </c>
      <c r="G305" s="126">
        <v>178070.4</v>
      </c>
      <c r="H305" s="127">
        <f t="shared" si="10"/>
        <v>178070.4</v>
      </c>
      <c r="I305" s="3">
        <v>30.0</v>
      </c>
      <c r="J305" s="115">
        <f t="shared" si="11"/>
        <v>2026</v>
      </c>
      <c r="K305" s="115">
        <f t="shared" si="12"/>
        <v>27</v>
      </c>
      <c r="L305" s="115">
        <f t="shared" si="13"/>
        <v>31</v>
      </c>
      <c r="M305" s="115">
        <f t="shared" si="14"/>
        <v>2026</v>
      </c>
      <c r="N305" s="115">
        <f t="shared" si="15"/>
        <v>33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90">
        <v>46203.0</v>
      </c>
      <c r="C306" s="4"/>
      <c r="D306" s="4"/>
      <c r="E306" s="124" t="s">
        <v>428</v>
      </c>
      <c r="F306" s="125">
        <f t="shared" si="9"/>
        <v>46248</v>
      </c>
      <c r="G306" s="126">
        <v>9600.0</v>
      </c>
      <c r="H306" s="127">
        <f t="shared" si="10"/>
        <v>9600</v>
      </c>
      <c r="I306" s="3">
        <v>45.0</v>
      </c>
      <c r="J306" s="115">
        <f t="shared" si="11"/>
        <v>2026</v>
      </c>
      <c r="K306" s="115">
        <f t="shared" si="12"/>
        <v>27</v>
      </c>
      <c r="L306" s="115">
        <f t="shared" si="13"/>
        <v>33</v>
      </c>
      <c r="M306" s="115">
        <f t="shared" si="14"/>
        <v>2026</v>
      </c>
      <c r="N306" s="115">
        <f t="shared" si="15"/>
        <v>35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90">
        <v>46203.0</v>
      </c>
      <c r="C307" s="4"/>
      <c r="D307" s="4"/>
      <c r="E307" s="124" t="s">
        <v>433</v>
      </c>
      <c r="F307" s="125">
        <f t="shared" si="9"/>
        <v>46233</v>
      </c>
      <c r="G307" s="126">
        <v>55250.0</v>
      </c>
      <c r="H307" s="127">
        <f t="shared" si="10"/>
        <v>55250</v>
      </c>
      <c r="I307" s="3">
        <v>30.0</v>
      </c>
      <c r="J307" s="115">
        <f t="shared" si="11"/>
        <v>2026</v>
      </c>
      <c r="K307" s="115">
        <f t="shared" si="12"/>
        <v>27</v>
      </c>
      <c r="L307" s="115">
        <f t="shared" si="13"/>
        <v>31</v>
      </c>
      <c r="M307" s="115">
        <f t="shared" si="14"/>
        <v>2026</v>
      </c>
      <c r="N307" s="115">
        <f t="shared" si="15"/>
        <v>33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90">
        <v>46203.0</v>
      </c>
      <c r="C308" s="4"/>
      <c r="D308" s="4"/>
      <c r="E308" s="124" t="s">
        <v>469</v>
      </c>
      <c r="F308" s="125">
        <f t="shared" si="9"/>
        <v>46233</v>
      </c>
      <c r="G308" s="126">
        <v>78757.0</v>
      </c>
      <c r="H308" s="127">
        <f t="shared" si="10"/>
        <v>78757</v>
      </c>
      <c r="I308" s="3">
        <v>30.0</v>
      </c>
      <c r="J308" s="115">
        <f t="shared" si="11"/>
        <v>2026</v>
      </c>
      <c r="K308" s="115">
        <f t="shared" si="12"/>
        <v>27</v>
      </c>
      <c r="L308" s="115">
        <f t="shared" si="13"/>
        <v>31</v>
      </c>
      <c r="M308" s="115">
        <f t="shared" si="14"/>
        <v>2026</v>
      </c>
      <c r="N308" s="115">
        <f t="shared" si="15"/>
        <v>33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90">
        <v>46203.0</v>
      </c>
      <c r="C309" s="4"/>
      <c r="D309" s="4"/>
      <c r="E309" s="124" t="s">
        <v>470</v>
      </c>
      <c r="F309" s="125">
        <f t="shared" si="9"/>
        <v>46233</v>
      </c>
      <c r="G309" s="126">
        <v>45375.0</v>
      </c>
      <c r="H309" s="127">
        <f t="shared" si="10"/>
        <v>45375</v>
      </c>
      <c r="I309" s="3">
        <v>30.0</v>
      </c>
      <c r="J309" s="115">
        <f t="shared" si="11"/>
        <v>2026</v>
      </c>
      <c r="K309" s="115">
        <f t="shared" si="12"/>
        <v>27</v>
      </c>
      <c r="L309" s="115">
        <f t="shared" si="13"/>
        <v>31</v>
      </c>
      <c r="M309" s="115">
        <f t="shared" si="14"/>
        <v>2026</v>
      </c>
      <c r="N309" s="115">
        <f t="shared" si="15"/>
        <v>33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90">
        <v>46203.0</v>
      </c>
      <c r="C310" s="4"/>
      <c r="D310" s="4"/>
      <c r="E310" s="124" t="s">
        <v>437</v>
      </c>
      <c r="F310" s="125">
        <f t="shared" si="9"/>
        <v>46248</v>
      </c>
      <c r="G310" s="126">
        <v>5294.0</v>
      </c>
      <c r="H310" s="127">
        <f t="shared" si="10"/>
        <v>5294</v>
      </c>
      <c r="I310" s="3">
        <v>45.0</v>
      </c>
      <c r="J310" s="115">
        <f t="shared" si="11"/>
        <v>2026</v>
      </c>
      <c r="K310" s="115">
        <f t="shared" si="12"/>
        <v>27</v>
      </c>
      <c r="L310" s="115">
        <f t="shared" si="13"/>
        <v>33</v>
      </c>
      <c r="M310" s="115">
        <f t="shared" si="14"/>
        <v>2026</v>
      </c>
      <c r="N310" s="115">
        <f t="shared" si="15"/>
        <v>35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90">
        <v>46203.0</v>
      </c>
      <c r="C311" s="4"/>
      <c r="D311" s="4"/>
      <c r="E311" s="124" t="s">
        <v>439</v>
      </c>
      <c r="F311" s="125">
        <f t="shared" si="9"/>
        <v>46233</v>
      </c>
      <c r="G311" s="126">
        <v>68154.4</v>
      </c>
      <c r="H311" s="127">
        <f t="shared" si="10"/>
        <v>68154.4</v>
      </c>
      <c r="I311" s="3">
        <v>30.0</v>
      </c>
      <c r="J311" s="115">
        <f t="shared" si="11"/>
        <v>2026</v>
      </c>
      <c r="K311" s="115">
        <f t="shared" si="12"/>
        <v>27</v>
      </c>
      <c r="L311" s="115">
        <f t="shared" si="13"/>
        <v>31</v>
      </c>
      <c r="M311" s="115">
        <f t="shared" si="14"/>
        <v>2026</v>
      </c>
      <c r="N311" s="115">
        <f t="shared" si="15"/>
        <v>33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90">
        <v>46203.0</v>
      </c>
      <c r="C312" s="4"/>
      <c r="D312" s="4"/>
      <c r="E312" s="124" t="s">
        <v>440</v>
      </c>
      <c r="F312" s="125">
        <f t="shared" si="9"/>
        <v>46248</v>
      </c>
      <c r="G312" s="126">
        <v>22176.0</v>
      </c>
      <c r="H312" s="127">
        <f t="shared" si="10"/>
        <v>22176</v>
      </c>
      <c r="I312" s="3">
        <v>45.0</v>
      </c>
      <c r="J312" s="115">
        <f t="shared" si="11"/>
        <v>2026</v>
      </c>
      <c r="K312" s="115">
        <f t="shared" si="12"/>
        <v>27</v>
      </c>
      <c r="L312" s="115">
        <f t="shared" si="13"/>
        <v>33</v>
      </c>
      <c r="M312" s="115">
        <f t="shared" si="14"/>
        <v>2026</v>
      </c>
      <c r="N312" s="115">
        <f t="shared" si="15"/>
        <v>35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90">
        <v>46203.0</v>
      </c>
      <c r="C313" s="4"/>
      <c r="D313" s="4"/>
      <c r="E313" s="124" t="s">
        <v>441</v>
      </c>
      <c r="F313" s="125">
        <f t="shared" si="9"/>
        <v>46248</v>
      </c>
      <c r="G313" s="126">
        <v>11440.0</v>
      </c>
      <c r="H313" s="127">
        <f t="shared" si="10"/>
        <v>11440</v>
      </c>
      <c r="I313" s="3">
        <v>45.0</v>
      </c>
      <c r="J313" s="115">
        <f t="shared" si="11"/>
        <v>2026</v>
      </c>
      <c r="K313" s="115">
        <f t="shared" si="12"/>
        <v>27</v>
      </c>
      <c r="L313" s="115">
        <f t="shared" si="13"/>
        <v>33</v>
      </c>
      <c r="M313" s="115">
        <f t="shared" si="14"/>
        <v>2026</v>
      </c>
      <c r="N313" s="115">
        <f t="shared" si="15"/>
        <v>35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90">
        <v>46203.0</v>
      </c>
      <c r="C314" s="4"/>
      <c r="D314" s="4"/>
      <c r="E314" s="124" t="s">
        <v>443</v>
      </c>
      <c r="F314" s="125">
        <f t="shared" si="9"/>
        <v>46248</v>
      </c>
      <c r="G314" s="126">
        <v>28800.0</v>
      </c>
      <c r="H314" s="127">
        <f t="shared" si="10"/>
        <v>28800</v>
      </c>
      <c r="I314" s="3">
        <v>45.0</v>
      </c>
      <c r="J314" s="115">
        <f t="shared" si="11"/>
        <v>2026</v>
      </c>
      <c r="K314" s="115">
        <f t="shared" si="12"/>
        <v>27</v>
      </c>
      <c r="L314" s="115">
        <f t="shared" si="13"/>
        <v>33</v>
      </c>
      <c r="M314" s="115">
        <f t="shared" si="14"/>
        <v>2026</v>
      </c>
      <c r="N314" s="115">
        <f t="shared" si="15"/>
        <v>35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90">
        <v>46203.0</v>
      </c>
      <c r="C315" s="4"/>
      <c r="D315" s="4"/>
      <c r="E315" s="124" t="s">
        <v>444</v>
      </c>
      <c r="F315" s="125">
        <f t="shared" si="9"/>
        <v>46233</v>
      </c>
      <c r="G315" s="126">
        <v>34750.0</v>
      </c>
      <c r="H315" s="127">
        <f t="shared" si="10"/>
        <v>34750</v>
      </c>
      <c r="I315" s="3">
        <v>30.0</v>
      </c>
      <c r="J315" s="115">
        <f t="shared" si="11"/>
        <v>2026</v>
      </c>
      <c r="K315" s="115">
        <f t="shared" si="12"/>
        <v>27</v>
      </c>
      <c r="L315" s="115">
        <f t="shared" si="13"/>
        <v>31</v>
      </c>
      <c r="M315" s="115">
        <f t="shared" si="14"/>
        <v>2026</v>
      </c>
      <c r="N315" s="115">
        <f t="shared" si="15"/>
        <v>33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90">
        <v>46203.0</v>
      </c>
      <c r="C316" s="4"/>
      <c r="D316" s="4"/>
      <c r="E316" s="124" t="s">
        <v>473</v>
      </c>
      <c r="F316" s="125">
        <f t="shared" si="9"/>
        <v>46233</v>
      </c>
      <c r="G316" s="126">
        <v>75113.0</v>
      </c>
      <c r="H316" s="127">
        <f t="shared" si="10"/>
        <v>75113</v>
      </c>
      <c r="I316" s="3">
        <v>30.0</v>
      </c>
      <c r="J316" s="115">
        <f t="shared" si="11"/>
        <v>2026</v>
      </c>
      <c r="K316" s="115">
        <f t="shared" si="12"/>
        <v>27</v>
      </c>
      <c r="L316" s="115">
        <f t="shared" si="13"/>
        <v>31</v>
      </c>
      <c r="M316" s="115">
        <f t="shared" si="14"/>
        <v>2026</v>
      </c>
      <c r="N316" s="115">
        <f t="shared" si="15"/>
        <v>33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90">
        <v>46203.0</v>
      </c>
      <c r="C317" s="4"/>
      <c r="D317" s="4"/>
      <c r="E317" s="124" t="s">
        <v>445</v>
      </c>
      <c r="F317" s="125">
        <f t="shared" si="9"/>
        <v>46248</v>
      </c>
      <c r="G317" s="126">
        <v>21600.0</v>
      </c>
      <c r="H317" s="127">
        <f t="shared" si="10"/>
        <v>21600</v>
      </c>
      <c r="I317" s="3">
        <v>45.0</v>
      </c>
      <c r="J317" s="115">
        <f t="shared" si="11"/>
        <v>2026</v>
      </c>
      <c r="K317" s="115">
        <f t="shared" si="12"/>
        <v>27</v>
      </c>
      <c r="L317" s="115">
        <f t="shared" si="13"/>
        <v>33</v>
      </c>
      <c r="M317" s="115">
        <f t="shared" si="14"/>
        <v>2026</v>
      </c>
      <c r="N317" s="115">
        <f t="shared" si="15"/>
        <v>35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90">
        <v>46203.0</v>
      </c>
      <c r="C318" s="4"/>
      <c r="D318" s="4"/>
      <c r="E318" s="124" t="s">
        <v>446</v>
      </c>
      <c r="F318" s="125">
        <f t="shared" si="9"/>
        <v>46248</v>
      </c>
      <c r="G318" s="126">
        <v>295068.0</v>
      </c>
      <c r="H318" s="127">
        <f t="shared" si="10"/>
        <v>295068</v>
      </c>
      <c r="I318" s="3">
        <v>45.0</v>
      </c>
      <c r="J318" s="115">
        <f t="shared" si="11"/>
        <v>2026</v>
      </c>
      <c r="K318" s="115">
        <f t="shared" si="12"/>
        <v>27</v>
      </c>
      <c r="L318" s="115">
        <f t="shared" si="13"/>
        <v>33</v>
      </c>
      <c r="M318" s="115">
        <f t="shared" si="14"/>
        <v>2026</v>
      </c>
      <c r="N318" s="115">
        <f t="shared" si="15"/>
        <v>35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90">
        <v>46203.0</v>
      </c>
      <c r="C319" s="4"/>
      <c r="D319" s="4"/>
      <c r="E319" s="124" t="s">
        <v>449</v>
      </c>
      <c r="F319" s="125">
        <f t="shared" si="9"/>
        <v>46233</v>
      </c>
      <c r="G319" s="126">
        <v>70000.0</v>
      </c>
      <c r="H319" s="127">
        <f t="shared" si="10"/>
        <v>70000</v>
      </c>
      <c r="I319" s="3">
        <v>30.0</v>
      </c>
      <c r="J319" s="115">
        <f t="shared" si="11"/>
        <v>2026</v>
      </c>
      <c r="K319" s="115">
        <f t="shared" si="12"/>
        <v>27</v>
      </c>
      <c r="L319" s="115">
        <f t="shared" si="13"/>
        <v>31</v>
      </c>
      <c r="M319" s="115">
        <f t="shared" si="14"/>
        <v>2026</v>
      </c>
      <c r="N319" s="115">
        <f t="shared" si="15"/>
        <v>33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90">
        <v>46203.0</v>
      </c>
      <c r="C320" s="4"/>
      <c r="D320" s="4"/>
      <c r="E320" s="124" t="s">
        <v>481</v>
      </c>
      <c r="F320" s="125">
        <f t="shared" si="9"/>
        <v>46248</v>
      </c>
      <c r="G320" s="126">
        <v>558500.0</v>
      </c>
      <c r="H320" s="127">
        <f t="shared" si="10"/>
        <v>558500</v>
      </c>
      <c r="I320" s="3">
        <v>45.0</v>
      </c>
      <c r="J320" s="115">
        <f t="shared" si="11"/>
        <v>2026</v>
      </c>
      <c r="K320" s="115">
        <f t="shared" si="12"/>
        <v>27</v>
      </c>
      <c r="L320" s="115">
        <f t="shared" si="13"/>
        <v>33</v>
      </c>
      <c r="M320" s="115">
        <f t="shared" si="14"/>
        <v>2026</v>
      </c>
      <c r="N320" s="115">
        <f t="shared" si="15"/>
        <v>35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90">
        <v>46203.0</v>
      </c>
      <c r="C321" s="4"/>
      <c r="D321" s="4"/>
      <c r="E321" s="124" t="s">
        <v>450</v>
      </c>
      <c r="F321" s="125">
        <f t="shared" si="9"/>
        <v>46248</v>
      </c>
      <c r="G321" s="126">
        <v>55296.0</v>
      </c>
      <c r="H321" s="127">
        <f t="shared" si="10"/>
        <v>55296</v>
      </c>
      <c r="I321" s="3">
        <v>45.0</v>
      </c>
      <c r="J321" s="115">
        <f t="shared" si="11"/>
        <v>2026</v>
      </c>
      <c r="K321" s="115">
        <f t="shared" si="12"/>
        <v>27</v>
      </c>
      <c r="L321" s="115">
        <f t="shared" si="13"/>
        <v>33</v>
      </c>
      <c r="M321" s="115">
        <f t="shared" si="14"/>
        <v>2026</v>
      </c>
      <c r="N321" s="115">
        <f t="shared" si="15"/>
        <v>35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90">
        <v>46203.0</v>
      </c>
      <c r="C322" s="4"/>
      <c r="D322" s="4"/>
      <c r="E322" s="124" t="s">
        <v>474</v>
      </c>
      <c r="F322" s="125">
        <f t="shared" si="9"/>
        <v>46248</v>
      </c>
      <c r="G322" s="126">
        <v>53640.0</v>
      </c>
      <c r="H322" s="127">
        <f t="shared" si="10"/>
        <v>53640</v>
      </c>
      <c r="I322" s="3">
        <v>45.0</v>
      </c>
      <c r="J322" s="115">
        <f t="shared" si="11"/>
        <v>2026</v>
      </c>
      <c r="K322" s="115">
        <f t="shared" si="12"/>
        <v>27</v>
      </c>
      <c r="L322" s="115">
        <f t="shared" si="13"/>
        <v>33</v>
      </c>
      <c r="M322" s="115">
        <f t="shared" si="14"/>
        <v>2026</v>
      </c>
      <c r="N322" s="115">
        <f t="shared" si="15"/>
        <v>35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90">
        <v>46203.0</v>
      </c>
      <c r="C323" s="4"/>
      <c r="D323" s="4"/>
      <c r="E323" s="124" t="s">
        <v>475</v>
      </c>
      <c r="F323" s="125">
        <f t="shared" si="9"/>
        <v>46233</v>
      </c>
      <c r="G323" s="126">
        <v>328100.0</v>
      </c>
      <c r="H323" s="127">
        <f t="shared" si="10"/>
        <v>328100</v>
      </c>
      <c r="I323" s="3">
        <v>30.0</v>
      </c>
      <c r="J323" s="115">
        <f t="shared" si="11"/>
        <v>2026</v>
      </c>
      <c r="K323" s="115">
        <f t="shared" si="12"/>
        <v>27</v>
      </c>
      <c r="L323" s="115">
        <f t="shared" si="13"/>
        <v>31</v>
      </c>
      <c r="M323" s="115">
        <f t="shared" si="14"/>
        <v>2026</v>
      </c>
      <c r="N323" s="115">
        <f t="shared" si="15"/>
        <v>33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90">
        <v>46203.0</v>
      </c>
      <c r="C324" s="4"/>
      <c r="D324" s="4"/>
      <c r="E324" s="124" t="s">
        <v>451</v>
      </c>
      <c r="F324" s="125">
        <f t="shared" si="9"/>
        <v>46248</v>
      </c>
      <c r="G324" s="126">
        <v>46116.0</v>
      </c>
      <c r="H324" s="127">
        <f t="shared" si="10"/>
        <v>46116</v>
      </c>
      <c r="I324" s="3">
        <v>45.0</v>
      </c>
      <c r="J324" s="115">
        <f t="shared" si="11"/>
        <v>2026</v>
      </c>
      <c r="K324" s="115">
        <f t="shared" si="12"/>
        <v>27</v>
      </c>
      <c r="L324" s="115">
        <f t="shared" si="13"/>
        <v>33</v>
      </c>
      <c r="M324" s="115">
        <f t="shared" si="14"/>
        <v>2026</v>
      </c>
      <c r="N324" s="115">
        <f t="shared" si="15"/>
        <v>35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90">
        <v>46203.0</v>
      </c>
      <c r="C325" s="4"/>
      <c r="D325" s="4"/>
      <c r="E325" s="124" t="s">
        <v>452</v>
      </c>
      <c r="F325" s="125">
        <f t="shared" si="9"/>
        <v>46263</v>
      </c>
      <c r="G325" s="126">
        <v>246000.0</v>
      </c>
      <c r="H325" s="127">
        <f t="shared" si="10"/>
        <v>246000</v>
      </c>
      <c r="I325" s="3">
        <v>60.0</v>
      </c>
      <c r="J325" s="115">
        <f t="shared" si="11"/>
        <v>2026</v>
      </c>
      <c r="K325" s="115">
        <f t="shared" si="12"/>
        <v>27</v>
      </c>
      <c r="L325" s="115">
        <f t="shared" si="13"/>
        <v>35</v>
      </c>
      <c r="M325" s="115">
        <f t="shared" si="14"/>
        <v>2026</v>
      </c>
      <c r="N325" s="115">
        <f t="shared" si="15"/>
        <v>37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90">
        <v>46203.0</v>
      </c>
      <c r="C326" s="4"/>
      <c r="D326" s="4"/>
      <c r="E326" s="124" t="s">
        <v>476</v>
      </c>
      <c r="F326" s="125">
        <f t="shared" si="9"/>
        <v>46248</v>
      </c>
      <c r="G326" s="126">
        <v>25400.0</v>
      </c>
      <c r="H326" s="127">
        <f t="shared" si="10"/>
        <v>25400</v>
      </c>
      <c r="I326" s="3">
        <v>45.0</v>
      </c>
      <c r="J326" s="115">
        <f t="shared" si="11"/>
        <v>2026</v>
      </c>
      <c r="K326" s="115">
        <f t="shared" si="12"/>
        <v>27</v>
      </c>
      <c r="L326" s="115">
        <f t="shared" si="13"/>
        <v>33</v>
      </c>
      <c r="M326" s="115">
        <f t="shared" si="14"/>
        <v>2026</v>
      </c>
      <c r="N326" s="115">
        <f t="shared" si="15"/>
        <v>35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90">
        <v>46203.0</v>
      </c>
      <c r="C327" s="4"/>
      <c r="D327" s="4"/>
      <c r="E327" s="124" t="s">
        <v>482</v>
      </c>
      <c r="F327" s="125">
        <f t="shared" si="9"/>
        <v>46233</v>
      </c>
      <c r="G327" s="126">
        <v>291840.0</v>
      </c>
      <c r="H327" s="127">
        <f t="shared" si="10"/>
        <v>291840</v>
      </c>
      <c r="I327" s="3">
        <v>30.0</v>
      </c>
      <c r="J327" s="115">
        <f t="shared" si="11"/>
        <v>2026</v>
      </c>
      <c r="K327" s="115">
        <f t="shared" si="12"/>
        <v>27</v>
      </c>
      <c r="L327" s="115">
        <f t="shared" si="13"/>
        <v>31</v>
      </c>
      <c r="M327" s="115">
        <f t="shared" si="14"/>
        <v>2026</v>
      </c>
      <c r="N327" s="115">
        <f t="shared" si="15"/>
        <v>33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90">
        <v>46203.0</v>
      </c>
      <c r="C328" s="4"/>
      <c r="D328" s="4"/>
      <c r="E328" s="124" t="s">
        <v>453</v>
      </c>
      <c r="F328" s="125">
        <f t="shared" si="9"/>
        <v>46233</v>
      </c>
      <c r="G328" s="126">
        <v>69993.0</v>
      </c>
      <c r="H328" s="127">
        <f t="shared" si="10"/>
        <v>69993</v>
      </c>
      <c r="I328" s="3">
        <v>30.0</v>
      </c>
      <c r="J328" s="115">
        <f t="shared" si="11"/>
        <v>2026</v>
      </c>
      <c r="K328" s="115">
        <f t="shared" si="12"/>
        <v>27</v>
      </c>
      <c r="L328" s="115">
        <f t="shared" si="13"/>
        <v>31</v>
      </c>
      <c r="M328" s="115">
        <f t="shared" si="14"/>
        <v>2026</v>
      </c>
      <c r="N328" s="115">
        <f t="shared" si="15"/>
        <v>33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90">
        <v>46203.0</v>
      </c>
      <c r="C329" s="4"/>
      <c r="D329" s="4"/>
      <c r="E329" s="124" t="s">
        <v>477</v>
      </c>
      <c r="F329" s="125">
        <f t="shared" si="9"/>
        <v>46218</v>
      </c>
      <c r="G329" s="126">
        <v>34415.0</v>
      </c>
      <c r="H329" s="127">
        <f t="shared" si="10"/>
        <v>34415</v>
      </c>
      <c r="I329" s="3">
        <v>15.0</v>
      </c>
      <c r="J329" s="115">
        <f t="shared" si="11"/>
        <v>2026</v>
      </c>
      <c r="K329" s="115">
        <f t="shared" si="12"/>
        <v>27</v>
      </c>
      <c r="L329" s="115">
        <f t="shared" si="13"/>
        <v>29</v>
      </c>
      <c r="M329" s="115">
        <f t="shared" si="14"/>
        <v>2026</v>
      </c>
      <c r="N329" s="115">
        <f t="shared" si="15"/>
        <v>31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90">
        <v>46203.0</v>
      </c>
      <c r="C330" s="4"/>
      <c r="D330" s="4"/>
      <c r="E330" s="124" t="s">
        <v>454</v>
      </c>
      <c r="F330" s="125">
        <f t="shared" si="9"/>
        <v>46248</v>
      </c>
      <c r="G330" s="126">
        <v>27000.0</v>
      </c>
      <c r="H330" s="127">
        <f t="shared" si="10"/>
        <v>27000</v>
      </c>
      <c r="I330" s="3">
        <v>45.0</v>
      </c>
      <c r="J330" s="115">
        <f t="shared" si="11"/>
        <v>2026</v>
      </c>
      <c r="K330" s="115">
        <f t="shared" si="12"/>
        <v>27</v>
      </c>
      <c r="L330" s="115">
        <f t="shared" si="13"/>
        <v>33</v>
      </c>
      <c r="M330" s="115">
        <f t="shared" si="14"/>
        <v>2026</v>
      </c>
      <c r="N330" s="115">
        <f t="shared" si="15"/>
        <v>35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90">
        <v>46203.0</v>
      </c>
      <c r="C331" s="4"/>
      <c r="D331" s="4"/>
      <c r="E331" s="124" t="s">
        <v>456</v>
      </c>
      <c r="F331" s="125">
        <f t="shared" si="9"/>
        <v>46248</v>
      </c>
      <c r="G331" s="126">
        <v>69300.0</v>
      </c>
      <c r="H331" s="127">
        <f t="shared" si="10"/>
        <v>69300</v>
      </c>
      <c r="I331" s="3">
        <v>45.0</v>
      </c>
      <c r="J331" s="115">
        <f t="shared" si="11"/>
        <v>2026</v>
      </c>
      <c r="K331" s="115">
        <f t="shared" si="12"/>
        <v>27</v>
      </c>
      <c r="L331" s="115">
        <f t="shared" si="13"/>
        <v>33</v>
      </c>
      <c r="M331" s="115">
        <f t="shared" si="14"/>
        <v>2026</v>
      </c>
      <c r="N331" s="115">
        <f t="shared" si="15"/>
        <v>35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90">
        <v>46203.0</v>
      </c>
      <c r="C332" s="4"/>
      <c r="D332" s="4"/>
      <c r="E332" s="124" t="s">
        <v>457</v>
      </c>
      <c r="F332" s="125">
        <f t="shared" si="9"/>
        <v>46263</v>
      </c>
      <c r="G332" s="126">
        <v>53760.0</v>
      </c>
      <c r="H332" s="127">
        <f t="shared" si="10"/>
        <v>53760</v>
      </c>
      <c r="I332" s="3">
        <v>60.0</v>
      </c>
      <c r="J332" s="115">
        <f t="shared" si="11"/>
        <v>2026</v>
      </c>
      <c r="K332" s="115">
        <f t="shared" si="12"/>
        <v>27</v>
      </c>
      <c r="L332" s="115">
        <f t="shared" si="13"/>
        <v>35</v>
      </c>
      <c r="M332" s="115">
        <f t="shared" si="14"/>
        <v>2026</v>
      </c>
      <c r="N332" s="115">
        <f t="shared" si="15"/>
        <v>37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90">
        <v>46203.0</v>
      </c>
      <c r="C333" s="4"/>
      <c r="D333" s="4"/>
      <c r="E333" s="124" t="s">
        <v>458</v>
      </c>
      <c r="F333" s="125">
        <f t="shared" si="9"/>
        <v>46233</v>
      </c>
      <c r="G333" s="126">
        <v>10800.0</v>
      </c>
      <c r="H333" s="127">
        <f t="shared" si="10"/>
        <v>10800</v>
      </c>
      <c r="I333" s="3">
        <v>30.0</v>
      </c>
      <c r="J333" s="115">
        <f t="shared" si="11"/>
        <v>2026</v>
      </c>
      <c r="K333" s="115">
        <f t="shared" si="12"/>
        <v>27</v>
      </c>
      <c r="L333" s="115">
        <f t="shared" si="13"/>
        <v>31</v>
      </c>
      <c r="M333" s="115">
        <f t="shared" si="14"/>
        <v>2026</v>
      </c>
      <c r="N333" s="115">
        <f t="shared" si="15"/>
        <v>33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90">
        <v>46203.0</v>
      </c>
      <c r="C334" s="4"/>
      <c r="D334" s="4"/>
      <c r="E334" s="124" t="s">
        <v>479</v>
      </c>
      <c r="F334" s="125">
        <f t="shared" si="9"/>
        <v>46248</v>
      </c>
      <c r="G334" s="126">
        <v>56400.0</v>
      </c>
      <c r="H334" s="127">
        <f t="shared" si="10"/>
        <v>56400</v>
      </c>
      <c r="I334" s="3">
        <v>45.0</v>
      </c>
      <c r="J334" s="115">
        <f t="shared" si="11"/>
        <v>2026</v>
      </c>
      <c r="K334" s="115">
        <f t="shared" si="12"/>
        <v>27</v>
      </c>
      <c r="L334" s="115">
        <f t="shared" si="13"/>
        <v>33</v>
      </c>
      <c r="M334" s="115">
        <f t="shared" si="14"/>
        <v>2026</v>
      </c>
      <c r="N334" s="115">
        <f t="shared" si="15"/>
        <v>35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90">
        <v>46234.0</v>
      </c>
      <c r="C335" s="4"/>
      <c r="D335" s="4"/>
      <c r="E335" s="48" t="s">
        <v>459</v>
      </c>
      <c r="F335" s="125">
        <f t="shared" si="9"/>
        <v>46264</v>
      </c>
      <c r="G335" s="126">
        <v>103862.0</v>
      </c>
      <c r="H335" s="127">
        <f t="shared" si="10"/>
        <v>103862</v>
      </c>
      <c r="I335" s="48">
        <v>30.0</v>
      </c>
      <c r="J335" s="115">
        <f t="shared" si="11"/>
        <v>2026</v>
      </c>
      <c r="K335" s="115">
        <f t="shared" si="12"/>
        <v>31</v>
      </c>
      <c r="L335" s="115">
        <f t="shared" si="13"/>
        <v>36</v>
      </c>
      <c r="M335" s="115">
        <f t="shared" si="14"/>
        <v>2026</v>
      </c>
      <c r="N335" s="115">
        <f t="shared" si="15"/>
        <v>38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90">
        <v>46234.0</v>
      </c>
      <c r="C336" s="4"/>
      <c r="D336" s="4"/>
      <c r="E336" s="48" t="s">
        <v>401</v>
      </c>
      <c r="F336" s="125">
        <f t="shared" si="9"/>
        <v>46264</v>
      </c>
      <c r="G336" s="126">
        <v>8400.0</v>
      </c>
      <c r="H336" s="127">
        <f t="shared" si="10"/>
        <v>8400</v>
      </c>
      <c r="I336" s="48">
        <v>30.0</v>
      </c>
      <c r="J336" s="115">
        <f t="shared" si="11"/>
        <v>2026</v>
      </c>
      <c r="K336" s="115">
        <f t="shared" si="12"/>
        <v>31</v>
      </c>
      <c r="L336" s="115">
        <f t="shared" si="13"/>
        <v>36</v>
      </c>
      <c r="M336" s="115">
        <f t="shared" si="14"/>
        <v>2026</v>
      </c>
      <c r="N336" s="115">
        <f t="shared" si="15"/>
        <v>38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90">
        <v>46234.0</v>
      </c>
      <c r="C337" s="4"/>
      <c r="D337" s="4"/>
      <c r="E337" s="48" t="s">
        <v>464</v>
      </c>
      <c r="F337" s="125">
        <f t="shared" si="9"/>
        <v>46279</v>
      </c>
      <c r="G337" s="126">
        <v>115020.0</v>
      </c>
      <c r="H337" s="127">
        <f t="shared" si="10"/>
        <v>115020</v>
      </c>
      <c r="I337" s="48">
        <v>45.0</v>
      </c>
      <c r="J337" s="115">
        <f t="shared" si="11"/>
        <v>2026</v>
      </c>
      <c r="K337" s="115">
        <f t="shared" si="12"/>
        <v>31</v>
      </c>
      <c r="L337" s="115">
        <f t="shared" si="13"/>
        <v>38</v>
      </c>
      <c r="M337" s="115">
        <f t="shared" si="14"/>
        <v>2026</v>
      </c>
      <c r="N337" s="115">
        <f t="shared" si="15"/>
        <v>40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90">
        <v>46234.0</v>
      </c>
      <c r="C338" s="4"/>
      <c r="D338" s="4"/>
      <c r="E338" s="48" t="s">
        <v>411</v>
      </c>
      <c r="F338" s="125">
        <f t="shared" si="9"/>
        <v>46279</v>
      </c>
      <c r="G338" s="126">
        <v>126336.0</v>
      </c>
      <c r="H338" s="127">
        <f t="shared" si="10"/>
        <v>126336</v>
      </c>
      <c r="I338" s="48">
        <v>45.0</v>
      </c>
      <c r="J338" s="115">
        <f t="shared" si="11"/>
        <v>2026</v>
      </c>
      <c r="K338" s="115">
        <f t="shared" si="12"/>
        <v>31</v>
      </c>
      <c r="L338" s="115">
        <f t="shared" si="13"/>
        <v>38</v>
      </c>
      <c r="M338" s="115">
        <f t="shared" si="14"/>
        <v>2026</v>
      </c>
      <c r="N338" s="115">
        <f t="shared" si="15"/>
        <v>40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90">
        <v>46234.0</v>
      </c>
      <c r="C339" s="4"/>
      <c r="D339" s="4"/>
      <c r="E339" s="48" t="s">
        <v>424</v>
      </c>
      <c r="F339" s="125">
        <f t="shared" si="9"/>
        <v>46279</v>
      </c>
      <c r="G339" s="126">
        <v>30870.0</v>
      </c>
      <c r="H339" s="127">
        <f t="shared" si="10"/>
        <v>30870</v>
      </c>
      <c r="I339" s="48">
        <v>45.0</v>
      </c>
      <c r="J339" s="115">
        <f t="shared" si="11"/>
        <v>2026</v>
      </c>
      <c r="K339" s="115">
        <f t="shared" si="12"/>
        <v>31</v>
      </c>
      <c r="L339" s="115">
        <f t="shared" si="13"/>
        <v>38</v>
      </c>
      <c r="M339" s="115">
        <f t="shared" si="14"/>
        <v>2026</v>
      </c>
      <c r="N339" s="115">
        <f t="shared" si="15"/>
        <v>40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90">
        <v>46234.0</v>
      </c>
      <c r="C340" s="4"/>
      <c r="D340" s="4"/>
      <c r="E340" s="48" t="s">
        <v>427</v>
      </c>
      <c r="F340" s="125">
        <f t="shared" si="9"/>
        <v>46264</v>
      </c>
      <c r="G340" s="126">
        <v>89035.2</v>
      </c>
      <c r="H340" s="127">
        <f t="shared" si="10"/>
        <v>89035.2</v>
      </c>
      <c r="I340" s="48">
        <v>30.0</v>
      </c>
      <c r="J340" s="115">
        <f t="shared" si="11"/>
        <v>2026</v>
      </c>
      <c r="K340" s="115">
        <f t="shared" si="12"/>
        <v>31</v>
      </c>
      <c r="L340" s="115">
        <f t="shared" si="13"/>
        <v>36</v>
      </c>
      <c r="M340" s="115">
        <f t="shared" si="14"/>
        <v>2026</v>
      </c>
      <c r="N340" s="115">
        <f t="shared" si="15"/>
        <v>38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90">
        <v>46234.0</v>
      </c>
      <c r="C341" s="4"/>
      <c r="D341" s="4"/>
      <c r="E341" s="48" t="s">
        <v>428</v>
      </c>
      <c r="F341" s="125">
        <f t="shared" si="9"/>
        <v>46279</v>
      </c>
      <c r="G341" s="126">
        <v>9600.0</v>
      </c>
      <c r="H341" s="127">
        <f t="shared" si="10"/>
        <v>9600</v>
      </c>
      <c r="I341" s="48">
        <v>45.0</v>
      </c>
      <c r="J341" s="115">
        <f t="shared" si="11"/>
        <v>2026</v>
      </c>
      <c r="K341" s="115">
        <f t="shared" si="12"/>
        <v>31</v>
      </c>
      <c r="L341" s="115">
        <f t="shared" si="13"/>
        <v>38</v>
      </c>
      <c r="M341" s="115">
        <f t="shared" si="14"/>
        <v>2026</v>
      </c>
      <c r="N341" s="115">
        <f t="shared" si="15"/>
        <v>40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90">
        <v>46234.0</v>
      </c>
      <c r="C342" s="4"/>
      <c r="D342" s="4"/>
      <c r="E342" s="48" t="s">
        <v>469</v>
      </c>
      <c r="F342" s="125">
        <f t="shared" si="9"/>
        <v>46264</v>
      </c>
      <c r="G342" s="126">
        <v>19368.0</v>
      </c>
      <c r="H342" s="127">
        <f t="shared" si="10"/>
        <v>19368</v>
      </c>
      <c r="I342" s="48">
        <v>30.0</v>
      </c>
      <c r="J342" s="115">
        <f t="shared" si="11"/>
        <v>2026</v>
      </c>
      <c r="K342" s="115">
        <f t="shared" si="12"/>
        <v>31</v>
      </c>
      <c r="L342" s="115">
        <f t="shared" si="13"/>
        <v>36</v>
      </c>
      <c r="M342" s="115">
        <f t="shared" si="14"/>
        <v>2026</v>
      </c>
      <c r="N342" s="115">
        <f t="shared" si="15"/>
        <v>38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90">
        <v>46234.0</v>
      </c>
      <c r="C343" s="4"/>
      <c r="D343" s="4"/>
      <c r="E343" s="48" t="s">
        <v>470</v>
      </c>
      <c r="F343" s="125">
        <f t="shared" si="9"/>
        <v>46264</v>
      </c>
      <c r="G343" s="126">
        <v>45375.0</v>
      </c>
      <c r="H343" s="127">
        <f t="shared" si="10"/>
        <v>45375</v>
      </c>
      <c r="I343" s="48">
        <v>30.0</v>
      </c>
      <c r="J343" s="115">
        <f t="shared" si="11"/>
        <v>2026</v>
      </c>
      <c r="K343" s="115">
        <f t="shared" si="12"/>
        <v>31</v>
      </c>
      <c r="L343" s="115">
        <f t="shared" si="13"/>
        <v>36</v>
      </c>
      <c r="M343" s="115">
        <f t="shared" si="14"/>
        <v>2026</v>
      </c>
      <c r="N343" s="115">
        <f t="shared" si="15"/>
        <v>38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90">
        <v>46234.0</v>
      </c>
      <c r="C344" s="4"/>
      <c r="D344" s="4"/>
      <c r="E344" s="48" t="s">
        <v>435</v>
      </c>
      <c r="F344" s="125">
        <f t="shared" si="9"/>
        <v>46279</v>
      </c>
      <c r="G344" s="126">
        <v>58867.5</v>
      </c>
      <c r="H344" s="127">
        <f t="shared" si="10"/>
        <v>58867.5</v>
      </c>
      <c r="I344" s="48">
        <v>45.0</v>
      </c>
      <c r="J344" s="115">
        <f t="shared" si="11"/>
        <v>2026</v>
      </c>
      <c r="K344" s="115">
        <f t="shared" si="12"/>
        <v>31</v>
      </c>
      <c r="L344" s="115">
        <f t="shared" si="13"/>
        <v>38</v>
      </c>
      <c r="M344" s="115">
        <f t="shared" si="14"/>
        <v>2026</v>
      </c>
      <c r="N344" s="115">
        <f t="shared" si="15"/>
        <v>40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90">
        <v>46234.0</v>
      </c>
      <c r="C345" s="4"/>
      <c r="D345" s="4"/>
      <c r="E345" s="48" t="s">
        <v>439</v>
      </c>
      <c r="F345" s="125">
        <f t="shared" si="9"/>
        <v>46264</v>
      </c>
      <c r="G345" s="126">
        <v>68154.4</v>
      </c>
      <c r="H345" s="127">
        <f t="shared" si="10"/>
        <v>68154.4</v>
      </c>
      <c r="I345" s="48">
        <v>30.0</v>
      </c>
      <c r="J345" s="115">
        <f t="shared" si="11"/>
        <v>2026</v>
      </c>
      <c r="K345" s="115">
        <f t="shared" si="12"/>
        <v>31</v>
      </c>
      <c r="L345" s="115">
        <f t="shared" si="13"/>
        <v>36</v>
      </c>
      <c r="M345" s="115">
        <f t="shared" si="14"/>
        <v>2026</v>
      </c>
      <c r="N345" s="115">
        <f t="shared" si="15"/>
        <v>38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90">
        <v>46234.0</v>
      </c>
      <c r="C346" s="4"/>
      <c r="D346" s="4"/>
      <c r="E346" s="48" t="s">
        <v>440</v>
      </c>
      <c r="F346" s="125">
        <f t="shared" si="9"/>
        <v>46279</v>
      </c>
      <c r="G346" s="126">
        <v>29040.0</v>
      </c>
      <c r="H346" s="127">
        <f t="shared" si="10"/>
        <v>29040</v>
      </c>
      <c r="I346" s="48">
        <v>45.0</v>
      </c>
      <c r="J346" s="115">
        <f t="shared" si="11"/>
        <v>2026</v>
      </c>
      <c r="K346" s="115">
        <f t="shared" si="12"/>
        <v>31</v>
      </c>
      <c r="L346" s="115">
        <f t="shared" si="13"/>
        <v>38</v>
      </c>
      <c r="M346" s="115">
        <f t="shared" si="14"/>
        <v>2026</v>
      </c>
      <c r="N346" s="115">
        <f t="shared" si="15"/>
        <v>40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90">
        <v>46234.0</v>
      </c>
      <c r="C347" s="4"/>
      <c r="D347" s="4"/>
      <c r="E347" s="48" t="s">
        <v>441</v>
      </c>
      <c r="F347" s="125">
        <f t="shared" si="9"/>
        <v>46279</v>
      </c>
      <c r="G347" s="126">
        <v>11440.0</v>
      </c>
      <c r="H347" s="127">
        <f t="shared" si="10"/>
        <v>11440</v>
      </c>
      <c r="I347" s="48">
        <v>45.0</v>
      </c>
      <c r="J347" s="115">
        <f t="shared" si="11"/>
        <v>2026</v>
      </c>
      <c r="K347" s="115">
        <f t="shared" si="12"/>
        <v>31</v>
      </c>
      <c r="L347" s="115">
        <f t="shared" si="13"/>
        <v>38</v>
      </c>
      <c r="M347" s="115">
        <f t="shared" si="14"/>
        <v>2026</v>
      </c>
      <c r="N347" s="115">
        <f t="shared" si="15"/>
        <v>40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90">
        <v>46234.0</v>
      </c>
      <c r="C348" s="4"/>
      <c r="D348" s="4"/>
      <c r="E348" s="48" t="s">
        <v>442</v>
      </c>
      <c r="F348" s="125">
        <f t="shared" si="9"/>
        <v>46279</v>
      </c>
      <c r="G348" s="126">
        <v>68040.0</v>
      </c>
      <c r="H348" s="127">
        <f t="shared" si="10"/>
        <v>68040</v>
      </c>
      <c r="I348" s="48">
        <v>45.0</v>
      </c>
      <c r="J348" s="115">
        <f t="shared" si="11"/>
        <v>2026</v>
      </c>
      <c r="K348" s="115">
        <f t="shared" si="12"/>
        <v>31</v>
      </c>
      <c r="L348" s="115">
        <f t="shared" si="13"/>
        <v>38</v>
      </c>
      <c r="M348" s="115">
        <f t="shared" si="14"/>
        <v>2026</v>
      </c>
      <c r="N348" s="115">
        <f t="shared" si="15"/>
        <v>40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90">
        <v>46234.0</v>
      </c>
      <c r="C349" s="4"/>
      <c r="D349" s="4"/>
      <c r="E349" s="48" t="s">
        <v>443</v>
      </c>
      <c r="F349" s="125">
        <f t="shared" si="9"/>
        <v>46279</v>
      </c>
      <c r="G349" s="126">
        <v>56880.0</v>
      </c>
      <c r="H349" s="127">
        <f t="shared" si="10"/>
        <v>56880</v>
      </c>
      <c r="I349" s="48">
        <v>45.0</v>
      </c>
      <c r="J349" s="115">
        <f t="shared" si="11"/>
        <v>2026</v>
      </c>
      <c r="K349" s="115">
        <f t="shared" si="12"/>
        <v>31</v>
      </c>
      <c r="L349" s="115">
        <f t="shared" si="13"/>
        <v>38</v>
      </c>
      <c r="M349" s="115">
        <f t="shared" si="14"/>
        <v>2026</v>
      </c>
      <c r="N349" s="115">
        <f t="shared" si="15"/>
        <v>40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90">
        <v>46234.0</v>
      </c>
      <c r="C350" s="4"/>
      <c r="D350" s="4"/>
      <c r="E350" s="48" t="s">
        <v>444</v>
      </c>
      <c r="F350" s="125">
        <f t="shared" si="9"/>
        <v>46264</v>
      </c>
      <c r="G350" s="126">
        <v>34750.0</v>
      </c>
      <c r="H350" s="127">
        <f t="shared" si="10"/>
        <v>34750</v>
      </c>
      <c r="I350" s="48">
        <v>30.0</v>
      </c>
      <c r="J350" s="115">
        <f t="shared" si="11"/>
        <v>2026</v>
      </c>
      <c r="K350" s="115">
        <f t="shared" si="12"/>
        <v>31</v>
      </c>
      <c r="L350" s="115">
        <f t="shared" si="13"/>
        <v>36</v>
      </c>
      <c r="M350" s="115">
        <f t="shared" si="14"/>
        <v>2026</v>
      </c>
      <c r="N350" s="115">
        <f t="shared" si="15"/>
        <v>38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90">
        <v>46234.0</v>
      </c>
      <c r="C351" s="4"/>
      <c r="D351" s="4"/>
      <c r="E351" s="48" t="s">
        <v>445</v>
      </c>
      <c r="F351" s="125">
        <f t="shared" si="9"/>
        <v>46279</v>
      </c>
      <c r="G351" s="126">
        <v>21600.0</v>
      </c>
      <c r="H351" s="127">
        <f t="shared" si="10"/>
        <v>21600</v>
      </c>
      <c r="I351" s="48">
        <v>45.0</v>
      </c>
      <c r="J351" s="115">
        <f t="shared" si="11"/>
        <v>2026</v>
      </c>
      <c r="K351" s="115">
        <f t="shared" si="12"/>
        <v>31</v>
      </c>
      <c r="L351" s="115">
        <f t="shared" si="13"/>
        <v>38</v>
      </c>
      <c r="M351" s="115">
        <f t="shared" si="14"/>
        <v>2026</v>
      </c>
      <c r="N351" s="115">
        <f t="shared" si="15"/>
        <v>40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90">
        <v>46234.0</v>
      </c>
      <c r="C352" s="4"/>
      <c r="D352" s="4"/>
      <c r="E352" s="48" t="s">
        <v>446</v>
      </c>
      <c r="F352" s="125">
        <f t="shared" si="9"/>
        <v>46279</v>
      </c>
      <c r="G352" s="126">
        <v>110014.0</v>
      </c>
      <c r="H352" s="127">
        <f t="shared" si="10"/>
        <v>110014</v>
      </c>
      <c r="I352" s="48">
        <v>45.0</v>
      </c>
      <c r="J352" s="115">
        <f t="shared" si="11"/>
        <v>2026</v>
      </c>
      <c r="K352" s="115">
        <f t="shared" si="12"/>
        <v>31</v>
      </c>
      <c r="L352" s="115">
        <f t="shared" si="13"/>
        <v>38</v>
      </c>
      <c r="M352" s="115">
        <f t="shared" si="14"/>
        <v>2026</v>
      </c>
      <c r="N352" s="115">
        <f t="shared" si="15"/>
        <v>40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90">
        <v>46234.0</v>
      </c>
      <c r="C353" s="4"/>
      <c r="D353" s="4"/>
      <c r="E353" s="48" t="s">
        <v>448</v>
      </c>
      <c r="F353" s="125">
        <f t="shared" si="9"/>
        <v>46279</v>
      </c>
      <c r="G353" s="126">
        <v>60480.0</v>
      </c>
      <c r="H353" s="127">
        <f t="shared" si="10"/>
        <v>60480</v>
      </c>
      <c r="I353" s="48">
        <v>45.0</v>
      </c>
      <c r="J353" s="115">
        <f t="shared" si="11"/>
        <v>2026</v>
      </c>
      <c r="K353" s="115">
        <f t="shared" si="12"/>
        <v>31</v>
      </c>
      <c r="L353" s="115">
        <f t="shared" si="13"/>
        <v>38</v>
      </c>
      <c r="M353" s="115">
        <f t="shared" si="14"/>
        <v>2026</v>
      </c>
      <c r="N353" s="115">
        <f t="shared" si="15"/>
        <v>40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90">
        <v>46234.0</v>
      </c>
      <c r="C354" s="4"/>
      <c r="D354" s="4"/>
      <c r="E354" s="48" t="s">
        <v>481</v>
      </c>
      <c r="F354" s="125">
        <f t="shared" si="9"/>
        <v>46279</v>
      </c>
      <c r="G354" s="126">
        <v>558500.0</v>
      </c>
      <c r="H354" s="127">
        <f t="shared" si="10"/>
        <v>558500</v>
      </c>
      <c r="I354" s="48">
        <v>45.0</v>
      </c>
      <c r="J354" s="115">
        <f t="shared" si="11"/>
        <v>2026</v>
      </c>
      <c r="K354" s="115">
        <f t="shared" si="12"/>
        <v>31</v>
      </c>
      <c r="L354" s="115">
        <f t="shared" si="13"/>
        <v>38</v>
      </c>
      <c r="M354" s="115">
        <f t="shared" si="14"/>
        <v>2026</v>
      </c>
      <c r="N354" s="115">
        <f t="shared" si="15"/>
        <v>40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90">
        <v>46234.0</v>
      </c>
      <c r="C355" s="4"/>
      <c r="D355" s="4"/>
      <c r="E355" s="48" t="s">
        <v>451</v>
      </c>
      <c r="F355" s="125">
        <f t="shared" si="9"/>
        <v>46279</v>
      </c>
      <c r="G355" s="126">
        <v>120780.0</v>
      </c>
      <c r="H355" s="127">
        <f t="shared" si="10"/>
        <v>120780</v>
      </c>
      <c r="I355" s="48">
        <v>45.0</v>
      </c>
      <c r="J355" s="115">
        <f t="shared" si="11"/>
        <v>2026</v>
      </c>
      <c r="K355" s="115">
        <f t="shared" si="12"/>
        <v>31</v>
      </c>
      <c r="L355" s="115">
        <f t="shared" si="13"/>
        <v>38</v>
      </c>
      <c r="M355" s="115">
        <f t="shared" si="14"/>
        <v>2026</v>
      </c>
      <c r="N355" s="115">
        <f t="shared" si="15"/>
        <v>40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90">
        <v>46234.0</v>
      </c>
      <c r="C356" s="4"/>
      <c r="D356" s="4"/>
      <c r="E356" s="48" t="s">
        <v>476</v>
      </c>
      <c r="F356" s="125">
        <f t="shared" si="9"/>
        <v>46279</v>
      </c>
      <c r="G356" s="126">
        <v>25400.0</v>
      </c>
      <c r="H356" s="127">
        <f t="shared" si="10"/>
        <v>25400</v>
      </c>
      <c r="I356" s="48">
        <v>45.0</v>
      </c>
      <c r="J356" s="115">
        <f t="shared" si="11"/>
        <v>2026</v>
      </c>
      <c r="K356" s="115">
        <f t="shared" si="12"/>
        <v>31</v>
      </c>
      <c r="L356" s="115">
        <f t="shared" si="13"/>
        <v>38</v>
      </c>
      <c r="M356" s="115">
        <f t="shared" si="14"/>
        <v>2026</v>
      </c>
      <c r="N356" s="115">
        <f t="shared" si="15"/>
        <v>40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90">
        <v>46234.0</v>
      </c>
      <c r="C357" s="4"/>
      <c r="D357" s="4"/>
      <c r="E357" s="48" t="s">
        <v>482</v>
      </c>
      <c r="F357" s="125">
        <f t="shared" si="9"/>
        <v>46264</v>
      </c>
      <c r="G357" s="126">
        <v>153600.0</v>
      </c>
      <c r="H357" s="127">
        <f t="shared" si="10"/>
        <v>153600</v>
      </c>
      <c r="I357" s="48">
        <v>30.0</v>
      </c>
      <c r="J357" s="115">
        <f t="shared" si="11"/>
        <v>2026</v>
      </c>
      <c r="K357" s="115">
        <f t="shared" si="12"/>
        <v>31</v>
      </c>
      <c r="L357" s="115">
        <f t="shared" si="13"/>
        <v>36</v>
      </c>
      <c r="M357" s="115">
        <f t="shared" si="14"/>
        <v>2026</v>
      </c>
      <c r="N357" s="115">
        <f t="shared" si="15"/>
        <v>38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90">
        <v>46234.0</v>
      </c>
      <c r="C358" s="4"/>
      <c r="D358" s="4"/>
      <c r="E358" s="48" t="s">
        <v>453</v>
      </c>
      <c r="F358" s="125">
        <f t="shared" si="9"/>
        <v>46264</v>
      </c>
      <c r="G358" s="126">
        <v>69993.0</v>
      </c>
      <c r="H358" s="127">
        <f t="shared" si="10"/>
        <v>69993</v>
      </c>
      <c r="I358" s="48">
        <v>30.0</v>
      </c>
      <c r="J358" s="115">
        <f t="shared" si="11"/>
        <v>2026</v>
      </c>
      <c r="K358" s="115">
        <f t="shared" si="12"/>
        <v>31</v>
      </c>
      <c r="L358" s="115">
        <f t="shared" si="13"/>
        <v>36</v>
      </c>
      <c r="M358" s="115">
        <f t="shared" si="14"/>
        <v>2026</v>
      </c>
      <c r="N358" s="115">
        <f t="shared" si="15"/>
        <v>38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90">
        <v>46234.0</v>
      </c>
      <c r="C359" s="4"/>
      <c r="D359" s="4"/>
      <c r="E359" s="48" t="s">
        <v>477</v>
      </c>
      <c r="F359" s="125">
        <f t="shared" si="9"/>
        <v>46249</v>
      </c>
      <c r="G359" s="126">
        <v>68830.0</v>
      </c>
      <c r="H359" s="127">
        <f t="shared" si="10"/>
        <v>68830</v>
      </c>
      <c r="I359" s="48">
        <v>15.0</v>
      </c>
      <c r="J359" s="115">
        <f t="shared" si="11"/>
        <v>2026</v>
      </c>
      <c r="K359" s="115">
        <f t="shared" si="12"/>
        <v>31</v>
      </c>
      <c r="L359" s="115">
        <f t="shared" si="13"/>
        <v>33</v>
      </c>
      <c r="M359" s="115">
        <f t="shared" si="14"/>
        <v>2026</v>
      </c>
      <c r="N359" s="115">
        <f t="shared" si="15"/>
        <v>35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90">
        <v>46234.0</v>
      </c>
      <c r="C360" s="4"/>
      <c r="D360" s="4"/>
      <c r="E360" s="48" t="s">
        <v>478</v>
      </c>
      <c r="F360" s="125">
        <f t="shared" si="9"/>
        <v>46249</v>
      </c>
      <c r="G360" s="126">
        <v>99840.0</v>
      </c>
      <c r="H360" s="127">
        <f t="shared" si="10"/>
        <v>99840</v>
      </c>
      <c r="I360" s="48">
        <v>15.0</v>
      </c>
      <c r="J360" s="115">
        <f t="shared" si="11"/>
        <v>2026</v>
      </c>
      <c r="K360" s="115">
        <f t="shared" si="12"/>
        <v>31</v>
      </c>
      <c r="L360" s="115">
        <f t="shared" si="13"/>
        <v>33</v>
      </c>
      <c r="M360" s="115">
        <f t="shared" si="14"/>
        <v>2026</v>
      </c>
      <c r="N360" s="115">
        <f t="shared" si="15"/>
        <v>35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90">
        <v>46234.0</v>
      </c>
      <c r="C361" s="4"/>
      <c r="D361" s="4"/>
      <c r="E361" s="48" t="s">
        <v>456</v>
      </c>
      <c r="F361" s="125">
        <f t="shared" si="9"/>
        <v>46279</v>
      </c>
      <c r="G361" s="126">
        <v>69300.0</v>
      </c>
      <c r="H361" s="127">
        <f t="shared" si="10"/>
        <v>69300</v>
      </c>
      <c r="I361" s="48">
        <v>45.0</v>
      </c>
      <c r="J361" s="115">
        <f t="shared" si="11"/>
        <v>2026</v>
      </c>
      <c r="K361" s="115">
        <f t="shared" si="12"/>
        <v>31</v>
      </c>
      <c r="L361" s="115">
        <f t="shared" si="13"/>
        <v>38</v>
      </c>
      <c r="M361" s="115">
        <f t="shared" si="14"/>
        <v>2026</v>
      </c>
      <c r="N361" s="115">
        <f t="shared" si="15"/>
        <v>40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90">
        <v>46234.0</v>
      </c>
      <c r="C362" s="4"/>
      <c r="D362" s="4"/>
      <c r="E362" s="48" t="s">
        <v>458</v>
      </c>
      <c r="F362" s="125">
        <f t="shared" si="9"/>
        <v>46264</v>
      </c>
      <c r="G362" s="126">
        <v>10800.0</v>
      </c>
      <c r="H362" s="127">
        <f t="shared" si="10"/>
        <v>10800</v>
      </c>
      <c r="I362" s="48">
        <v>30.0</v>
      </c>
      <c r="J362" s="115">
        <f t="shared" si="11"/>
        <v>2026</v>
      </c>
      <c r="K362" s="115">
        <f t="shared" si="12"/>
        <v>31</v>
      </c>
      <c r="L362" s="115">
        <f t="shared" si="13"/>
        <v>36</v>
      </c>
      <c r="M362" s="115">
        <f t="shared" si="14"/>
        <v>2026</v>
      </c>
      <c r="N362" s="115">
        <f t="shared" si="15"/>
        <v>38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90">
        <v>46234.0</v>
      </c>
      <c r="C363" s="4"/>
      <c r="D363" s="4"/>
      <c r="E363" s="48" t="s">
        <v>479</v>
      </c>
      <c r="F363" s="125">
        <f t="shared" si="9"/>
        <v>46279</v>
      </c>
      <c r="G363" s="126">
        <v>56400.0</v>
      </c>
      <c r="H363" s="127">
        <f t="shared" si="10"/>
        <v>56400</v>
      </c>
      <c r="I363" s="48">
        <v>45.0</v>
      </c>
      <c r="J363" s="115">
        <f t="shared" si="11"/>
        <v>2026</v>
      </c>
      <c r="K363" s="115">
        <f t="shared" si="12"/>
        <v>31</v>
      </c>
      <c r="L363" s="115">
        <f t="shared" si="13"/>
        <v>38</v>
      </c>
      <c r="M363" s="115">
        <f t="shared" si="14"/>
        <v>2026</v>
      </c>
      <c r="N363" s="115">
        <f t="shared" si="15"/>
        <v>40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90">
        <v>46265.0</v>
      </c>
      <c r="C364" s="4"/>
      <c r="D364" s="4"/>
      <c r="E364" s="124" t="s">
        <v>386</v>
      </c>
      <c r="F364" s="125">
        <f t="shared" si="9"/>
        <v>46325</v>
      </c>
      <c r="G364" s="126">
        <v>65000.0</v>
      </c>
      <c r="H364" s="127">
        <f t="shared" si="10"/>
        <v>65000</v>
      </c>
      <c r="I364" s="48">
        <v>60.0</v>
      </c>
      <c r="J364" s="115">
        <f t="shared" si="11"/>
        <v>2026</v>
      </c>
      <c r="K364" s="115">
        <f t="shared" si="12"/>
        <v>36</v>
      </c>
      <c r="L364" s="115">
        <f t="shared" si="13"/>
        <v>44</v>
      </c>
      <c r="M364" s="115">
        <f t="shared" si="14"/>
        <v>2026</v>
      </c>
      <c r="N364" s="115">
        <f t="shared" si="15"/>
        <v>46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90">
        <v>46265.0</v>
      </c>
      <c r="C365" s="4"/>
      <c r="D365" s="4"/>
      <c r="E365" s="124" t="s">
        <v>459</v>
      </c>
      <c r="F365" s="125">
        <f t="shared" si="9"/>
        <v>46295</v>
      </c>
      <c r="G365" s="126">
        <v>51932.0</v>
      </c>
      <c r="H365" s="127">
        <f t="shared" si="10"/>
        <v>51932</v>
      </c>
      <c r="I365" s="48">
        <v>30.0</v>
      </c>
      <c r="J365" s="115">
        <f t="shared" si="11"/>
        <v>2026</v>
      </c>
      <c r="K365" s="115">
        <f t="shared" si="12"/>
        <v>36</v>
      </c>
      <c r="L365" s="115">
        <f t="shared" si="13"/>
        <v>40</v>
      </c>
      <c r="M365" s="115">
        <f t="shared" si="14"/>
        <v>2026</v>
      </c>
      <c r="N365" s="115">
        <f t="shared" si="15"/>
        <v>42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90">
        <v>46265.0</v>
      </c>
      <c r="C366" s="4"/>
      <c r="D366" s="4"/>
      <c r="E366" s="124" t="s">
        <v>401</v>
      </c>
      <c r="F366" s="125">
        <f t="shared" si="9"/>
        <v>46295</v>
      </c>
      <c r="G366" s="126">
        <v>8800.0</v>
      </c>
      <c r="H366" s="127">
        <f t="shared" si="10"/>
        <v>8800</v>
      </c>
      <c r="I366" s="48">
        <v>30.0</v>
      </c>
      <c r="J366" s="115">
        <f t="shared" si="11"/>
        <v>2026</v>
      </c>
      <c r="K366" s="115">
        <f t="shared" si="12"/>
        <v>36</v>
      </c>
      <c r="L366" s="115">
        <f t="shared" si="13"/>
        <v>40</v>
      </c>
      <c r="M366" s="115">
        <f t="shared" si="14"/>
        <v>2026</v>
      </c>
      <c r="N366" s="115">
        <f t="shared" si="15"/>
        <v>42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90">
        <v>46265.0</v>
      </c>
      <c r="C367" s="4"/>
      <c r="D367" s="4"/>
      <c r="E367" s="124" t="s">
        <v>427</v>
      </c>
      <c r="F367" s="125">
        <f t="shared" si="9"/>
        <v>46295</v>
      </c>
      <c r="G367" s="126">
        <v>178070.4</v>
      </c>
      <c r="H367" s="127">
        <f t="shared" si="10"/>
        <v>178070.4</v>
      </c>
      <c r="I367" s="48">
        <v>30.0</v>
      </c>
      <c r="J367" s="115">
        <f t="shared" si="11"/>
        <v>2026</v>
      </c>
      <c r="K367" s="115">
        <f t="shared" si="12"/>
        <v>36</v>
      </c>
      <c r="L367" s="115">
        <f t="shared" si="13"/>
        <v>40</v>
      </c>
      <c r="M367" s="115">
        <f t="shared" si="14"/>
        <v>2026</v>
      </c>
      <c r="N367" s="115">
        <f t="shared" si="15"/>
        <v>42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90">
        <v>46265.0</v>
      </c>
      <c r="C368" s="4"/>
      <c r="D368" s="4"/>
      <c r="E368" s="124" t="s">
        <v>428</v>
      </c>
      <c r="F368" s="125">
        <f t="shared" si="9"/>
        <v>46310</v>
      </c>
      <c r="G368" s="126">
        <v>9600.0</v>
      </c>
      <c r="H368" s="127">
        <f t="shared" si="10"/>
        <v>9600</v>
      </c>
      <c r="I368" s="48">
        <v>45.0</v>
      </c>
      <c r="J368" s="115">
        <f t="shared" si="11"/>
        <v>2026</v>
      </c>
      <c r="K368" s="115">
        <f t="shared" si="12"/>
        <v>36</v>
      </c>
      <c r="L368" s="115">
        <f t="shared" si="13"/>
        <v>42</v>
      </c>
      <c r="M368" s="115">
        <f t="shared" si="14"/>
        <v>2026</v>
      </c>
      <c r="N368" s="115">
        <f t="shared" si="15"/>
        <v>44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90">
        <v>46265.0</v>
      </c>
      <c r="C369" s="4"/>
      <c r="D369" s="4"/>
      <c r="E369" s="124" t="s">
        <v>441</v>
      </c>
      <c r="F369" s="125">
        <f t="shared" si="9"/>
        <v>46310</v>
      </c>
      <c r="G369" s="126">
        <v>11440.0</v>
      </c>
      <c r="H369" s="127">
        <f t="shared" si="10"/>
        <v>11440</v>
      </c>
      <c r="I369" s="48">
        <v>45.0</v>
      </c>
      <c r="J369" s="115">
        <f t="shared" si="11"/>
        <v>2026</v>
      </c>
      <c r="K369" s="115">
        <f t="shared" si="12"/>
        <v>36</v>
      </c>
      <c r="L369" s="115">
        <f t="shared" si="13"/>
        <v>42</v>
      </c>
      <c r="M369" s="115">
        <f t="shared" si="14"/>
        <v>2026</v>
      </c>
      <c r="N369" s="115">
        <f t="shared" si="15"/>
        <v>44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90">
        <v>46265.0</v>
      </c>
      <c r="C370" s="4"/>
      <c r="D370" s="4"/>
      <c r="E370" s="124" t="s">
        <v>443</v>
      </c>
      <c r="F370" s="125">
        <f t="shared" si="9"/>
        <v>46310</v>
      </c>
      <c r="G370" s="126">
        <v>41280.0</v>
      </c>
      <c r="H370" s="127">
        <f t="shared" si="10"/>
        <v>41280</v>
      </c>
      <c r="I370" s="48">
        <v>45.0</v>
      </c>
      <c r="J370" s="115">
        <f t="shared" si="11"/>
        <v>2026</v>
      </c>
      <c r="K370" s="115">
        <f t="shared" si="12"/>
        <v>36</v>
      </c>
      <c r="L370" s="115">
        <f t="shared" si="13"/>
        <v>42</v>
      </c>
      <c r="M370" s="115">
        <f t="shared" si="14"/>
        <v>2026</v>
      </c>
      <c r="N370" s="115">
        <f t="shared" si="15"/>
        <v>44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90">
        <v>46265.0</v>
      </c>
      <c r="C371" s="4"/>
      <c r="D371" s="4"/>
      <c r="E371" s="124" t="s">
        <v>444</v>
      </c>
      <c r="F371" s="125">
        <f t="shared" si="9"/>
        <v>46295</v>
      </c>
      <c r="G371" s="126">
        <v>34750.0</v>
      </c>
      <c r="H371" s="127">
        <f t="shared" si="10"/>
        <v>34750</v>
      </c>
      <c r="I371" s="48">
        <v>30.0</v>
      </c>
      <c r="J371" s="115">
        <f t="shared" si="11"/>
        <v>2026</v>
      </c>
      <c r="K371" s="115">
        <f t="shared" si="12"/>
        <v>36</v>
      </c>
      <c r="L371" s="115">
        <f t="shared" si="13"/>
        <v>40</v>
      </c>
      <c r="M371" s="115">
        <f t="shared" si="14"/>
        <v>2026</v>
      </c>
      <c r="N371" s="115">
        <f t="shared" si="15"/>
        <v>42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90">
        <v>46265.0</v>
      </c>
      <c r="C372" s="4"/>
      <c r="D372" s="4"/>
      <c r="E372" s="124" t="s">
        <v>445</v>
      </c>
      <c r="F372" s="125">
        <f t="shared" si="9"/>
        <v>46310</v>
      </c>
      <c r="G372" s="126">
        <v>21600.0</v>
      </c>
      <c r="H372" s="127">
        <f t="shared" si="10"/>
        <v>21600</v>
      </c>
      <c r="I372" s="48">
        <v>45.0</v>
      </c>
      <c r="J372" s="115">
        <f t="shared" si="11"/>
        <v>2026</v>
      </c>
      <c r="K372" s="115">
        <f t="shared" si="12"/>
        <v>36</v>
      </c>
      <c r="L372" s="115">
        <f t="shared" si="13"/>
        <v>42</v>
      </c>
      <c r="M372" s="115">
        <f t="shared" si="14"/>
        <v>2026</v>
      </c>
      <c r="N372" s="115">
        <f t="shared" si="15"/>
        <v>44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90">
        <v>46265.0</v>
      </c>
      <c r="C373" s="4"/>
      <c r="D373" s="4"/>
      <c r="E373" s="124" t="s">
        <v>448</v>
      </c>
      <c r="F373" s="125">
        <f t="shared" si="9"/>
        <v>46310</v>
      </c>
      <c r="G373" s="126">
        <v>60480.0</v>
      </c>
      <c r="H373" s="127">
        <f t="shared" si="10"/>
        <v>60480</v>
      </c>
      <c r="I373" s="48">
        <v>45.0</v>
      </c>
      <c r="J373" s="115">
        <f t="shared" si="11"/>
        <v>2026</v>
      </c>
      <c r="K373" s="115">
        <f t="shared" si="12"/>
        <v>36</v>
      </c>
      <c r="L373" s="115">
        <f t="shared" si="13"/>
        <v>42</v>
      </c>
      <c r="M373" s="115">
        <f t="shared" si="14"/>
        <v>2026</v>
      </c>
      <c r="N373" s="115">
        <f t="shared" si="15"/>
        <v>44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90">
        <v>46265.0</v>
      </c>
      <c r="C374" s="4"/>
      <c r="D374" s="4"/>
      <c r="E374" s="124" t="s">
        <v>451</v>
      </c>
      <c r="F374" s="125">
        <f t="shared" si="9"/>
        <v>46310</v>
      </c>
      <c r="G374" s="126">
        <v>114193.0</v>
      </c>
      <c r="H374" s="127">
        <f t="shared" si="10"/>
        <v>114193</v>
      </c>
      <c r="I374" s="48">
        <v>45.0</v>
      </c>
      <c r="J374" s="115">
        <f t="shared" si="11"/>
        <v>2026</v>
      </c>
      <c r="K374" s="115">
        <f t="shared" si="12"/>
        <v>36</v>
      </c>
      <c r="L374" s="115">
        <f t="shared" si="13"/>
        <v>42</v>
      </c>
      <c r="M374" s="115">
        <f t="shared" si="14"/>
        <v>2026</v>
      </c>
      <c r="N374" s="115">
        <f t="shared" si="15"/>
        <v>44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90">
        <v>46265.0</v>
      </c>
      <c r="C375" s="4"/>
      <c r="D375" s="4"/>
      <c r="E375" s="124" t="s">
        <v>482</v>
      </c>
      <c r="F375" s="125">
        <f t="shared" si="9"/>
        <v>46295</v>
      </c>
      <c r="G375" s="126">
        <v>122880.0</v>
      </c>
      <c r="H375" s="127">
        <f t="shared" si="10"/>
        <v>122880</v>
      </c>
      <c r="I375" s="48">
        <v>30.0</v>
      </c>
      <c r="J375" s="115">
        <f t="shared" si="11"/>
        <v>2026</v>
      </c>
      <c r="K375" s="115">
        <f t="shared" si="12"/>
        <v>36</v>
      </c>
      <c r="L375" s="115">
        <f t="shared" si="13"/>
        <v>40</v>
      </c>
      <c r="M375" s="115">
        <f t="shared" si="14"/>
        <v>2026</v>
      </c>
      <c r="N375" s="115">
        <f t="shared" si="15"/>
        <v>42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90">
        <v>46265.0</v>
      </c>
      <c r="C376" s="4"/>
      <c r="D376" s="4"/>
      <c r="E376" s="124" t="s">
        <v>456</v>
      </c>
      <c r="F376" s="125">
        <f t="shared" si="9"/>
        <v>46310</v>
      </c>
      <c r="G376" s="126">
        <v>69300.0</v>
      </c>
      <c r="H376" s="127">
        <f t="shared" si="10"/>
        <v>69300</v>
      </c>
      <c r="I376" s="48">
        <v>45.0</v>
      </c>
      <c r="J376" s="115">
        <f t="shared" si="11"/>
        <v>2026</v>
      </c>
      <c r="K376" s="115">
        <f t="shared" si="12"/>
        <v>36</v>
      </c>
      <c r="L376" s="115">
        <f t="shared" si="13"/>
        <v>42</v>
      </c>
      <c r="M376" s="115">
        <f t="shared" si="14"/>
        <v>2026</v>
      </c>
      <c r="N376" s="115">
        <f t="shared" si="15"/>
        <v>44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90">
        <v>46265.0</v>
      </c>
      <c r="C377" s="4"/>
      <c r="D377" s="4"/>
      <c r="E377" s="124" t="s">
        <v>458</v>
      </c>
      <c r="F377" s="125">
        <f t="shared" si="9"/>
        <v>46295</v>
      </c>
      <c r="G377" s="126">
        <v>25800.0</v>
      </c>
      <c r="H377" s="127">
        <f t="shared" si="10"/>
        <v>25800</v>
      </c>
      <c r="I377" s="48">
        <v>30.0</v>
      </c>
      <c r="J377" s="115">
        <f t="shared" si="11"/>
        <v>2026</v>
      </c>
      <c r="K377" s="115">
        <f t="shared" si="12"/>
        <v>36</v>
      </c>
      <c r="L377" s="115">
        <f t="shared" si="13"/>
        <v>40</v>
      </c>
      <c r="M377" s="115">
        <f t="shared" si="14"/>
        <v>2026</v>
      </c>
      <c r="N377" s="115">
        <f t="shared" si="15"/>
        <v>42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90">
        <v>46265.0</v>
      </c>
      <c r="C378" s="4"/>
      <c r="D378" s="4"/>
      <c r="E378" s="124" t="s">
        <v>479</v>
      </c>
      <c r="F378" s="125">
        <f t="shared" si="9"/>
        <v>46310</v>
      </c>
      <c r="G378" s="126">
        <v>56400.0</v>
      </c>
      <c r="H378" s="127">
        <f t="shared" si="10"/>
        <v>56400</v>
      </c>
      <c r="I378" s="48">
        <v>45.0</v>
      </c>
      <c r="J378" s="115">
        <f t="shared" si="11"/>
        <v>2026</v>
      </c>
      <c r="K378" s="115">
        <f t="shared" si="12"/>
        <v>36</v>
      </c>
      <c r="L378" s="115">
        <f t="shared" si="13"/>
        <v>42</v>
      </c>
      <c r="M378" s="115">
        <f t="shared" si="14"/>
        <v>2026</v>
      </c>
      <c r="N378" s="115">
        <f t="shared" si="15"/>
        <v>44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90">
        <v>46295.0</v>
      </c>
      <c r="C379" s="4"/>
      <c r="D379" s="4"/>
      <c r="E379" s="124" t="s">
        <v>401</v>
      </c>
      <c r="F379" s="125">
        <f t="shared" si="9"/>
        <v>46325</v>
      </c>
      <c r="G379" s="126">
        <v>8400.0</v>
      </c>
      <c r="H379" s="127">
        <f t="shared" si="10"/>
        <v>8400</v>
      </c>
      <c r="I379" s="48">
        <v>30.0</v>
      </c>
      <c r="J379" s="115">
        <f t="shared" si="11"/>
        <v>2026</v>
      </c>
      <c r="K379" s="115">
        <f t="shared" si="12"/>
        <v>40</v>
      </c>
      <c r="L379" s="115">
        <f t="shared" si="13"/>
        <v>44</v>
      </c>
      <c r="M379" s="115">
        <f t="shared" si="14"/>
        <v>2026</v>
      </c>
      <c r="N379" s="115">
        <f t="shared" si="15"/>
        <v>46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90">
        <v>46295.0</v>
      </c>
      <c r="C380" s="4"/>
      <c r="D380" s="4"/>
      <c r="E380" s="124" t="s">
        <v>427</v>
      </c>
      <c r="F380" s="125">
        <f t="shared" si="9"/>
        <v>46325</v>
      </c>
      <c r="G380" s="126">
        <v>178070.4</v>
      </c>
      <c r="H380" s="127">
        <f t="shared" si="10"/>
        <v>178070.4</v>
      </c>
      <c r="I380" s="48">
        <v>30.0</v>
      </c>
      <c r="J380" s="115">
        <f t="shared" si="11"/>
        <v>2026</v>
      </c>
      <c r="K380" s="115">
        <f t="shared" si="12"/>
        <v>40</v>
      </c>
      <c r="L380" s="115">
        <f t="shared" si="13"/>
        <v>44</v>
      </c>
      <c r="M380" s="115">
        <f t="shared" si="14"/>
        <v>2026</v>
      </c>
      <c r="N380" s="115">
        <f t="shared" si="15"/>
        <v>46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90">
        <v>46295.0</v>
      </c>
      <c r="C381" s="4"/>
      <c r="D381" s="4"/>
      <c r="E381" s="124" t="s">
        <v>428</v>
      </c>
      <c r="F381" s="125">
        <f t="shared" si="9"/>
        <v>46340</v>
      </c>
      <c r="G381" s="126">
        <v>9600.0</v>
      </c>
      <c r="H381" s="127">
        <f t="shared" si="10"/>
        <v>9600</v>
      </c>
      <c r="I381" s="48">
        <v>45.0</v>
      </c>
      <c r="J381" s="115">
        <f t="shared" si="11"/>
        <v>2026</v>
      </c>
      <c r="K381" s="115">
        <f t="shared" si="12"/>
        <v>40</v>
      </c>
      <c r="L381" s="115">
        <f t="shared" si="13"/>
        <v>46</v>
      </c>
      <c r="M381" s="115">
        <f t="shared" si="14"/>
        <v>2026</v>
      </c>
      <c r="N381" s="115">
        <f t="shared" si="15"/>
        <v>48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90">
        <v>46295.0</v>
      </c>
      <c r="C382" s="4"/>
      <c r="D382" s="4"/>
      <c r="E382" s="124" t="s">
        <v>435</v>
      </c>
      <c r="F382" s="125">
        <f t="shared" si="9"/>
        <v>46340</v>
      </c>
      <c r="G382" s="126">
        <v>58867.5</v>
      </c>
      <c r="H382" s="127">
        <f t="shared" si="10"/>
        <v>58867.5</v>
      </c>
      <c r="I382" s="48">
        <v>45.0</v>
      </c>
      <c r="J382" s="115">
        <f t="shared" si="11"/>
        <v>2026</v>
      </c>
      <c r="K382" s="115">
        <f t="shared" si="12"/>
        <v>40</v>
      </c>
      <c r="L382" s="115">
        <f t="shared" si="13"/>
        <v>46</v>
      </c>
      <c r="M382" s="115">
        <f t="shared" si="14"/>
        <v>2026</v>
      </c>
      <c r="N382" s="115">
        <f t="shared" si="15"/>
        <v>48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90">
        <v>46295.0</v>
      </c>
      <c r="C383" s="4"/>
      <c r="D383" s="4"/>
      <c r="E383" s="124" t="s">
        <v>441</v>
      </c>
      <c r="F383" s="125">
        <f t="shared" si="9"/>
        <v>46340</v>
      </c>
      <c r="G383" s="126">
        <v>11660.0</v>
      </c>
      <c r="H383" s="127">
        <f t="shared" si="10"/>
        <v>11660</v>
      </c>
      <c r="I383" s="48">
        <v>45.0</v>
      </c>
      <c r="J383" s="115">
        <f t="shared" si="11"/>
        <v>2026</v>
      </c>
      <c r="K383" s="115">
        <f t="shared" si="12"/>
        <v>40</v>
      </c>
      <c r="L383" s="115">
        <f t="shared" si="13"/>
        <v>46</v>
      </c>
      <c r="M383" s="115">
        <f t="shared" si="14"/>
        <v>2026</v>
      </c>
      <c r="N383" s="115">
        <f t="shared" si="15"/>
        <v>48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90">
        <v>46295.0</v>
      </c>
      <c r="C384" s="4"/>
      <c r="D384" s="4"/>
      <c r="E384" s="124" t="s">
        <v>444</v>
      </c>
      <c r="F384" s="125">
        <f t="shared" si="9"/>
        <v>46325</v>
      </c>
      <c r="G384" s="126">
        <v>34750.0</v>
      </c>
      <c r="H384" s="127">
        <f t="shared" si="10"/>
        <v>34750</v>
      </c>
      <c r="I384" s="48">
        <v>30.0</v>
      </c>
      <c r="J384" s="115">
        <f t="shared" si="11"/>
        <v>2026</v>
      </c>
      <c r="K384" s="115">
        <f t="shared" si="12"/>
        <v>40</v>
      </c>
      <c r="L384" s="115">
        <f t="shared" si="13"/>
        <v>44</v>
      </c>
      <c r="M384" s="115">
        <f t="shared" si="14"/>
        <v>2026</v>
      </c>
      <c r="N384" s="115">
        <f t="shared" si="15"/>
        <v>46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90">
        <v>46295.0</v>
      </c>
      <c r="C385" s="4"/>
      <c r="D385" s="4"/>
      <c r="E385" s="124" t="s">
        <v>445</v>
      </c>
      <c r="F385" s="125">
        <f t="shared" si="9"/>
        <v>46340</v>
      </c>
      <c r="G385" s="126">
        <v>21600.0</v>
      </c>
      <c r="H385" s="127">
        <f t="shared" si="10"/>
        <v>21600</v>
      </c>
      <c r="I385" s="48">
        <v>45.0</v>
      </c>
      <c r="J385" s="115">
        <f t="shared" si="11"/>
        <v>2026</v>
      </c>
      <c r="K385" s="115">
        <f t="shared" si="12"/>
        <v>40</v>
      </c>
      <c r="L385" s="115">
        <f t="shared" si="13"/>
        <v>46</v>
      </c>
      <c r="M385" s="115">
        <f t="shared" si="14"/>
        <v>2026</v>
      </c>
      <c r="N385" s="115">
        <f t="shared" si="15"/>
        <v>48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90">
        <v>46295.0</v>
      </c>
      <c r="C386" s="4"/>
      <c r="D386" s="4"/>
      <c r="E386" s="124" t="s">
        <v>475</v>
      </c>
      <c r="F386" s="125">
        <f t="shared" si="9"/>
        <v>46325</v>
      </c>
      <c r="G386" s="126">
        <v>318450.0</v>
      </c>
      <c r="H386" s="127">
        <f t="shared" si="10"/>
        <v>318450</v>
      </c>
      <c r="I386" s="48">
        <v>30.0</v>
      </c>
      <c r="J386" s="115">
        <f t="shared" si="11"/>
        <v>2026</v>
      </c>
      <c r="K386" s="115">
        <f t="shared" si="12"/>
        <v>40</v>
      </c>
      <c r="L386" s="115">
        <f t="shared" si="13"/>
        <v>44</v>
      </c>
      <c r="M386" s="115">
        <f t="shared" si="14"/>
        <v>2026</v>
      </c>
      <c r="N386" s="115">
        <f t="shared" si="15"/>
        <v>46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90">
        <v>46295.0</v>
      </c>
      <c r="C387" s="4"/>
      <c r="D387" s="4"/>
      <c r="E387" s="124" t="s">
        <v>482</v>
      </c>
      <c r="F387" s="125">
        <f t="shared" si="9"/>
        <v>46325</v>
      </c>
      <c r="G387" s="126">
        <v>512600.0</v>
      </c>
      <c r="H387" s="127">
        <f t="shared" si="10"/>
        <v>512600</v>
      </c>
      <c r="I387" s="48">
        <v>30.0</v>
      </c>
      <c r="J387" s="115">
        <f t="shared" si="11"/>
        <v>2026</v>
      </c>
      <c r="K387" s="115">
        <f t="shared" si="12"/>
        <v>40</v>
      </c>
      <c r="L387" s="115">
        <f t="shared" si="13"/>
        <v>44</v>
      </c>
      <c r="M387" s="115">
        <f t="shared" si="14"/>
        <v>2026</v>
      </c>
      <c r="N387" s="115">
        <f t="shared" si="15"/>
        <v>46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90">
        <v>46295.0</v>
      </c>
      <c r="C388" s="4"/>
      <c r="D388" s="4"/>
      <c r="E388" s="124" t="s">
        <v>458</v>
      </c>
      <c r="F388" s="125">
        <f t="shared" si="9"/>
        <v>46325</v>
      </c>
      <c r="G388" s="126">
        <v>10800.0</v>
      </c>
      <c r="H388" s="127">
        <f t="shared" si="10"/>
        <v>10800</v>
      </c>
      <c r="I388" s="48">
        <v>30.0</v>
      </c>
      <c r="J388" s="115">
        <f t="shared" si="11"/>
        <v>2026</v>
      </c>
      <c r="K388" s="115">
        <f t="shared" si="12"/>
        <v>40</v>
      </c>
      <c r="L388" s="115">
        <f t="shared" si="13"/>
        <v>44</v>
      </c>
      <c r="M388" s="115">
        <f t="shared" si="14"/>
        <v>2026</v>
      </c>
      <c r="N388" s="115">
        <f t="shared" si="15"/>
        <v>46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90">
        <v>46326.0</v>
      </c>
      <c r="C389" s="4"/>
      <c r="D389" s="4"/>
      <c r="E389" s="124" t="s">
        <v>401</v>
      </c>
      <c r="F389" s="125">
        <f t="shared" si="9"/>
        <v>46356</v>
      </c>
      <c r="G389" s="126">
        <v>8400.0</v>
      </c>
      <c r="H389" s="127">
        <f t="shared" si="10"/>
        <v>8400</v>
      </c>
      <c r="I389" s="48">
        <v>30.0</v>
      </c>
      <c r="J389" s="115">
        <f t="shared" si="11"/>
        <v>2026</v>
      </c>
      <c r="K389" s="115">
        <f t="shared" si="12"/>
        <v>44</v>
      </c>
      <c r="L389" s="115">
        <f t="shared" si="13"/>
        <v>49</v>
      </c>
      <c r="M389" s="115">
        <f t="shared" si="14"/>
        <v>2026</v>
      </c>
      <c r="N389" s="115">
        <f t="shared" si="15"/>
        <v>51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90">
        <v>46326.0</v>
      </c>
      <c r="C390" s="4"/>
      <c r="D390" s="4"/>
      <c r="E390" s="124" t="s">
        <v>427</v>
      </c>
      <c r="F390" s="125">
        <f t="shared" si="9"/>
        <v>46356</v>
      </c>
      <c r="G390" s="126">
        <v>178070.4</v>
      </c>
      <c r="H390" s="127">
        <f t="shared" si="10"/>
        <v>178070.4</v>
      </c>
      <c r="I390" s="48">
        <v>30.0</v>
      </c>
      <c r="J390" s="115">
        <f t="shared" si="11"/>
        <v>2026</v>
      </c>
      <c r="K390" s="115">
        <f t="shared" si="12"/>
        <v>44</v>
      </c>
      <c r="L390" s="115">
        <f t="shared" si="13"/>
        <v>49</v>
      </c>
      <c r="M390" s="115">
        <f t="shared" si="14"/>
        <v>2026</v>
      </c>
      <c r="N390" s="115">
        <f t="shared" si="15"/>
        <v>51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90">
        <v>46326.0</v>
      </c>
      <c r="C391" s="4"/>
      <c r="D391" s="4"/>
      <c r="E391" s="124" t="s">
        <v>428</v>
      </c>
      <c r="F391" s="125">
        <f t="shared" si="9"/>
        <v>46371</v>
      </c>
      <c r="G391" s="126">
        <v>9600.0</v>
      </c>
      <c r="H391" s="127">
        <f t="shared" si="10"/>
        <v>9600</v>
      </c>
      <c r="I391" s="48">
        <v>45.0</v>
      </c>
      <c r="J391" s="115">
        <f t="shared" si="11"/>
        <v>2026</v>
      </c>
      <c r="K391" s="115">
        <f t="shared" si="12"/>
        <v>44</v>
      </c>
      <c r="L391" s="115">
        <f t="shared" si="13"/>
        <v>51</v>
      </c>
      <c r="M391" s="115">
        <f t="shared" si="14"/>
        <v>2027</v>
      </c>
      <c r="N391" s="115">
        <f t="shared" si="15"/>
        <v>1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90">
        <v>46326.0</v>
      </c>
      <c r="C392" s="4"/>
      <c r="D392" s="4"/>
      <c r="E392" s="124" t="s">
        <v>444</v>
      </c>
      <c r="F392" s="125">
        <f t="shared" si="9"/>
        <v>46356</v>
      </c>
      <c r="G392" s="126">
        <v>34750.0</v>
      </c>
      <c r="H392" s="127">
        <f t="shared" si="10"/>
        <v>34750</v>
      </c>
      <c r="I392" s="48">
        <v>30.0</v>
      </c>
      <c r="J392" s="115">
        <f t="shared" si="11"/>
        <v>2026</v>
      </c>
      <c r="K392" s="115">
        <f t="shared" si="12"/>
        <v>44</v>
      </c>
      <c r="L392" s="115">
        <f t="shared" si="13"/>
        <v>49</v>
      </c>
      <c r="M392" s="115">
        <f t="shared" si="14"/>
        <v>2026</v>
      </c>
      <c r="N392" s="115">
        <f t="shared" si="15"/>
        <v>51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90">
        <v>46326.0</v>
      </c>
      <c r="C393" s="4"/>
      <c r="D393" s="4"/>
      <c r="E393" s="124" t="s">
        <v>445</v>
      </c>
      <c r="F393" s="125">
        <f t="shared" si="9"/>
        <v>46371</v>
      </c>
      <c r="G393" s="126">
        <v>21600.0</v>
      </c>
      <c r="H393" s="127">
        <f t="shared" si="10"/>
        <v>21600</v>
      </c>
      <c r="I393" s="48">
        <v>45.0</v>
      </c>
      <c r="J393" s="115">
        <f t="shared" si="11"/>
        <v>2026</v>
      </c>
      <c r="K393" s="115">
        <f t="shared" si="12"/>
        <v>44</v>
      </c>
      <c r="L393" s="115">
        <f t="shared" si="13"/>
        <v>51</v>
      </c>
      <c r="M393" s="115">
        <f t="shared" si="14"/>
        <v>2027</v>
      </c>
      <c r="N393" s="115">
        <f t="shared" si="15"/>
        <v>1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90">
        <v>46326.0</v>
      </c>
      <c r="C394" s="4"/>
      <c r="D394" s="4"/>
      <c r="E394" s="124" t="s">
        <v>458</v>
      </c>
      <c r="F394" s="125">
        <f t="shared" si="9"/>
        <v>46356</v>
      </c>
      <c r="G394" s="126">
        <v>10800.0</v>
      </c>
      <c r="H394" s="127">
        <f t="shared" si="10"/>
        <v>10800</v>
      </c>
      <c r="I394" s="48">
        <v>30.0</v>
      </c>
      <c r="J394" s="115">
        <f t="shared" si="11"/>
        <v>2026</v>
      </c>
      <c r="K394" s="115">
        <f t="shared" si="12"/>
        <v>44</v>
      </c>
      <c r="L394" s="115">
        <f t="shared" si="13"/>
        <v>49</v>
      </c>
      <c r="M394" s="115">
        <f t="shared" si="14"/>
        <v>2026</v>
      </c>
      <c r="N394" s="115">
        <f t="shared" si="15"/>
        <v>51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125" t="str">
        <f t="shared" si="9"/>
        <v/>
      </c>
      <c r="G395" s="4"/>
      <c r="H395" s="127" t="str">
        <f t="shared" si="10"/>
        <v/>
      </c>
      <c r="I395" s="4"/>
      <c r="J395" s="115" t="str">
        <f t="shared" si="11"/>
        <v/>
      </c>
      <c r="K395" s="115" t="str">
        <f t="shared" si="12"/>
        <v/>
      </c>
      <c r="L395" s="115" t="str">
        <f t="shared" si="13"/>
        <v/>
      </c>
      <c r="M395" s="115" t="str">
        <f t="shared" si="14"/>
        <v/>
      </c>
      <c r="N395" s="115" t="str">
        <f t="shared" si="15"/>
        <v/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125" t="str">
        <f t="shared" si="9"/>
        <v/>
      </c>
      <c r="G396" s="4"/>
      <c r="H396" s="127" t="str">
        <f t="shared" si="10"/>
        <v/>
      </c>
      <c r="I396" s="4"/>
      <c r="J396" s="115" t="str">
        <f t="shared" si="11"/>
        <v/>
      </c>
      <c r="K396" s="115" t="str">
        <f t="shared" si="12"/>
        <v/>
      </c>
      <c r="L396" s="115" t="str">
        <f t="shared" si="13"/>
        <v/>
      </c>
      <c r="M396" s="115" t="str">
        <f t="shared" si="14"/>
        <v/>
      </c>
      <c r="N396" s="115" t="str">
        <f t="shared" si="15"/>
        <v/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125" t="str">
        <f t="shared" si="9"/>
        <v/>
      </c>
      <c r="G397" s="4"/>
      <c r="H397" s="127" t="str">
        <f t="shared" si="10"/>
        <v/>
      </c>
      <c r="I397" s="4"/>
      <c r="J397" s="115" t="str">
        <f t="shared" si="11"/>
        <v/>
      </c>
      <c r="K397" s="115" t="str">
        <f t="shared" si="12"/>
        <v/>
      </c>
      <c r="L397" s="115" t="str">
        <f t="shared" si="13"/>
        <v/>
      </c>
      <c r="M397" s="115" t="str">
        <f t="shared" si="14"/>
        <v/>
      </c>
      <c r="N397" s="115" t="str">
        <f t="shared" si="15"/>
        <v/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125" t="str">
        <f t="shared" si="9"/>
        <v/>
      </c>
      <c r="G398" s="4"/>
      <c r="H398" s="127" t="str">
        <f t="shared" si="10"/>
        <v/>
      </c>
      <c r="I398" s="4"/>
      <c r="J398" s="115" t="str">
        <f t="shared" si="11"/>
        <v/>
      </c>
      <c r="K398" s="115" t="str">
        <f t="shared" si="12"/>
        <v/>
      </c>
      <c r="L398" s="115" t="str">
        <f t="shared" si="13"/>
        <v/>
      </c>
      <c r="M398" s="115" t="str">
        <f t="shared" si="14"/>
        <v/>
      </c>
      <c r="N398" s="115" t="str">
        <f t="shared" si="15"/>
        <v/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125" t="str">
        <f t="shared" si="9"/>
        <v/>
      </c>
      <c r="G399" s="4"/>
      <c r="H399" s="127" t="str">
        <f t="shared" si="10"/>
        <v/>
      </c>
      <c r="I399" s="4"/>
      <c r="J399" s="115" t="str">
        <f t="shared" si="11"/>
        <v/>
      </c>
      <c r="K399" s="115" t="str">
        <f t="shared" si="12"/>
        <v/>
      </c>
      <c r="L399" s="115" t="str">
        <f t="shared" si="13"/>
        <v/>
      </c>
      <c r="M399" s="115" t="str">
        <f t="shared" si="14"/>
        <v/>
      </c>
      <c r="N399" s="115" t="str">
        <f t="shared" si="15"/>
        <v/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125" t="str">
        <f t="shared" si="9"/>
        <v/>
      </c>
      <c r="G400" s="4"/>
      <c r="H400" s="127" t="str">
        <f t="shared" si="10"/>
        <v/>
      </c>
      <c r="I400" s="4"/>
      <c r="J400" s="115" t="str">
        <f t="shared" si="11"/>
        <v/>
      </c>
      <c r="K400" s="115" t="str">
        <f t="shared" si="12"/>
        <v/>
      </c>
      <c r="L400" s="115" t="str">
        <f t="shared" si="13"/>
        <v/>
      </c>
      <c r="M400" s="115" t="str">
        <f t="shared" si="14"/>
        <v/>
      </c>
      <c r="N400" s="115" t="str">
        <f t="shared" si="15"/>
        <v/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125" t="str">
        <f t="shared" si="9"/>
        <v/>
      </c>
      <c r="G401" s="4"/>
      <c r="H401" s="127" t="str">
        <f t="shared" si="10"/>
        <v/>
      </c>
      <c r="I401" s="4"/>
      <c r="J401" s="115" t="str">
        <f t="shared" si="11"/>
        <v/>
      </c>
      <c r="K401" s="115" t="str">
        <f t="shared" si="12"/>
        <v/>
      </c>
      <c r="L401" s="115" t="str">
        <f t="shared" si="13"/>
        <v/>
      </c>
      <c r="M401" s="115" t="str">
        <f t="shared" si="14"/>
        <v/>
      </c>
      <c r="N401" s="115" t="str">
        <f t="shared" si="15"/>
        <v/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125" t="str">
        <f t="shared" si="9"/>
        <v/>
      </c>
      <c r="G402" s="4"/>
      <c r="H402" s="127" t="str">
        <f t="shared" si="10"/>
        <v/>
      </c>
      <c r="I402" s="4"/>
      <c r="J402" s="115" t="str">
        <f t="shared" si="11"/>
        <v/>
      </c>
      <c r="K402" s="115" t="str">
        <f t="shared" si="12"/>
        <v/>
      </c>
      <c r="L402" s="115" t="str">
        <f t="shared" si="13"/>
        <v/>
      </c>
      <c r="M402" s="115" t="str">
        <f t="shared" si="14"/>
        <v/>
      </c>
      <c r="N402" s="115" t="str">
        <f t="shared" si="15"/>
        <v/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125" t="str">
        <f t="shared" si="9"/>
        <v/>
      </c>
      <c r="G403" s="4"/>
      <c r="H403" s="127" t="str">
        <f t="shared" si="10"/>
        <v/>
      </c>
      <c r="I403" s="4"/>
      <c r="J403" s="115" t="str">
        <f t="shared" si="11"/>
        <v/>
      </c>
      <c r="K403" s="115" t="str">
        <f t="shared" si="12"/>
        <v/>
      </c>
      <c r="L403" s="115" t="str">
        <f t="shared" si="13"/>
        <v/>
      </c>
      <c r="M403" s="115" t="str">
        <f t="shared" si="14"/>
        <v/>
      </c>
      <c r="N403" s="115" t="str">
        <f t="shared" si="15"/>
        <v/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125" t="str">
        <f t="shared" si="9"/>
        <v/>
      </c>
      <c r="G404" s="4"/>
      <c r="H404" s="127" t="str">
        <f t="shared" si="10"/>
        <v/>
      </c>
      <c r="I404" s="4"/>
      <c r="J404" s="115" t="str">
        <f t="shared" si="11"/>
        <v/>
      </c>
      <c r="K404" s="115" t="str">
        <f t="shared" si="12"/>
        <v/>
      </c>
      <c r="L404" s="115" t="str">
        <f t="shared" si="13"/>
        <v/>
      </c>
      <c r="M404" s="115" t="str">
        <f t="shared" si="14"/>
        <v/>
      </c>
      <c r="N404" s="115" t="str">
        <f t="shared" si="15"/>
        <v/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125" t="str">
        <f t="shared" si="9"/>
        <v/>
      </c>
      <c r="G405" s="4"/>
      <c r="H405" s="127" t="str">
        <f t="shared" si="10"/>
        <v/>
      </c>
      <c r="I405" s="4"/>
      <c r="J405" s="115" t="str">
        <f t="shared" si="11"/>
        <v/>
      </c>
      <c r="K405" s="115" t="str">
        <f t="shared" si="12"/>
        <v/>
      </c>
      <c r="L405" s="115" t="str">
        <f t="shared" si="13"/>
        <v/>
      </c>
      <c r="M405" s="115" t="str">
        <f t="shared" si="14"/>
        <v/>
      </c>
      <c r="N405" s="115" t="str">
        <f t="shared" si="15"/>
        <v/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125" t="str">
        <f t="shared" si="9"/>
        <v/>
      </c>
      <c r="G406" s="4"/>
      <c r="H406" s="127" t="str">
        <f t="shared" si="10"/>
        <v/>
      </c>
      <c r="I406" s="4"/>
      <c r="J406" s="115" t="str">
        <f t="shared" si="11"/>
        <v/>
      </c>
      <c r="K406" s="115" t="str">
        <f t="shared" si="12"/>
        <v/>
      </c>
      <c r="L406" s="115" t="str">
        <f t="shared" si="13"/>
        <v/>
      </c>
      <c r="M406" s="115" t="str">
        <f t="shared" si="14"/>
        <v/>
      </c>
      <c r="N406" s="115" t="str">
        <f t="shared" si="15"/>
        <v/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125" t="str">
        <f t="shared" si="9"/>
        <v/>
      </c>
      <c r="G407" s="4"/>
      <c r="H407" s="127" t="str">
        <f t="shared" si="10"/>
        <v/>
      </c>
      <c r="I407" s="4"/>
      <c r="J407" s="115" t="str">
        <f t="shared" si="11"/>
        <v/>
      </c>
      <c r="K407" s="115" t="str">
        <f t="shared" si="12"/>
        <v/>
      </c>
      <c r="L407" s="115" t="str">
        <f t="shared" si="13"/>
        <v/>
      </c>
      <c r="M407" s="115" t="str">
        <f t="shared" si="14"/>
        <v/>
      </c>
      <c r="N407" s="115" t="str">
        <f t="shared" si="15"/>
        <v/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125" t="str">
        <f t="shared" si="9"/>
        <v/>
      </c>
      <c r="G408" s="4"/>
      <c r="H408" s="127" t="str">
        <f t="shared" si="10"/>
        <v/>
      </c>
      <c r="I408" s="4"/>
      <c r="J408" s="115" t="str">
        <f t="shared" si="11"/>
        <v/>
      </c>
      <c r="K408" s="115" t="str">
        <f t="shared" si="12"/>
        <v/>
      </c>
      <c r="L408" s="115" t="str">
        <f t="shared" si="13"/>
        <v/>
      </c>
      <c r="M408" s="115" t="str">
        <f t="shared" si="14"/>
        <v/>
      </c>
      <c r="N408" s="115" t="str">
        <f t="shared" si="15"/>
        <v/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125" t="str">
        <f t="shared" si="9"/>
        <v/>
      </c>
      <c r="G409" s="4"/>
      <c r="H409" s="127" t="str">
        <f t="shared" si="10"/>
        <v/>
      </c>
      <c r="I409" s="4"/>
      <c r="J409" s="115" t="str">
        <f t="shared" si="11"/>
        <v/>
      </c>
      <c r="K409" s="115" t="str">
        <f t="shared" si="12"/>
        <v/>
      </c>
      <c r="L409" s="115" t="str">
        <f t="shared" si="13"/>
        <v/>
      </c>
      <c r="M409" s="115" t="str">
        <f t="shared" si="14"/>
        <v/>
      </c>
      <c r="N409" s="115" t="str">
        <f t="shared" si="15"/>
        <v/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125" t="str">
        <f t="shared" si="9"/>
        <v/>
      </c>
      <c r="G410" s="4"/>
      <c r="H410" s="127" t="str">
        <f t="shared" si="10"/>
        <v/>
      </c>
      <c r="I410" s="4"/>
      <c r="J410" s="115" t="str">
        <f t="shared" si="11"/>
        <v/>
      </c>
      <c r="K410" s="115" t="str">
        <f t="shared" si="12"/>
        <v/>
      </c>
      <c r="L410" s="115" t="str">
        <f t="shared" si="13"/>
        <v/>
      </c>
      <c r="M410" s="115" t="str">
        <f t="shared" si="14"/>
        <v/>
      </c>
      <c r="N410" s="115" t="str">
        <f t="shared" si="15"/>
        <v/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125" t="str">
        <f t="shared" si="9"/>
        <v/>
      </c>
      <c r="G411" s="4"/>
      <c r="H411" s="127" t="str">
        <f t="shared" si="10"/>
        <v/>
      </c>
      <c r="I411" s="4"/>
      <c r="J411" s="115" t="str">
        <f t="shared" si="11"/>
        <v/>
      </c>
      <c r="K411" s="115" t="str">
        <f t="shared" si="12"/>
        <v/>
      </c>
      <c r="L411" s="115" t="str">
        <f t="shared" si="13"/>
        <v/>
      </c>
      <c r="M411" s="115" t="str">
        <f t="shared" si="14"/>
        <v/>
      </c>
      <c r="N411" s="115" t="str">
        <f t="shared" si="15"/>
        <v/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125" t="str">
        <f t="shared" si="9"/>
        <v/>
      </c>
      <c r="G412" s="4"/>
      <c r="H412" s="127" t="str">
        <f t="shared" si="10"/>
        <v/>
      </c>
      <c r="I412" s="4"/>
      <c r="J412" s="115" t="str">
        <f t="shared" si="11"/>
        <v/>
      </c>
      <c r="K412" s="115" t="str">
        <f t="shared" si="12"/>
        <v/>
      </c>
      <c r="L412" s="115" t="str">
        <f t="shared" si="13"/>
        <v/>
      </c>
      <c r="M412" s="115" t="str">
        <f t="shared" si="14"/>
        <v/>
      </c>
      <c r="N412" s="115" t="str">
        <f t="shared" si="15"/>
        <v/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125" t="str">
        <f t="shared" si="9"/>
        <v/>
      </c>
      <c r="G413" s="4"/>
      <c r="H413" s="127" t="str">
        <f t="shared" si="10"/>
        <v/>
      </c>
      <c r="I413" s="4"/>
      <c r="J413" s="115" t="str">
        <f t="shared" si="11"/>
        <v/>
      </c>
      <c r="K413" s="115" t="str">
        <f t="shared" si="12"/>
        <v/>
      </c>
      <c r="L413" s="115" t="str">
        <f t="shared" si="13"/>
        <v/>
      </c>
      <c r="M413" s="115" t="str">
        <f t="shared" si="14"/>
        <v/>
      </c>
      <c r="N413" s="115" t="str">
        <f t="shared" si="15"/>
        <v/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125" t="str">
        <f t="shared" si="9"/>
        <v/>
      </c>
      <c r="G414" s="4"/>
      <c r="H414" s="127" t="str">
        <f t="shared" si="10"/>
        <v/>
      </c>
      <c r="I414" s="4"/>
      <c r="J414" s="115" t="str">
        <f t="shared" si="11"/>
        <v/>
      </c>
      <c r="K414" s="115" t="str">
        <f t="shared" si="12"/>
        <v/>
      </c>
      <c r="L414" s="115" t="str">
        <f t="shared" si="13"/>
        <v/>
      </c>
      <c r="M414" s="115" t="str">
        <f t="shared" si="14"/>
        <v/>
      </c>
      <c r="N414" s="115" t="str">
        <f t="shared" si="15"/>
        <v/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125" t="str">
        <f t="shared" si="9"/>
        <v/>
      </c>
      <c r="G415" s="4"/>
      <c r="H415" s="127" t="str">
        <f t="shared" si="10"/>
        <v/>
      </c>
      <c r="I415" s="4"/>
      <c r="J415" s="115" t="str">
        <f t="shared" si="11"/>
        <v/>
      </c>
      <c r="K415" s="115" t="str">
        <f t="shared" si="12"/>
        <v/>
      </c>
      <c r="L415" s="115" t="str">
        <f t="shared" si="13"/>
        <v/>
      </c>
      <c r="M415" s="115" t="str">
        <f t="shared" si="14"/>
        <v/>
      </c>
      <c r="N415" s="115" t="str">
        <f t="shared" si="15"/>
        <v/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125" t="str">
        <f t="shared" si="9"/>
        <v/>
      </c>
      <c r="G416" s="4"/>
      <c r="H416" s="127" t="str">
        <f t="shared" si="10"/>
        <v/>
      </c>
      <c r="I416" s="4"/>
      <c r="J416" s="115" t="str">
        <f t="shared" si="11"/>
        <v/>
      </c>
      <c r="K416" s="115" t="str">
        <f t="shared" si="12"/>
        <v/>
      </c>
      <c r="L416" s="115" t="str">
        <f t="shared" si="13"/>
        <v/>
      </c>
      <c r="M416" s="115" t="str">
        <f t="shared" si="14"/>
        <v/>
      </c>
      <c r="N416" s="115" t="str">
        <f t="shared" si="15"/>
        <v/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125" t="str">
        <f t="shared" si="9"/>
        <v/>
      </c>
      <c r="G417" s="4"/>
      <c r="H417" s="127" t="str">
        <f t="shared" si="10"/>
        <v/>
      </c>
      <c r="I417" s="4"/>
      <c r="J417" s="115" t="str">
        <f t="shared" si="11"/>
        <v/>
      </c>
      <c r="K417" s="115" t="str">
        <f t="shared" si="12"/>
        <v/>
      </c>
      <c r="L417" s="115" t="str">
        <f t="shared" si="13"/>
        <v/>
      </c>
      <c r="M417" s="115" t="str">
        <f t="shared" si="14"/>
        <v/>
      </c>
      <c r="N417" s="115" t="str">
        <f t="shared" si="15"/>
        <v/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125" t="str">
        <f t="shared" si="9"/>
        <v/>
      </c>
      <c r="G418" s="4"/>
      <c r="H418" s="127" t="str">
        <f t="shared" si="10"/>
        <v/>
      </c>
      <c r="I418" s="4"/>
      <c r="J418" s="115" t="str">
        <f t="shared" si="11"/>
        <v/>
      </c>
      <c r="K418" s="115" t="str">
        <f t="shared" si="12"/>
        <v/>
      </c>
      <c r="L418" s="115" t="str">
        <f t="shared" si="13"/>
        <v/>
      </c>
      <c r="M418" s="115" t="str">
        <f t="shared" si="14"/>
        <v/>
      </c>
      <c r="N418" s="115" t="str">
        <f t="shared" si="15"/>
        <v/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125" t="str">
        <f t="shared" si="9"/>
        <v/>
      </c>
      <c r="G419" s="4"/>
      <c r="H419" s="127" t="str">
        <f t="shared" si="10"/>
        <v/>
      </c>
      <c r="I419" s="4"/>
      <c r="J419" s="115" t="str">
        <f t="shared" si="11"/>
        <v/>
      </c>
      <c r="K419" s="115" t="str">
        <f t="shared" si="12"/>
        <v/>
      </c>
      <c r="L419" s="115" t="str">
        <f t="shared" si="13"/>
        <v/>
      </c>
      <c r="M419" s="115" t="str">
        <f t="shared" si="14"/>
        <v/>
      </c>
      <c r="N419" s="115" t="str">
        <f t="shared" si="15"/>
        <v/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125" t="str">
        <f t="shared" si="9"/>
        <v/>
      </c>
      <c r="G420" s="4"/>
      <c r="H420" s="127" t="str">
        <f t="shared" si="10"/>
        <v/>
      </c>
      <c r="I420" s="4"/>
      <c r="J420" s="115" t="str">
        <f t="shared" si="11"/>
        <v/>
      </c>
      <c r="K420" s="115" t="str">
        <f t="shared" si="12"/>
        <v/>
      </c>
      <c r="L420" s="115" t="str">
        <f t="shared" si="13"/>
        <v/>
      </c>
      <c r="M420" s="115" t="str">
        <f t="shared" si="14"/>
        <v/>
      </c>
      <c r="N420" s="115" t="str">
        <f t="shared" si="15"/>
        <v/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125" t="str">
        <f t="shared" si="9"/>
        <v/>
      </c>
      <c r="G421" s="4"/>
      <c r="H421" s="127" t="str">
        <f t="shared" si="10"/>
        <v/>
      </c>
      <c r="I421" s="4"/>
      <c r="J421" s="115" t="str">
        <f t="shared" si="11"/>
        <v/>
      </c>
      <c r="K421" s="115" t="str">
        <f t="shared" si="12"/>
        <v/>
      </c>
      <c r="L421" s="115" t="str">
        <f t="shared" si="13"/>
        <v/>
      </c>
      <c r="M421" s="115" t="str">
        <f t="shared" si="14"/>
        <v/>
      </c>
      <c r="N421" s="115" t="str">
        <f t="shared" si="15"/>
        <v/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125" t="str">
        <f t="shared" si="9"/>
        <v/>
      </c>
      <c r="G422" s="4"/>
      <c r="H422" s="127" t="str">
        <f t="shared" si="10"/>
        <v/>
      </c>
      <c r="I422" s="4"/>
      <c r="J422" s="115" t="str">
        <f t="shared" si="11"/>
        <v/>
      </c>
      <c r="K422" s="115" t="str">
        <f t="shared" si="12"/>
        <v/>
      </c>
      <c r="L422" s="115" t="str">
        <f t="shared" si="13"/>
        <v/>
      </c>
      <c r="M422" s="115" t="str">
        <f t="shared" si="14"/>
        <v/>
      </c>
      <c r="N422" s="115" t="str">
        <f t="shared" si="15"/>
        <v/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125" t="str">
        <f t="shared" si="9"/>
        <v/>
      </c>
      <c r="G423" s="4"/>
      <c r="H423" s="127" t="str">
        <f t="shared" si="10"/>
        <v/>
      </c>
      <c r="I423" s="4"/>
      <c r="J423" s="115" t="str">
        <f t="shared" si="11"/>
        <v/>
      </c>
      <c r="K423" s="115" t="str">
        <f t="shared" si="12"/>
        <v/>
      </c>
      <c r="L423" s="115" t="str">
        <f t="shared" si="13"/>
        <v/>
      </c>
      <c r="M423" s="115" t="str">
        <f t="shared" si="14"/>
        <v/>
      </c>
      <c r="N423" s="115" t="str">
        <f t="shared" si="15"/>
        <v/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125" t="str">
        <f t="shared" si="9"/>
        <v/>
      </c>
      <c r="G424" s="4"/>
      <c r="H424" s="127" t="str">
        <f t="shared" si="10"/>
        <v/>
      </c>
      <c r="I424" s="4"/>
      <c r="J424" s="115" t="str">
        <f t="shared" si="11"/>
        <v/>
      </c>
      <c r="K424" s="115" t="str">
        <f t="shared" si="12"/>
        <v/>
      </c>
      <c r="L424" s="115" t="str">
        <f t="shared" si="13"/>
        <v/>
      </c>
      <c r="M424" s="115" t="str">
        <f t="shared" si="14"/>
        <v/>
      </c>
      <c r="N424" s="115" t="str">
        <f t="shared" si="15"/>
        <v/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125" t="str">
        <f t="shared" si="9"/>
        <v/>
      </c>
      <c r="G425" s="4"/>
      <c r="H425" s="127" t="str">
        <f t="shared" si="10"/>
        <v/>
      </c>
      <c r="I425" s="4"/>
      <c r="J425" s="115" t="str">
        <f t="shared" si="11"/>
        <v/>
      </c>
      <c r="K425" s="115" t="str">
        <f t="shared" si="12"/>
        <v/>
      </c>
      <c r="L425" s="115" t="str">
        <f t="shared" si="13"/>
        <v/>
      </c>
      <c r="M425" s="115" t="str">
        <f t="shared" si="14"/>
        <v/>
      </c>
      <c r="N425" s="115" t="str">
        <f t="shared" si="15"/>
        <v/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125" t="str">
        <f t="shared" si="9"/>
        <v/>
      </c>
      <c r="G426" s="4"/>
      <c r="H426" s="127" t="str">
        <f t="shared" si="10"/>
        <v/>
      </c>
      <c r="I426" s="4"/>
      <c r="J426" s="115" t="str">
        <f t="shared" si="11"/>
        <v/>
      </c>
      <c r="K426" s="115" t="str">
        <f t="shared" si="12"/>
        <v/>
      </c>
      <c r="L426" s="115" t="str">
        <f t="shared" si="13"/>
        <v/>
      </c>
      <c r="M426" s="115" t="str">
        <f t="shared" si="14"/>
        <v/>
      </c>
      <c r="N426" s="115" t="str">
        <f t="shared" si="15"/>
        <v/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125" t="str">
        <f t="shared" si="9"/>
        <v/>
      </c>
      <c r="G427" s="4"/>
      <c r="H427" s="127" t="str">
        <f t="shared" si="10"/>
        <v/>
      </c>
      <c r="I427" s="4"/>
      <c r="J427" s="115" t="str">
        <f t="shared" si="11"/>
        <v/>
      </c>
      <c r="K427" s="115" t="str">
        <f t="shared" si="12"/>
        <v/>
      </c>
      <c r="L427" s="115" t="str">
        <f t="shared" si="13"/>
        <v/>
      </c>
      <c r="M427" s="115" t="str">
        <f t="shared" si="14"/>
        <v/>
      </c>
      <c r="N427" s="115" t="str">
        <f t="shared" si="15"/>
        <v/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125" t="str">
        <f t="shared" si="9"/>
        <v/>
      </c>
      <c r="G428" s="4"/>
      <c r="H428" s="127" t="str">
        <f t="shared" si="10"/>
        <v/>
      </c>
      <c r="I428" s="4"/>
      <c r="J428" s="115" t="str">
        <f t="shared" si="11"/>
        <v/>
      </c>
      <c r="K428" s="115" t="str">
        <f t="shared" si="12"/>
        <v/>
      </c>
      <c r="L428" s="115" t="str">
        <f t="shared" si="13"/>
        <v/>
      </c>
      <c r="M428" s="115" t="str">
        <f t="shared" si="14"/>
        <v/>
      </c>
      <c r="N428" s="115" t="str">
        <f t="shared" si="15"/>
        <v/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125" t="str">
        <f t="shared" si="9"/>
        <v/>
      </c>
      <c r="G429" s="4"/>
      <c r="H429" s="127" t="str">
        <f t="shared" si="10"/>
        <v/>
      </c>
      <c r="I429" s="4"/>
      <c r="J429" s="115" t="str">
        <f t="shared" si="11"/>
        <v/>
      </c>
      <c r="K429" s="115" t="str">
        <f t="shared" si="12"/>
        <v/>
      </c>
      <c r="L429" s="115" t="str">
        <f t="shared" si="13"/>
        <v/>
      </c>
      <c r="M429" s="115" t="str">
        <f t="shared" si="14"/>
        <v/>
      </c>
      <c r="N429" s="115" t="str">
        <f t="shared" si="15"/>
        <v/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125" t="str">
        <f t="shared" si="9"/>
        <v/>
      </c>
      <c r="G430" s="4"/>
      <c r="H430" s="127" t="str">
        <f t="shared" si="10"/>
        <v/>
      </c>
      <c r="I430" s="4"/>
      <c r="J430" s="115" t="str">
        <f t="shared" si="11"/>
        <v/>
      </c>
      <c r="K430" s="115" t="str">
        <f t="shared" si="12"/>
        <v/>
      </c>
      <c r="L430" s="115" t="str">
        <f t="shared" si="13"/>
        <v/>
      </c>
      <c r="M430" s="115" t="str">
        <f t="shared" si="14"/>
        <v/>
      </c>
      <c r="N430" s="115" t="str">
        <f t="shared" si="15"/>
        <v/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125" t="str">
        <f t="shared" si="9"/>
        <v/>
      </c>
      <c r="G431" s="4"/>
      <c r="H431" s="127" t="str">
        <f t="shared" si="10"/>
        <v/>
      </c>
      <c r="I431" s="4"/>
      <c r="J431" s="115" t="str">
        <f t="shared" si="11"/>
        <v/>
      </c>
      <c r="K431" s="115" t="str">
        <f t="shared" si="12"/>
        <v/>
      </c>
      <c r="L431" s="115" t="str">
        <f t="shared" si="13"/>
        <v/>
      </c>
      <c r="M431" s="115" t="str">
        <f t="shared" si="14"/>
        <v/>
      </c>
      <c r="N431" s="115" t="str">
        <f t="shared" si="15"/>
        <v/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125" t="str">
        <f t="shared" si="9"/>
        <v/>
      </c>
      <c r="G432" s="4"/>
      <c r="H432" s="127" t="str">
        <f t="shared" si="10"/>
        <v/>
      </c>
      <c r="I432" s="4"/>
      <c r="J432" s="115" t="str">
        <f t="shared" si="11"/>
        <v/>
      </c>
      <c r="K432" s="115" t="str">
        <f t="shared" si="12"/>
        <v/>
      </c>
      <c r="L432" s="115" t="str">
        <f t="shared" si="13"/>
        <v/>
      </c>
      <c r="M432" s="115" t="str">
        <f t="shared" si="14"/>
        <v/>
      </c>
      <c r="N432" s="115" t="str">
        <f t="shared" si="15"/>
        <v/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125" t="str">
        <f t="shared" si="9"/>
        <v/>
      </c>
      <c r="G433" s="4"/>
      <c r="H433" s="127" t="str">
        <f t="shared" si="10"/>
        <v/>
      </c>
      <c r="I433" s="4"/>
      <c r="J433" s="115" t="str">
        <f t="shared" si="11"/>
        <v/>
      </c>
      <c r="K433" s="115" t="str">
        <f t="shared" si="12"/>
        <v/>
      </c>
      <c r="L433" s="115" t="str">
        <f t="shared" si="13"/>
        <v/>
      </c>
      <c r="M433" s="115" t="str">
        <f t="shared" si="14"/>
        <v/>
      </c>
      <c r="N433" s="115" t="str">
        <f t="shared" si="15"/>
        <v/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125" t="str">
        <f t="shared" si="9"/>
        <v/>
      </c>
      <c r="G434" s="4"/>
      <c r="H434" s="127" t="str">
        <f t="shared" si="10"/>
        <v/>
      </c>
      <c r="I434" s="4"/>
      <c r="J434" s="115" t="str">
        <f t="shared" si="11"/>
        <v/>
      </c>
      <c r="K434" s="115" t="str">
        <f t="shared" si="12"/>
        <v/>
      </c>
      <c r="L434" s="115" t="str">
        <f t="shared" si="13"/>
        <v/>
      </c>
      <c r="M434" s="115" t="str">
        <f t="shared" si="14"/>
        <v/>
      </c>
      <c r="N434" s="115" t="str">
        <f t="shared" si="15"/>
        <v/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125" t="str">
        <f t="shared" si="9"/>
        <v/>
      </c>
      <c r="G435" s="4"/>
      <c r="H435" s="127" t="str">
        <f t="shared" si="10"/>
        <v/>
      </c>
      <c r="I435" s="4"/>
      <c r="J435" s="115" t="str">
        <f t="shared" si="11"/>
        <v/>
      </c>
      <c r="K435" s="115" t="str">
        <f t="shared" si="12"/>
        <v/>
      </c>
      <c r="L435" s="115" t="str">
        <f t="shared" si="13"/>
        <v/>
      </c>
      <c r="M435" s="115" t="str">
        <f t="shared" si="14"/>
        <v/>
      </c>
      <c r="N435" s="115" t="str">
        <f t="shared" si="15"/>
        <v/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125" t="str">
        <f t="shared" si="9"/>
        <v/>
      </c>
      <c r="G436" s="4"/>
      <c r="H436" s="127" t="str">
        <f t="shared" si="10"/>
        <v/>
      </c>
      <c r="I436" s="4"/>
      <c r="J436" s="115" t="str">
        <f t="shared" si="11"/>
        <v/>
      </c>
      <c r="K436" s="115" t="str">
        <f t="shared" si="12"/>
        <v/>
      </c>
      <c r="L436" s="115" t="str">
        <f t="shared" si="13"/>
        <v/>
      </c>
      <c r="M436" s="115" t="str">
        <f t="shared" si="14"/>
        <v/>
      </c>
      <c r="N436" s="115" t="str">
        <f t="shared" si="15"/>
        <v/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125" t="str">
        <f t="shared" si="9"/>
        <v/>
      </c>
      <c r="G437" s="4"/>
      <c r="H437" s="127" t="str">
        <f t="shared" si="10"/>
        <v/>
      </c>
      <c r="I437" s="4"/>
      <c r="J437" s="115" t="str">
        <f t="shared" si="11"/>
        <v/>
      </c>
      <c r="K437" s="115" t="str">
        <f t="shared" si="12"/>
        <v/>
      </c>
      <c r="L437" s="115" t="str">
        <f t="shared" si="13"/>
        <v/>
      </c>
      <c r="M437" s="115" t="str">
        <f t="shared" si="14"/>
        <v/>
      </c>
      <c r="N437" s="115" t="str">
        <f t="shared" si="15"/>
        <v/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125" t="str">
        <f t="shared" si="9"/>
        <v/>
      </c>
      <c r="G438" s="4"/>
      <c r="H438" s="127" t="str">
        <f t="shared" si="10"/>
        <v/>
      </c>
      <c r="I438" s="4"/>
      <c r="J438" s="115" t="str">
        <f t="shared" si="11"/>
        <v/>
      </c>
      <c r="K438" s="115" t="str">
        <f t="shared" si="12"/>
        <v/>
      </c>
      <c r="L438" s="115" t="str">
        <f t="shared" si="13"/>
        <v/>
      </c>
      <c r="M438" s="115" t="str">
        <f t="shared" si="14"/>
        <v/>
      </c>
      <c r="N438" s="115" t="str">
        <f t="shared" si="15"/>
        <v/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125" t="str">
        <f t="shared" si="9"/>
        <v/>
      </c>
      <c r="G439" s="4"/>
      <c r="H439" s="127" t="str">
        <f t="shared" si="10"/>
        <v/>
      </c>
      <c r="I439" s="4"/>
      <c r="J439" s="115" t="str">
        <f t="shared" si="11"/>
        <v/>
      </c>
      <c r="K439" s="115" t="str">
        <f t="shared" si="12"/>
        <v/>
      </c>
      <c r="L439" s="115" t="str">
        <f t="shared" si="13"/>
        <v/>
      </c>
      <c r="M439" s="115" t="str">
        <f t="shared" si="14"/>
        <v/>
      </c>
      <c r="N439" s="115" t="str">
        <f t="shared" si="15"/>
        <v/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125" t="str">
        <f t="shared" si="9"/>
        <v/>
      </c>
      <c r="G440" s="4"/>
      <c r="H440" s="127" t="str">
        <f t="shared" si="10"/>
        <v/>
      </c>
      <c r="I440" s="4"/>
      <c r="J440" s="115" t="str">
        <f t="shared" si="11"/>
        <v/>
      </c>
      <c r="K440" s="115" t="str">
        <f t="shared" si="12"/>
        <v/>
      </c>
      <c r="L440" s="115" t="str">
        <f t="shared" si="13"/>
        <v/>
      </c>
      <c r="M440" s="115" t="str">
        <f t="shared" si="14"/>
        <v/>
      </c>
      <c r="N440" s="115" t="str">
        <f t="shared" si="15"/>
        <v/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125" t="str">
        <f t="shared" si="9"/>
        <v/>
      </c>
      <c r="G441" s="4"/>
      <c r="H441" s="127" t="str">
        <f t="shared" si="10"/>
        <v/>
      </c>
      <c r="I441" s="4"/>
      <c r="J441" s="115" t="str">
        <f t="shared" si="11"/>
        <v/>
      </c>
      <c r="K441" s="115" t="str">
        <f t="shared" si="12"/>
        <v/>
      </c>
      <c r="L441" s="115" t="str">
        <f t="shared" si="13"/>
        <v/>
      </c>
      <c r="M441" s="115" t="str">
        <f t="shared" si="14"/>
        <v/>
      </c>
      <c r="N441" s="115" t="str">
        <f t="shared" si="15"/>
        <v/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125" t="str">
        <f t="shared" si="9"/>
        <v/>
      </c>
      <c r="G442" s="4"/>
      <c r="H442" s="127" t="str">
        <f t="shared" si="10"/>
        <v/>
      </c>
      <c r="I442" s="4"/>
      <c r="J442" s="115" t="str">
        <f t="shared" si="11"/>
        <v/>
      </c>
      <c r="K442" s="115" t="str">
        <f t="shared" si="12"/>
        <v/>
      </c>
      <c r="L442" s="115" t="str">
        <f t="shared" si="13"/>
        <v/>
      </c>
      <c r="M442" s="115" t="str">
        <f t="shared" si="14"/>
        <v/>
      </c>
      <c r="N442" s="115" t="str">
        <f t="shared" si="15"/>
        <v/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125" t="str">
        <f t="shared" si="9"/>
        <v/>
      </c>
      <c r="G443" s="4"/>
      <c r="H443" s="127" t="str">
        <f t="shared" si="10"/>
        <v/>
      </c>
      <c r="I443" s="4"/>
      <c r="J443" s="115" t="str">
        <f t="shared" si="11"/>
        <v/>
      </c>
      <c r="K443" s="115" t="str">
        <f t="shared" si="12"/>
        <v/>
      </c>
      <c r="L443" s="115" t="str">
        <f t="shared" si="13"/>
        <v/>
      </c>
      <c r="M443" s="115" t="str">
        <f t="shared" si="14"/>
        <v/>
      </c>
      <c r="N443" s="115" t="str">
        <f t="shared" si="15"/>
        <v/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125" t="str">
        <f t="shared" si="9"/>
        <v/>
      </c>
      <c r="G444" s="4"/>
      <c r="H444" s="127" t="str">
        <f t="shared" si="10"/>
        <v/>
      </c>
      <c r="I444" s="4"/>
      <c r="J444" s="115" t="str">
        <f t="shared" si="11"/>
        <v/>
      </c>
      <c r="K444" s="115" t="str">
        <f t="shared" si="12"/>
        <v/>
      </c>
      <c r="L444" s="115" t="str">
        <f t="shared" si="13"/>
        <v/>
      </c>
      <c r="M444" s="115" t="str">
        <f t="shared" si="14"/>
        <v/>
      </c>
      <c r="N444" s="115" t="str">
        <f t="shared" si="15"/>
        <v/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125" t="str">
        <f t="shared" si="9"/>
        <v/>
      </c>
      <c r="G445" s="4"/>
      <c r="H445" s="127" t="str">
        <f t="shared" si="10"/>
        <v/>
      </c>
      <c r="I445" s="4"/>
      <c r="J445" s="115" t="str">
        <f t="shared" si="11"/>
        <v/>
      </c>
      <c r="K445" s="115" t="str">
        <f t="shared" si="12"/>
        <v/>
      </c>
      <c r="L445" s="115" t="str">
        <f t="shared" si="13"/>
        <v/>
      </c>
      <c r="M445" s="115" t="str">
        <f t="shared" si="14"/>
        <v/>
      </c>
      <c r="N445" s="115" t="str">
        <f t="shared" si="15"/>
        <v/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125" t="str">
        <f t="shared" si="9"/>
        <v/>
      </c>
      <c r="G446" s="4"/>
      <c r="H446" s="127" t="str">
        <f t="shared" si="10"/>
        <v/>
      </c>
      <c r="I446" s="4"/>
      <c r="J446" s="115" t="str">
        <f t="shared" si="11"/>
        <v/>
      </c>
      <c r="K446" s="115" t="str">
        <f t="shared" si="12"/>
        <v/>
      </c>
      <c r="L446" s="115" t="str">
        <f t="shared" si="13"/>
        <v/>
      </c>
      <c r="M446" s="115" t="str">
        <f t="shared" si="14"/>
        <v/>
      </c>
      <c r="N446" s="115" t="str">
        <f t="shared" si="15"/>
        <v/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125" t="str">
        <f t="shared" si="9"/>
        <v/>
      </c>
      <c r="G447" s="4"/>
      <c r="H447" s="127" t="str">
        <f t="shared" si="10"/>
        <v/>
      </c>
      <c r="I447" s="4"/>
      <c r="J447" s="115" t="str">
        <f t="shared" si="11"/>
        <v/>
      </c>
      <c r="K447" s="115" t="str">
        <f t="shared" si="12"/>
        <v/>
      </c>
      <c r="L447" s="115" t="str">
        <f t="shared" si="13"/>
        <v/>
      </c>
      <c r="M447" s="115" t="str">
        <f t="shared" si="14"/>
        <v/>
      </c>
      <c r="N447" s="115" t="str">
        <f t="shared" si="15"/>
        <v/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125" t="str">
        <f t="shared" si="9"/>
        <v/>
      </c>
      <c r="G448" s="4"/>
      <c r="H448" s="127" t="str">
        <f t="shared" si="10"/>
        <v/>
      </c>
      <c r="I448" s="4"/>
      <c r="J448" s="115" t="str">
        <f t="shared" si="11"/>
        <v/>
      </c>
      <c r="K448" s="115" t="str">
        <f t="shared" si="12"/>
        <v/>
      </c>
      <c r="L448" s="115" t="str">
        <f t="shared" si="13"/>
        <v/>
      </c>
      <c r="M448" s="115" t="str">
        <f t="shared" si="14"/>
        <v/>
      </c>
      <c r="N448" s="115" t="str">
        <f t="shared" si="15"/>
        <v/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125" t="str">
        <f t="shared" si="9"/>
        <v/>
      </c>
      <c r="G449" s="4"/>
      <c r="H449" s="127" t="str">
        <f t="shared" si="10"/>
        <v/>
      </c>
      <c r="I449" s="4"/>
      <c r="J449" s="115" t="str">
        <f t="shared" si="11"/>
        <v/>
      </c>
      <c r="K449" s="115" t="str">
        <f t="shared" si="12"/>
        <v/>
      </c>
      <c r="L449" s="115" t="str">
        <f t="shared" si="13"/>
        <v/>
      </c>
      <c r="M449" s="115" t="str">
        <f t="shared" si="14"/>
        <v/>
      </c>
      <c r="N449" s="115" t="str">
        <f t="shared" si="15"/>
        <v/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125" t="str">
        <f t="shared" si="9"/>
        <v/>
      </c>
      <c r="G450" s="4"/>
      <c r="H450" s="127" t="str">
        <f t="shared" si="10"/>
        <v/>
      </c>
      <c r="I450" s="4"/>
      <c r="J450" s="115" t="str">
        <f t="shared" si="11"/>
        <v/>
      </c>
      <c r="K450" s="115" t="str">
        <f t="shared" si="12"/>
        <v/>
      </c>
      <c r="L450" s="115" t="str">
        <f t="shared" si="13"/>
        <v/>
      </c>
      <c r="M450" s="115" t="str">
        <f t="shared" si="14"/>
        <v/>
      </c>
      <c r="N450" s="115" t="str">
        <f t="shared" si="15"/>
        <v/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125" t="str">
        <f t="shared" si="9"/>
        <v/>
      </c>
      <c r="G451" s="4"/>
      <c r="H451" s="127" t="str">
        <f t="shared" si="10"/>
        <v/>
      </c>
      <c r="I451" s="4"/>
      <c r="J451" s="115" t="str">
        <f t="shared" si="11"/>
        <v/>
      </c>
      <c r="K451" s="115" t="str">
        <f t="shared" si="12"/>
        <v/>
      </c>
      <c r="L451" s="115" t="str">
        <f t="shared" si="13"/>
        <v/>
      </c>
      <c r="M451" s="115" t="str">
        <f t="shared" si="14"/>
        <v/>
      </c>
      <c r="N451" s="115" t="str">
        <f t="shared" si="15"/>
        <v/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125" t="str">
        <f t="shared" si="9"/>
        <v/>
      </c>
      <c r="G452" s="4"/>
      <c r="H452" s="127" t="str">
        <f t="shared" si="10"/>
        <v/>
      </c>
      <c r="I452" s="4"/>
      <c r="J452" s="115" t="str">
        <f t="shared" si="11"/>
        <v/>
      </c>
      <c r="K452" s="115" t="str">
        <f t="shared" si="12"/>
        <v/>
      </c>
      <c r="L452" s="115" t="str">
        <f t="shared" si="13"/>
        <v/>
      </c>
      <c r="M452" s="115" t="str">
        <f t="shared" si="14"/>
        <v/>
      </c>
      <c r="N452" s="115" t="str">
        <f t="shared" si="15"/>
        <v/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125" t="str">
        <f t="shared" si="9"/>
        <v/>
      </c>
      <c r="G453" s="4"/>
      <c r="H453" s="127" t="str">
        <f t="shared" si="10"/>
        <v/>
      </c>
      <c r="I453" s="4"/>
      <c r="J453" s="115" t="str">
        <f t="shared" si="11"/>
        <v/>
      </c>
      <c r="K453" s="115" t="str">
        <f t="shared" si="12"/>
        <v/>
      </c>
      <c r="L453" s="115" t="str">
        <f t="shared" si="13"/>
        <v/>
      </c>
      <c r="M453" s="115" t="str">
        <f t="shared" si="14"/>
        <v/>
      </c>
      <c r="N453" s="115" t="str">
        <f t="shared" si="15"/>
        <v/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125" t="str">
        <f t="shared" si="9"/>
        <v/>
      </c>
      <c r="G454" s="4"/>
      <c r="H454" s="127" t="str">
        <f t="shared" si="10"/>
        <v/>
      </c>
      <c r="I454" s="4"/>
      <c r="J454" s="115" t="str">
        <f t="shared" si="11"/>
        <v/>
      </c>
      <c r="K454" s="115" t="str">
        <f t="shared" si="12"/>
        <v/>
      </c>
      <c r="L454" s="115" t="str">
        <f t="shared" si="13"/>
        <v/>
      </c>
      <c r="M454" s="115" t="str">
        <f t="shared" si="14"/>
        <v/>
      </c>
      <c r="N454" s="115" t="str">
        <f t="shared" si="15"/>
        <v/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125" t="str">
        <f t="shared" si="9"/>
        <v/>
      </c>
      <c r="G455" s="4"/>
      <c r="H455" s="127" t="str">
        <f t="shared" si="10"/>
        <v/>
      </c>
      <c r="I455" s="4"/>
      <c r="J455" s="115" t="str">
        <f t="shared" si="11"/>
        <v/>
      </c>
      <c r="K455" s="115" t="str">
        <f t="shared" si="12"/>
        <v/>
      </c>
      <c r="L455" s="115" t="str">
        <f t="shared" si="13"/>
        <v/>
      </c>
      <c r="M455" s="115" t="str">
        <f t="shared" si="14"/>
        <v/>
      </c>
      <c r="N455" s="115" t="str">
        <f t="shared" si="15"/>
        <v/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125" t="str">
        <f t="shared" si="9"/>
        <v/>
      </c>
      <c r="G456" s="4"/>
      <c r="H456" s="127" t="str">
        <f t="shared" si="10"/>
        <v/>
      </c>
      <c r="I456" s="4"/>
      <c r="J456" s="115" t="str">
        <f t="shared" si="11"/>
        <v/>
      </c>
      <c r="K456" s="115" t="str">
        <f t="shared" si="12"/>
        <v/>
      </c>
      <c r="L456" s="115" t="str">
        <f t="shared" si="13"/>
        <v/>
      </c>
      <c r="M456" s="115" t="str">
        <f t="shared" si="14"/>
        <v/>
      </c>
      <c r="N456" s="115" t="str">
        <f t="shared" si="15"/>
        <v/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125" t="str">
        <f t="shared" si="9"/>
        <v/>
      </c>
      <c r="G457" s="4"/>
      <c r="H457" s="127" t="str">
        <f t="shared" si="10"/>
        <v/>
      </c>
      <c r="I457" s="4"/>
      <c r="J457" s="115" t="str">
        <f t="shared" si="11"/>
        <v/>
      </c>
      <c r="K457" s="115" t="str">
        <f t="shared" si="12"/>
        <v/>
      </c>
      <c r="L457" s="115" t="str">
        <f t="shared" si="13"/>
        <v/>
      </c>
      <c r="M457" s="115" t="str">
        <f t="shared" si="14"/>
        <v/>
      </c>
      <c r="N457" s="115" t="str">
        <f t="shared" si="15"/>
        <v/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125" t="str">
        <f t="shared" si="9"/>
        <v/>
      </c>
      <c r="G458" s="4"/>
      <c r="H458" s="127" t="str">
        <f t="shared" si="10"/>
        <v/>
      </c>
      <c r="I458" s="4"/>
      <c r="J458" s="115" t="str">
        <f t="shared" si="11"/>
        <v/>
      </c>
      <c r="K458" s="115" t="str">
        <f t="shared" si="12"/>
        <v/>
      </c>
      <c r="L458" s="115" t="str">
        <f t="shared" si="13"/>
        <v/>
      </c>
      <c r="M458" s="115" t="str">
        <f t="shared" si="14"/>
        <v/>
      </c>
      <c r="N458" s="115" t="str">
        <f t="shared" si="15"/>
        <v/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125" t="str">
        <f t="shared" si="9"/>
        <v/>
      </c>
      <c r="G459" s="4"/>
      <c r="H459" s="127" t="str">
        <f t="shared" si="10"/>
        <v/>
      </c>
      <c r="I459" s="4"/>
      <c r="J459" s="115" t="str">
        <f t="shared" si="11"/>
        <v/>
      </c>
      <c r="K459" s="115" t="str">
        <f t="shared" si="12"/>
        <v/>
      </c>
      <c r="L459" s="115" t="str">
        <f t="shared" si="13"/>
        <v/>
      </c>
      <c r="M459" s="115" t="str">
        <f t="shared" si="14"/>
        <v/>
      </c>
      <c r="N459" s="115" t="str">
        <f t="shared" si="15"/>
        <v/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125" t="str">
        <f t="shared" si="9"/>
        <v/>
      </c>
      <c r="G460" s="4"/>
      <c r="H460" s="127" t="str">
        <f t="shared" si="10"/>
        <v/>
      </c>
      <c r="I460" s="4"/>
      <c r="J460" s="115" t="str">
        <f t="shared" si="11"/>
        <v/>
      </c>
      <c r="K460" s="115" t="str">
        <f t="shared" si="12"/>
        <v/>
      </c>
      <c r="L460" s="115" t="str">
        <f t="shared" si="13"/>
        <v/>
      </c>
      <c r="M460" s="115" t="str">
        <f t="shared" si="14"/>
        <v/>
      </c>
      <c r="N460" s="115" t="str">
        <f t="shared" si="15"/>
        <v/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125" t="str">
        <f t="shared" si="9"/>
        <v/>
      </c>
      <c r="G461" s="4"/>
      <c r="H461" s="127" t="str">
        <f t="shared" si="10"/>
        <v/>
      </c>
      <c r="I461" s="4"/>
      <c r="J461" s="115" t="str">
        <f t="shared" si="11"/>
        <v/>
      </c>
      <c r="K461" s="115" t="str">
        <f t="shared" si="12"/>
        <v/>
      </c>
      <c r="L461" s="115" t="str">
        <f t="shared" si="13"/>
        <v/>
      </c>
      <c r="M461" s="115" t="str">
        <f t="shared" si="14"/>
        <v/>
      </c>
      <c r="N461" s="115" t="str">
        <f t="shared" si="15"/>
        <v/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125" t="str">
        <f t="shared" si="9"/>
        <v/>
      </c>
      <c r="G462" s="4"/>
      <c r="H462" s="127" t="str">
        <f t="shared" si="10"/>
        <v/>
      </c>
      <c r="I462" s="4"/>
      <c r="J462" s="115" t="str">
        <f t="shared" si="11"/>
        <v/>
      </c>
      <c r="K462" s="115" t="str">
        <f t="shared" si="12"/>
        <v/>
      </c>
      <c r="L462" s="115" t="str">
        <f t="shared" si="13"/>
        <v/>
      </c>
      <c r="M462" s="115" t="str">
        <f t="shared" si="14"/>
        <v/>
      </c>
      <c r="N462" s="115" t="str">
        <f t="shared" si="15"/>
        <v/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125" t="str">
        <f t="shared" si="9"/>
        <v/>
      </c>
      <c r="G463" s="4"/>
      <c r="H463" s="127" t="str">
        <f t="shared" si="10"/>
        <v/>
      </c>
      <c r="I463" s="4"/>
      <c r="J463" s="115" t="str">
        <f t="shared" si="11"/>
        <v/>
      </c>
      <c r="K463" s="115" t="str">
        <f t="shared" si="12"/>
        <v/>
      </c>
      <c r="L463" s="115" t="str">
        <f t="shared" si="13"/>
        <v/>
      </c>
      <c r="M463" s="115" t="str">
        <f t="shared" si="14"/>
        <v/>
      </c>
      <c r="N463" s="115" t="str">
        <f t="shared" si="15"/>
        <v/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125" t="str">
        <f t="shared" si="9"/>
        <v/>
      </c>
      <c r="G464" s="4"/>
      <c r="H464" s="127" t="str">
        <f t="shared" si="10"/>
        <v/>
      </c>
      <c r="I464" s="4"/>
      <c r="J464" s="115" t="str">
        <f t="shared" si="11"/>
        <v/>
      </c>
      <c r="K464" s="115" t="str">
        <f t="shared" si="12"/>
        <v/>
      </c>
      <c r="L464" s="115" t="str">
        <f t="shared" si="13"/>
        <v/>
      </c>
      <c r="M464" s="115" t="str">
        <f t="shared" si="14"/>
        <v/>
      </c>
      <c r="N464" s="115" t="str">
        <f t="shared" si="15"/>
        <v/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125" t="str">
        <f t="shared" si="9"/>
        <v/>
      </c>
      <c r="G465" s="4"/>
      <c r="H465" s="127" t="str">
        <f t="shared" si="10"/>
        <v/>
      </c>
      <c r="I465" s="4"/>
      <c r="J465" s="115" t="str">
        <f t="shared" si="11"/>
        <v/>
      </c>
      <c r="K465" s="115" t="str">
        <f t="shared" si="12"/>
        <v/>
      </c>
      <c r="L465" s="115" t="str">
        <f t="shared" si="13"/>
        <v/>
      </c>
      <c r="M465" s="115" t="str">
        <f t="shared" si="14"/>
        <v/>
      </c>
      <c r="N465" s="115" t="str">
        <f t="shared" si="15"/>
        <v/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125" t="str">
        <f t="shared" si="9"/>
        <v/>
      </c>
      <c r="G466" s="4"/>
      <c r="H466" s="127" t="str">
        <f t="shared" si="10"/>
        <v/>
      </c>
      <c r="I466" s="4"/>
      <c r="J466" s="115" t="str">
        <f t="shared" si="11"/>
        <v/>
      </c>
      <c r="K466" s="115" t="str">
        <f t="shared" si="12"/>
        <v/>
      </c>
      <c r="L466" s="115" t="str">
        <f t="shared" si="13"/>
        <v/>
      </c>
      <c r="M466" s="115" t="str">
        <f t="shared" si="14"/>
        <v/>
      </c>
      <c r="N466" s="115" t="str">
        <f t="shared" si="15"/>
        <v/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125" t="str">
        <f t="shared" si="9"/>
        <v/>
      </c>
      <c r="G467" s="4"/>
      <c r="H467" s="127" t="str">
        <f t="shared" si="10"/>
        <v/>
      </c>
      <c r="I467" s="4"/>
      <c r="J467" s="115" t="str">
        <f t="shared" si="11"/>
        <v/>
      </c>
      <c r="K467" s="115" t="str">
        <f t="shared" si="12"/>
        <v/>
      </c>
      <c r="L467" s="115" t="str">
        <f t="shared" si="13"/>
        <v/>
      </c>
      <c r="M467" s="115" t="str">
        <f t="shared" si="14"/>
        <v/>
      </c>
      <c r="N467" s="115" t="str">
        <f t="shared" si="15"/>
        <v/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125" t="str">
        <f t="shared" si="9"/>
        <v/>
      </c>
      <c r="G468" s="4"/>
      <c r="H468" s="127" t="str">
        <f t="shared" si="10"/>
        <v/>
      </c>
      <c r="I468" s="4"/>
      <c r="J468" s="115" t="str">
        <f t="shared" si="11"/>
        <v/>
      </c>
      <c r="K468" s="115" t="str">
        <f t="shared" si="12"/>
        <v/>
      </c>
      <c r="L468" s="115" t="str">
        <f t="shared" si="13"/>
        <v/>
      </c>
      <c r="M468" s="115" t="str">
        <f t="shared" si="14"/>
        <v/>
      </c>
      <c r="N468" s="115" t="str">
        <f t="shared" si="15"/>
        <v/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125" t="str">
        <f t="shared" si="9"/>
        <v/>
      </c>
      <c r="G469" s="4"/>
      <c r="H469" s="127" t="str">
        <f t="shared" si="10"/>
        <v/>
      </c>
      <c r="I469" s="4"/>
      <c r="J469" s="115" t="str">
        <f t="shared" si="11"/>
        <v/>
      </c>
      <c r="K469" s="115" t="str">
        <f t="shared" si="12"/>
        <v/>
      </c>
      <c r="L469" s="115" t="str">
        <f t="shared" si="13"/>
        <v/>
      </c>
      <c r="M469" s="115" t="str">
        <f t="shared" si="14"/>
        <v/>
      </c>
      <c r="N469" s="115" t="str">
        <f t="shared" si="15"/>
        <v/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125" t="str">
        <f t="shared" si="9"/>
        <v/>
      </c>
      <c r="G470" s="4"/>
      <c r="H470" s="127" t="str">
        <f t="shared" si="10"/>
        <v/>
      </c>
      <c r="I470" s="4"/>
      <c r="J470" s="115" t="str">
        <f t="shared" si="11"/>
        <v/>
      </c>
      <c r="K470" s="115" t="str">
        <f t="shared" si="12"/>
        <v/>
      </c>
      <c r="L470" s="115" t="str">
        <f t="shared" si="13"/>
        <v/>
      </c>
      <c r="M470" s="115" t="str">
        <f t="shared" si="14"/>
        <v/>
      </c>
      <c r="N470" s="115" t="str">
        <f t="shared" si="15"/>
        <v/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125" t="str">
        <f t="shared" si="9"/>
        <v/>
      </c>
      <c r="G471" s="4"/>
      <c r="H471" s="127" t="str">
        <f t="shared" si="10"/>
        <v/>
      </c>
      <c r="I471" s="4"/>
      <c r="J471" s="115" t="str">
        <f t="shared" si="11"/>
        <v/>
      </c>
      <c r="K471" s="115" t="str">
        <f t="shared" si="12"/>
        <v/>
      </c>
      <c r="L471" s="115" t="str">
        <f t="shared" si="13"/>
        <v/>
      </c>
      <c r="M471" s="115" t="str">
        <f t="shared" si="14"/>
        <v/>
      </c>
      <c r="N471" s="115" t="str">
        <f t="shared" si="15"/>
        <v/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125" t="str">
        <f t="shared" si="9"/>
        <v/>
      </c>
      <c r="G472" s="4"/>
      <c r="H472" s="127" t="str">
        <f t="shared" si="10"/>
        <v/>
      </c>
      <c r="I472" s="4"/>
      <c r="J472" s="115" t="str">
        <f t="shared" si="11"/>
        <v/>
      </c>
      <c r="K472" s="115" t="str">
        <f t="shared" si="12"/>
        <v/>
      </c>
      <c r="L472" s="115" t="str">
        <f t="shared" si="13"/>
        <v/>
      </c>
      <c r="M472" s="115" t="str">
        <f t="shared" si="14"/>
        <v/>
      </c>
      <c r="N472" s="115" t="str">
        <f t="shared" si="15"/>
        <v/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125" t="str">
        <f t="shared" si="9"/>
        <v/>
      </c>
      <c r="G473" s="4"/>
      <c r="H473" s="127" t="str">
        <f t="shared" si="10"/>
        <v/>
      </c>
      <c r="I473" s="4"/>
      <c r="J473" s="115" t="str">
        <f t="shared" si="11"/>
        <v/>
      </c>
      <c r="K473" s="115" t="str">
        <f t="shared" si="12"/>
        <v/>
      </c>
      <c r="L473" s="115" t="str">
        <f t="shared" si="13"/>
        <v/>
      </c>
      <c r="M473" s="115" t="str">
        <f t="shared" si="14"/>
        <v/>
      </c>
      <c r="N473" s="115" t="str">
        <f t="shared" si="15"/>
        <v/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125" t="str">
        <f t="shared" si="9"/>
        <v/>
      </c>
      <c r="G474" s="4"/>
      <c r="H474" s="127" t="str">
        <f t="shared" si="10"/>
        <v/>
      </c>
      <c r="I474" s="4"/>
      <c r="J474" s="115" t="str">
        <f t="shared" si="11"/>
        <v/>
      </c>
      <c r="K474" s="115" t="str">
        <f t="shared" si="12"/>
        <v/>
      </c>
      <c r="L474" s="115" t="str">
        <f t="shared" si="13"/>
        <v/>
      </c>
      <c r="M474" s="115" t="str">
        <f t="shared" si="14"/>
        <v/>
      </c>
      <c r="N474" s="115" t="str">
        <f t="shared" si="15"/>
        <v/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125" t="str">
        <f t="shared" si="9"/>
        <v/>
      </c>
      <c r="G475" s="4"/>
      <c r="H475" s="127" t="str">
        <f t="shared" si="10"/>
        <v/>
      </c>
      <c r="I475" s="4"/>
      <c r="J475" s="115" t="str">
        <f t="shared" si="11"/>
        <v/>
      </c>
      <c r="K475" s="115" t="str">
        <f t="shared" si="12"/>
        <v/>
      </c>
      <c r="L475" s="115" t="str">
        <f t="shared" si="13"/>
        <v/>
      </c>
      <c r="M475" s="115" t="str">
        <f t="shared" si="14"/>
        <v/>
      </c>
      <c r="N475" s="115" t="str">
        <f t="shared" si="15"/>
        <v/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125" t="str">
        <f t="shared" si="9"/>
        <v/>
      </c>
      <c r="G476" s="4"/>
      <c r="H476" s="127" t="str">
        <f t="shared" si="10"/>
        <v/>
      </c>
      <c r="I476" s="4"/>
      <c r="J476" s="115" t="str">
        <f t="shared" si="11"/>
        <v/>
      </c>
      <c r="K476" s="115" t="str">
        <f t="shared" si="12"/>
        <v/>
      </c>
      <c r="L476" s="115" t="str">
        <f t="shared" si="13"/>
        <v/>
      </c>
      <c r="M476" s="115" t="str">
        <f t="shared" si="14"/>
        <v/>
      </c>
      <c r="N476" s="115" t="str">
        <f t="shared" si="15"/>
        <v/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125" t="str">
        <f t="shared" si="9"/>
        <v/>
      </c>
      <c r="G477" s="4"/>
      <c r="H477" s="127" t="str">
        <f t="shared" si="10"/>
        <v/>
      </c>
      <c r="I477" s="4"/>
      <c r="J477" s="115" t="str">
        <f t="shared" si="11"/>
        <v/>
      </c>
      <c r="K477" s="115" t="str">
        <f t="shared" si="12"/>
        <v/>
      </c>
      <c r="L477" s="115" t="str">
        <f t="shared" si="13"/>
        <v/>
      </c>
      <c r="M477" s="115" t="str">
        <f t="shared" si="14"/>
        <v/>
      </c>
      <c r="N477" s="115" t="str">
        <f t="shared" si="15"/>
        <v/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125" t="str">
        <f t="shared" si="9"/>
        <v/>
      </c>
      <c r="G478" s="4"/>
      <c r="H478" s="127" t="str">
        <f t="shared" si="10"/>
        <v/>
      </c>
      <c r="I478" s="4"/>
      <c r="J478" s="115" t="str">
        <f t="shared" si="11"/>
        <v/>
      </c>
      <c r="K478" s="115" t="str">
        <f t="shared" si="12"/>
        <v/>
      </c>
      <c r="L478" s="115" t="str">
        <f t="shared" si="13"/>
        <v/>
      </c>
      <c r="M478" s="115" t="str">
        <f t="shared" si="14"/>
        <v/>
      </c>
      <c r="N478" s="115" t="str">
        <f t="shared" si="15"/>
        <v/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125" t="str">
        <f t="shared" si="9"/>
        <v/>
      </c>
      <c r="G479" s="4"/>
      <c r="H479" s="127" t="str">
        <f t="shared" si="10"/>
        <v/>
      </c>
      <c r="I479" s="4"/>
      <c r="J479" s="115" t="str">
        <f t="shared" si="11"/>
        <v/>
      </c>
      <c r="K479" s="115" t="str">
        <f t="shared" si="12"/>
        <v/>
      </c>
      <c r="L479" s="115" t="str">
        <f t="shared" si="13"/>
        <v/>
      </c>
      <c r="M479" s="115" t="str">
        <f t="shared" si="14"/>
        <v/>
      </c>
      <c r="N479" s="115" t="str">
        <f t="shared" si="15"/>
        <v/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125" t="str">
        <f t="shared" si="9"/>
        <v/>
      </c>
      <c r="G480" s="4"/>
      <c r="H480" s="127" t="str">
        <f t="shared" si="10"/>
        <v/>
      </c>
      <c r="I480" s="4"/>
      <c r="J480" s="115" t="str">
        <f t="shared" si="11"/>
        <v/>
      </c>
      <c r="K480" s="115" t="str">
        <f t="shared" si="12"/>
        <v/>
      </c>
      <c r="L480" s="115" t="str">
        <f t="shared" si="13"/>
        <v/>
      </c>
      <c r="M480" s="115" t="str">
        <f t="shared" si="14"/>
        <v/>
      </c>
      <c r="N480" s="115" t="str">
        <f t="shared" si="15"/>
        <v/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125" t="str">
        <f t="shared" si="9"/>
        <v/>
      </c>
      <c r="G481" s="4"/>
      <c r="H481" s="127" t="str">
        <f t="shared" si="10"/>
        <v/>
      </c>
      <c r="I481" s="4"/>
      <c r="J481" s="115" t="str">
        <f t="shared" si="11"/>
        <v/>
      </c>
      <c r="K481" s="115" t="str">
        <f t="shared" si="12"/>
        <v/>
      </c>
      <c r="L481" s="115" t="str">
        <f t="shared" si="13"/>
        <v/>
      </c>
      <c r="M481" s="115" t="str">
        <f t="shared" si="14"/>
        <v/>
      </c>
      <c r="N481" s="115" t="str">
        <f t="shared" si="15"/>
        <v/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125" t="str">
        <f t="shared" si="9"/>
        <v/>
      </c>
      <c r="G482" s="4"/>
      <c r="H482" s="127" t="str">
        <f t="shared" si="10"/>
        <v/>
      </c>
      <c r="I482" s="4"/>
      <c r="J482" s="115" t="str">
        <f t="shared" si="11"/>
        <v/>
      </c>
      <c r="K482" s="115" t="str">
        <f t="shared" si="12"/>
        <v/>
      </c>
      <c r="L482" s="115" t="str">
        <f t="shared" si="13"/>
        <v/>
      </c>
      <c r="M482" s="115" t="str">
        <f t="shared" si="14"/>
        <v/>
      </c>
      <c r="N482" s="115" t="str">
        <f t="shared" si="15"/>
        <v/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125" t="str">
        <f t="shared" si="9"/>
        <v/>
      </c>
      <c r="G483" s="4"/>
      <c r="H483" s="127" t="str">
        <f t="shared" si="10"/>
        <v/>
      </c>
      <c r="I483" s="4"/>
      <c r="J483" s="115" t="str">
        <f t="shared" si="11"/>
        <v/>
      </c>
      <c r="K483" s="115" t="str">
        <f t="shared" si="12"/>
        <v/>
      </c>
      <c r="L483" s="115" t="str">
        <f t="shared" si="13"/>
        <v/>
      </c>
      <c r="M483" s="115" t="str">
        <f t="shared" si="14"/>
        <v/>
      </c>
      <c r="N483" s="115" t="str">
        <f t="shared" si="15"/>
        <v/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125" t="str">
        <f t="shared" si="9"/>
        <v/>
      </c>
      <c r="G484" s="4"/>
      <c r="H484" s="127" t="str">
        <f t="shared" si="10"/>
        <v/>
      </c>
      <c r="I484" s="4"/>
      <c r="J484" s="115" t="str">
        <f t="shared" si="11"/>
        <v/>
      </c>
      <c r="K484" s="115" t="str">
        <f t="shared" si="12"/>
        <v/>
      </c>
      <c r="L484" s="115" t="str">
        <f t="shared" si="13"/>
        <v/>
      </c>
      <c r="M484" s="115" t="str">
        <f t="shared" si="14"/>
        <v/>
      </c>
      <c r="N484" s="115" t="str">
        <f t="shared" si="15"/>
        <v/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125" t="str">
        <f t="shared" si="9"/>
        <v/>
      </c>
      <c r="G485" s="4"/>
      <c r="H485" s="127" t="str">
        <f t="shared" si="10"/>
        <v/>
      </c>
      <c r="I485" s="4"/>
      <c r="J485" s="115" t="str">
        <f t="shared" si="11"/>
        <v/>
      </c>
      <c r="K485" s="115" t="str">
        <f t="shared" si="12"/>
        <v/>
      </c>
      <c r="L485" s="115" t="str">
        <f t="shared" si="13"/>
        <v/>
      </c>
      <c r="M485" s="115" t="str">
        <f t="shared" si="14"/>
        <v/>
      </c>
      <c r="N485" s="115" t="str">
        <f t="shared" si="15"/>
        <v/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125" t="str">
        <f t="shared" si="9"/>
        <v/>
      </c>
      <c r="G486" s="4"/>
      <c r="H486" s="127" t="str">
        <f t="shared" si="10"/>
        <v/>
      </c>
      <c r="I486" s="4"/>
      <c r="J486" s="115" t="str">
        <f t="shared" si="11"/>
        <v/>
      </c>
      <c r="K486" s="115" t="str">
        <f t="shared" si="12"/>
        <v/>
      </c>
      <c r="L486" s="115" t="str">
        <f t="shared" si="13"/>
        <v/>
      </c>
      <c r="M486" s="115" t="str">
        <f t="shared" si="14"/>
        <v/>
      </c>
      <c r="N486" s="115" t="str">
        <f t="shared" si="15"/>
        <v/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125" t="str">
        <f t="shared" si="9"/>
        <v/>
      </c>
      <c r="G487" s="4"/>
      <c r="H487" s="127" t="str">
        <f t="shared" si="10"/>
        <v/>
      </c>
      <c r="I487" s="4"/>
      <c r="J487" s="115" t="str">
        <f t="shared" si="11"/>
        <v/>
      </c>
      <c r="K487" s="115" t="str">
        <f t="shared" si="12"/>
        <v/>
      </c>
      <c r="L487" s="115" t="str">
        <f t="shared" si="13"/>
        <v/>
      </c>
      <c r="M487" s="115" t="str">
        <f t="shared" si="14"/>
        <v/>
      </c>
      <c r="N487" s="115" t="str">
        <f t="shared" si="15"/>
        <v/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125" t="str">
        <f t="shared" si="9"/>
        <v/>
      </c>
      <c r="G488" s="4"/>
      <c r="H488" s="127" t="str">
        <f t="shared" si="10"/>
        <v/>
      </c>
      <c r="I488" s="4"/>
      <c r="J488" s="115" t="str">
        <f t="shared" si="11"/>
        <v/>
      </c>
      <c r="K488" s="115" t="str">
        <f t="shared" si="12"/>
        <v/>
      </c>
      <c r="L488" s="115" t="str">
        <f t="shared" si="13"/>
        <v/>
      </c>
      <c r="M488" s="115" t="str">
        <f t="shared" si="14"/>
        <v/>
      </c>
      <c r="N488" s="115" t="str">
        <f t="shared" si="15"/>
        <v/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125" t="str">
        <f t="shared" si="9"/>
        <v/>
      </c>
      <c r="G489" s="4"/>
      <c r="H489" s="127" t="str">
        <f t="shared" si="10"/>
        <v/>
      </c>
      <c r="I489" s="4"/>
      <c r="J489" s="115" t="str">
        <f t="shared" si="11"/>
        <v/>
      </c>
      <c r="K489" s="115" t="str">
        <f t="shared" si="12"/>
        <v/>
      </c>
      <c r="L489" s="115" t="str">
        <f t="shared" si="13"/>
        <v/>
      </c>
      <c r="M489" s="115" t="str">
        <f t="shared" si="14"/>
        <v/>
      </c>
      <c r="N489" s="115" t="str">
        <f t="shared" si="15"/>
        <v/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125" t="str">
        <f t="shared" si="9"/>
        <v/>
      </c>
      <c r="G490" s="4"/>
      <c r="H490" s="127" t="str">
        <f t="shared" si="10"/>
        <v/>
      </c>
      <c r="I490" s="4"/>
      <c r="J490" s="115" t="str">
        <f t="shared" si="11"/>
        <v/>
      </c>
      <c r="K490" s="115" t="str">
        <f t="shared" si="12"/>
        <v/>
      </c>
      <c r="L490" s="115" t="str">
        <f t="shared" si="13"/>
        <v/>
      </c>
      <c r="M490" s="115" t="str">
        <f t="shared" si="14"/>
        <v/>
      </c>
      <c r="N490" s="115" t="str">
        <f t="shared" si="15"/>
        <v/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125" t="str">
        <f t="shared" si="9"/>
        <v/>
      </c>
      <c r="G491" s="4"/>
      <c r="H491" s="127" t="str">
        <f t="shared" si="10"/>
        <v/>
      </c>
      <c r="I491" s="4"/>
      <c r="J491" s="115" t="str">
        <f t="shared" si="11"/>
        <v/>
      </c>
      <c r="K491" s="115" t="str">
        <f t="shared" si="12"/>
        <v/>
      </c>
      <c r="L491" s="115" t="str">
        <f t="shared" si="13"/>
        <v/>
      </c>
      <c r="M491" s="115" t="str">
        <f t="shared" si="14"/>
        <v/>
      </c>
      <c r="N491" s="115" t="str">
        <f t="shared" si="15"/>
        <v/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125" t="str">
        <f t="shared" si="9"/>
        <v/>
      </c>
      <c r="G492" s="4"/>
      <c r="H492" s="127" t="str">
        <f t="shared" si="10"/>
        <v/>
      </c>
      <c r="I492" s="4"/>
      <c r="J492" s="115" t="str">
        <f t="shared" si="11"/>
        <v/>
      </c>
      <c r="K492" s="115" t="str">
        <f t="shared" si="12"/>
        <v/>
      </c>
      <c r="L492" s="115" t="str">
        <f t="shared" si="13"/>
        <v/>
      </c>
      <c r="M492" s="115" t="str">
        <f t="shared" si="14"/>
        <v/>
      </c>
      <c r="N492" s="115" t="str">
        <f t="shared" si="15"/>
        <v/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125" t="str">
        <f t="shared" si="9"/>
        <v/>
      </c>
      <c r="G493" s="4"/>
      <c r="H493" s="127" t="str">
        <f t="shared" si="10"/>
        <v/>
      </c>
      <c r="I493" s="4"/>
      <c r="J493" s="115" t="str">
        <f t="shared" si="11"/>
        <v/>
      </c>
      <c r="K493" s="115" t="str">
        <f t="shared" si="12"/>
        <v/>
      </c>
      <c r="L493" s="115" t="str">
        <f t="shared" si="13"/>
        <v/>
      </c>
      <c r="M493" s="115" t="str">
        <f t="shared" si="14"/>
        <v/>
      </c>
      <c r="N493" s="115" t="str">
        <f t="shared" si="15"/>
        <v/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125" t="str">
        <f t="shared" si="9"/>
        <v/>
      </c>
      <c r="G494" s="4"/>
      <c r="H494" s="127" t="str">
        <f t="shared" si="10"/>
        <v/>
      </c>
      <c r="I494" s="4"/>
      <c r="J494" s="115" t="str">
        <f t="shared" si="11"/>
        <v/>
      </c>
      <c r="K494" s="115" t="str">
        <f t="shared" si="12"/>
        <v/>
      </c>
      <c r="L494" s="115" t="str">
        <f t="shared" si="13"/>
        <v/>
      </c>
      <c r="M494" s="115" t="str">
        <f t="shared" si="14"/>
        <v/>
      </c>
      <c r="N494" s="115" t="str">
        <f t="shared" si="15"/>
        <v/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125" t="str">
        <f t="shared" si="9"/>
        <v/>
      </c>
      <c r="G495" s="4"/>
      <c r="H495" s="127" t="str">
        <f t="shared" si="10"/>
        <v/>
      </c>
      <c r="I495" s="4"/>
      <c r="J495" s="115" t="str">
        <f t="shared" si="11"/>
        <v/>
      </c>
      <c r="K495" s="115" t="str">
        <f t="shared" si="12"/>
        <v/>
      </c>
      <c r="L495" s="115" t="str">
        <f t="shared" si="13"/>
        <v/>
      </c>
      <c r="M495" s="115" t="str">
        <f t="shared" si="14"/>
        <v/>
      </c>
      <c r="N495" s="115" t="str">
        <f t="shared" si="15"/>
        <v/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125" t="str">
        <f t="shared" si="9"/>
        <v/>
      </c>
      <c r="G496" s="4"/>
      <c r="H496" s="127" t="str">
        <f t="shared" si="10"/>
        <v/>
      </c>
      <c r="I496" s="4"/>
      <c r="J496" s="115" t="str">
        <f t="shared" si="11"/>
        <v/>
      </c>
      <c r="K496" s="115" t="str">
        <f t="shared" si="12"/>
        <v/>
      </c>
      <c r="L496" s="115" t="str">
        <f t="shared" si="13"/>
        <v/>
      </c>
      <c r="M496" s="115" t="str">
        <f t="shared" si="14"/>
        <v/>
      </c>
      <c r="N496" s="115" t="str">
        <f t="shared" si="15"/>
        <v/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125" t="str">
        <f t="shared" si="9"/>
        <v/>
      </c>
      <c r="G497" s="4"/>
      <c r="H497" s="127" t="str">
        <f t="shared" si="10"/>
        <v/>
      </c>
      <c r="I497" s="4"/>
      <c r="J497" s="115" t="str">
        <f t="shared" si="11"/>
        <v/>
      </c>
      <c r="K497" s="115" t="str">
        <f t="shared" si="12"/>
        <v/>
      </c>
      <c r="L497" s="115" t="str">
        <f t="shared" si="13"/>
        <v/>
      </c>
      <c r="M497" s="115" t="str">
        <f t="shared" si="14"/>
        <v/>
      </c>
      <c r="N497" s="115" t="str">
        <f t="shared" si="15"/>
        <v/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125" t="str">
        <f t="shared" si="9"/>
        <v/>
      </c>
      <c r="G498" s="4"/>
      <c r="H498" s="127" t="str">
        <f t="shared" si="10"/>
        <v/>
      </c>
      <c r="I498" s="4"/>
      <c r="J498" s="115" t="str">
        <f t="shared" si="11"/>
        <v/>
      </c>
      <c r="K498" s="115" t="str">
        <f t="shared" si="12"/>
        <v/>
      </c>
      <c r="L498" s="115" t="str">
        <f t="shared" si="13"/>
        <v/>
      </c>
      <c r="M498" s="115" t="str">
        <f t="shared" si="14"/>
        <v/>
      </c>
      <c r="N498" s="115" t="str">
        <f t="shared" si="15"/>
        <v/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125" t="str">
        <f t="shared" si="9"/>
        <v/>
      </c>
      <c r="G499" s="4"/>
      <c r="H499" s="127" t="str">
        <f t="shared" si="10"/>
        <v/>
      </c>
      <c r="I499" s="4"/>
      <c r="J499" s="115" t="str">
        <f t="shared" si="11"/>
        <v/>
      </c>
      <c r="K499" s="115" t="str">
        <f t="shared" si="12"/>
        <v/>
      </c>
      <c r="L499" s="115" t="str">
        <f t="shared" si="13"/>
        <v/>
      </c>
      <c r="M499" s="115" t="str">
        <f t="shared" si="14"/>
        <v/>
      </c>
      <c r="N499" s="115" t="str">
        <f t="shared" si="15"/>
        <v/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125" t="str">
        <f t="shared" si="9"/>
        <v/>
      </c>
      <c r="G500" s="4"/>
      <c r="H500" s="127" t="str">
        <f t="shared" si="10"/>
        <v/>
      </c>
      <c r="I500" s="4"/>
      <c r="J500" s="115" t="str">
        <f t="shared" si="11"/>
        <v/>
      </c>
      <c r="K500" s="115" t="str">
        <f t="shared" si="12"/>
        <v/>
      </c>
      <c r="L500" s="115" t="str">
        <f t="shared" si="13"/>
        <v/>
      </c>
      <c r="M500" s="115" t="str">
        <f t="shared" si="14"/>
        <v/>
      </c>
      <c r="N500" s="115" t="str">
        <f t="shared" si="15"/>
        <v/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125" t="str">
        <f t="shared" si="9"/>
        <v/>
      </c>
      <c r="G501" s="4"/>
      <c r="H501" s="127" t="str">
        <f t="shared" si="10"/>
        <v/>
      </c>
      <c r="I501" s="4"/>
      <c r="J501" s="115" t="str">
        <f t="shared" si="11"/>
        <v/>
      </c>
      <c r="K501" s="115" t="str">
        <f t="shared" si="12"/>
        <v/>
      </c>
      <c r="L501" s="115" t="str">
        <f t="shared" si="13"/>
        <v/>
      </c>
      <c r="M501" s="115" t="str">
        <f t="shared" si="14"/>
        <v/>
      </c>
      <c r="N501" s="115" t="str">
        <f t="shared" si="15"/>
        <v/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125" t="str">
        <f t="shared" si="9"/>
        <v/>
      </c>
      <c r="G502" s="4"/>
      <c r="H502" s="127" t="str">
        <f t="shared" si="10"/>
        <v/>
      </c>
      <c r="I502" s="4"/>
      <c r="J502" s="115" t="str">
        <f t="shared" si="11"/>
        <v/>
      </c>
      <c r="K502" s="115" t="str">
        <f t="shared" si="12"/>
        <v/>
      </c>
      <c r="L502" s="115" t="str">
        <f t="shared" si="13"/>
        <v/>
      </c>
      <c r="M502" s="115" t="str">
        <f t="shared" si="14"/>
        <v/>
      </c>
      <c r="N502" s="115" t="str">
        <f t="shared" si="15"/>
        <v/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125" t="str">
        <f t="shared" si="9"/>
        <v/>
      </c>
      <c r="G503" s="4"/>
      <c r="H503" s="127" t="str">
        <f t="shared" si="10"/>
        <v/>
      </c>
      <c r="I503" s="4"/>
      <c r="J503" s="115" t="str">
        <f t="shared" si="11"/>
        <v/>
      </c>
      <c r="K503" s="115" t="str">
        <f t="shared" si="12"/>
        <v/>
      </c>
      <c r="L503" s="115" t="str">
        <f t="shared" si="13"/>
        <v/>
      </c>
      <c r="M503" s="115" t="str">
        <f t="shared" si="14"/>
        <v/>
      </c>
      <c r="N503" s="115" t="str">
        <f t="shared" si="15"/>
        <v/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125" t="str">
        <f t="shared" si="9"/>
        <v/>
      </c>
      <c r="G504" s="4"/>
      <c r="H504" s="127" t="str">
        <f t="shared" si="10"/>
        <v/>
      </c>
      <c r="I504" s="4"/>
      <c r="J504" s="115" t="str">
        <f t="shared" si="11"/>
        <v/>
      </c>
      <c r="K504" s="115" t="str">
        <f t="shared" si="12"/>
        <v/>
      </c>
      <c r="L504" s="115" t="str">
        <f t="shared" si="13"/>
        <v/>
      </c>
      <c r="M504" s="115" t="str">
        <f t="shared" si="14"/>
        <v/>
      </c>
      <c r="N504" s="115" t="str">
        <f t="shared" si="15"/>
        <v/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125" t="str">
        <f t="shared" si="9"/>
        <v/>
      </c>
      <c r="G505" s="4"/>
      <c r="H505" s="127" t="str">
        <f t="shared" si="10"/>
        <v/>
      </c>
      <c r="I505" s="4"/>
      <c r="J505" s="115" t="str">
        <f t="shared" si="11"/>
        <v/>
      </c>
      <c r="K505" s="115" t="str">
        <f t="shared" si="12"/>
        <v/>
      </c>
      <c r="L505" s="115" t="str">
        <f t="shared" si="13"/>
        <v/>
      </c>
      <c r="M505" s="115" t="str">
        <f t="shared" si="14"/>
        <v/>
      </c>
      <c r="N505" s="115" t="str">
        <f t="shared" si="15"/>
        <v/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125" t="str">
        <f t="shared" si="9"/>
        <v/>
      </c>
      <c r="G506" s="4"/>
      <c r="H506" s="127" t="str">
        <f t="shared" si="10"/>
        <v/>
      </c>
      <c r="I506" s="4"/>
      <c r="J506" s="115" t="str">
        <f t="shared" si="11"/>
        <v/>
      </c>
      <c r="K506" s="115" t="str">
        <f t="shared" si="12"/>
        <v/>
      </c>
      <c r="L506" s="115" t="str">
        <f t="shared" si="13"/>
        <v/>
      </c>
      <c r="M506" s="115" t="str">
        <f t="shared" si="14"/>
        <v/>
      </c>
      <c r="N506" s="115" t="str">
        <f t="shared" si="15"/>
        <v/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125" t="str">
        <f t="shared" si="9"/>
        <v/>
      </c>
      <c r="G507" s="4"/>
      <c r="H507" s="127" t="str">
        <f t="shared" si="10"/>
        <v/>
      </c>
      <c r="I507" s="4"/>
      <c r="J507" s="115" t="str">
        <f t="shared" si="11"/>
        <v/>
      </c>
      <c r="K507" s="115" t="str">
        <f t="shared" si="12"/>
        <v/>
      </c>
      <c r="L507" s="115" t="str">
        <f t="shared" si="13"/>
        <v/>
      </c>
      <c r="M507" s="115" t="str">
        <f t="shared" si="14"/>
        <v/>
      </c>
      <c r="N507" s="115" t="str">
        <f t="shared" si="15"/>
        <v/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125" t="str">
        <f t="shared" si="9"/>
        <v/>
      </c>
      <c r="G508" s="4"/>
      <c r="H508" s="127" t="str">
        <f t="shared" si="10"/>
        <v/>
      </c>
      <c r="I508" s="4"/>
      <c r="J508" s="115" t="str">
        <f t="shared" si="11"/>
        <v/>
      </c>
      <c r="K508" s="115" t="str">
        <f t="shared" si="12"/>
        <v/>
      </c>
      <c r="L508" s="115" t="str">
        <f t="shared" si="13"/>
        <v/>
      </c>
      <c r="M508" s="115" t="str">
        <f t="shared" si="14"/>
        <v/>
      </c>
      <c r="N508" s="115" t="str">
        <f t="shared" si="15"/>
        <v/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125" t="str">
        <f t="shared" si="9"/>
        <v/>
      </c>
      <c r="G509" s="4"/>
      <c r="H509" s="127" t="str">
        <f t="shared" si="10"/>
        <v/>
      </c>
      <c r="I509" s="4"/>
      <c r="J509" s="115" t="str">
        <f t="shared" si="11"/>
        <v/>
      </c>
      <c r="K509" s="115" t="str">
        <f t="shared" si="12"/>
        <v/>
      </c>
      <c r="L509" s="115" t="str">
        <f t="shared" si="13"/>
        <v/>
      </c>
      <c r="M509" s="115" t="str">
        <f t="shared" si="14"/>
        <v/>
      </c>
      <c r="N509" s="115" t="str">
        <f t="shared" si="15"/>
        <v/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125" t="str">
        <f t="shared" si="9"/>
        <v/>
      </c>
      <c r="G510" s="4"/>
      <c r="H510" s="127" t="str">
        <f t="shared" si="10"/>
        <v/>
      </c>
      <c r="I510" s="4"/>
      <c r="J510" s="115" t="str">
        <f t="shared" si="11"/>
        <v/>
      </c>
      <c r="K510" s="115" t="str">
        <f t="shared" si="12"/>
        <v/>
      </c>
      <c r="L510" s="115" t="str">
        <f t="shared" si="13"/>
        <v/>
      </c>
      <c r="M510" s="115" t="str">
        <f t="shared" si="14"/>
        <v/>
      </c>
      <c r="N510" s="115" t="str">
        <f t="shared" si="15"/>
        <v/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125" t="str">
        <f t="shared" si="9"/>
        <v/>
      </c>
      <c r="G511" s="4"/>
      <c r="H511" s="127" t="str">
        <f t="shared" si="10"/>
        <v/>
      </c>
      <c r="I511" s="4"/>
      <c r="J511" s="115" t="str">
        <f t="shared" si="11"/>
        <v/>
      </c>
      <c r="K511" s="115" t="str">
        <f t="shared" si="12"/>
        <v/>
      </c>
      <c r="L511" s="115" t="str">
        <f t="shared" si="13"/>
        <v/>
      </c>
      <c r="M511" s="115" t="str">
        <f t="shared" si="14"/>
        <v/>
      </c>
      <c r="N511" s="115" t="str">
        <f t="shared" si="15"/>
        <v/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125" t="str">
        <f t="shared" si="9"/>
        <v/>
      </c>
      <c r="G512" s="4"/>
      <c r="H512" s="127" t="str">
        <f t="shared" si="10"/>
        <v/>
      </c>
      <c r="I512" s="4"/>
      <c r="J512" s="115" t="str">
        <f t="shared" si="11"/>
        <v/>
      </c>
      <c r="K512" s="115" t="str">
        <f t="shared" si="12"/>
        <v/>
      </c>
      <c r="L512" s="115" t="str">
        <f t="shared" si="13"/>
        <v/>
      </c>
      <c r="M512" s="115" t="str">
        <f t="shared" si="14"/>
        <v/>
      </c>
      <c r="N512" s="115" t="str">
        <f t="shared" si="15"/>
        <v/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125" t="str">
        <f t="shared" si="9"/>
        <v/>
      </c>
      <c r="G513" s="4"/>
      <c r="H513" s="127" t="str">
        <f t="shared" si="10"/>
        <v/>
      </c>
      <c r="I513" s="4"/>
      <c r="J513" s="115" t="str">
        <f t="shared" si="11"/>
        <v/>
      </c>
      <c r="K513" s="115" t="str">
        <f t="shared" si="12"/>
        <v/>
      </c>
      <c r="L513" s="115" t="str">
        <f t="shared" si="13"/>
        <v/>
      </c>
      <c r="M513" s="115" t="str">
        <f t="shared" si="14"/>
        <v/>
      </c>
      <c r="N513" s="115" t="str">
        <f t="shared" si="15"/>
        <v/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125" t="str">
        <f t="shared" si="9"/>
        <v/>
      </c>
      <c r="G514" s="4"/>
      <c r="H514" s="127" t="str">
        <f t="shared" si="10"/>
        <v/>
      </c>
      <c r="I514" s="4"/>
      <c r="J514" s="115" t="str">
        <f t="shared" si="11"/>
        <v/>
      </c>
      <c r="K514" s="115" t="str">
        <f t="shared" si="12"/>
        <v/>
      </c>
      <c r="L514" s="115" t="str">
        <f t="shared" si="13"/>
        <v/>
      </c>
      <c r="M514" s="115" t="str">
        <f t="shared" si="14"/>
        <v/>
      </c>
      <c r="N514" s="115" t="str">
        <f t="shared" si="15"/>
        <v/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125" t="str">
        <f t="shared" si="9"/>
        <v/>
      </c>
      <c r="G515" s="4"/>
      <c r="H515" s="127" t="str">
        <f t="shared" si="10"/>
        <v/>
      </c>
      <c r="I515" s="4"/>
      <c r="J515" s="115" t="str">
        <f t="shared" si="11"/>
        <v/>
      </c>
      <c r="K515" s="115" t="str">
        <f t="shared" si="12"/>
        <v/>
      </c>
      <c r="L515" s="115" t="str">
        <f t="shared" si="13"/>
        <v/>
      </c>
      <c r="M515" s="115" t="str">
        <f t="shared" si="14"/>
        <v/>
      </c>
      <c r="N515" s="115" t="str">
        <f t="shared" si="15"/>
        <v/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125" t="str">
        <f t="shared" si="9"/>
        <v/>
      </c>
      <c r="G516" s="4"/>
      <c r="H516" s="127" t="str">
        <f t="shared" si="10"/>
        <v/>
      </c>
      <c r="I516" s="4"/>
      <c r="J516" s="115" t="str">
        <f t="shared" si="11"/>
        <v/>
      </c>
      <c r="K516" s="115" t="str">
        <f t="shared" si="12"/>
        <v/>
      </c>
      <c r="L516" s="115" t="str">
        <f t="shared" si="13"/>
        <v/>
      </c>
      <c r="M516" s="115" t="str">
        <f t="shared" si="14"/>
        <v/>
      </c>
      <c r="N516" s="115" t="str">
        <f t="shared" si="15"/>
        <v/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125" t="str">
        <f t="shared" si="9"/>
        <v/>
      </c>
      <c r="G517" s="4"/>
      <c r="H517" s="127" t="str">
        <f t="shared" si="10"/>
        <v/>
      </c>
      <c r="I517" s="4"/>
      <c r="J517" s="115" t="str">
        <f t="shared" si="11"/>
        <v/>
      </c>
      <c r="K517" s="115" t="str">
        <f t="shared" si="12"/>
        <v/>
      </c>
      <c r="L517" s="115" t="str">
        <f t="shared" si="13"/>
        <v/>
      </c>
      <c r="M517" s="115" t="str">
        <f t="shared" si="14"/>
        <v/>
      </c>
      <c r="N517" s="115" t="str">
        <f t="shared" si="15"/>
        <v/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125" t="str">
        <f t="shared" si="9"/>
        <v/>
      </c>
      <c r="G518" s="4"/>
      <c r="H518" s="127" t="str">
        <f t="shared" si="10"/>
        <v/>
      </c>
      <c r="I518" s="4"/>
      <c r="J518" s="115" t="str">
        <f t="shared" si="11"/>
        <v/>
      </c>
      <c r="K518" s="115" t="str">
        <f t="shared" si="12"/>
        <v/>
      </c>
      <c r="L518" s="115" t="str">
        <f t="shared" si="13"/>
        <v/>
      </c>
      <c r="M518" s="115" t="str">
        <f t="shared" si="14"/>
        <v/>
      </c>
      <c r="N518" s="115" t="str">
        <f t="shared" si="15"/>
        <v/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125" t="str">
        <f t="shared" si="9"/>
        <v/>
      </c>
      <c r="G519" s="4"/>
      <c r="H519" s="127" t="str">
        <f t="shared" si="10"/>
        <v/>
      </c>
      <c r="I519" s="4"/>
      <c r="J519" s="115" t="str">
        <f t="shared" si="11"/>
        <v/>
      </c>
      <c r="K519" s="115" t="str">
        <f t="shared" si="12"/>
        <v/>
      </c>
      <c r="L519" s="115" t="str">
        <f t="shared" si="13"/>
        <v/>
      </c>
      <c r="M519" s="115" t="str">
        <f t="shared" si="14"/>
        <v/>
      </c>
      <c r="N519" s="115" t="str">
        <f t="shared" si="15"/>
        <v/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125" t="str">
        <f t="shared" si="9"/>
        <v/>
      </c>
      <c r="G520" s="4"/>
      <c r="H520" s="127" t="str">
        <f t="shared" si="10"/>
        <v/>
      </c>
      <c r="I520" s="4"/>
      <c r="J520" s="115" t="str">
        <f t="shared" si="11"/>
        <v/>
      </c>
      <c r="K520" s="115" t="str">
        <f t="shared" si="12"/>
        <v/>
      </c>
      <c r="L520" s="115" t="str">
        <f t="shared" si="13"/>
        <v/>
      </c>
      <c r="M520" s="115" t="str">
        <f t="shared" si="14"/>
        <v/>
      </c>
      <c r="N520" s="115" t="str">
        <f t="shared" si="15"/>
        <v/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125" t="str">
        <f t="shared" si="9"/>
        <v/>
      </c>
      <c r="G521" s="4"/>
      <c r="H521" s="127" t="str">
        <f t="shared" si="10"/>
        <v/>
      </c>
      <c r="I521" s="4"/>
      <c r="J521" s="115" t="str">
        <f t="shared" si="11"/>
        <v/>
      </c>
      <c r="K521" s="115" t="str">
        <f t="shared" si="12"/>
        <v/>
      </c>
      <c r="L521" s="115" t="str">
        <f t="shared" si="13"/>
        <v/>
      </c>
      <c r="M521" s="115" t="str">
        <f t="shared" si="14"/>
        <v/>
      </c>
      <c r="N521" s="115" t="str">
        <f t="shared" si="15"/>
        <v/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125" t="str">
        <f t="shared" si="9"/>
        <v/>
      </c>
      <c r="G522" s="4"/>
      <c r="H522" s="127" t="str">
        <f t="shared" si="10"/>
        <v/>
      </c>
      <c r="I522" s="4"/>
      <c r="J522" s="115" t="str">
        <f t="shared" si="11"/>
        <v/>
      </c>
      <c r="K522" s="115" t="str">
        <f t="shared" si="12"/>
        <v/>
      </c>
      <c r="L522" s="115" t="str">
        <f t="shared" si="13"/>
        <v/>
      </c>
      <c r="M522" s="115" t="str">
        <f t="shared" si="14"/>
        <v/>
      </c>
      <c r="N522" s="115" t="str">
        <f t="shared" si="15"/>
        <v/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125" t="str">
        <f t="shared" si="9"/>
        <v/>
      </c>
      <c r="G523" s="4"/>
      <c r="H523" s="127" t="str">
        <f t="shared" si="10"/>
        <v/>
      </c>
      <c r="I523" s="4"/>
      <c r="J523" s="115" t="str">
        <f t="shared" si="11"/>
        <v/>
      </c>
      <c r="K523" s="115" t="str">
        <f t="shared" si="12"/>
        <v/>
      </c>
      <c r="L523" s="115" t="str">
        <f t="shared" si="13"/>
        <v/>
      </c>
      <c r="M523" s="115" t="str">
        <f t="shared" si="14"/>
        <v/>
      </c>
      <c r="N523" s="115" t="str">
        <f t="shared" si="15"/>
        <v/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125" t="str">
        <f t="shared" si="9"/>
        <v/>
      </c>
      <c r="G524" s="4"/>
      <c r="H524" s="127" t="str">
        <f t="shared" si="10"/>
        <v/>
      </c>
      <c r="I524" s="4"/>
      <c r="J524" s="115" t="str">
        <f t="shared" si="11"/>
        <v/>
      </c>
      <c r="K524" s="115" t="str">
        <f t="shared" si="12"/>
        <v/>
      </c>
      <c r="L524" s="115" t="str">
        <f t="shared" si="13"/>
        <v/>
      </c>
      <c r="M524" s="115" t="str">
        <f t="shared" si="14"/>
        <v/>
      </c>
      <c r="N524" s="115" t="str">
        <f t="shared" si="15"/>
        <v/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125" t="str">
        <f t="shared" si="9"/>
        <v/>
      </c>
      <c r="G525" s="4"/>
      <c r="H525" s="127" t="str">
        <f t="shared" si="10"/>
        <v/>
      </c>
      <c r="I525" s="4"/>
      <c r="J525" s="115" t="str">
        <f t="shared" si="11"/>
        <v/>
      </c>
      <c r="K525" s="115" t="str">
        <f t="shared" si="12"/>
        <v/>
      </c>
      <c r="L525" s="115" t="str">
        <f t="shared" si="13"/>
        <v/>
      </c>
      <c r="M525" s="115" t="str">
        <f t="shared" si="14"/>
        <v/>
      </c>
      <c r="N525" s="115" t="str">
        <f t="shared" si="15"/>
        <v/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125" t="str">
        <f t="shared" si="9"/>
        <v/>
      </c>
      <c r="G526" s="4"/>
      <c r="H526" s="127" t="str">
        <f t="shared" si="10"/>
        <v/>
      </c>
      <c r="I526" s="4"/>
      <c r="J526" s="115" t="str">
        <f t="shared" si="11"/>
        <v/>
      </c>
      <c r="K526" s="115" t="str">
        <f t="shared" si="12"/>
        <v/>
      </c>
      <c r="L526" s="115" t="str">
        <f t="shared" si="13"/>
        <v/>
      </c>
      <c r="M526" s="115" t="str">
        <f t="shared" si="14"/>
        <v/>
      </c>
      <c r="N526" s="115" t="str">
        <f t="shared" si="15"/>
        <v/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125" t="str">
        <f t="shared" si="9"/>
        <v/>
      </c>
      <c r="G527" s="4"/>
      <c r="H527" s="127" t="str">
        <f t="shared" si="10"/>
        <v/>
      </c>
      <c r="I527" s="4"/>
      <c r="J527" s="115" t="str">
        <f t="shared" si="11"/>
        <v/>
      </c>
      <c r="K527" s="115" t="str">
        <f t="shared" si="12"/>
        <v/>
      </c>
      <c r="L527" s="115" t="str">
        <f t="shared" si="13"/>
        <v/>
      </c>
      <c r="M527" s="115" t="str">
        <f t="shared" si="14"/>
        <v/>
      </c>
      <c r="N527" s="115" t="str">
        <f t="shared" si="15"/>
        <v/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125" t="str">
        <f t="shared" si="9"/>
        <v/>
      </c>
      <c r="G528" s="4"/>
      <c r="H528" s="127" t="str">
        <f t="shared" si="10"/>
        <v/>
      </c>
      <c r="I528" s="4"/>
      <c r="J528" s="115" t="str">
        <f t="shared" si="11"/>
        <v/>
      </c>
      <c r="K528" s="115" t="str">
        <f t="shared" si="12"/>
        <v/>
      </c>
      <c r="L528" s="115" t="str">
        <f t="shared" si="13"/>
        <v/>
      </c>
      <c r="M528" s="115" t="str">
        <f t="shared" si="14"/>
        <v/>
      </c>
      <c r="N528" s="115" t="str">
        <f t="shared" si="15"/>
        <v/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125" t="str">
        <f t="shared" si="9"/>
        <v/>
      </c>
      <c r="G529" s="4"/>
      <c r="H529" s="127" t="str">
        <f t="shared" si="10"/>
        <v/>
      </c>
      <c r="I529" s="4"/>
      <c r="J529" s="115" t="str">
        <f t="shared" si="11"/>
        <v/>
      </c>
      <c r="K529" s="115" t="str">
        <f t="shared" si="12"/>
        <v/>
      </c>
      <c r="L529" s="115" t="str">
        <f t="shared" si="13"/>
        <v/>
      </c>
      <c r="M529" s="115" t="str">
        <f t="shared" si="14"/>
        <v/>
      </c>
      <c r="N529" s="115" t="str">
        <f t="shared" si="15"/>
        <v/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125" t="str">
        <f t="shared" si="9"/>
        <v/>
      </c>
      <c r="G530" s="4"/>
      <c r="H530" s="127" t="str">
        <f t="shared" si="10"/>
        <v/>
      </c>
      <c r="I530" s="4"/>
      <c r="J530" s="115" t="str">
        <f t="shared" si="11"/>
        <v/>
      </c>
      <c r="K530" s="115" t="str">
        <f t="shared" si="12"/>
        <v/>
      </c>
      <c r="L530" s="115" t="str">
        <f t="shared" si="13"/>
        <v/>
      </c>
      <c r="M530" s="115" t="str">
        <f t="shared" si="14"/>
        <v/>
      </c>
      <c r="N530" s="115" t="str">
        <f t="shared" si="15"/>
        <v/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125" t="str">
        <f t="shared" si="9"/>
        <v/>
      </c>
      <c r="G531" s="4"/>
      <c r="H531" s="127" t="str">
        <f t="shared" si="10"/>
        <v/>
      </c>
      <c r="I531" s="4"/>
      <c r="J531" s="115" t="str">
        <f t="shared" si="11"/>
        <v/>
      </c>
      <c r="K531" s="115" t="str">
        <f t="shared" si="12"/>
        <v/>
      </c>
      <c r="L531" s="115" t="str">
        <f t="shared" si="13"/>
        <v/>
      </c>
      <c r="M531" s="115" t="str">
        <f t="shared" si="14"/>
        <v/>
      </c>
      <c r="N531" s="115" t="str">
        <f t="shared" si="15"/>
        <v/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125" t="str">
        <f t="shared" si="9"/>
        <v/>
      </c>
      <c r="G532" s="4"/>
      <c r="H532" s="127" t="str">
        <f t="shared" si="10"/>
        <v/>
      </c>
      <c r="I532" s="4"/>
      <c r="J532" s="115" t="str">
        <f t="shared" si="11"/>
        <v/>
      </c>
      <c r="K532" s="115" t="str">
        <f t="shared" si="12"/>
        <v/>
      </c>
      <c r="L532" s="115" t="str">
        <f t="shared" si="13"/>
        <v/>
      </c>
      <c r="M532" s="115" t="str">
        <f t="shared" si="14"/>
        <v/>
      </c>
      <c r="N532" s="115" t="str">
        <f t="shared" si="15"/>
        <v/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125" t="str">
        <f t="shared" si="9"/>
        <v/>
      </c>
      <c r="G533" s="4"/>
      <c r="H533" s="127" t="str">
        <f t="shared" si="10"/>
        <v/>
      </c>
      <c r="I533" s="4"/>
      <c r="J533" s="115" t="str">
        <f t="shared" si="11"/>
        <v/>
      </c>
      <c r="K533" s="115" t="str">
        <f t="shared" si="12"/>
        <v/>
      </c>
      <c r="L533" s="115" t="str">
        <f t="shared" si="13"/>
        <v/>
      </c>
      <c r="M533" s="115" t="str">
        <f t="shared" si="14"/>
        <v/>
      </c>
      <c r="N533" s="115" t="str">
        <f t="shared" si="15"/>
        <v/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125" t="str">
        <f t="shared" si="9"/>
        <v/>
      </c>
      <c r="G534" s="4"/>
      <c r="H534" s="127" t="str">
        <f t="shared" si="10"/>
        <v/>
      </c>
      <c r="I534" s="4"/>
      <c r="J534" s="115" t="str">
        <f t="shared" si="11"/>
        <v/>
      </c>
      <c r="K534" s="115" t="str">
        <f t="shared" si="12"/>
        <v/>
      </c>
      <c r="L534" s="115" t="str">
        <f t="shared" si="13"/>
        <v/>
      </c>
      <c r="M534" s="115" t="str">
        <f t="shared" si="14"/>
        <v/>
      </c>
      <c r="N534" s="115" t="str">
        <f t="shared" si="15"/>
        <v/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125" t="str">
        <f t="shared" si="9"/>
        <v/>
      </c>
      <c r="G535" s="4"/>
      <c r="H535" s="127" t="str">
        <f t="shared" si="10"/>
        <v/>
      </c>
      <c r="I535" s="4"/>
      <c r="J535" s="115" t="str">
        <f t="shared" si="11"/>
        <v/>
      </c>
      <c r="K535" s="115" t="str">
        <f t="shared" si="12"/>
        <v/>
      </c>
      <c r="L535" s="115" t="str">
        <f t="shared" si="13"/>
        <v/>
      </c>
      <c r="M535" s="115" t="str">
        <f t="shared" si="14"/>
        <v/>
      </c>
      <c r="N535" s="115" t="str">
        <f t="shared" si="15"/>
        <v/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125" t="str">
        <f t="shared" si="9"/>
        <v/>
      </c>
      <c r="G536" s="4"/>
      <c r="H536" s="127" t="str">
        <f t="shared" si="10"/>
        <v/>
      </c>
      <c r="I536" s="4"/>
      <c r="J536" s="115" t="str">
        <f t="shared" si="11"/>
        <v/>
      </c>
      <c r="K536" s="115" t="str">
        <f t="shared" si="12"/>
        <v/>
      </c>
      <c r="L536" s="115" t="str">
        <f t="shared" si="13"/>
        <v/>
      </c>
      <c r="M536" s="115" t="str">
        <f t="shared" si="14"/>
        <v/>
      </c>
      <c r="N536" s="115" t="str">
        <f t="shared" si="15"/>
        <v/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125" t="str">
        <f t="shared" si="9"/>
        <v/>
      </c>
      <c r="G537" s="4"/>
      <c r="H537" s="127" t="str">
        <f t="shared" si="10"/>
        <v/>
      </c>
      <c r="I537" s="4"/>
      <c r="J537" s="115" t="str">
        <f t="shared" si="11"/>
        <v/>
      </c>
      <c r="K537" s="115" t="str">
        <f t="shared" si="12"/>
        <v/>
      </c>
      <c r="L537" s="115" t="str">
        <f t="shared" si="13"/>
        <v/>
      </c>
      <c r="M537" s="115" t="str">
        <f t="shared" si="14"/>
        <v/>
      </c>
      <c r="N537" s="115" t="str">
        <f t="shared" si="15"/>
        <v/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125" t="str">
        <f t="shared" si="9"/>
        <v/>
      </c>
      <c r="G538" s="4"/>
      <c r="H538" s="127" t="str">
        <f t="shared" si="10"/>
        <v/>
      </c>
      <c r="I538" s="4"/>
      <c r="J538" s="115" t="str">
        <f t="shared" si="11"/>
        <v/>
      </c>
      <c r="K538" s="115" t="str">
        <f t="shared" si="12"/>
        <v/>
      </c>
      <c r="L538" s="115" t="str">
        <f t="shared" si="13"/>
        <v/>
      </c>
      <c r="M538" s="115" t="str">
        <f t="shared" si="14"/>
        <v/>
      </c>
      <c r="N538" s="115" t="str">
        <f t="shared" si="15"/>
        <v/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125" t="str">
        <f t="shared" si="9"/>
        <v/>
      </c>
      <c r="G539" s="4"/>
      <c r="H539" s="127" t="str">
        <f t="shared" si="10"/>
        <v/>
      </c>
      <c r="I539" s="4"/>
      <c r="J539" s="115" t="str">
        <f t="shared" si="11"/>
        <v/>
      </c>
      <c r="K539" s="115" t="str">
        <f t="shared" si="12"/>
        <v/>
      </c>
      <c r="L539" s="115" t="str">
        <f t="shared" si="13"/>
        <v/>
      </c>
      <c r="M539" s="115" t="str">
        <f t="shared" si="14"/>
        <v/>
      </c>
      <c r="N539" s="115" t="str">
        <f t="shared" si="15"/>
        <v/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125" t="str">
        <f t="shared" si="9"/>
        <v/>
      </c>
      <c r="G540" s="4"/>
      <c r="H540" s="127" t="str">
        <f t="shared" si="10"/>
        <v/>
      </c>
      <c r="I540" s="4"/>
      <c r="J540" s="115" t="str">
        <f t="shared" si="11"/>
        <v/>
      </c>
      <c r="K540" s="115" t="str">
        <f t="shared" si="12"/>
        <v/>
      </c>
      <c r="L540" s="115" t="str">
        <f t="shared" si="13"/>
        <v/>
      </c>
      <c r="M540" s="115" t="str">
        <f t="shared" si="14"/>
        <v/>
      </c>
      <c r="N540" s="115" t="str">
        <f t="shared" si="15"/>
        <v/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125" t="str">
        <f t="shared" si="9"/>
        <v/>
      </c>
      <c r="G541" s="4"/>
      <c r="H541" s="127" t="str">
        <f t="shared" si="10"/>
        <v/>
      </c>
      <c r="I541" s="4"/>
      <c r="J541" s="115" t="str">
        <f t="shared" si="11"/>
        <v/>
      </c>
      <c r="K541" s="115" t="str">
        <f t="shared" si="12"/>
        <v/>
      </c>
      <c r="L541" s="115" t="str">
        <f t="shared" si="13"/>
        <v/>
      </c>
      <c r="M541" s="115" t="str">
        <f t="shared" si="14"/>
        <v/>
      </c>
      <c r="N541" s="115" t="str">
        <f t="shared" si="15"/>
        <v/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125" t="str">
        <f t="shared" si="9"/>
        <v/>
      </c>
      <c r="G542" s="4"/>
      <c r="H542" s="127" t="str">
        <f t="shared" si="10"/>
        <v/>
      </c>
      <c r="I542" s="4"/>
      <c r="J542" s="115" t="str">
        <f t="shared" si="11"/>
        <v/>
      </c>
      <c r="K542" s="115" t="str">
        <f t="shared" si="12"/>
        <v/>
      </c>
      <c r="L542" s="115" t="str">
        <f t="shared" si="13"/>
        <v/>
      </c>
      <c r="M542" s="115" t="str">
        <f t="shared" si="14"/>
        <v/>
      </c>
      <c r="N542" s="115" t="str">
        <f t="shared" si="15"/>
        <v/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125" t="str">
        <f t="shared" si="9"/>
        <v/>
      </c>
      <c r="G543" s="4"/>
      <c r="H543" s="127" t="str">
        <f t="shared" si="10"/>
        <v/>
      </c>
      <c r="I543" s="4"/>
      <c r="J543" s="115" t="str">
        <f t="shared" si="11"/>
        <v/>
      </c>
      <c r="K543" s="115" t="str">
        <f t="shared" si="12"/>
        <v/>
      </c>
      <c r="L543" s="115" t="str">
        <f t="shared" si="13"/>
        <v/>
      </c>
      <c r="M543" s="115" t="str">
        <f t="shared" si="14"/>
        <v/>
      </c>
      <c r="N543" s="115" t="str">
        <f t="shared" si="15"/>
        <v/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125" t="str">
        <f t="shared" si="9"/>
        <v/>
      </c>
      <c r="G544" s="4"/>
      <c r="H544" s="127" t="str">
        <f t="shared" si="10"/>
        <v/>
      </c>
      <c r="I544" s="4"/>
      <c r="J544" s="115" t="str">
        <f t="shared" si="11"/>
        <v/>
      </c>
      <c r="K544" s="115" t="str">
        <f t="shared" si="12"/>
        <v/>
      </c>
      <c r="L544" s="115" t="str">
        <f t="shared" si="13"/>
        <v/>
      </c>
      <c r="M544" s="115" t="str">
        <f t="shared" si="14"/>
        <v/>
      </c>
      <c r="N544" s="115" t="str">
        <f t="shared" si="15"/>
        <v/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125" t="str">
        <f t="shared" si="9"/>
        <v/>
      </c>
      <c r="G545" s="4"/>
      <c r="H545" s="127" t="str">
        <f t="shared" si="10"/>
        <v/>
      </c>
      <c r="I545" s="4"/>
      <c r="J545" s="115" t="str">
        <f t="shared" si="11"/>
        <v/>
      </c>
      <c r="K545" s="115" t="str">
        <f t="shared" si="12"/>
        <v/>
      </c>
      <c r="L545" s="115" t="str">
        <f t="shared" si="13"/>
        <v/>
      </c>
      <c r="M545" s="115" t="str">
        <f t="shared" si="14"/>
        <v/>
      </c>
      <c r="N545" s="115" t="str">
        <f t="shared" si="15"/>
        <v/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125" t="str">
        <f t="shared" si="9"/>
        <v/>
      </c>
      <c r="G546" s="4"/>
      <c r="H546" s="127" t="str">
        <f t="shared" si="10"/>
        <v/>
      </c>
      <c r="I546" s="4"/>
      <c r="J546" s="115" t="str">
        <f t="shared" si="11"/>
        <v/>
      </c>
      <c r="K546" s="115" t="str">
        <f t="shared" si="12"/>
        <v/>
      </c>
      <c r="L546" s="115" t="str">
        <f t="shared" si="13"/>
        <v/>
      </c>
      <c r="M546" s="115" t="str">
        <f t="shared" si="14"/>
        <v/>
      </c>
      <c r="N546" s="115" t="str">
        <f t="shared" si="15"/>
        <v/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125" t="str">
        <f t="shared" si="9"/>
        <v/>
      </c>
      <c r="G547" s="4"/>
      <c r="H547" s="127" t="str">
        <f t="shared" si="10"/>
        <v/>
      </c>
      <c r="I547" s="4"/>
      <c r="J547" s="115" t="str">
        <f t="shared" si="11"/>
        <v/>
      </c>
      <c r="K547" s="115" t="str">
        <f t="shared" si="12"/>
        <v/>
      </c>
      <c r="L547" s="115" t="str">
        <f t="shared" si="13"/>
        <v/>
      </c>
      <c r="M547" s="115" t="str">
        <f t="shared" si="14"/>
        <v/>
      </c>
      <c r="N547" s="115" t="str">
        <f t="shared" si="15"/>
        <v/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125" t="str">
        <f t="shared" si="9"/>
        <v/>
      </c>
      <c r="G548" s="4"/>
      <c r="H548" s="127" t="str">
        <f t="shared" si="10"/>
        <v/>
      </c>
      <c r="I548" s="4"/>
      <c r="J548" s="115" t="str">
        <f t="shared" si="11"/>
        <v/>
      </c>
      <c r="K548" s="115" t="str">
        <f t="shared" si="12"/>
        <v/>
      </c>
      <c r="L548" s="115" t="str">
        <f t="shared" si="13"/>
        <v/>
      </c>
      <c r="M548" s="115" t="str">
        <f t="shared" si="14"/>
        <v/>
      </c>
      <c r="N548" s="115" t="str">
        <f t="shared" si="15"/>
        <v/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125" t="str">
        <f t="shared" si="9"/>
        <v/>
      </c>
      <c r="G549" s="4"/>
      <c r="H549" s="127" t="str">
        <f t="shared" si="10"/>
        <v/>
      </c>
      <c r="I549" s="4"/>
      <c r="J549" s="115" t="str">
        <f t="shared" si="11"/>
        <v/>
      </c>
      <c r="K549" s="115" t="str">
        <f t="shared" si="12"/>
        <v/>
      </c>
      <c r="L549" s="115" t="str">
        <f t="shared" si="13"/>
        <v/>
      </c>
      <c r="M549" s="115" t="str">
        <f t="shared" si="14"/>
        <v/>
      </c>
      <c r="N549" s="115" t="str">
        <f t="shared" si="15"/>
        <v/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125" t="str">
        <f t="shared" si="9"/>
        <v/>
      </c>
      <c r="G550" s="4"/>
      <c r="H550" s="127" t="str">
        <f t="shared" si="10"/>
        <v/>
      </c>
      <c r="I550" s="4"/>
      <c r="J550" s="115" t="str">
        <f t="shared" si="11"/>
        <v/>
      </c>
      <c r="K550" s="115" t="str">
        <f t="shared" si="12"/>
        <v/>
      </c>
      <c r="L550" s="115" t="str">
        <f t="shared" si="13"/>
        <v/>
      </c>
      <c r="M550" s="115" t="str">
        <f t="shared" si="14"/>
        <v/>
      </c>
      <c r="N550" s="115" t="str">
        <f t="shared" si="15"/>
        <v/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125" t="str">
        <f t="shared" si="9"/>
        <v/>
      </c>
      <c r="G551" s="4"/>
      <c r="H551" s="127" t="str">
        <f t="shared" si="10"/>
        <v/>
      </c>
      <c r="I551" s="4"/>
      <c r="J551" s="115" t="str">
        <f t="shared" si="11"/>
        <v/>
      </c>
      <c r="K551" s="115" t="str">
        <f t="shared" si="12"/>
        <v/>
      </c>
      <c r="L551" s="115" t="str">
        <f t="shared" si="13"/>
        <v/>
      </c>
      <c r="M551" s="115" t="str">
        <f t="shared" si="14"/>
        <v/>
      </c>
      <c r="N551" s="115" t="str">
        <f t="shared" si="15"/>
        <v/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125" t="str">
        <f t="shared" si="9"/>
        <v/>
      </c>
      <c r="G552" s="4"/>
      <c r="H552" s="127" t="str">
        <f t="shared" si="10"/>
        <v/>
      </c>
      <c r="I552" s="4"/>
      <c r="J552" s="115" t="str">
        <f t="shared" si="11"/>
        <v/>
      </c>
      <c r="K552" s="115" t="str">
        <f t="shared" si="12"/>
        <v/>
      </c>
      <c r="L552" s="115" t="str">
        <f t="shared" si="13"/>
        <v/>
      </c>
      <c r="M552" s="115" t="str">
        <f t="shared" si="14"/>
        <v/>
      </c>
      <c r="N552" s="115" t="str">
        <f t="shared" si="15"/>
        <v/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125" t="str">
        <f t="shared" si="9"/>
        <v/>
      </c>
      <c r="G553" s="4"/>
      <c r="H553" s="127" t="str">
        <f t="shared" si="10"/>
        <v/>
      </c>
      <c r="I553" s="4"/>
      <c r="J553" s="115" t="str">
        <f t="shared" si="11"/>
        <v/>
      </c>
      <c r="K553" s="115" t="str">
        <f t="shared" si="12"/>
        <v/>
      </c>
      <c r="L553" s="115" t="str">
        <f t="shared" si="13"/>
        <v/>
      </c>
      <c r="M553" s="115" t="str">
        <f t="shared" si="14"/>
        <v/>
      </c>
      <c r="N553" s="115" t="str">
        <f t="shared" si="15"/>
        <v/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125" t="str">
        <f t="shared" si="9"/>
        <v/>
      </c>
      <c r="G554" s="4"/>
      <c r="H554" s="127" t="str">
        <f t="shared" si="10"/>
        <v/>
      </c>
      <c r="I554" s="4"/>
      <c r="J554" s="115" t="str">
        <f t="shared" si="11"/>
        <v/>
      </c>
      <c r="K554" s="115" t="str">
        <f t="shared" si="12"/>
        <v/>
      </c>
      <c r="L554" s="115" t="str">
        <f t="shared" si="13"/>
        <v/>
      </c>
      <c r="M554" s="115" t="str">
        <f t="shared" si="14"/>
        <v/>
      </c>
      <c r="N554" s="115" t="str">
        <f t="shared" si="15"/>
        <v/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125" t="str">
        <f t="shared" si="9"/>
        <v/>
      </c>
      <c r="G555" s="4"/>
      <c r="H555" s="127" t="str">
        <f t="shared" si="10"/>
        <v/>
      </c>
      <c r="I555" s="4"/>
      <c r="J555" s="115" t="str">
        <f t="shared" si="11"/>
        <v/>
      </c>
      <c r="K555" s="115" t="str">
        <f t="shared" si="12"/>
        <v/>
      </c>
      <c r="L555" s="115" t="str">
        <f t="shared" si="13"/>
        <v/>
      </c>
      <c r="M555" s="115" t="str">
        <f t="shared" si="14"/>
        <v/>
      </c>
      <c r="N555" s="115" t="str">
        <f t="shared" si="15"/>
        <v/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125" t="str">
        <f t="shared" si="9"/>
        <v/>
      </c>
      <c r="G556" s="4"/>
      <c r="H556" s="127" t="str">
        <f t="shared" si="10"/>
        <v/>
      </c>
      <c r="I556" s="4"/>
      <c r="J556" s="115" t="str">
        <f t="shared" si="11"/>
        <v/>
      </c>
      <c r="K556" s="115" t="str">
        <f t="shared" si="12"/>
        <v/>
      </c>
      <c r="L556" s="115" t="str">
        <f t="shared" si="13"/>
        <v/>
      </c>
      <c r="M556" s="115" t="str">
        <f t="shared" si="14"/>
        <v/>
      </c>
      <c r="N556" s="115" t="str">
        <f t="shared" si="15"/>
        <v/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125" t="str">
        <f t="shared" si="9"/>
        <v/>
      </c>
      <c r="G557" s="4"/>
      <c r="H557" s="127" t="str">
        <f t="shared" si="10"/>
        <v/>
      </c>
      <c r="I557" s="4"/>
      <c r="J557" s="115" t="str">
        <f t="shared" si="11"/>
        <v/>
      </c>
      <c r="K557" s="115" t="str">
        <f t="shared" si="12"/>
        <v/>
      </c>
      <c r="L557" s="115" t="str">
        <f t="shared" si="13"/>
        <v/>
      </c>
      <c r="M557" s="115" t="str">
        <f t="shared" si="14"/>
        <v/>
      </c>
      <c r="N557" s="115" t="str">
        <f t="shared" si="15"/>
        <v/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125" t="str">
        <f t="shared" si="9"/>
        <v/>
      </c>
      <c r="G558" s="4"/>
      <c r="H558" s="127" t="str">
        <f t="shared" si="10"/>
        <v/>
      </c>
      <c r="I558" s="4"/>
      <c r="J558" s="115" t="str">
        <f t="shared" si="11"/>
        <v/>
      </c>
      <c r="K558" s="115" t="str">
        <f t="shared" si="12"/>
        <v/>
      </c>
      <c r="L558" s="115" t="str">
        <f t="shared" si="13"/>
        <v/>
      </c>
      <c r="M558" s="115" t="str">
        <f t="shared" si="14"/>
        <v/>
      </c>
      <c r="N558" s="115" t="str">
        <f t="shared" si="15"/>
        <v/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125" t="str">
        <f t="shared" si="9"/>
        <v/>
      </c>
      <c r="G559" s="4"/>
      <c r="H559" s="127" t="str">
        <f t="shared" si="10"/>
        <v/>
      </c>
      <c r="I559" s="4"/>
      <c r="J559" s="115" t="str">
        <f t="shared" si="11"/>
        <v/>
      </c>
      <c r="K559" s="115" t="str">
        <f t="shared" si="12"/>
        <v/>
      </c>
      <c r="L559" s="115" t="str">
        <f t="shared" si="13"/>
        <v/>
      </c>
      <c r="M559" s="115" t="str">
        <f t="shared" si="14"/>
        <v/>
      </c>
      <c r="N559" s="115" t="str">
        <f t="shared" si="15"/>
        <v/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125" t="str">
        <f t="shared" si="9"/>
        <v/>
      </c>
      <c r="G560" s="4"/>
      <c r="H560" s="127" t="str">
        <f t="shared" si="10"/>
        <v/>
      </c>
      <c r="I560" s="4"/>
      <c r="J560" s="115" t="str">
        <f t="shared" si="11"/>
        <v/>
      </c>
      <c r="K560" s="115" t="str">
        <f t="shared" si="12"/>
        <v/>
      </c>
      <c r="L560" s="115" t="str">
        <f t="shared" si="13"/>
        <v/>
      </c>
      <c r="M560" s="115" t="str">
        <f t="shared" si="14"/>
        <v/>
      </c>
      <c r="N560" s="115" t="str">
        <f t="shared" si="15"/>
        <v/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125" t="str">
        <f t="shared" si="9"/>
        <v/>
      </c>
      <c r="G561" s="4"/>
      <c r="H561" s="127" t="str">
        <f t="shared" si="10"/>
        <v/>
      </c>
      <c r="I561" s="4"/>
      <c r="J561" s="115" t="str">
        <f t="shared" si="11"/>
        <v/>
      </c>
      <c r="K561" s="115" t="str">
        <f t="shared" si="12"/>
        <v/>
      </c>
      <c r="L561" s="115" t="str">
        <f t="shared" si="13"/>
        <v/>
      </c>
      <c r="M561" s="115" t="str">
        <f t="shared" si="14"/>
        <v/>
      </c>
      <c r="N561" s="115" t="str">
        <f t="shared" si="15"/>
        <v/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125" t="str">
        <f t="shared" si="9"/>
        <v/>
      </c>
      <c r="G562" s="4"/>
      <c r="H562" s="127" t="str">
        <f t="shared" si="10"/>
        <v/>
      </c>
      <c r="I562" s="4"/>
      <c r="J562" s="115" t="str">
        <f t="shared" si="11"/>
        <v/>
      </c>
      <c r="K562" s="115" t="str">
        <f t="shared" si="12"/>
        <v/>
      </c>
      <c r="L562" s="115" t="str">
        <f t="shared" si="13"/>
        <v/>
      </c>
      <c r="M562" s="115" t="str">
        <f t="shared" si="14"/>
        <v/>
      </c>
      <c r="N562" s="115" t="str">
        <f t="shared" si="15"/>
        <v/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125" t="str">
        <f t="shared" si="9"/>
        <v/>
      </c>
      <c r="G563" s="4"/>
      <c r="H563" s="127" t="str">
        <f t="shared" si="10"/>
        <v/>
      </c>
      <c r="I563" s="4"/>
      <c r="J563" s="115" t="str">
        <f t="shared" si="11"/>
        <v/>
      </c>
      <c r="K563" s="115" t="str">
        <f t="shared" si="12"/>
        <v/>
      </c>
      <c r="L563" s="115" t="str">
        <f t="shared" si="13"/>
        <v/>
      </c>
      <c r="M563" s="115" t="str">
        <f t="shared" si="14"/>
        <v/>
      </c>
      <c r="N563" s="115" t="str">
        <f t="shared" si="15"/>
        <v/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125" t="str">
        <f t="shared" si="9"/>
        <v/>
      </c>
      <c r="G564" s="4"/>
      <c r="H564" s="127" t="str">
        <f t="shared" si="10"/>
        <v/>
      </c>
      <c r="I564" s="4"/>
      <c r="J564" s="115" t="str">
        <f t="shared" si="11"/>
        <v/>
      </c>
      <c r="K564" s="115" t="str">
        <f t="shared" si="12"/>
        <v/>
      </c>
      <c r="L564" s="115" t="str">
        <f t="shared" si="13"/>
        <v/>
      </c>
      <c r="M564" s="115" t="str">
        <f t="shared" si="14"/>
        <v/>
      </c>
      <c r="N564" s="115" t="str">
        <f t="shared" si="15"/>
        <v/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125" t="str">
        <f t="shared" si="9"/>
        <v/>
      </c>
      <c r="G565" s="4"/>
      <c r="H565" s="127" t="str">
        <f t="shared" si="10"/>
        <v/>
      </c>
      <c r="I565" s="4"/>
      <c r="J565" s="115" t="str">
        <f t="shared" si="11"/>
        <v/>
      </c>
      <c r="K565" s="115" t="str">
        <f t="shared" si="12"/>
        <v/>
      </c>
      <c r="L565" s="115" t="str">
        <f t="shared" si="13"/>
        <v/>
      </c>
      <c r="M565" s="115" t="str">
        <f t="shared" si="14"/>
        <v/>
      </c>
      <c r="N565" s="115" t="str">
        <f t="shared" si="15"/>
        <v/>
      </c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125" t="str">
        <f t="shared" si="9"/>
        <v/>
      </c>
      <c r="G566" s="4"/>
      <c r="H566" s="127" t="str">
        <f t="shared" si="10"/>
        <v/>
      </c>
      <c r="I566" s="4"/>
      <c r="J566" s="115" t="str">
        <f t="shared" si="11"/>
        <v/>
      </c>
      <c r="K566" s="115" t="str">
        <f t="shared" si="12"/>
        <v/>
      </c>
      <c r="L566" s="115" t="str">
        <f t="shared" si="13"/>
        <v/>
      </c>
      <c r="M566" s="115" t="str">
        <f t="shared" si="14"/>
        <v/>
      </c>
      <c r="N566" s="115" t="str">
        <f t="shared" si="15"/>
        <v/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125" t="str">
        <f t="shared" si="9"/>
        <v/>
      </c>
      <c r="G567" s="4"/>
      <c r="H567" s="127" t="str">
        <f t="shared" si="10"/>
        <v/>
      </c>
      <c r="I567" s="4"/>
      <c r="J567" s="115" t="str">
        <f t="shared" si="11"/>
        <v/>
      </c>
      <c r="K567" s="115" t="str">
        <f t="shared" si="12"/>
        <v/>
      </c>
      <c r="L567" s="115" t="str">
        <f t="shared" si="13"/>
        <v/>
      </c>
      <c r="M567" s="115" t="str">
        <f t="shared" si="14"/>
        <v/>
      </c>
      <c r="N567" s="115" t="str">
        <f t="shared" si="15"/>
        <v/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125" t="str">
        <f t="shared" si="9"/>
        <v/>
      </c>
      <c r="G568" s="4"/>
      <c r="H568" s="127" t="str">
        <f t="shared" si="10"/>
        <v/>
      </c>
      <c r="I568" s="4"/>
      <c r="J568" s="115" t="str">
        <f t="shared" si="11"/>
        <v/>
      </c>
      <c r="K568" s="115" t="str">
        <f t="shared" si="12"/>
        <v/>
      </c>
      <c r="L568" s="115" t="str">
        <f t="shared" si="13"/>
        <v/>
      </c>
      <c r="M568" s="115" t="str">
        <f t="shared" si="14"/>
        <v/>
      </c>
      <c r="N568" s="115" t="str">
        <f t="shared" si="15"/>
        <v/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125" t="str">
        <f t="shared" si="9"/>
        <v/>
      </c>
      <c r="G569" s="4"/>
      <c r="H569" s="127" t="str">
        <f t="shared" si="10"/>
        <v/>
      </c>
      <c r="I569" s="4"/>
      <c r="J569" s="115" t="str">
        <f t="shared" si="11"/>
        <v/>
      </c>
      <c r="K569" s="115" t="str">
        <f t="shared" si="12"/>
        <v/>
      </c>
      <c r="L569" s="115" t="str">
        <f t="shared" si="13"/>
        <v/>
      </c>
      <c r="M569" s="115" t="str">
        <f t="shared" si="14"/>
        <v/>
      </c>
      <c r="N569" s="115" t="str">
        <f t="shared" si="15"/>
        <v/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125" t="str">
        <f t="shared" si="9"/>
        <v/>
      </c>
      <c r="G570" s="4"/>
      <c r="H570" s="127" t="str">
        <f t="shared" si="10"/>
        <v/>
      </c>
      <c r="I570" s="4"/>
      <c r="J570" s="115" t="str">
        <f t="shared" si="11"/>
        <v/>
      </c>
      <c r="K570" s="115" t="str">
        <f t="shared" si="12"/>
        <v/>
      </c>
      <c r="L570" s="115" t="str">
        <f t="shared" si="13"/>
        <v/>
      </c>
      <c r="M570" s="115" t="str">
        <f t="shared" si="14"/>
        <v/>
      </c>
      <c r="N570" s="115" t="str">
        <f t="shared" si="15"/>
        <v/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125" t="str">
        <f t="shared" si="9"/>
        <v/>
      </c>
      <c r="G571" s="4"/>
      <c r="H571" s="127" t="str">
        <f t="shared" si="10"/>
        <v/>
      </c>
      <c r="I571" s="4"/>
      <c r="J571" s="115" t="str">
        <f t="shared" si="11"/>
        <v/>
      </c>
      <c r="K571" s="115" t="str">
        <f t="shared" si="12"/>
        <v/>
      </c>
      <c r="L571" s="115" t="str">
        <f t="shared" si="13"/>
        <v/>
      </c>
      <c r="M571" s="115" t="str">
        <f t="shared" si="14"/>
        <v/>
      </c>
      <c r="N571" s="115" t="str">
        <f t="shared" si="15"/>
        <v/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125" t="str">
        <f t="shared" si="9"/>
        <v/>
      </c>
      <c r="G572" s="4"/>
      <c r="H572" s="127" t="str">
        <f t="shared" si="10"/>
        <v/>
      </c>
      <c r="I572" s="4"/>
      <c r="J572" s="115" t="str">
        <f t="shared" si="11"/>
        <v/>
      </c>
      <c r="K572" s="115" t="str">
        <f t="shared" si="12"/>
        <v/>
      </c>
      <c r="L572" s="115" t="str">
        <f t="shared" si="13"/>
        <v/>
      </c>
      <c r="M572" s="115" t="str">
        <f t="shared" si="14"/>
        <v/>
      </c>
      <c r="N572" s="115" t="str">
        <f t="shared" si="15"/>
        <v/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125" t="str">
        <f t="shared" si="9"/>
        <v/>
      </c>
      <c r="G573" s="4"/>
      <c r="H573" s="127" t="str">
        <f t="shared" si="10"/>
        <v/>
      </c>
      <c r="I573" s="4"/>
      <c r="J573" s="115" t="str">
        <f t="shared" si="11"/>
        <v/>
      </c>
      <c r="K573" s="115" t="str">
        <f t="shared" si="12"/>
        <v/>
      </c>
      <c r="L573" s="115" t="str">
        <f t="shared" si="13"/>
        <v/>
      </c>
      <c r="M573" s="115" t="str">
        <f t="shared" si="14"/>
        <v/>
      </c>
      <c r="N573" s="115" t="str">
        <f t="shared" si="15"/>
        <v/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125" t="str">
        <f t="shared" si="9"/>
        <v/>
      </c>
      <c r="G574" s="4"/>
      <c r="H574" s="127" t="str">
        <f t="shared" si="10"/>
        <v/>
      </c>
      <c r="I574" s="4"/>
      <c r="J574" s="115" t="str">
        <f t="shared" si="11"/>
        <v/>
      </c>
      <c r="K574" s="115" t="str">
        <f t="shared" si="12"/>
        <v/>
      </c>
      <c r="L574" s="115" t="str">
        <f t="shared" si="13"/>
        <v/>
      </c>
      <c r="M574" s="115" t="str">
        <f t="shared" si="14"/>
        <v/>
      </c>
      <c r="N574" s="115" t="str">
        <f t="shared" si="15"/>
        <v/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13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13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13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13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13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13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13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13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13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13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13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13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13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13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13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13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13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13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13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13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13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13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13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13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13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13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13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13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13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13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13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13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13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13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13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13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13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13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13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13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13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13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13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13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13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13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13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13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13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13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13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13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13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13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13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13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13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13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13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13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13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13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13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13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13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13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13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13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13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13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13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13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13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13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13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13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13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13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13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13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13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13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13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13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13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13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13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13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4.25" customHeight="1">
      <c r="A663" s="4"/>
      <c r="B663" s="4"/>
      <c r="C663" s="4"/>
      <c r="D663" s="4"/>
      <c r="E663" s="4"/>
      <c r="F663" s="13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4.25" customHeight="1">
      <c r="A664" s="4"/>
      <c r="B664" s="4"/>
      <c r="C664" s="4"/>
      <c r="D664" s="4"/>
      <c r="E664" s="4"/>
      <c r="F664" s="13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4.25" customHeight="1">
      <c r="A665" s="4"/>
      <c r="B665" s="4"/>
      <c r="C665" s="4"/>
      <c r="D665" s="4"/>
      <c r="E665" s="4"/>
      <c r="F665" s="13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4.25" customHeight="1">
      <c r="A666" s="4"/>
      <c r="B666" s="4"/>
      <c r="C666" s="4"/>
      <c r="D666" s="4"/>
      <c r="E666" s="4"/>
      <c r="F666" s="13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4.25" customHeight="1">
      <c r="A667" s="4"/>
      <c r="B667" s="4"/>
      <c r="C667" s="4"/>
      <c r="D667" s="4"/>
      <c r="E667" s="4"/>
      <c r="F667" s="13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4.25" customHeight="1">
      <c r="A668" s="4"/>
      <c r="B668" s="4"/>
      <c r="C668" s="4"/>
      <c r="D668" s="4"/>
      <c r="E668" s="4"/>
      <c r="F668" s="13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4.25" customHeight="1">
      <c r="A669" s="4"/>
      <c r="B669" s="4"/>
      <c r="C669" s="4"/>
      <c r="D669" s="4"/>
      <c r="E669" s="4"/>
      <c r="F669" s="13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4.25" customHeight="1">
      <c r="A670" s="4"/>
      <c r="B670" s="4"/>
      <c r="C670" s="4"/>
      <c r="D670" s="4"/>
      <c r="E670" s="4"/>
      <c r="F670" s="13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4.25" customHeight="1">
      <c r="A671" s="4"/>
      <c r="B671" s="4"/>
      <c r="C671" s="4"/>
      <c r="D671" s="4"/>
      <c r="E671" s="4"/>
      <c r="F671" s="13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4.25" customHeight="1">
      <c r="A672" s="4"/>
      <c r="B672" s="4"/>
      <c r="C672" s="4"/>
      <c r="D672" s="4"/>
      <c r="E672" s="4"/>
      <c r="F672" s="13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4.25" customHeight="1">
      <c r="A673" s="4"/>
      <c r="B673" s="4"/>
      <c r="C673" s="4"/>
      <c r="D673" s="4"/>
      <c r="E673" s="4"/>
      <c r="F673" s="13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4.25" customHeight="1">
      <c r="A674" s="4"/>
      <c r="B674" s="4"/>
      <c r="C674" s="4"/>
      <c r="D674" s="4"/>
      <c r="E674" s="4"/>
      <c r="F674" s="13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4.25" customHeight="1">
      <c r="A675" s="4"/>
      <c r="B675" s="4"/>
      <c r="C675" s="4"/>
      <c r="D675" s="4"/>
      <c r="E675" s="4"/>
      <c r="F675" s="13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4.25" customHeight="1">
      <c r="A676" s="4"/>
      <c r="B676" s="4"/>
      <c r="C676" s="4"/>
      <c r="D676" s="4"/>
      <c r="E676" s="4"/>
      <c r="F676" s="13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4.25" customHeight="1">
      <c r="A677" s="4"/>
      <c r="B677" s="4"/>
      <c r="C677" s="4"/>
      <c r="D677" s="4"/>
      <c r="E677" s="4"/>
      <c r="F677" s="13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4.25" customHeight="1">
      <c r="A678" s="4"/>
      <c r="B678" s="4"/>
      <c r="C678" s="4"/>
      <c r="D678" s="4"/>
      <c r="E678" s="4"/>
      <c r="F678" s="13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4.25" customHeight="1">
      <c r="A679" s="4"/>
      <c r="B679" s="4"/>
      <c r="C679" s="4"/>
      <c r="D679" s="4"/>
      <c r="E679" s="4"/>
      <c r="F679" s="13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4.25" customHeight="1">
      <c r="A680" s="4"/>
      <c r="B680" s="4"/>
      <c r="C680" s="4"/>
      <c r="D680" s="4"/>
      <c r="E680" s="4"/>
      <c r="F680" s="13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4.25" customHeight="1">
      <c r="A681" s="4"/>
      <c r="B681" s="4"/>
      <c r="C681" s="4"/>
      <c r="D681" s="4"/>
      <c r="E681" s="4"/>
      <c r="F681" s="13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4.25" customHeight="1">
      <c r="A682" s="4"/>
      <c r="B682" s="4"/>
      <c r="C682" s="4"/>
      <c r="D682" s="4"/>
      <c r="E682" s="4"/>
      <c r="F682" s="13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4.25" customHeight="1">
      <c r="A683" s="4"/>
      <c r="B683" s="4"/>
      <c r="C683" s="4"/>
      <c r="D683" s="4"/>
      <c r="E683" s="4"/>
      <c r="F683" s="13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4.25" customHeight="1">
      <c r="A684" s="4"/>
      <c r="B684" s="4"/>
      <c r="C684" s="4"/>
      <c r="D684" s="4"/>
      <c r="E684" s="4"/>
      <c r="F684" s="13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4.25" customHeight="1">
      <c r="A685" s="4"/>
      <c r="B685" s="4"/>
      <c r="C685" s="4"/>
      <c r="D685" s="4"/>
      <c r="E685" s="4"/>
      <c r="F685" s="13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autoFilter ref="$A$5:$N$151">
    <sortState ref="A5:N151">
      <sortCondition ref="F5:F151"/>
      <sortCondition ref="N5:N151"/>
      <sortCondition descending="1" ref="H5:H151"/>
      <sortCondition descending="1" ref="G5:G151"/>
    </sortState>
  </autoFilter>
  <mergeCells count="5">
    <mergeCell ref="A1:H1"/>
    <mergeCell ref="A2:H2"/>
    <mergeCell ref="L2:M2"/>
    <mergeCell ref="A3:H3"/>
    <mergeCell ref="Q3:U3"/>
  </mergeCells>
  <conditionalFormatting sqref="B6:H98">
    <cfRule type="expression" dxfId="2" priority="1">
      <formula>$K6="Follow Up"</formula>
    </cfRule>
  </conditionalFormatting>
  <conditionalFormatting sqref="B6:H98">
    <cfRule type="expression" dxfId="3" priority="2">
      <formula>$K6="Pmt Pending"</formula>
    </cfRule>
  </conditionalFormatting>
  <conditionalFormatting sqref="B6:H98">
    <cfRule type="expression" dxfId="4" priority="3">
      <formula>$K6="Current"</formula>
    </cfRule>
  </conditionalFormatting>
  <conditionalFormatting sqref="B6:H98">
    <cfRule type="expression" dxfId="5" priority="4">
      <formula>$K6="Write Off"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8" t="s">
        <v>73</v>
      </c>
      <c r="B1" s="48" t="s">
        <v>483</v>
      </c>
      <c r="C1" s="48" t="s">
        <v>484</v>
      </c>
      <c r="D1" s="48" t="s">
        <v>485</v>
      </c>
      <c r="E1" s="48" t="s">
        <v>486</v>
      </c>
    </row>
    <row r="2">
      <c r="A2" s="48" t="s">
        <v>487</v>
      </c>
      <c r="B2" s="48" t="s">
        <v>488</v>
      </c>
      <c r="C2" s="48" t="s">
        <v>489</v>
      </c>
      <c r="D2" s="48" t="s">
        <v>490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2023-11-21T15:12:54Z</dcterms:created>
  <dc:creator>Vincent Planz</dc:creator>
</cp:coreProperties>
</file>