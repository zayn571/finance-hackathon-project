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Shared drives\RapDev Finance\RapDev LLC\RapDev LLC Accounting &amp; Finance\Reporting\Cash Flow\"/>
    </mc:Choice>
  </mc:AlternateContent>
  <xr:revisionPtr revIDLastSave="0" documentId="13_ncr:1_{353CE98E-D7A8-4E7F-9934-91EB5DDE2886}" xr6:coauthVersionLast="47" xr6:coauthVersionMax="47" xr10:uidLastSave="{00000000-0000-0000-0000-000000000000}"/>
  <bookViews>
    <workbookView xWindow="19090" yWindow="-4820" windowWidth="38620" windowHeight="21100" xr2:uid="{00000000-000D-0000-FFFF-FFFF00000000}"/>
  </bookViews>
  <sheets>
    <sheet name="Wkly Cash Flow" sheetId="1" r:id="rId1"/>
    <sheet name="AR Aging Balance" sheetId="2" r:id="rId2"/>
    <sheet name="Bookings" sheetId="3" r:id="rId3"/>
    <sheet name="AR Aging 20260320" sheetId="4" r:id="rId4"/>
  </sheets>
  <definedNames>
    <definedName name="_xlnm._FilterDatabase" localSheetId="3" hidden="1">'AR Aging 20260320'!$A$5:$N$151</definedName>
    <definedName name="_xlnm._FilterDatabase" localSheetId="1" hidden="1">'AR Aging Balance'!$A$2:$F$2</definedName>
    <definedName name="_xlnm._FilterDatabase" localSheetId="2" hidden="1">Bookings!$B$2:$P$96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4" l="1"/>
  <c r="S90" i="4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101" i="4" s="1"/>
  <c r="S102" i="4" s="1"/>
  <c r="S103" i="4" s="1"/>
  <c r="S104" i="4" s="1"/>
  <c r="S105" i="4" s="1"/>
  <c r="S106" i="4" s="1"/>
  <c r="F374" i="4"/>
  <c r="L374" i="4" s="1"/>
  <c r="H374" i="4"/>
  <c r="J374" i="4"/>
  <c r="K374" i="4"/>
  <c r="F375" i="4"/>
  <c r="L375" i="4" s="1"/>
  <c r="H375" i="4"/>
  <c r="J375" i="4"/>
  <c r="K375" i="4"/>
  <c r="F376" i="4"/>
  <c r="H376" i="4"/>
  <c r="J376" i="4"/>
  <c r="K376" i="4"/>
  <c r="L376" i="4"/>
  <c r="N376" i="4" s="1"/>
  <c r="M376" i="4"/>
  <c r="F377" i="4"/>
  <c r="L377" i="4" s="1"/>
  <c r="H377" i="4"/>
  <c r="J377" i="4"/>
  <c r="K377" i="4"/>
  <c r="F378" i="4"/>
  <c r="H378" i="4"/>
  <c r="J378" i="4"/>
  <c r="K378" i="4"/>
  <c r="L378" i="4"/>
  <c r="M378" i="4"/>
  <c r="N378" i="4"/>
  <c r="F379" i="4"/>
  <c r="L379" i="4" s="1"/>
  <c r="H379" i="4"/>
  <c r="J379" i="4"/>
  <c r="K379" i="4"/>
  <c r="F380" i="4"/>
  <c r="L380" i="4" s="1"/>
  <c r="H380" i="4"/>
  <c r="J380" i="4"/>
  <c r="K380" i="4"/>
  <c r="F381" i="4"/>
  <c r="L381" i="4" s="1"/>
  <c r="H381" i="4"/>
  <c r="J381" i="4"/>
  <c r="K381" i="4"/>
  <c r="F382" i="4"/>
  <c r="L382" i="4" s="1"/>
  <c r="H382" i="4"/>
  <c r="J382" i="4"/>
  <c r="K382" i="4"/>
  <c r="F383" i="4"/>
  <c r="L383" i="4" s="1"/>
  <c r="H383" i="4"/>
  <c r="J383" i="4"/>
  <c r="K383" i="4"/>
  <c r="F384" i="4"/>
  <c r="L384" i="4" s="1"/>
  <c r="H384" i="4"/>
  <c r="J384" i="4"/>
  <c r="K384" i="4"/>
  <c r="F385" i="4"/>
  <c r="L385" i="4" s="1"/>
  <c r="H385" i="4"/>
  <c r="J385" i="4"/>
  <c r="K385" i="4"/>
  <c r="F386" i="4"/>
  <c r="L386" i="4" s="1"/>
  <c r="H386" i="4"/>
  <c r="J386" i="4"/>
  <c r="K386" i="4"/>
  <c r="F387" i="4"/>
  <c r="H387" i="4"/>
  <c r="J387" i="4"/>
  <c r="K387" i="4"/>
  <c r="L387" i="4"/>
  <c r="M387" i="4" s="1"/>
  <c r="F388" i="4"/>
  <c r="L388" i="4" s="1"/>
  <c r="H388" i="4"/>
  <c r="J388" i="4"/>
  <c r="K388" i="4"/>
  <c r="F389" i="4"/>
  <c r="L389" i="4" s="1"/>
  <c r="M389" i="4" s="1"/>
  <c r="H389" i="4"/>
  <c r="J389" i="4"/>
  <c r="K389" i="4"/>
  <c r="F390" i="4"/>
  <c r="L390" i="4" s="1"/>
  <c r="H390" i="4"/>
  <c r="J390" i="4"/>
  <c r="K390" i="4"/>
  <c r="F391" i="4"/>
  <c r="L391" i="4" s="1"/>
  <c r="H391" i="4"/>
  <c r="J391" i="4"/>
  <c r="K391" i="4"/>
  <c r="F392" i="4"/>
  <c r="L392" i="4" s="1"/>
  <c r="H392" i="4"/>
  <c r="J392" i="4"/>
  <c r="K392" i="4"/>
  <c r="F393" i="4"/>
  <c r="L393" i="4" s="1"/>
  <c r="H393" i="4"/>
  <c r="J393" i="4"/>
  <c r="K393" i="4"/>
  <c r="F394" i="4"/>
  <c r="L394" i="4" s="1"/>
  <c r="H394" i="4"/>
  <c r="J394" i="4"/>
  <c r="K394" i="4"/>
  <c r="F395" i="4"/>
  <c r="H395" i="4"/>
  <c r="J395" i="4"/>
  <c r="K395" i="4"/>
  <c r="L395" i="4"/>
  <c r="M395" i="4"/>
  <c r="N395" i="4"/>
  <c r="F396" i="4"/>
  <c r="H396" i="4"/>
  <c r="J396" i="4"/>
  <c r="K396" i="4"/>
  <c r="L396" i="4"/>
  <c r="M396" i="4"/>
  <c r="N396" i="4"/>
  <c r="F397" i="4"/>
  <c r="H397" i="4"/>
  <c r="J397" i="4"/>
  <c r="K397" i="4"/>
  <c r="L397" i="4"/>
  <c r="M397" i="4"/>
  <c r="N397" i="4"/>
  <c r="F398" i="4"/>
  <c r="H398" i="4"/>
  <c r="J398" i="4"/>
  <c r="K398" i="4"/>
  <c r="L398" i="4"/>
  <c r="M398" i="4"/>
  <c r="N398" i="4"/>
  <c r="F399" i="4"/>
  <c r="H399" i="4"/>
  <c r="J399" i="4"/>
  <c r="K399" i="4"/>
  <c r="L399" i="4"/>
  <c r="M399" i="4"/>
  <c r="N399" i="4"/>
  <c r="F400" i="4"/>
  <c r="H400" i="4"/>
  <c r="J400" i="4"/>
  <c r="K400" i="4"/>
  <c r="L400" i="4"/>
  <c r="M400" i="4"/>
  <c r="N400" i="4"/>
  <c r="F401" i="4"/>
  <c r="H401" i="4"/>
  <c r="J401" i="4"/>
  <c r="K401" i="4"/>
  <c r="L401" i="4"/>
  <c r="M401" i="4"/>
  <c r="N401" i="4"/>
  <c r="F402" i="4"/>
  <c r="H402" i="4"/>
  <c r="J402" i="4"/>
  <c r="K402" i="4"/>
  <c r="L402" i="4"/>
  <c r="M402" i="4"/>
  <c r="N402" i="4"/>
  <c r="F403" i="4"/>
  <c r="H403" i="4"/>
  <c r="J403" i="4"/>
  <c r="K403" i="4"/>
  <c r="L403" i="4"/>
  <c r="M403" i="4"/>
  <c r="N403" i="4"/>
  <c r="F404" i="4"/>
  <c r="H404" i="4"/>
  <c r="J404" i="4"/>
  <c r="K404" i="4"/>
  <c r="L404" i="4"/>
  <c r="M404" i="4"/>
  <c r="N404" i="4"/>
  <c r="F405" i="4"/>
  <c r="H405" i="4"/>
  <c r="J405" i="4"/>
  <c r="K405" i="4"/>
  <c r="L405" i="4"/>
  <c r="M405" i="4"/>
  <c r="N405" i="4"/>
  <c r="F406" i="4"/>
  <c r="H406" i="4"/>
  <c r="J406" i="4"/>
  <c r="K406" i="4"/>
  <c r="L406" i="4"/>
  <c r="M406" i="4"/>
  <c r="N406" i="4"/>
  <c r="F407" i="4"/>
  <c r="H407" i="4"/>
  <c r="J407" i="4"/>
  <c r="K407" i="4"/>
  <c r="L407" i="4"/>
  <c r="M407" i="4"/>
  <c r="N407" i="4"/>
  <c r="F408" i="4"/>
  <c r="H408" i="4"/>
  <c r="J408" i="4"/>
  <c r="K408" i="4"/>
  <c r="L408" i="4"/>
  <c r="M408" i="4"/>
  <c r="N408" i="4"/>
  <c r="F409" i="4"/>
  <c r="H409" i="4"/>
  <c r="J409" i="4"/>
  <c r="K409" i="4"/>
  <c r="L409" i="4"/>
  <c r="M409" i="4"/>
  <c r="N409" i="4"/>
  <c r="F410" i="4"/>
  <c r="H410" i="4"/>
  <c r="J410" i="4"/>
  <c r="K410" i="4"/>
  <c r="L410" i="4"/>
  <c r="M410" i="4"/>
  <c r="N410" i="4"/>
  <c r="F411" i="4"/>
  <c r="H411" i="4"/>
  <c r="J411" i="4"/>
  <c r="K411" i="4"/>
  <c r="L411" i="4"/>
  <c r="M411" i="4"/>
  <c r="N411" i="4"/>
  <c r="F412" i="4"/>
  <c r="H412" i="4"/>
  <c r="J412" i="4"/>
  <c r="K412" i="4"/>
  <c r="L412" i="4"/>
  <c r="M412" i="4"/>
  <c r="N412" i="4"/>
  <c r="F413" i="4"/>
  <c r="H413" i="4"/>
  <c r="J413" i="4"/>
  <c r="K413" i="4"/>
  <c r="L413" i="4"/>
  <c r="M413" i="4"/>
  <c r="N413" i="4"/>
  <c r="F414" i="4"/>
  <c r="H414" i="4"/>
  <c r="J414" i="4"/>
  <c r="K414" i="4"/>
  <c r="L414" i="4"/>
  <c r="M414" i="4"/>
  <c r="N414" i="4"/>
  <c r="F415" i="4"/>
  <c r="H415" i="4"/>
  <c r="J415" i="4"/>
  <c r="K415" i="4"/>
  <c r="L415" i="4"/>
  <c r="M415" i="4"/>
  <c r="N415" i="4"/>
  <c r="F416" i="4"/>
  <c r="H416" i="4"/>
  <c r="J416" i="4"/>
  <c r="K416" i="4"/>
  <c r="L416" i="4"/>
  <c r="M416" i="4"/>
  <c r="N416" i="4"/>
  <c r="F417" i="4"/>
  <c r="H417" i="4"/>
  <c r="J417" i="4"/>
  <c r="K417" i="4"/>
  <c r="L417" i="4"/>
  <c r="M417" i="4"/>
  <c r="N417" i="4"/>
  <c r="F418" i="4"/>
  <c r="H418" i="4"/>
  <c r="J418" i="4"/>
  <c r="K418" i="4"/>
  <c r="L418" i="4"/>
  <c r="M418" i="4"/>
  <c r="N418" i="4"/>
  <c r="F419" i="4"/>
  <c r="H419" i="4"/>
  <c r="J419" i="4"/>
  <c r="K419" i="4"/>
  <c r="L419" i="4"/>
  <c r="M419" i="4"/>
  <c r="N419" i="4"/>
  <c r="F420" i="4"/>
  <c r="H420" i="4"/>
  <c r="J420" i="4"/>
  <c r="K420" i="4"/>
  <c r="L420" i="4"/>
  <c r="M420" i="4"/>
  <c r="N420" i="4"/>
  <c r="F421" i="4"/>
  <c r="H421" i="4"/>
  <c r="J421" i="4"/>
  <c r="K421" i="4"/>
  <c r="L421" i="4"/>
  <c r="M421" i="4"/>
  <c r="N421" i="4"/>
  <c r="F422" i="4"/>
  <c r="H422" i="4"/>
  <c r="J422" i="4"/>
  <c r="K422" i="4"/>
  <c r="L422" i="4"/>
  <c r="M422" i="4"/>
  <c r="N422" i="4"/>
  <c r="F423" i="4"/>
  <c r="H423" i="4"/>
  <c r="J423" i="4"/>
  <c r="K423" i="4"/>
  <c r="L423" i="4"/>
  <c r="M423" i="4"/>
  <c r="N423" i="4"/>
  <c r="F424" i="4"/>
  <c r="H424" i="4"/>
  <c r="J424" i="4"/>
  <c r="K424" i="4"/>
  <c r="L424" i="4"/>
  <c r="M424" i="4"/>
  <c r="N424" i="4"/>
  <c r="F425" i="4"/>
  <c r="H425" i="4"/>
  <c r="J425" i="4"/>
  <c r="K425" i="4"/>
  <c r="L425" i="4"/>
  <c r="M425" i="4"/>
  <c r="N425" i="4"/>
  <c r="F426" i="4"/>
  <c r="H426" i="4"/>
  <c r="J426" i="4"/>
  <c r="K426" i="4"/>
  <c r="L426" i="4"/>
  <c r="M426" i="4"/>
  <c r="N426" i="4"/>
  <c r="F427" i="4"/>
  <c r="H427" i="4"/>
  <c r="J427" i="4"/>
  <c r="K427" i="4"/>
  <c r="L427" i="4"/>
  <c r="M427" i="4"/>
  <c r="N427" i="4"/>
  <c r="F428" i="4"/>
  <c r="H428" i="4"/>
  <c r="J428" i="4"/>
  <c r="K428" i="4"/>
  <c r="L428" i="4"/>
  <c r="M428" i="4"/>
  <c r="N428" i="4"/>
  <c r="F429" i="4"/>
  <c r="H429" i="4"/>
  <c r="J429" i="4"/>
  <c r="K429" i="4"/>
  <c r="L429" i="4"/>
  <c r="M429" i="4"/>
  <c r="N429" i="4"/>
  <c r="F430" i="4"/>
  <c r="H430" i="4"/>
  <c r="J430" i="4"/>
  <c r="K430" i="4"/>
  <c r="L430" i="4"/>
  <c r="M430" i="4"/>
  <c r="N430" i="4"/>
  <c r="F431" i="4"/>
  <c r="H431" i="4"/>
  <c r="J431" i="4"/>
  <c r="K431" i="4"/>
  <c r="L431" i="4"/>
  <c r="M431" i="4"/>
  <c r="N431" i="4"/>
  <c r="F432" i="4"/>
  <c r="H432" i="4"/>
  <c r="J432" i="4"/>
  <c r="K432" i="4"/>
  <c r="L432" i="4"/>
  <c r="M432" i="4"/>
  <c r="N432" i="4"/>
  <c r="F433" i="4"/>
  <c r="H433" i="4"/>
  <c r="J433" i="4"/>
  <c r="K433" i="4"/>
  <c r="L433" i="4"/>
  <c r="M433" i="4"/>
  <c r="N433" i="4"/>
  <c r="F434" i="4"/>
  <c r="H434" i="4"/>
  <c r="J434" i="4"/>
  <c r="K434" i="4"/>
  <c r="L434" i="4"/>
  <c r="M434" i="4"/>
  <c r="N434" i="4"/>
  <c r="F435" i="4"/>
  <c r="H435" i="4"/>
  <c r="J435" i="4"/>
  <c r="K435" i="4"/>
  <c r="L435" i="4"/>
  <c r="M435" i="4"/>
  <c r="N435" i="4"/>
  <c r="F436" i="4"/>
  <c r="H436" i="4"/>
  <c r="J436" i="4"/>
  <c r="K436" i="4"/>
  <c r="L436" i="4"/>
  <c r="M436" i="4"/>
  <c r="N436" i="4"/>
  <c r="F437" i="4"/>
  <c r="H437" i="4"/>
  <c r="J437" i="4"/>
  <c r="K437" i="4"/>
  <c r="L437" i="4"/>
  <c r="M437" i="4"/>
  <c r="N437" i="4"/>
  <c r="F438" i="4"/>
  <c r="H438" i="4"/>
  <c r="J438" i="4"/>
  <c r="K438" i="4"/>
  <c r="L438" i="4"/>
  <c r="M438" i="4"/>
  <c r="N438" i="4"/>
  <c r="F439" i="4"/>
  <c r="H439" i="4"/>
  <c r="J439" i="4"/>
  <c r="K439" i="4"/>
  <c r="L439" i="4"/>
  <c r="M439" i="4"/>
  <c r="N439" i="4"/>
  <c r="F440" i="4"/>
  <c r="H440" i="4"/>
  <c r="J440" i="4"/>
  <c r="K440" i="4"/>
  <c r="L440" i="4"/>
  <c r="M440" i="4"/>
  <c r="N440" i="4"/>
  <c r="F441" i="4"/>
  <c r="H441" i="4"/>
  <c r="J441" i="4"/>
  <c r="K441" i="4"/>
  <c r="L441" i="4"/>
  <c r="M441" i="4"/>
  <c r="N441" i="4"/>
  <c r="F442" i="4"/>
  <c r="H442" i="4"/>
  <c r="J442" i="4"/>
  <c r="K442" i="4"/>
  <c r="L442" i="4"/>
  <c r="M442" i="4"/>
  <c r="N442" i="4"/>
  <c r="F443" i="4"/>
  <c r="H443" i="4"/>
  <c r="J443" i="4"/>
  <c r="K443" i="4"/>
  <c r="L443" i="4"/>
  <c r="M443" i="4"/>
  <c r="N443" i="4"/>
  <c r="F444" i="4"/>
  <c r="H444" i="4"/>
  <c r="J444" i="4"/>
  <c r="K444" i="4"/>
  <c r="L444" i="4"/>
  <c r="M444" i="4"/>
  <c r="N444" i="4"/>
  <c r="F445" i="4"/>
  <c r="H445" i="4"/>
  <c r="J445" i="4"/>
  <c r="K445" i="4"/>
  <c r="L445" i="4"/>
  <c r="M445" i="4"/>
  <c r="N445" i="4"/>
  <c r="F446" i="4"/>
  <c r="H446" i="4"/>
  <c r="J446" i="4"/>
  <c r="K446" i="4"/>
  <c r="L446" i="4"/>
  <c r="M446" i="4"/>
  <c r="N446" i="4"/>
  <c r="F447" i="4"/>
  <c r="H447" i="4"/>
  <c r="J447" i="4"/>
  <c r="K447" i="4"/>
  <c r="L447" i="4"/>
  <c r="M447" i="4"/>
  <c r="N447" i="4"/>
  <c r="F448" i="4"/>
  <c r="H448" i="4"/>
  <c r="J448" i="4"/>
  <c r="K448" i="4"/>
  <c r="L448" i="4"/>
  <c r="M448" i="4"/>
  <c r="N448" i="4"/>
  <c r="F449" i="4"/>
  <c r="H449" i="4"/>
  <c r="J449" i="4"/>
  <c r="K449" i="4"/>
  <c r="L449" i="4"/>
  <c r="M449" i="4"/>
  <c r="N449" i="4"/>
  <c r="F450" i="4"/>
  <c r="H450" i="4"/>
  <c r="J450" i="4"/>
  <c r="K450" i="4"/>
  <c r="L450" i="4"/>
  <c r="M450" i="4"/>
  <c r="N450" i="4"/>
  <c r="F451" i="4"/>
  <c r="H451" i="4"/>
  <c r="J451" i="4"/>
  <c r="K451" i="4"/>
  <c r="L451" i="4"/>
  <c r="M451" i="4"/>
  <c r="N451" i="4"/>
  <c r="F452" i="4"/>
  <c r="H452" i="4"/>
  <c r="J452" i="4"/>
  <c r="K452" i="4"/>
  <c r="L452" i="4"/>
  <c r="M452" i="4"/>
  <c r="N452" i="4"/>
  <c r="F453" i="4"/>
  <c r="H453" i="4"/>
  <c r="J453" i="4"/>
  <c r="K453" i="4"/>
  <c r="L453" i="4"/>
  <c r="M453" i="4"/>
  <c r="N453" i="4"/>
  <c r="F454" i="4"/>
  <c r="H454" i="4"/>
  <c r="J454" i="4"/>
  <c r="K454" i="4"/>
  <c r="L454" i="4"/>
  <c r="M454" i="4"/>
  <c r="N454" i="4"/>
  <c r="F455" i="4"/>
  <c r="H455" i="4"/>
  <c r="J455" i="4"/>
  <c r="K455" i="4"/>
  <c r="L455" i="4"/>
  <c r="M455" i="4"/>
  <c r="N455" i="4"/>
  <c r="F456" i="4"/>
  <c r="H456" i="4"/>
  <c r="J456" i="4"/>
  <c r="K456" i="4"/>
  <c r="L456" i="4"/>
  <c r="M456" i="4"/>
  <c r="N456" i="4"/>
  <c r="F457" i="4"/>
  <c r="H457" i="4"/>
  <c r="J457" i="4"/>
  <c r="K457" i="4"/>
  <c r="L457" i="4"/>
  <c r="M457" i="4"/>
  <c r="N457" i="4"/>
  <c r="F458" i="4"/>
  <c r="H458" i="4"/>
  <c r="J458" i="4"/>
  <c r="K458" i="4"/>
  <c r="L458" i="4"/>
  <c r="M458" i="4"/>
  <c r="N458" i="4"/>
  <c r="F459" i="4"/>
  <c r="H459" i="4"/>
  <c r="J459" i="4"/>
  <c r="K459" i="4"/>
  <c r="L459" i="4"/>
  <c r="M459" i="4"/>
  <c r="N459" i="4"/>
  <c r="F460" i="4"/>
  <c r="H460" i="4"/>
  <c r="J460" i="4"/>
  <c r="K460" i="4"/>
  <c r="L460" i="4"/>
  <c r="M460" i="4"/>
  <c r="N460" i="4"/>
  <c r="F461" i="4"/>
  <c r="H461" i="4"/>
  <c r="J461" i="4"/>
  <c r="K461" i="4"/>
  <c r="L461" i="4"/>
  <c r="M461" i="4"/>
  <c r="N461" i="4"/>
  <c r="F462" i="4"/>
  <c r="H462" i="4"/>
  <c r="J462" i="4"/>
  <c r="K462" i="4"/>
  <c r="L462" i="4"/>
  <c r="M462" i="4"/>
  <c r="N462" i="4"/>
  <c r="F463" i="4"/>
  <c r="H463" i="4"/>
  <c r="J463" i="4"/>
  <c r="K463" i="4"/>
  <c r="L463" i="4"/>
  <c r="M463" i="4"/>
  <c r="N463" i="4"/>
  <c r="F464" i="4"/>
  <c r="H464" i="4"/>
  <c r="J464" i="4"/>
  <c r="K464" i="4"/>
  <c r="L464" i="4"/>
  <c r="M464" i="4"/>
  <c r="N464" i="4"/>
  <c r="F465" i="4"/>
  <c r="H465" i="4"/>
  <c r="J465" i="4"/>
  <c r="K465" i="4"/>
  <c r="L465" i="4"/>
  <c r="M465" i="4"/>
  <c r="N465" i="4"/>
  <c r="F466" i="4"/>
  <c r="H466" i="4"/>
  <c r="J466" i="4"/>
  <c r="K466" i="4"/>
  <c r="L466" i="4"/>
  <c r="M466" i="4"/>
  <c r="N466" i="4"/>
  <c r="F467" i="4"/>
  <c r="H467" i="4"/>
  <c r="J467" i="4"/>
  <c r="K467" i="4"/>
  <c r="L467" i="4"/>
  <c r="M467" i="4"/>
  <c r="N467" i="4"/>
  <c r="F468" i="4"/>
  <c r="H468" i="4"/>
  <c r="J468" i="4"/>
  <c r="K468" i="4"/>
  <c r="L468" i="4"/>
  <c r="M468" i="4"/>
  <c r="N468" i="4"/>
  <c r="F469" i="4"/>
  <c r="H469" i="4"/>
  <c r="J469" i="4"/>
  <c r="K469" i="4"/>
  <c r="L469" i="4"/>
  <c r="M469" i="4"/>
  <c r="N469" i="4"/>
  <c r="F470" i="4"/>
  <c r="H470" i="4"/>
  <c r="J470" i="4"/>
  <c r="K470" i="4"/>
  <c r="L470" i="4"/>
  <c r="M470" i="4"/>
  <c r="N470" i="4"/>
  <c r="F471" i="4"/>
  <c r="H471" i="4"/>
  <c r="J471" i="4"/>
  <c r="K471" i="4"/>
  <c r="L471" i="4"/>
  <c r="M471" i="4"/>
  <c r="N471" i="4"/>
  <c r="F472" i="4"/>
  <c r="H472" i="4"/>
  <c r="J472" i="4"/>
  <c r="K472" i="4"/>
  <c r="L472" i="4"/>
  <c r="M472" i="4"/>
  <c r="N472" i="4"/>
  <c r="F473" i="4"/>
  <c r="H473" i="4"/>
  <c r="J473" i="4"/>
  <c r="K473" i="4"/>
  <c r="L473" i="4"/>
  <c r="M473" i="4"/>
  <c r="N473" i="4"/>
  <c r="F474" i="4"/>
  <c r="H474" i="4"/>
  <c r="J474" i="4"/>
  <c r="K474" i="4"/>
  <c r="L474" i="4"/>
  <c r="M474" i="4"/>
  <c r="N474" i="4"/>
  <c r="F475" i="4"/>
  <c r="H475" i="4"/>
  <c r="J475" i="4"/>
  <c r="K475" i="4"/>
  <c r="L475" i="4"/>
  <c r="M475" i="4"/>
  <c r="N475" i="4"/>
  <c r="F476" i="4"/>
  <c r="H476" i="4"/>
  <c r="J476" i="4"/>
  <c r="K476" i="4"/>
  <c r="L476" i="4"/>
  <c r="M476" i="4"/>
  <c r="N476" i="4"/>
  <c r="F477" i="4"/>
  <c r="H477" i="4"/>
  <c r="J477" i="4"/>
  <c r="K477" i="4"/>
  <c r="L477" i="4"/>
  <c r="M477" i="4"/>
  <c r="N477" i="4"/>
  <c r="F478" i="4"/>
  <c r="H478" i="4"/>
  <c r="J478" i="4"/>
  <c r="K478" i="4"/>
  <c r="L478" i="4"/>
  <c r="M478" i="4"/>
  <c r="N478" i="4"/>
  <c r="F479" i="4"/>
  <c r="H479" i="4"/>
  <c r="J479" i="4"/>
  <c r="K479" i="4"/>
  <c r="L479" i="4"/>
  <c r="M479" i="4"/>
  <c r="N479" i="4"/>
  <c r="F480" i="4"/>
  <c r="H480" i="4"/>
  <c r="J480" i="4"/>
  <c r="K480" i="4"/>
  <c r="L480" i="4"/>
  <c r="M480" i="4"/>
  <c r="N480" i="4"/>
  <c r="F481" i="4"/>
  <c r="H481" i="4"/>
  <c r="J481" i="4"/>
  <c r="K481" i="4"/>
  <c r="L481" i="4"/>
  <c r="M481" i="4"/>
  <c r="N481" i="4"/>
  <c r="F482" i="4"/>
  <c r="H482" i="4"/>
  <c r="J482" i="4"/>
  <c r="K482" i="4"/>
  <c r="L482" i="4"/>
  <c r="M482" i="4"/>
  <c r="N482" i="4"/>
  <c r="F483" i="4"/>
  <c r="H483" i="4"/>
  <c r="J483" i="4"/>
  <c r="K483" i="4"/>
  <c r="L483" i="4"/>
  <c r="M483" i="4"/>
  <c r="N483" i="4"/>
  <c r="F484" i="4"/>
  <c r="H484" i="4"/>
  <c r="J484" i="4"/>
  <c r="K484" i="4"/>
  <c r="L484" i="4"/>
  <c r="M484" i="4"/>
  <c r="N484" i="4"/>
  <c r="F485" i="4"/>
  <c r="H485" i="4"/>
  <c r="J485" i="4"/>
  <c r="K485" i="4"/>
  <c r="L485" i="4"/>
  <c r="M485" i="4"/>
  <c r="N485" i="4"/>
  <c r="F486" i="4"/>
  <c r="H486" i="4"/>
  <c r="J486" i="4"/>
  <c r="K486" i="4"/>
  <c r="L486" i="4"/>
  <c r="M486" i="4"/>
  <c r="N486" i="4"/>
  <c r="F487" i="4"/>
  <c r="H487" i="4"/>
  <c r="J487" i="4"/>
  <c r="K487" i="4"/>
  <c r="L487" i="4"/>
  <c r="M487" i="4"/>
  <c r="N487" i="4"/>
  <c r="F488" i="4"/>
  <c r="H488" i="4"/>
  <c r="J488" i="4"/>
  <c r="K488" i="4"/>
  <c r="L488" i="4"/>
  <c r="M488" i="4"/>
  <c r="N488" i="4"/>
  <c r="F489" i="4"/>
  <c r="H489" i="4"/>
  <c r="J489" i="4"/>
  <c r="K489" i="4"/>
  <c r="L489" i="4"/>
  <c r="M489" i="4"/>
  <c r="N489" i="4"/>
  <c r="F490" i="4"/>
  <c r="H490" i="4"/>
  <c r="J490" i="4"/>
  <c r="K490" i="4"/>
  <c r="L490" i="4"/>
  <c r="M490" i="4"/>
  <c r="N490" i="4"/>
  <c r="F491" i="4"/>
  <c r="H491" i="4"/>
  <c r="J491" i="4"/>
  <c r="K491" i="4"/>
  <c r="L491" i="4"/>
  <c r="M491" i="4"/>
  <c r="N491" i="4"/>
  <c r="F492" i="4"/>
  <c r="H492" i="4"/>
  <c r="J492" i="4"/>
  <c r="K492" i="4"/>
  <c r="L492" i="4"/>
  <c r="M492" i="4"/>
  <c r="N492" i="4"/>
  <c r="F493" i="4"/>
  <c r="H493" i="4"/>
  <c r="J493" i="4"/>
  <c r="K493" i="4"/>
  <c r="L493" i="4"/>
  <c r="M493" i="4"/>
  <c r="N493" i="4"/>
  <c r="F494" i="4"/>
  <c r="H494" i="4"/>
  <c r="J494" i="4"/>
  <c r="K494" i="4"/>
  <c r="L494" i="4"/>
  <c r="M494" i="4"/>
  <c r="N494" i="4"/>
  <c r="F495" i="4"/>
  <c r="H495" i="4"/>
  <c r="J495" i="4"/>
  <c r="K495" i="4"/>
  <c r="L495" i="4"/>
  <c r="M495" i="4"/>
  <c r="N495" i="4"/>
  <c r="F496" i="4"/>
  <c r="H496" i="4"/>
  <c r="J496" i="4"/>
  <c r="K496" i="4"/>
  <c r="L496" i="4"/>
  <c r="M496" i="4"/>
  <c r="N496" i="4"/>
  <c r="F497" i="4"/>
  <c r="H497" i="4"/>
  <c r="J497" i="4"/>
  <c r="K497" i="4"/>
  <c r="L497" i="4"/>
  <c r="M497" i="4"/>
  <c r="N497" i="4"/>
  <c r="F498" i="4"/>
  <c r="H498" i="4"/>
  <c r="J498" i="4"/>
  <c r="K498" i="4"/>
  <c r="L498" i="4"/>
  <c r="M498" i="4"/>
  <c r="N498" i="4"/>
  <c r="F499" i="4"/>
  <c r="H499" i="4"/>
  <c r="J499" i="4"/>
  <c r="K499" i="4"/>
  <c r="L499" i="4"/>
  <c r="M499" i="4"/>
  <c r="N499" i="4"/>
  <c r="F500" i="4"/>
  <c r="H500" i="4"/>
  <c r="J500" i="4"/>
  <c r="K500" i="4"/>
  <c r="L500" i="4"/>
  <c r="M500" i="4"/>
  <c r="N500" i="4"/>
  <c r="F501" i="4"/>
  <c r="H501" i="4"/>
  <c r="J501" i="4"/>
  <c r="K501" i="4"/>
  <c r="L501" i="4"/>
  <c r="M501" i="4"/>
  <c r="N501" i="4"/>
  <c r="F502" i="4"/>
  <c r="H502" i="4"/>
  <c r="J502" i="4"/>
  <c r="K502" i="4"/>
  <c r="L502" i="4"/>
  <c r="M502" i="4"/>
  <c r="N502" i="4"/>
  <c r="F503" i="4"/>
  <c r="H503" i="4"/>
  <c r="J503" i="4"/>
  <c r="K503" i="4"/>
  <c r="L503" i="4"/>
  <c r="M503" i="4"/>
  <c r="N503" i="4"/>
  <c r="F504" i="4"/>
  <c r="H504" i="4"/>
  <c r="J504" i="4"/>
  <c r="K504" i="4"/>
  <c r="L504" i="4"/>
  <c r="M504" i="4"/>
  <c r="N504" i="4"/>
  <c r="F505" i="4"/>
  <c r="H505" i="4"/>
  <c r="J505" i="4"/>
  <c r="K505" i="4"/>
  <c r="L505" i="4"/>
  <c r="M505" i="4"/>
  <c r="N505" i="4"/>
  <c r="F506" i="4"/>
  <c r="H506" i="4"/>
  <c r="J506" i="4"/>
  <c r="K506" i="4"/>
  <c r="L506" i="4"/>
  <c r="M506" i="4"/>
  <c r="N506" i="4"/>
  <c r="F507" i="4"/>
  <c r="H507" i="4"/>
  <c r="J507" i="4"/>
  <c r="K507" i="4"/>
  <c r="L507" i="4"/>
  <c r="M507" i="4"/>
  <c r="N507" i="4"/>
  <c r="F508" i="4"/>
  <c r="H508" i="4"/>
  <c r="J508" i="4"/>
  <c r="K508" i="4"/>
  <c r="L508" i="4"/>
  <c r="M508" i="4"/>
  <c r="N508" i="4"/>
  <c r="F509" i="4"/>
  <c r="H509" i="4"/>
  <c r="J509" i="4"/>
  <c r="K509" i="4"/>
  <c r="L509" i="4"/>
  <c r="M509" i="4"/>
  <c r="N509" i="4"/>
  <c r="F510" i="4"/>
  <c r="H510" i="4"/>
  <c r="J510" i="4"/>
  <c r="K510" i="4"/>
  <c r="L510" i="4"/>
  <c r="M510" i="4"/>
  <c r="N510" i="4"/>
  <c r="F511" i="4"/>
  <c r="H511" i="4"/>
  <c r="J511" i="4"/>
  <c r="K511" i="4"/>
  <c r="L511" i="4"/>
  <c r="M511" i="4"/>
  <c r="N511" i="4"/>
  <c r="F512" i="4"/>
  <c r="H512" i="4"/>
  <c r="J512" i="4"/>
  <c r="K512" i="4"/>
  <c r="L512" i="4"/>
  <c r="M512" i="4"/>
  <c r="N512" i="4"/>
  <c r="F513" i="4"/>
  <c r="H513" i="4"/>
  <c r="J513" i="4"/>
  <c r="K513" i="4"/>
  <c r="L513" i="4"/>
  <c r="M513" i="4"/>
  <c r="N513" i="4"/>
  <c r="F514" i="4"/>
  <c r="H514" i="4"/>
  <c r="J514" i="4"/>
  <c r="K514" i="4"/>
  <c r="L514" i="4"/>
  <c r="M514" i="4"/>
  <c r="N514" i="4"/>
  <c r="F515" i="4"/>
  <c r="H515" i="4"/>
  <c r="J515" i="4"/>
  <c r="K515" i="4"/>
  <c r="L515" i="4"/>
  <c r="M515" i="4"/>
  <c r="N515" i="4"/>
  <c r="F516" i="4"/>
  <c r="H516" i="4"/>
  <c r="J516" i="4"/>
  <c r="K516" i="4"/>
  <c r="L516" i="4"/>
  <c r="M516" i="4"/>
  <c r="N516" i="4"/>
  <c r="F517" i="4"/>
  <c r="H517" i="4"/>
  <c r="J517" i="4"/>
  <c r="K517" i="4"/>
  <c r="L517" i="4"/>
  <c r="M517" i="4"/>
  <c r="N517" i="4"/>
  <c r="F518" i="4"/>
  <c r="H518" i="4"/>
  <c r="J518" i="4"/>
  <c r="K518" i="4"/>
  <c r="L518" i="4"/>
  <c r="M518" i="4"/>
  <c r="N518" i="4"/>
  <c r="F519" i="4"/>
  <c r="H519" i="4"/>
  <c r="J519" i="4"/>
  <c r="K519" i="4"/>
  <c r="L519" i="4"/>
  <c r="M519" i="4"/>
  <c r="N519" i="4"/>
  <c r="F520" i="4"/>
  <c r="H520" i="4"/>
  <c r="J520" i="4"/>
  <c r="K520" i="4"/>
  <c r="L520" i="4"/>
  <c r="M520" i="4"/>
  <c r="N520" i="4"/>
  <c r="F521" i="4"/>
  <c r="H521" i="4"/>
  <c r="J521" i="4"/>
  <c r="K521" i="4"/>
  <c r="L521" i="4"/>
  <c r="M521" i="4"/>
  <c r="N521" i="4"/>
  <c r="F522" i="4"/>
  <c r="H522" i="4"/>
  <c r="J522" i="4"/>
  <c r="K522" i="4"/>
  <c r="L522" i="4"/>
  <c r="M522" i="4"/>
  <c r="N522" i="4"/>
  <c r="F523" i="4"/>
  <c r="H523" i="4"/>
  <c r="J523" i="4"/>
  <c r="K523" i="4"/>
  <c r="L523" i="4"/>
  <c r="M523" i="4"/>
  <c r="N523" i="4"/>
  <c r="F524" i="4"/>
  <c r="H524" i="4"/>
  <c r="J524" i="4"/>
  <c r="K524" i="4"/>
  <c r="L524" i="4"/>
  <c r="M524" i="4"/>
  <c r="N524" i="4"/>
  <c r="F525" i="4"/>
  <c r="H525" i="4"/>
  <c r="J525" i="4"/>
  <c r="K525" i="4"/>
  <c r="L525" i="4"/>
  <c r="M525" i="4"/>
  <c r="N525" i="4"/>
  <c r="F526" i="4"/>
  <c r="H526" i="4"/>
  <c r="J526" i="4"/>
  <c r="K526" i="4"/>
  <c r="L526" i="4"/>
  <c r="M526" i="4"/>
  <c r="N526" i="4"/>
  <c r="F527" i="4"/>
  <c r="H527" i="4"/>
  <c r="J527" i="4"/>
  <c r="K527" i="4"/>
  <c r="L527" i="4"/>
  <c r="M527" i="4"/>
  <c r="N527" i="4"/>
  <c r="F528" i="4"/>
  <c r="H528" i="4"/>
  <c r="J528" i="4"/>
  <c r="K528" i="4"/>
  <c r="L528" i="4"/>
  <c r="M528" i="4"/>
  <c r="N528" i="4"/>
  <c r="F529" i="4"/>
  <c r="H529" i="4"/>
  <c r="J529" i="4"/>
  <c r="K529" i="4"/>
  <c r="L529" i="4"/>
  <c r="M529" i="4"/>
  <c r="N529" i="4"/>
  <c r="F530" i="4"/>
  <c r="H530" i="4"/>
  <c r="J530" i="4"/>
  <c r="K530" i="4"/>
  <c r="L530" i="4"/>
  <c r="M530" i="4"/>
  <c r="N530" i="4"/>
  <c r="F531" i="4"/>
  <c r="H531" i="4"/>
  <c r="J531" i="4"/>
  <c r="K531" i="4"/>
  <c r="L531" i="4"/>
  <c r="M531" i="4"/>
  <c r="N531" i="4"/>
  <c r="F532" i="4"/>
  <c r="H532" i="4"/>
  <c r="J532" i="4"/>
  <c r="K532" i="4"/>
  <c r="L532" i="4"/>
  <c r="M532" i="4"/>
  <c r="N532" i="4"/>
  <c r="F533" i="4"/>
  <c r="H533" i="4"/>
  <c r="J533" i="4"/>
  <c r="K533" i="4"/>
  <c r="L533" i="4"/>
  <c r="M533" i="4"/>
  <c r="N533" i="4"/>
  <c r="F534" i="4"/>
  <c r="H534" i="4"/>
  <c r="J534" i="4"/>
  <c r="K534" i="4"/>
  <c r="L534" i="4"/>
  <c r="M534" i="4"/>
  <c r="N534" i="4"/>
  <c r="F535" i="4"/>
  <c r="H535" i="4"/>
  <c r="J535" i="4"/>
  <c r="K535" i="4"/>
  <c r="L535" i="4"/>
  <c r="M535" i="4"/>
  <c r="N535" i="4"/>
  <c r="F536" i="4"/>
  <c r="H536" i="4"/>
  <c r="J536" i="4"/>
  <c r="K536" i="4"/>
  <c r="L536" i="4"/>
  <c r="M536" i="4"/>
  <c r="N536" i="4"/>
  <c r="F537" i="4"/>
  <c r="H537" i="4"/>
  <c r="J537" i="4"/>
  <c r="K537" i="4"/>
  <c r="L537" i="4"/>
  <c r="M537" i="4"/>
  <c r="N537" i="4"/>
  <c r="F538" i="4"/>
  <c r="H538" i="4"/>
  <c r="J538" i="4"/>
  <c r="K538" i="4"/>
  <c r="L538" i="4"/>
  <c r="M538" i="4"/>
  <c r="N538" i="4"/>
  <c r="F539" i="4"/>
  <c r="H539" i="4"/>
  <c r="J539" i="4"/>
  <c r="K539" i="4"/>
  <c r="L539" i="4"/>
  <c r="M539" i="4"/>
  <c r="N539" i="4"/>
  <c r="F540" i="4"/>
  <c r="H540" i="4"/>
  <c r="J540" i="4"/>
  <c r="K540" i="4"/>
  <c r="L540" i="4"/>
  <c r="M540" i="4"/>
  <c r="N540" i="4"/>
  <c r="F541" i="4"/>
  <c r="H541" i="4"/>
  <c r="J541" i="4"/>
  <c r="K541" i="4"/>
  <c r="L541" i="4"/>
  <c r="M541" i="4"/>
  <c r="N541" i="4"/>
  <c r="F542" i="4"/>
  <c r="H542" i="4"/>
  <c r="J542" i="4"/>
  <c r="K542" i="4"/>
  <c r="L542" i="4"/>
  <c r="M542" i="4"/>
  <c r="N542" i="4"/>
  <c r="F543" i="4"/>
  <c r="H543" i="4"/>
  <c r="J543" i="4"/>
  <c r="K543" i="4"/>
  <c r="L543" i="4"/>
  <c r="M543" i="4"/>
  <c r="N543" i="4"/>
  <c r="F544" i="4"/>
  <c r="H544" i="4"/>
  <c r="J544" i="4"/>
  <c r="K544" i="4"/>
  <c r="L544" i="4"/>
  <c r="M544" i="4"/>
  <c r="N544" i="4"/>
  <c r="F545" i="4"/>
  <c r="H545" i="4"/>
  <c r="J545" i="4"/>
  <c r="K545" i="4"/>
  <c r="L545" i="4"/>
  <c r="M545" i="4"/>
  <c r="N545" i="4"/>
  <c r="F546" i="4"/>
  <c r="H546" i="4"/>
  <c r="J546" i="4"/>
  <c r="K546" i="4"/>
  <c r="L546" i="4"/>
  <c r="M546" i="4"/>
  <c r="N546" i="4"/>
  <c r="F547" i="4"/>
  <c r="H547" i="4"/>
  <c r="J547" i="4"/>
  <c r="K547" i="4"/>
  <c r="L547" i="4"/>
  <c r="M547" i="4"/>
  <c r="N547" i="4"/>
  <c r="F548" i="4"/>
  <c r="H548" i="4"/>
  <c r="J548" i="4"/>
  <c r="K548" i="4"/>
  <c r="L548" i="4"/>
  <c r="M548" i="4"/>
  <c r="N548" i="4"/>
  <c r="F549" i="4"/>
  <c r="H549" i="4"/>
  <c r="J549" i="4"/>
  <c r="K549" i="4"/>
  <c r="L549" i="4"/>
  <c r="M549" i="4"/>
  <c r="N549" i="4"/>
  <c r="F550" i="4"/>
  <c r="H550" i="4"/>
  <c r="J550" i="4"/>
  <c r="K550" i="4"/>
  <c r="L550" i="4"/>
  <c r="M550" i="4"/>
  <c r="N550" i="4"/>
  <c r="F551" i="4"/>
  <c r="H551" i="4"/>
  <c r="J551" i="4"/>
  <c r="K551" i="4"/>
  <c r="L551" i="4"/>
  <c r="M551" i="4"/>
  <c r="N551" i="4"/>
  <c r="F552" i="4"/>
  <c r="H552" i="4"/>
  <c r="J552" i="4"/>
  <c r="K552" i="4"/>
  <c r="L552" i="4"/>
  <c r="M552" i="4"/>
  <c r="N552" i="4"/>
  <c r="F553" i="4"/>
  <c r="H553" i="4"/>
  <c r="J553" i="4"/>
  <c r="K553" i="4"/>
  <c r="L553" i="4"/>
  <c r="M553" i="4"/>
  <c r="N553" i="4"/>
  <c r="F554" i="4"/>
  <c r="H554" i="4"/>
  <c r="J554" i="4"/>
  <c r="K554" i="4"/>
  <c r="L554" i="4"/>
  <c r="M554" i="4"/>
  <c r="N554" i="4"/>
  <c r="F555" i="4"/>
  <c r="H555" i="4"/>
  <c r="J555" i="4"/>
  <c r="K555" i="4"/>
  <c r="L555" i="4"/>
  <c r="M555" i="4"/>
  <c r="N555" i="4"/>
  <c r="F556" i="4"/>
  <c r="H556" i="4"/>
  <c r="J556" i="4"/>
  <c r="K556" i="4"/>
  <c r="L556" i="4"/>
  <c r="M556" i="4"/>
  <c r="N556" i="4"/>
  <c r="F557" i="4"/>
  <c r="H557" i="4"/>
  <c r="J557" i="4"/>
  <c r="K557" i="4"/>
  <c r="L557" i="4"/>
  <c r="M557" i="4"/>
  <c r="N557" i="4"/>
  <c r="F558" i="4"/>
  <c r="H558" i="4"/>
  <c r="J558" i="4"/>
  <c r="K558" i="4"/>
  <c r="L558" i="4"/>
  <c r="M558" i="4"/>
  <c r="N558" i="4"/>
  <c r="F559" i="4"/>
  <c r="H559" i="4"/>
  <c r="J559" i="4"/>
  <c r="K559" i="4"/>
  <c r="L559" i="4"/>
  <c r="M559" i="4"/>
  <c r="N559" i="4"/>
  <c r="F560" i="4"/>
  <c r="H560" i="4"/>
  <c r="J560" i="4"/>
  <c r="K560" i="4"/>
  <c r="L560" i="4"/>
  <c r="M560" i="4"/>
  <c r="N560" i="4"/>
  <c r="F561" i="4"/>
  <c r="H561" i="4"/>
  <c r="J561" i="4"/>
  <c r="K561" i="4"/>
  <c r="L561" i="4"/>
  <c r="M561" i="4"/>
  <c r="N561" i="4"/>
  <c r="F562" i="4"/>
  <c r="H562" i="4"/>
  <c r="J562" i="4"/>
  <c r="K562" i="4"/>
  <c r="L562" i="4"/>
  <c r="M562" i="4"/>
  <c r="N562" i="4"/>
  <c r="F563" i="4"/>
  <c r="H563" i="4"/>
  <c r="J563" i="4"/>
  <c r="K563" i="4"/>
  <c r="L563" i="4"/>
  <c r="M563" i="4"/>
  <c r="N563" i="4"/>
  <c r="F564" i="4"/>
  <c r="H564" i="4"/>
  <c r="J564" i="4"/>
  <c r="K564" i="4"/>
  <c r="L564" i="4"/>
  <c r="M564" i="4"/>
  <c r="N564" i="4"/>
  <c r="F565" i="4"/>
  <c r="H565" i="4"/>
  <c r="J565" i="4"/>
  <c r="K565" i="4"/>
  <c r="L565" i="4"/>
  <c r="M565" i="4"/>
  <c r="N565" i="4"/>
  <c r="F566" i="4"/>
  <c r="H566" i="4"/>
  <c r="J566" i="4"/>
  <c r="K566" i="4"/>
  <c r="L566" i="4"/>
  <c r="M566" i="4"/>
  <c r="N566" i="4"/>
  <c r="F567" i="4"/>
  <c r="H567" i="4"/>
  <c r="J567" i="4"/>
  <c r="K567" i="4"/>
  <c r="L567" i="4"/>
  <c r="M567" i="4"/>
  <c r="N567" i="4"/>
  <c r="F568" i="4"/>
  <c r="H568" i="4"/>
  <c r="J568" i="4"/>
  <c r="K568" i="4"/>
  <c r="L568" i="4"/>
  <c r="M568" i="4"/>
  <c r="N568" i="4"/>
  <c r="F569" i="4"/>
  <c r="H569" i="4"/>
  <c r="J569" i="4"/>
  <c r="K569" i="4"/>
  <c r="L569" i="4"/>
  <c r="M569" i="4"/>
  <c r="N569" i="4"/>
  <c r="F570" i="4"/>
  <c r="H570" i="4"/>
  <c r="J570" i="4"/>
  <c r="K570" i="4"/>
  <c r="L570" i="4"/>
  <c r="M570" i="4"/>
  <c r="N570" i="4"/>
  <c r="F571" i="4"/>
  <c r="H571" i="4"/>
  <c r="J571" i="4"/>
  <c r="K571" i="4"/>
  <c r="L571" i="4"/>
  <c r="M571" i="4"/>
  <c r="N571" i="4"/>
  <c r="F572" i="4"/>
  <c r="H572" i="4"/>
  <c r="J572" i="4"/>
  <c r="K572" i="4"/>
  <c r="L572" i="4"/>
  <c r="M572" i="4"/>
  <c r="N572" i="4"/>
  <c r="F573" i="4"/>
  <c r="H573" i="4"/>
  <c r="J573" i="4"/>
  <c r="K573" i="4"/>
  <c r="L573" i="4"/>
  <c r="M573" i="4"/>
  <c r="N573" i="4"/>
  <c r="F574" i="4"/>
  <c r="H574" i="4"/>
  <c r="J574" i="4"/>
  <c r="K574" i="4"/>
  <c r="L574" i="4"/>
  <c r="M574" i="4"/>
  <c r="N574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DN6" i="1"/>
  <c r="DN13" i="1"/>
  <c r="DN16" i="1"/>
  <c r="DM13" i="1"/>
  <c r="DM14" i="1"/>
  <c r="DM12" i="1"/>
  <c r="DM10" i="1"/>
  <c r="DM6" i="1"/>
  <c r="DL6" i="1"/>
  <c r="DJ6" i="1"/>
  <c r="DC6" i="1"/>
  <c r="CV6" i="1"/>
  <c r="CU6" i="1"/>
  <c r="DL12" i="1"/>
  <c r="DL13" i="1"/>
  <c r="DL19" i="1"/>
  <c r="DK19" i="1"/>
  <c r="DK16" i="1"/>
  <c r="DK10" i="1"/>
  <c r="DK13" i="1"/>
  <c r="DK6" i="1"/>
  <c r="DJ14" i="1"/>
  <c r="DJ13" i="1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N37" i="3"/>
  <c r="M37" i="3"/>
  <c r="P37" i="3" s="1"/>
  <c r="L37" i="3"/>
  <c r="P36" i="3"/>
  <c r="N36" i="3"/>
  <c r="M36" i="3"/>
  <c r="L36" i="3"/>
  <c r="N35" i="3"/>
  <c r="M35" i="3"/>
  <c r="P35" i="3" s="1"/>
  <c r="L35" i="3"/>
  <c r="L34" i="3"/>
  <c r="L33" i="3"/>
  <c r="K37" i="3"/>
  <c r="K36" i="3"/>
  <c r="K35" i="3"/>
  <c r="K34" i="3"/>
  <c r="K33" i="3"/>
  <c r="J37" i="3"/>
  <c r="J36" i="3"/>
  <c r="J35" i="3"/>
  <c r="J34" i="3"/>
  <c r="I37" i="3"/>
  <c r="I36" i="3"/>
  <c r="I35" i="3"/>
  <c r="I34" i="3"/>
  <c r="H34" i="3"/>
  <c r="N34" i="3" s="1"/>
  <c r="H33" i="3"/>
  <c r="M33" i="3" s="1"/>
  <c r="I33" i="3"/>
  <c r="J33" i="3"/>
  <c r="H30" i="3"/>
  <c r="N30" i="3" s="1"/>
  <c r="H29" i="3"/>
  <c r="H28" i="3"/>
  <c r="N28" i="3" s="1"/>
  <c r="N32" i="3"/>
  <c r="M32" i="3"/>
  <c r="P32" i="3" s="1"/>
  <c r="L32" i="3"/>
  <c r="K32" i="3"/>
  <c r="N31" i="3"/>
  <c r="M31" i="3"/>
  <c r="P31" i="3" s="1"/>
  <c r="L31" i="3"/>
  <c r="K31" i="3"/>
  <c r="L30" i="3"/>
  <c r="K30" i="3"/>
  <c r="N29" i="3"/>
  <c r="M29" i="3"/>
  <c r="P29" i="3" s="1"/>
  <c r="L29" i="3"/>
  <c r="K29" i="3"/>
  <c r="M28" i="3"/>
  <c r="P28" i="3" s="1"/>
  <c r="L28" i="3"/>
  <c r="K28" i="3"/>
  <c r="J32" i="3"/>
  <c r="J31" i="3"/>
  <c r="J30" i="3"/>
  <c r="J29" i="3"/>
  <c r="I32" i="3"/>
  <c r="I31" i="3"/>
  <c r="I30" i="3"/>
  <c r="I29" i="3"/>
  <c r="I28" i="3"/>
  <c r="J28" i="3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DL32" i="1"/>
  <c r="DM32" i="1"/>
  <c r="DN32" i="1"/>
  <c r="DO32" i="1"/>
  <c r="DP32" i="1"/>
  <c r="DQ32" i="1"/>
  <c r="DR32" i="1"/>
  <c r="DS32" i="1"/>
  <c r="DT32" i="1"/>
  <c r="DU32" i="1"/>
  <c r="DV32" i="1"/>
  <c r="N27" i="3"/>
  <c r="M27" i="3"/>
  <c r="P27" i="3" s="1"/>
  <c r="L27" i="3"/>
  <c r="K27" i="3"/>
  <c r="J27" i="3"/>
  <c r="L26" i="3"/>
  <c r="K26" i="3"/>
  <c r="J26" i="3"/>
  <c r="L25" i="3"/>
  <c r="K25" i="3"/>
  <c r="J25" i="3"/>
  <c r="L24" i="3"/>
  <c r="K24" i="3"/>
  <c r="J24" i="3"/>
  <c r="I27" i="3"/>
  <c r="I26" i="3"/>
  <c r="I25" i="3"/>
  <c r="I24" i="3"/>
  <c r="H26" i="3"/>
  <c r="N26" i="3" s="1"/>
  <c r="H25" i="3"/>
  <c r="M25" i="3" s="1"/>
  <c r="H24" i="3"/>
  <c r="N24" i="3" s="1"/>
  <c r="H23" i="3"/>
  <c r="N23" i="3" s="1"/>
  <c r="K23" i="3"/>
  <c r="L23" i="3"/>
  <c r="N392" i="4" l="1"/>
  <c r="M392" i="4"/>
  <c r="M394" i="4"/>
  <c r="N394" i="4"/>
  <c r="M391" i="4"/>
  <c r="N391" i="4"/>
  <c r="M393" i="4"/>
  <c r="N393" i="4"/>
  <c r="M390" i="4"/>
  <c r="N390" i="4"/>
  <c r="N389" i="4"/>
  <c r="N380" i="4"/>
  <c r="M380" i="4"/>
  <c r="N387" i="4"/>
  <c r="N383" i="4"/>
  <c r="M383" i="4"/>
  <c r="M379" i="4"/>
  <c r="N379" i="4"/>
  <c r="N385" i="4"/>
  <c r="M385" i="4"/>
  <c r="M388" i="4"/>
  <c r="N388" i="4"/>
  <c r="M382" i="4"/>
  <c r="N382" i="4"/>
  <c r="M384" i="4"/>
  <c r="N384" i="4"/>
  <c r="M381" i="4"/>
  <c r="N381" i="4"/>
  <c r="N386" i="4"/>
  <c r="M386" i="4"/>
  <c r="N374" i="4"/>
  <c r="M374" i="4"/>
  <c r="M375" i="4"/>
  <c r="N375" i="4"/>
  <c r="M377" i="4"/>
  <c r="N377" i="4"/>
  <c r="P33" i="3"/>
  <c r="N33" i="3"/>
  <c r="M34" i="3"/>
  <c r="P34" i="3"/>
  <c r="M30" i="3"/>
  <c r="P30" i="3" s="1"/>
  <c r="M26" i="3"/>
  <c r="P26" i="3" s="1"/>
  <c r="P25" i="3"/>
  <c r="M23" i="3"/>
  <c r="P23" i="3" s="1"/>
  <c r="M24" i="3"/>
  <c r="N25" i="3"/>
  <c r="I23" i="3"/>
  <c r="J23" i="3"/>
  <c r="DI6" i="1"/>
  <c r="DI19" i="1"/>
  <c r="DI32" i="1"/>
  <c r="DI10" i="1"/>
  <c r="DI12" i="1"/>
  <c r="DI14" i="1"/>
  <c r="DI13" i="1"/>
  <c r="DH6" i="1"/>
  <c r="DH19" i="1"/>
  <c r="DH32" i="1"/>
  <c r="DJ32" i="1"/>
  <c r="DK32" i="1"/>
  <c r="DH13" i="1"/>
  <c r="DH12" i="1"/>
  <c r="DH14" i="1"/>
  <c r="DG19" i="1"/>
  <c r="DG6" i="1"/>
  <c r="DG32" i="1"/>
  <c r="DG13" i="1"/>
  <c r="P24" i="3" l="1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L373" i="4"/>
  <c r="N373" i="4" s="1"/>
  <c r="K373" i="4"/>
  <c r="J373" i="4"/>
  <c r="L372" i="4"/>
  <c r="N372" i="4" s="1"/>
  <c r="K372" i="4"/>
  <c r="J372" i="4"/>
  <c r="L371" i="4"/>
  <c r="M371" i="4" s="1"/>
  <c r="K371" i="4"/>
  <c r="J371" i="4"/>
  <c r="L370" i="4"/>
  <c r="N370" i="4" s="1"/>
  <c r="K370" i="4"/>
  <c r="J370" i="4"/>
  <c r="L369" i="4"/>
  <c r="N369" i="4" s="1"/>
  <c r="K369" i="4"/>
  <c r="J369" i="4"/>
  <c r="L368" i="4"/>
  <c r="N368" i="4" s="1"/>
  <c r="K368" i="4"/>
  <c r="J368" i="4"/>
  <c r="L367" i="4"/>
  <c r="M367" i="4" s="1"/>
  <c r="K367" i="4"/>
  <c r="J367" i="4"/>
  <c r="L366" i="4"/>
  <c r="M366" i="4" s="1"/>
  <c r="K366" i="4"/>
  <c r="J366" i="4"/>
  <c r="L365" i="4"/>
  <c r="N365" i="4" s="1"/>
  <c r="K365" i="4"/>
  <c r="J365" i="4"/>
  <c r="L364" i="4"/>
  <c r="N364" i="4" s="1"/>
  <c r="K364" i="4"/>
  <c r="J364" i="4"/>
  <c r="L363" i="4"/>
  <c r="N363" i="4" s="1"/>
  <c r="K363" i="4"/>
  <c r="J363" i="4"/>
  <c r="L362" i="4"/>
  <c r="M362" i="4" s="1"/>
  <c r="K362" i="4"/>
  <c r="J362" i="4"/>
  <c r="L361" i="4"/>
  <c r="N361" i="4" s="1"/>
  <c r="K361" i="4"/>
  <c r="J361" i="4"/>
  <c r="L360" i="4"/>
  <c r="N360" i="4" s="1"/>
  <c r="K360" i="4"/>
  <c r="J360" i="4"/>
  <c r="N359" i="4"/>
  <c r="L359" i="4"/>
  <c r="M359" i="4" s="1"/>
  <c r="K359" i="4"/>
  <c r="J359" i="4"/>
  <c r="N358" i="4"/>
  <c r="L358" i="4"/>
  <c r="M358" i="4" s="1"/>
  <c r="K358" i="4"/>
  <c r="J358" i="4"/>
  <c r="L357" i="4"/>
  <c r="N357" i="4" s="1"/>
  <c r="K357" i="4"/>
  <c r="J357" i="4"/>
  <c r="L356" i="4"/>
  <c r="M356" i="4" s="1"/>
  <c r="K356" i="4"/>
  <c r="J356" i="4"/>
  <c r="L355" i="4"/>
  <c r="N355" i="4" s="1"/>
  <c r="K355" i="4"/>
  <c r="J355" i="4"/>
  <c r="N354" i="4"/>
  <c r="L354" i="4"/>
  <c r="M354" i="4" s="1"/>
  <c r="K354" i="4"/>
  <c r="J354" i="4"/>
  <c r="L353" i="4"/>
  <c r="N353" i="4" s="1"/>
  <c r="K353" i="4"/>
  <c r="J353" i="4"/>
  <c r="L352" i="4"/>
  <c r="M352" i="4" s="1"/>
  <c r="K352" i="4"/>
  <c r="J352" i="4"/>
  <c r="N351" i="4"/>
  <c r="L351" i="4"/>
  <c r="M351" i="4" s="1"/>
  <c r="K351" i="4"/>
  <c r="J351" i="4"/>
  <c r="L350" i="4"/>
  <c r="M350" i="4" s="1"/>
  <c r="K350" i="4"/>
  <c r="J350" i="4"/>
  <c r="L349" i="4"/>
  <c r="N349" i="4" s="1"/>
  <c r="K349" i="4"/>
  <c r="J349" i="4"/>
  <c r="L348" i="4"/>
  <c r="N348" i="4" s="1"/>
  <c r="K348" i="4"/>
  <c r="J348" i="4"/>
  <c r="L347" i="4"/>
  <c r="N347" i="4" s="1"/>
  <c r="K347" i="4"/>
  <c r="J347" i="4"/>
  <c r="L346" i="4"/>
  <c r="M346" i="4" s="1"/>
  <c r="K346" i="4"/>
  <c r="J346" i="4"/>
  <c r="L345" i="4"/>
  <c r="N345" i="4" s="1"/>
  <c r="K345" i="4"/>
  <c r="J345" i="4"/>
  <c r="L344" i="4"/>
  <c r="N344" i="4" s="1"/>
  <c r="K344" i="4"/>
  <c r="J344" i="4"/>
  <c r="M343" i="4"/>
  <c r="L343" i="4"/>
  <c r="N343" i="4" s="1"/>
  <c r="K343" i="4"/>
  <c r="J343" i="4"/>
  <c r="L342" i="4"/>
  <c r="M342" i="4" s="1"/>
  <c r="K342" i="4"/>
  <c r="J342" i="4"/>
  <c r="L341" i="4"/>
  <c r="N341" i="4" s="1"/>
  <c r="K341" i="4"/>
  <c r="J341" i="4"/>
  <c r="L340" i="4"/>
  <c r="N340" i="4" s="1"/>
  <c r="K340" i="4"/>
  <c r="J340" i="4"/>
  <c r="M339" i="4"/>
  <c r="L339" i="4"/>
  <c r="N339" i="4" s="1"/>
  <c r="K339" i="4"/>
  <c r="J339" i="4"/>
  <c r="N338" i="4"/>
  <c r="M338" i="4"/>
  <c r="L338" i="4"/>
  <c r="K338" i="4"/>
  <c r="J338" i="4"/>
  <c r="L337" i="4"/>
  <c r="M337" i="4" s="1"/>
  <c r="K337" i="4"/>
  <c r="J337" i="4"/>
  <c r="L336" i="4"/>
  <c r="N336" i="4" s="1"/>
  <c r="K336" i="4"/>
  <c r="J336" i="4"/>
  <c r="L335" i="4"/>
  <c r="M335" i="4" s="1"/>
  <c r="K335" i="4"/>
  <c r="J335" i="4"/>
  <c r="L334" i="4"/>
  <c r="M334" i="4" s="1"/>
  <c r="K334" i="4"/>
  <c r="J334" i="4"/>
  <c r="L333" i="4"/>
  <c r="M333" i="4" s="1"/>
  <c r="K333" i="4"/>
  <c r="J333" i="4"/>
  <c r="L332" i="4"/>
  <c r="N332" i="4" s="1"/>
  <c r="K332" i="4"/>
  <c r="J332" i="4"/>
  <c r="L331" i="4"/>
  <c r="N331" i="4" s="1"/>
  <c r="K331" i="4"/>
  <c r="J331" i="4"/>
  <c r="L330" i="4"/>
  <c r="N330" i="4" s="1"/>
  <c r="K330" i="4"/>
  <c r="J330" i="4"/>
  <c r="L329" i="4"/>
  <c r="M329" i="4" s="1"/>
  <c r="K329" i="4"/>
  <c r="J329" i="4"/>
  <c r="L328" i="4"/>
  <c r="N328" i="4" s="1"/>
  <c r="K328" i="4"/>
  <c r="J328" i="4"/>
  <c r="L327" i="4"/>
  <c r="M327" i="4" s="1"/>
  <c r="K327" i="4"/>
  <c r="J327" i="4"/>
  <c r="N326" i="4"/>
  <c r="M326" i="4"/>
  <c r="L326" i="4"/>
  <c r="K326" i="4"/>
  <c r="J326" i="4"/>
  <c r="L325" i="4"/>
  <c r="N325" i="4" s="1"/>
  <c r="K325" i="4"/>
  <c r="J325" i="4"/>
  <c r="L324" i="4"/>
  <c r="N324" i="4" s="1"/>
  <c r="K324" i="4"/>
  <c r="J324" i="4"/>
  <c r="N323" i="4"/>
  <c r="L323" i="4"/>
  <c r="M323" i="4" s="1"/>
  <c r="K323" i="4"/>
  <c r="J323" i="4"/>
  <c r="L322" i="4"/>
  <c r="N322" i="4" s="1"/>
  <c r="K322" i="4"/>
  <c r="J322" i="4"/>
  <c r="L321" i="4"/>
  <c r="M321" i="4" s="1"/>
  <c r="K321" i="4"/>
  <c r="J321" i="4"/>
  <c r="L320" i="4"/>
  <c r="M320" i="4" s="1"/>
  <c r="K320" i="4"/>
  <c r="J320" i="4"/>
  <c r="L319" i="4"/>
  <c r="N319" i="4" s="1"/>
  <c r="K319" i="4"/>
  <c r="J319" i="4"/>
  <c r="L318" i="4"/>
  <c r="M318" i="4" s="1"/>
  <c r="K318" i="4"/>
  <c r="J318" i="4"/>
  <c r="L317" i="4"/>
  <c r="M317" i="4" s="1"/>
  <c r="K317" i="4"/>
  <c r="J317" i="4"/>
  <c r="L316" i="4"/>
  <c r="N316" i="4" s="1"/>
  <c r="K316" i="4"/>
  <c r="J316" i="4"/>
  <c r="L315" i="4"/>
  <c r="N315" i="4" s="1"/>
  <c r="K315" i="4"/>
  <c r="J315" i="4"/>
  <c r="L314" i="4"/>
  <c r="N314" i="4" s="1"/>
  <c r="K314" i="4"/>
  <c r="J314" i="4"/>
  <c r="M313" i="4"/>
  <c r="L313" i="4"/>
  <c r="N313" i="4" s="1"/>
  <c r="K313" i="4"/>
  <c r="J313" i="4"/>
  <c r="L312" i="4"/>
  <c r="N312" i="4" s="1"/>
  <c r="K312" i="4"/>
  <c r="J312" i="4"/>
  <c r="L311" i="4"/>
  <c r="M311" i="4" s="1"/>
  <c r="K311" i="4"/>
  <c r="J311" i="4"/>
  <c r="L310" i="4"/>
  <c r="M310" i="4" s="1"/>
  <c r="K310" i="4"/>
  <c r="J310" i="4"/>
  <c r="L309" i="4"/>
  <c r="N309" i="4" s="1"/>
  <c r="K309" i="4"/>
  <c r="J309" i="4"/>
  <c r="L308" i="4"/>
  <c r="N308" i="4" s="1"/>
  <c r="K308" i="4"/>
  <c r="J308" i="4"/>
  <c r="N307" i="4"/>
  <c r="L307" i="4"/>
  <c r="M307" i="4" s="1"/>
  <c r="K307" i="4"/>
  <c r="J307" i="4"/>
  <c r="L306" i="4"/>
  <c r="N306" i="4" s="1"/>
  <c r="K306" i="4"/>
  <c r="J306" i="4"/>
  <c r="L305" i="4"/>
  <c r="N305" i="4" s="1"/>
  <c r="K305" i="4"/>
  <c r="J305" i="4"/>
  <c r="L304" i="4"/>
  <c r="M304" i="4" s="1"/>
  <c r="K304" i="4"/>
  <c r="J304" i="4"/>
  <c r="L303" i="4"/>
  <c r="N303" i="4" s="1"/>
  <c r="K303" i="4"/>
  <c r="J303" i="4"/>
  <c r="L302" i="4"/>
  <c r="M302" i="4" s="1"/>
  <c r="K302" i="4"/>
  <c r="J302" i="4"/>
  <c r="L301" i="4"/>
  <c r="M301" i="4" s="1"/>
  <c r="K301" i="4"/>
  <c r="J301" i="4"/>
  <c r="L300" i="4"/>
  <c r="N300" i="4" s="1"/>
  <c r="K300" i="4"/>
  <c r="J300" i="4"/>
  <c r="L299" i="4"/>
  <c r="N299" i="4" s="1"/>
  <c r="K299" i="4"/>
  <c r="J299" i="4"/>
  <c r="K298" i="4"/>
  <c r="J298" i="4"/>
  <c r="L298" i="4"/>
  <c r="M298" i="4" s="1"/>
  <c r="K297" i="4"/>
  <c r="J297" i="4"/>
  <c r="L297" i="4"/>
  <c r="K296" i="4"/>
  <c r="J296" i="4"/>
  <c r="L296" i="4"/>
  <c r="K295" i="4"/>
  <c r="J295" i="4"/>
  <c r="L295" i="4"/>
  <c r="K294" i="4"/>
  <c r="J294" i="4"/>
  <c r="L294" i="4"/>
  <c r="K293" i="4"/>
  <c r="J293" i="4"/>
  <c r="L293" i="4"/>
  <c r="M293" i="4" s="1"/>
  <c r="K292" i="4"/>
  <c r="J292" i="4"/>
  <c r="L292" i="4"/>
  <c r="K291" i="4"/>
  <c r="J291" i="4"/>
  <c r="L291" i="4"/>
  <c r="N291" i="4" s="1"/>
  <c r="K290" i="4"/>
  <c r="J290" i="4"/>
  <c r="F290" i="4"/>
  <c r="L290" i="4" s="1"/>
  <c r="K289" i="4"/>
  <c r="J289" i="4"/>
  <c r="F289" i="4"/>
  <c r="L289" i="4" s="1"/>
  <c r="K288" i="4"/>
  <c r="J288" i="4"/>
  <c r="F288" i="4"/>
  <c r="L288" i="4" s="1"/>
  <c r="K287" i="4"/>
  <c r="J287" i="4"/>
  <c r="F287" i="4"/>
  <c r="L287" i="4" s="1"/>
  <c r="N287" i="4" s="1"/>
  <c r="K286" i="4"/>
  <c r="J286" i="4"/>
  <c r="F286" i="4"/>
  <c r="L286" i="4" s="1"/>
  <c r="K285" i="4"/>
  <c r="J285" i="4"/>
  <c r="F285" i="4"/>
  <c r="L285" i="4" s="1"/>
  <c r="K284" i="4"/>
  <c r="J284" i="4"/>
  <c r="F284" i="4"/>
  <c r="L284" i="4" s="1"/>
  <c r="K283" i="4"/>
  <c r="J283" i="4"/>
  <c r="F283" i="4"/>
  <c r="L283" i="4" s="1"/>
  <c r="N283" i="4" s="1"/>
  <c r="K282" i="4"/>
  <c r="J282" i="4"/>
  <c r="F282" i="4"/>
  <c r="L282" i="4" s="1"/>
  <c r="L281" i="4"/>
  <c r="M281" i="4" s="1"/>
  <c r="K281" i="4"/>
  <c r="J281" i="4"/>
  <c r="L280" i="4"/>
  <c r="N280" i="4" s="1"/>
  <c r="K280" i="4"/>
  <c r="J280" i="4"/>
  <c r="L279" i="4"/>
  <c r="N279" i="4" s="1"/>
  <c r="K279" i="4"/>
  <c r="J279" i="4"/>
  <c r="L278" i="4"/>
  <c r="N278" i="4" s="1"/>
  <c r="K278" i="4"/>
  <c r="J278" i="4"/>
  <c r="L277" i="4"/>
  <c r="M277" i="4" s="1"/>
  <c r="K277" i="4"/>
  <c r="J277" i="4"/>
  <c r="L276" i="4"/>
  <c r="N276" i="4" s="1"/>
  <c r="K276" i="4"/>
  <c r="J276" i="4"/>
  <c r="L275" i="4"/>
  <c r="N275" i="4" s="1"/>
  <c r="K275" i="4"/>
  <c r="J275" i="4"/>
  <c r="L274" i="4"/>
  <c r="N274" i="4" s="1"/>
  <c r="K274" i="4"/>
  <c r="J274" i="4"/>
  <c r="L273" i="4"/>
  <c r="M273" i="4" s="1"/>
  <c r="K273" i="4"/>
  <c r="J273" i="4"/>
  <c r="L272" i="4"/>
  <c r="N272" i="4" s="1"/>
  <c r="K272" i="4"/>
  <c r="J272" i="4"/>
  <c r="L271" i="4"/>
  <c r="N271" i="4" s="1"/>
  <c r="K271" i="4"/>
  <c r="J271" i="4"/>
  <c r="L270" i="4"/>
  <c r="N270" i="4" s="1"/>
  <c r="K270" i="4"/>
  <c r="J270" i="4"/>
  <c r="L269" i="4"/>
  <c r="N269" i="4" s="1"/>
  <c r="K269" i="4"/>
  <c r="J269" i="4"/>
  <c r="L268" i="4"/>
  <c r="N268" i="4" s="1"/>
  <c r="K268" i="4"/>
  <c r="J268" i="4"/>
  <c r="L267" i="4"/>
  <c r="M267" i="4" s="1"/>
  <c r="K267" i="4"/>
  <c r="J267" i="4"/>
  <c r="L266" i="4"/>
  <c r="N266" i="4" s="1"/>
  <c r="K266" i="4"/>
  <c r="J266" i="4"/>
  <c r="K265" i="4"/>
  <c r="J265" i="4"/>
  <c r="F265" i="4"/>
  <c r="L265" i="4" s="1"/>
  <c r="K264" i="4"/>
  <c r="J264" i="4"/>
  <c r="F264" i="4"/>
  <c r="L264" i="4" s="1"/>
  <c r="N264" i="4" s="1"/>
  <c r="K263" i="4"/>
  <c r="J263" i="4"/>
  <c r="F263" i="4"/>
  <c r="L263" i="4" s="1"/>
  <c r="K262" i="4"/>
  <c r="J262" i="4"/>
  <c r="F262" i="4"/>
  <c r="L262" i="4" s="1"/>
  <c r="K261" i="4"/>
  <c r="J261" i="4"/>
  <c r="F261" i="4"/>
  <c r="L261" i="4" s="1"/>
  <c r="K260" i="4"/>
  <c r="J260" i="4"/>
  <c r="F260" i="4"/>
  <c r="L260" i="4" s="1"/>
  <c r="N260" i="4" s="1"/>
  <c r="K259" i="4"/>
  <c r="J259" i="4"/>
  <c r="F259" i="4"/>
  <c r="L259" i="4" s="1"/>
  <c r="K258" i="4"/>
  <c r="J258" i="4"/>
  <c r="F258" i="4"/>
  <c r="L258" i="4" s="1"/>
  <c r="K257" i="4"/>
  <c r="J257" i="4"/>
  <c r="F257" i="4"/>
  <c r="L257" i="4" s="1"/>
  <c r="N257" i="4" s="1"/>
  <c r="K256" i="4"/>
  <c r="J256" i="4"/>
  <c r="F256" i="4"/>
  <c r="L256" i="4" s="1"/>
  <c r="K255" i="4"/>
  <c r="J255" i="4"/>
  <c r="F255" i="4"/>
  <c r="L255" i="4" s="1"/>
  <c r="K254" i="4"/>
  <c r="J254" i="4"/>
  <c r="F254" i="4"/>
  <c r="L254" i="4" s="1"/>
  <c r="K253" i="4"/>
  <c r="J253" i="4"/>
  <c r="F253" i="4"/>
  <c r="L253" i="4" s="1"/>
  <c r="K252" i="4"/>
  <c r="J252" i="4"/>
  <c r="F252" i="4"/>
  <c r="L252" i="4" s="1"/>
  <c r="N252" i="4" s="1"/>
  <c r="K251" i="4"/>
  <c r="J251" i="4"/>
  <c r="F251" i="4"/>
  <c r="L251" i="4" s="1"/>
  <c r="K250" i="4"/>
  <c r="J250" i="4"/>
  <c r="F250" i="4"/>
  <c r="L250" i="4" s="1"/>
  <c r="K249" i="4"/>
  <c r="J249" i="4"/>
  <c r="F249" i="4"/>
  <c r="L249" i="4" s="1"/>
  <c r="N249" i="4" s="1"/>
  <c r="K248" i="4"/>
  <c r="J248" i="4"/>
  <c r="F248" i="4"/>
  <c r="L248" i="4" s="1"/>
  <c r="K247" i="4"/>
  <c r="J247" i="4"/>
  <c r="F247" i="4"/>
  <c r="L247" i="4" s="1"/>
  <c r="K246" i="4"/>
  <c r="J246" i="4"/>
  <c r="F246" i="4"/>
  <c r="L246" i="4" s="1"/>
  <c r="K245" i="4"/>
  <c r="J245" i="4"/>
  <c r="F245" i="4"/>
  <c r="L245" i="4" s="1"/>
  <c r="K244" i="4"/>
  <c r="J244" i="4"/>
  <c r="F244" i="4"/>
  <c r="L244" i="4" s="1"/>
  <c r="N244" i="4" s="1"/>
  <c r="K243" i="4"/>
  <c r="J243" i="4"/>
  <c r="F243" i="4"/>
  <c r="L243" i="4" s="1"/>
  <c r="K242" i="4"/>
  <c r="J242" i="4"/>
  <c r="F242" i="4"/>
  <c r="L242" i="4" s="1"/>
  <c r="K241" i="4"/>
  <c r="J241" i="4"/>
  <c r="F241" i="4"/>
  <c r="L241" i="4" s="1"/>
  <c r="N241" i="4" s="1"/>
  <c r="K240" i="4"/>
  <c r="J240" i="4"/>
  <c r="F240" i="4"/>
  <c r="L240" i="4" s="1"/>
  <c r="K239" i="4"/>
  <c r="J239" i="4"/>
  <c r="F239" i="4"/>
  <c r="L239" i="4" s="1"/>
  <c r="K238" i="4"/>
  <c r="J238" i="4"/>
  <c r="F238" i="4"/>
  <c r="L238" i="4" s="1"/>
  <c r="K237" i="4"/>
  <c r="J237" i="4"/>
  <c r="F237" i="4"/>
  <c r="L237" i="4" s="1"/>
  <c r="K236" i="4"/>
  <c r="J236" i="4"/>
  <c r="F236" i="4"/>
  <c r="L236" i="4" s="1"/>
  <c r="M236" i="4" s="1"/>
  <c r="K235" i="4"/>
  <c r="J235" i="4"/>
  <c r="F235" i="4"/>
  <c r="L235" i="4" s="1"/>
  <c r="K234" i="4"/>
  <c r="J234" i="4"/>
  <c r="F234" i="4"/>
  <c r="L234" i="4" s="1"/>
  <c r="K233" i="4"/>
  <c r="J233" i="4"/>
  <c r="F233" i="4"/>
  <c r="L233" i="4" s="1"/>
  <c r="N233" i="4" s="1"/>
  <c r="K232" i="4"/>
  <c r="J232" i="4"/>
  <c r="F232" i="4"/>
  <c r="L232" i="4" s="1"/>
  <c r="K231" i="4"/>
  <c r="J231" i="4"/>
  <c r="F231" i="4"/>
  <c r="L231" i="4" s="1"/>
  <c r="K230" i="4"/>
  <c r="J230" i="4"/>
  <c r="F230" i="4"/>
  <c r="L230" i="4" s="1"/>
  <c r="K229" i="4"/>
  <c r="J229" i="4"/>
  <c r="F229" i="4"/>
  <c r="L229" i="4" s="1"/>
  <c r="K228" i="4"/>
  <c r="J228" i="4"/>
  <c r="F228" i="4"/>
  <c r="L228" i="4" s="1"/>
  <c r="M228" i="4" s="1"/>
  <c r="K227" i="4"/>
  <c r="J227" i="4"/>
  <c r="F227" i="4"/>
  <c r="L227" i="4" s="1"/>
  <c r="K226" i="4"/>
  <c r="J226" i="4"/>
  <c r="F226" i="4"/>
  <c r="L226" i="4" s="1"/>
  <c r="K225" i="4"/>
  <c r="J225" i="4"/>
  <c r="F225" i="4"/>
  <c r="L225" i="4" s="1"/>
  <c r="N225" i="4" s="1"/>
  <c r="K224" i="4"/>
  <c r="J224" i="4"/>
  <c r="F224" i="4"/>
  <c r="L224" i="4" s="1"/>
  <c r="K223" i="4"/>
  <c r="J223" i="4"/>
  <c r="F223" i="4"/>
  <c r="L223" i="4" s="1"/>
  <c r="K222" i="4"/>
  <c r="J222" i="4"/>
  <c r="F222" i="4"/>
  <c r="L222" i="4" s="1"/>
  <c r="K221" i="4"/>
  <c r="J221" i="4"/>
  <c r="F221" i="4"/>
  <c r="L221" i="4" s="1"/>
  <c r="K220" i="4"/>
  <c r="J220" i="4"/>
  <c r="F220" i="4"/>
  <c r="L220" i="4" s="1"/>
  <c r="M220" i="4" s="1"/>
  <c r="K219" i="4"/>
  <c r="J219" i="4"/>
  <c r="F219" i="4"/>
  <c r="L219" i="4" s="1"/>
  <c r="K218" i="4"/>
  <c r="J218" i="4"/>
  <c r="F218" i="4"/>
  <c r="L218" i="4" s="1"/>
  <c r="K217" i="4"/>
  <c r="J217" i="4"/>
  <c r="F217" i="4"/>
  <c r="L217" i="4" s="1"/>
  <c r="N217" i="4" s="1"/>
  <c r="K216" i="4"/>
  <c r="J216" i="4"/>
  <c r="F216" i="4"/>
  <c r="L216" i="4" s="1"/>
  <c r="K215" i="4"/>
  <c r="J215" i="4"/>
  <c r="F215" i="4"/>
  <c r="L215" i="4" s="1"/>
  <c r="K214" i="4"/>
  <c r="J214" i="4"/>
  <c r="F214" i="4"/>
  <c r="L214" i="4" s="1"/>
  <c r="K213" i="4"/>
  <c r="J213" i="4"/>
  <c r="F213" i="4"/>
  <c r="L213" i="4" s="1"/>
  <c r="K212" i="4"/>
  <c r="J212" i="4"/>
  <c r="F212" i="4"/>
  <c r="L212" i="4" s="1"/>
  <c r="M212" i="4" s="1"/>
  <c r="K211" i="4"/>
  <c r="J211" i="4"/>
  <c r="F211" i="4"/>
  <c r="L211" i="4" s="1"/>
  <c r="K210" i="4"/>
  <c r="J210" i="4"/>
  <c r="F210" i="4"/>
  <c r="L210" i="4" s="1"/>
  <c r="K209" i="4"/>
  <c r="J209" i="4"/>
  <c r="F209" i="4"/>
  <c r="L209" i="4" s="1"/>
  <c r="N209" i="4" s="1"/>
  <c r="K208" i="4"/>
  <c r="J208" i="4"/>
  <c r="F208" i="4"/>
  <c r="L208" i="4" s="1"/>
  <c r="K207" i="4"/>
  <c r="J207" i="4"/>
  <c r="F207" i="4"/>
  <c r="L207" i="4" s="1"/>
  <c r="K206" i="4"/>
  <c r="J206" i="4"/>
  <c r="F206" i="4"/>
  <c r="L206" i="4" s="1"/>
  <c r="K205" i="4"/>
  <c r="J205" i="4"/>
  <c r="F205" i="4"/>
  <c r="L205" i="4" s="1"/>
  <c r="K204" i="4"/>
  <c r="J204" i="4"/>
  <c r="F204" i="4"/>
  <c r="L204" i="4" s="1"/>
  <c r="M204" i="4" s="1"/>
  <c r="K203" i="4"/>
  <c r="J203" i="4"/>
  <c r="F203" i="4"/>
  <c r="L203" i="4" s="1"/>
  <c r="K202" i="4"/>
  <c r="J202" i="4"/>
  <c r="H202" i="4"/>
  <c r="F202" i="4"/>
  <c r="L202" i="4" s="1"/>
  <c r="K201" i="4"/>
  <c r="J201" i="4"/>
  <c r="H201" i="4"/>
  <c r="F201" i="4"/>
  <c r="L201" i="4" s="1"/>
  <c r="K200" i="4"/>
  <c r="J200" i="4"/>
  <c r="H200" i="4"/>
  <c r="F200" i="4"/>
  <c r="L200" i="4" s="1"/>
  <c r="K199" i="4"/>
  <c r="J199" i="4"/>
  <c r="H199" i="4"/>
  <c r="F199" i="4"/>
  <c r="L199" i="4" s="1"/>
  <c r="K198" i="4"/>
  <c r="J198" i="4"/>
  <c r="H198" i="4"/>
  <c r="F198" i="4"/>
  <c r="L198" i="4" s="1"/>
  <c r="K197" i="4"/>
  <c r="J197" i="4"/>
  <c r="H197" i="4"/>
  <c r="F197" i="4"/>
  <c r="L197" i="4" s="1"/>
  <c r="N197" i="4" s="1"/>
  <c r="K196" i="4"/>
  <c r="J196" i="4"/>
  <c r="H196" i="4"/>
  <c r="F196" i="4"/>
  <c r="L196" i="4" s="1"/>
  <c r="N196" i="4" s="1"/>
  <c r="K195" i="4"/>
  <c r="J195" i="4"/>
  <c r="H195" i="4"/>
  <c r="F195" i="4"/>
  <c r="L195" i="4" s="1"/>
  <c r="K194" i="4"/>
  <c r="J194" i="4"/>
  <c r="H194" i="4"/>
  <c r="F194" i="4"/>
  <c r="L194" i="4" s="1"/>
  <c r="N194" i="4" s="1"/>
  <c r="K193" i="4"/>
  <c r="J193" i="4"/>
  <c r="H193" i="4"/>
  <c r="F193" i="4"/>
  <c r="L193" i="4" s="1"/>
  <c r="K192" i="4"/>
  <c r="J192" i="4"/>
  <c r="H192" i="4"/>
  <c r="F192" i="4"/>
  <c r="L192" i="4" s="1"/>
  <c r="N192" i="4" s="1"/>
  <c r="K191" i="4"/>
  <c r="J191" i="4"/>
  <c r="H191" i="4"/>
  <c r="F191" i="4"/>
  <c r="L191" i="4" s="1"/>
  <c r="K190" i="4"/>
  <c r="J190" i="4"/>
  <c r="H190" i="4"/>
  <c r="F190" i="4"/>
  <c r="L190" i="4" s="1"/>
  <c r="K189" i="4"/>
  <c r="J189" i="4"/>
  <c r="H189" i="4"/>
  <c r="F189" i="4"/>
  <c r="L189" i="4" s="1"/>
  <c r="M189" i="4" s="1"/>
  <c r="K188" i="4"/>
  <c r="J188" i="4"/>
  <c r="H188" i="4"/>
  <c r="F188" i="4"/>
  <c r="L188" i="4" s="1"/>
  <c r="K187" i="4"/>
  <c r="J187" i="4"/>
  <c r="H187" i="4"/>
  <c r="F187" i="4"/>
  <c r="L187" i="4" s="1"/>
  <c r="K186" i="4"/>
  <c r="J186" i="4"/>
  <c r="H186" i="4"/>
  <c r="F186" i="4"/>
  <c r="L186" i="4" s="1"/>
  <c r="K185" i="4"/>
  <c r="J185" i="4"/>
  <c r="H185" i="4"/>
  <c r="F185" i="4"/>
  <c r="L185" i="4" s="1"/>
  <c r="K184" i="4"/>
  <c r="J184" i="4"/>
  <c r="H184" i="4"/>
  <c r="F184" i="4"/>
  <c r="L184" i="4" s="1"/>
  <c r="K183" i="4"/>
  <c r="J183" i="4"/>
  <c r="H183" i="4"/>
  <c r="F183" i="4"/>
  <c r="L183" i="4" s="1"/>
  <c r="K182" i="4"/>
  <c r="J182" i="4"/>
  <c r="H182" i="4"/>
  <c r="F182" i="4"/>
  <c r="L182" i="4" s="1"/>
  <c r="K181" i="4"/>
  <c r="J181" i="4"/>
  <c r="H181" i="4"/>
  <c r="F181" i="4"/>
  <c r="L181" i="4" s="1"/>
  <c r="N181" i="4" s="1"/>
  <c r="K180" i="4"/>
  <c r="J180" i="4"/>
  <c r="H180" i="4"/>
  <c r="F180" i="4"/>
  <c r="L180" i="4" s="1"/>
  <c r="N180" i="4" s="1"/>
  <c r="K179" i="4"/>
  <c r="J179" i="4"/>
  <c r="H179" i="4"/>
  <c r="F179" i="4"/>
  <c r="L179" i="4" s="1"/>
  <c r="K178" i="4"/>
  <c r="J178" i="4"/>
  <c r="H178" i="4"/>
  <c r="F178" i="4"/>
  <c r="L178" i="4" s="1"/>
  <c r="N178" i="4" s="1"/>
  <c r="K177" i="4"/>
  <c r="J177" i="4"/>
  <c r="H177" i="4"/>
  <c r="F177" i="4"/>
  <c r="L177" i="4" s="1"/>
  <c r="K176" i="4"/>
  <c r="J176" i="4"/>
  <c r="H176" i="4"/>
  <c r="F176" i="4"/>
  <c r="L176" i="4" s="1"/>
  <c r="N176" i="4" s="1"/>
  <c r="K175" i="4"/>
  <c r="J175" i="4"/>
  <c r="H175" i="4"/>
  <c r="F175" i="4"/>
  <c r="L175" i="4" s="1"/>
  <c r="K174" i="4"/>
  <c r="J174" i="4"/>
  <c r="H174" i="4"/>
  <c r="F174" i="4"/>
  <c r="L174" i="4" s="1"/>
  <c r="K173" i="4"/>
  <c r="J173" i="4"/>
  <c r="H173" i="4"/>
  <c r="F173" i="4"/>
  <c r="L173" i="4" s="1"/>
  <c r="M173" i="4" s="1"/>
  <c r="K172" i="4"/>
  <c r="J172" i="4"/>
  <c r="H172" i="4"/>
  <c r="F172" i="4"/>
  <c r="L172" i="4" s="1"/>
  <c r="K171" i="4"/>
  <c r="J171" i="4"/>
  <c r="H171" i="4"/>
  <c r="F171" i="4"/>
  <c r="L171" i="4" s="1"/>
  <c r="K170" i="4"/>
  <c r="J170" i="4"/>
  <c r="H170" i="4"/>
  <c r="F170" i="4"/>
  <c r="L170" i="4" s="1"/>
  <c r="K169" i="4"/>
  <c r="J169" i="4"/>
  <c r="H169" i="4"/>
  <c r="F169" i="4"/>
  <c r="L169" i="4" s="1"/>
  <c r="K168" i="4"/>
  <c r="J168" i="4"/>
  <c r="H168" i="4"/>
  <c r="F168" i="4"/>
  <c r="L168" i="4" s="1"/>
  <c r="K167" i="4"/>
  <c r="J167" i="4"/>
  <c r="H167" i="4"/>
  <c r="F167" i="4"/>
  <c r="L167" i="4" s="1"/>
  <c r="K166" i="4"/>
  <c r="J166" i="4"/>
  <c r="H166" i="4"/>
  <c r="F166" i="4"/>
  <c r="L166" i="4" s="1"/>
  <c r="L165" i="4"/>
  <c r="N165" i="4" s="1"/>
  <c r="K165" i="4"/>
  <c r="J165" i="4"/>
  <c r="H165" i="4"/>
  <c r="F165" i="4"/>
  <c r="K164" i="4"/>
  <c r="J164" i="4"/>
  <c r="H164" i="4"/>
  <c r="F164" i="4"/>
  <c r="L164" i="4" s="1"/>
  <c r="N164" i="4" s="1"/>
  <c r="K163" i="4"/>
  <c r="J163" i="4"/>
  <c r="H163" i="4"/>
  <c r="F163" i="4"/>
  <c r="L163" i="4" s="1"/>
  <c r="K162" i="4"/>
  <c r="J162" i="4"/>
  <c r="H162" i="4"/>
  <c r="F162" i="4"/>
  <c r="L162" i="4" s="1"/>
  <c r="K161" i="4"/>
  <c r="J161" i="4"/>
  <c r="H161" i="4"/>
  <c r="F161" i="4"/>
  <c r="L161" i="4" s="1"/>
  <c r="K160" i="4"/>
  <c r="J160" i="4"/>
  <c r="H160" i="4"/>
  <c r="F160" i="4"/>
  <c r="L160" i="4" s="1"/>
  <c r="N160" i="4" s="1"/>
  <c r="K159" i="4"/>
  <c r="J159" i="4"/>
  <c r="H159" i="4"/>
  <c r="F159" i="4"/>
  <c r="L159" i="4" s="1"/>
  <c r="K158" i="4"/>
  <c r="J158" i="4"/>
  <c r="H158" i="4"/>
  <c r="F158" i="4"/>
  <c r="L158" i="4" s="1"/>
  <c r="K157" i="4"/>
  <c r="J157" i="4"/>
  <c r="H157" i="4"/>
  <c r="F157" i="4"/>
  <c r="L157" i="4" s="1"/>
  <c r="M157" i="4" s="1"/>
  <c r="K156" i="4"/>
  <c r="J156" i="4"/>
  <c r="H156" i="4"/>
  <c r="F156" i="4"/>
  <c r="L156" i="4" s="1"/>
  <c r="K155" i="4"/>
  <c r="J155" i="4"/>
  <c r="H155" i="4"/>
  <c r="F155" i="4"/>
  <c r="L155" i="4" s="1"/>
  <c r="K154" i="4"/>
  <c r="J154" i="4"/>
  <c r="H154" i="4"/>
  <c r="F154" i="4"/>
  <c r="L154" i="4" s="1"/>
  <c r="K153" i="4"/>
  <c r="J153" i="4"/>
  <c r="H153" i="4"/>
  <c r="F153" i="4"/>
  <c r="L153" i="4" s="1"/>
  <c r="K152" i="4"/>
  <c r="J152" i="4"/>
  <c r="H152" i="4"/>
  <c r="F152" i="4"/>
  <c r="L152" i="4" s="1"/>
  <c r="N148" i="4"/>
  <c r="M148" i="4"/>
  <c r="L148" i="4"/>
  <c r="K148" i="4"/>
  <c r="J148" i="4"/>
  <c r="L147" i="4"/>
  <c r="M147" i="4" s="1"/>
  <c r="K147" i="4"/>
  <c r="J147" i="4"/>
  <c r="L146" i="4"/>
  <c r="N146" i="4" s="1"/>
  <c r="K146" i="4"/>
  <c r="J146" i="4"/>
  <c r="L145" i="4"/>
  <c r="N145" i="4" s="1"/>
  <c r="K145" i="4"/>
  <c r="J145" i="4"/>
  <c r="L144" i="4"/>
  <c r="N144" i="4" s="1"/>
  <c r="K144" i="4"/>
  <c r="J144" i="4"/>
  <c r="L143" i="4"/>
  <c r="N143" i="4" s="1"/>
  <c r="K143" i="4"/>
  <c r="J143" i="4"/>
  <c r="L142" i="4"/>
  <c r="N142" i="4" s="1"/>
  <c r="K142" i="4"/>
  <c r="J142" i="4"/>
  <c r="L141" i="4"/>
  <c r="N141" i="4" s="1"/>
  <c r="K141" i="4"/>
  <c r="J141" i="4"/>
  <c r="N140" i="4"/>
  <c r="L140" i="4"/>
  <c r="M140" i="4" s="1"/>
  <c r="K140" i="4"/>
  <c r="J140" i="4"/>
  <c r="L139" i="4"/>
  <c r="M139" i="4" s="1"/>
  <c r="K139" i="4"/>
  <c r="J139" i="4"/>
  <c r="L138" i="4"/>
  <c r="M138" i="4" s="1"/>
  <c r="K138" i="4"/>
  <c r="J138" i="4"/>
  <c r="L137" i="4"/>
  <c r="N137" i="4" s="1"/>
  <c r="K137" i="4"/>
  <c r="J137" i="4"/>
  <c r="L136" i="4"/>
  <c r="M136" i="4" s="1"/>
  <c r="K136" i="4"/>
  <c r="J136" i="4"/>
  <c r="L135" i="4"/>
  <c r="N135" i="4" s="1"/>
  <c r="K135" i="4"/>
  <c r="J135" i="4"/>
  <c r="L134" i="4"/>
  <c r="N134" i="4" s="1"/>
  <c r="K134" i="4"/>
  <c r="J134" i="4"/>
  <c r="N133" i="4"/>
  <c r="L133" i="4"/>
  <c r="M133" i="4" s="1"/>
  <c r="K133" i="4"/>
  <c r="J133" i="4"/>
  <c r="L132" i="4"/>
  <c r="N132" i="4" s="1"/>
  <c r="K132" i="4"/>
  <c r="J132" i="4"/>
  <c r="L131" i="4"/>
  <c r="M131" i="4" s="1"/>
  <c r="K131" i="4"/>
  <c r="J131" i="4"/>
  <c r="L130" i="4"/>
  <c r="N130" i="4" s="1"/>
  <c r="K130" i="4"/>
  <c r="J130" i="4"/>
  <c r="L129" i="4"/>
  <c r="N129" i="4" s="1"/>
  <c r="K129" i="4"/>
  <c r="J129" i="4"/>
  <c r="L128" i="4"/>
  <c r="N128" i="4" s="1"/>
  <c r="K128" i="4"/>
  <c r="J128" i="4"/>
  <c r="L127" i="4"/>
  <c r="N127" i="4" s="1"/>
  <c r="K127" i="4"/>
  <c r="J127" i="4"/>
  <c r="L126" i="4"/>
  <c r="N126" i="4" s="1"/>
  <c r="K126" i="4"/>
  <c r="J126" i="4"/>
  <c r="L125" i="4"/>
  <c r="M125" i="4" s="1"/>
  <c r="K125" i="4"/>
  <c r="J125" i="4"/>
  <c r="L124" i="4"/>
  <c r="N124" i="4" s="1"/>
  <c r="K124" i="4"/>
  <c r="J124" i="4"/>
  <c r="L123" i="4"/>
  <c r="N123" i="4" s="1"/>
  <c r="K123" i="4"/>
  <c r="J123" i="4"/>
  <c r="M122" i="4"/>
  <c r="L122" i="4"/>
  <c r="N122" i="4" s="1"/>
  <c r="K122" i="4"/>
  <c r="J122" i="4"/>
  <c r="L121" i="4"/>
  <c r="M121" i="4" s="1"/>
  <c r="K121" i="4"/>
  <c r="J121" i="4"/>
  <c r="L120" i="4"/>
  <c r="M120" i="4" s="1"/>
  <c r="K120" i="4"/>
  <c r="J120" i="4"/>
  <c r="L119" i="4"/>
  <c r="N119" i="4" s="1"/>
  <c r="K119" i="4"/>
  <c r="J119" i="4"/>
  <c r="L118" i="4"/>
  <c r="N118" i="4" s="1"/>
  <c r="K118" i="4"/>
  <c r="J118" i="4"/>
  <c r="L117" i="4"/>
  <c r="N117" i="4" s="1"/>
  <c r="K117" i="4"/>
  <c r="J117" i="4"/>
  <c r="L116" i="4"/>
  <c r="N116" i="4" s="1"/>
  <c r="K116" i="4"/>
  <c r="J116" i="4"/>
  <c r="L115" i="4"/>
  <c r="M115" i="4" s="1"/>
  <c r="K115" i="4"/>
  <c r="J115" i="4"/>
  <c r="L114" i="4"/>
  <c r="N114" i="4" s="1"/>
  <c r="K114" i="4"/>
  <c r="J114" i="4"/>
  <c r="L113" i="4"/>
  <c r="N113" i="4" s="1"/>
  <c r="K113" i="4"/>
  <c r="J113" i="4"/>
  <c r="L112" i="4"/>
  <c r="N112" i="4" s="1"/>
  <c r="K112" i="4"/>
  <c r="J112" i="4"/>
  <c r="L111" i="4"/>
  <c r="N111" i="4" s="1"/>
  <c r="K111" i="4"/>
  <c r="J111" i="4"/>
  <c r="L110" i="4"/>
  <c r="M110" i="4" s="1"/>
  <c r="K110" i="4"/>
  <c r="J110" i="4"/>
  <c r="L109" i="4"/>
  <c r="M109" i="4" s="1"/>
  <c r="K109" i="4"/>
  <c r="J109" i="4"/>
  <c r="L108" i="4"/>
  <c r="N108" i="4" s="1"/>
  <c r="K108" i="4"/>
  <c r="J108" i="4"/>
  <c r="M107" i="4"/>
  <c r="L107" i="4"/>
  <c r="N107" i="4" s="1"/>
  <c r="K107" i="4"/>
  <c r="J107" i="4"/>
  <c r="L106" i="4"/>
  <c r="N106" i="4" s="1"/>
  <c r="K106" i="4"/>
  <c r="J106" i="4"/>
  <c r="L105" i="4"/>
  <c r="M105" i="4" s="1"/>
  <c r="K105" i="4"/>
  <c r="J105" i="4"/>
  <c r="L104" i="4"/>
  <c r="M104" i="4" s="1"/>
  <c r="K104" i="4"/>
  <c r="J104" i="4"/>
  <c r="L103" i="4"/>
  <c r="M103" i="4" s="1"/>
  <c r="K103" i="4"/>
  <c r="J103" i="4"/>
  <c r="L102" i="4"/>
  <c r="N102" i="4" s="1"/>
  <c r="K102" i="4"/>
  <c r="J102" i="4"/>
  <c r="L101" i="4"/>
  <c r="M101" i="4" s="1"/>
  <c r="K101" i="4"/>
  <c r="J101" i="4"/>
  <c r="L100" i="4"/>
  <c r="N100" i="4" s="1"/>
  <c r="K100" i="4"/>
  <c r="J100" i="4"/>
  <c r="L99" i="4"/>
  <c r="M99" i="4" s="1"/>
  <c r="K99" i="4"/>
  <c r="J99" i="4"/>
  <c r="L98" i="4"/>
  <c r="N98" i="4" s="1"/>
  <c r="K98" i="4"/>
  <c r="J98" i="4"/>
  <c r="L97" i="4"/>
  <c r="N97" i="4" s="1"/>
  <c r="K97" i="4"/>
  <c r="J97" i="4"/>
  <c r="L96" i="4"/>
  <c r="N96" i="4" s="1"/>
  <c r="K96" i="4"/>
  <c r="J96" i="4"/>
  <c r="L95" i="4"/>
  <c r="N95" i="4" s="1"/>
  <c r="K95" i="4"/>
  <c r="J95" i="4"/>
  <c r="L94" i="4"/>
  <c r="M94" i="4" s="1"/>
  <c r="K94" i="4"/>
  <c r="J94" i="4"/>
  <c r="L93" i="4"/>
  <c r="M93" i="4" s="1"/>
  <c r="K93" i="4"/>
  <c r="J93" i="4"/>
  <c r="L92" i="4"/>
  <c r="M92" i="4" s="1"/>
  <c r="K92" i="4"/>
  <c r="J92" i="4"/>
  <c r="L91" i="4"/>
  <c r="N91" i="4" s="1"/>
  <c r="K91" i="4"/>
  <c r="J91" i="4"/>
  <c r="N90" i="4"/>
  <c r="L90" i="4"/>
  <c r="M90" i="4" s="1"/>
  <c r="K90" i="4"/>
  <c r="J90" i="4"/>
  <c r="L89" i="4"/>
  <c r="M89" i="4" s="1"/>
  <c r="K89" i="4"/>
  <c r="J89" i="4"/>
  <c r="L88" i="4"/>
  <c r="N88" i="4" s="1"/>
  <c r="K88" i="4"/>
  <c r="J88" i="4"/>
  <c r="L87" i="4"/>
  <c r="N87" i="4" s="1"/>
  <c r="K87" i="4"/>
  <c r="J87" i="4"/>
  <c r="L86" i="4"/>
  <c r="N86" i="4" s="1"/>
  <c r="K86" i="4"/>
  <c r="J86" i="4"/>
  <c r="L85" i="4"/>
  <c r="N85" i="4" s="1"/>
  <c r="K85" i="4"/>
  <c r="J85" i="4"/>
  <c r="L84" i="4"/>
  <c r="N84" i="4" s="1"/>
  <c r="K84" i="4"/>
  <c r="J84" i="4"/>
  <c r="L83" i="4"/>
  <c r="M83" i="4" s="1"/>
  <c r="K83" i="4"/>
  <c r="J83" i="4"/>
  <c r="L82" i="4"/>
  <c r="N82" i="4" s="1"/>
  <c r="K82" i="4"/>
  <c r="J82" i="4"/>
  <c r="L81" i="4"/>
  <c r="N81" i="4" s="1"/>
  <c r="K81" i="4"/>
  <c r="J81" i="4"/>
  <c r="L80" i="4"/>
  <c r="N80" i="4" s="1"/>
  <c r="K80" i="4"/>
  <c r="J80" i="4"/>
  <c r="L79" i="4"/>
  <c r="N79" i="4" s="1"/>
  <c r="K79" i="4"/>
  <c r="J79" i="4"/>
  <c r="L78" i="4"/>
  <c r="N78" i="4" s="1"/>
  <c r="K78" i="4"/>
  <c r="J78" i="4"/>
  <c r="L77" i="4"/>
  <c r="N77" i="4" s="1"/>
  <c r="K77" i="4"/>
  <c r="J77" i="4"/>
  <c r="L76" i="4"/>
  <c r="N76" i="4" s="1"/>
  <c r="K76" i="4"/>
  <c r="J76" i="4"/>
  <c r="L75" i="4"/>
  <c r="M75" i="4" s="1"/>
  <c r="K75" i="4"/>
  <c r="J75" i="4"/>
  <c r="L74" i="4"/>
  <c r="N74" i="4" s="1"/>
  <c r="K74" i="4"/>
  <c r="J74" i="4"/>
  <c r="L73" i="4"/>
  <c r="N73" i="4" s="1"/>
  <c r="K73" i="4"/>
  <c r="J73" i="4"/>
  <c r="L72" i="4"/>
  <c r="N72" i="4" s="1"/>
  <c r="K72" i="4"/>
  <c r="J72" i="4"/>
  <c r="L71" i="4"/>
  <c r="N71" i="4" s="1"/>
  <c r="K71" i="4"/>
  <c r="J71" i="4"/>
  <c r="L70" i="4"/>
  <c r="N70" i="4" s="1"/>
  <c r="K70" i="4"/>
  <c r="J70" i="4"/>
  <c r="M69" i="4"/>
  <c r="L69" i="4"/>
  <c r="N69" i="4" s="1"/>
  <c r="K69" i="4"/>
  <c r="J69" i="4"/>
  <c r="L68" i="4"/>
  <c r="N68" i="4" s="1"/>
  <c r="K68" i="4"/>
  <c r="J68" i="4"/>
  <c r="L67" i="4"/>
  <c r="M67" i="4" s="1"/>
  <c r="K67" i="4"/>
  <c r="J67" i="4"/>
  <c r="L66" i="4"/>
  <c r="N66" i="4" s="1"/>
  <c r="K66" i="4"/>
  <c r="J66" i="4"/>
  <c r="L65" i="4"/>
  <c r="M65" i="4" s="1"/>
  <c r="K65" i="4"/>
  <c r="J65" i="4"/>
  <c r="L64" i="4"/>
  <c r="N64" i="4" s="1"/>
  <c r="K64" i="4"/>
  <c r="J64" i="4"/>
  <c r="L63" i="4"/>
  <c r="N63" i="4" s="1"/>
  <c r="K63" i="4"/>
  <c r="J63" i="4"/>
  <c r="L62" i="4"/>
  <c r="N62" i="4" s="1"/>
  <c r="K62" i="4"/>
  <c r="J62" i="4"/>
  <c r="L61" i="4"/>
  <c r="N61" i="4" s="1"/>
  <c r="K61" i="4"/>
  <c r="J61" i="4"/>
  <c r="L60" i="4"/>
  <c r="M60" i="4" s="1"/>
  <c r="K60" i="4"/>
  <c r="J60" i="4"/>
  <c r="L59" i="4"/>
  <c r="M59" i="4" s="1"/>
  <c r="K59" i="4"/>
  <c r="J59" i="4"/>
  <c r="L58" i="4"/>
  <c r="N58" i="4" s="1"/>
  <c r="K58" i="4"/>
  <c r="J58" i="4"/>
  <c r="L57" i="4"/>
  <c r="N57" i="4" s="1"/>
  <c r="K57" i="4"/>
  <c r="J57" i="4"/>
  <c r="L56" i="4"/>
  <c r="N56" i="4" s="1"/>
  <c r="K56" i="4"/>
  <c r="J56" i="4"/>
  <c r="L55" i="4"/>
  <c r="N55" i="4" s="1"/>
  <c r="K55" i="4"/>
  <c r="J55" i="4"/>
  <c r="L54" i="4"/>
  <c r="N54" i="4" s="1"/>
  <c r="K54" i="4"/>
  <c r="J54" i="4"/>
  <c r="L53" i="4"/>
  <c r="N53" i="4" s="1"/>
  <c r="K53" i="4"/>
  <c r="J53" i="4"/>
  <c r="L52" i="4"/>
  <c r="N52" i="4" s="1"/>
  <c r="K52" i="4"/>
  <c r="J52" i="4"/>
  <c r="L51" i="4"/>
  <c r="M51" i="4" s="1"/>
  <c r="K51" i="4"/>
  <c r="J51" i="4"/>
  <c r="L50" i="4"/>
  <c r="N50" i="4" s="1"/>
  <c r="K50" i="4"/>
  <c r="J50" i="4"/>
  <c r="L49" i="4"/>
  <c r="N49" i="4" s="1"/>
  <c r="K49" i="4"/>
  <c r="J49" i="4"/>
  <c r="L48" i="4"/>
  <c r="N48" i="4" s="1"/>
  <c r="K48" i="4"/>
  <c r="J48" i="4"/>
  <c r="L47" i="4"/>
  <c r="N47" i="4" s="1"/>
  <c r="K47" i="4"/>
  <c r="J47" i="4"/>
  <c r="L46" i="4"/>
  <c r="N46" i="4" s="1"/>
  <c r="K46" i="4"/>
  <c r="J46" i="4"/>
  <c r="L45" i="4"/>
  <c r="N45" i="4" s="1"/>
  <c r="K45" i="4"/>
  <c r="J45" i="4"/>
  <c r="L44" i="4"/>
  <c r="M44" i="4" s="1"/>
  <c r="K44" i="4"/>
  <c r="J44" i="4"/>
  <c r="L43" i="4"/>
  <c r="M43" i="4" s="1"/>
  <c r="K43" i="4"/>
  <c r="J43" i="4"/>
  <c r="L42" i="4"/>
  <c r="N42" i="4" s="1"/>
  <c r="K42" i="4"/>
  <c r="J42" i="4"/>
  <c r="L41" i="4"/>
  <c r="M41" i="4" s="1"/>
  <c r="K41" i="4"/>
  <c r="J41" i="4"/>
  <c r="L40" i="4"/>
  <c r="N40" i="4" s="1"/>
  <c r="K40" i="4"/>
  <c r="J40" i="4"/>
  <c r="L39" i="4"/>
  <c r="N39" i="4" s="1"/>
  <c r="K39" i="4"/>
  <c r="J39" i="4"/>
  <c r="L38" i="4"/>
  <c r="N38" i="4" s="1"/>
  <c r="K38" i="4"/>
  <c r="J38" i="4"/>
  <c r="M37" i="4"/>
  <c r="L37" i="4"/>
  <c r="N37" i="4" s="1"/>
  <c r="K37" i="4"/>
  <c r="J37" i="4"/>
  <c r="L36" i="4"/>
  <c r="M36" i="4" s="1"/>
  <c r="K36" i="4"/>
  <c r="J36" i="4"/>
  <c r="L35" i="4"/>
  <c r="M35" i="4" s="1"/>
  <c r="K35" i="4"/>
  <c r="J35" i="4"/>
  <c r="L34" i="4"/>
  <c r="M34" i="4" s="1"/>
  <c r="K34" i="4"/>
  <c r="J34" i="4"/>
  <c r="L33" i="4"/>
  <c r="N33" i="4" s="1"/>
  <c r="K33" i="4"/>
  <c r="J33" i="4"/>
  <c r="L32" i="4"/>
  <c r="N32" i="4" s="1"/>
  <c r="K32" i="4"/>
  <c r="J32" i="4"/>
  <c r="L31" i="4"/>
  <c r="N31" i="4" s="1"/>
  <c r="K31" i="4"/>
  <c r="J31" i="4"/>
  <c r="L30" i="4"/>
  <c r="N30" i="4" s="1"/>
  <c r="K30" i="4"/>
  <c r="J30" i="4"/>
  <c r="L29" i="4"/>
  <c r="N29" i="4" s="1"/>
  <c r="K29" i="4"/>
  <c r="J29" i="4"/>
  <c r="L28" i="4"/>
  <c r="M28" i="4" s="1"/>
  <c r="K28" i="4"/>
  <c r="J28" i="4"/>
  <c r="L27" i="4"/>
  <c r="M27" i="4" s="1"/>
  <c r="K27" i="4"/>
  <c r="J27" i="4"/>
  <c r="L26" i="4"/>
  <c r="M26" i="4" s="1"/>
  <c r="K26" i="4"/>
  <c r="J26" i="4"/>
  <c r="L25" i="4"/>
  <c r="N25" i="4" s="1"/>
  <c r="K25" i="4"/>
  <c r="J25" i="4"/>
  <c r="L24" i="4"/>
  <c r="N24" i="4" s="1"/>
  <c r="K24" i="4"/>
  <c r="J24" i="4"/>
  <c r="L23" i="4"/>
  <c r="N23" i="4" s="1"/>
  <c r="K23" i="4"/>
  <c r="J23" i="4"/>
  <c r="L22" i="4"/>
  <c r="N22" i="4" s="1"/>
  <c r="K22" i="4"/>
  <c r="J22" i="4"/>
  <c r="L21" i="4"/>
  <c r="N21" i="4" s="1"/>
  <c r="K21" i="4"/>
  <c r="J21" i="4"/>
  <c r="L20" i="4"/>
  <c r="N20" i="4" s="1"/>
  <c r="K20" i="4"/>
  <c r="J20" i="4"/>
  <c r="L19" i="4"/>
  <c r="M19" i="4" s="1"/>
  <c r="K19" i="4"/>
  <c r="J19" i="4"/>
  <c r="L18" i="4"/>
  <c r="N18" i="4" s="1"/>
  <c r="K18" i="4"/>
  <c r="J18" i="4"/>
  <c r="L17" i="4"/>
  <c r="N17" i="4" s="1"/>
  <c r="K17" i="4"/>
  <c r="J17" i="4"/>
  <c r="L16" i="4"/>
  <c r="N16" i="4" s="1"/>
  <c r="K16" i="4"/>
  <c r="J16" i="4"/>
  <c r="L15" i="4"/>
  <c r="N15" i="4" s="1"/>
  <c r="K15" i="4"/>
  <c r="J15" i="4"/>
  <c r="L14" i="4"/>
  <c r="N14" i="4" s="1"/>
  <c r="K14" i="4"/>
  <c r="J14" i="4"/>
  <c r="L13" i="4"/>
  <c r="N13" i="4" s="1"/>
  <c r="K13" i="4"/>
  <c r="J13" i="4"/>
  <c r="L12" i="4"/>
  <c r="M12" i="4" s="1"/>
  <c r="K12" i="4"/>
  <c r="J12" i="4"/>
  <c r="L11" i="4"/>
  <c r="M11" i="4" s="1"/>
  <c r="K11" i="4"/>
  <c r="J11" i="4"/>
  <c r="L10" i="4"/>
  <c r="N10" i="4" s="1"/>
  <c r="K10" i="4"/>
  <c r="J10" i="4"/>
  <c r="L9" i="4"/>
  <c r="N9" i="4" s="1"/>
  <c r="K9" i="4"/>
  <c r="J9" i="4"/>
  <c r="S8" i="4"/>
  <c r="S9" i="4" s="1"/>
  <c r="S10" i="4" s="1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58" i="4" s="1"/>
  <c r="S59" i="4" s="1"/>
  <c r="S60" i="4" s="1"/>
  <c r="S61" i="4" s="1"/>
  <c r="S62" i="4" s="1"/>
  <c r="S63" i="4" s="1"/>
  <c r="S64" i="4" s="1"/>
  <c r="S65" i="4" s="1"/>
  <c r="S66" i="4" s="1"/>
  <c r="S67" i="4" s="1"/>
  <c r="S68" i="4" s="1"/>
  <c r="S69" i="4" s="1"/>
  <c r="S70" i="4" s="1"/>
  <c r="S71" i="4" s="1"/>
  <c r="S72" i="4" s="1"/>
  <c r="S73" i="4" s="1"/>
  <c r="S74" i="4" s="1"/>
  <c r="S75" i="4" s="1"/>
  <c r="S76" i="4" s="1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S89" i="4" s="1"/>
  <c r="L8" i="4"/>
  <c r="N8" i="4" s="1"/>
  <c r="K8" i="4"/>
  <c r="J8" i="4"/>
  <c r="S7" i="4"/>
  <c r="N7" i="4"/>
  <c r="K7" i="4"/>
  <c r="J7" i="4"/>
  <c r="L6" i="4"/>
  <c r="N6" i="4" s="1"/>
  <c r="K6" i="4"/>
  <c r="J6" i="4"/>
  <c r="G4" i="4"/>
  <c r="L22" i="3"/>
  <c r="K22" i="3"/>
  <c r="J22" i="3"/>
  <c r="I22" i="3"/>
  <c r="H22" i="3"/>
  <c r="N22" i="3" s="1"/>
  <c r="L21" i="3"/>
  <c r="K21" i="3"/>
  <c r="J21" i="3"/>
  <c r="I21" i="3"/>
  <c r="H21" i="3"/>
  <c r="N21" i="3" s="1"/>
  <c r="L20" i="3"/>
  <c r="K20" i="3"/>
  <c r="J20" i="3"/>
  <c r="I20" i="3"/>
  <c r="H20" i="3"/>
  <c r="N20" i="3" s="1"/>
  <c r="L19" i="3"/>
  <c r="K19" i="3"/>
  <c r="J19" i="3"/>
  <c r="I19" i="3"/>
  <c r="H19" i="3"/>
  <c r="N19" i="3" s="1"/>
  <c r="N18" i="3"/>
  <c r="M18" i="3"/>
  <c r="P18" i="3" s="1"/>
  <c r="L18" i="3"/>
  <c r="K18" i="3"/>
  <c r="J18" i="3"/>
  <c r="I18" i="3"/>
  <c r="H18" i="3"/>
  <c r="L17" i="3"/>
  <c r="K17" i="3"/>
  <c r="J17" i="3"/>
  <c r="I17" i="3"/>
  <c r="H17" i="3"/>
  <c r="N17" i="3" s="1"/>
  <c r="L16" i="3"/>
  <c r="K16" i="3"/>
  <c r="J16" i="3"/>
  <c r="I16" i="3"/>
  <c r="H16" i="3"/>
  <c r="N16" i="3" s="1"/>
  <c r="L15" i="3"/>
  <c r="K15" i="3"/>
  <c r="J15" i="3"/>
  <c r="I15" i="3"/>
  <c r="H15" i="3"/>
  <c r="N15" i="3" s="1"/>
  <c r="L14" i="3"/>
  <c r="K14" i="3"/>
  <c r="J14" i="3"/>
  <c r="I14" i="3"/>
  <c r="H14" i="3"/>
  <c r="N14" i="3" s="1"/>
  <c r="N13" i="3"/>
  <c r="L13" i="3"/>
  <c r="K13" i="3"/>
  <c r="J13" i="3"/>
  <c r="I13" i="3"/>
  <c r="H13" i="3"/>
  <c r="M13" i="3" s="1"/>
  <c r="O13" i="3" s="1"/>
  <c r="L12" i="3"/>
  <c r="K12" i="3"/>
  <c r="J12" i="3"/>
  <c r="I12" i="3"/>
  <c r="H12" i="3"/>
  <c r="M12" i="3" s="1"/>
  <c r="L11" i="3"/>
  <c r="K11" i="3"/>
  <c r="J11" i="3"/>
  <c r="I11" i="3"/>
  <c r="H11" i="3"/>
  <c r="N11" i="3" s="1"/>
  <c r="L10" i="3"/>
  <c r="K10" i="3"/>
  <c r="J10" i="3"/>
  <c r="I10" i="3"/>
  <c r="H10" i="3"/>
  <c r="M10" i="3" s="1"/>
  <c r="N9" i="3"/>
  <c r="L9" i="3"/>
  <c r="K9" i="3"/>
  <c r="J9" i="3"/>
  <c r="I9" i="3"/>
  <c r="H9" i="3"/>
  <c r="M9" i="3" s="1"/>
  <c r="P9" i="3" s="1"/>
  <c r="L8" i="3"/>
  <c r="K8" i="3"/>
  <c r="J8" i="3"/>
  <c r="I8" i="3"/>
  <c r="H8" i="3"/>
  <c r="M8" i="3" s="1"/>
  <c r="E1" i="3"/>
  <c r="T5" i="3"/>
  <c r="T6" i="3" s="1"/>
  <c r="T4" i="3"/>
  <c r="O1" i="3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CX52" i="1"/>
  <c r="CP52" i="1"/>
  <c r="CK52" i="1"/>
  <c r="BX52" i="1"/>
  <c r="BT52" i="1"/>
  <c r="BO52" i="1"/>
  <c r="BK52" i="1"/>
  <c r="BG52" i="1"/>
  <c r="BC52" i="1"/>
  <c r="BT51" i="1"/>
  <c r="BO51" i="1"/>
  <c r="BK51" i="1"/>
  <c r="BF49" i="1"/>
  <c r="BH48" i="1"/>
  <c r="BI48" i="1" s="1"/>
  <c r="BG48" i="1"/>
  <c r="BG49" i="1" s="1"/>
  <c r="AS43" i="1"/>
  <c r="CG40" i="1"/>
  <c r="BT40" i="1"/>
  <c r="BO40" i="1"/>
  <c r="BK40" i="1"/>
  <c r="BG40" i="1"/>
  <c r="BC40" i="1"/>
  <c r="AX40" i="1"/>
  <c r="AT40" i="1"/>
  <c r="AO40" i="1"/>
  <c r="AK40" i="1"/>
  <c r="AG40" i="1"/>
  <c r="AB40" i="1"/>
  <c r="X40" i="1"/>
  <c r="CG39" i="1"/>
  <c r="BO39" i="1"/>
  <c r="BK39" i="1"/>
  <c r="BG39" i="1"/>
  <c r="BC39" i="1"/>
  <c r="AX39" i="1"/>
  <c r="AT39" i="1"/>
  <c r="AO39" i="1"/>
  <c r="AK39" i="1"/>
  <c r="X39" i="1"/>
  <c r="AB38" i="1"/>
  <c r="AB41" i="1" s="1"/>
  <c r="X38" i="1"/>
  <c r="X41" i="1" s="1"/>
  <c r="V35" i="1" a="1"/>
  <c r="V35" i="1" s="1"/>
  <c r="U35" i="1" a="1"/>
  <c r="U35" i="1" s="1"/>
  <c r="T35" i="1" a="1"/>
  <c r="T35" i="1" s="1"/>
  <c r="S35" i="1" a="1"/>
  <c r="S35" i="1" s="1"/>
  <c r="R35" i="1" a="1"/>
  <c r="R35" i="1" s="1"/>
  <c r="Q35" i="1" a="1"/>
  <c r="Q35" i="1" s="1"/>
  <c r="P35" i="1" a="1"/>
  <c r="P35" i="1" s="1"/>
  <c r="O35" i="1" a="1"/>
  <c r="O35" i="1" s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CN31" i="1"/>
  <c r="C23" i="1"/>
  <c r="D3" i="1" s="1"/>
  <c r="D23" i="1" s="1"/>
  <c r="E3" i="1" s="1"/>
  <c r="E23" i="1" s="1"/>
  <c r="F3" i="1" s="1"/>
  <c r="F23" i="1" s="1"/>
  <c r="G3" i="1" s="1"/>
  <c r="G23" i="1" s="1"/>
  <c r="H3" i="1" s="1"/>
  <c r="H23" i="1" s="1"/>
  <c r="I3" i="1" s="1"/>
  <c r="I23" i="1" s="1"/>
  <c r="J3" i="1" s="1"/>
  <c r="J23" i="1" s="1"/>
  <c r="K3" i="1" s="1"/>
  <c r="K23" i="1" s="1"/>
  <c r="L3" i="1" s="1"/>
  <c r="L23" i="1" s="1"/>
  <c r="M3" i="1" s="1"/>
  <c r="M23" i="1" s="1"/>
  <c r="N3" i="1" s="1"/>
  <c r="N23" i="1" s="1"/>
  <c r="O3" i="1" s="1"/>
  <c r="O23" i="1" s="1"/>
  <c r="P3" i="1" s="1"/>
  <c r="P23" i="1" s="1"/>
  <c r="Q3" i="1" s="1"/>
  <c r="Q23" i="1" s="1"/>
  <c r="R3" i="1" s="1"/>
  <c r="R23" i="1" s="1"/>
  <c r="S3" i="1" s="1"/>
  <c r="S23" i="1" s="1"/>
  <c r="T3" i="1" s="1"/>
  <c r="T23" i="1" s="1"/>
  <c r="U3" i="1" s="1"/>
  <c r="U23" i="1" s="1"/>
  <c r="CK21" i="1"/>
  <c r="CK39" i="1" s="1"/>
  <c r="BY21" i="1"/>
  <c r="CB39" i="1" s="1"/>
  <c r="BU21" i="1"/>
  <c r="BX39" i="1" s="1"/>
  <c r="BT21" i="1"/>
  <c r="BP21" i="1"/>
  <c r="BT39" i="1" s="1"/>
  <c r="AG21" i="1"/>
  <c r="AF21" i="1"/>
  <c r="AE21" i="1"/>
  <c r="AG39" i="1" s="1"/>
  <c r="Y21" i="1"/>
  <c r="AB39" i="1" s="1"/>
  <c r="P21" i="1"/>
  <c r="CI20" i="1"/>
  <c r="CK40" i="1" s="1"/>
  <c r="CB20" i="1"/>
  <c r="CA20" i="1"/>
  <c r="BZ20" i="1"/>
  <c r="BY20" i="1"/>
  <c r="CB40" i="1" s="1"/>
  <c r="BV20" i="1"/>
  <c r="BX40" i="1" s="1"/>
  <c r="AO20" i="1"/>
  <c r="DF19" i="1"/>
  <c r="DE19" i="1"/>
  <c r="DD19" i="1"/>
  <c r="DB19" i="1"/>
  <c r="DA19" i="1"/>
  <c r="CZ19" i="1"/>
  <c r="CY19" i="1"/>
  <c r="CX19" i="1"/>
  <c r="CW19" i="1"/>
  <c r="CV19" i="1"/>
  <c r="CT19" i="1"/>
  <c r="CS19" i="1"/>
  <c r="CR19" i="1"/>
  <c r="CQ19" i="1"/>
  <c r="CP19" i="1"/>
  <c r="CO19" i="1"/>
  <c r="CN19" i="1"/>
  <c r="CM19" i="1"/>
  <c r="CL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O38" i="1" s="1"/>
  <c r="AO41" i="1" s="1"/>
  <c r="AM19" i="1"/>
  <c r="AL19" i="1"/>
  <c r="AK19" i="1"/>
  <c r="AJ19" i="1"/>
  <c r="AI19" i="1"/>
  <c r="AH19" i="1"/>
  <c r="AG19" i="1"/>
  <c r="AF19" i="1"/>
  <c r="AE19" i="1"/>
  <c r="AD19" i="1"/>
  <c r="CY16" i="1"/>
  <c r="CW16" i="1"/>
  <c r="CT16" i="1"/>
  <c r="BP16" i="1"/>
  <c r="BC16" i="1"/>
  <c r="DD15" i="1"/>
  <c r="BH15" i="1"/>
  <c r="BD15" i="1"/>
  <c r="AH15" i="1"/>
  <c r="DF14" i="1"/>
  <c r="DD14" i="1"/>
  <c r="DB14" i="1"/>
  <c r="DA14" i="1"/>
  <c r="CZ14" i="1"/>
  <c r="CY14" i="1"/>
  <c r="CX14" i="1"/>
  <c r="CV14" i="1"/>
  <c r="CS14" i="1"/>
  <c r="CQ14" i="1"/>
  <c r="CP14" i="1"/>
  <c r="CO14" i="1"/>
  <c r="CM14" i="1"/>
  <c r="CI14" i="1"/>
  <c r="CH14" i="1"/>
  <c r="CE14" i="1"/>
  <c r="CD14" i="1"/>
  <c r="CC14" i="1"/>
  <c r="CB14" i="1"/>
  <c r="CA14" i="1"/>
  <c r="BZ14" i="1"/>
  <c r="BY14" i="1"/>
  <c r="BW14" i="1"/>
  <c r="BV14" i="1"/>
  <c r="BU14" i="1"/>
  <c r="BQ14" i="1"/>
  <c r="BM14" i="1"/>
  <c r="BO38" i="1" s="1"/>
  <c r="BO41" i="1" s="1"/>
  <c r="BO58" i="1" s="1"/>
  <c r="BH14" i="1"/>
  <c r="BD14" i="1"/>
  <c r="AZ14" i="1"/>
  <c r="AU14" i="1"/>
  <c r="AX38" i="1" s="1"/>
  <c r="AX41" i="1" s="1"/>
  <c r="AR14" i="1"/>
  <c r="AQ14" i="1"/>
  <c r="AO14" i="1"/>
  <c r="AN14" i="1"/>
  <c r="AM14" i="1"/>
  <c r="AJ14" i="1"/>
  <c r="AH14" i="1"/>
  <c r="DF13" i="1"/>
  <c r="DE13" i="1"/>
  <c r="DD13" i="1"/>
  <c r="DC13" i="1"/>
  <c r="DB13" i="1"/>
  <c r="DA13" i="1"/>
  <c r="CZ13" i="1"/>
  <c r="CY13" i="1"/>
  <c r="CX13" i="1"/>
  <c r="CW13" i="1"/>
  <c r="CT13" i="1"/>
  <c r="CS13" i="1"/>
  <c r="CR13" i="1"/>
  <c r="CQ13" i="1"/>
  <c r="CP13" i="1"/>
  <c r="CO13" i="1"/>
  <c r="CJ13" i="1"/>
  <c r="CH13" i="1"/>
  <c r="CG13" i="1"/>
  <c r="CF13" i="1"/>
  <c r="CE13" i="1"/>
  <c r="CD13" i="1"/>
  <c r="BZ13" i="1"/>
  <c r="BY13" i="1"/>
  <c r="BX13" i="1"/>
  <c r="BW13" i="1"/>
  <c r="BX38" i="1" s="1"/>
  <c r="BT13" i="1"/>
  <c r="BS13" i="1"/>
  <c r="BR13" i="1"/>
  <c r="BG13" i="1"/>
  <c r="BF13" i="1"/>
  <c r="BD13" i="1"/>
  <c r="BB13" i="1"/>
  <c r="BC38" i="1" s="1"/>
  <c r="BC41" i="1" s="1"/>
  <c r="AP13" i="1"/>
  <c r="AT38" i="1" s="1"/>
  <c r="AT41" i="1" s="1"/>
  <c r="AM13" i="1"/>
  <c r="AJ13" i="1"/>
  <c r="AI13" i="1"/>
  <c r="AG13" i="1"/>
  <c r="AF13" i="1"/>
  <c r="DU12" i="1"/>
  <c r="DE12" i="1"/>
  <c r="DD12" i="1"/>
  <c r="DA12" i="1"/>
  <c r="CZ12" i="1"/>
  <c r="CY12" i="1"/>
  <c r="CW12" i="1"/>
  <c r="CQ12" i="1"/>
  <c r="CP12" i="1"/>
  <c r="CJ12" i="1"/>
  <c r="CH12" i="1"/>
  <c r="CK38" i="1" s="1"/>
  <c r="CG12" i="1"/>
  <c r="CE12" i="1"/>
  <c r="CA12" i="1"/>
  <c r="BY12" i="1"/>
  <c r="BH12" i="1"/>
  <c r="BK38" i="1" s="1"/>
  <c r="BK41" i="1" s="1"/>
  <c r="BK58" i="1" s="1"/>
  <c r="BD12" i="1"/>
  <c r="BG38" i="1" s="1"/>
  <c r="BG41" i="1" s="1"/>
  <c r="CY11" i="1"/>
  <c r="AG11" i="1"/>
  <c r="DE10" i="1"/>
  <c r="DC10" i="1"/>
  <c r="CY10" i="1"/>
  <c r="CW10" i="1"/>
  <c r="CS10" i="1"/>
  <c r="CQ10" i="1"/>
  <c r="CP10" i="1"/>
  <c r="CO10" i="1"/>
  <c r="CE10" i="1"/>
  <c r="CG38" i="1" s="1"/>
  <c r="CG41" i="1" s="1"/>
  <c r="CA10" i="1"/>
  <c r="BY10" i="1"/>
  <c r="CB38" i="1" s="1"/>
  <c r="BS10" i="1"/>
  <c r="BT38" i="1" s="1"/>
  <c r="BT41" i="1" s="1"/>
  <c r="AK10" i="1"/>
  <c r="AK38" i="1" s="1"/>
  <c r="AK41" i="1" s="1"/>
  <c r="AG10" i="1"/>
  <c r="AG38" i="1" s="1"/>
  <c r="CT8" i="1"/>
  <c r="CT52" i="1" s="1"/>
  <c r="CE8" i="1"/>
  <c r="CG52" i="1" s="1"/>
  <c r="CA8" i="1"/>
  <c r="CB52" i="1" s="1"/>
  <c r="DF6" i="1"/>
  <c r="DE6" i="1"/>
  <c r="DD6" i="1"/>
  <c r="DB6" i="1"/>
  <c r="DA6" i="1"/>
  <c r="CZ6" i="1"/>
  <c r="CY6" i="1"/>
  <c r="CX6" i="1"/>
  <c r="CW6" i="1"/>
  <c r="CX50" i="1"/>
  <c r="CT6" i="1"/>
  <c r="CS6" i="1"/>
  <c r="CR6" i="1"/>
  <c r="CQ6" i="1"/>
  <c r="CT50" i="1" s="1"/>
  <c r="CP6" i="1"/>
  <c r="CO6" i="1"/>
  <c r="CN6" i="1"/>
  <c r="CM6" i="1"/>
  <c r="CL6" i="1"/>
  <c r="CP50" i="1" s="1"/>
  <c r="CK6" i="1"/>
  <c r="CJ6" i="1"/>
  <c r="CI6" i="1"/>
  <c r="CH6" i="1"/>
  <c r="CK50" i="1" s="1"/>
  <c r="CG6" i="1"/>
  <c r="CF6" i="1"/>
  <c r="CE6" i="1"/>
  <c r="CD6" i="1"/>
  <c r="CC6" i="1"/>
  <c r="CG50" i="1" s="1"/>
  <c r="CB6" i="1"/>
  <c r="CA6" i="1"/>
  <c r="BZ6" i="1"/>
  <c r="BY6" i="1"/>
  <c r="CB50" i="1" s="1"/>
  <c r="BX6" i="1"/>
  <c r="BW6" i="1"/>
  <c r="BV6" i="1"/>
  <c r="BU6" i="1"/>
  <c r="BX50" i="1" s="1"/>
  <c r="BX53" i="1" s="1"/>
  <c r="BT6" i="1"/>
  <c r="BS6" i="1"/>
  <c r="BR6" i="1"/>
  <c r="BQ6" i="1"/>
  <c r="BP6" i="1"/>
  <c r="BT50" i="1" s="1"/>
  <c r="BT53" i="1" s="1"/>
  <c r="BO6" i="1"/>
  <c r="BN6" i="1"/>
  <c r="BM6" i="1"/>
  <c r="BL6" i="1"/>
  <c r="BO50" i="1" s="1"/>
  <c r="BO53" i="1" s="1"/>
  <c r="BK6" i="1"/>
  <c r="BJ6" i="1"/>
  <c r="BI6" i="1"/>
  <c r="BH6" i="1"/>
  <c r="BK50" i="1" s="1"/>
  <c r="BK53" i="1" s="1"/>
  <c r="BG6" i="1"/>
  <c r="BF6" i="1"/>
  <c r="BE6" i="1"/>
  <c r="BD6" i="1"/>
  <c r="BG50" i="1" s="1"/>
  <c r="BC6" i="1"/>
  <c r="BB6" i="1"/>
  <c r="BA6" i="1"/>
  <c r="AY6" i="1"/>
  <c r="BC50" i="1" s="1"/>
  <c r="AW6" i="1"/>
  <c r="AU6" i="1"/>
  <c r="AT6" i="1"/>
  <c r="AS6" i="1"/>
  <c r="AR6" i="1"/>
  <c r="AQ6" i="1"/>
  <c r="AP6" i="1"/>
  <c r="AL6" i="1"/>
  <c r="AK6" i="1"/>
  <c r="AI6" i="1"/>
  <c r="AG6" i="1"/>
  <c r="BM2" i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D2" i="1"/>
  <c r="T106" i="4" l="1"/>
  <c r="U106" i="4" s="1"/>
  <c r="T92" i="4"/>
  <c r="U92" i="4" s="1"/>
  <c r="T93" i="4"/>
  <c r="U93" i="4" s="1"/>
  <c r="N366" i="4"/>
  <c r="N367" i="4"/>
  <c r="N371" i="4"/>
  <c r="M368" i="4"/>
  <c r="M372" i="4"/>
  <c r="M369" i="4"/>
  <c r="M373" i="4"/>
  <c r="M370" i="4"/>
  <c r="M365" i="4"/>
  <c r="M364" i="4"/>
  <c r="M361" i="4"/>
  <c r="M345" i="4"/>
  <c r="N346" i="4"/>
  <c r="N362" i="4"/>
  <c r="M355" i="4"/>
  <c r="N342" i="4"/>
  <c r="N335" i="4"/>
  <c r="M348" i="4"/>
  <c r="N356" i="4"/>
  <c r="M340" i="4"/>
  <c r="M349" i="4"/>
  <c r="N352" i="4"/>
  <c r="N337" i="4"/>
  <c r="M347" i="4"/>
  <c r="N350" i="4"/>
  <c r="M363" i="4"/>
  <c r="M353" i="4"/>
  <c r="M344" i="4"/>
  <c r="M360" i="4"/>
  <c r="M341" i="4"/>
  <c r="M357" i="4"/>
  <c r="M336" i="4"/>
  <c r="M319" i="4"/>
  <c r="N310" i="4"/>
  <c r="N327" i="4"/>
  <c r="M324" i="4"/>
  <c r="M308" i="4"/>
  <c r="N329" i="4"/>
  <c r="N311" i="4"/>
  <c r="M325" i="4"/>
  <c r="M303" i="4"/>
  <c r="M330" i="4"/>
  <c r="N333" i="4"/>
  <c r="N301" i="4"/>
  <c r="M314" i="4"/>
  <c r="N317" i="4"/>
  <c r="M299" i="4"/>
  <c r="N302" i="4"/>
  <c r="M315" i="4"/>
  <c r="N318" i="4"/>
  <c r="M331" i="4"/>
  <c r="N334" i="4"/>
  <c r="N320" i="4"/>
  <c r="M305" i="4"/>
  <c r="M312" i="4"/>
  <c r="M328" i="4"/>
  <c r="N321" i="4"/>
  <c r="M309" i="4"/>
  <c r="M306" i="4"/>
  <c r="M322" i="4"/>
  <c r="M300" i="4"/>
  <c r="M316" i="4"/>
  <c r="M332" i="4"/>
  <c r="N304" i="4"/>
  <c r="M279" i="4"/>
  <c r="N41" i="4"/>
  <c r="O36" i="3"/>
  <c r="O37" i="3"/>
  <c r="O31" i="3"/>
  <c r="O35" i="3"/>
  <c r="O28" i="3"/>
  <c r="O30" i="3"/>
  <c r="O32" i="3"/>
  <c r="O33" i="3"/>
  <c r="O29" i="3"/>
  <c r="N89" i="4"/>
  <c r="M270" i="4"/>
  <c r="N281" i="4"/>
  <c r="N267" i="4"/>
  <c r="O24" i="3"/>
  <c r="O23" i="3"/>
  <c r="O34" i="3"/>
  <c r="M74" i="4"/>
  <c r="M132" i="4"/>
  <c r="N67" i="4"/>
  <c r="M123" i="4"/>
  <c r="N109" i="4"/>
  <c r="M124" i="4"/>
  <c r="N105" i="4"/>
  <c r="M61" i="4"/>
  <c r="N120" i="4"/>
  <c r="N101" i="4"/>
  <c r="N110" i="4"/>
  <c r="N139" i="4"/>
  <c r="M66" i="4"/>
  <c r="M73" i="4"/>
  <c r="N92" i="4"/>
  <c r="M81" i="4"/>
  <c r="N103" i="4"/>
  <c r="N136" i="4"/>
  <c r="M33" i="4"/>
  <c r="N34" i="4"/>
  <c r="M45" i="4"/>
  <c r="N26" i="4"/>
  <c r="N27" i="4"/>
  <c r="M9" i="4"/>
  <c r="BX41" i="1"/>
  <c r="AG41" i="1"/>
  <c r="BT58" i="1"/>
  <c r="BJ48" i="1"/>
  <c r="BI49" i="1"/>
  <c r="CB41" i="1"/>
  <c r="CM2" i="1"/>
  <c r="CL35" i="1"/>
  <c r="CK41" i="1"/>
  <c r="U27" i="1"/>
  <c r="V3" i="1"/>
  <c r="V23" i="1" s="1"/>
  <c r="BH49" i="1"/>
  <c r="N296" i="4"/>
  <c r="M296" i="4"/>
  <c r="N293" i="4"/>
  <c r="N298" i="4"/>
  <c r="N297" i="4"/>
  <c r="M297" i="4"/>
  <c r="N294" i="4"/>
  <c r="M294" i="4"/>
  <c r="N295" i="4"/>
  <c r="M295" i="4"/>
  <c r="N292" i="4"/>
  <c r="M292" i="4"/>
  <c r="N282" i="4"/>
  <c r="M282" i="4"/>
  <c r="N288" i="4"/>
  <c r="M288" i="4"/>
  <c r="N284" i="4"/>
  <c r="M284" i="4"/>
  <c r="N289" i="4"/>
  <c r="M289" i="4"/>
  <c r="N286" i="4"/>
  <c r="M286" i="4"/>
  <c r="N285" i="4"/>
  <c r="M285" i="4"/>
  <c r="M290" i="4"/>
  <c r="N290" i="4"/>
  <c r="M283" i="4"/>
  <c r="M291" i="4"/>
  <c r="M287" i="4"/>
  <c r="N273" i="4"/>
  <c r="M278" i="4"/>
  <c r="M275" i="4"/>
  <c r="M272" i="4"/>
  <c r="M280" i="4"/>
  <c r="M274" i="4"/>
  <c r="N277" i="4"/>
  <c r="M271" i="4"/>
  <c r="M268" i="4"/>
  <c r="M269" i="4"/>
  <c r="M276" i="4"/>
  <c r="M266" i="4"/>
  <c r="N265" i="4"/>
  <c r="M265" i="4"/>
  <c r="M264" i="4"/>
  <c r="M11" i="3"/>
  <c r="P11" i="3" s="1"/>
  <c r="N8" i="3"/>
  <c r="BY7" i="1"/>
  <c r="BC7" i="1"/>
  <c r="CL7" i="1"/>
  <c r="CJ7" i="1"/>
  <c r="CM7" i="1"/>
  <c r="CI7" i="1"/>
  <c r="T7" i="3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3" i="3" s="1"/>
  <c r="T84" i="3" s="1"/>
  <c r="T85" i="3" s="1"/>
  <c r="T86" i="3" s="1"/>
  <c r="T87" i="3" s="1"/>
  <c r="T88" i="3" s="1"/>
  <c r="T89" i="3" s="1"/>
  <c r="T90" i="3" s="1"/>
  <c r="T91" i="3" s="1"/>
  <c r="T92" i="3" s="1"/>
  <c r="T93" i="3" s="1"/>
  <c r="T94" i="3" s="1"/>
  <c r="T95" i="3" s="1"/>
  <c r="T96" i="3" s="1"/>
  <c r="T97" i="3" s="1"/>
  <c r="T98" i="3" s="1"/>
  <c r="T99" i="3" s="1"/>
  <c r="T100" i="3" s="1"/>
  <c r="T101" i="3" s="1"/>
  <c r="T102" i="3" s="1"/>
  <c r="T103" i="3" s="1"/>
  <c r="T104" i="3" s="1"/>
  <c r="T105" i="3" s="1"/>
  <c r="T106" i="3" s="1"/>
  <c r="BF7" i="1"/>
  <c r="BB7" i="1"/>
  <c r="AZ7" i="1"/>
  <c r="CA7" i="1"/>
  <c r="O9" i="3"/>
  <c r="BZ7" i="1"/>
  <c r="CB7" i="1"/>
  <c r="AU7" i="1"/>
  <c r="CC7" i="1"/>
  <c r="AV7" i="1"/>
  <c r="CD7" i="1"/>
  <c r="AW7" i="1"/>
  <c r="CE7" i="1"/>
  <c r="AX7" i="1"/>
  <c r="CF7" i="1"/>
  <c r="M21" i="3"/>
  <c r="P21" i="3" s="1"/>
  <c r="AY7" i="1"/>
  <c r="CH7" i="1"/>
  <c r="N12" i="3"/>
  <c r="N10" i="3"/>
  <c r="M19" i="3"/>
  <c r="P19" i="3" s="1"/>
  <c r="M15" i="3"/>
  <c r="O25" i="3"/>
  <c r="O27" i="3"/>
  <c r="O26" i="3"/>
  <c r="O12" i="3"/>
  <c r="P12" i="3"/>
  <c r="P8" i="3"/>
  <c r="O8" i="3"/>
  <c r="P10" i="3"/>
  <c r="O10" i="3"/>
  <c r="P13" i="3"/>
  <c r="M22" i="3"/>
  <c r="O18" i="3"/>
  <c r="M14" i="3"/>
  <c r="O11" i="3"/>
  <c r="M17" i="3"/>
  <c r="M20" i="3"/>
  <c r="M16" i="3"/>
  <c r="N65" i="4"/>
  <c r="M85" i="4"/>
  <c r="M108" i="4"/>
  <c r="M117" i="4"/>
  <c r="N121" i="4"/>
  <c r="N75" i="4"/>
  <c r="M82" i="4"/>
  <c r="N138" i="4"/>
  <c r="N125" i="4"/>
  <c r="N93" i="4"/>
  <c r="M106" i="4"/>
  <c r="N83" i="4"/>
  <c r="M77" i="4"/>
  <c r="N94" i="4"/>
  <c r="M91" i="4"/>
  <c r="M116" i="4"/>
  <c r="M137" i="4"/>
  <c r="M100" i="4"/>
  <c r="N104" i="4"/>
  <c r="N51" i="4"/>
  <c r="M58" i="4"/>
  <c r="N35" i="4"/>
  <c r="M42" i="4"/>
  <c r="M49" i="4"/>
  <c r="N59" i="4"/>
  <c r="M53" i="4"/>
  <c r="N43" i="4"/>
  <c r="M50" i="4"/>
  <c r="M57" i="4"/>
  <c r="M25" i="4"/>
  <c r="M29" i="4"/>
  <c r="M21" i="4"/>
  <c r="M18" i="4"/>
  <c r="N19" i="4"/>
  <c r="M13" i="4"/>
  <c r="M17" i="4"/>
  <c r="N11" i="4"/>
  <c r="T104" i="4" s="1"/>
  <c r="U104" i="4" s="1"/>
  <c r="M10" i="4"/>
  <c r="N36" i="4"/>
  <c r="N44" i="4"/>
  <c r="N60" i="4"/>
  <c r="M7" i="4"/>
  <c r="M15" i="4"/>
  <c r="M23" i="4"/>
  <c r="M31" i="4"/>
  <c r="M39" i="4"/>
  <c r="M47" i="4"/>
  <c r="M55" i="4"/>
  <c r="M63" i="4"/>
  <c r="M71" i="4"/>
  <c r="M79" i="4"/>
  <c r="M87" i="4"/>
  <c r="M96" i="4"/>
  <c r="N99" i="4"/>
  <c r="M112" i="4"/>
  <c r="N115" i="4"/>
  <c r="M128" i="4"/>
  <c r="N131" i="4"/>
  <c r="M144" i="4"/>
  <c r="N147" i="4"/>
  <c r="M22" i="4"/>
  <c r="N12" i="4"/>
  <c r="T101" i="4" s="1"/>
  <c r="U101" i="4" s="1"/>
  <c r="N28" i="4"/>
  <c r="M141" i="4"/>
  <c r="M119" i="4"/>
  <c r="M135" i="4"/>
  <c r="M30" i="4"/>
  <c r="M97" i="4"/>
  <c r="M113" i="4"/>
  <c r="M129" i="4"/>
  <c r="M145" i="4"/>
  <c r="M8" i="4"/>
  <c r="M16" i="4"/>
  <c r="M24" i="4"/>
  <c r="M32" i="4"/>
  <c r="M40" i="4"/>
  <c r="M48" i="4"/>
  <c r="M56" i="4"/>
  <c r="M64" i="4"/>
  <c r="M72" i="4"/>
  <c r="M80" i="4"/>
  <c r="M88" i="4"/>
  <c r="M126" i="4"/>
  <c r="M142" i="4"/>
  <c r="M14" i="4"/>
  <c r="M38" i="4"/>
  <c r="M46" i="4"/>
  <c r="M54" i="4"/>
  <c r="M62" i="4"/>
  <c r="M70" i="4"/>
  <c r="M78" i="4"/>
  <c r="M86" i="4"/>
  <c r="M98" i="4"/>
  <c r="M114" i="4"/>
  <c r="M130" i="4"/>
  <c r="M146" i="4"/>
  <c r="M6" i="4"/>
  <c r="M95" i="4"/>
  <c r="M111" i="4"/>
  <c r="M127" i="4"/>
  <c r="M143" i="4"/>
  <c r="M20" i="4"/>
  <c r="M52" i="4"/>
  <c r="M68" i="4"/>
  <c r="M76" i="4"/>
  <c r="M84" i="4"/>
  <c r="M102" i="4"/>
  <c r="M118" i="4"/>
  <c r="M134" i="4"/>
  <c r="N155" i="4"/>
  <c r="M155" i="4"/>
  <c r="M196" i="4"/>
  <c r="N189" i="4"/>
  <c r="M164" i="4"/>
  <c r="N157" i="4"/>
  <c r="N152" i="4"/>
  <c r="M152" i="4"/>
  <c r="M247" i="4"/>
  <c r="N247" i="4"/>
  <c r="M262" i="4"/>
  <c r="N262" i="4"/>
  <c r="N243" i="4"/>
  <c r="M243" i="4"/>
  <c r="N248" i="4"/>
  <c r="M248" i="4"/>
  <c r="N253" i="4"/>
  <c r="M253" i="4"/>
  <c r="M258" i="4"/>
  <c r="N258" i="4"/>
  <c r="M263" i="4"/>
  <c r="N263" i="4"/>
  <c r="M254" i="4"/>
  <c r="N254" i="4"/>
  <c r="N259" i="4"/>
  <c r="M259" i="4"/>
  <c r="N240" i="4"/>
  <c r="M240" i="4"/>
  <c r="N245" i="4"/>
  <c r="M245" i="4"/>
  <c r="M250" i="4"/>
  <c r="N250" i="4"/>
  <c r="M255" i="4"/>
  <c r="N255" i="4"/>
  <c r="N256" i="4"/>
  <c r="M256" i="4"/>
  <c r="M242" i="4"/>
  <c r="N242" i="4"/>
  <c r="M246" i="4"/>
  <c r="N246" i="4"/>
  <c r="N251" i="4"/>
  <c r="M251" i="4"/>
  <c r="N261" i="4"/>
  <c r="M261" i="4"/>
  <c r="M241" i="4"/>
  <c r="M249" i="4"/>
  <c r="M257" i="4"/>
  <c r="D89" i="2"/>
  <c r="M244" i="4"/>
  <c r="M252" i="4"/>
  <c r="M260" i="4"/>
  <c r="N239" i="4"/>
  <c r="M239" i="4"/>
  <c r="M214" i="4"/>
  <c r="N214" i="4"/>
  <c r="N219" i="4"/>
  <c r="M219" i="4"/>
  <c r="N229" i="4"/>
  <c r="M229" i="4"/>
  <c r="N234" i="4"/>
  <c r="M234" i="4"/>
  <c r="M205" i="4"/>
  <c r="N205" i="4"/>
  <c r="N210" i="4"/>
  <c r="M210" i="4"/>
  <c r="M215" i="4"/>
  <c r="N215" i="4"/>
  <c r="M224" i="4"/>
  <c r="N224" i="4"/>
  <c r="M230" i="4"/>
  <c r="N230" i="4"/>
  <c r="N235" i="4"/>
  <c r="M235" i="4"/>
  <c r="N216" i="4"/>
  <c r="M216" i="4"/>
  <c r="M222" i="4"/>
  <c r="N222" i="4"/>
  <c r="N227" i="4"/>
  <c r="M227" i="4"/>
  <c r="N237" i="4"/>
  <c r="M237" i="4"/>
  <c r="N211" i="4"/>
  <c r="M211" i="4"/>
  <c r="N226" i="4"/>
  <c r="M226" i="4"/>
  <c r="M207" i="4"/>
  <c r="N207" i="4"/>
  <c r="N208" i="4"/>
  <c r="M208" i="4"/>
  <c r="N221" i="4"/>
  <c r="M221" i="4"/>
  <c r="N232" i="4"/>
  <c r="M232" i="4"/>
  <c r="N213" i="4"/>
  <c r="M213" i="4"/>
  <c r="N218" i="4"/>
  <c r="M218" i="4"/>
  <c r="M223" i="4"/>
  <c r="N223" i="4"/>
  <c r="M238" i="4"/>
  <c r="N238" i="4"/>
  <c r="M206" i="4"/>
  <c r="N206" i="4"/>
  <c r="M231" i="4"/>
  <c r="N231" i="4"/>
  <c r="M209" i="4"/>
  <c r="M217" i="4"/>
  <c r="M225" i="4"/>
  <c r="M233" i="4"/>
  <c r="N204" i="4"/>
  <c r="N212" i="4"/>
  <c r="N220" i="4"/>
  <c r="N228" i="4"/>
  <c r="N236" i="4"/>
  <c r="N203" i="4"/>
  <c r="M203" i="4"/>
  <c r="N201" i="4"/>
  <c r="M201" i="4"/>
  <c r="N193" i="4"/>
  <c r="M193" i="4"/>
  <c r="N167" i="4"/>
  <c r="M167" i="4"/>
  <c r="N200" i="4"/>
  <c r="M200" i="4"/>
  <c r="N153" i="4"/>
  <c r="M153" i="4"/>
  <c r="N175" i="4"/>
  <c r="M175" i="4"/>
  <c r="N182" i="4"/>
  <c r="M182" i="4"/>
  <c r="M186" i="4"/>
  <c r="N186" i="4"/>
  <c r="D80" i="2"/>
  <c r="D70" i="2"/>
  <c r="D61" i="2"/>
  <c r="N169" i="4"/>
  <c r="M169" i="4"/>
  <c r="N184" i="4"/>
  <c r="M184" i="4"/>
  <c r="M187" i="4"/>
  <c r="N187" i="4"/>
  <c r="N195" i="4"/>
  <c r="M195" i="4"/>
  <c r="N177" i="4"/>
  <c r="M177" i="4"/>
  <c r="N188" i="4"/>
  <c r="M188" i="4"/>
  <c r="N158" i="4"/>
  <c r="M158" i="4"/>
  <c r="N191" i="4"/>
  <c r="M191" i="4"/>
  <c r="N198" i="4"/>
  <c r="M198" i="4"/>
  <c r="N159" i="4"/>
  <c r="M159" i="4"/>
  <c r="N166" i="4"/>
  <c r="M166" i="4"/>
  <c r="M170" i="4"/>
  <c r="N170" i="4"/>
  <c r="M180" i="4"/>
  <c r="N199" i="4"/>
  <c r="M199" i="4"/>
  <c r="N162" i="4"/>
  <c r="M162" i="4"/>
  <c r="N173" i="4"/>
  <c r="N168" i="4"/>
  <c r="M168" i="4"/>
  <c r="M171" i="4"/>
  <c r="N171" i="4"/>
  <c r="N179" i="4"/>
  <c r="M179" i="4"/>
  <c r="N190" i="4"/>
  <c r="M190" i="4"/>
  <c r="M154" i="4"/>
  <c r="N154" i="4"/>
  <c r="N161" i="4"/>
  <c r="M161" i="4"/>
  <c r="N172" i="4"/>
  <c r="M172" i="4"/>
  <c r="N183" i="4"/>
  <c r="M183" i="4"/>
  <c r="M202" i="4"/>
  <c r="N202" i="4"/>
  <c r="M163" i="4"/>
  <c r="N163" i="4"/>
  <c r="N174" i="4"/>
  <c r="M174" i="4"/>
  <c r="N185" i="4"/>
  <c r="M185" i="4"/>
  <c r="N156" i="4"/>
  <c r="M156" i="4"/>
  <c r="M178" i="4"/>
  <c r="M194" i="4"/>
  <c r="D97" i="2"/>
  <c r="D93" i="2"/>
  <c r="D94" i="2"/>
  <c r="D81" i="2"/>
  <c r="M160" i="4"/>
  <c r="M176" i="4"/>
  <c r="M192" i="4"/>
  <c r="M165" i="4"/>
  <c r="M181" i="4"/>
  <c r="M197" i="4"/>
  <c r="D101" i="2"/>
  <c r="D103" i="2"/>
  <c r="D71" i="2"/>
  <c r="D12" i="2"/>
  <c r="D62" i="2"/>
  <c r="D72" i="2"/>
  <c r="D102" i="2"/>
  <c r="D63" i="2"/>
  <c r="H4" i="4"/>
  <c r="D73" i="2"/>
  <c r="D86" i="2"/>
  <c r="D105" i="2"/>
  <c r="D57" i="2"/>
  <c r="D77" i="2"/>
  <c r="D96" i="2"/>
  <c r="D87" i="2"/>
  <c r="D41" i="2"/>
  <c r="D85" i="2"/>
  <c r="D104" i="2"/>
  <c r="D56" i="2"/>
  <c r="D65" i="2"/>
  <c r="D58" i="2"/>
  <c r="D78" i="2"/>
  <c r="D55" i="2"/>
  <c r="D64" i="2"/>
  <c r="D100" i="2"/>
  <c r="D92" i="2"/>
  <c r="D84" i="2"/>
  <c r="D76" i="2"/>
  <c r="D68" i="2"/>
  <c r="D60" i="2"/>
  <c r="D20" i="2"/>
  <c r="D75" i="2"/>
  <c r="D67" i="2"/>
  <c r="D59" i="2"/>
  <c r="D48" i="2"/>
  <c r="D34" i="2"/>
  <c r="D74" i="2"/>
  <c r="D107" i="2"/>
  <c r="D99" i="2"/>
  <c r="D91" i="2"/>
  <c r="D83" i="2"/>
  <c r="D106" i="2"/>
  <c r="D98" i="2"/>
  <c r="D90" i="2"/>
  <c r="D82" i="2"/>
  <c r="D66" i="2"/>
  <c r="D95" i="2"/>
  <c r="D69" i="2"/>
  <c r="D88" i="2"/>
  <c r="D79" i="2"/>
  <c r="D27" i="2"/>
  <c r="D49" i="2"/>
  <c r="D35" i="2"/>
  <c r="D28" i="2"/>
  <c r="D42" i="2"/>
  <c r="D21" i="2"/>
  <c r="D7" i="2"/>
  <c r="D13" i="2"/>
  <c r="D6" i="2"/>
  <c r="D14" i="2"/>
  <c r="D15" i="2"/>
  <c r="D43" i="2"/>
  <c r="D51" i="2"/>
  <c r="D16" i="2"/>
  <c r="D23" i="2"/>
  <c r="D31" i="2"/>
  <c r="D45" i="2"/>
  <c r="D50" i="2"/>
  <c r="D29" i="2"/>
  <c r="D22" i="2"/>
  <c r="D30" i="2"/>
  <c r="D37" i="2"/>
  <c r="D9" i="2"/>
  <c r="D52" i="2"/>
  <c r="D17" i="2"/>
  <c r="D24" i="2"/>
  <c r="D38" i="2"/>
  <c r="D36" i="2"/>
  <c r="D8" i="2"/>
  <c r="D44" i="2"/>
  <c r="D3" i="2"/>
  <c r="D10" i="2"/>
  <c r="D46" i="2"/>
  <c r="D53" i="2"/>
  <c r="D4" i="2"/>
  <c r="D18" i="2"/>
  <c r="D25" i="2"/>
  <c r="D32" i="2"/>
  <c r="D39" i="2"/>
  <c r="D11" i="2"/>
  <c r="D47" i="2"/>
  <c r="D19" i="2"/>
  <c r="D26" i="2"/>
  <c r="D33" i="2"/>
  <c r="D40" i="2"/>
  <c r="D54" i="2"/>
  <c r="D5" i="2"/>
  <c r="T100" i="4" l="1"/>
  <c r="U100" i="4" s="1"/>
  <c r="T99" i="4"/>
  <c r="U99" i="4" s="1"/>
  <c r="T98" i="4"/>
  <c r="U98" i="4" s="1"/>
  <c r="T102" i="4"/>
  <c r="U102" i="4" s="1"/>
  <c r="T97" i="4"/>
  <c r="U97" i="4" s="1"/>
  <c r="T96" i="4"/>
  <c r="U96" i="4" s="1"/>
  <c r="T95" i="4"/>
  <c r="U95" i="4" s="1"/>
  <c r="T94" i="4"/>
  <c r="U94" i="4" s="1"/>
  <c r="T91" i="4"/>
  <c r="U91" i="4" s="1"/>
  <c r="T105" i="4"/>
  <c r="U105" i="4" s="1"/>
  <c r="T103" i="4"/>
  <c r="U103" i="4" s="1"/>
  <c r="V27" i="1"/>
  <c r="W3" i="1"/>
  <c r="W23" i="1" s="1"/>
  <c r="CN2" i="1"/>
  <c r="CM35" i="1"/>
  <c r="BK48" i="1"/>
  <c r="BJ49" i="1"/>
  <c r="CB51" i="1"/>
  <c r="CB53" i="1" s="1"/>
  <c r="CK51" i="1"/>
  <c r="CK53" i="1" s="1"/>
  <c r="CG51" i="1"/>
  <c r="CG53" i="1" s="1"/>
  <c r="BA7" i="1"/>
  <c r="BC51" i="1" s="1"/>
  <c r="BC53" i="1" s="1"/>
  <c r="BC58" i="1" s="1"/>
  <c r="BE7" i="1"/>
  <c r="BG51" i="1" s="1"/>
  <c r="BG53" i="1" s="1"/>
  <c r="BG58" i="1" s="1"/>
  <c r="BX7" i="1"/>
  <c r="O21" i="3"/>
  <c r="P15" i="3"/>
  <c r="E105" i="2" s="1"/>
  <c r="O15" i="3"/>
  <c r="E50" i="2" s="1"/>
  <c r="O19" i="3"/>
  <c r="P14" i="3"/>
  <c r="O14" i="3"/>
  <c r="U4" i="3" s="1"/>
  <c r="P17" i="3"/>
  <c r="O17" i="3"/>
  <c r="U30" i="3" s="1"/>
  <c r="W30" i="3" s="1"/>
  <c r="P22" i="3"/>
  <c r="O22" i="3"/>
  <c r="P16" i="3"/>
  <c r="O16" i="3"/>
  <c r="P20" i="3"/>
  <c r="O20" i="3"/>
  <c r="T7" i="4"/>
  <c r="U7" i="4" s="1"/>
  <c r="T15" i="4"/>
  <c r="U15" i="4" s="1"/>
  <c r="T86" i="4"/>
  <c r="U86" i="4" s="1"/>
  <c r="T49" i="4"/>
  <c r="U49" i="4" s="1"/>
  <c r="T31" i="4"/>
  <c r="U31" i="4" s="1"/>
  <c r="T25" i="4"/>
  <c r="U25" i="4" s="1"/>
  <c r="T53" i="4"/>
  <c r="U53" i="4" s="1"/>
  <c r="T33" i="4"/>
  <c r="U33" i="4" s="1"/>
  <c r="T84" i="4"/>
  <c r="U84" i="4" s="1"/>
  <c r="T21" i="4"/>
  <c r="U21" i="4" s="1"/>
  <c r="T75" i="4"/>
  <c r="U75" i="4" s="1"/>
  <c r="T18" i="4"/>
  <c r="U18" i="4" s="1"/>
  <c r="T90" i="4"/>
  <c r="U90" i="4" s="1"/>
  <c r="T74" i="4"/>
  <c r="U74" i="4" s="1"/>
  <c r="T12" i="4"/>
  <c r="U12" i="4" s="1"/>
  <c r="T48" i="4"/>
  <c r="U48" i="4" s="1"/>
  <c r="T54" i="4"/>
  <c r="U54" i="4" s="1"/>
  <c r="E93" i="2"/>
  <c r="T58" i="4"/>
  <c r="U58" i="4" s="1"/>
  <c r="T67" i="4"/>
  <c r="U67" i="4" s="1"/>
  <c r="T85" i="4"/>
  <c r="U85" i="4" s="1"/>
  <c r="T9" i="4"/>
  <c r="U9" i="4" s="1"/>
  <c r="E79" i="2"/>
  <c r="T77" i="4"/>
  <c r="U77" i="4" s="1"/>
  <c r="T38" i="4"/>
  <c r="U38" i="4" s="1"/>
  <c r="T16" i="4"/>
  <c r="U16" i="4" s="1"/>
  <c r="T42" i="4"/>
  <c r="U42" i="4" s="1"/>
  <c r="T62" i="4"/>
  <c r="U62" i="4" s="1"/>
  <c r="T51" i="4"/>
  <c r="U51" i="4" s="1"/>
  <c r="E97" i="2"/>
  <c r="T50" i="4"/>
  <c r="U50" i="4" s="1"/>
  <c r="T20" i="4"/>
  <c r="U20" i="4" s="1"/>
  <c r="T61" i="4"/>
  <c r="U61" i="4" s="1"/>
  <c r="T83" i="4"/>
  <c r="U83" i="4" s="1"/>
  <c r="E95" i="2"/>
  <c r="T45" i="4"/>
  <c r="U45" i="4" s="1"/>
  <c r="E63" i="2"/>
  <c r="T37" i="4"/>
  <c r="U37" i="4" s="1"/>
  <c r="T30" i="4"/>
  <c r="U30" i="4" s="1"/>
  <c r="T56" i="4"/>
  <c r="U56" i="4" s="1"/>
  <c r="T60" i="4"/>
  <c r="U60" i="4" s="1"/>
  <c r="T34" i="4"/>
  <c r="U34" i="4" s="1"/>
  <c r="T8" i="4"/>
  <c r="U8" i="4" s="1"/>
  <c r="T24" i="4"/>
  <c r="U24" i="4" s="1"/>
  <c r="E55" i="2"/>
  <c r="T82" i="4"/>
  <c r="U82" i="4" s="1"/>
  <c r="T57" i="4"/>
  <c r="U57" i="4" s="1"/>
  <c r="T89" i="4"/>
  <c r="U89" i="4" s="1"/>
  <c r="T43" i="4"/>
  <c r="U43" i="4" s="1"/>
  <c r="T10" i="4"/>
  <c r="U10" i="4" s="1"/>
  <c r="T29" i="4"/>
  <c r="U29" i="4" s="1"/>
  <c r="T13" i="4"/>
  <c r="U13" i="4" s="1"/>
  <c r="E82" i="2"/>
  <c r="T78" i="4"/>
  <c r="U78" i="4" s="1"/>
  <c r="T41" i="4"/>
  <c r="U41" i="4" s="1"/>
  <c r="E89" i="2"/>
  <c r="T46" i="4"/>
  <c r="U46" i="4" s="1"/>
  <c r="E73" i="2"/>
  <c r="E104" i="2"/>
  <c r="E102" i="2"/>
  <c r="T69" i="4"/>
  <c r="U69" i="4" s="1"/>
  <c r="T27" i="4"/>
  <c r="U27" i="4" s="1"/>
  <c r="T70" i="4"/>
  <c r="U70" i="4" s="1"/>
  <c r="E90" i="2"/>
  <c r="T22" i="4"/>
  <c r="U22" i="4" s="1"/>
  <c r="E80" i="2"/>
  <c r="E86" i="2"/>
  <c r="T19" i="4"/>
  <c r="U19" i="4" s="1"/>
  <c r="E10" i="2"/>
  <c r="T55" i="4"/>
  <c r="U55" i="4" s="1"/>
  <c r="T72" i="4"/>
  <c r="U72" i="4" s="1"/>
  <c r="E101" i="2"/>
  <c r="E66" i="2"/>
  <c r="T73" i="4"/>
  <c r="U73" i="4" s="1"/>
  <c r="E57" i="2"/>
  <c r="E65" i="2"/>
  <c r="T36" i="4"/>
  <c r="U36" i="4" s="1"/>
  <c r="T79" i="4"/>
  <c r="U79" i="4" s="1"/>
  <c r="E72" i="2"/>
  <c r="E16" i="2"/>
  <c r="T28" i="4"/>
  <c r="U28" i="4" s="1"/>
  <c r="T32" i="4"/>
  <c r="U32" i="4" s="1"/>
  <c r="E7" i="2"/>
  <c r="T14" i="4"/>
  <c r="U14" i="4" s="1"/>
  <c r="E84" i="2"/>
  <c r="T59" i="4"/>
  <c r="U59" i="4" s="1"/>
  <c r="T11" i="4"/>
  <c r="U11" i="4" s="1"/>
  <c r="T64" i="4"/>
  <c r="U64" i="4" s="1"/>
  <c r="T26" i="4"/>
  <c r="U26" i="4" s="1"/>
  <c r="T68" i="4"/>
  <c r="U68" i="4" s="1"/>
  <c r="E17" i="2"/>
  <c r="T88" i="4"/>
  <c r="U88" i="4" s="1"/>
  <c r="E103" i="2"/>
  <c r="E58" i="2"/>
  <c r="E3" i="2"/>
  <c r="T39" i="4"/>
  <c r="U39" i="4" s="1"/>
  <c r="E69" i="2"/>
  <c r="T40" i="4"/>
  <c r="U40" i="4" s="1"/>
  <c r="E107" i="2"/>
  <c r="T80" i="4"/>
  <c r="U80" i="4" s="1"/>
  <c r="E68" i="2"/>
  <c r="T63" i="4"/>
  <c r="U63" i="4" s="1"/>
  <c r="E56" i="2"/>
  <c r="T71" i="4"/>
  <c r="U71" i="4" s="1"/>
  <c r="T81" i="4"/>
  <c r="U81" i="4" s="1"/>
  <c r="E92" i="2"/>
  <c r="E96" i="2"/>
  <c r="T76" i="4"/>
  <c r="U76" i="4" s="1"/>
  <c r="T66" i="4"/>
  <c r="U66" i="4" s="1"/>
  <c r="T52" i="4"/>
  <c r="U52" i="4" s="1"/>
  <c r="T17" i="4"/>
  <c r="U17" i="4" s="1"/>
  <c r="E83" i="2"/>
  <c r="T35" i="4"/>
  <c r="U35" i="4" s="1"/>
  <c r="T6" i="4"/>
  <c r="U6" i="4" s="1"/>
  <c r="E94" i="2"/>
  <c r="E74" i="2"/>
  <c r="E81" i="2"/>
  <c r="E87" i="2"/>
  <c r="E53" i="2"/>
  <c r="E62" i="2"/>
  <c r="E71" i="2"/>
  <c r="E88" i="2"/>
  <c r="E77" i="2"/>
  <c r="E106" i="2"/>
  <c r="T47" i="4"/>
  <c r="U47" i="4" s="1"/>
  <c r="E24" i="2"/>
  <c r="T23" i="4"/>
  <c r="U23" i="4" s="1"/>
  <c r="T65" i="4"/>
  <c r="U65" i="4" s="1"/>
  <c r="E60" i="2"/>
  <c r="E64" i="2"/>
  <c r="T44" i="4"/>
  <c r="U44" i="4" s="1"/>
  <c r="T87" i="4"/>
  <c r="U87" i="4" s="1"/>
  <c r="E21" i="2"/>
  <c r="E100" i="2"/>
  <c r="D111" i="2"/>
  <c r="D112" i="2" s="1"/>
  <c r="S1" i="4" l="1"/>
  <c r="E46" i="2"/>
  <c r="E45" i="2"/>
  <c r="E18" i="2"/>
  <c r="E14" i="2"/>
  <c r="E4" i="2"/>
  <c r="U13" i="3"/>
  <c r="W13" i="3" s="1"/>
  <c r="E51" i="2"/>
  <c r="E52" i="2"/>
  <c r="E54" i="2"/>
  <c r="U17" i="3"/>
  <c r="W17" i="3" s="1"/>
  <c r="E49" i="2"/>
  <c r="E23" i="2"/>
  <c r="E42" i="2"/>
  <c r="U21" i="3"/>
  <c r="W21" i="3" s="1"/>
  <c r="E9" i="2"/>
  <c r="E38" i="2"/>
  <c r="E39" i="2"/>
  <c r="E26" i="2"/>
  <c r="E5" i="2"/>
  <c r="E11" i="2"/>
  <c r="E22" i="2"/>
  <c r="E36" i="2"/>
  <c r="E34" i="2"/>
  <c r="E43" i="2"/>
  <c r="E19" i="2"/>
  <c r="E40" i="2"/>
  <c r="E31" i="2"/>
  <c r="E15" i="2"/>
  <c r="E6" i="2"/>
  <c r="E20" i="2"/>
  <c r="E33" i="2"/>
  <c r="E13" i="2"/>
  <c r="E30" i="2"/>
  <c r="E44" i="2"/>
  <c r="E35" i="2"/>
  <c r="E8" i="2"/>
  <c r="E48" i="2"/>
  <c r="E25" i="2"/>
  <c r="E41" i="2"/>
  <c r="W27" i="1"/>
  <c r="X3" i="1"/>
  <c r="X23" i="1" s="1"/>
  <c r="CN35" i="1"/>
  <c r="CO2" i="1"/>
  <c r="CN7" i="1"/>
  <c r="CP51" i="1" s="1"/>
  <c r="CP53" i="1" s="1"/>
  <c r="BL48" i="1"/>
  <c r="BK49" i="1"/>
  <c r="E78" i="2"/>
  <c r="U37" i="3"/>
  <c r="W37" i="3" s="1"/>
  <c r="E61" i="2"/>
  <c r="U102" i="3"/>
  <c r="W102" i="3" s="1"/>
  <c r="E85" i="2"/>
  <c r="U94" i="3"/>
  <c r="W94" i="3" s="1"/>
  <c r="E59" i="2"/>
  <c r="E99" i="2"/>
  <c r="U80" i="3"/>
  <c r="W80" i="3" s="1"/>
  <c r="E12" i="2"/>
  <c r="E27" i="2"/>
  <c r="E98" i="2"/>
  <c r="E70" i="2"/>
  <c r="E28" i="2"/>
  <c r="U5" i="3"/>
  <c r="W5" i="3" s="1"/>
  <c r="U6" i="3"/>
  <c r="W6" i="3" s="1"/>
  <c r="U15" i="3"/>
  <c r="W15" i="3" s="1"/>
  <c r="E67" i="2"/>
  <c r="U16" i="3"/>
  <c r="W16" i="3" s="1"/>
  <c r="U29" i="3"/>
  <c r="W29" i="3" s="1"/>
  <c r="E29" i="2"/>
  <c r="U14" i="3"/>
  <c r="W14" i="3" s="1"/>
  <c r="U100" i="3"/>
  <c r="W100" i="3" s="1"/>
  <c r="U85" i="3"/>
  <c r="W85" i="3" s="1"/>
  <c r="E76" i="2"/>
  <c r="U24" i="3"/>
  <c r="W24" i="3" s="1"/>
  <c r="U26" i="3"/>
  <c r="W26" i="3" s="1"/>
  <c r="U19" i="3"/>
  <c r="W19" i="3" s="1"/>
  <c r="U25" i="3"/>
  <c r="W25" i="3" s="1"/>
  <c r="U7" i="3"/>
  <c r="W7" i="3" s="1"/>
  <c r="U91" i="3"/>
  <c r="W91" i="3" s="1"/>
  <c r="U45" i="3"/>
  <c r="W45" i="3" s="1"/>
  <c r="U93" i="3"/>
  <c r="W93" i="3" s="1"/>
  <c r="U39" i="3"/>
  <c r="W39" i="3" s="1"/>
  <c r="U88" i="3"/>
  <c r="W88" i="3" s="1"/>
  <c r="U89" i="3"/>
  <c r="W89" i="3" s="1"/>
  <c r="U31" i="3"/>
  <c r="W31" i="3" s="1"/>
  <c r="U99" i="3"/>
  <c r="W99" i="3" s="1"/>
  <c r="U53" i="3"/>
  <c r="W53" i="3" s="1"/>
  <c r="U101" i="3"/>
  <c r="W101" i="3" s="1"/>
  <c r="U47" i="3"/>
  <c r="W47" i="3" s="1"/>
  <c r="U96" i="3"/>
  <c r="W96" i="3" s="1"/>
  <c r="U97" i="3"/>
  <c r="W97" i="3" s="1"/>
  <c r="U90" i="3"/>
  <c r="W90" i="3" s="1"/>
  <c r="U61" i="3"/>
  <c r="W61" i="3" s="1"/>
  <c r="U20" i="3"/>
  <c r="W20" i="3" s="1"/>
  <c r="U55" i="3"/>
  <c r="W55" i="3" s="1"/>
  <c r="U104" i="3"/>
  <c r="W104" i="3" s="1"/>
  <c r="U105" i="3"/>
  <c r="W105" i="3" s="1"/>
  <c r="U98" i="3"/>
  <c r="W98" i="3" s="1"/>
  <c r="U36" i="3"/>
  <c r="W36" i="3" s="1"/>
  <c r="U69" i="3"/>
  <c r="W69" i="3" s="1"/>
  <c r="U38" i="3"/>
  <c r="W38" i="3" s="1"/>
  <c r="U63" i="3"/>
  <c r="W63" i="3" s="1"/>
  <c r="U12" i="3"/>
  <c r="W12" i="3" s="1"/>
  <c r="W4" i="3"/>
  <c r="U106" i="3"/>
  <c r="W106" i="3" s="1"/>
  <c r="U44" i="3"/>
  <c r="W44" i="3" s="1"/>
  <c r="U77" i="3"/>
  <c r="W77" i="3" s="1"/>
  <c r="E75" i="2"/>
  <c r="U46" i="3"/>
  <c r="W46" i="3" s="1"/>
  <c r="U71" i="3"/>
  <c r="W71" i="3" s="1"/>
  <c r="U95" i="3"/>
  <c r="W95" i="3" s="1"/>
  <c r="U87" i="3"/>
  <c r="W87" i="3" s="1"/>
  <c r="U18" i="3"/>
  <c r="W18" i="3" s="1"/>
  <c r="U52" i="3"/>
  <c r="W52" i="3" s="1"/>
  <c r="E32" i="2"/>
  <c r="U54" i="3"/>
  <c r="W54" i="3" s="1"/>
  <c r="U79" i="3"/>
  <c r="W79" i="3" s="1"/>
  <c r="U22" i="3"/>
  <c r="W22" i="3" s="1"/>
  <c r="U28" i="3"/>
  <c r="W28" i="3" s="1"/>
  <c r="U35" i="3"/>
  <c r="W35" i="3" s="1"/>
  <c r="U60" i="3"/>
  <c r="W60" i="3" s="1"/>
  <c r="E47" i="2"/>
  <c r="U62" i="3"/>
  <c r="W62" i="3" s="1"/>
  <c r="U103" i="3"/>
  <c r="W103" i="3" s="1"/>
  <c r="U33" i="3"/>
  <c r="W33" i="3" s="1"/>
  <c r="U34" i="3"/>
  <c r="W34" i="3" s="1"/>
  <c r="U43" i="3"/>
  <c r="W43" i="3" s="1"/>
  <c r="U68" i="3"/>
  <c r="W68" i="3" s="1"/>
  <c r="E37" i="2"/>
  <c r="E91" i="2"/>
  <c r="U70" i="3"/>
  <c r="W70" i="3" s="1"/>
  <c r="U32" i="3"/>
  <c r="W32" i="3" s="1"/>
  <c r="U41" i="3"/>
  <c r="W41" i="3" s="1"/>
  <c r="U42" i="3"/>
  <c r="W42" i="3" s="1"/>
  <c r="U51" i="3"/>
  <c r="W51" i="3" s="1"/>
  <c r="U76" i="3"/>
  <c r="W76" i="3" s="1"/>
  <c r="U78" i="3"/>
  <c r="W78" i="3" s="1"/>
  <c r="U40" i="3"/>
  <c r="W40" i="3" s="1"/>
  <c r="U49" i="3"/>
  <c r="W49" i="3" s="1"/>
  <c r="U50" i="3"/>
  <c r="W50" i="3" s="1"/>
  <c r="U59" i="3"/>
  <c r="W59" i="3" s="1"/>
  <c r="U9" i="3"/>
  <c r="W9" i="3" s="1"/>
  <c r="U3" i="3"/>
  <c r="W3" i="3" s="1"/>
  <c r="U48" i="3"/>
  <c r="W48" i="3" s="1"/>
  <c r="U57" i="3"/>
  <c r="W57" i="3" s="1"/>
  <c r="U58" i="3"/>
  <c r="W58" i="3" s="1"/>
  <c r="U67" i="3"/>
  <c r="W67" i="3" s="1"/>
  <c r="U27" i="3"/>
  <c r="W27" i="3" s="1"/>
  <c r="U11" i="3"/>
  <c r="W11" i="3" s="1"/>
  <c r="U56" i="3"/>
  <c r="W56" i="3" s="1"/>
  <c r="U65" i="3"/>
  <c r="W65" i="3" s="1"/>
  <c r="U66" i="3"/>
  <c r="W66" i="3" s="1"/>
  <c r="U75" i="3"/>
  <c r="W75" i="3" s="1"/>
  <c r="U84" i="3"/>
  <c r="W84" i="3" s="1"/>
  <c r="U23" i="3"/>
  <c r="W23" i="3" s="1"/>
  <c r="U64" i="3"/>
  <c r="W64" i="3" s="1"/>
  <c r="U73" i="3"/>
  <c r="W73" i="3" s="1"/>
  <c r="U74" i="3"/>
  <c r="W74" i="3" s="1"/>
  <c r="U83" i="3"/>
  <c r="W83" i="3" s="1"/>
  <c r="U92" i="3"/>
  <c r="W92" i="3" s="1"/>
  <c r="U10" i="3"/>
  <c r="W10" i="3" s="1"/>
  <c r="U86" i="3"/>
  <c r="W86" i="3" s="1"/>
  <c r="U72" i="3"/>
  <c r="W72" i="3" s="1"/>
  <c r="U81" i="3"/>
  <c r="W81" i="3" s="1"/>
  <c r="U82" i="3"/>
  <c r="W82" i="3" s="1"/>
  <c r="U8" i="3"/>
  <c r="W8" i="3" s="1"/>
  <c r="CP2" i="1" l="1"/>
  <c r="CO35" i="1"/>
  <c r="BM48" i="1"/>
  <c r="BL49" i="1"/>
  <c r="X27" i="1"/>
  <c r="X33" i="1"/>
  <c r="Y3" i="1"/>
  <c r="Y23" i="1" s="1"/>
  <c r="E111" i="2"/>
  <c r="E112" i="2" s="1"/>
  <c r="J1" i="3"/>
  <c r="BN48" i="1" l="1"/>
  <c r="BM49" i="1"/>
  <c r="CQ2" i="1"/>
  <c r="CP35" i="1"/>
  <c r="Y33" i="1"/>
  <c r="Z3" i="1"/>
  <c r="Z23" i="1" s="1"/>
  <c r="Y27" i="1"/>
  <c r="Z27" i="1" l="1"/>
  <c r="AA3" i="1"/>
  <c r="AA23" i="1" s="1"/>
  <c r="Z33" i="1"/>
  <c r="BO48" i="1"/>
  <c r="BN49" i="1"/>
  <c r="CR2" i="1"/>
  <c r="CQ35" i="1"/>
  <c r="CS2" i="1" l="1"/>
  <c r="CR35" i="1"/>
  <c r="BP48" i="1"/>
  <c r="BO49" i="1"/>
  <c r="AA27" i="1"/>
  <c r="AA33" i="1"/>
  <c r="AB3" i="1"/>
  <c r="AB23" i="1" s="1"/>
  <c r="BQ48" i="1" l="1"/>
  <c r="BP49" i="1"/>
  <c r="CT2" i="1"/>
  <c r="CS35" i="1"/>
  <c r="CS7" i="1"/>
  <c r="CT51" i="1" s="1"/>
  <c r="CT53" i="1" s="1"/>
  <c r="AB27" i="1"/>
  <c r="AB33" i="1"/>
  <c r="AC3" i="1"/>
  <c r="AC23" i="1" s="1"/>
  <c r="AC27" i="1" l="1"/>
  <c r="AC33" i="1"/>
  <c r="AD3" i="1"/>
  <c r="AD23" i="1" s="1"/>
  <c r="CU2" i="1"/>
  <c r="CV2" i="1" s="1"/>
  <c r="CT35" i="1"/>
  <c r="BR48" i="1"/>
  <c r="BQ49" i="1"/>
  <c r="BS48" i="1" l="1"/>
  <c r="BR49" i="1"/>
  <c r="CW2" i="1"/>
  <c r="CX2" i="1" s="1"/>
  <c r="CV7" i="1"/>
  <c r="AD27" i="1"/>
  <c r="AD33" i="1"/>
  <c r="AE3" i="1"/>
  <c r="AE23" i="1" s="1"/>
  <c r="CY2" i="1" l="1"/>
  <c r="CX7" i="1"/>
  <c r="CX51" i="1" s="1"/>
  <c r="CX53" i="1" s="1"/>
  <c r="BT48" i="1"/>
  <c r="BS49" i="1"/>
  <c r="AE27" i="1"/>
  <c r="AE33" i="1"/>
  <c r="AF3" i="1"/>
  <c r="AF23" i="1" s="1"/>
  <c r="BU48" i="1" l="1"/>
  <c r="BT49" i="1"/>
  <c r="AF33" i="1"/>
  <c r="AG3" i="1"/>
  <c r="AG23" i="1" s="1"/>
  <c r="AF27" i="1"/>
  <c r="CY35" i="1"/>
  <c r="CZ2" i="1"/>
  <c r="AH3" i="1" l="1"/>
  <c r="AH23" i="1" s="1"/>
  <c r="AG27" i="1"/>
  <c r="AG33" i="1"/>
  <c r="BU49" i="1"/>
  <c r="BV48" i="1"/>
  <c r="DA2" i="1"/>
  <c r="CZ35" i="1"/>
  <c r="AI3" i="1" l="1"/>
  <c r="AI23" i="1" s="1"/>
  <c r="AH27" i="1"/>
  <c r="AH33" i="1"/>
  <c r="DB2" i="1"/>
  <c r="DA35" i="1"/>
  <c r="BW48" i="1"/>
  <c r="BV49" i="1"/>
  <c r="AJ3" i="1" l="1"/>
  <c r="AJ23" i="1" s="1"/>
  <c r="AI27" i="1"/>
  <c r="AI33" i="1"/>
  <c r="DC2" i="1"/>
  <c r="DB35" i="1"/>
  <c r="BX48" i="1"/>
  <c r="BW49" i="1"/>
  <c r="F17" i="2"/>
  <c r="AK3" i="1" l="1"/>
  <c r="AK23" i="1" s="1"/>
  <c r="AJ27" i="1"/>
  <c r="AJ33" i="1"/>
  <c r="BY48" i="1"/>
  <c r="BX49" i="1"/>
  <c r="DD2" i="1"/>
  <c r="DC35" i="1"/>
  <c r="F18" i="2"/>
  <c r="BZ48" i="1" l="1"/>
  <c r="BY49" i="1"/>
  <c r="AK33" i="1"/>
  <c r="AK27" i="1"/>
  <c r="AL3" i="1"/>
  <c r="AL23" i="1" s="1"/>
  <c r="DE2" i="1"/>
  <c r="DD35" i="1"/>
  <c r="F19" i="2"/>
  <c r="DF2" i="1" l="1"/>
  <c r="DE35" i="1"/>
  <c r="AL33" i="1"/>
  <c r="AL27" i="1"/>
  <c r="AM3" i="1"/>
  <c r="AM23" i="1" s="1"/>
  <c r="CA48" i="1"/>
  <c r="BZ49" i="1"/>
  <c r="F20" i="2"/>
  <c r="CB48" i="1" l="1"/>
  <c r="CA49" i="1"/>
  <c r="AM27" i="1"/>
  <c r="AM33" i="1"/>
  <c r="AN3" i="1"/>
  <c r="AN23" i="1" s="1"/>
  <c r="DG2" i="1"/>
  <c r="DF35" i="1"/>
  <c r="F21" i="2"/>
  <c r="CC48" i="1" l="1"/>
  <c r="CB49" i="1"/>
  <c r="DH2" i="1"/>
  <c r="DG35" i="1"/>
  <c r="AN27" i="1"/>
  <c r="AN33" i="1"/>
  <c r="AO3" i="1"/>
  <c r="AO23" i="1" s="1"/>
  <c r="F22" i="2"/>
  <c r="DI2" i="1" l="1"/>
  <c r="DH7" i="1"/>
  <c r="DH35" i="1"/>
  <c r="AO27" i="1"/>
  <c r="AO33" i="1"/>
  <c r="AP3" i="1"/>
  <c r="AP23" i="1" s="1"/>
  <c r="CD48" i="1"/>
  <c r="CC49" i="1"/>
  <c r="F23" i="2"/>
  <c r="AP33" i="1" l="1"/>
  <c r="AP27" i="1"/>
  <c r="AQ3" i="1"/>
  <c r="AQ23" i="1" s="1"/>
  <c r="CE48" i="1"/>
  <c r="CD49" i="1"/>
  <c r="DJ2" i="1"/>
  <c r="DI35" i="1"/>
  <c r="F24" i="2"/>
  <c r="DK2" i="1" l="1"/>
  <c r="DJ35" i="1"/>
  <c r="CF48" i="1"/>
  <c r="CE49" i="1"/>
  <c r="AQ27" i="1"/>
  <c r="AQ33" i="1"/>
  <c r="AR3" i="1"/>
  <c r="AR23" i="1" s="1"/>
  <c r="F25" i="2"/>
  <c r="DL2" i="1" l="1"/>
  <c r="DK7" i="1"/>
  <c r="DK35" i="1"/>
  <c r="AR27" i="1"/>
  <c r="AR33" i="1"/>
  <c r="AS3" i="1"/>
  <c r="AS23" i="1" s="1"/>
  <c r="CG48" i="1"/>
  <c r="CF49" i="1"/>
  <c r="F26" i="2"/>
  <c r="AS27" i="1" l="1"/>
  <c r="AS33" i="1"/>
  <c r="AT3" i="1"/>
  <c r="AT23" i="1" s="1"/>
  <c r="DM2" i="1"/>
  <c r="DL35" i="1"/>
  <c r="CH48" i="1"/>
  <c r="CG49" i="1"/>
  <c r="F27" i="2"/>
  <c r="CI48" i="1" l="1"/>
  <c r="CH49" i="1"/>
  <c r="DN2" i="1"/>
  <c r="DM7" i="1"/>
  <c r="DM35" i="1"/>
  <c r="AT27" i="1"/>
  <c r="AT33" i="1"/>
  <c r="AU3" i="1"/>
  <c r="AU23" i="1" s="1"/>
  <c r="F28" i="2"/>
  <c r="AV3" i="1" l="1"/>
  <c r="AV23" i="1" s="1"/>
  <c r="AU33" i="1"/>
  <c r="AU27" i="1"/>
  <c r="DO2" i="1"/>
  <c r="DN35" i="1"/>
  <c r="CJ48" i="1"/>
  <c r="CI49" i="1"/>
  <c r="F29" i="2"/>
  <c r="CK48" i="1" l="1"/>
  <c r="CK49" i="1" s="1"/>
  <c r="CJ49" i="1"/>
  <c r="DP2" i="1"/>
  <c r="DO7" i="1"/>
  <c r="DO6" i="1"/>
  <c r="DO35" i="1"/>
  <c r="AV27" i="1"/>
  <c r="AV33" i="1"/>
  <c r="AW3" i="1"/>
  <c r="AW23" i="1" s="1"/>
  <c r="F30" i="2"/>
  <c r="AW27" i="1" l="1"/>
  <c r="AX3" i="1"/>
  <c r="AX23" i="1" s="1"/>
  <c r="AW33" i="1"/>
  <c r="DQ2" i="1"/>
  <c r="DP7" i="1"/>
  <c r="DP6" i="1"/>
  <c r="DP35" i="1"/>
  <c r="F31" i="2"/>
  <c r="DR2" i="1" l="1"/>
  <c r="DQ7" i="1"/>
  <c r="DQ6" i="1"/>
  <c r="DQ35" i="1"/>
  <c r="AY3" i="1"/>
  <c r="AY23" i="1" s="1"/>
  <c r="AX27" i="1"/>
  <c r="AX33" i="1"/>
  <c r="F32" i="2"/>
  <c r="AY33" i="1" l="1"/>
  <c r="AY27" i="1"/>
  <c r="AZ3" i="1"/>
  <c r="AZ23" i="1" s="1"/>
  <c r="DS2" i="1"/>
  <c r="DR6" i="1"/>
  <c r="DR7" i="1"/>
  <c r="DR35" i="1"/>
  <c r="F33" i="2"/>
  <c r="DT2" i="1" l="1"/>
  <c r="DS7" i="1"/>
  <c r="DS6" i="1"/>
  <c r="DS35" i="1"/>
  <c r="BA3" i="1"/>
  <c r="BA23" i="1" s="1"/>
  <c r="AZ33" i="1"/>
  <c r="AZ27" i="1"/>
  <c r="F34" i="2"/>
  <c r="BA33" i="1" l="1"/>
  <c r="BB3" i="1"/>
  <c r="BB23" i="1" s="1"/>
  <c r="BA27" i="1"/>
  <c r="DU2" i="1"/>
  <c r="DT6" i="1"/>
  <c r="DT7" i="1"/>
  <c r="DT35" i="1"/>
  <c r="F35" i="2"/>
  <c r="DV2" i="1" l="1"/>
  <c r="DU7" i="1"/>
  <c r="DU6" i="1"/>
  <c r="DU35" i="1"/>
  <c r="BC3" i="1"/>
  <c r="BC23" i="1" s="1"/>
  <c r="BB27" i="1"/>
  <c r="BB33" i="1"/>
  <c r="F36" i="2"/>
  <c r="BC33" i="1" l="1"/>
  <c r="BD3" i="1"/>
  <c r="BD23" i="1" s="1"/>
  <c r="BC27" i="1"/>
  <c r="DW2" i="1"/>
  <c r="DV6" i="1"/>
  <c r="DV7" i="1"/>
  <c r="DV35" i="1"/>
  <c r="F37" i="2"/>
  <c r="DX2" i="1" l="1"/>
  <c r="DW7" i="1"/>
  <c r="DW6" i="1"/>
  <c r="DW35" i="1"/>
  <c r="BD27" i="1"/>
  <c r="BD33" i="1"/>
  <c r="BE3" i="1"/>
  <c r="BE23" i="1" s="1"/>
  <c r="F38" i="2"/>
  <c r="BE33" i="1" l="1"/>
  <c r="BF3" i="1"/>
  <c r="BF23" i="1" s="1"/>
  <c r="BE27" i="1"/>
  <c r="DY2" i="1"/>
  <c r="DX7" i="1"/>
  <c r="DX6" i="1"/>
  <c r="DX35" i="1"/>
  <c r="F39" i="2"/>
  <c r="DZ2" i="1" l="1"/>
  <c r="DY7" i="1"/>
  <c r="DY6" i="1"/>
  <c r="DY35" i="1"/>
  <c r="BG3" i="1"/>
  <c r="BG23" i="1" s="1"/>
  <c r="BF27" i="1"/>
  <c r="BF33" i="1"/>
  <c r="F40" i="2"/>
  <c r="BG27" i="1" l="1"/>
  <c r="BH3" i="1"/>
  <c r="BH23" i="1" s="1"/>
  <c r="BG33" i="1"/>
  <c r="EA2" i="1"/>
  <c r="DZ7" i="1"/>
  <c r="DZ6" i="1"/>
  <c r="DZ35" i="1"/>
  <c r="F41" i="2"/>
  <c r="EB2" i="1" l="1"/>
  <c r="EA7" i="1"/>
  <c r="EA6" i="1"/>
  <c r="EA35" i="1"/>
  <c r="BH27" i="1"/>
  <c r="BI3" i="1"/>
  <c r="BI23" i="1" s="1"/>
  <c r="BH33" i="1"/>
  <c r="F42" i="2"/>
  <c r="EC2" i="1" l="1"/>
  <c r="EB6" i="1"/>
  <c r="EB7" i="1"/>
  <c r="EB35" i="1"/>
  <c r="BI33" i="1"/>
  <c r="BI27" i="1"/>
  <c r="BJ3" i="1"/>
  <c r="BJ23" i="1" s="1"/>
  <c r="F43" i="2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ED2" i="1" l="1"/>
  <c r="EC6" i="1"/>
  <c r="EC7" i="1"/>
  <c r="EC35" i="1"/>
  <c r="BJ33" i="1"/>
  <c r="BK3" i="1"/>
  <c r="BK23" i="1" s="1"/>
  <c r="BJ27" i="1"/>
  <c r="EE2" i="1" l="1"/>
  <c r="ED6" i="1"/>
  <c r="ED7" i="1"/>
  <c r="ED35" i="1"/>
  <c r="BL3" i="1"/>
  <c r="BL23" i="1" s="1"/>
  <c r="BK27" i="1"/>
  <c r="BK33" i="1"/>
  <c r="BL27" i="1" l="1"/>
  <c r="BL33" i="1"/>
  <c r="BM3" i="1"/>
  <c r="BM23" i="1" s="1"/>
  <c r="EF2" i="1"/>
  <c r="EE6" i="1"/>
  <c r="EE7" i="1"/>
  <c r="EE35" i="1"/>
  <c r="EG2" i="1" l="1"/>
  <c r="EF6" i="1"/>
  <c r="EF7" i="1"/>
  <c r="EF35" i="1"/>
  <c r="BM27" i="1"/>
  <c r="BN3" i="1"/>
  <c r="BN23" i="1" s="1"/>
  <c r="BM33" i="1"/>
  <c r="BN27" i="1" l="1"/>
  <c r="BN33" i="1"/>
  <c r="BO3" i="1"/>
  <c r="BO23" i="1" s="1"/>
  <c r="EG7" i="1"/>
  <c r="EH2" i="1"/>
  <c r="EG6" i="1"/>
  <c r="EG35" i="1"/>
  <c r="EI2" i="1" l="1"/>
  <c r="EH7" i="1"/>
  <c r="EH6" i="1"/>
  <c r="EH35" i="1"/>
  <c r="BP3" i="1"/>
  <c r="BP23" i="1" s="1"/>
  <c r="BO33" i="1"/>
  <c r="BO27" i="1"/>
  <c r="BQ3" i="1" l="1"/>
  <c r="BQ23" i="1" s="1"/>
  <c r="BP27" i="1"/>
  <c r="BP33" i="1"/>
  <c r="EJ2" i="1"/>
  <c r="EI6" i="1"/>
  <c r="EI7" i="1"/>
  <c r="EI35" i="1"/>
  <c r="EK2" i="1" l="1"/>
  <c r="EJ6" i="1"/>
  <c r="EJ7" i="1"/>
  <c r="EJ35" i="1"/>
  <c r="BQ33" i="1"/>
  <c r="BQ27" i="1"/>
  <c r="BR3" i="1"/>
  <c r="BR23" i="1" s="1"/>
  <c r="BS3" i="1" l="1"/>
  <c r="BS23" i="1" s="1"/>
  <c r="BR33" i="1"/>
  <c r="BR27" i="1"/>
  <c r="EL2" i="1"/>
  <c r="EK7" i="1"/>
  <c r="EK6" i="1"/>
  <c r="EK35" i="1"/>
  <c r="EL6" i="1" l="1"/>
  <c r="EL7" i="1"/>
  <c r="EL35" i="1"/>
  <c r="BT3" i="1"/>
  <c r="BT23" i="1" s="1"/>
  <c r="BS33" i="1"/>
  <c r="BS27" i="1"/>
  <c r="BT33" i="1" l="1"/>
  <c r="BU3" i="1"/>
  <c r="BU23" i="1" s="1"/>
  <c r="BT27" i="1"/>
  <c r="BV3" i="1" l="1"/>
  <c r="BV23" i="1" s="1"/>
  <c r="BU33" i="1"/>
  <c r="BU27" i="1"/>
  <c r="BV33" i="1" l="1"/>
  <c r="BW3" i="1"/>
  <c r="BW23" i="1" s="1"/>
  <c r="BV27" i="1"/>
  <c r="BW27" i="1" l="1"/>
  <c r="BW33" i="1"/>
  <c r="BX3" i="1"/>
  <c r="BX23" i="1" s="1"/>
  <c r="BX27" i="1" l="1"/>
  <c r="BY3" i="1"/>
  <c r="BY23" i="1" s="1"/>
  <c r="BX33" i="1"/>
  <c r="BY27" i="1" l="1"/>
  <c r="BZ3" i="1"/>
  <c r="BZ23" i="1" s="1"/>
  <c r="BY33" i="1"/>
  <c r="BZ27" i="1" l="1"/>
  <c r="BZ33" i="1"/>
  <c r="CA3" i="1"/>
  <c r="CA23" i="1" s="1"/>
  <c r="CB3" i="1" l="1"/>
  <c r="CB23" i="1" s="1"/>
  <c r="CA27" i="1"/>
  <c r="CA33" i="1"/>
  <c r="CB33" i="1" l="1"/>
  <c r="CC3" i="1"/>
  <c r="CC23" i="1" s="1"/>
  <c r="CB27" i="1"/>
  <c r="CC27" i="1" l="1"/>
  <c r="CC33" i="1"/>
  <c r="CD3" i="1"/>
  <c r="CD23" i="1" s="1"/>
  <c r="CD27" i="1" l="1"/>
  <c r="CD33" i="1"/>
  <c r="CE3" i="1"/>
  <c r="CE23" i="1" s="1"/>
  <c r="CE33" i="1" l="1"/>
  <c r="CE27" i="1"/>
  <c r="CF3" i="1"/>
  <c r="CF23" i="1" s="1"/>
  <c r="CG3" i="1" l="1"/>
  <c r="CG23" i="1" s="1"/>
  <c r="CF33" i="1"/>
  <c r="CF27" i="1"/>
  <c r="CH3" i="1" l="1"/>
  <c r="CH23" i="1" s="1"/>
  <c r="CG27" i="1"/>
  <c r="CG33" i="1"/>
  <c r="CH33" i="1" l="1"/>
  <c r="CI3" i="1"/>
  <c r="CI23" i="1" s="1"/>
  <c r="CH27" i="1"/>
  <c r="CI33" i="1" l="1"/>
  <c r="CJ3" i="1"/>
  <c r="CJ23" i="1" s="1"/>
  <c r="CI27" i="1"/>
  <c r="CK3" i="1" l="1"/>
  <c r="CK23" i="1" s="1"/>
  <c r="CJ33" i="1"/>
  <c r="CJ27" i="1"/>
  <c r="CL3" i="1" l="1"/>
  <c r="CL23" i="1" s="1"/>
  <c r="CK27" i="1"/>
  <c r="CK33" i="1"/>
  <c r="CM3" i="1" l="1"/>
  <c r="CM23" i="1" s="1"/>
  <c r="CL33" i="1"/>
  <c r="CL27" i="1"/>
  <c r="CM33" i="1" l="1"/>
  <c r="CN3" i="1"/>
  <c r="CN23" i="1" s="1"/>
  <c r="CM27" i="1"/>
  <c r="CO3" i="1" l="1"/>
  <c r="CO23" i="1" s="1"/>
  <c r="CN27" i="1"/>
  <c r="CN33" i="1"/>
  <c r="CO33" i="1" l="1"/>
  <c r="CO27" i="1"/>
  <c r="CP3" i="1"/>
  <c r="CP23" i="1" s="1"/>
  <c r="CP27" i="1" l="1"/>
  <c r="CQ3" i="1"/>
  <c r="CQ23" i="1" s="1"/>
  <c r="CP33" i="1"/>
  <c r="CQ33" i="1" l="1"/>
  <c r="CQ27" i="1"/>
  <c r="CR3" i="1"/>
  <c r="CR23" i="1" s="1"/>
  <c r="CR27" i="1" l="1"/>
  <c r="CR33" i="1"/>
  <c r="CS3" i="1"/>
  <c r="CS23" i="1" s="1"/>
  <c r="CS27" i="1" l="1"/>
  <c r="CS33" i="1"/>
  <c r="CT3" i="1"/>
  <c r="CT23" i="1" s="1"/>
  <c r="CT27" i="1" l="1"/>
  <c r="CT33" i="1"/>
  <c r="CU3" i="1"/>
  <c r="CU23" i="1" s="1"/>
  <c r="CU33" i="1" l="1"/>
  <c r="CV3" i="1"/>
  <c r="CV23" i="1" s="1"/>
  <c r="CV24" i="1" s="1"/>
  <c r="CU27" i="1"/>
  <c r="CW3" i="1" l="1"/>
  <c r="CW23" i="1" s="1"/>
  <c r="CW24" i="1" s="1"/>
  <c r="CV33" i="1"/>
  <c r="CV27" i="1"/>
  <c r="CW33" i="1" l="1"/>
  <c r="CX3" i="1"/>
  <c r="CX23" i="1" s="1"/>
  <c r="CX24" i="1" s="1"/>
  <c r="CW27" i="1"/>
  <c r="CX33" i="1" l="1"/>
  <c r="CX27" i="1"/>
  <c r="CY3" i="1"/>
  <c r="CY23" i="1" s="1"/>
  <c r="CY24" i="1" s="1"/>
  <c r="CY27" i="1" l="1"/>
  <c r="CY33" i="1"/>
  <c r="CZ3" i="1"/>
  <c r="CZ23" i="1" s="1"/>
  <c r="CZ24" i="1" s="1"/>
  <c r="DA3" i="1" l="1"/>
  <c r="DA23" i="1" s="1"/>
  <c r="DA24" i="1" s="1"/>
  <c r="CZ27" i="1"/>
  <c r="CZ33" i="1"/>
  <c r="DB3" i="1" l="1"/>
  <c r="DB23" i="1" s="1"/>
  <c r="DB24" i="1" s="1"/>
  <c r="DA27" i="1"/>
  <c r="DA33" i="1"/>
  <c r="DB27" i="1" l="1"/>
  <c r="DB33" i="1"/>
  <c r="DC3" i="1"/>
  <c r="DC23" i="1" s="1"/>
  <c r="DC24" i="1" s="1"/>
  <c r="DD3" i="1" l="1"/>
  <c r="DD23" i="1" s="1"/>
  <c r="DD24" i="1" s="1"/>
  <c r="DC27" i="1"/>
  <c r="DC33" i="1"/>
  <c r="DE3" i="1" l="1"/>
  <c r="DE23" i="1" s="1"/>
  <c r="DE24" i="1" s="1"/>
  <c r="DD33" i="1"/>
  <c r="DD27" i="1"/>
  <c r="DF3" i="1" l="1"/>
  <c r="DF23" i="1" s="1"/>
  <c r="DF24" i="1" s="1"/>
  <c r="DE33" i="1"/>
  <c r="DE27" i="1"/>
  <c r="DF33" i="1" l="1"/>
  <c r="DG3" i="1"/>
  <c r="DG23" i="1" s="1"/>
  <c r="DG24" i="1" s="1"/>
  <c r="DF27" i="1"/>
  <c r="DG27" i="1" l="1"/>
  <c r="DG33" i="1"/>
  <c r="DH3" i="1"/>
  <c r="DH23" i="1" s="1"/>
  <c r="DH24" i="1" s="1"/>
  <c r="DI3" i="1" l="1"/>
  <c r="DI23" i="1" s="1"/>
  <c r="DI24" i="1" s="1"/>
  <c r="DH27" i="1"/>
  <c r="DH33" i="1"/>
  <c r="DI33" i="1" l="1"/>
  <c r="DI27" i="1"/>
  <c r="DJ3" i="1"/>
  <c r="DJ23" i="1" s="1"/>
  <c r="DJ24" i="1" s="1"/>
  <c r="DK3" i="1" l="1"/>
  <c r="DK23" i="1" s="1"/>
  <c r="DK24" i="1" s="1"/>
  <c r="DJ33" i="1"/>
  <c r="DJ27" i="1"/>
  <c r="DK27" i="1" l="1"/>
  <c r="DK33" i="1"/>
  <c r="DL3" i="1"/>
  <c r="DL23" i="1" s="1"/>
  <c r="DL24" i="1" s="1"/>
  <c r="DL33" i="1" l="1"/>
  <c r="DM3" i="1"/>
  <c r="DM23" i="1" s="1"/>
  <c r="DM24" i="1" s="1"/>
  <c r="DL27" i="1"/>
  <c r="DM33" i="1" l="1"/>
  <c r="DN3" i="1"/>
  <c r="DN23" i="1" s="1"/>
  <c r="DN24" i="1" s="1"/>
  <c r="DM27" i="1"/>
  <c r="DN33" i="1" l="1"/>
  <c r="DN27" i="1"/>
  <c r="DO3" i="1"/>
  <c r="DO23" i="1" s="1"/>
  <c r="DO24" i="1" s="1"/>
  <c r="DO33" i="1" l="1"/>
  <c r="DO27" i="1"/>
  <c r="DP3" i="1"/>
  <c r="DP23" i="1" s="1"/>
  <c r="DP24" i="1" s="1"/>
  <c r="DP33" i="1" l="1"/>
  <c r="DP27" i="1"/>
  <c r="DQ3" i="1"/>
  <c r="DQ23" i="1" s="1"/>
  <c r="DQ24" i="1" s="1"/>
  <c r="DQ27" i="1" l="1"/>
  <c r="DR3" i="1"/>
  <c r="DR23" i="1" s="1"/>
  <c r="DR24" i="1" s="1"/>
  <c r="DQ33" i="1"/>
  <c r="DR33" i="1" l="1"/>
  <c r="DR27" i="1"/>
  <c r="DS3" i="1"/>
  <c r="DS23" i="1" s="1"/>
  <c r="DS24" i="1" s="1"/>
  <c r="DS27" i="1" l="1"/>
  <c r="DT3" i="1"/>
  <c r="DT23" i="1" s="1"/>
  <c r="DT24" i="1" s="1"/>
  <c r="DS33" i="1"/>
  <c r="DT27" i="1" l="1"/>
  <c r="DU3" i="1"/>
  <c r="DU23" i="1" s="1"/>
  <c r="DU24" i="1" s="1"/>
  <c r="DT33" i="1"/>
  <c r="DU33" i="1" l="1"/>
  <c r="DU27" i="1"/>
  <c r="DV3" i="1"/>
  <c r="DV23" i="1" s="1"/>
  <c r="DV24" i="1" s="1"/>
  <c r="DV33" i="1" l="1"/>
  <c r="DV27" i="1"/>
  <c r="DW3" i="1"/>
  <c r="DW23" i="1" s="1"/>
  <c r="DW24" i="1" s="1"/>
  <c r="DW33" i="1" l="1"/>
  <c r="DW27" i="1"/>
  <c r="DX3" i="1"/>
  <c r="DX23" i="1" s="1"/>
  <c r="DX24" i="1" s="1"/>
  <c r="DX33" i="1" l="1"/>
  <c r="DY3" i="1"/>
  <c r="DY23" i="1" s="1"/>
  <c r="DY24" i="1" s="1"/>
  <c r="DX27" i="1"/>
  <c r="DY33" i="1" l="1"/>
  <c r="DY27" i="1"/>
  <c r="DZ3" i="1"/>
  <c r="DZ23" i="1" s="1"/>
  <c r="DZ24" i="1" s="1"/>
  <c r="DZ33" i="1" l="1"/>
  <c r="DZ27" i="1"/>
  <c r="EA3" i="1"/>
  <c r="EA23" i="1" s="1"/>
  <c r="EA24" i="1" s="1"/>
  <c r="EA33" i="1" l="1"/>
  <c r="EB3" i="1"/>
  <c r="EB23" i="1" s="1"/>
  <c r="EB24" i="1" s="1"/>
  <c r="EA27" i="1"/>
  <c r="EB33" i="1" l="1"/>
  <c r="EC3" i="1"/>
  <c r="EC23" i="1" s="1"/>
  <c r="EC24" i="1" s="1"/>
  <c r="EB27" i="1"/>
  <c r="EC33" i="1" l="1"/>
  <c r="ED3" i="1"/>
  <c r="ED23" i="1" s="1"/>
  <c r="ED24" i="1" s="1"/>
  <c r="EC27" i="1"/>
  <c r="ED33" i="1" l="1"/>
  <c r="ED27" i="1"/>
  <c r="EE3" i="1"/>
  <c r="EE23" i="1" s="1"/>
  <c r="EE24" i="1" s="1"/>
  <c r="EE33" i="1" l="1"/>
  <c r="EF3" i="1"/>
  <c r="EF23" i="1" s="1"/>
  <c r="EF24" i="1" s="1"/>
  <c r="EE27" i="1"/>
  <c r="EF33" i="1" l="1"/>
  <c r="EF27" i="1"/>
  <c r="EG3" i="1"/>
  <c r="EG23" i="1" s="1"/>
  <c r="EG24" i="1" s="1"/>
  <c r="EG33" i="1" l="1"/>
  <c r="EH3" i="1"/>
  <c r="EH23" i="1" s="1"/>
  <c r="EH24" i="1" s="1"/>
  <c r="EG27" i="1"/>
  <c r="EH33" i="1" l="1"/>
  <c r="EI3" i="1"/>
  <c r="EI23" i="1" s="1"/>
  <c r="EI24" i="1" s="1"/>
  <c r="EH27" i="1"/>
  <c r="EI33" i="1" l="1"/>
  <c r="EI27" i="1"/>
  <c r="EJ3" i="1"/>
  <c r="EJ23" i="1" s="1"/>
  <c r="EJ24" i="1" s="1"/>
  <c r="EJ33" i="1" l="1"/>
  <c r="EK3" i="1"/>
  <c r="EK23" i="1" s="1"/>
  <c r="EK24" i="1" s="1"/>
  <c r="EJ27" i="1"/>
  <c r="EK33" i="1" l="1"/>
  <c r="EK27" i="1"/>
  <c r="EL3" i="1"/>
  <c r="EL23" i="1" s="1"/>
  <c r="EL24" i="1" s="1"/>
  <c r="EL33" i="1" l="1"/>
  <c r="EL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1" authorId="0" shapeId="0" xr:uid="{00000000-0006-0000-0000-000001000000}">
      <text>
        <r>
          <rPr>
            <sz val="11"/>
            <color theme="1"/>
            <rFont val="Calibri"/>
            <scheme val="minor"/>
          </rPr>
          <t>Based on commission, bonuses, reimbursements already approved in Feb, to be paid 3/29
======</t>
        </r>
      </text>
    </comment>
    <comment ref="BX19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ID#AAABkwNGbR0
Vincent Planz    (2025-06-12 15:57:41)
AP Invoices, Office Move
------
ID#AAABkwNGbR4
Vincent Planz    (2025-06-12 17:49:45)
Intrinsic invoice removed</t>
        </r>
      </text>
    </comment>
    <comment ref="CE19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ID#AAABkfFr0D0
Vincent Planz    (2025-05-30 15:13:33)
Vincent Planz: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ID#AAABgrRNCDk
Vincent Planz    (2025-03-21 17:49:19)
The # of weeks we expect, on average, to collect an invoice after the due date. 
This # is added to the Invoice Due Week # Column to calculate the week # in which we expect to collect an invoice</t>
        </r>
      </text>
    </comment>
    <comment ref="G159" authorId="0" shapeId="0" xr:uid="{EF985088-1AD1-430D-9347-5AF2FFA5B66A}">
      <text>
        <r>
          <rPr>
            <sz val="10"/>
            <color rgb="FF000000"/>
            <rFont val="Calibri"/>
            <scheme val="minor"/>
          </rPr>
          <t>NOW DOING NORMAL T&amp;M BILLING BASED ON HOURS</t>
        </r>
      </text>
    </comment>
    <comment ref="G174" authorId="0" shapeId="0" xr:uid="{0142F0CC-14B4-46CA-A211-2170A340972E}">
      <text>
        <r>
          <rPr>
            <sz val="10"/>
            <color rgb="FF000000"/>
            <rFont val="Calibri"/>
            <scheme val="minor"/>
          </rPr>
          <t xml:space="preserve">2 different POs for the same order
</t>
        </r>
      </text>
    </comment>
    <comment ref="G178" authorId="0" shapeId="0" xr:uid="{26DD3BDE-BC45-448E-BE9A-FA80FE4530C7}">
      <text>
        <r>
          <rPr>
            <sz val="10"/>
            <color rgb="FF000000"/>
            <rFont val="Calibri"/>
            <scheme val="minor"/>
          </rPr>
          <t xml:space="preserve">All invoices now sent to accounting@thinkdynamic.com
</t>
        </r>
      </text>
    </comment>
    <comment ref="G179" authorId="0" shapeId="0" xr:uid="{B22022DD-4CA1-420E-8AAF-0B12C19D7498}">
      <text>
        <r>
          <rPr>
            <sz val="10"/>
            <color rgb="FF000000"/>
            <rFont val="Calibri"/>
            <scheme val="minor"/>
          </rPr>
          <t xml:space="preserve">Find Coupa PO link in inbox and submit through there
</t>
        </r>
      </text>
    </comment>
    <comment ref="G182" authorId="0" shapeId="0" xr:uid="{897C7A3B-5DCC-4CE6-A7C9-218231D943B7}">
      <text>
        <r>
          <rPr>
            <sz val="10"/>
            <color rgb="FF000000"/>
            <rFont val="Calibri"/>
            <scheme val="minor"/>
          </rPr>
          <t>Amount converted from GBP</t>
        </r>
      </text>
    </comment>
    <comment ref="G186" authorId="0" shapeId="0" xr:uid="{44052A98-110A-4B2C-AC4B-FCC8C8B8C651}">
      <text>
        <r>
          <rPr>
            <sz val="10"/>
            <color rgb="FF000000"/>
            <rFont val="Calibri"/>
            <scheme val="minor"/>
          </rPr>
          <t xml:space="preserve">Check with Scott Essler - they're still requesting additional work
</t>
        </r>
      </text>
    </comment>
    <comment ref="G193" authorId="0" shapeId="0" xr:uid="{97A3F221-767D-4DDC-B92E-7F38297515AC}">
      <text>
        <r>
          <rPr>
            <sz val="10"/>
            <color rgb="FF000000"/>
            <rFont val="Calibri"/>
            <scheme val="minor"/>
          </rPr>
          <t xml:space="preserve">Update invoice email to: payables@conehealth.com
questions to: APInquiries@conehealth.com
</t>
        </r>
      </text>
    </comment>
    <comment ref="G205" authorId="0" shapeId="0" xr:uid="{468028E7-27F8-44E7-935E-125CD25CEE22}">
      <text>
        <r>
          <rPr>
            <sz val="10"/>
            <color rgb="FF000000"/>
            <rFont val="Calibri"/>
            <scheme val="minor"/>
          </rPr>
          <t>Billed in 5 equal monthly invoices of 45,000 GBP each</t>
        </r>
      </text>
    </comment>
    <comment ref="G209" authorId="0" shapeId="0" xr:uid="{AD543F7C-0954-40F5-83D5-F39FAEA95C7B}">
      <text>
        <r>
          <rPr>
            <sz val="10"/>
            <color rgb="FF000000"/>
            <rFont val="Calibri"/>
            <scheme val="minor"/>
          </rPr>
          <t>Add Felix.Mendoza@sncorp.com &amp; ap@sncorp.com as an additional  contact to invoice.
Switch to N45</t>
        </r>
      </text>
    </comment>
    <comment ref="G211" authorId="0" shapeId="0" xr:uid="{EF020043-2168-4083-91A7-7F0BA6DB9B5C}">
      <text>
        <r>
          <rPr>
            <sz val="10"/>
            <color rgb="FF000000"/>
            <rFont val="Calibri"/>
            <scheme val="minor"/>
          </rPr>
          <t>Already made in quickbooks  - not sent
Send monthly on the 1st of every month</t>
        </r>
      </text>
    </comment>
    <comment ref="G212" authorId="0" shapeId="0" xr:uid="{C9109B1C-279F-4808-BB96-F49FCF318CB3}">
      <text>
        <r>
          <rPr>
            <sz val="10"/>
            <color rgb="FF000000"/>
            <rFont val="Calibri"/>
            <scheme val="minor"/>
          </rPr>
          <t xml:space="preserve">M2 &amp; M7
</t>
        </r>
      </text>
    </comment>
    <comment ref="G214" authorId="0" shapeId="0" xr:uid="{D8CD6C8B-125F-4900-A7BE-BB00C63E6870}">
      <text>
        <r>
          <rPr>
            <sz val="10"/>
            <color rgb="FF000000"/>
            <rFont val="Calibri"/>
            <scheme val="minor"/>
          </rPr>
          <t>Check with Lennar contact about portal setup</t>
        </r>
      </text>
    </comment>
    <comment ref="G220" authorId="0" shapeId="0" xr:uid="{713813AD-C493-4E20-8986-4B3C3EE65EC0}">
      <text>
        <r>
          <rPr>
            <sz val="10"/>
            <color rgb="FF000000"/>
            <rFont val="Calibri"/>
            <scheme val="minor"/>
          </rPr>
          <t>Bill against the latest Mars ARIBA PO: 4700380575
NOW DOING NORMAL T&amp;M BILLING BASED ON HOURS</t>
        </r>
      </text>
    </comment>
    <comment ref="G221" authorId="0" shapeId="0" xr:uid="{00B3F22C-C70F-4DD8-9D40-24153E7CBA2F}">
      <text>
        <r>
          <rPr>
            <sz val="10"/>
            <color rgb="FF000000"/>
            <rFont val="Calibri"/>
            <scheme val="minor"/>
          </rPr>
          <t>Converted from GBP using rate in SOW</t>
        </r>
      </text>
    </comment>
    <comment ref="G223" authorId="0" shapeId="0" xr:uid="{56803309-7F8D-43E2-8948-B45C401BA6E3}">
      <text>
        <r>
          <rPr>
            <sz val="10"/>
            <color rgb="FF000000"/>
            <rFont val="Calibri"/>
            <scheme val="minor"/>
          </rPr>
          <t xml:space="preserve">Coupa Link For Contract Execution PO: https://sonoco.coupahost.com/supplier_order_headers/1092955 
</t>
        </r>
      </text>
    </comment>
    <comment ref="G228" authorId="0" shapeId="0" xr:uid="{3F6AF85A-716C-4DDA-A561-6881C12328C4}">
      <text>
        <r>
          <rPr>
            <sz val="10"/>
            <color rgb="FF000000"/>
            <rFont val="Calibri"/>
            <scheme val="minor"/>
          </rPr>
          <t>NOW DOING NORMAL T&amp;M BILLING BASED ON HOURS</t>
        </r>
      </text>
    </comment>
    <comment ref="G243" authorId="0" shapeId="0" xr:uid="{D209B58B-414E-4A9F-8450-D93C3741B338}">
      <text>
        <r>
          <rPr>
            <sz val="10"/>
            <color rgb="FF000000"/>
            <rFont val="Calibri"/>
            <scheme val="minor"/>
          </rPr>
          <t xml:space="preserve">All invoices now sent to accounting@thinkdynamic.com
</t>
        </r>
      </text>
    </comment>
    <comment ref="G251" authorId="0" shapeId="0" xr:uid="{0C4843C2-EC17-419B-AA41-C699DA7241BB}">
      <text>
        <r>
          <rPr>
            <sz val="10"/>
            <color rgb="FF000000"/>
            <rFont val="Calibri"/>
            <scheme val="minor"/>
          </rPr>
          <t xml:space="preserve">Update invoice email to: payables@conehealth.com
questions to: APInquiries@conehealth.com
</t>
        </r>
      </text>
    </comment>
    <comment ref="G257" authorId="0" shapeId="0" xr:uid="{C8246D76-DB14-47A7-B8B7-1B9BDB6DA7AC}">
      <text>
        <r>
          <rPr>
            <sz val="10"/>
            <color rgb="FF000000"/>
            <rFont val="Calibri"/>
            <scheme val="minor"/>
          </rPr>
          <t>Billed in GBP. USD value found using the conversion rate provided in SOW</t>
        </r>
      </text>
    </comment>
    <comment ref="G265" authorId="0" shapeId="0" xr:uid="{C88A0F9F-7788-415E-B2CE-DAE617002DFC}">
      <text>
        <r>
          <rPr>
            <sz val="10"/>
            <color rgb="FF000000"/>
            <rFont val="Calibri"/>
            <scheme val="minor"/>
          </rPr>
          <t>Converted from GBP using the rate provided in the SOW
100% billed upon completion of M1</t>
        </r>
      </text>
    </comment>
    <comment ref="G266" authorId="0" shapeId="0" xr:uid="{AB4606FB-5BF2-4B59-BC9F-D789CDC9C773}">
      <text>
        <r>
          <rPr>
            <sz val="10"/>
            <color rgb="FF000000"/>
            <rFont val="Calibri"/>
            <scheme val="minor"/>
          </rPr>
          <t>Billed in 5 equal monthly invoices of 45,000 GBP each</t>
        </r>
      </text>
    </comment>
    <comment ref="G270" authorId="0" shapeId="0" xr:uid="{4D3DFA97-1030-4869-B374-35AE6962232B}">
      <text>
        <r>
          <rPr>
            <sz val="10"/>
            <color rgb="FF000000"/>
            <rFont val="Calibri"/>
            <scheme val="minor"/>
          </rPr>
          <t>Add Felix.Mendoza@sncorp.com &amp; ap@sncorp.com as an additional  contact to invoice.
Switch to N45</t>
        </r>
      </text>
    </comment>
    <comment ref="G273" authorId="0" shapeId="0" xr:uid="{8F36432F-6A3F-4196-90F8-221D488350E2}">
      <text>
        <r>
          <rPr>
            <sz val="10"/>
            <color rgb="FF000000"/>
            <rFont val="Calibri"/>
            <scheme val="minor"/>
          </rPr>
          <t xml:space="preserve">Send monthly on the 1st of every month
</t>
        </r>
      </text>
    </comment>
    <comment ref="G278" authorId="0" shapeId="0" xr:uid="{C054A4EB-641D-40F9-9171-DE17670BD09B}">
      <text>
        <r>
          <rPr>
            <sz val="10"/>
            <color rgb="FF000000"/>
            <rFont val="Calibri"/>
            <scheme val="minor"/>
          </rPr>
          <t xml:space="preserve">Send invoices to both ap@structured.com &amp; support@structured.com </t>
        </r>
      </text>
    </comment>
    <comment ref="G284" authorId="0" shapeId="0" xr:uid="{D528AB21-C2C1-4A4F-8420-2E20F8055FF0}">
      <text>
        <r>
          <rPr>
            <sz val="10"/>
            <color rgb="FF000000"/>
            <rFont val="Calibri"/>
            <scheme val="minor"/>
          </rPr>
          <t>Bill against the latest Mars ARIBA PO: 4700380575
NOW DOING NORMAL T&amp;M BILLING BASED ON HOURS</t>
        </r>
      </text>
    </comment>
    <comment ref="G286" authorId="0" shapeId="0" xr:uid="{60F04399-2EBD-4BDB-9D06-977A332BA3C1}">
      <text>
        <r>
          <rPr>
            <sz val="10"/>
            <color rgb="FF000000"/>
            <rFont val="Calibri"/>
            <scheme val="minor"/>
          </rPr>
          <t>Coupa Link For Milestones PO: 
https://sonoco.coupahost.com/supplier_order_headers/1092956</t>
        </r>
      </text>
    </comment>
    <comment ref="G288" authorId="0" shapeId="0" xr:uid="{3DF516C4-2C2D-4F83-B353-2A6AB9E86119}">
      <text>
        <r>
          <rPr>
            <sz val="10"/>
            <color rgb="FF000000"/>
            <rFont val="Calibri"/>
            <scheme val="minor"/>
          </rPr>
          <t xml:space="preserve">Add Felix.Mendoza@sncorp.com &amp; ap@sncorp.com as an additional  contact to invoice.
</t>
        </r>
      </text>
    </comment>
    <comment ref="G342" authorId="0" shapeId="0" xr:uid="{A746A4B3-0FE7-4B9E-95B4-131B25E75A35}">
      <text>
        <r>
          <rPr>
            <sz val="10"/>
            <color rgb="FF000000"/>
            <rFont val="Calibri"/>
            <scheme val="minor"/>
          </rPr>
          <t>Billed in GBP. USD value found using the conversion rate provided in SOW</t>
        </r>
      </text>
    </comment>
    <comment ref="G345" authorId="0" shapeId="0" xr:uid="{0EE71E22-1448-4FC2-A39D-C2AFEA028BE1}">
      <text>
        <r>
          <rPr>
            <sz val="10"/>
            <color rgb="FF000000"/>
            <rFont val="Calibri"/>
            <scheme val="minor"/>
          </rPr>
          <t>Billed in 5 equal monthly invoices of 45,000 GBP each</t>
        </r>
      </text>
    </comment>
    <comment ref="G349" authorId="0" shapeId="0" xr:uid="{AB92D2DC-9C27-491A-9732-63DA1CA84CAD}">
      <text>
        <r>
          <rPr>
            <sz val="10"/>
            <color rgb="FF000000"/>
            <rFont val="Calibri"/>
            <scheme val="minor"/>
          </rPr>
          <t>Add Felix.Mendoza@sncorp.com &amp; ap@sncorp.com as an additional  contact to invoice.
Switch to N45</t>
        </r>
      </text>
    </comment>
    <comment ref="G351" authorId="0" shapeId="0" xr:uid="{272E1187-AD68-49E6-83D2-ED18FDC5B2FA}">
      <text>
        <r>
          <rPr>
            <sz val="10"/>
            <color rgb="FF000000"/>
            <rFont val="Calibri"/>
            <scheme val="minor"/>
          </rPr>
          <t xml:space="preserve">Send monthly on the 1st of every month
</t>
        </r>
      </text>
    </comment>
    <comment ref="G352" authorId="0" shapeId="0" xr:uid="{B95AC393-7CD5-4901-91A2-DA8572C8FB92}">
      <text>
        <r>
          <rPr>
            <sz val="10"/>
            <color rgb="FF000000"/>
            <rFont val="Calibri"/>
            <scheme val="minor"/>
          </rPr>
          <t xml:space="preserve">M6 + M8
</t>
        </r>
      </text>
    </comment>
    <comment ref="G363" authorId="0" shapeId="0" xr:uid="{D5FF1C7F-4205-4BC1-97FE-66D51C904C62}">
      <text>
        <r>
          <rPr>
            <sz val="10"/>
            <color rgb="FF000000"/>
            <rFont val="Calibri"/>
            <scheme val="minor"/>
          </rPr>
          <t xml:space="preserve">Add Felix.Mendoza@sncorp.com &amp; ap@sncorp.com as an additional  contact to invoice.
</t>
        </r>
      </text>
    </comment>
  </commentList>
</comments>
</file>

<file path=xl/sharedStrings.xml><?xml version="1.0" encoding="utf-8"?>
<sst xmlns="http://schemas.openxmlformats.org/spreadsheetml/2006/main" count="1033" uniqueCount="485">
  <si>
    <t>Week Ending</t>
  </si>
  <si>
    <t>Beginning Cash</t>
  </si>
  <si>
    <t>Cash In</t>
  </si>
  <si>
    <t>From Signed Contracts</t>
  </si>
  <si>
    <t>From Bookings</t>
  </si>
  <si>
    <t>External Funding</t>
  </si>
  <si>
    <t>Cash Out</t>
  </si>
  <si>
    <t>Payroll</t>
  </si>
  <si>
    <t>Commission/Bonuses</t>
  </si>
  <si>
    <t>Health Insurance</t>
  </si>
  <si>
    <t>Other Benefits</t>
  </si>
  <si>
    <t>Credit Cards</t>
  </si>
  <si>
    <t>Office Rent</t>
  </si>
  <si>
    <t>International EE's</t>
  </si>
  <si>
    <t>Contractors</t>
  </si>
  <si>
    <t>Marketing Expenses</t>
  </si>
  <si>
    <t>Other Misc Expenses</t>
  </si>
  <si>
    <t>Draw</t>
  </si>
  <si>
    <t>Payments on Funding</t>
  </si>
  <si>
    <t>Ending Cash</t>
  </si>
  <si>
    <t>Change from last Fcst</t>
  </si>
  <si>
    <t>Ending Bank Bal</t>
  </si>
  <si>
    <t>BOA</t>
  </si>
  <si>
    <t>NB</t>
  </si>
  <si>
    <t>Total Bank Ending Bal</t>
  </si>
  <si>
    <t>Variance</t>
  </si>
  <si>
    <t>AR Balance (End Of Week)</t>
  </si>
  <si>
    <t>Operations</t>
  </si>
  <si>
    <t>Financing</t>
  </si>
  <si>
    <t>Total Cash Out</t>
  </si>
  <si>
    <t>Libertas Payments</t>
  </si>
  <si>
    <t xml:space="preserve">Cumulative </t>
  </si>
  <si>
    <t>Remaining</t>
  </si>
  <si>
    <t>Signed Contracts</t>
  </si>
  <si>
    <t>Bookings</t>
  </si>
  <si>
    <t>Total Cash In (Calendar-Aligned)</t>
  </si>
  <si>
    <t>Week End Date</t>
  </si>
  <si>
    <t>Year</t>
  </si>
  <si>
    <t>Week</t>
  </si>
  <si>
    <t>Inovice Sent</t>
  </si>
  <si>
    <t>AR Collected</t>
  </si>
  <si>
    <t>End Balance</t>
  </si>
  <si>
    <t>Check</t>
  </si>
  <si>
    <t>Receivables Summary</t>
  </si>
  <si>
    <t>Est Close Date</t>
  </si>
  <si>
    <t>Customer</t>
  </si>
  <si>
    <t>Deal Name</t>
  </si>
  <si>
    <t>Inv Amt</t>
  </si>
  <si>
    <t>Inv Date</t>
  </si>
  <si>
    <t>Payment Terms</t>
  </si>
  <si>
    <t>Due Date</t>
  </si>
  <si>
    <t>Due Week #</t>
  </si>
  <si>
    <t>Due Year</t>
  </si>
  <si>
    <t>Inv Year</t>
  </si>
  <si>
    <t>Inv Week</t>
  </si>
  <si>
    <t>Expected Pmt Wk #</t>
  </si>
  <si>
    <t>Expcted Pmt Year</t>
  </si>
  <si>
    <t>Bookings Month</t>
  </si>
  <si>
    <t>Bookings Year</t>
  </si>
  <si>
    <t>Wk #</t>
  </si>
  <si>
    <t>Wk Ending</t>
  </si>
  <si>
    <t>Est. Amt</t>
  </si>
  <si>
    <t>Adj</t>
  </si>
  <si>
    <t>Amt for Fcst</t>
  </si>
  <si>
    <t>Amount</t>
  </si>
  <si>
    <t>RapDev LLC</t>
  </si>
  <si>
    <t>A/R Aging Detail</t>
  </si>
  <si>
    <t># Weeks Past Due</t>
  </si>
  <si>
    <t>Date</t>
  </si>
  <si>
    <t>Transaction Type</t>
  </si>
  <si>
    <t>Num</t>
  </si>
  <si>
    <t>Open Balance</t>
  </si>
  <si>
    <t>Terms</t>
  </si>
  <si>
    <t>Inv Send Year #</t>
  </si>
  <si>
    <t>Inv Send Week #</t>
  </si>
  <si>
    <t>Inv Due Week #</t>
  </si>
  <si>
    <t>Payment Year</t>
  </si>
  <si>
    <t>Invoice</t>
  </si>
  <si>
    <t>03/01/2025</t>
  </si>
  <si>
    <t>Epidata Argentina:RDC0001917 - Epidata Argentina - DD - MP - Solaris Agent</t>
  </si>
  <si>
    <t>Vitality Global:RDC0001946 - Vitality Global - SN - DevOps</t>
  </si>
  <si>
    <t>Claro Pay:RDC0001994 - Claro Pay - DD - Modern Ops + MGD DD</t>
  </si>
  <si>
    <t>08/31/2025</t>
  </si>
  <si>
    <t>09/30/2025</t>
  </si>
  <si>
    <t>Nomura International PLC:RDC0002038 - Nomura - SN - DevOps Extension</t>
  </si>
  <si>
    <t>Coppel:RDC0002014 - Coppel Omnicanal - SVC - DD - T&amp;M Implementation Advisory</t>
  </si>
  <si>
    <t>Sierra Nevada Company, LLC:RDC0001948 -SNC ITOM &amp; ITAM Optimization Partner Drawdown Services</t>
  </si>
  <si>
    <t>OneMain Financial:RDC0001958 - OneMain Financial - SN - SAM Enterprise</t>
  </si>
  <si>
    <t>TTEC Government Solutions, LLC:RDC0001970 - TTEC - DD - Drawdown Renewal</t>
  </si>
  <si>
    <t>10/31/2025</t>
  </si>
  <si>
    <t>NBCUniversal:RDC0002045 - Sky - DD - FP SOW - Elastic Takeout</t>
  </si>
  <si>
    <t>11/28/2025</t>
  </si>
  <si>
    <t>Discovery Communications, LLC:RDC0001976 - Warner Bros. Discovery - SN - ITOM Health</t>
  </si>
  <si>
    <t>Q2 Bookings Plug ($15M) -$5M Apr, $5M May, $5M Jun</t>
  </si>
  <si>
    <t>11/30/2025</t>
  </si>
  <si>
    <t>Komatsu:RDC0002032 - Komatsu - ServiceNow Drawdown</t>
  </si>
  <si>
    <t>Constellation Energy Generation, LLC:RDC0002011 - Constellation Energy - SN - Foundational Data Cleanup (RFP)</t>
  </si>
  <si>
    <t>12/30/2025</t>
  </si>
  <si>
    <t>EnPro Industries, Inc.:RDC0002029 - ENPRO Industries - SN - CMDB</t>
  </si>
  <si>
    <t>Chipotle Mexican Grill:RDC0002360 - Chipotle Mexican Grill, Inc. - DD - Account Migration</t>
  </si>
  <si>
    <t>Nasdaq:RDC0002285 - Nasdaq - DD - SOW - Splunk security migration</t>
  </si>
  <si>
    <t>Discover Financial Services:RDC0002047 - DD - Datadog golden standards</t>
  </si>
  <si>
    <t>12/31/2025</t>
  </si>
  <si>
    <t>Canadian Imperial Bank of Commerce:RDC0002086 - CIBC - SN - ITAM Extension 5</t>
  </si>
  <si>
    <t>Reward Gateway:RDC0002094 - Reward Gateway - SoW - FP - New Relic Takeout</t>
  </si>
  <si>
    <t>Cone Health:RDC0002227 - Cone Health - SN - ITOM, ITAM, SecOps</t>
  </si>
  <si>
    <t>01/14/2026</t>
  </si>
  <si>
    <t>Blue Cross Blue Shield of Louisiana:RDC0002022 - Blue Cross and Blue Shield of Louisiana - SN - CO 003</t>
  </si>
  <si>
    <t>Grainger:RDC0001997 - Grainger - SN - Drawdown CMDB</t>
  </si>
  <si>
    <t>Grainger:RDC0002069 - Grainger - SN - ITOM Enhancements</t>
  </si>
  <si>
    <t>CIBC Caribbean Bank Limited:RDC0002380 - CIBC First Caribbean - SN - EOL Alerts CO</t>
  </si>
  <si>
    <t>12/23/2025</t>
  </si>
  <si>
    <t>01/27/2026</t>
  </si>
  <si>
    <t>12/16/2025</t>
  </si>
  <si>
    <t>01/30/2026</t>
  </si>
  <si>
    <t>Nasdaq:RDC0002458 - Nasdaq - DD - Verafin - Splunk Migration</t>
  </si>
  <si>
    <t>T-Mobile US Inc.:SVC0001876  - T-Mobile - SN - MSO Phase 1</t>
  </si>
  <si>
    <t>01/01/2026</t>
  </si>
  <si>
    <t>01/31/2026</t>
  </si>
  <si>
    <t>Coppel:RDC0002228 - Coppel - DD - SVC - FP - IT DBM &amp; Core Servers</t>
  </si>
  <si>
    <t>02/01/2026</t>
  </si>
  <si>
    <t>Brinks:RDC0002202 - Brinks - DD - SoW - Solar Winds &amp; Logic Monitor Migration</t>
  </si>
  <si>
    <t>London Stock Exchange Group:RDC0002477 - London Stock Exchange Group - DD - MP - Solaris - 2026</t>
  </si>
  <si>
    <t>PNC Bank NA:RDC0002019 - PNC - SN - HAM/SAM (SOW #3)</t>
  </si>
  <si>
    <t>Corewell Health:RDC0002439  - Corewell Health - SN - Tag Governance</t>
  </si>
  <si>
    <t>Abbvie, Inc.:RDC0002075 - AbbVie Inc. - DD - Manufacturing Workflows</t>
  </si>
  <si>
    <t>Sonoco Products Company:RDC0002096 - Sonoco Products Company - SN - SPM Enhancements</t>
  </si>
  <si>
    <t>03/01/2026</t>
  </si>
  <si>
    <t>03/16/2026</t>
  </si>
  <si>
    <t>03/30/2026</t>
  </si>
  <si>
    <t>03/31/2026</t>
  </si>
  <si>
    <t>Abbvie, Inc.:RDC0002412 - AbbVie Inc. - DD - APM Extension</t>
  </si>
  <si>
    <t>04/01/2026</t>
  </si>
  <si>
    <t xml:space="preserve"> </t>
  </si>
  <si>
    <t>Week Number</t>
  </si>
  <si>
    <t>Datadog</t>
  </si>
  <si>
    <t>02/26/2026</t>
  </si>
  <si>
    <t>02/27/2026</t>
  </si>
  <si>
    <t>Parexel International, LLC:RDC0002027 - Parexel - SN - ITSM Extension (Problem Mgmt)</t>
  </si>
  <si>
    <t>Rockwell Automation, Inc.:RDC0002422 - Rockwell - SN - Big Panda Knockout</t>
  </si>
  <si>
    <t>03/02/2026</t>
  </si>
  <si>
    <t>02/03/2026</t>
  </si>
  <si>
    <t>Berkley Technology Services:RDC0002215 - Wr Berkley - DD - SOW - Dynatrace to DDOG</t>
  </si>
  <si>
    <t>03/05/2026</t>
  </si>
  <si>
    <t>03/13/2026</t>
  </si>
  <si>
    <t>V2X:RDC0002057 - V2X - SN - CMDB + ITAM</t>
  </si>
  <si>
    <t>03/17/2026</t>
  </si>
  <si>
    <t>02/16/2026</t>
  </si>
  <si>
    <t>03/18/2026</t>
  </si>
  <si>
    <t>02/17/2026</t>
  </si>
  <si>
    <t>03/19/2026</t>
  </si>
  <si>
    <t>Ahold Delhaize:RDC0002037 - ADUSA - SN - Tufin Integration</t>
  </si>
  <si>
    <t>Aviva (GBP):RDC0002318 - Aviva - SN - Urgent Mapping &amp; Tagging Remediation</t>
  </si>
  <si>
    <t>02/19/2026</t>
  </si>
  <si>
    <t>Crowley Maritime Corporation:RDC0002079 - Crowley - DD - MSP Migration</t>
  </si>
  <si>
    <t>03/21/2026</t>
  </si>
  <si>
    <t>03/27/2026</t>
  </si>
  <si>
    <t>02/25/2026</t>
  </si>
  <si>
    <t>Rate:RDC0002012 - Rate - DD - SOW - Tool Consolidation</t>
  </si>
  <si>
    <t>03/28/2026</t>
  </si>
  <si>
    <t>03/29/2026</t>
  </si>
  <si>
    <t>Alliant Credit Union:RDC0002071 - Alliant Credit Union - SN - IRM</t>
  </si>
  <si>
    <t>Discover Financial Services:RDC0002493 - Discover - DD - Moogsoft replacement</t>
  </si>
  <si>
    <t>Rockwell Automation, Inc.:RDC0002455 - Rockwell - SN - SN Credit</t>
  </si>
  <si>
    <t>Blue Cross Blue Shield of Louisiana:RDC0002503 - Blue Cross and Blue Shield of Louisiana - SN - Drawdown</t>
  </si>
  <si>
    <t>04/02/2026</t>
  </si>
  <si>
    <t>04/03/2026</t>
  </si>
  <si>
    <t>Swan Bitcoin:RDC0002435 - Swan Bitcoin - DD - Managed SOC</t>
  </si>
  <si>
    <t>04/04/2026</t>
  </si>
  <si>
    <t>02/18/2026</t>
  </si>
  <si>
    <t>02/24/2026</t>
  </si>
  <si>
    <t>04/11/2026</t>
  </si>
  <si>
    <t>Optiv Security Inc.:RDC0002390 - Optiv - SN - Ongoing Support</t>
  </si>
  <si>
    <t>04/12/2026</t>
  </si>
  <si>
    <t>Insulet Corporation:RDC0002404 - Insulet - SN - R&amp;D Lab HAM</t>
  </si>
  <si>
    <t>Sierra Nevada Company, LLC:RDC0002520 - Sierra Nevada - ServiceNow - Business Apps</t>
  </si>
  <si>
    <t>04/13/2026</t>
  </si>
  <si>
    <t>04/14/2026</t>
  </si>
  <si>
    <t>PNC Bank NA:RDC0002488 - PNC - SN - CI Data Matching</t>
  </si>
  <si>
    <t>Marsh &amp; Mclennan Companies, Inc.:RDC0002583 - MMC - Solaris - 12 months Renewal #4</t>
  </si>
  <si>
    <t>04/15/2026</t>
  </si>
  <si>
    <t>04/17/2026</t>
  </si>
  <si>
    <t>01/23/2026</t>
  </si>
  <si>
    <t>04/23/2026</t>
  </si>
  <si>
    <t>04/28/2026</t>
  </si>
  <si>
    <t>04/30/2026</t>
  </si>
  <si>
    <t>HP Inc.:RDC0002287 - HP Inc. - SVC - DD - EIS Splunk Migration</t>
  </si>
  <si>
    <t>05/01/2026</t>
  </si>
  <si>
    <t>05/25/2026</t>
  </si>
  <si>
    <t>Epidata Argentina:RDC0002353 - Epidata Argentina - DD - MP - Solaris Agent- Renewal</t>
  </si>
  <si>
    <t>06/01/2026</t>
  </si>
  <si>
    <t>Qualcomm Incorporated:RDC0001903 - Qualcomm - Solaris (2025-2026) - Renewal</t>
  </si>
  <si>
    <t>Elevance Health - New Deal - DD - Broadcom Replacement</t>
  </si>
  <si>
    <t>Resilience - SN - CMDB, Discovery &amp; Service Mapping</t>
  </si>
  <si>
    <t>Global Holdings - DD - SOW - DD (ASM, Ci VIS, DBM) (2)</t>
  </si>
  <si>
    <t>Commonwealth Financial Network  - DD - SOW</t>
  </si>
  <si>
    <t>TTEC - DD - Drawdown Renewal</t>
  </si>
  <si>
    <t>Warner Bros. Discovery - SN - ITOM Health</t>
  </si>
  <si>
    <t>Mars - DD - Drawdown - E2E BI visibility(SoftwareOne POCs)</t>
  </si>
  <si>
    <t>Grainger - SN - Drawdown CMDB</t>
  </si>
  <si>
    <t>Claro Pay - DD - Modern Ops + MGD DD</t>
  </si>
  <si>
    <t>Vitality Global - SN - DevOps</t>
  </si>
  <si>
    <t>Navy Federal Credit Union - SN - DevOps + CSDM-as-Code</t>
  </si>
  <si>
    <t>Constellation Energy - SN - Foundational Data Cleanup (RFP)</t>
  </si>
  <si>
    <t>Alliant Credit Union - SN - ITAM Drawdown</t>
  </si>
  <si>
    <t>Constellation Energy - SN - CSDM &amp; Service Mapping RFP</t>
  </si>
  <si>
    <t>PNC - SN - HAM/SAM - SOW #3</t>
  </si>
  <si>
    <t>ADUSA - SN - Tufin Integration</t>
  </si>
  <si>
    <t>Nomura - SN - DevOps Extension</t>
  </si>
  <si>
    <t>Ahold Delhaize - SN - MS Teams + ChatBot integration</t>
  </si>
  <si>
    <t>PNC - SN - Cloud Accelerate</t>
  </si>
  <si>
    <t>ENPRO Industries - SN - CMDB</t>
  </si>
  <si>
    <t>Pearson PLC - SN - Change Management</t>
  </si>
  <si>
    <t>V2X - SN - CMDB + ITAM</t>
  </si>
  <si>
    <t>Grainger - SN - ITOM Enhancements</t>
  </si>
  <si>
    <t>Alliant Credit Union - SN - IRM</t>
  </si>
  <si>
    <t>Experian - SN - Event Management, Tag Generator</t>
  </si>
  <si>
    <t>Waters - SN - SAM</t>
  </si>
  <si>
    <t>Insulet - SN - AI Transformation: Now Assist, Virtual Agent and Agent Starter Pack</t>
  </si>
  <si>
    <t>Crowley - DD - MSP Migration</t>
  </si>
  <si>
    <t>Parexel - SN - ITAM</t>
  </si>
  <si>
    <t>Dynamic Lifecycle - SN - App Creation</t>
  </si>
  <si>
    <t>Sonoco Products Company - SN - SPM Enhancements</t>
  </si>
  <si>
    <t>Rockwell - SN - CSM</t>
  </si>
  <si>
    <t>Nasdaq - DD - SOW - Splunk security migration</t>
  </si>
  <si>
    <t>Aviva - SN - Urgent Mapping &amp; Tagging Remediation</t>
  </si>
  <si>
    <t>Commonwealth Financial - DD - drawdown extension</t>
  </si>
  <si>
    <t xml:space="preserve">Corewell Health - SN - Tag Governance </t>
  </si>
  <si>
    <t>Insulet - SN - OCM for AI Change Order</t>
  </si>
  <si>
    <t>Coppel Omnicanal - SVC - DD - T&amp;M Implementation Advisory</t>
  </si>
  <si>
    <t>United Therapeutics - SN - Integrated Identity &amp; Workflow Automation RFP (K25)</t>
  </si>
  <si>
    <t>Blue Cross and Blue Shield of Louisiana - SN - SAM Ent.</t>
  </si>
  <si>
    <t>Discover - DD - Datadog golden standards</t>
  </si>
  <si>
    <t>PNC - SN - Path to Production</t>
  </si>
  <si>
    <t>BH Specialty Insurance - DD - Platform Optimization</t>
  </si>
  <si>
    <t>Paypal - DD - Venmo's Datadog Realignment &amp; Optimization</t>
  </si>
  <si>
    <t>Reward Gateway - SoW - FP - New Relic Takeout</t>
  </si>
  <si>
    <t>Cone Health - SN - ITOM, ITAM, SecOps</t>
  </si>
  <si>
    <t>Crowley - DD - Adoption Support - Drawdown</t>
  </si>
  <si>
    <t>Brinks - DD - SoW - Solar Winds &amp; Logic Monitor Migration</t>
  </si>
  <si>
    <t>CareSource - SN - GenAI &amp; Performance Analytics</t>
  </si>
  <si>
    <t>Coppel - DD - SVC - FP - IT DBM &amp; Core Servers</t>
  </si>
  <si>
    <t>Rockwell - SN - SN Credit</t>
  </si>
  <si>
    <t>Nasdaq - DD - Verafin - Splunk Migration</t>
  </si>
  <si>
    <t>Centrica - SN - SAM</t>
  </si>
  <si>
    <t>Rockwell - SN - Big Panda Knockout</t>
  </si>
  <si>
    <t>CohnReznick - SN - Third-Party Risk Management</t>
  </si>
  <si>
    <t>Academy Sports - SN - Platform Modernization</t>
  </si>
  <si>
    <t>Beth Israel - SN - SPM</t>
  </si>
  <si>
    <t>PNC - SN - CI Data Matching</t>
  </si>
  <si>
    <t>Wr Berkley - DD - SOW - Dynatrace to DDOG</t>
  </si>
  <si>
    <t>Nationwide BS - SN - Foundations Assessment &amp; Fix DT SGC</t>
  </si>
  <si>
    <t>Sierra Nevada - ServiceNow - Business Apps</t>
  </si>
  <si>
    <t>Blue Cross and Blue Shield of Louisiana - SN - Drawdown</t>
  </si>
  <si>
    <t>Optiv - SN -Enhancements</t>
  </si>
  <si>
    <t>Sierra Nevada Corporation - ServiceNow - ITAM</t>
  </si>
  <si>
    <t>Lululemon - SN - DevOps CR#5</t>
  </si>
  <si>
    <t>Optiv - SN - Ongoing Support</t>
  </si>
  <si>
    <t>Lockheed Martin Corporation - SN - Now Assist</t>
  </si>
  <si>
    <t>Lumen - DD - AppD Migration</t>
  </si>
  <si>
    <t>HP Inc - DD - Splunk Migration</t>
  </si>
  <si>
    <t>Insulet - SN - CMDB, ITOM, CSDM as Code &amp; DevOps Change Velocity</t>
  </si>
  <si>
    <t>HP Inc. - SVC - DD - EIS Splunk Migration</t>
  </si>
  <si>
    <t>CIBC - SN - OOTB Prep</t>
  </si>
  <si>
    <t>Manchester Airport Group (MAG) - SN - SPM</t>
  </si>
  <si>
    <t>AECOM - SN SAMPro Phase 1 Enhancements and Phase 2</t>
  </si>
  <si>
    <t>Discover - DD - Moogsoft replacement</t>
  </si>
  <si>
    <t>Insulet - SN - R&amp;D Lab HAM</t>
  </si>
  <si>
    <t>Prior Fcst (20260127)</t>
  </si>
  <si>
    <t>3186</t>
  </si>
  <si>
    <t>3577</t>
  </si>
  <si>
    <t>3511</t>
  </si>
  <si>
    <t>3649</t>
  </si>
  <si>
    <t>3683</t>
  </si>
  <si>
    <t>3578</t>
  </si>
  <si>
    <t>3707</t>
  </si>
  <si>
    <t>3714</t>
  </si>
  <si>
    <t>3727</t>
  </si>
  <si>
    <t>3810</t>
  </si>
  <si>
    <t>3811</t>
  </si>
  <si>
    <t>3748</t>
  </si>
  <si>
    <t>3791</t>
  </si>
  <si>
    <t>02/06/2026</t>
  </si>
  <si>
    <t>3827</t>
  </si>
  <si>
    <t>02/13/2026</t>
  </si>
  <si>
    <t>3835</t>
  </si>
  <si>
    <t>3749</t>
  </si>
  <si>
    <t>3867</t>
  </si>
  <si>
    <t>3869</t>
  </si>
  <si>
    <t>3870</t>
  </si>
  <si>
    <t>3857</t>
  </si>
  <si>
    <t>Centrica PLC (GBP):RDC0002097 - Centrica - SN - SAM</t>
  </si>
  <si>
    <t>3848</t>
  </si>
  <si>
    <t>3774</t>
  </si>
  <si>
    <t>3873</t>
  </si>
  <si>
    <t>3887</t>
  </si>
  <si>
    <t>3897</t>
  </si>
  <si>
    <t>3898</t>
  </si>
  <si>
    <t>3907</t>
  </si>
  <si>
    <t>3918</t>
  </si>
  <si>
    <t>3920</t>
  </si>
  <si>
    <t>3856</t>
  </si>
  <si>
    <t>Manchester Airport Group (GBP):RDC0002396 - Manchester Airport Group (MAG) - SN - SPM</t>
  </si>
  <si>
    <t>3932</t>
  </si>
  <si>
    <t>3933</t>
  </si>
  <si>
    <t>3797</t>
  </si>
  <si>
    <t>3800</t>
  </si>
  <si>
    <t>3886</t>
  </si>
  <si>
    <t>3904</t>
  </si>
  <si>
    <t>3433</t>
  </si>
  <si>
    <t>3434</t>
  </si>
  <si>
    <t>3859</t>
  </si>
  <si>
    <t>3905</t>
  </si>
  <si>
    <t>03/12/2026</t>
  </si>
  <si>
    <t>3948</t>
  </si>
  <si>
    <t>3921</t>
  </si>
  <si>
    <t>3923</t>
  </si>
  <si>
    <t>3931</t>
  </si>
  <si>
    <t>3936</t>
  </si>
  <si>
    <t>3937</t>
  </si>
  <si>
    <t>3910</t>
  </si>
  <si>
    <t>3954</t>
  </si>
  <si>
    <t>3962</t>
  </si>
  <si>
    <t>Waters Corporation:RDC0002073 - Waters - SN - SAM</t>
  </si>
  <si>
    <t>03/06/2026</t>
  </si>
  <si>
    <t>3945</t>
  </si>
  <si>
    <t>Lennar:RDC0002432 - Lennar Corporation - SN - SAM</t>
  </si>
  <si>
    <t>04/20/2026</t>
  </si>
  <si>
    <t>3840</t>
  </si>
  <si>
    <t>03/10/2026</t>
  </si>
  <si>
    <t>3946</t>
  </si>
  <si>
    <t>Canadian Imperial Bank of Commerce:RDC0002362 - CIBC - SN - OOTB ITSM, Integrations, CSDM</t>
  </si>
  <si>
    <t>04/24/2026</t>
  </si>
  <si>
    <t>3938</t>
  </si>
  <si>
    <t>3854</t>
  </si>
  <si>
    <t>3877</t>
  </si>
  <si>
    <t>3958</t>
  </si>
  <si>
    <t>3960</t>
  </si>
  <si>
    <t>3919</t>
  </si>
  <si>
    <t>3952</t>
  </si>
  <si>
    <t>05/15/2026</t>
  </si>
  <si>
    <t>3959</t>
  </si>
  <si>
    <t>Elevance Health:RDC0001881 - Elevance Health - New Deal - DD - Broadcom Replacement</t>
  </si>
  <si>
    <t>3915</t>
  </si>
  <si>
    <t>05/19/2026</t>
  </si>
  <si>
    <t>3913</t>
  </si>
  <si>
    <t>3944</t>
  </si>
  <si>
    <t>05/28/2026</t>
  </si>
  <si>
    <t>3836</t>
  </si>
  <si>
    <t>3855</t>
  </si>
  <si>
    <t>3961</t>
  </si>
  <si>
    <t>06/15/2026</t>
  </si>
  <si>
    <t>Q3 Bookings Plug ($15M) - $5M July, $5M Aug, $5M Sep</t>
  </si>
  <si>
    <t>Coppel - DD - IT NDM</t>
  </si>
  <si>
    <t>CIBC - SN - OOTB ITSM, Integrations, CSDM</t>
  </si>
  <si>
    <t>Lennar Corporation - SN - SAM</t>
  </si>
  <si>
    <t>Cash Inflow/Outflow</t>
  </si>
  <si>
    <t>As of April 23, 2026</t>
  </si>
  <si>
    <t>03/23/2026</t>
  </si>
  <si>
    <t>3968</t>
  </si>
  <si>
    <t>04/22/2026</t>
  </si>
  <si>
    <t>Journal Entry</t>
  </si>
  <si>
    <t>Qualcomm PMT 202604</t>
  </si>
  <si>
    <t/>
  </si>
  <si>
    <t>03/26/2026</t>
  </si>
  <si>
    <t>3971</t>
  </si>
  <si>
    <t>04/25/2026</t>
  </si>
  <si>
    <t>3973</t>
  </si>
  <si>
    <t>3975</t>
  </si>
  <si>
    <t>3978</t>
  </si>
  <si>
    <t>Switch LTD:RDC0002527 - Switch - SN - Current Platform Assessment</t>
  </si>
  <si>
    <t>3985</t>
  </si>
  <si>
    <t>HarbourVest:RDC0002544 - HarbourVest - SN - ITSM, CMDB &amp; ITOM with OCM</t>
  </si>
  <si>
    <t>04/29/2026</t>
  </si>
  <si>
    <t>3966b</t>
  </si>
  <si>
    <t>3988</t>
  </si>
  <si>
    <t>3989</t>
  </si>
  <si>
    <t>3990</t>
  </si>
  <si>
    <t>3996</t>
  </si>
  <si>
    <t>Parexel International, LLC:RDC0002091 - Parexel - SN - ITAM</t>
  </si>
  <si>
    <t>3997</t>
  </si>
  <si>
    <t>3998</t>
  </si>
  <si>
    <t>GIC PTE Ltd:RDC0002212 - GIC - DD - SW - Solaris Integration- Renewal</t>
  </si>
  <si>
    <t>3999</t>
  </si>
  <si>
    <t>Rockwell Automation, Inc.:RDC0002013 - Rockwell - SN - CSM</t>
  </si>
  <si>
    <t>4000</t>
  </si>
  <si>
    <t>4001</t>
  </si>
  <si>
    <t>4002</t>
  </si>
  <si>
    <t>4003</t>
  </si>
  <si>
    <t>4004</t>
  </si>
  <si>
    <t>4007</t>
  </si>
  <si>
    <t>4010</t>
  </si>
  <si>
    <t>4012</t>
  </si>
  <si>
    <t>4013</t>
  </si>
  <si>
    <t>4016</t>
  </si>
  <si>
    <t>Sierra Nevada Company, LLC:RDC0002500 - Sierra Nevada Corporation - ServiceNow - ITAM</t>
  </si>
  <si>
    <t>3972</t>
  </si>
  <si>
    <t>05/10/2026</t>
  </si>
  <si>
    <t>3976</t>
  </si>
  <si>
    <t>3977</t>
  </si>
  <si>
    <t>3981</t>
  </si>
  <si>
    <t>05/11/2026</t>
  </si>
  <si>
    <t>3982</t>
  </si>
  <si>
    <t>Swire:RDC0002085 - Swire - SN - Phase 1 ITSM Install</t>
  </si>
  <si>
    <t>3983</t>
  </si>
  <si>
    <t>Subaru:RDC0002574 - Subaru of America, Inc - DD - Implementation</t>
  </si>
  <si>
    <t>05/14/2026</t>
  </si>
  <si>
    <t>3984</t>
  </si>
  <si>
    <t>Subaru:RDC0002584 - Subaru of America, Inc - DD - Managed Datadog</t>
  </si>
  <si>
    <t>3986</t>
  </si>
  <si>
    <t>HonorHealth:RDC0002265 - Honor Health - SN - ITOM</t>
  </si>
  <si>
    <t>3987</t>
  </si>
  <si>
    <t>HonorHealth:RDC0002498 - Honor Health - SN - VR</t>
  </si>
  <si>
    <t>4022</t>
  </si>
  <si>
    <t>3991</t>
  </si>
  <si>
    <t>Canadian Imperial Bank of Commerce:RDC0002028 - CIBC - SN - CSDM Extension</t>
  </si>
  <si>
    <t>3992</t>
  </si>
  <si>
    <t>Lockheed Martin:RDC0002440 - Lockheed Martin Corporation - SN - Now Assist</t>
  </si>
  <si>
    <t>4005</t>
  </si>
  <si>
    <t>4006</t>
  </si>
  <si>
    <t>4009</t>
  </si>
  <si>
    <t>4014</t>
  </si>
  <si>
    <t>4015</t>
  </si>
  <si>
    <t>4018</t>
  </si>
  <si>
    <t>4019</t>
  </si>
  <si>
    <t>4020</t>
  </si>
  <si>
    <t>Blue Cross Blue Shield of Louisiana:RDC0002098 - Blue Cross and Blue Shield of Louisiana - SN - Advisory CO 004</t>
  </si>
  <si>
    <t>4024</t>
  </si>
  <si>
    <t>4025</t>
  </si>
  <si>
    <t>4026</t>
  </si>
  <si>
    <t>4027</t>
  </si>
  <si>
    <t>4028</t>
  </si>
  <si>
    <t>4029</t>
  </si>
  <si>
    <t>4031</t>
  </si>
  <si>
    <t>4032</t>
  </si>
  <si>
    <t>Coppel:RDC0002256 - Coppel - DD - IT NDM</t>
  </si>
  <si>
    <t>4033</t>
  </si>
  <si>
    <t>4034</t>
  </si>
  <si>
    <t>4035</t>
  </si>
  <si>
    <t>05/16/2026</t>
  </si>
  <si>
    <t>3969</t>
  </si>
  <si>
    <t>Ciena Corporation:RDC0002637 - Ciena - DD - Managed Datadog - 1 Year</t>
  </si>
  <si>
    <t>03/20/2026</t>
  </si>
  <si>
    <t>3967</t>
  </si>
  <si>
    <t>Parexel International, LLC:RDC0002588 - Parexel - SN - SPM</t>
  </si>
  <si>
    <t>3979</t>
  </si>
  <si>
    <t>AECOM:RDC0002400 - AECOM - SN - SPM CO</t>
  </si>
  <si>
    <t>3980</t>
  </si>
  <si>
    <t>Parexel International, LLC:RDC0002632 - Parexel - SN - Now Assist for ITSM</t>
  </si>
  <si>
    <t>4017</t>
  </si>
  <si>
    <t>05/30/2026</t>
  </si>
  <si>
    <t>4030</t>
  </si>
  <si>
    <t>4023</t>
  </si>
  <si>
    <t>06/14/2026</t>
  </si>
  <si>
    <t>4021</t>
  </si>
  <si>
    <t>Sonoco Products Company:RDC0002603 - Sonoco Products Company - SN - SPM Phase 2</t>
  </si>
  <si>
    <t>06/22/2026</t>
  </si>
  <si>
    <t>3974</t>
  </si>
  <si>
    <t>Lumen Technologies Service Group:RDC0002506 - Lumen - DD - AppD Migration</t>
  </si>
  <si>
    <t>06/24/2026</t>
  </si>
  <si>
    <t>4011</t>
  </si>
  <si>
    <t>06/29/2026</t>
  </si>
  <si>
    <t>04/21/2026</t>
  </si>
  <si>
    <t>4036</t>
  </si>
  <si>
    <t>07/20/2026</t>
  </si>
  <si>
    <t>4037</t>
  </si>
  <si>
    <t>07/21/2026</t>
  </si>
  <si>
    <t>T-Mobile - SN - MSO Phase 1</t>
  </si>
  <si>
    <t>PNC - SN - Change Order #1</t>
  </si>
  <si>
    <t>Parexel - SN - SPM</t>
  </si>
  <si>
    <t>Swire - SN - Phase 1 ITSM Install</t>
  </si>
  <si>
    <t>FanDuel - DD - Consolidation</t>
  </si>
  <si>
    <t>HarbourVest - SN - ITSM, CMDB &amp; ITOM with OCM</t>
  </si>
  <si>
    <t>Mars - DD - Drawdown - E2E BI visibility, year 2</t>
  </si>
  <si>
    <t>Next plc - SN - Finance Integration for Supplier On-Boarding (ORACLE)</t>
  </si>
  <si>
    <t>CIBC Caribbean - SN - ITOM/ITAM/CMDB</t>
  </si>
  <si>
    <t>Sonoco Products Company - SN - SPM Phase 2</t>
  </si>
  <si>
    <t>United Therapeutics - SN - ServiceNow Support Drawdown + Upgrades</t>
  </si>
  <si>
    <t>Parexel - SN - Now Assist for ITSM</t>
  </si>
  <si>
    <t>Starbucks - DD - Splunk migration</t>
  </si>
  <si>
    <t>Subaru of America, Inc - DD - Implementation</t>
  </si>
  <si>
    <t>Honor Health - SN - ITOM</t>
  </si>
  <si>
    <t>Honor Health - SN - VR</t>
  </si>
  <si>
    <t>Sierra Nevada - SN - ITOM CR</t>
  </si>
  <si>
    <t>Switch - SN - ITSM with OCM, ITOM, ITAM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</si>
</sst>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m/d"/>
    <numFmt numFmtId="165" formatCode="_(* #,##0_);_(* \(#,##0\);_(* &quot;-&quot;??_);_(@_)"/>
    <numFmt numFmtId="166" formatCode="#,##0.0"/>
    <numFmt numFmtId="167" formatCode="_(* #,##0.0_);_(* \(#,##0.0\);_(* &quot;-&quot;?_);_(@_)"/>
    <numFmt numFmtId="168" formatCode="#,##0;\(#,##0\)"/>
    <numFmt numFmtId="169" formatCode="#,##0.00\ _€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Arial"/>
      <family val="2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color indexed="8"/>
      <name val="Arial"/>
      <family val="2"/>
    </font>
    <font>
      <sz val="10"/>
      <color theme="1"/>
      <name val="Calibri"/>
      <scheme val="minor"/>
    </font>
    <font>
      <sz val="10"/>
      <color rgb="FF00000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CC"/>
        <bgColor rgb="FFFFFFCC"/>
      </patternFill>
    </fill>
    <fill>
      <patternFill patternType="solid">
        <fgColor rgb="FFFEF2CB"/>
        <bgColor rgb="FFFEF2CB"/>
      </patternFill>
    </fill>
    <fill>
      <patternFill patternType="solid">
        <fgColor rgb="FFDADADA"/>
        <bgColor rgb="FFDADADA"/>
      </patternFill>
    </fill>
    <fill>
      <patternFill patternType="solid">
        <fgColor theme="0"/>
        <bgColor theme="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rgb="FFDADADA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FFFFCC"/>
      </patternFill>
    </fill>
    <fill>
      <patternFill patternType="solid">
        <fgColor theme="2" tint="-0.249977111117893"/>
        <bgColor rgb="FFD8D8D8"/>
      </patternFill>
    </fill>
    <fill>
      <patternFill patternType="solid">
        <fgColor rgb="FFFFFFFF"/>
        <bgColor rgb="FFFFFFFF"/>
      </patternFill>
    </fill>
  </fills>
  <borders count="2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166">
    <xf numFmtId="0" fontId="0" fillId="0" borderId="0" xfId="0"/>
    <xf numFmtId="14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0" borderId="2" xfId="0" applyFont="1" applyBorder="1"/>
    <xf numFmtId="3" fontId="3" fillId="0" borderId="3" xfId="0" applyNumberFormat="1" applyFont="1" applyBorder="1"/>
    <xf numFmtId="0" fontId="3" fillId="0" borderId="1" xfId="0" applyFont="1" applyBorder="1" applyAlignment="1">
      <alignment horizontal="left"/>
    </xf>
    <xf numFmtId="3" fontId="3" fillId="0" borderId="0" xfId="0" applyNumberFormat="1" applyFont="1"/>
    <xf numFmtId="3" fontId="3" fillId="0" borderId="1" xfId="0" applyNumberFormat="1" applyFont="1" applyBorder="1"/>
    <xf numFmtId="0" fontId="4" fillId="2" borderId="4" xfId="0" applyFont="1" applyFill="1" applyBorder="1" applyAlignment="1">
      <alignment horizontal="left"/>
    </xf>
    <xf numFmtId="3" fontId="3" fillId="2" borderId="5" xfId="0" applyNumberFormat="1" applyFont="1" applyFill="1" applyBorder="1"/>
    <xf numFmtId="3" fontId="3" fillId="2" borderId="4" xfId="0" applyNumberFormat="1" applyFont="1" applyFill="1" applyBorder="1"/>
    <xf numFmtId="3" fontId="3" fillId="3" borderId="5" xfId="0" applyNumberFormat="1" applyFont="1" applyFill="1" applyBorder="1"/>
    <xf numFmtId="165" fontId="3" fillId="3" borderId="5" xfId="0" applyNumberFormat="1" applyFont="1" applyFill="1" applyBorder="1"/>
    <xf numFmtId="165" fontId="3" fillId="3" borderId="4" xfId="0" applyNumberFormat="1" applyFont="1" applyFill="1" applyBorder="1"/>
    <xf numFmtId="3" fontId="3" fillId="3" borderId="4" xfId="0" applyNumberFormat="1" applyFont="1" applyFill="1" applyBorder="1"/>
    <xf numFmtId="43" fontId="3" fillId="3" borderId="5" xfId="0" applyNumberFormat="1" applyFont="1" applyFill="1" applyBorder="1"/>
    <xf numFmtId="0" fontId="3" fillId="4" borderId="4" xfId="0" applyFont="1" applyFill="1" applyBorder="1" applyAlignment="1">
      <alignment horizontal="left"/>
    </xf>
    <xf numFmtId="43" fontId="3" fillId="3" borderId="4" xfId="0" applyNumberFormat="1" applyFont="1" applyFill="1" applyBorder="1"/>
    <xf numFmtId="3" fontId="3" fillId="3" borderId="6" xfId="0" applyNumberFormat="1" applyFont="1" applyFill="1" applyBorder="1"/>
    <xf numFmtId="0" fontId="4" fillId="0" borderId="1" xfId="0" applyFont="1" applyBorder="1"/>
    <xf numFmtId="165" fontId="3" fillId="0" borderId="0" xfId="0" applyNumberFormat="1" applyFont="1"/>
    <xf numFmtId="0" fontId="3" fillId="0" borderId="3" xfId="0" applyFont="1" applyBorder="1"/>
    <xf numFmtId="165" fontId="3" fillId="0" borderId="7" xfId="0" applyNumberFormat="1" applyFont="1" applyBorder="1"/>
    <xf numFmtId="43" fontId="3" fillId="0" borderId="7" xfId="0" applyNumberFormat="1" applyFont="1" applyBorder="1"/>
    <xf numFmtId="43" fontId="3" fillId="0" borderId="0" xfId="0" applyNumberFormat="1" applyFont="1"/>
    <xf numFmtId="165" fontId="3" fillId="0" borderId="3" xfId="0" applyNumberFormat="1" applyFont="1" applyBorder="1"/>
    <xf numFmtId="43" fontId="3" fillId="0" borderId="3" xfId="0" applyNumberFormat="1" applyFont="1" applyBorder="1"/>
    <xf numFmtId="166" fontId="3" fillId="0" borderId="3" xfId="0" applyNumberFormat="1" applyFont="1" applyBorder="1"/>
    <xf numFmtId="4" fontId="3" fillId="0" borderId="3" xfId="0" applyNumberFormat="1" applyFont="1" applyBorder="1"/>
    <xf numFmtId="0" fontId="4" fillId="0" borderId="0" xfId="0" applyFont="1"/>
    <xf numFmtId="0" fontId="5" fillId="0" borderId="0" xfId="0" applyFont="1"/>
    <xf numFmtId="0" fontId="6" fillId="0" borderId="8" xfId="0" applyFont="1" applyBorder="1"/>
    <xf numFmtId="0" fontId="6" fillId="0" borderId="7" xfId="0" applyFont="1" applyBorder="1"/>
    <xf numFmtId="0" fontId="6" fillId="0" borderId="9" xfId="0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9" xfId="0" applyFont="1" applyBorder="1"/>
    <xf numFmtId="0" fontId="6" fillId="0" borderId="10" xfId="0" applyFont="1" applyBorder="1"/>
    <xf numFmtId="0" fontId="6" fillId="0" borderId="0" xfId="0" applyFont="1"/>
    <xf numFmtId="0" fontId="6" fillId="0" borderId="1" xfId="0" applyFont="1" applyBorder="1"/>
    <xf numFmtId="0" fontId="3" fillId="0" borderId="10" xfId="0" applyFont="1" applyBorder="1"/>
    <xf numFmtId="0" fontId="3" fillId="0" borderId="1" xfId="0" applyFont="1" applyBorder="1"/>
    <xf numFmtId="0" fontId="6" fillId="0" borderId="11" xfId="0" applyFont="1" applyBorder="1"/>
    <xf numFmtId="0" fontId="6" fillId="0" borderId="3" xfId="0" applyFont="1" applyBorder="1"/>
    <xf numFmtId="0" fontId="6" fillId="0" borderId="2" xfId="0" applyFont="1" applyBorder="1"/>
    <xf numFmtId="0" fontId="3" fillId="0" borderId="11" xfId="0" applyFont="1" applyBorder="1"/>
    <xf numFmtId="167" fontId="3" fillId="0" borderId="0" xfId="0" applyNumberFormat="1" applyFont="1"/>
    <xf numFmtId="167" fontId="3" fillId="0" borderId="3" xfId="0" applyNumberFormat="1" applyFont="1" applyBorder="1"/>
    <xf numFmtId="0" fontId="3" fillId="0" borderId="0" xfId="0" applyFont="1" applyAlignment="1">
      <alignment shrinkToFit="1"/>
    </xf>
    <xf numFmtId="0" fontId="4" fillId="0" borderId="0" xfId="0" applyFont="1" applyAlignment="1">
      <alignment horizontal="center" vertical="center"/>
    </xf>
    <xf numFmtId="4" fontId="3" fillId="0" borderId="0" xfId="0" applyNumberFormat="1" applyFont="1"/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3" fillId="0" borderId="0" xfId="0" applyNumberFormat="1" applyFont="1"/>
    <xf numFmtId="165" fontId="3" fillId="0" borderId="0" xfId="0" applyNumberFormat="1" applyFont="1" applyAlignment="1">
      <alignment horizontal="center" vertical="center"/>
    </xf>
    <xf numFmtId="165" fontId="2" fillId="0" borderId="0" xfId="0" applyNumberFormat="1" applyFont="1"/>
    <xf numFmtId="14" fontId="3" fillId="0" borderId="3" xfId="0" applyNumberFormat="1" applyFont="1" applyBorder="1"/>
    <xf numFmtId="0" fontId="2" fillId="0" borderId="3" xfId="0" applyFont="1" applyBorder="1"/>
    <xf numFmtId="0" fontId="2" fillId="3" borderId="12" xfId="0" applyFont="1" applyFill="1" applyBorder="1"/>
    <xf numFmtId="165" fontId="2" fillId="3" borderId="13" xfId="0" applyNumberFormat="1" applyFont="1" applyFill="1" applyBorder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2" fillId="6" borderId="5" xfId="0" applyNumberFormat="1" applyFont="1" applyFill="1" applyBorder="1" applyAlignment="1">
      <alignment horizontal="left"/>
    </xf>
    <xf numFmtId="14" fontId="3" fillId="0" borderId="0" xfId="0" applyNumberFormat="1" applyFont="1" applyAlignment="1">
      <alignment horizontal="left"/>
    </xf>
    <xf numFmtId="3" fontId="3" fillId="0" borderId="18" xfId="0" applyNumberFormat="1" applyFont="1" applyBorder="1"/>
    <xf numFmtId="3" fontId="3" fillId="2" borderId="18" xfId="0" applyNumberFormat="1" applyFont="1" applyFill="1" applyBorder="1"/>
    <xf numFmtId="3" fontId="3" fillId="3" borderId="18" xfId="0" applyNumberFormat="1" applyFont="1" applyFill="1" applyBorder="1"/>
    <xf numFmtId="0" fontId="0" fillId="0" borderId="18" xfId="0" applyBorder="1"/>
    <xf numFmtId="3" fontId="3" fillId="4" borderId="5" xfId="0" applyNumberFormat="1" applyFont="1" applyFill="1" applyBorder="1"/>
    <xf numFmtId="3" fontId="3" fillId="4" borderId="18" xfId="0" applyNumberFormat="1" applyFont="1" applyFill="1" applyBorder="1"/>
    <xf numFmtId="165" fontId="3" fillId="0" borderId="18" xfId="0" applyNumberFormat="1" applyFont="1" applyBorder="1"/>
    <xf numFmtId="0" fontId="3" fillId="0" borderId="16" xfId="0" applyFont="1" applyBorder="1"/>
    <xf numFmtId="3" fontId="3" fillId="0" borderId="5" xfId="0" applyNumberFormat="1" applyFont="1" applyBorder="1"/>
    <xf numFmtId="165" fontId="3" fillId="0" borderId="5" xfId="0" applyNumberFormat="1" applyFont="1" applyBorder="1"/>
    <xf numFmtId="0" fontId="3" fillId="0" borderId="18" xfId="0" applyFont="1" applyBorder="1"/>
    <xf numFmtId="0" fontId="3" fillId="0" borderId="20" xfId="0" applyFont="1" applyBorder="1"/>
    <xf numFmtId="3" fontId="3" fillId="0" borderId="21" xfId="0" applyNumberFormat="1" applyFont="1" applyBorder="1"/>
    <xf numFmtId="3" fontId="3" fillId="0" borderId="20" xfId="0" applyNumberFormat="1" applyFont="1" applyBorder="1"/>
    <xf numFmtId="3" fontId="3" fillId="0" borderId="19" xfId="0" applyNumberFormat="1" applyFont="1" applyBorder="1"/>
    <xf numFmtId="0" fontId="4" fillId="0" borderId="4" xfId="0" applyFont="1" applyBorder="1"/>
    <xf numFmtId="3" fontId="3" fillId="0" borderId="4" xfId="0" applyNumberFormat="1" applyFont="1" applyBorder="1"/>
    <xf numFmtId="165" fontId="3" fillId="0" borderId="4" xfId="0" applyNumberFormat="1" applyFont="1" applyBorder="1"/>
    <xf numFmtId="0" fontId="3" fillId="0" borderId="23" xfId="0" applyFont="1" applyBorder="1" applyAlignment="1">
      <alignment horizontal="left"/>
    </xf>
    <xf numFmtId="3" fontId="3" fillId="3" borderId="24" xfId="0" applyNumberFormat="1" applyFont="1" applyFill="1" applyBorder="1"/>
    <xf numFmtId="3" fontId="3" fillId="3" borderId="23" xfId="0" applyNumberFormat="1" applyFont="1" applyFill="1" applyBorder="1"/>
    <xf numFmtId="165" fontId="3" fillId="3" borderId="23" xfId="0" applyNumberFormat="1" applyFont="1" applyFill="1" applyBorder="1"/>
    <xf numFmtId="165" fontId="3" fillId="3" borderId="25" xfId="0" applyNumberFormat="1" applyFont="1" applyFill="1" applyBorder="1"/>
    <xf numFmtId="3" fontId="3" fillId="3" borderId="25" xfId="0" applyNumberFormat="1" applyFont="1" applyFill="1" applyBorder="1"/>
    <xf numFmtId="3" fontId="3" fillId="3" borderId="22" xfId="0" applyNumberFormat="1" applyFont="1" applyFill="1" applyBorder="1"/>
    <xf numFmtId="3" fontId="3" fillId="2" borderId="24" xfId="0" applyNumberFormat="1" applyFont="1" applyFill="1" applyBorder="1"/>
    <xf numFmtId="3" fontId="3" fillId="2" borderId="22" xfId="0" applyNumberFormat="1" applyFont="1" applyFill="1" applyBorder="1"/>
    <xf numFmtId="14" fontId="4" fillId="0" borderId="5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43" fontId="3" fillId="0" borderId="0" xfId="1" applyFont="1"/>
    <xf numFmtId="43" fontId="3" fillId="0" borderId="18" xfId="1" applyFont="1" applyBorder="1"/>
    <xf numFmtId="165" fontId="3" fillId="0" borderId="0" xfId="1" applyNumberFormat="1" applyFont="1"/>
    <xf numFmtId="165" fontId="3" fillId="0" borderId="18" xfId="1" applyNumberFormat="1" applyFont="1" applyBorder="1"/>
    <xf numFmtId="165" fontId="0" fillId="0" borderId="0" xfId="1" applyNumberFormat="1" applyFont="1"/>
    <xf numFmtId="165" fontId="0" fillId="0" borderId="18" xfId="1" applyNumberFormat="1" applyFont="1" applyBorder="1"/>
    <xf numFmtId="165" fontId="0" fillId="0" borderId="5" xfId="1" applyNumberFormat="1" applyFont="1" applyFill="1" applyBorder="1"/>
    <xf numFmtId="165" fontId="3" fillId="0" borderId="0" xfId="1" applyNumberFormat="1" applyFont="1" applyAlignment="1">
      <alignment horizontal="left"/>
    </xf>
    <xf numFmtId="165" fontId="3" fillId="0" borderId="17" xfId="1" applyNumberFormat="1" applyFont="1" applyBorder="1" applyAlignment="1">
      <alignment horizontal="left"/>
    </xf>
    <xf numFmtId="165" fontId="0" fillId="0" borderId="17" xfId="1" applyNumberFormat="1" applyFont="1" applyBorder="1" applyAlignment="1">
      <alignment horizontal="left"/>
    </xf>
    <xf numFmtId="165" fontId="3" fillId="0" borderId="3" xfId="1" applyNumberFormat="1" applyFont="1" applyBorder="1" applyAlignment="1">
      <alignment horizontal="left"/>
    </xf>
    <xf numFmtId="165" fontId="0" fillId="0" borderId="16" xfId="1" applyNumberFormat="1" applyFont="1" applyBorder="1" applyAlignment="1">
      <alignment horizontal="left"/>
    </xf>
    <xf numFmtId="0" fontId="3" fillId="0" borderId="26" xfId="0" applyFont="1" applyBorder="1"/>
    <xf numFmtId="165" fontId="3" fillId="0" borderId="28" xfId="0" applyNumberFormat="1" applyFont="1" applyBorder="1"/>
    <xf numFmtId="0" fontId="15" fillId="8" borderId="26" xfId="0" applyFont="1" applyFill="1" applyBorder="1"/>
    <xf numFmtId="0" fontId="15" fillId="8" borderId="27" xfId="0" applyFont="1" applyFill="1" applyBorder="1" applyAlignment="1">
      <alignment horizontal="right"/>
    </xf>
    <xf numFmtId="0" fontId="15" fillId="8" borderId="28" xfId="0" applyFont="1" applyFill="1" applyBorder="1"/>
    <xf numFmtId="14" fontId="3" fillId="0" borderId="16" xfId="0" applyNumberFormat="1" applyFont="1" applyBorder="1"/>
    <xf numFmtId="165" fontId="3" fillId="0" borderId="16" xfId="0" applyNumberFormat="1" applyFont="1" applyBorder="1"/>
    <xf numFmtId="0" fontId="2" fillId="0" borderId="16" xfId="0" applyFont="1" applyBorder="1"/>
    <xf numFmtId="0" fontId="16" fillId="0" borderId="0" xfId="0" applyFont="1" applyAlignment="1">
      <alignment horizontal="center" vertical="center" wrapText="1"/>
    </xf>
    <xf numFmtId="0" fontId="2" fillId="5" borderId="13" xfId="0" applyFont="1" applyFill="1" applyBorder="1"/>
    <xf numFmtId="0" fontId="11" fillId="0" borderId="3" xfId="0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left" vertical="center"/>
    </xf>
    <xf numFmtId="165" fontId="11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/>
    <xf numFmtId="4" fontId="12" fillId="0" borderId="0" xfId="0" applyNumberFormat="1" applyFont="1"/>
    <xf numFmtId="0" fontId="2" fillId="6" borderId="5" xfId="0" applyFont="1" applyFill="1" applyBorder="1"/>
    <xf numFmtId="0" fontId="13" fillId="0" borderId="0" xfId="0" applyFont="1"/>
    <xf numFmtId="43" fontId="2" fillId="6" borderId="5" xfId="0" applyNumberFormat="1" applyFont="1" applyFill="1" applyBorder="1"/>
    <xf numFmtId="168" fontId="13" fillId="0" borderId="0" xfId="0" applyNumberFormat="1" applyFont="1"/>
    <xf numFmtId="14" fontId="0" fillId="0" borderId="0" xfId="0" applyNumberFormat="1"/>
    <xf numFmtId="0" fontId="0" fillId="9" borderId="0" xfId="0" applyFill="1"/>
    <xf numFmtId="0" fontId="12" fillId="9" borderId="0" xfId="0" applyFont="1" applyFill="1"/>
    <xf numFmtId="4" fontId="12" fillId="9" borderId="0" xfId="0" applyNumberFormat="1" applyFont="1" applyFill="1"/>
    <xf numFmtId="0" fontId="2" fillId="10" borderId="5" xfId="0" applyFont="1" applyFill="1" applyBorder="1"/>
    <xf numFmtId="0" fontId="17" fillId="0" borderId="0" xfId="0" applyFont="1" applyAlignment="1">
      <alignment horizontal="left" wrapText="1"/>
    </xf>
    <xf numFmtId="169" fontId="17" fillId="0" borderId="0" xfId="0" applyNumberFormat="1" applyFont="1" applyAlignment="1">
      <alignment horizontal="right" wrapText="1"/>
    </xf>
    <xf numFmtId="14" fontId="17" fillId="0" borderId="0" xfId="0" applyNumberFormat="1" applyFont="1" applyAlignment="1">
      <alignment horizontal="left" wrapText="1"/>
    </xf>
    <xf numFmtId="0" fontId="17" fillId="0" borderId="0" xfId="0" applyFont="1" applyAlignment="1">
      <alignment horizontal="left"/>
    </xf>
    <xf numFmtId="43" fontId="3" fillId="0" borderId="5" xfId="1" applyFont="1" applyBorder="1"/>
    <xf numFmtId="43" fontId="3" fillId="11" borderId="18" xfId="1" applyFont="1" applyFill="1" applyBorder="1"/>
    <xf numFmtId="3" fontId="3" fillId="11" borderId="18" xfId="0" applyNumberFormat="1" applyFont="1" applyFill="1" applyBorder="1"/>
    <xf numFmtId="3" fontId="3" fillId="12" borderId="18" xfId="0" applyNumberFormat="1" applyFont="1" applyFill="1" applyBorder="1"/>
    <xf numFmtId="3" fontId="3" fillId="13" borderId="22" xfId="0" applyNumberFormat="1" applyFont="1" applyFill="1" applyBorder="1"/>
    <xf numFmtId="43" fontId="0" fillId="0" borderId="0" xfId="0" applyNumberFormat="1"/>
    <xf numFmtId="0" fontId="3" fillId="0" borderId="5" xfId="0" applyFont="1" applyBorder="1"/>
    <xf numFmtId="0" fontId="1" fillId="0" borderId="0" xfId="0" applyFont="1"/>
    <xf numFmtId="0" fontId="7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/>
    </xf>
    <xf numFmtId="0" fontId="7" fillId="5" borderId="14" xfId="0" applyFont="1" applyFill="1" applyBorder="1" applyAlignment="1">
      <alignment horizontal="right"/>
    </xf>
    <xf numFmtId="0" fontId="9" fillId="0" borderId="15" xfId="0" applyFont="1" applyBorder="1"/>
    <xf numFmtId="0" fontId="10" fillId="0" borderId="0" xfId="0" applyFont="1" applyAlignment="1">
      <alignment horizontal="center"/>
    </xf>
    <xf numFmtId="0" fontId="7" fillId="0" borderId="16" xfId="0" applyFont="1" applyBorder="1" applyAlignment="1">
      <alignment horizontal="center"/>
    </xf>
    <xf numFmtId="0" fontId="12" fillId="0" borderId="0" xfId="0" applyFont="1" applyAlignment="1">
      <alignment wrapText="1"/>
    </xf>
    <xf numFmtId="4" fontId="12" fillId="0" borderId="0" xfId="0" applyNumberFormat="1" applyFont="1" applyAlignment="1">
      <alignment wrapText="1"/>
    </xf>
    <xf numFmtId="0" fontId="18" fillId="0" borderId="0" xfId="0" applyFont="1"/>
    <xf numFmtId="0" fontId="0" fillId="7" borderId="0" xfId="0" applyFill="1"/>
    <xf numFmtId="3" fontId="18" fillId="0" borderId="0" xfId="0" applyNumberFormat="1" applyFont="1" applyAlignment="1">
      <alignment horizontal="left"/>
    </xf>
    <xf numFmtId="168" fontId="18" fillId="14" borderId="0" xfId="0" applyNumberFormat="1" applyFont="1" applyFill="1"/>
  </cellXfs>
  <cellStyles count="2">
    <cellStyle name="Comma" xfId="1" builtinId="3"/>
    <cellStyle name="Normal" xfId="0" builtinId="0"/>
  </cellStyles>
  <dxfs count="6">
    <dxf>
      <fill>
        <patternFill patternType="solid">
          <fgColor rgb="FFF7CAAC"/>
          <bgColor rgb="FFF7CAA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001"/>
  <sheetViews>
    <sheetView showGridLines="0" tabSelected="1" zoomScale="85" zoomScaleNormal="85" workbookViewId="0">
      <pane xSplit="2" ySplit="3" topLeftCell="DG4" activePane="bottomRight" state="frozen"/>
      <selection pane="topRight" activeCell="C1" sqref="C1"/>
      <selection pane="bottomLeft" activeCell="A4" sqref="A4"/>
      <selection pane="bottomRight" activeCell="DJ44" sqref="DJ44"/>
    </sheetView>
  </sheetViews>
  <sheetFormatPr defaultColWidth="14.453125" defaultRowHeight="15" customHeight="1" x14ac:dyDescent="0.35"/>
  <cols>
    <col min="1" max="1" width="2.81640625" customWidth="1"/>
    <col min="2" max="2" width="28.81640625" customWidth="1"/>
    <col min="3" max="10" width="11.26953125" hidden="1" customWidth="1"/>
    <col min="11" max="11" width="13.81640625" hidden="1" customWidth="1"/>
    <col min="12" max="21" width="11.26953125" hidden="1" customWidth="1"/>
    <col min="22" max="22" width="11.54296875" hidden="1" customWidth="1"/>
    <col min="23" max="24" width="11.26953125" hidden="1" customWidth="1"/>
    <col min="25" max="28" width="13" hidden="1" customWidth="1"/>
    <col min="29" max="34" width="11.26953125" hidden="1" customWidth="1"/>
    <col min="35" max="35" width="11.54296875" hidden="1" customWidth="1"/>
    <col min="36" max="37" width="11.26953125" hidden="1" customWidth="1"/>
    <col min="38" max="41" width="13" hidden="1" customWidth="1"/>
    <col min="42" max="46" width="11.26953125" hidden="1" customWidth="1"/>
    <col min="47" max="50" width="13" hidden="1" customWidth="1"/>
    <col min="51" max="54" width="11.26953125" hidden="1" customWidth="1"/>
    <col min="55" max="55" width="13.54296875" hidden="1" customWidth="1"/>
    <col min="56" max="56" width="7.453125" hidden="1" customWidth="1"/>
    <col min="57" max="58" width="13" hidden="1" customWidth="1"/>
    <col min="59" max="59" width="12.81640625" hidden="1" customWidth="1"/>
    <col min="60" max="98" width="13.81640625" hidden="1" customWidth="1"/>
    <col min="99" max="103" width="13.81640625" customWidth="1"/>
    <col min="127" max="127" width="14.453125" customWidth="1"/>
  </cols>
  <sheetData>
    <row r="1" spans="1:142" ht="15" customHeight="1" x14ac:dyDescent="0.35">
      <c r="A1" s="1"/>
      <c r="B1" s="103" t="s">
        <v>134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>
        <v>31</v>
      </c>
      <c r="AD1" s="3">
        <v>32</v>
      </c>
      <c r="AE1" s="3">
        <v>33</v>
      </c>
      <c r="AF1" s="3">
        <v>34</v>
      </c>
      <c r="AG1" s="3">
        <v>35</v>
      </c>
      <c r="AH1" s="3">
        <v>36</v>
      </c>
      <c r="AI1" s="3">
        <v>37</v>
      </c>
      <c r="AJ1" s="3">
        <v>38</v>
      </c>
      <c r="AK1" s="3">
        <v>39</v>
      </c>
      <c r="AL1" s="3">
        <v>40</v>
      </c>
      <c r="AM1" s="3">
        <v>41</v>
      </c>
      <c r="AN1" s="3">
        <v>42</v>
      </c>
      <c r="AO1" s="3">
        <v>43</v>
      </c>
      <c r="AP1" s="3">
        <v>44</v>
      </c>
      <c r="AQ1" s="3">
        <v>45</v>
      </c>
      <c r="AR1" s="3">
        <v>46</v>
      </c>
      <c r="AS1" s="3">
        <v>47</v>
      </c>
      <c r="AT1" s="3">
        <v>48</v>
      </c>
      <c r="AU1" s="3">
        <v>49</v>
      </c>
      <c r="AV1" s="3">
        <v>50</v>
      </c>
      <c r="AW1" s="3">
        <v>51</v>
      </c>
      <c r="AX1" s="3">
        <v>52</v>
      </c>
      <c r="AY1" s="3">
        <v>1</v>
      </c>
      <c r="AZ1" s="3">
        <v>2</v>
      </c>
      <c r="BA1" s="3">
        <v>3</v>
      </c>
      <c r="BB1" s="3">
        <v>4</v>
      </c>
      <c r="BC1" s="3">
        <v>5</v>
      </c>
      <c r="BD1" s="3">
        <v>6</v>
      </c>
      <c r="BE1" s="3">
        <v>7</v>
      </c>
      <c r="BF1" s="3">
        <v>8</v>
      </c>
      <c r="BG1" s="3">
        <v>9</v>
      </c>
      <c r="BH1" s="3">
        <v>10</v>
      </c>
      <c r="BI1" s="3">
        <v>11</v>
      </c>
      <c r="BJ1" s="3">
        <v>12</v>
      </c>
      <c r="BK1" s="3">
        <v>13</v>
      </c>
      <c r="BL1" s="3">
        <v>14</v>
      </c>
      <c r="BM1" s="3">
        <v>15</v>
      </c>
      <c r="BN1" s="3">
        <v>16</v>
      </c>
      <c r="BO1" s="3">
        <v>17</v>
      </c>
      <c r="BP1" s="3">
        <v>18</v>
      </c>
      <c r="BQ1" s="3">
        <v>19</v>
      </c>
      <c r="BR1" s="3">
        <v>20</v>
      </c>
      <c r="BS1" s="3">
        <v>21</v>
      </c>
      <c r="BT1" s="3">
        <v>22</v>
      </c>
      <c r="BU1" s="3">
        <v>23</v>
      </c>
      <c r="BV1" s="3">
        <v>24</v>
      </c>
      <c r="BW1" s="3">
        <v>25</v>
      </c>
      <c r="BX1" s="3">
        <v>26</v>
      </c>
      <c r="BY1" s="3">
        <v>27</v>
      </c>
      <c r="BZ1" s="3">
        <v>28</v>
      </c>
      <c r="CA1" s="3">
        <v>29</v>
      </c>
      <c r="CB1" s="3">
        <v>30</v>
      </c>
      <c r="CC1" s="3">
        <v>31</v>
      </c>
      <c r="CD1" s="3">
        <v>32</v>
      </c>
      <c r="CE1" s="3">
        <v>33</v>
      </c>
      <c r="CF1" s="3">
        <v>34</v>
      </c>
      <c r="CG1" s="3">
        <v>35</v>
      </c>
      <c r="CH1" s="3">
        <v>36</v>
      </c>
      <c r="CI1" s="3">
        <v>37</v>
      </c>
      <c r="CJ1" s="3">
        <v>38</v>
      </c>
      <c r="CK1" s="3">
        <v>39</v>
      </c>
      <c r="CL1" s="3">
        <v>40</v>
      </c>
      <c r="CM1" s="3">
        <v>41</v>
      </c>
      <c r="CN1" s="3">
        <v>42</v>
      </c>
      <c r="CO1" s="3">
        <v>43</v>
      </c>
      <c r="CP1" s="3">
        <v>44</v>
      </c>
      <c r="CQ1" s="3">
        <v>45</v>
      </c>
      <c r="CR1" s="3">
        <v>46</v>
      </c>
      <c r="CS1" s="3">
        <v>47</v>
      </c>
      <c r="CT1" s="81">
        <v>48</v>
      </c>
      <c r="CU1" s="3">
        <v>49</v>
      </c>
      <c r="CV1" s="3">
        <v>50</v>
      </c>
      <c r="CW1" s="3">
        <v>51</v>
      </c>
      <c r="CX1" s="3">
        <v>52</v>
      </c>
      <c r="CY1" s="3">
        <v>1</v>
      </c>
      <c r="CZ1" s="3">
        <v>2</v>
      </c>
      <c r="DA1" s="3">
        <v>3</v>
      </c>
      <c r="DB1" s="3">
        <v>4</v>
      </c>
      <c r="DC1" s="81">
        <v>5</v>
      </c>
      <c r="DD1" s="3">
        <v>6</v>
      </c>
      <c r="DE1" s="3">
        <v>7</v>
      </c>
      <c r="DF1" s="3">
        <v>8</v>
      </c>
      <c r="DG1" s="81">
        <v>9</v>
      </c>
      <c r="DH1" s="3">
        <v>10</v>
      </c>
      <c r="DI1" s="3">
        <v>11</v>
      </c>
      <c r="DJ1" s="3">
        <v>12</v>
      </c>
      <c r="DK1" s="81">
        <v>13</v>
      </c>
      <c r="DL1" s="3">
        <v>14</v>
      </c>
      <c r="DM1" s="3">
        <v>15</v>
      </c>
      <c r="DN1" s="3">
        <v>16</v>
      </c>
      <c r="DO1" s="81">
        <v>17</v>
      </c>
      <c r="DP1" s="3">
        <v>18</v>
      </c>
      <c r="DQ1" s="3">
        <v>19</v>
      </c>
      <c r="DR1" s="3">
        <v>20</v>
      </c>
      <c r="DS1" s="3">
        <v>21</v>
      </c>
      <c r="DT1" s="81">
        <v>22</v>
      </c>
      <c r="DU1" s="3">
        <v>23</v>
      </c>
      <c r="DV1" s="3">
        <v>24</v>
      </c>
      <c r="DW1" s="3">
        <v>25</v>
      </c>
      <c r="DX1" s="81">
        <v>26</v>
      </c>
      <c r="DY1" s="3">
        <v>27</v>
      </c>
      <c r="DZ1" s="3">
        <v>28</v>
      </c>
      <c r="EA1" s="3">
        <v>29</v>
      </c>
      <c r="EB1" s="3">
        <v>30</v>
      </c>
      <c r="EC1" s="81">
        <v>31</v>
      </c>
      <c r="ED1" s="3">
        <v>32</v>
      </c>
      <c r="EE1" s="3">
        <v>33</v>
      </c>
      <c r="EF1" s="3">
        <v>34</v>
      </c>
      <c r="EG1" s="81">
        <v>35</v>
      </c>
      <c r="EH1" s="3">
        <v>36</v>
      </c>
      <c r="EI1" s="3">
        <v>37</v>
      </c>
      <c r="EJ1" s="3">
        <v>38</v>
      </c>
      <c r="EK1" s="81">
        <v>39</v>
      </c>
      <c r="EL1" s="3">
        <v>40</v>
      </c>
    </row>
    <row r="2" spans="1:142" ht="14.5" x14ac:dyDescent="0.35">
      <c r="B2" s="4" t="s">
        <v>0</v>
      </c>
      <c r="C2" s="99">
        <v>45324</v>
      </c>
      <c r="D2" s="99">
        <f t="shared" ref="D2:AC2" si="0">C2+7</f>
        <v>45331</v>
      </c>
      <c r="E2" s="99">
        <f t="shared" si="0"/>
        <v>45338</v>
      </c>
      <c r="F2" s="100">
        <f t="shared" si="0"/>
        <v>45345</v>
      </c>
      <c r="G2" s="99">
        <f t="shared" si="0"/>
        <v>45352</v>
      </c>
      <c r="H2" s="99">
        <f t="shared" si="0"/>
        <v>45359</v>
      </c>
      <c r="I2" s="99">
        <f t="shared" si="0"/>
        <v>45366</v>
      </c>
      <c r="J2" s="99">
        <f t="shared" si="0"/>
        <v>45373</v>
      </c>
      <c r="K2" s="100">
        <f t="shared" si="0"/>
        <v>45380</v>
      </c>
      <c r="L2" s="99">
        <f t="shared" si="0"/>
        <v>45387</v>
      </c>
      <c r="M2" s="99">
        <f t="shared" si="0"/>
        <v>45394</v>
      </c>
      <c r="N2" s="99">
        <f t="shared" si="0"/>
        <v>45401</v>
      </c>
      <c r="O2" s="100">
        <f t="shared" si="0"/>
        <v>45408</v>
      </c>
      <c r="P2" s="99">
        <f t="shared" si="0"/>
        <v>45415</v>
      </c>
      <c r="Q2" s="99">
        <f t="shared" si="0"/>
        <v>45422</v>
      </c>
      <c r="R2" s="99">
        <f t="shared" si="0"/>
        <v>45429</v>
      </c>
      <c r="S2" s="99">
        <f t="shared" si="0"/>
        <v>45436</v>
      </c>
      <c r="T2" s="100">
        <f t="shared" si="0"/>
        <v>45443</v>
      </c>
      <c r="U2" s="99">
        <f t="shared" si="0"/>
        <v>45450</v>
      </c>
      <c r="V2" s="99">
        <f t="shared" si="0"/>
        <v>45457</v>
      </c>
      <c r="W2" s="99">
        <f t="shared" si="0"/>
        <v>45464</v>
      </c>
      <c r="X2" s="100">
        <f t="shared" si="0"/>
        <v>45471</v>
      </c>
      <c r="Y2" s="99">
        <f t="shared" si="0"/>
        <v>45478</v>
      </c>
      <c r="Z2" s="99">
        <f t="shared" si="0"/>
        <v>45485</v>
      </c>
      <c r="AA2" s="99">
        <f t="shared" si="0"/>
        <v>45492</v>
      </c>
      <c r="AB2" s="100">
        <f t="shared" si="0"/>
        <v>45499</v>
      </c>
      <c r="AC2" s="99">
        <f t="shared" si="0"/>
        <v>45506</v>
      </c>
      <c r="AD2" s="99">
        <v>45513</v>
      </c>
      <c r="AE2" s="99">
        <v>45520</v>
      </c>
      <c r="AF2" s="99">
        <v>45527</v>
      </c>
      <c r="AG2" s="100">
        <v>45534</v>
      </c>
      <c r="AH2" s="99">
        <v>45541</v>
      </c>
      <c r="AI2" s="99">
        <v>45548</v>
      </c>
      <c r="AJ2" s="99">
        <v>45555</v>
      </c>
      <c r="AK2" s="100">
        <v>45562</v>
      </c>
      <c r="AL2" s="99">
        <v>45569</v>
      </c>
      <c r="AM2" s="99">
        <v>45576</v>
      </c>
      <c r="AN2" s="99">
        <v>45583</v>
      </c>
      <c r="AO2" s="100">
        <v>45590</v>
      </c>
      <c r="AP2" s="99">
        <v>45597</v>
      </c>
      <c r="AQ2" s="99">
        <v>45604</v>
      </c>
      <c r="AR2" s="99">
        <v>45611</v>
      </c>
      <c r="AS2" s="99">
        <v>45618</v>
      </c>
      <c r="AT2" s="100">
        <v>45625</v>
      </c>
      <c r="AU2" s="99">
        <v>45632</v>
      </c>
      <c r="AV2" s="99">
        <v>45639</v>
      </c>
      <c r="AW2" s="99">
        <v>45646</v>
      </c>
      <c r="AX2" s="100">
        <v>45653</v>
      </c>
      <c r="AY2" s="99">
        <v>45660</v>
      </c>
      <c r="AZ2" s="99">
        <v>45667</v>
      </c>
      <c r="BA2" s="99">
        <v>45674</v>
      </c>
      <c r="BB2" s="99">
        <v>45681</v>
      </c>
      <c r="BC2" s="100">
        <v>45688</v>
      </c>
      <c r="BD2" s="99">
        <v>45695</v>
      </c>
      <c r="BE2" s="99">
        <v>45702</v>
      </c>
      <c r="BF2" s="99">
        <v>45709</v>
      </c>
      <c r="BG2" s="100">
        <v>45716</v>
      </c>
      <c r="BH2" s="99">
        <v>45723</v>
      </c>
      <c r="BI2" s="99">
        <v>45730</v>
      </c>
      <c r="BJ2" s="99">
        <v>45737</v>
      </c>
      <c r="BK2" s="100">
        <v>45744</v>
      </c>
      <c r="BL2" s="99">
        <v>45751</v>
      </c>
      <c r="BM2" s="99">
        <f t="shared" ref="BM2:CY2" si="1">BL2+7</f>
        <v>45758</v>
      </c>
      <c r="BN2" s="99">
        <f t="shared" si="1"/>
        <v>45765</v>
      </c>
      <c r="BO2" s="100">
        <f t="shared" si="1"/>
        <v>45772</v>
      </c>
      <c r="BP2" s="99">
        <f t="shared" si="1"/>
        <v>45779</v>
      </c>
      <c r="BQ2" s="99">
        <f t="shared" si="1"/>
        <v>45786</v>
      </c>
      <c r="BR2" s="99">
        <f t="shared" si="1"/>
        <v>45793</v>
      </c>
      <c r="BS2" s="99">
        <f t="shared" si="1"/>
        <v>45800</v>
      </c>
      <c r="BT2" s="100">
        <f t="shared" si="1"/>
        <v>45807</v>
      </c>
      <c r="BU2" s="99">
        <f t="shared" si="1"/>
        <v>45814</v>
      </c>
      <c r="BV2" s="99">
        <f t="shared" si="1"/>
        <v>45821</v>
      </c>
      <c r="BW2" s="99">
        <f t="shared" si="1"/>
        <v>45828</v>
      </c>
      <c r="BX2" s="100">
        <f t="shared" si="1"/>
        <v>45835</v>
      </c>
      <c r="BY2" s="99">
        <f t="shared" si="1"/>
        <v>45842</v>
      </c>
      <c r="BZ2" s="99">
        <f t="shared" si="1"/>
        <v>45849</v>
      </c>
      <c r="CA2" s="99">
        <f t="shared" si="1"/>
        <v>45856</v>
      </c>
      <c r="CB2" s="100">
        <f t="shared" si="1"/>
        <v>45863</v>
      </c>
      <c r="CC2" s="99">
        <f t="shared" si="1"/>
        <v>45870</v>
      </c>
      <c r="CD2" s="99">
        <f t="shared" si="1"/>
        <v>45877</v>
      </c>
      <c r="CE2" s="99">
        <f t="shared" si="1"/>
        <v>45884</v>
      </c>
      <c r="CF2" s="99">
        <f t="shared" si="1"/>
        <v>45891</v>
      </c>
      <c r="CG2" s="100">
        <f t="shared" si="1"/>
        <v>45898</v>
      </c>
      <c r="CH2" s="99">
        <f t="shared" si="1"/>
        <v>45905</v>
      </c>
      <c r="CI2" s="99">
        <f t="shared" si="1"/>
        <v>45912</v>
      </c>
      <c r="CJ2" s="99">
        <f t="shared" si="1"/>
        <v>45919</v>
      </c>
      <c r="CK2" s="100">
        <f t="shared" si="1"/>
        <v>45926</v>
      </c>
      <c r="CL2" s="99">
        <f t="shared" si="1"/>
        <v>45933</v>
      </c>
      <c r="CM2" s="99">
        <f t="shared" si="1"/>
        <v>45940</v>
      </c>
      <c r="CN2" s="99">
        <f t="shared" si="1"/>
        <v>45947</v>
      </c>
      <c r="CO2" s="99">
        <f t="shared" si="1"/>
        <v>45954</v>
      </c>
      <c r="CP2" s="101">
        <f t="shared" si="1"/>
        <v>45961</v>
      </c>
      <c r="CQ2" s="99">
        <f t="shared" si="1"/>
        <v>45968</v>
      </c>
      <c r="CR2" s="99">
        <f t="shared" si="1"/>
        <v>45975</v>
      </c>
      <c r="CS2" s="99">
        <f t="shared" si="1"/>
        <v>45982</v>
      </c>
      <c r="CT2" s="101">
        <f t="shared" si="1"/>
        <v>45989</v>
      </c>
      <c r="CU2" s="99">
        <f t="shared" si="1"/>
        <v>45996</v>
      </c>
      <c r="CV2" s="99">
        <f t="shared" si="1"/>
        <v>46003</v>
      </c>
      <c r="CW2" s="99">
        <f t="shared" si="1"/>
        <v>46010</v>
      </c>
      <c r="CX2" s="100">
        <f t="shared" si="1"/>
        <v>46017</v>
      </c>
      <c r="CY2" s="102">
        <f t="shared" si="1"/>
        <v>46024</v>
      </c>
      <c r="CZ2" s="98">
        <f t="shared" ref="CZ2:DY2" si="2">CY2+7</f>
        <v>46031</v>
      </c>
      <c r="DA2" s="98">
        <f t="shared" si="2"/>
        <v>46038</v>
      </c>
      <c r="DB2" s="98">
        <f t="shared" si="2"/>
        <v>46045</v>
      </c>
      <c r="DC2" s="101">
        <f t="shared" si="2"/>
        <v>46052</v>
      </c>
      <c r="DD2" s="98">
        <f t="shared" si="2"/>
        <v>46059</v>
      </c>
      <c r="DE2" s="98">
        <f t="shared" si="2"/>
        <v>46066</v>
      </c>
      <c r="DF2" s="98">
        <f t="shared" si="2"/>
        <v>46073</v>
      </c>
      <c r="DG2" s="101">
        <f t="shared" si="2"/>
        <v>46080</v>
      </c>
      <c r="DH2" s="98">
        <f t="shared" si="2"/>
        <v>46087</v>
      </c>
      <c r="DI2" s="98">
        <f t="shared" si="2"/>
        <v>46094</v>
      </c>
      <c r="DJ2" s="98">
        <f t="shared" si="2"/>
        <v>46101</v>
      </c>
      <c r="DK2" s="101">
        <f t="shared" si="2"/>
        <v>46108</v>
      </c>
      <c r="DL2" s="98">
        <f t="shared" si="2"/>
        <v>46115</v>
      </c>
      <c r="DM2" s="98">
        <f t="shared" si="2"/>
        <v>46122</v>
      </c>
      <c r="DN2" s="98">
        <f t="shared" si="2"/>
        <v>46129</v>
      </c>
      <c r="DO2" s="101">
        <f t="shared" si="2"/>
        <v>46136</v>
      </c>
      <c r="DP2" s="98">
        <f t="shared" si="2"/>
        <v>46143</v>
      </c>
      <c r="DQ2" s="98">
        <f t="shared" si="2"/>
        <v>46150</v>
      </c>
      <c r="DR2" s="98">
        <f t="shared" si="2"/>
        <v>46157</v>
      </c>
      <c r="DS2" s="98">
        <f t="shared" si="2"/>
        <v>46164</v>
      </c>
      <c r="DT2" s="101">
        <f t="shared" si="2"/>
        <v>46171</v>
      </c>
      <c r="DU2" s="98">
        <f t="shared" si="2"/>
        <v>46178</v>
      </c>
      <c r="DV2" s="98">
        <f t="shared" si="2"/>
        <v>46185</v>
      </c>
      <c r="DW2" s="98">
        <f t="shared" si="2"/>
        <v>46192</v>
      </c>
      <c r="DX2" s="101">
        <f t="shared" si="2"/>
        <v>46199</v>
      </c>
      <c r="DY2" s="98">
        <f t="shared" si="2"/>
        <v>46206</v>
      </c>
      <c r="DZ2" s="98">
        <f t="shared" ref="DZ2" si="3">DY2+7</f>
        <v>46213</v>
      </c>
      <c r="EA2" s="98">
        <f t="shared" ref="EA2" si="4">DZ2+7</f>
        <v>46220</v>
      </c>
      <c r="EB2" s="98">
        <f t="shared" ref="EB2" si="5">EA2+7</f>
        <v>46227</v>
      </c>
      <c r="EC2" s="101">
        <f t="shared" ref="EC2" si="6">EB2+7</f>
        <v>46234</v>
      </c>
      <c r="ED2" s="98">
        <f t="shared" ref="ED2" si="7">EC2+7</f>
        <v>46241</v>
      </c>
      <c r="EE2" s="98">
        <f t="shared" ref="EE2" si="8">ED2+7</f>
        <v>46248</v>
      </c>
      <c r="EF2" s="98">
        <f t="shared" ref="EF2" si="9">EE2+7</f>
        <v>46255</v>
      </c>
      <c r="EG2" s="101">
        <f t="shared" ref="EG2" si="10">EF2+7</f>
        <v>46262</v>
      </c>
      <c r="EH2" s="98">
        <f t="shared" ref="EH2" si="11">EG2+7</f>
        <v>46269</v>
      </c>
      <c r="EI2" s="98">
        <f t="shared" ref="EI2" si="12">EH2+7</f>
        <v>46276</v>
      </c>
      <c r="EJ2" s="98">
        <f t="shared" ref="EJ2" si="13">EI2+7</f>
        <v>46283</v>
      </c>
      <c r="EK2" s="101">
        <f t="shared" ref="EK2:EL2" si="14">EJ2+7</f>
        <v>46290</v>
      </c>
      <c r="EL2" s="98">
        <f t="shared" si="14"/>
        <v>46297</v>
      </c>
    </row>
    <row r="3" spans="1:142" thickBot="1" x14ac:dyDescent="0.4">
      <c r="B3" s="82" t="s">
        <v>1</v>
      </c>
      <c r="C3" s="83">
        <v>2862667.35</v>
      </c>
      <c r="D3" s="83">
        <f t="shared" ref="D3:CY3" si="15">C23</f>
        <v>2288807.5</v>
      </c>
      <c r="E3" s="83">
        <f t="shared" si="15"/>
        <v>2604552.4</v>
      </c>
      <c r="F3" s="84">
        <f t="shared" si="15"/>
        <v>1994376.4</v>
      </c>
      <c r="G3" s="83">
        <f t="shared" si="15"/>
        <v>2251105.19</v>
      </c>
      <c r="H3" s="83">
        <f t="shared" si="15"/>
        <v>1595981.2000000002</v>
      </c>
      <c r="I3" s="83">
        <f t="shared" si="15"/>
        <v>1633425.2700000003</v>
      </c>
      <c r="J3" s="83">
        <f t="shared" si="15"/>
        <v>1364115.8100000003</v>
      </c>
      <c r="K3" s="84">
        <f t="shared" si="15"/>
        <v>1102620.9400000002</v>
      </c>
      <c r="L3" s="83">
        <f t="shared" si="15"/>
        <v>608900.42000000016</v>
      </c>
      <c r="M3" s="83">
        <f t="shared" si="15"/>
        <v>866741.42000000016</v>
      </c>
      <c r="N3" s="83">
        <f t="shared" si="15"/>
        <v>1185798.9700000002</v>
      </c>
      <c r="O3" s="84">
        <f t="shared" si="15"/>
        <v>2925048.99</v>
      </c>
      <c r="P3" s="83">
        <f t="shared" si="15"/>
        <v>3191396.58</v>
      </c>
      <c r="Q3" s="83">
        <f t="shared" si="15"/>
        <v>2840095.58</v>
      </c>
      <c r="R3" s="83">
        <f t="shared" si="15"/>
        <v>2243873.58</v>
      </c>
      <c r="S3" s="83">
        <f t="shared" si="15"/>
        <v>1911651.58</v>
      </c>
      <c r="T3" s="84">
        <f t="shared" si="15"/>
        <v>1028903.5800000001</v>
      </c>
      <c r="U3" s="83">
        <f t="shared" si="15"/>
        <v>2348705.5100000002</v>
      </c>
      <c r="V3" s="83">
        <f t="shared" si="15"/>
        <v>1815788.5200000003</v>
      </c>
      <c r="W3" s="83">
        <f t="shared" si="15"/>
        <v>1820307.6400000001</v>
      </c>
      <c r="X3" s="84">
        <f t="shared" si="15"/>
        <v>1224444.4100000001</v>
      </c>
      <c r="Y3" s="83">
        <f t="shared" si="15"/>
        <v>1078140.3000000003</v>
      </c>
      <c r="Z3" s="83">
        <f t="shared" si="15"/>
        <v>1898512.8500000003</v>
      </c>
      <c r="AA3" s="83">
        <f t="shared" si="15"/>
        <v>2750442.8500000006</v>
      </c>
      <c r="AB3" s="84">
        <f t="shared" si="15"/>
        <v>2181672.8700000006</v>
      </c>
      <c r="AC3" s="83">
        <f t="shared" si="15"/>
        <v>2177832.8700000006</v>
      </c>
      <c r="AD3" s="83">
        <f t="shared" si="15"/>
        <v>1672461.6700000004</v>
      </c>
      <c r="AE3" s="83">
        <f t="shared" si="15"/>
        <v>1658397.8700000003</v>
      </c>
      <c r="AF3" s="83">
        <f t="shared" si="15"/>
        <v>1014567.9300000003</v>
      </c>
      <c r="AG3" s="84">
        <f t="shared" si="15"/>
        <v>1170582.4100000001</v>
      </c>
      <c r="AH3" s="83">
        <f t="shared" si="15"/>
        <v>1359914.06</v>
      </c>
      <c r="AI3" s="83">
        <f t="shared" si="15"/>
        <v>1231202.0900000001</v>
      </c>
      <c r="AJ3" s="83">
        <f t="shared" si="15"/>
        <v>887594.36000000034</v>
      </c>
      <c r="AK3" s="84">
        <f t="shared" si="15"/>
        <v>874146.77000000025</v>
      </c>
      <c r="AL3" s="83">
        <f t="shared" si="15"/>
        <v>1652259.5000000002</v>
      </c>
      <c r="AM3" s="83">
        <f t="shared" si="15"/>
        <v>1959378.07</v>
      </c>
      <c r="AN3" s="83">
        <f t="shared" si="15"/>
        <v>1632131.85</v>
      </c>
      <c r="AO3" s="84">
        <f t="shared" si="15"/>
        <v>1786503.6800000002</v>
      </c>
      <c r="AP3" s="83">
        <f t="shared" si="15"/>
        <v>1025395.8300000005</v>
      </c>
      <c r="AQ3" s="83">
        <f t="shared" si="15"/>
        <v>1062630.8100000008</v>
      </c>
      <c r="AR3" s="83">
        <f t="shared" si="15"/>
        <v>665032.98000000068</v>
      </c>
      <c r="AS3" s="83">
        <f t="shared" si="15"/>
        <v>1000740.3500000007</v>
      </c>
      <c r="AT3" s="84">
        <f t="shared" si="15"/>
        <v>941863.10000000091</v>
      </c>
      <c r="AU3" s="83">
        <f t="shared" si="15"/>
        <v>678985.76000000094</v>
      </c>
      <c r="AV3" s="83">
        <f t="shared" si="15"/>
        <v>396051.890000001</v>
      </c>
      <c r="AW3" s="83">
        <f t="shared" si="15"/>
        <v>1426261.4100000013</v>
      </c>
      <c r="AX3" s="84">
        <f t="shared" si="15"/>
        <v>720910.21000000113</v>
      </c>
      <c r="AY3" s="83">
        <f t="shared" si="15"/>
        <v>1337503.2600000009</v>
      </c>
      <c r="AZ3" s="83">
        <f t="shared" si="15"/>
        <v>1308888.7400000012</v>
      </c>
      <c r="BA3" s="83">
        <f t="shared" si="15"/>
        <v>1556026.610000001</v>
      </c>
      <c r="BB3" s="83">
        <f t="shared" si="15"/>
        <v>1606423.4500000014</v>
      </c>
      <c r="BC3" s="84">
        <f t="shared" si="15"/>
        <v>2252298.600000001</v>
      </c>
      <c r="BD3" s="83">
        <f t="shared" si="15"/>
        <v>1433331.7000000007</v>
      </c>
      <c r="BE3" s="83">
        <f t="shared" si="15"/>
        <v>1529013.8700000003</v>
      </c>
      <c r="BF3" s="83">
        <f t="shared" si="15"/>
        <v>905031.57000000018</v>
      </c>
      <c r="BG3" s="84">
        <f t="shared" si="15"/>
        <v>1496366.36</v>
      </c>
      <c r="BH3" s="83">
        <f t="shared" si="15"/>
        <v>539811.14999999991</v>
      </c>
      <c r="BI3" s="83">
        <f t="shared" si="15"/>
        <v>464610.67999999993</v>
      </c>
      <c r="BJ3" s="83">
        <f t="shared" si="15"/>
        <v>318948.24999999988</v>
      </c>
      <c r="BK3" s="84">
        <f t="shared" si="15"/>
        <v>916028.34999999974</v>
      </c>
      <c r="BL3" s="83">
        <f t="shared" si="15"/>
        <v>603965.66999999958</v>
      </c>
      <c r="BM3" s="83">
        <f t="shared" si="15"/>
        <v>1008974.7599999992</v>
      </c>
      <c r="BN3" s="83">
        <f t="shared" si="15"/>
        <v>952125.31999999925</v>
      </c>
      <c r="BO3" s="84">
        <f t="shared" si="15"/>
        <v>986584.05999999936</v>
      </c>
      <c r="BP3" s="83">
        <f t="shared" si="15"/>
        <v>1264430.1599999995</v>
      </c>
      <c r="BQ3" s="83">
        <f t="shared" si="15"/>
        <v>1545190.99</v>
      </c>
      <c r="BR3" s="83">
        <f t="shared" si="15"/>
        <v>1556009.2699999998</v>
      </c>
      <c r="BS3" s="83">
        <f t="shared" si="15"/>
        <v>2098433.2999999998</v>
      </c>
      <c r="BT3" s="84">
        <f t="shared" si="15"/>
        <v>1355761.1299999997</v>
      </c>
      <c r="BU3" s="83">
        <f t="shared" si="15"/>
        <v>617642.46999999962</v>
      </c>
      <c r="BV3" s="83">
        <f t="shared" si="15"/>
        <v>974223.78</v>
      </c>
      <c r="BW3" s="83">
        <f t="shared" si="15"/>
        <v>964817.59000000008</v>
      </c>
      <c r="BX3" s="84">
        <f t="shared" si="15"/>
        <v>641928.55999999982</v>
      </c>
      <c r="BY3" s="83">
        <f t="shared" si="15"/>
        <v>1076488.01</v>
      </c>
      <c r="BZ3" s="83">
        <f t="shared" si="15"/>
        <v>435863.18000000017</v>
      </c>
      <c r="CA3" s="83">
        <f t="shared" si="15"/>
        <v>582595.49000000022</v>
      </c>
      <c r="CB3" s="84">
        <f t="shared" si="15"/>
        <v>710229.9600000002</v>
      </c>
      <c r="CC3" s="83">
        <f t="shared" si="15"/>
        <v>1017418.9100000001</v>
      </c>
      <c r="CD3" s="83">
        <f t="shared" si="15"/>
        <v>563041.91</v>
      </c>
      <c r="CE3" s="83">
        <f t="shared" si="15"/>
        <v>728947.94</v>
      </c>
      <c r="CF3" s="83">
        <f t="shared" si="15"/>
        <v>18602928.029999997</v>
      </c>
      <c r="CG3" s="84">
        <f t="shared" si="15"/>
        <v>1467910.7399999998</v>
      </c>
      <c r="CH3" s="83">
        <f t="shared" si="15"/>
        <v>945739.01999999979</v>
      </c>
      <c r="CI3" s="83">
        <f t="shared" si="15"/>
        <v>1028145.02</v>
      </c>
      <c r="CJ3" s="83">
        <f t="shared" si="15"/>
        <v>676970.94</v>
      </c>
      <c r="CK3" s="84">
        <f t="shared" si="15"/>
        <v>1105950.1700000002</v>
      </c>
      <c r="CL3" s="83">
        <f t="shared" si="15"/>
        <v>486229.50000000023</v>
      </c>
      <c r="CM3" s="83">
        <f t="shared" si="15"/>
        <v>823924.38000000047</v>
      </c>
      <c r="CN3" s="83">
        <f t="shared" si="15"/>
        <v>657708.11000000034</v>
      </c>
      <c r="CO3" s="83">
        <f t="shared" si="15"/>
        <v>1262936.5300000003</v>
      </c>
      <c r="CP3" s="85">
        <f t="shared" si="15"/>
        <v>811369.37000000023</v>
      </c>
      <c r="CQ3" s="83">
        <f t="shared" si="15"/>
        <v>1346629.4200000004</v>
      </c>
      <c r="CR3" s="83">
        <f t="shared" si="15"/>
        <v>1792112.5100000002</v>
      </c>
      <c r="CS3" s="83">
        <f t="shared" si="15"/>
        <v>2447341.6800000002</v>
      </c>
      <c r="CT3" s="85">
        <f t="shared" si="15"/>
        <v>1897664.7700000005</v>
      </c>
      <c r="CU3" s="83">
        <f t="shared" si="15"/>
        <v>2326047.7200000007</v>
      </c>
      <c r="CV3" s="83">
        <f t="shared" si="15"/>
        <v>2708001.6500000008</v>
      </c>
      <c r="CW3" s="83">
        <f t="shared" si="15"/>
        <v>2620060.3400000008</v>
      </c>
      <c r="CX3" s="84">
        <f t="shared" si="15"/>
        <v>3395696.5000000005</v>
      </c>
      <c r="CY3" s="83">
        <f t="shared" si="15"/>
        <v>3553928.1500000004</v>
      </c>
      <c r="CZ3" s="83">
        <f t="shared" ref="CZ3:DY3" si="16">CY23</f>
        <v>3191699.6000000006</v>
      </c>
      <c r="DA3" s="83">
        <f t="shared" si="16"/>
        <v>3515729.8200000003</v>
      </c>
      <c r="DB3" s="83">
        <f t="shared" si="16"/>
        <v>3388552.9</v>
      </c>
      <c r="DC3" s="85">
        <f t="shared" si="16"/>
        <v>3845045.13</v>
      </c>
      <c r="DD3" s="83">
        <f t="shared" si="16"/>
        <v>3425092.4999999995</v>
      </c>
      <c r="DE3" s="83">
        <f t="shared" si="16"/>
        <v>3944699.5199999996</v>
      </c>
      <c r="DF3" s="83">
        <f t="shared" si="16"/>
        <v>4005412.0600000005</v>
      </c>
      <c r="DG3" s="85">
        <f t="shared" si="16"/>
        <v>4130140.580000001</v>
      </c>
      <c r="DH3" s="83">
        <f t="shared" si="16"/>
        <v>3776943.140000002</v>
      </c>
      <c r="DI3" s="83">
        <f t="shared" si="16"/>
        <v>4458331.5600000015</v>
      </c>
      <c r="DJ3" s="83">
        <f t="shared" si="16"/>
        <v>4400217.040000001</v>
      </c>
      <c r="DK3" s="85">
        <f t="shared" si="16"/>
        <v>4791874.74</v>
      </c>
      <c r="DL3" s="83">
        <f t="shared" si="16"/>
        <v>3806668.8699999996</v>
      </c>
      <c r="DM3" s="83">
        <f t="shared" si="16"/>
        <v>4161028.5500000007</v>
      </c>
      <c r="DN3" s="83">
        <f t="shared" si="16"/>
        <v>3453635.7000000007</v>
      </c>
      <c r="DO3" s="85">
        <f t="shared" si="16"/>
        <v>4265615.7700000005</v>
      </c>
      <c r="DP3" s="83">
        <f t="shared" si="16"/>
        <v>2596615.7700000005</v>
      </c>
      <c r="DQ3" s="83">
        <f t="shared" si="16"/>
        <v>2583550.9900000007</v>
      </c>
      <c r="DR3" s="83">
        <f t="shared" si="16"/>
        <v>2821995.1550000007</v>
      </c>
      <c r="DS3" s="83">
        <f t="shared" si="16"/>
        <v>3578506.8250000007</v>
      </c>
      <c r="DT3" s="85">
        <f t="shared" si="16"/>
        <v>2468506.8250000007</v>
      </c>
      <c r="DU3" s="83">
        <f t="shared" si="16"/>
        <v>4286213.6311850008</v>
      </c>
      <c r="DV3" s="83">
        <f t="shared" si="16"/>
        <v>3024675.101185001</v>
      </c>
      <c r="DW3" s="83">
        <f t="shared" si="16"/>
        <v>5535079.5511850007</v>
      </c>
      <c r="DX3" s="85">
        <f t="shared" si="16"/>
        <v>4364841.1511850003</v>
      </c>
      <c r="DY3" s="83">
        <f t="shared" si="16"/>
        <v>3744841.1511850003</v>
      </c>
      <c r="DZ3" s="83">
        <f t="shared" ref="DZ3" si="17">DY23</f>
        <v>5315452.6211850001</v>
      </c>
      <c r="EA3" s="83">
        <f t="shared" ref="EA3" si="18">DZ23</f>
        <v>5452969.6211850001</v>
      </c>
      <c r="EB3" s="83">
        <f t="shared" ref="EB3" si="19">EA23</f>
        <v>6800616.2411850002</v>
      </c>
      <c r="EC3" s="85">
        <f t="shared" ref="EC3" si="20">EB23</f>
        <v>6680616.2411850002</v>
      </c>
      <c r="ED3" s="83">
        <f t="shared" ref="ED3" si="21">EC23</f>
        <v>8983440.9911850002</v>
      </c>
      <c r="EE3" s="83">
        <f t="shared" ref="EE3" si="22">ED23</f>
        <v>8822386.2111850008</v>
      </c>
      <c r="EF3" s="83">
        <f t="shared" ref="EF3" si="23">EE23</f>
        <v>10296819.611185001</v>
      </c>
      <c r="EG3" s="85">
        <f t="shared" ref="EG3" si="24">EF23</f>
        <v>10076819.611185001</v>
      </c>
      <c r="EH3" s="83">
        <f t="shared" ref="EH3" si="25">EG23</f>
        <v>13946276.291185001</v>
      </c>
      <c r="EI3" s="83">
        <f t="shared" ref="EI3" si="26">EH23</f>
        <v>13407521.011185002</v>
      </c>
      <c r="EJ3" s="83">
        <f t="shared" ref="EJ3" si="27">EI23</f>
        <v>12867070.781185001</v>
      </c>
      <c r="EK3" s="85">
        <f t="shared" ref="EK3:EL3" si="28">EJ23</f>
        <v>13250408.381185001</v>
      </c>
      <c r="EL3" s="83">
        <f t="shared" si="28"/>
        <v>11740408.381185001</v>
      </c>
    </row>
    <row r="4" spans="1:142" ht="7.5" customHeight="1" x14ac:dyDescent="0.35">
      <c r="B4" s="8"/>
      <c r="C4" s="9"/>
      <c r="D4" s="9"/>
      <c r="E4" s="9"/>
      <c r="F4" s="10"/>
      <c r="G4" s="9"/>
      <c r="H4" s="9"/>
      <c r="I4" s="9"/>
      <c r="J4" s="9"/>
      <c r="K4" s="10"/>
      <c r="L4" s="9"/>
      <c r="M4" s="9"/>
      <c r="N4" s="9"/>
      <c r="O4" s="10"/>
      <c r="P4" s="9"/>
      <c r="Q4" s="9"/>
      <c r="R4" s="9"/>
      <c r="S4" s="9"/>
      <c r="T4" s="10"/>
      <c r="U4" s="9"/>
      <c r="V4" s="9"/>
      <c r="W4" s="9"/>
      <c r="X4" s="10"/>
      <c r="Y4" s="9"/>
      <c r="Z4" s="9"/>
      <c r="AA4" s="9"/>
      <c r="AB4" s="10"/>
      <c r="AC4" s="9"/>
      <c r="AD4" s="9"/>
      <c r="AE4" s="9"/>
      <c r="AF4" s="9"/>
      <c r="AG4" s="10"/>
      <c r="AH4" s="9"/>
      <c r="AI4" s="9"/>
      <c r="AJ4" s="9"/>
      <c r="AK4" s="10"/>
      <c r="AL4" s="9"/>
      <c r="AM4" s="9"/>
      <c r="AN4" s="9"/>
      <c r="AO4" s="10"/>
      <c r="AP4" s="9"/>
      <c r="AQ4" s="9"/>
      <c r="AR4" s="9"/>
      <c r="AS4" s="9"/>
      <c r="AT4" s="10"/>
      <c r="AU4" s="9"/>
      <c r="AV4" s="9"/>
      <c r="AW4" s="9"/>
      <c r="AX4" s="10"/>
      <c r="AY4" s="9"/>
      <c r="AZ4" s="9"/>
      <c r="BA4" s="9"/>
      <c r="BB4" s="9"/>
      <c r="BC4" s="10"/>
      <c r="BD4" s="9"/>
      <c r="BE4" s="9"/>
      <c r="BF4" s="9"/>
      <c r="BG4" s="10"/>
      <c r="BH4" s="9"/>
      <c r="BI4" s="9"/>
      <c r="BJ4" s="9"/>
      <c r="BK4" s="10"/>
      <c r="BL4" s="9"/>
      <c r="BM4" s="9"/>
      <c r="BN4" s="9"/>
      <c r="BO4" s="10"/>
      <c r="BP4" s="9"/>
      <c r="BQ4" s="9"/>
      <c r="BR4" s="9"/>
      <c r="BS4" s="9"/>
      <c r="BT4" s="10"/>
      <c r="BU4" s="9"/>
      <c r="BV4" s="9"/>
      <c r="BW4" s="9"/>
      <c r="BX4" s="10"/>
      <c r="BY4" s="9"/>
      <c r="BZ4" s="9"/>
      <c r="CA4" s="9"/>
      <c r="CB4" s="10"/>
      <c r="CC4" s="9"/>
      <c r="CD4" s="9"/>
      <c r="CE4" s="9"/>
      <c r="CF4" s="9"/>
      <c r="CG4" s="10"/>
      <c r="CH4" s="9"/>
      <c r="CI4" s="9"/>
      <c r="CJ4" s="9"/>
      <c r="CK4" s="10"/>
      <c r="CL4" s="9"/>
      <c r="CM4" s="9"/>
      <c r="CN4" s="9"/>
      <c r="CO4" s="9"/>
      <c r="CP4" s="71"/>
      <c r="CQ4" s="9"/>
      <c r="CR4" s="9"/>
      <c r="CS4" s="9"/>
      <c r="CT4" s="71"/>
      <c r="CU4" s="9"/>
      <c r="CV4" s="9"/>
      <c r="CW4" s="9"/>
      <c r="CX4" s="10"/>
      <c r="CY4" s="9"/>
      <c r="DC4" s="74"/>
      <c r="DG4" s="74"/>
      <c r="DK4" s="74"/>
      <c r="DO4" s="74"/>
      <c r="DT4" s="74"/>
      <c r="DX4" s="74"/>
      <c r="EC4" s="74"/>
      <c r="EG4" s="74"/>
      <c r="EK4" s="74"/>
    </row>
    <row r="5" spans="1:142" ht="14.5" x14ac:dyDescent="0.35">
      <c r="B5" s="11" t="s">
        <v>2</v>
      </c>
      <c r="C5" s="12"/>
      <c r="D5" s="12"/>
      <c r="E5" s="12"/>
      <c r="F5" s="13"/>
      <c r="G5" s="12"/>
      <c r="H5" s="12"/>
      <c r="I5" s="12"/>
      <c r="J5" s="12"/>
      <c r="K5" s="13"/>
      <c r="L5" s="12"/>
      <c r="M5" s="12"/>
      <c r="N5" s="12"/>
      <c r="O5" s="13"/>
      <c r="P5" s="12"/>
      <c r="Q5" s="12"/>
      <c r="R5" s="12"/>
      <c r="S5" s="12"/>
      <c r="T5" s="13"/>
      <c r="U5" s="12"/>
      <c r="V5" s="12"/>
      <c r="W5" s="12"/>
      <c r="X5" s="13"/>
      <c r="Y5" s="12"/>
      <c r="Z5" s="12"/>
      <c r="AA5" s="12"/>
      <c r="AB5" s="13"/>
      <c r="AC5" s="12"/>
      <c r="AD5" s="12"/>
      <c r="AE5" s="12"/>
      <c r="AF5" s="12"/>
      <c r="AG5" s="13"/>
      <c r="AH5" s="12"/>
      <c r="AI5" s="12"/>
      <c r="AJ5" s="12"/>
      <c r="AK5" s="13"/>
      <c r="AL5" s="12"/>
      <c r="AM5" s="12"/>
      <c r="AN5" s="12"/>
      <c r="AO5" s="13"/>
      <c r="AP5" s="12"/>
      <c r="AQ5" s="12"/>
      <c r="AR5" s="12"/>
      <c r="AS5" s="12"/>
      <c r="AT5" s="13"/>
      <c r="AU5" s="12"/>
      <c r="AV5" s="12"/>
      <c r="AW5" s="12"/>
      <c r="AX5" s="13"/>
      <c r="AY5" s="12"/>
      <c r="AZ5" s="12"/>
      <c r="BA5" s="12"/>
      <c r="BB5" s="12"/>
      <c r="BC5" s="13"/>
      <c r="BD5" s="12"/>
      <c r="BE5" s="12"/>
      <c r="BF5" s="12"/>
      <c r="BG5" s="13"/>
      <c r="BH5" s="12"/>
      <c r="BI5" s="12"/>
      <c r="BJ5" s="12"/>
      <c r="BK5" s="13"/>
      <c r="BL5" s="12"/>
      <c r="BM5" s="12"/>
      <c r="BN5" s="12"/>
      <c r="BO5" s="13"/>
      <c r="BP5" s="12"/>
      <c r="BQ5" s="12"/>
      <c r="BR5" s="12"/>
      <c r="BS5" s="12"/>
      <c r="BT5" s="13"/>
      <c r="BU5" s="12"/>
      <c r="BV5" s="12"/>
      <c r="BW5" s="12"/>
      <c r="BX5" s="13"/>
      <c r="BY5" s="12"/>
      <c r="BZ5" s="12"/>
      <c r="CA5" s="12"/>
      <c r="CB5" s="13"/>
      <c r="CC5" s="12"/>
      <c r="CD5" s="12"/>
      <c r="CE5" s="12"/>
      <c r="CF5" s="12"/>
      <c r="CG5" s="13"/>
      <c r="CH5" s="12"/>
      <c r="CI5" s="12"/>
      <c r="CJ5" s="12"/>
      <c r="CK5" s="13"/>
      <c r="CL5" s="12"/>
      <c r="CM5" s="12"/>
      <c r="CN5" s="12"/>
      <c r="CO5" s="12"/>
      <c r="CP5" s="72"/>
      <c r="CQ5" s="12"/>
      <c r="CR5" s="12"/>
      <c r="CS5" s="12"/>
      <c r="CT5" s="72"/>
      <c r="CU5" s="12"/>
      <c r="CV5" s="12"/>
      <c r="CW5" s="12"/>
      <c r="CX5" s="13"/>
      <c r="CY5" s="12"/>
      <c r="CZ5" s="12"/>
      <c r="DA5" s="12"/>
      <c r="DB5" s="12"/>
      <c r="DC5" s="72"/>
      <c r="DD5" s="12"/>
      <c r="DE5" s="12"/>
      <c r="DF5" s="12"/>
      <c r="DG5" s="72"/>
      <c r="DH5" s="12"/>
      <c r="DI5" s="12"/>
      <c r="DJ5" s="12"/>
      <c r="DK5" s="72"/>
      <c r="DL5" s="12"/>
      <c r="DM5" s="12"/>
      <c r="DN5" s="12"/>
      <c r="DO5" s="72"/>
      <c r="DP5" s="12"/>
      <c r="DQ5" s="12"/>
      <c r="DR5" s="12"/>
      <c r="DS5" s="12"/>
      <c r="DT5" s="72"/>
      <c r="DU5" s="12"/>
      <c r="DV5" s="12"/>
      <c r="DW5" s="12"/>
      <c r="DX5" s="72"/>
      <c r="DY5" s="12"/>
      <c r="DZ5" s="12"/>
      <c r="EA5" s="12"/>
      <c r="EB5" s="12"/>
      <c r="EC5" s="72"/>
      <c r="ED5" s="12"/>
      <c r="EE5" s="12"/>
      <c r="EF5" s="12"/>
      <c r="EG5" s="72"/>
      <c r="EH5" s="12"/>
      <c r="EI5" s="12"/>
      <c r="EJ5" s="12"/>
      <c r="EK5" s="72"/>
      <c r="EL5" s="12"/>
    </row>
    <row r="6" spans="1:142" ht="14.5" x14ac:dyDescent="0.35">
      <c r="B6" s="8" t="s">
        <v>3</v>
      </c>
      <c r="C6" s="14">
        <v>577355.68000000005</v>
      </c>
      <c r="D6" s="15">
        <v>350179.33</v>
      </c>
      <c r="E6" s="15">
        <v>255119</v>
      </c>
      <c r="F6" s="16">
        <v>291250</v>
      </c>
      <c r="G6" s="15">
        <v>404489.38999999996</v>
      </c>
      <c r="H6" s="15">
        <v>133965.47</v>
      </c>
      <c r="I6" s="15">
        <v>351395</v>
      </c>
      <c r="J6" s="15">
        <v>36246</v>
      </c>
      <c r="K6" s="16">
        <v>187600</v>
      </c>
      <c r="L6" s="15">
        <v>61920</v>
      </c>
      <c r="M6" s="15">
        <v>93057.55</v>
      </c>
      <c r="N6" s="15">
        <v>109250.4</v>
      </c>
      <c r="O6" s="16">
        <v>130293</v>
      </c>
      <c r="P6" s="15">
        <v>0</v>
      </c>
      <c r="Q6" s="15">
        <v>0</v>
      </c>
      <c r="R6" s="15">
        <v>0</v>
      </c>
      <c r="S6" s="15">
        <v>0</v>
      </c>
      <c r="T6" s="16">
        <v>1784872.9300000002</v>
      </c>
      <c r="U6" s="15">
        <v>465002</v>
      </c>
      <c r="V6" s="15">
        <v>202128</v>
      </c>
      <c r="W6" s="15">
        <v>127840</v>
      </c>
      <c r="X6" s="16">
        <v>264560.27</v>
      </c>
      <c r="Y6" s="15">
        <v>1101416.23</v>
      </c>
      <c r="Z6" s="15">
        <v>222930</v>
      </c>
      <c r="AA6" s="15">
        <v>287760.11</v>
      </c>
      <c r="AB6" s="16">
        <v>146160</v>
      </c>
      <c r="AC6" s="15">
        <v>413707.8</v>
      </c>
      <c r="AD6" s="15">
        <v>49781.2</v>
      </c>
      <c r="AE6" s="15">
        <v>209731</v>
      </c>
      <c r="AF6" s="15">
        <v>418221.27</v>
      </c>
      <c r="AG6" s="16">
        <f>551093.51+2700</f>
        <v>553793.51</v>
      </c>
      <c r="AH6" s="15">
        <v>422712.26</v>
      </c>
      <c r="AI6" s="15">
        <f>298700.38+22650</f>
        <v>321350.38</v>
      </c>
      <c r="AJ6" s="15">
        <v>124679.25</v>
      </c>
      <c r="AK6" s="16">
        <f>757789+1001215</f>
        <v>1759004</v>
      </c>
      <c r="AL6" s="15">
        <f>-49900+680960.42+9000</f>
        <v>640060.42000000004</v>
      </c>
      <c r="AM6" s="15">
        <v>389310</v>
      </c>
      <c r="AN6" s="15">
        <v>261855.32</v>
      </c>
      <c r="AO6" s="16">
        <v>312301.37</v>
      </c>
      <c r="AP6" s="15">
        <f>600629.64+55646</f>
        <v>656275.64</v>
      </c>
      <c r="AQ6" s="15">
        <f>393367.96+5320</f>
        <v>398687.96</v>
      </c>
      <c r="AR6" s="15">
        <f>269523.08+162648.87</f>
        <v>432171.95</v>
      </c>
      <c r="AS6" s="15">
        <f>696113.8+18065</f>
        <v>714178.8</v>
      </c>
      <c r="AT6" s="16">
        <f>199060.96+42960</f>
        <v>242020.96</v>
      </c>
      <c r="AU6" s="15">
        <f>547827.64+188883.64+49950</f>
        <v>786661.28</v>
      </c>
      <c r="AV6" s="15">
        <v>702792.8</v>
      </c>
      <c r="AW6" s="15">
        <f>295109+1866.69</f>
        <v>296975.69</v>
      </c>
      <c r="AX6" s="16">
        <v>928667.37</v>
      </c>
      <c r="AY6" s="15">
        <f>1023665.35+50240</f>
        <v>1073905.3500000001</v>
      </c>
      <c r="AZ6" s="15">
        <v>527136.59</v>
      </c>
      <c r="BA6" s="15">
        <f>449417.34+626838</f>
        <v>1076255.3400000001</v>
      </c>
      <c r="BB6" s="15">
        <f>547504.69+434093.31</f>
        <v>981598</v>
      </c>
      <c r="BC6" s="16">
        <f>277595.58+235859.82</f>
        <v>513455.4</v>
      </c>
      <c r="BD6" s="15">
        <f>172220.16+361231.6</f>
        <v>533451.76</v>
      </c>
      <c r="BE6" s="15">
        <f>131489.4</f>
        <v>131489.4</v>
      </c>
      <c r="BF6" s="15">
        <f>36975+4560+3120+68511.34+68750</f>
        <v>181916.34</v>
      </c>
      <c r="BG6" s="16">
        <f>178081.6+4082.08</f>
        <v>182163.68</v>
      </c>
      <c r="BH6" s="15">
        <f>34270+128242.38</f>
        <v>162512.38</v>
      </c>
      <c r="BI6" s="15">
        <f>50250+83159.38</f>
        <v>133409.38</v>
      </c>
      <c r="BJ6" s="15">
        <f>373137.5+588710.72</f>
        <v>961848.22</v>
      </c>
      <c r="BK6" s="16">
        <f>490775.48+67320</f>
        <v>558095.48</v>
      </c>
      <c r="BL6" s="15">
        <f>718301.19+193335.81</f>
        <v>911637</v>
      </c>
      <c r="BM6" s="15">
        <f>509848.98+254215</f>
        <v>764063.98</v>
      </c>
      <c r="BN6" s="15">
        <f>175936+141500</f>
        <v>317436</v>
      </c>
      <c r="BO6" s="16">
        <f>132030+1324777</f>
        <v>1456807</v>
      </c>
      <c r="BP6" s="15">
        <f>645986.27+353854.5</f>
        <v>999840.77</v>
      </c>
      <c r="BQ6" s="15">
        <f>561719.65+379593.29</f>
        <v>941312.94</v>
      </c>
      <c r="BR6" s="15">
        <f>559436.75+171130</f>
        <v>730566.75</v>
      </c>
      <c r="BS6" s="15">
        <f>99831.86+249128.58</f>
        <v>348960.44</v>
      </c>
      <c r="BT6" s="16">
        <f>48237.5+33134+19200</f>
        <v>100571.5</v>
      </c>
      <c r="BU6" s="15">
        <f>636665.88+439935.16</f>
        <v>1076601.04</v>
      </c>
      <c r="BV6" s="15">
        <f>83671.12+ 222379.08</f>
        <v>306050.19999999995</v>
      </c>
      <c r="BW6" s="15">
        <f>197658.39+ 197207.58</f>
        <v>394865.97</v>
      </c>
      <c r="BX6" s="16">
        <f>327218.86+24960</f>
        <v>352178.86</v>
      </c>
      <c r="BY6" s="15">
        <f>334398.75+184175</f>
        <v>518573.75</v>
      </c>
      <c r="BZ6" s="14">
        <f>231945.01+134139.58+15390+13199.85+29529.58+1209.51</f>
        <v>425413.52999999997</v>
      </c>
      <c r="CA6" s="14">
        <f>163775.02+451047</f>
        <v>614822.02</v>
      </c>
      <c r="CB6" s="17">
        <f>285108.66+454884.58</f>
        <v>739993.24</v>
      </c>
      <c r="CC6" s="14">
        <f>431858.18+391157.45</f>
        <v>823015.63</v>
      </c>
      <c r="CD6" s="14">
        <f>126379.26+331928.55</f>
        <v>458307.81</v>
      </c>
      <c r="CE6" s="14">
        <f>378441.4+72800+135023.88</f>
        <v>586265.28</v>
      </c>
      <c r="CF6" s="14">
        <f>261864+470747.58</f>
        <v>732611.58000000007</v>
      </c>
      <c r="CG6" s="17">
        <f>618836+107754.75</f>
        <v>726590.75</v>
      </c>
      <c r="CH6" s="14">
        <f>153218+446177.82</f>
        <v>599395.82000000007</v>
      </c>
      <c r="CI6" s="14">
        <f>183640.1+422819.69+25000</f>
        <v>631459.79</v>
      </c>
      <c r="CJ6" s="14">
        <f>66769+272583.05</f>
        <v>339352.05</v>
      </c>
      <c r="CK6" s="17">
        <f>66578+360613.55</f>
        <v>427191.55</v>
      </c>
      <c r="CL6" s="14">
        <f>371509.52+120091+898463.66</f>
        <v>1390064.1800000002</v>
      </c>
      <c r="CM6" s="14">
        <f>108115+784429+75600</f>
        <v>968144</v>
      </c>
      <c r="CN6" s="14">
        <f>29700+555834.21+170944</f>
        <v>756478.21</v>
      </c>
      <c r="CO6" s="14">
        <f>491091.61+93538.87+38800</f>
        <v>623430.48</v>
      </c>
      <c r="CP6" s="73">
        <f>104185.6+931344.73</f>
        <v>1035530.33</v>
      </c>
      <c r="CQ6" s="14">
        <f>856704.96+740210.32</f>
        <v>1596915.2799999998</v>
      </c>
      <c r="CR6" s="14">
        <f>166490+455489.72</f>
        <v>621979.72</v>
      </c>
      <c r="CS6" s="14">
        <f>487934.4+169831.16</f>
        <v>657765.56000000006</v>
      </c>
      <c r="CT6" s="73">
        <f>65560+735597.91</f>
        <v>801157.91</v>
      </c>
      <c r="CU6" s="14">
        <f>1696717.5+65475</f>
        <v>1762192.5</v>
      </c>
      <c r="CV6" s="14">
        <f>63077.4+230322+62100</f>
        <v>355499.4</v>
      </c>
      <c r="CW6" s="14">
        <f>1727606.3+52000</f>
        <v>1779606.3</v>
      </c>
      <c r="CX6" s="73">
        <f>61843.75+476164.58</f>
        <v>538008.33000000007</v>
      </c>
      <c r="CY6" s="14">
        <f>477992+585766.08</f>
        <v>1063758.08</v>
      </c>
      <c r="CZ6" s="14">
        <f>368297.93+268500.5</f>
        <v>636798.42999999993</v>
      </c>
      <c r="DA6" s="14">
        <f>214455.6+746479.75</f>
        <v>960935.35</v>
      </c>
      <c r="DB6" s="14">
        <f>421077.24+162810.58</f>
        <v>583887.81999999995</v>
      </c>
      <c r="DC6" s="73">
        <f>540817.6+367688.88+622976+14400</f>
        <v>1545882.48</v>
      </c>
      <c r="DD6" s="14">
        <f>442488.81+896309.06</f>
        <v>1338797.8700000001</v>
      </c>
      <c r="DE6" s="14">
        <f>846381.07+221543.24</f>
        <v>1067924.31</v>
      </c>
      <c r="DF6" s="14">
        <f>513075.3+110637.3</f>
        <v>623712.6</v>
      </c>
      <c r="DG6" s="146">
        <f>443651.5+707527.1</f>
        <v>1151178.6000000001</v>
      </c>
      <c r="DH6" s="14">
        <f>358010.25+855581.13</f>
        <v>1213591.3799999999</v>
      </c>
      <c r="DI6" s="14">
        <f>335938+308875.97+420661.2</f>
        <v>1065475.17</v>
      </c>
      <c r="DJ6" s="14">
        <f>258810.6+272026.5+101920</f>
        <v>632757.1</v>
      </c>
      <c r="DK6" s="73">
        <f>45892.8+196721.58</f>
        <v>242614.38</v>
      </c>
      <c r="DL6" s="14">
        <f>579871+287763.49+332732.8</f>
        <v>1200367.29</v>
      </c>
      <c r="DM6" s="14">
        <f>279234.5+315484</f>
        <v>594718.5</v>
      </c>
      <c r="DN6" s="14">
        <f>134608.33+760891.89+25300.58</f>
        <v>920800.79999999993</v>
      </c>
      <c r="DO6" s="105">
        <f>_xlfn.XLOOKUP(DO$2,'AR Aging 20260320'!$S:$S,'AR Aging 20260320'!$U:$U)</f>
        <v>11000</v>
      </c>
      <c r="DP6" s="104">
        <f>_xlfn.XLOOKUP(DP$2,'AR Aging 20260320'!$S:$S,'AR Aging 20260320'!$U:$U)</f>
        <v>430690.5</v>
      </c>
      <c r="DQ6" s="104">
        <f>_xlfn.XLOOKUP(DQ$2,'AR Aging 20260320'!$S:$S,'AR Aging 20260320'!$U:$U)</f>
        <v>1398444.165</v>
      </c>
      <c r="DR6" s="104">
        <f>_xlfn.XLOOKUP(DR$2,'AR Aging 20260320'!$S:$S,'AR Aging 20260320'!$U:$U)</f>
        <v>981511.67</v>
      </c>
      <c r="DS6" s="104">
        <f>_xlfn.XLOOKUP(DS$2,'AR Aging 20260320'!$S:$S,'AR Aging 20260320'!$U:$U)</f>
        <v>0</v>
      </c>
      <c r="DT6" s="105">
        <f>_xlfn.XLOOKUP(DT$2,'AR Aging 20260320'!$S:$S,'AR Aging 20260320'!$U:$U)</f>
        <v>2522706.8061850001</v>
      </c>
      <c r="DU6" s="104">
        <f>_xlfn.XLOOKUP(DU$2,'AR Aging 20260320'!$S:$S,'AR Aging 20260320'!$U:$U)</f>
        <v>177216.75</v>
      </c>
      <c r="DV6" s="104">
        <f>_xlfn.XLOOKUP(DV$2,'AR Aging 20260320'!$S:$S,'AR Aging 20260320'!$U:$U)</f>
        <v>2735404.4499999997</v>
      </c>
      <c r="DW6" s="104">
        <f>_xlfn.XLOOKUP(DW$2,'AR Aging 20260320'!$S:$S,'AR Aging 20260320'!$U:$U)</f>
        <v>49761.599999999999</v>
      </c>
      <c r="DX6" s="105">
        <f>_xlfn.XLOOKUP(DX$2,'AR Aging 20260320'!$S:$S,'AR Aging 20260320'!$U:$U)</f>
        <v>0</v>
      </c>
      <c r="DY6" s="104">
        <f>_xlfn.XLOOKUP(DY$2,'AR Aging 20260320'!$S:$S,'AR Aging 20260320'!$U:$U)</f>
        <v>1914366.75</v>
      </c>
      <c r="DZ6" s="104">
        <f>_xlfn.XLOOKUP(DZ$2,'AR Aging 20260320'!$S:$S,'AR Aging 20260320'!$U:$U)</f>
        <v>307517</v>
      </c>
      <c r="EA6" s="104">
        <f>_xlfn.XLOOKUP(EA$2,'AR Aging 20260320'!$S:$S,'AR Aging 20260320'!$U:$U)</f>
        <v>2467646.62</v>
      </c>
      <c r="EB6" s="104">
        <f>_xlfn.XLOOKUP(EB$2,'AR Aging 20260320'!$S:$S,'AR Aging 20260320'!$U:$U)</f>
        <v>0</v>
      </c>
      <c r="EC6" s="105">
        <f>_xlfn.XLOOKUP(EC$2,'AR Aging 20260320'!$S:$S,'AR Aging 20260320'!$U:$U)</f>
        <v>1802824.75</v>
      </c>
      <c r="ED6" s="104">
        <f>_xlfn.XLOOKUP(ED$2,'AR Aging 20260320'!$S:$S,'AR Aging 20260320'!$U:$U)</f>
        <v>282700.5</v>
      </c>
      <c r="EE6" s="104">
        <f>_xlfn.XLOOKUP(EE$2,'AR Aging 20260320'!$S:$S,'AR Aging 20260320'!$U:$U)</f>
        <v>2554433.4</v>
      </c>
      <c r="EF6" s="104">
        <f>_xlfn.XLOOKUP(EF$2,'AR Aging 20260320'!$S:$S,'AR Aging 20260320'!$U:$U)</f>
        <v>0</v>
      </c>
      <c r="EG6" s="105">
        <f>_xlfn.XLOOKUP(EG$2,'AR Aging 20260320'!$S:$S,'AR Aging 20260320'!$U:$U)</f>
        <v>2379456.6799999997</v>
      </c>
      <c r="EH6" s="104">
        <f>_xlfn.XLOOKUP(EH$2,'AR Aging 20260320'!$S:$S,'AR Aging 20260320'!$U:$U)</f>
        <v>0</v>
      </c>
      <c r="EI6" s="104">
        <f>_xlfn.XLOOKUP(EI$2,'AR Aging 20260320'!$S:$S,'AR Aging 20260320'!$U:$U)</f>
        <v>539549.77</v>
      </c>
      <c r="EJ6" s="104">
        <f>_xlfn.XLOOKUP(EJ$2,'AR Aging 20260320'!$S:$S,'AR Aging 20260320'!$U:$U)</f>
        <v>603337.6</v>
      </c>
      <c r="EK6" s="105">
        <f>_xlfn.XLOOKUP(EK$2,'AR Aging 20260320'!$S:$S,'AR Aging 20260320'!$U:$U)</f>
        <v>0</v>
      </c>
      <c r="EL6" s="104">
        <f>_xlfn.XLOOKUP(EL$2,'AR Aging 20260320'!$S:$S,'AR Aging 20260320'!$U:$U)</f>
        <v>1528567.5</v>
      </c>
    </row>
    <row r="7" spans="1:142" ht="14.5" x14ac:dyDescent="0.35">
      <c r="B7" s="8" t="s">
        <v>4</v>
      </c>
      <c r="C7" s="18">
        <v>0</v>
      </c>
      <c r="D7" s="15">
        <v>0</v>
      </c>
      <c r="E7" s="15">
        <v>0</v>
      </c>
      <c r="F7" s="16">
        <v>0</v>
      </c>
      <c r="G7" s="15">
        <v>0</v>
      </c>
      <c r="H7" s="15">
        <v>0</v>
      </c>
      <c r="I7" s="15">
        <v>0</v>
      </c>
      <c r="J7" s="15">
        <v>0</v>
      </c>
      <c r="K7" s="16">
        <v>0</v>
      </c>
      <c r="L7" s="15">
        <v>0</v>
      </c>
      <c r="M7" s="15">
        <v>770000</v>
      </c>
      <c r="N7" s="15">
        <v>0</v>
      </c>
      <c r="O7" s="16">
        <v>0</v>
      </c>
      <c r="P7" s="15">
        <v>0</v>
      </c>
      <c r="Q7" s="15">
        <v>0</v>
      </c>
      <c r="R7" s="15">
        <v>0</v>
      </c>
      <c r="S7" s="15">
        <v>0</v>
      </c>
      <c r="T7" s="16">
        <v>0</v>
      </c>
      <c r="U7" s="15">
        <v>0</v>
      </c>
      <c r="V7" s="15">
        <v>0</v>
      </c>
      <c r="W7" s="15">
        <v>0</v>
      </c>
      <c r="X7" s="16">
        <v>0</v>
      </c>
      <c r="Y7" s="15">
        <v>0</v>
      </c>
      <c r="Z7" s="15">
        <v>0</v>
      </c>
      <c r="AA7" s="15">
        <v>0</v>
      </c>
      <c r="AB7" s="16">
        <v>0</v>
      </c>
      <c r="AC7" s="15">
        <v>0</v>
      </c>
      <c r="AD7" s="15">
        <v>0</v>
      </c>
      <c r="AE7" s="15">
        <v>0</v>
      </c>
      <c r="AF7" s="15">
        <v>0</v>
      </c>
      <c r="AG7" s="16">
        <v>0</v>
      </c>
      <c r="AH7" s="15">
        <v>0</v>
      </c>
      <c r="AI7" s="15">
        <v>0</v>
      </c>
      <c r="AJ7" s="15">
        <v>0</v>
      </c>
      <c r="AK7" s="16">
        <v>0</v>
      </c>
      <c r="AL7" s="15">
        <v>0</v>
      </c>
      <c r="AM7" s="15">
        <v>0</v>
      </c>
      <c r="AN7" s="15">
        <v>0</v>
      </c>
      <c r="AO7" s="16">
        <v>0</v>
      </c>
      <c r="AP7" s="15">
        <v>0</v>
      </c>
      <c r="AQ7" s="15">
        <v>0</v>
      </c>
      <c r="AR7" s="15">
        <v>0</v>
      </c>
      <c r="AS7" s="15">
        <v>0</v>
      </c>
      <c r="AT7" s="16">
        <v>0</v>
      </c>
      <c r="AU7" s="15">
        <f>SUMIFS(Bookings!$W:$W,Bookings!$T:$T,'Wkly Cash Flow'!AU$2)</f>
        <v>0</v>
      </c>
      <c r="AV7" s="15">
        <f>SUMIFS(Bookings!$W:$W,Bookings!$T:$T,'Wkly Cash Flow'!AV$2)</f>
        <v>0</v>
      </c>
      <c r="AW7" s="15">
        <f>SUMIFS(Bookings!$W:$W,Bookings!$T:$T,'Wkly Cash Flow'!AW$2)</f>
        <v>0</v>
      </c>
      <c r="AX7" s="16">
        <f>SUMIFS(Bookings!$W:$W,Bookings!$T:$T,'Wkly Cash Flow'!AX$2)</f>
        <v>0</v>
      </c>
      <c r="AY7" s="15">
        <f>SUMIFS(Bookings!$W:$W,Bookings!$T:$T,'Wkly Cash Flow'!AY$2)</f>
        <v>0</v>
      </c>
      <c r="AZ7" s="15">
        <f>SUMIFS(Bookings!$W:$W,Bookings!$T:$T,'Wkly Cash Flow'!AZ$2)</f>
        <v>0</v>
      </c>
      <c r="BA7" s="15">
        <f>SUMIFS(Bookings!$W:$W,Bookings!$T:$T,'Wkly Cash Flow'!BA$2)</f>
        <v>0</v>
      </c>
      <c r="BB7" s="15">
        <f>SUMIFS(Bookings!$W:$W,Bookings!$T:$T,'Wkly Cash Flow'!BB$2)</f>
        <v>0</v>
      </c>
      <c r="BC7" s="16">
        <f>SUMIFS(Bookings!$W:$W,Bookings!$T:$T,'Wkly Cash Flow'!BC$2)</f>
        <v>0</v>
      </c>
      <c r="BD7" s="15">
        <v>0</v>
      </c>
      <c r="BE7" s="15">
        <f>SUMIFS(Bookings!$W:$W,Bookings!$T:$T,'Wkly Cash Flow'!BE$2)</f>
        <v>0</v>
      </c>
      <c r="BF7" s="15">
        <f>SUMIFS(Bookings!$W:$W,Bookings!$T:$T,'Wkly Cash Flow'!BF$2)</f>
        <v>0</v>
      </c>
      <c r="BG7" s="16"/>
      <c r="BH7" s="15"/>
      <c r="BI7" s="15"/>
      <c r="BJ7" s="15"/>
      <c r="BK7" s="16"/>
      <c r="BL7" s="15"/>
      <c r="BM7" s="15"/>
      <c r="BN7" s="15"/>
      <c r="BO7" s="16"/>
      <c r="BP7" s="15"/>
      <c r="BQ7" s="15"/>
      <c r="BR7" s="15"/>
      <c r="BS7" s="15"/>
      <c r="BT7" s="16"/>
      <c r="BU7" s="15"/>
      <c r="BV7" s="15"/>
      <c r="BW7" s="15"/>
      <c r="BX7" s="16">
        <f>SUMIFS(Bookings!$W:$W,Bookings!$T:$T,'Wkly Cash Flow'!BX$2)</f>
        <v>0</v>
      </c>
      <c r="BY7" s="15">
        <f>SUMIFS(Bookings!$W:$W,Bookings!$T:$T,'Wkly Cash Flow'!BY$2)</f>
        <v>0</v>
      </c>
      <c r="BZ7" s="15">
        <f>SUMIFS(Bookings!$W:$W,Bookings!$T:$T,'Wkly Cash Flow'!BZ$2)</f>
        <v>0</v>
      </c>
      <c r="CA7" s="14">
        <f>SUMIFS(Bookings!$W:$W,Bookings!$T:$T,'Wkly Cash Flow'!CA$2)</f>
        <v>0</v>
      </c>
      <c r="CB7" s="17">
        <f>SUMIFS(Bookings!$W:$W,Bookings!$T:$T,'Wkly Cash Flow'!CB$2)</f>
        <v>0</v>
      </c>
      <c r="CC7" s="14">
        <f>SUMIFS(Bookings!$W:$W,Bookings!$T:$T,'Wkly Cash Flow'!CC$2)</f>
        <v>0</v>
      </c>
      <c r="CD7" s="14">
        <f>SUMIFS(Bookings!$W:$W,Bookings!$T:$T,'Wkly Cash Flow'!CD$2)</f>
        <v>0</v>
      </c>
      <c r="CE7" s="14">
        <f>SUMIFS(Bookings!$W:$W,Bookings!$T:$T,'Wkly Cash Flow'!CE$2)</f>
        <v>0</v>
      </c>
      <c r="CF7" s="14">
        <f>SUMIFS(Bookings!$W:$W,Bookings!$T:$T,'Wkly Cash Flow'!CF$2)</f>
        <v>0</v>
      </c>
      <c r="CG7" s="17"/>
      <c r="CH7" s="14">
        <f>SUMIFS(Bookings!$W:$W,Bookings!$T:$T,'Wkly Cash Flow'!CH$2)</f>
        <v>0</v>
      </c>
      <c r="CI7" s="14">
        <f>SUMIFS(Bookings!$W:$W,Bookings!$T:$T,'Wkly Cash Flow'!CI$2)</f>
        <v>0</v>
      </c>
      <c r="CJ7" s="14">
        <f>SUMIFS(Bookings!$W:$W,Bookings!$T:$T,'Wkly Cash Flow'!CJ$2)</f>
        <v>0</v>
      </c>
      <c r="CK7" s="17"/>
      <c r="CL7" s="14">
        <f>SUMIFS(Bookings!$W:$W,Bookings!$T:$T,'Wkly Cash Flow'!CL$2)</f>
        <v>0</v>
      </c>
      <c r="CM7" s="14">
        <f>SUMIFS(Bookings!$W:$W,Bookings!$T:$T,'Wkly Cash Flow'!CM$2)</f>
        <v>0</v>
      </c>
      <c r="CN7" s="14">
        <f>SUMIFS(Bookings!$W:$W,Bookings!$T:$T,'Wkly Cash Flow'!CN$2)</f>
        <v>0</v>
      </c>
      <c r="CO7" s="14"/>
      <c r="CP7" s="73"/>
      <c r="CQ7" s="14"/>
      <c r="CR7" s="14"/>
      <c r="CS7" s="14">
        <f>SUMIFS(Bookings!$W:$W,Bookings!$T:$T,'Wkly Cash Flow'!CS$2)</f>
        <v>0</v>
      </c>
      <c r="CT7" s="73"/>
      <c r="CU7" s="14">
        <v>0</v>
      </c>
      <c r="CV7" s="14">
        <f>SUMIFS(Bookings!$W:$W,Bookings!$T:$T,'Wkly Cash Flow'!CV$2)</f>
        <v>0</v>
      </c>
      <c r="CW7" s="14"/>
      <c r="CX7" s="73">
        <f>SUMIFS(Bookings!$W:$W,Bookings!$T:$T,'Wkly Cash Flow'!CX$2)</f>
        <v>0</v>
      </c>
      <c r="CY7" s="14"/>
      <c r="CZ7" s="14"/>
      <c r="DA7" s="14"/>
      <c r="DB7" s="14"/>
      <c r="DC7" s="73"/>
      <c r="DD7" s="14"/>
      <c r="DE7" s="14"/>
      <c r="DF7" s="14"/>
      <c r="DG7" s="147"/>
      <c r="DH7" s="14">
        <f>_xlfn.XLOOKUP(DH$2,Bookings!$T:$T,Bookings!$W:$W)</f>
        <v>0</v>
      </c>
      <c r="DI7" s="14"/>
      <c r="DJ7" s="14"/>
      <c r="DK7" s="73">
        <f>_xlfn.XLOOKUP(DK$2,Bookings!$T:$T,Bookings!$W:$W)</f>
        <v>0</v>
      </c>
      <c r="DL7" s="14"/>
      <c r="DM7" s="14">
        <f>_xlfn.XLOOKUP(DM$2,Bookings!$T:$T,Bookings!$W:$W)</f>
        <v>0</v>
      </c>
      <c r="DN7" s="14"/>
      <c r="DO7" s="105">
        <f>_xlfn.XLOOKUP(DO$2,Bookings!$T:$T,Bookings!$W:$W)</f>
        <v>0</v>
      </c>
      <c r="DP7" s="104">
        <f>_xlfn.XLOOKUP(DP$2,Bookings!$T:$T,Bookings!$W:$W)</f>
        <v>0</v>
      </c>
      <c r="DQ7" s="104">
        <f>_xlfn.XLOOKUP(DQ$2,Bookings!$T:$T,Bookings!$W:$W)</f>
        <v>0</v>
      </c>
      <c r="DR7" s="104">
        <f>_xlfn.XLOOKUP(DR$2,Bookings!$T:$T,Bookings!$W:$W)</f>
        <v>0</v>
      </c>
      <c r="DS7" s="145">
        <f>_xlfn.XLOOKUP(DS$2,Bookings!$T:$T,Bookings!$W:$W)</f>
        <v>0</v>
      </c>
      <c r="DT7" s="105">
        <f>_xlfn.XLOOKUP(DT$2,Bookings!$T:$T,Bookings!$W:$W)</f>
        <v>0</v>
      </c>
      <c r="DU7" s="104">
        <f>_xlfn.XLOOKUP(DU$2,Bookings!$T:$T,Bookings!$W:$W)</f>
        <v>0</v>
      </c>
      <c r="DV7" s="104">
        <f>_xlfn.XLOOKUP(DV$2,Bookings!$T:$T,Bookings!$W:$W)</f>
        <v>0</v>
      </c>
      <c r="DW7" s="104">
        <f>_xlfn.XLOOKUP(DW$2,Bookings!$T:$T,Bookings!$W:$W)</f>
        <v>0</v>
      </c>
      <c r="DX7" s="105">
        <f>_xlfn.XLOOKUP(DX$2,Bookings!$T:$T,Bookings!$W:$W)</f>
        <v>0</v>
      </c>
      <c r="DY7" s="9">
        <f>_xlfn.XLOOKUP(DY$2,Bookings!$T:$T,Bookings!$W:$W)</f>
        <v>1000000</v>
      </c>
      <c r="DZ7" s="9">
        <f>_xlfn.XLOOKUP(DZ$2,Bookings!$T:$T,Bookings!$W:$W)</f>
        <v>0</v>
      </c>
      <c r="EA7" s="9">
        <f>_xlfn.XLOOKUP(EA$2,Bookings!$T:$T,Bookings!$W:$W)</f>
        <v>0</v>
      </c>
      <c r="EB7" s="9">
        <f>_xlfn.XLOOKUP(EB$2,Bookings!$T:$T,Bookings!$W:$W)</f>
        <v>0</v>
      </c>
      <c r="EC7" s="105">
        <f>_xlfn.XLOOKUP(EC$2,Bookings!$T:$T,Bookings!$W:$W)</f>
        <v>2000000</v>
      </c>
      <c r="ED7" s="9">
        <f>_xlfn.XLOOKUP(ED$2,Bookings!$T:$T,Bookings!$W:$W)</f>
        <v>0</v>
      </c>
      <c r="EE7" s="9">
        <f>_xlfn.XLOOKUP(EE$2,Bookings!$T:$T,Bookings!$W:$W)</f>
        <v>0</v>
      </c>
      <c r="EF7" s="9">
        <f>_xlfn.XLOOKUP(EF$2,Bookings!$T:$T,Bookings!$W:$W)</f>
        <v>0</v>
      </c>
      <c r="EG7" s="105">
        <f>_xlfn.XLOOKUP(EG$2,Bookings!$T:$T,Bookings!$W:$W)</f>
        <v>3000000</v>
      </c>
      <c r="EH7" s="9">
        <f>_xlfn.XLOOKUP(EH$2,Bookings!$T:$T,Bookings!$W:$W)</f>
        <v>0</v>
      </c>
      <c r="EI7" s="9">
        <f>_xlfn.XLOOKUP(EI$2,Bookings!$T:$T,Bookings!$W:$W)</f>
        <v>0</v>
      </c>
      <c r="EJ7" s="9">
        <f>_xlfn.XLOOKUP(EJ$2,Bookings!$T:$T,Bookings!$W:$W)</f>
        <v>0</v>
      </c>
      <c r="EK7" s="105">
        <f>_xlfn.XLOOKUP(EK$2,Bookings!$T:$T,Bookings!$W:$W)</f>
        <v>0</v>
      </c>
      <c r="EL7" s="9">
        <f>_xlfn.XLOOKUP(EL$2,Bookings!$T:$T,Bookings!$W:$W)</f>
        <v>4000000</v>
      </c>
    </row>
    <row r="8" spans="1:142" ht="14.5" x14ac:dyDescent="0.35">
      <c r="B8" s="19" t="s">
        <v>5</v>
      </c>
      <c r="C8" s="18"/>
      <c r="D8" s="18"/>
      <c r="E8" s="18"/>
      <c r="F8" s="20"/>
      <c r="G8" s="18"/>
      <c r="H8" s="18"/>
      <c r="I8" s="18"/>
      <c r="J8" s="18"/>
      <c r="K8" s="20"/>
      <c r="L8" s="14">
        <v>500000</v>
      </c>
      <c r="M8" s="14"/>
      <c r="N8" s="14">
        <v>1940000</v>
      </c>
      <c r="O8" s="17">
        <v>952054.58999999985</v>
      </c>
      <c r="P8" s="14"/>
      <c r="Q8" s="14"/>
      <c r="R8" s="14"/>
      <c r="S8" s="14"/>
      <c r="T8" s="17"/>
      <c r="U8" s="14"/>
      <c r="V8" s="14"/>
      <c r="W8" s="14"/>
      <c r="X8" s="17"/>
      <c r="Y8" s="14">
        <v>550000</v>
      </c>
      <c r="Z8" s="14">
        <v>689000</v>
      </c>
      <c r="AA8" s="14"/>
      <c r="AB8" s="17"/>
      <c r="AC8" s="14"/>
      <c r="AD8" s="14"/>
      <c r="AE8" s="14"/>
      <c r="AF8" s="14"/>
      <c r="AG8" s="17">
        <v>600000</v>
      </c>
      <c r="AH8" s="14"/>
      <c r="AI8" s="14"/>
      <c r="AJ8" s="14"/>
      <c r="AK8" s="17"/>
      <c r="AL8" s="14"/>
      <c r="AM8" s="14"/>
      <c r="AN8" s="14"/>
      <c r="AO8" s="17"/>
      <c r="AP8" s="14"/>
      <c r="AQ8" s="14"/>
      <c r="AR8" s="14"/>
      <c r="AS8" s="14"/>
      <c r="AT8" s="17"/>
      <c r="AU8" s="14"/>
      <c r="AV8" s="14">
        <v>430000</v>
      </c>
      <c r="AW8" s="14"/>
      <c r="AX8" s="17"/>
      <c r="AY8" s="14"/>
      <c r="AZ8" s="14"/>
      <c r="BA8" s="14"/>
      <c r="BB8" s="14"/>
      <c r="BC8" s="17"/>
      <c r="BD8" s="14"/>
      <c r="BE8" s="14"/>
      <c r="BF8" s="14">
        <v>600000</v>
      </c>
      <c r="BG8" s="17"/>
      <c r="BH8" s="14">
        <v>200000</v>
      </c>
      <c r="BI8" s="14">
        <v>400000</v>
      </c>
      <c r="BJ8" s="14"/>
      <c r="BK8" s="17">
        <v>200000</v>
      </c>
      <c r="BL8" s="14"/>
      <c r="BM8" s="14"/>
      <c r="BN8" s="14"/>
      <c r="BO8" s="17"/>
      <c r="BP8" s="14"/>
      <c r="BQ8" s="14"/>
      <c r="BR8" s="14"/>
      <c r="BS8" s="14"/>
      <c r="BT8" s="17"/>
      <c r="BU8" s="14">
        <v>500000</v>
      </c>
      <c r="BV8" s="14"/>
      <c r="BW8" s="14">
        <v>1500000</v>
      </c>
      <c r="BX8" s="16">
        <v>700000</v>
      </c>
      <c r="BY8" s="15"/>
      <c r="BZ8" s="14"/>
      <c r="CA8" s="14">
        <f>300000</f>
        <v>300000</v>
      </c>
      <c r="CB8" s="17"/>
      <c r="CC8" s="14"/>
      <c r="CD8" s="14"/>
      <c r="CE8" s="14">
        <f>18094708.55</f>
        <v>18094708.550000001</v>
      </c>
      <c r="CF8" s="14"/>
      <c r="CG8" s="17"/>
      <c r="CH8" s="14"/>
      <c r="CI8" s="14"/>
      <c r="CJ8" s="14"/>
      <c r="CK8" s="17"/>
      <c r="CL8" s="14"/>
      <c r="CM8" s="14"/>
      <c r="CN8" s="14"/>
      <c r="CO8" s="14"/>
      <c r="CP8" s="73"/>
      <c r="CQ8" s="14"/>
      <c r="CR8" s="14">
        <v>213795</v>
      </c>
      <c r="CS8" s="14"/>
      <c r="CT8" s="73">
        <f>204312</f>
        <v>204312</v>
      </c>
      <c r="CU8" s="14"/>
      <c r="CV8" s="14"/>
      <c r="CW8" s="14"/>
      <c r="CX8" s="73"/>
      <c r="CY8" s="14"/>
      <c r="CZ8" s="14"/>
      <c r="DA8" s="14"/>
      <c r="DB8" s="14"/>
      <c r="DC8" s="73"/>
      <c r="DD8" s="14"/>
      <c r="DE8" s="14"/>
      <c r="DF8" s="14"/>
      <c r="DG8" s="148"/>
      <c r="DH8" s="14"/>
      <c r="DI8" s="14"/>
      <c r="DJ8" s="14"/>
      <c r="DK8" s="73"/>
      <c r="DL8" s="14"/>
      <c r="DM8" s="14"/>
      <c r="DN8" s="14"/>
      <c r="DO8" s="76"/>
      <c r="DP8" s="75"/>
      <c r="DQ8" s="75"/>
      <c r="DR8" s="75"/>
      <c r="DS8" s="75"/>
      <c r="DT8" s="76"/>
      <c r="DU8" s="75"/>
      <c r="DV8" s="75"/>
      <c r="DW8" s="75"/>
      <c r="DX8" s="76"/>
      <c r="DY8" s="75"/>
      <c r="DZ8" s="75"/>
      <c r="EA8" s="75"/>
      <c r="EB8" s="75"/>
      <c r="EC8" s="76"/>
      <c r="ED8" s="75"/>
      <c r="EE8" s="75"/>
      <c r="EF8" s="75"/>
      <c r="EG8" s="76"/>
      <c r="EH8" s="75"/>
      <c r="EI8" s="75"/>
      <c r="EJ8" s="75"/>
      <c r="EK8" s="76"/>
      <c r="EL8" s="75"/>
    </row>
    <row r="9" spans="1:142" ht="14.5" x14ac:dyDescent="0.35">
      <c r="B9" s="11" t="s">
        <v>6</v>
      </c>
      <c r="C9" s="12"/>
      <c r="D9" s="12"/>
      <c r="E9" s="12"/>
      <c r="F9" s="13"/>
      <c r="G9" s="12"/>
      <c r="H9" s="12"/>
      <c r="I9" s="12"/>
      <c r="J9" s="12"/>
      <c r="K9" s="13"/>
      <c r="L9" s="12"/>
      <c r="M9" s="12"/>
      <c r="N9" s="12"/>
      <c r="O9" s="13"/>
      <c r="P9" s="12"/>
      <c r="Q9" s="12"/>
      <c r="R9" s="12"/>
      <c r="S9" s="12"/>
      <c r="T9" s="13"/>
      <c r="U9" s="12"/>
      <c r="V9" s="12"/>
      <c r="W9" s="12"/>
      <c r="X9" s="13"/>
      <c r="Y9" s="12"/>
      <c r="Z9" s="12"/>
      <c r="AA9" s="12"/>
      <c r="AB9" s="13"/>
      <c r="AC9" s="12"/>
      <c r="AD9" s="12"/>
      <c r="AE9" s="12"/>
      <c r="AF9" s="12"/>
      <c r="AG9" s="13"/>
      <c r="AH9" s="12"/>
      <c r="AI9" s="12"/>
      <c r="AJ9" s="12"/>
      <c r="AK9" s="13"/>
      <c r="AL9" s="12"/>
      <c r="AM9" s="12"/>
      <c r="AN9" s="12"/>
      <c r="AO9" s="13"/>
      <c r="AP9" s="12"/>
      <c r="AQ9" s="12"/>
      <c r="AR9" s="12"/>
      <c r="AS9" s="12"/>
      <c r="AT9" s="13"/>
      <c r="AU9" s="12"/>
      <c r="AV9" s="12"/>
      <c r="AW9" s="12"/>
      <c r="AX9" s="13"/>
      <c r="AY9" s="12"/>
      <c r="AZ9" s="12"/>
      <c r="BA9" s="12"/>
      <c r="BB9" s="12"/>
      <c r="BC9" s="13"/>
      <c r="BD9" s="12"/>
      <c r="BE9" s="12"/>
      <c r="BF9" s="12"/>
      <c r="BG9" s="13"/>
      <c r="BH9" s="12"/>
      <c r="BI9" s="12"/>
      <c r="BJ9" s="12"/>
      <c r="BK9" s="13"/>
      <c r="BL9" s="12"/>
      <c r="BM9" s="12"/>
      <c r="BN9" s="12"/>
      <c r="BO9" s="13"/>
      <c r="BP9" s="12"/>
      <c r="BQ9" s="12"/>
      <c r="BR9" s="12"/>
      <c r="BS9" s="12"/>
      <c r="BT9" s="13"/>
      <c r="BU9" s="12"/>
      <c r="BV9" s="12"/>
      <c r="BW9" s="12"/>
      <c r="BX9" s="13"/>
      <c r="BY9" s="12"/>
      <c r="BZ9" s="12"/>
      <c r="CA9" s="12"/>
      <c r="CB9" s="13"/>
      <c r="CC9" s="12"/>
      <c r="CD9" s="12"/>
      <c r="CE9" s="12"/>
      <c r="CF9" s="12"/>
      <c r="CG9" s="13"/>
      <c r="CH9" s="12"/>
      <c r="CI9" s="12"/>
      <c r="CJ9" s="12"/>
      <c r="CK9" s="13"/>
      <c r="CL9" s="12"/>
      <c r="CM9" s="12"/>
      <c r="CN9" s="12"/>
      <c r="CO9" s="12"/>
      <c r="CP9" s="72"/>
      <c r="CQ9" s="12"/>
      <c r="CR9" s="12"/>
      <c r="CS9" s="12"/>
      <c r="CT9" s="72"/>
      <c r="CU9" s="12"/>
      <c r="CV9" s="12"/>
      <c r="CW9" s="12"/>
      <c r="CX9" s="72"/>
      <c r="CY9" s="12"/>
      <c r="CZ9" s="12"/>
      <c r="DA9" s="12"/>
      <c r="DB9" s="12"/>
      <c r="DC9" s="72"/>
      <c r="DD9" s="12"/>
      <c r="DE9" s="12"/>
      <c r="DF9" s="12"/>
      <c r="DG9" s="72"/>
      <c r="DH9" s="12"/>
      <c r="DI9" s="12"/>
      <c r="DJ9" s="12"/>
      <c r="DK9" s="72"/>
      <c r="DL9" s="12"/>
      <c r="DM9" s="12"/>
      <c r="DN9" s="12"/>
      <c r="DO9" s="72"/>
      <c r="DP9" s="12"/>
      <c r="DQ9" s="12"/>
      <c r="DR9" s="12"/>
      <c r="DS9" s="12"/>
      <c r="DT9" s="72"/>
      <c r="DU9" s="12"/>
      <c r="DV9" s="12"/>
      <c r="DW9" s="12"/>
      <c r="DX9" s="72"/>
      <c r="DY9" s="12"/>
      <c r="DZ9" s="12"/>
      <c r="EA9" s="12"/>
      <c r="EB9" s="12"/>
      <c r="EC9" s="72"/>
      <c r="ED9" s="12"/>
      <c r="EE9" s="12"/>
      <c r="EF9" s="12"/>
      <c r="EG9" s="72"/>
      <c r="EH9" s="12"/>
      <c r="EI9" s="12"/>
      <c r="EJ9" s="12"/>
      <c r="EK9" s="72"/>
      <c r="EL9" s="12"/>
    </row>
    <row r="10" spans="1:142" ht="14.5" x14ac:dyDescent="0.35">
      <c r="B10" s="8" t="s">
        <v>7</v>
      </c>
      <c r="C10" s="14">
        <v>-486239.44</v>
      </c>
      <c r="D10" s="14"/>
      <c r="E10" s="14">
        <v>-479000</v>
      </c>
      <c r="F10" s="17"/>
      <c r="G10" s="14">
        <v>-457093.02</v>
      </c>
      <c r="H10" s="14"/>
      <c r="I10" s="14">
        <v>-469959.91</v>
      </c>
      <c r="J10" s="14">
        <v>21.49</v>
      </c>
      <c r="K10" s="17">
        <v>-471832.44999999995</v>
      </c>
      <c r="L10" s="14"/>
      <c r="M10" s="14">
        <v>-485000</v>
      </c>
      <c r="N10" s="14"/>
      <c r="O10" s="17">
        <v>-485000</v>
      </c>
      <c r="P10" s="14"/>
      <c r="Q10" s="14">
        <v>-490000</v>
      </c>
      <c r="R10" s="14"/>
      <c r="S10" s="14">
        <v>-490000</v>
      </c>
      <c r="T10" s="17"/>
      <c r="U10" s="14">
        <v>-450603.76</v>
      </c>
      <c r="V10" s="14"/>
      <c r="W10" s="14">
        <v>-507095.7</v>
      </c>
      <c r="X10" s="17"/>
      <c r="Y10" s="14">
        <v>-460000</v>
      </c>
      <c r="Z10" s="14"/>
      <c r="AA10" s="14">
        <v>-460000</v>
      </c>
      <c r="AB10" s="17"/>
      <c r="AC10" s="14">
        <v>-490000</v>
      </c>
      <c r="AD10" s="14"/>
      <c r="AE10" s="14">
        <v>-488297.24</v>
      </c>
      <c r="AF10" s="14"/>
      <c r="AG10" s="17">
        <f>-713222.48-AG11</f>
        <v>-521554.18</v>
      </c>
      <c r="AH10" s="14"/>
      <c r="AI10" s="14">
        <v>-525173.09</v>
      </c>
      <c r="AJ10" s="14"/>
      <c r="AK10" s="17">
        <f>-672927+117564.09</f>
        <v>-555362.91</v>
      </c>
      <c r="AL10" s="14"/>
      <c r="AM10" s="14">
        <v>-500072.79</v>
      </c>
      <c r="AN10" s="14"/>
      <c r="AO10" s="17">
        <v>-579638.44999999995</v>
      </c>
      <c r="AP10" s="14"/>
      <c r="AQ10" s="14">
        <v>-521222.51</v>
      </c>
      <c r="AR10" s="14"/>
      <c r="AS10" s="14">
        <v>-553535.47</v>
      </c>
      <c r="AT10" s="17"/>
      <c r="AU10" s="14">
        <v>-524725.96</v>
      </c>
      <c r="AV10" s="14">
        <v>-1958.14</v>
      </c>
      <c r="AW10" s="14">
        <v>-626469.52</v>
      </c>
      <c r="AX10" s="17"/>
      <c r="AY10" s="14">
        <v>-571065.76</v>
      </c>
      <c r="AZ10" s="14"/>
      <c r="BA10" s="14">
        <v>-557810.56999999995</v>
      </c>
      <c r="BB10" s="14"/>
      <c r="BC10" s="17">
        <v>-577090.03</v>
      </c>
      <c r="BD10" s="14"/>
      <c r="BE10" s="14">
        <v>-559835</v>
      </c>
      <c r="BF10" s="14"/>
      <c r="BG10" s="17">
        <v>-564444.79</v>
      </c>
      <c r="BH10" s="14"/>
      <c r="BI10" s="14">
        <v>-556561.81000000006</v>
      </c>
      <c r="BJ10" s="14"/>
      <c r="BK10" s="17">
        <v>-579826.37</v>
      </c>
      <c r="BL10" s="14"/>
      <c r="BM10" s="14">
        <v>-558465.81000000006</v>
      </c>
      <c r="BN10" s="14"/>
      <c r="BO10" s="17">
        <v>-557392.87</v>
      </c>
      <c r="BP10" s="14"/>
      <c r="BQ10" s="14">
        <v>-578607.75</v>
      </c>
      <c r="BR10" s="14"/>
      <c r="BS10" s="14">
        <f>-588831.05-3280.07+1478.1</f>
        <v>-590633.02</v>
      </c>
      <c r="BT10" s="17"/>
      <c r="BU10" s="14">
        <v>-583994.98</v>
      </c>
      <c r="BV10" s="14"/>
      <c r="BW10" s="14">
        <v>-614501.64</v>
      </c>
      <c r="BX10" s="16"/>
      <c r="BY10" s="14">
        <f>-598670.19</f>
        <v>-598670.18999999994</v>
      </c>
      <c r="BZ10" s="14"/>
      <c r="CA10" s="14">
        <f>-604531.81</f>
        <v>-604531.81000000006</v>
      </c>
      <c r="CB10" s="17"/>
      <c r="CC10" s="14">
        <v>-616962</v>
      </c>
      <c r="CD10" s="14"/>
      <c r="CE10" s="14">
        <f>-633064.48</f>
        <v>-633064.48</v>
      </c>
      <c r="CF10" s="14"/>
      <c r="CG10" s="17">
        <v>-822215.94</v>
      </c>
      <c r="CH10" s="14"/>
      <c r="CI10" s="14">
        <v>-624037.09</v>
      </c>
      <c r="CJ10" s="14"/>
      <c r="CK10" s="17">
        <v>-678441.1</v>
      </c>
      <c r="CL10" s="14"/>
      <c r="CM10" s="14">
        <v>-740246.79</v>
      </c>
      <c r="CN10" s="14"/>
      <c r="CO10" s="14">
        <f>-685708.64</f>
        <v>-685708.64</v>
      </c>
      <c r="CP10" s="73">
        <f>-308529.71</f>
        <v>-308529.71000000002</v>
      </c>
      <c r="CQ10" s="14">
        <f>-684765.8</f>
        <v>-684765.8</v>
      </c>
      <c r="CR10" s="14"/>
      <c r="CS10" s="14">
        <f>-761855.96</f>
        <v>-761855.96</v>
      </c>
      <c r="CT10" s="73">
        <v>-298101.65999999997</v>
      </c>
      <c r="CU10" s="14">
        <v>-746662.23</v>
      </c>
      <c r="CV10" s="14"/>
      <c r="CW10" s="14">
        <f>-764439.25</f>
        <v>-764439.25</v>
      </c>
      <c r="CX10" s="73"/>
      <c r="CY10" s="14">
        <f>-824720.16</f>
        <v>-824720.16</v>
      </c>
      <c r="CZ10" s="14"/>
      <c r="DA10" s="14">
        <v>-841297.88</v>
      </c>
      <c r="DB10" s="14"/>
      <c r="DC10" s="73">
        <f>-1506934.58</f>
        <v>-1506934.58</v>
      </c>
      <c r="DD10" s="14"/>
      <c r="DE10" s="14">
        <f>-802575.13</f>
        <v>-802575.13</v>
      </c>
      <c r="DF10" s="14"/>
      <c r="DG10" s="147">
        <v>-1080029.3899999999</v>
      </c>
      <c r="DH10" s="14"/>
      <c r="DI10" s="14">
        <f>-836039.47</f>
        <v>-836039.47</v>
      </c>
      <c r="DJ10" s="14"/>
      <c r="DK10" s="73">
        <f>-834536.36</f>
        <v>-834536.36</v>
      </c>
      <c r="DL10" s="14"/>
      <c r="DM10" s="14">
        <f>-845077.81</f>
        <v>-845077.81</v>
      </c>
      <c r="DN10" s="14"/>
      <c r="DO10" s="71">
        <v>-880000</v>
      </c>
      <c r="DP10" s="9"/>
      <c r="DQ10" s="9">
        <v>-890000</v>
      </c>
      <c r="DR10" s="9"/>
      <c r="DS10" s="9">
        <v>-890000</v>
      </c>
      <c r="DT10" s="71"/>
      <c r="DU10" s="9">
        <v>-900000</v>
      </c>
      <c r="DV10" s="9"/>
      <c r="DW10" s="9">
        <v>-900000</v>
      </c>
      <c r="DX10" s="71"/>
      <c r="DY10" s="9">
        <v>-900000</v>
      </c>
      <c r="DZ10" s="9"/>
      <c r="EA10" s="9">
        <v>-900000</v>
      </c>
      <c r="EB10" s="9"/>
      <c r="EC10" s="71">
        <v>-900000</v>
      </c>
      <c r="ED10" s="9"/>
      <c r="EE10" s="9">
        <v>-910000</v>
      </c>
      <c r="EF10" s="9"/>
      <c r="EG10" s="71">
        <v>-910000</v>
      </c>
      <c r="EH10" s="9"/>
      <c r="EI10" s="9">
        <v>-910000</v>
      </c>
      <c r="EJ10" s="9"/>
      <c r="EK10" s="71">
        <v>-910000</v>
      </c>
      <c r="EL10" s="9"/>
    </row>
    <row r="11" spans="1:142" ht="14.5" x14ac:dyDescent="0.35">
      <c r="B11" s="8" t="s">
        <v>8</v>
      </c>
      <c r="C11" s="14">
        <v>-106753.96</v>
      </c>
      <c r="D11" s="14"/>
      <c r="E11" s="14"/>
      <c r="F11" s="17"/>
      <c r="G11" s="14">
        <v>-235369.33</v>
      </c>
      <c r="H11" s="14"/>
      <c r="I11" s="14"/>
      <c r="J11" s="14"/>
      <c r="K11" s="17">
        <v>-86851.37</v>
      </c>
      <c r="L11" s="14"/>
      <c r="M11" s="14"/>
      <c r="N11" s="14"/>
      <c r="O11" s="17">
        <v>-100000</v>
      </c>
      <c r="P11" s="14"/>
      <c r="Q11" s="14"/>
      <c r="R11" s="14"/>
      <c r="S11" s="14"/>
      <c r="T11" s="17">
        <v>-292849</v>
      </c>
      <c r="U11" s="14"/>
      <c r="V11" s="14"/>
      <c r="W11" s="14"/>
      <c r="X11" s="17">
        <v>-135000</v>
      </c>
      <c r="Y11" s="14"/>
      <c r="Z11" s="14"/>
      <c r="AA11" s="14"/>
      <c r="AB11" s="17"/>
      <c r="AC11" s="14">
        <v>-150000</v>
      </c>
      <c r="AD11" s="14"/>
      <c r="AE11" s="14"/>
      <c r="AF11" s="14"/>
      <c r="AG11" s="17">
        <f>-191668.3</f>
        <v>-191668.3</v>
      </c>
      <c r="AH11" s="14"/>
      <c r="AI11" s="14"/>
      <c r="AJ11" s="14"/>
      <c r="AK11" s="17">
        <v>-131717.46</v>
      </c>
      <c r="AL11" s="14"/>
      <c r="AM11" s="14"/>
      <c r="AN11" s="14"/>
      <c r="AO11" s="17"/>
      <c r="AP11" s="14">
        <v>-150968.47</v>
      </c>
      <c r="AQ11" s="14"/>
      <c r="AR11" s="14"/>
      <c r="AS11" s="14"/>
      <c r="AT11" s="17">
        <v>-189304.86</v>
      </c>
      <c r="AU11" s="14"/>
      <c r="AV11" s="14"/>
      <c r="AW11" s="14"/>
      <c r="AX11" s="17">
        <v>-147897.35</v>
      </c>
      <c r="AY11" s="14">
        <v>-194609.73</v>
      </c>
      <c r="AZ11" s="14"/>
      <c r="BA11" s="14"/>
      <c r="BB11" s="14"/>
      <c r="BC11" s="17">
        <v>-254504.33</v>
      </c>
      <c r="BD11" s="14"/>
      <c r="BE11" s="14">
        <v>-8796.32</v>
      </c>
      <c r="BF11" s="14"/>
      <c r="BG11" s="17">
        <v>-265882.84999999998</v>
      </c>
      <c r="BH11" s="14"/>
      <c r="BI11" s="14"/>
      <c r="BJ11" s="14"/>
      <c r="BK11" s="17">
        <v>-98622.43</v>
      </c>
      <c r="BL11" s="14"/>
      <c r="BM11" s="14"/>
      <c r="BN11" s="14"/>
      <c r="BO11" s="17">
        <v>-156573.57</v>
      </c>
      <c r="BP11" s="14">
        <v>-223996.81</v>
      </c>
      <c r="BQ11" s="14"/>
      <c r="BR11" s="14"/>
      <c r="BS11" s="14"/>
      <c r="BT11" s="17">
        <v>-480222.88</v>
      </c>
      <c r="BU11" s="14"/>
      <c r="BV11" s="14"/>
      <c r="BW11" s="14"/>
      <c r="BX11" s="17">
        <v>-177215.52</v>
      </c>
      <c r="BY11" s="14"/>
      <c r="BZ11" s="14"/>
      <c r="CA11" s="14"/>
      <c r="CB11" s="17"/>
      <c r="CC11" s="14">
        <v>-185940.88</v>
      </c>
      <c r="CD11" s="14"/>
      <c r="CE11" s="14"/>
      <c r="CF11" s="14">
        <v>-17629223.68</v>
      </c>
      <c r="CG11" s="17"/>
      <c r="CH11" s="14"/>
      <c r="CI11" s="14"/>
      <c r="CJ11" s="14"/>
      <c r="CK11" s="17"/>
      <c r="CL11" s="14">
        <v>-131031.48</v>
      </c>
      <c r="CM11" s="14"/>
      <c r="CN11" s="14"/>
      <c r="CO11" s="14"/>
      <c r="CP11" s="73"/>
      <c r="CQ11" s="14"/>
      <c r="CR11" s="14"/>
      <c r="CS11" s="14"/>
      <c r="CT11" s="73"/>
      <c r="CU11" s="14"/>
      <c r="CV11" s="14"/>
      <c r="CW11" s="14"/>
      <c r="CX11" s="73"/>
      <c r="CY11" s="14">
        <f>-315545.79</f>
        <v>-315545.78999999998</v>
      </c>
      <c r="CZ11" s="14"/>
      <c r="DA11" s="14"/>
      <c r="DB11" s="14"/>
      <c r="DC11" s="73"/>
      <c r="DD11" s="14"/>
      <c r="DE11" s="14"/>
      <c r="DF11" s="14"/>
      <c r="DG11" s="147"/>
      <c r="DH11" s="14"/>
      <c r="DI11" s="14"/>
      <c r="DJ11" s="14"/>
      <c r="DK11" s="73"/>
      <c r="DL11" s="14">
        <v>-420008.56</v>
      </c>
      <c r="DM11" s="14"/>
      <c r="DN11" s="14"/>
      <c r="DO11" s="71">
        <v>-250000</v>
      </c>
      <c r="DP11" s="9"/>
      <c r="DQ11" s="9"/>
      <c r="DR11" s="9"/>
      <c r="DS11" s="79"/>
      <c r="DT11" s="71">
        <v>-250000</v>
      </c>
      <c r="DU11" s="9"/>
      <c r="DV11" s="9" t="s">
        <v>133</v>
      </c>
      <c r="DW11" s="9"/>
      <c r="DX11" s="71">
        <v>-250000</v>
      </c>
      <c r="DY11" s="9"/>
      <c r="DZ11" s="9"/>
      <c r="EA11" s="9"/>
      <c r="EB11" s="9"/>
      <c r="EC11" s="71">
        <v>-250000</v>
      </c>
      <c r="ED11" s="9"/>
      <c r="EE11" s="9"/>
      <c r="EF11" s="9"/>
      <c r="EG11" s="71">
        <v>-250000</v>
      </c>
      <c r="EH11" s="9"/>
      <c r="EI11" s="9"/>
      <c r="EJ11" s="9"/>
      <c r="EK11" s="71">
        <v>-250000</v>
      </c>
      <c r="EL11" s="9"/>
    </row>
    <row r="12" spans="1:142" ht="14.5" x14ac:dyDescent="0.35">
      <c r="B12" s="8" t="s">
        <v>9</v>
      </c>
      <c r="C12" s="14">
        <v>-85053.24</v>
      </c>
      <c r="D12" s="14"/>
      <c r="E12" s="14"/>
      <c r="F12" s="17"/>
      <c r="G12" s="14">
        <v>-78906.19</v>
      </c>
      <c r="H12" s="14"/>
      <c r="I12" s="14"/>
      <c r="J12" s="14"/>
      <c r="K12" s="17"/>
      <c r="L12" s="14">
        <v>-78000</v>
      </c>
      <c r="M12" s="14"/>
      <c r="N12" s="14"/>
      <c r="O12" s="17"/>
      <c r="P12" s="14">
        <v>-78000</v>
      </c>
      <c r="Q12" s="14"/>
      <c r="R12" s="14"/>
      <c r="S12" s="14"/>
      <c r="T12" s="17"/>
      <c r="U12" s="14">
        <v>-74429.3</v>
      </c>
      <c r="V12" s="14"/>
      <c r="W12" s="14"/>
      <c r="X12" s="17"/>
      <c r="Y12" s="14">
        <v>-78000</v>
      </c>
      <c r="Z12" s="14"/>
      <c r="AA12" s="14"/>
      <c r="AB12" s="17"/>
      <c r="AC12" s="14">
        <v>-78000</v>
      </c>
      <c r="AD12" s="14"/>
      <c r="AE12" s="14"/>
      <c r="AF12" s="14"/>
      <c r="AG12" s="17"/>
      <c r="AH12" s="14">
        <v>-86047.42</v>
      </c>
      <c r="AI12" s="14"/>
      <c r="AJ12" s="14"/>
      <c r="AK12" s="17"/>
      <c r="AL12" s="14">
        <v>-72792.41</v>
      </c>
      <c r="AM12" s="14"/>
      <c r="AN12" s="14"/>
      <c r="AO12" s="17"/>
      <c r="AP12" s="14">
        <v>-115474.84</v>
      </c>
      <c r="AQ12" s="14"/>
      <c r="AR12" s="14"/>
      <c r="AS12" s="14"/>
      <c r="AT12" s="17"/>
      <c r="AU12" s="14">
        <v>-102027.2</v>
      </c>
      <c r="AV12" s="14"/>
      <c r="AW12" s="14"/>
      <c r="AX12" s="17"/>
      <c r="AY12" s="14">
        <v>-104693.15</v>
      </c>
      <c r="AZ12" s="14"/>
      <c r="BA12" s="14"/>
      <c r="BB12" s="14"/>
      <c r="BC12" s="17"/>
      <c r="BD12" s="14">
        <f>-100200.84-3364.89</f>
        <v>-103565.73</v>
      </c>
      <c r="BE12" s="14"/>
      <c r="BF12" s="14"/>
      <c r="BG12" s="17"/>
      <c r="BH12" s="14">
        <f>-106343.19-2205.82</f>
        <v>-108549.01000000001</v>
      </c>
      <c r="BI12" s="14"/>
      <c r="BJ12" s="14"/>
      <c r="BK12" s="17"/>
      <c r="BL12" s="14">
        <v>-103571.15</v>
      </c>
      <c r="BM12" s="14"/>
      <c r="BN12" s="14"/>
      <c r="BO12" s="17"/>
      <c r="BP12" s="14">
        <v>-108967.13</v>
      </c>
      <c r="BQ12" s="14"/>
      <c r="BR12" s="14"/>
      <c r="BS12" s="14"/>
      <c r="BT12" s="17"/>
      <c r="BU12" s="14">
        <v>-116241.15</v>
      </c>
      <c r="BV12" s="14"/>
      <c r="BW12" s="14"/>
      <c r="BX12" s="16"/>
      <c r="BY12" s="14">
        <f>-110585.38</f>
        <v>-110585.38</v>
      </c>
      <c r="BZ12" s="14"/>
      <c r="CA12" s="14">
        <f>-179.1</f>
        <v>-179.1</v>
      </c>
      <c r="CB12" s="17">
        <v>-70271.89</v>
      </c>
      <c r="CC12" s="14">
        <v>-181343.38</v>
      </c>
      <c r="CD12" s="14"/>
      <c r="CE12" s="14">
        <f>-73464.74-363.79</f>
        <v>-73828.53</v>
      </c>
      <c r="CF12" s="14"/>
      <c r="CG12" s="17">
        <f>-75985.49</f>
        <v>-75985.490000000005</v>
      </c>
      <c r="CH12" s="14">
        <f>-111266.15</f>
        <v>-111266.15</v>
      </c>
      <c r="CI12" s="14">
        <v>-77160.92</v>
      </c>
      <c r="CJ12" s="14">
        <f>-429.84</f>
        <v>-429.84</v>
      </c>
      <c r="CK12" s="17"/>
      <c r="CL12" s="14">
        <v>-132521.39000000001</v>
      </c>
      <c r="CM12" s="14">
        <v>-90103.71</v>
      </c>
      <c r="CN12" s="14"/>
      <c r="CO12" s="14">
        <v>-87574.68</v>
      </c>
      <c r="CP12" s="73">
        <f>-10000</f>
        <v>-10000</v>
      </c>
      <c r="CQ12" s="14">
        <f>-249028.7</f>
        <v>-249028.7</v>
      </c>
      <c r="CR12" s="14"/>
      <c r="CS12" s="14"/>
      <c r="CT12" s="73"/>
      <c r="CU12" s="14">
        <v>-250505.51</v>
      </c>
      <c r="CV12" s="14"/>
      <c r="CW12" s="14">
        <f>-93327.42</f>
        <v>-93327.42</v>
      </c>
      <c r="CX12" s="73"/>
      <c r="CY12" s="14">
        <f>-165682.73</f>
        <v>-165682.73000000001</v>
      </c>
      <c r="CZ12" s="14">
        <f>-104132.05</f>
        <v>-104132.05</v>
      </c>
      <c r="DA12" s="14">
        <f>-101280.94</f>
        <v>-101280.94</v>
      </c>
      <c r="DB12" s="14"/>
      <c r="DC12" s="73">
        <v>-99371.87</v>
      </c>
      <c r="DD12" s="14">
        <f>-179485.14</f>
        <v>-179485.14</v>
      </c>
      <c r="DE12" s="14">
        <f>-102116.03</f>
        <v>-102116.03</v>
      </c>
      <c r="DF12" s="14"/>
      <c r="DG12" s="147"/>
      <c r="DH12" s="14">
        <f>-178326.85</f>
        <v>-178326.85</v>
      </c>
      <c r="DI12" s="14">
        <f>-109690.73</f>
        <v>-109690.73</v>
      </c>
      <c r="DJ12" s="14"/>
      <c r="DK12" s="73"/>
      <c r="DL12" s="14">
        <f>-180322.52</f>
        <v>-180322.52</v>
      </c>
      <c r="DM12" s="14">
        <f>-113261.19</f>
        <v>-113261.19</v>
      </c>
      <c r="DN12" s="14"/>
      <c r="DO12" s="71">
        <v>-100000</v>
      </c>
      <c r="DP12" s="9">
        <v>-175000</v>
      </c>
      <c r="DQ12" s="9">
        <v>-100000</v>
      </c>
      <c r="DR12" s="9">
        <v>-5000</v>
      </c>
      <c r="DS12" s="9">
        <v>-100000</v>
      </c>
      <c r="DT12" s="71">
        <v>-5000</v>
      </c>
      <c r="DU12" s="9">
        <f>-175000-95000</f>
        <v>-270000</v>
      </c>
      <c r="DV12" s="9">
        <v>-5000</v>
      </c>
      <c r="DW12" s="9">
        <v>-100000</v>
      </c>
      <c r="DX12" s="71">
        <v>-10000</v>
      </c>
      <c r="DY12" s="9">
        <v>-175000</v>
      </c>
      <c r="DZ12" s="9"/>
      <c r="EA12" s="9"/>
      <c r="EB12" s="9"/>
      <c r="EC12" s="71"/>
      <c r="ED12" s="9">
        <v>-175000</v>
      </c>
      <c r="EE12" s="9"/>
      <c r="EF12" s="9"/>
      <c r="EG12" s="71"/>
      <c r="EH12" s="9">
        <v>-270000</v>
      </c>
      <c r="EI12" s="9"/>
      <c r="EJ12" s="9"/>
      <c r="EK12" s="71"/>
      <c r="EL12" s="9">
        <v>-175000</v>
      </c>
    </row>
    <row r="13" spans="1:142" ht="14.5" x14ac:dyDescent="0.35">
      <c r="B13" s="8" t="s">
        <v>10</v>
      </c>
      <c r="C13" s="14">
        <v>-64666.1</v>
      </c>
      <c r="D13" s="14">
        <v>-410.23</v>
      </c>
      <c r="E13" s="14">
        <v>-51000</v>
      </c>
      <c r="F13" s="17">
        <v>-589.21</v>
      </c>
      <c r="G13" s="14">
        <v>-55973.409999999996</v>
      </c>
      <c r="H13" s="14">
        <v>-12640.81</v>
      </c>
      <c r="I13" s="14">
        <v>-55907.520000000004</v>
      </c>
      <c r="J13" s="14">
        <v>-1199.52</v>
      </c>
      <c r="K13" s="17">
        <v>-3270.66</v>
      </c>
      <c r="L13" s="14"/>
      <c r="M13" s="14">
        <v>-56000</v>
      </c>
      <c r="N13" s="14"/>
      <c r="O13" s="17">
        <v>-56000</v>
      </c>
      <c r="P13" s="14"/>
      <c r="Q13" s="14">
        <v>-56000</v>
      </c>
      <c r="R13" s="14"/>
      <c r="S13" s="14">
        <v>-56000</v>
      </c>
      <c r="T13" s="17"/>
      <c r="U13" s="14">
        <v>-65049.56</v>
      </c>
      <c r="V13" s="14">
        <v>1743.15</v>
      </c>
      <c r="W13" s="14">
        <v>-57151.02</v>
      </c>
      <c r="X13" s="17">
        <v>-4642.18</v>
      </c>
      <c r="Y13" s="14">
        <v>-60000</v>
      </c>
      <c r="Z13" s="14"/>
      <c r="AA13" s="14">
        <v>-60000</v>
      </c>
      <c r="AB13" s="17"/>
      <c r="AC13" s="14">
        <v>-60000</v>
      </c>
      <c r="AD13" s="14"/>
      <c r="AE13" s="14">
        <v>976.15</v>
      </c>
      <c r="AF13" s="14">
        <f>-763.96-57764</f>
        <v>-58527.96</v>
      </c>
      <c r="AG13" s="17">
        <f>-251.95-63613.42+19.9</f>
        <v>-63845.469999999994</v>
      </c>
      <c r="AH13" s="14">
        <v>-2296.96</v>
      </c>
      <c r="AI13" s="14">
        <f>3901.91-61933.73</f>
        <v>-58031.820000000007</v>
      </c>
      <c r="AJ13" s="14">
        <f>-263.88-2091.18</f>
        <v>-2355.06</v>
      </c>
      <c r="AK13" s="17">
        <v>-74610</v>
      </c>
      <c r="AL13" s="14">
        <v>-14439.93</v>
      </c>
      <c r="AM13" s="14">
        <f>-55780.75-789.65</f>
        <v>-56570.400000000001</v>
      </c>
      <c r="AN13" s="14">
        <v>-8597.61</v>
      </c>
      <c r="AO13" s="17">
        <v>-62129.14</v>
      </c>
      <c r="AP13" s="14">
        <f>-9409.09-108.89</f>
        <v>-9517.98</v>
      </c>
      <c r="AQ13" s="14">
        <v>-69638.84</v>
      </c>
      <c r="AR13" s="14">
        <v>-14941.94</v>
      </c>
      <c r="AS13" s="14">
        <v>-61253.47</v>
      </c>
      <c r="AT13" s="17">
        <v>-11775.93</v>
      </c>
      <c r="AU13" s="14">
        <v>-73212.22</v>
      </c>
      <c r="AV13" s="14">
        <v>-10172.42</v>
      </c>
      <c r="AW13" s="14">
        <v>-69095.649999999994</v>
      </c>
      <c r="AX13" s="17">
        <v>-11029.49</v>
      </c>
      <c r="AY13" s="14">
        <v>-77089.8</v>
      </c>
      <c r="AZ13" s="14">
        <v>-10945.52</v>
      </c>
      <c r="BA13" s="14">
        <v>-66746.59</v>
      </c>
      <c r="BB13" s="14">
        <f>-8755.85-460</f>
        <v>-9215.85</v>
      </c>
      <c r="BC13" s="17">
        <v>-68038.7</v>
      </c>
      <c r="BD13" s="14">
        <f>-20807.62-274</f>
        <v>-21081.62</v>
      </c>
      <c r="BE13" s="14">
        <v>-68880.61</v>
      </c>
      <c r="BF13" s="14">
        <f>-8018.8-181.95</f>
        <v>-8200.75</v>
      </c>
      <c r="BG13" s="17">
        <f>-65561.23-370.7</f>
        <v>-65931.929999999993</v>
      </c>
      <c r="BH13" s="14">
        <v>-23978.86</v>
      </c>
      <c r="BI13" s="14">
        <v>-67803.259999999995</v>
      </c>
      <c r="BJ13" s="14">
        <v>-7207.5</v>
      </c>
      <c r="BK13" s="17">
        <v>-72265.59</v>
      </c>
      <c r="BL13" s="14">
        <v>-20125.490000000002</v>
      </c>
      <c r="BM13" s="14">
        <v>-69054.44</v>
      </c>
      <c r="BN13" s="14">
        <v>-8647.51</v>
      </c>
      <c r="BO13" s="17">
        <v>-68522.39</v>
      </c>
      <c r="BP13" s="14">
        <v>-6779.2</v>
      </c>
      <c r="BQ13" s="14">
        <v>-84648.18</v>
      </c>
      <c r="BR13" s="14">
        <f>-268.65-6844.36</f>
        <v>-7113.0099999999993</v>
      </c>
      <c r="BS13" s="14">
        <f>-923.06-70895</f>
        <v>-71818.06</v>
      </c>
      <c r="BT13" s="17">
        <f>-6831.05-4863.6</f>
        <v>-11694.650000000001</v>
      </c>
      <c r="BU13" s="14">
        <v>-85624.72</v>
      </c>
      <c r="BV13" s="14">
        <v>-6624.8</v>
      </c>
      <c r="BW13" s="14">
        <f>-73386.4-89.55</f>
        <v>-73475.95</v>
      </c>
      <c r="BX13" s="17">
        <f>-9397.94</f>
        <v>-9397.94</v>
      </c>
      <c r="BY13" s="14">
        <f>-19111.17-71387.42</f>
        <v>-90498.59</v>
      </c>
      <c r="BZ13" s="14">
        <f>-441.28-1312.62</f>
        <v>-1753.8999999999999</v>
      </c>
      <c r="CA13" s="14">
        <v>-5574.37</v>
      </c>
      <c r="CB13" s="17">
        <v>-5828.84</v>
      </c>
      <c r="CC13" s="14">
        <v>-5437.08</v>
      </c>
      <c r="CD13" s="14">
        <f>-5022.88</f>
        <v>-5022.88</v>
      </c>
      <c r="CE13" s="14">
        <f>-913.93</f>
        <v>-913.93</v>
      </c>
      <c r="CF13" s="14">
        <f>-6796.03-452.17-288.45</f>
        <v>-7536.65</v>
      </c>
      <c r="CG13" s="17">
        <f>-832.96</f>
        <v>-832.96</v>
      </c>
      <c r="CH13" s="14">
        <f>-6592.99</f>
        <v>-6592.99</v>
      </c>
      <c r="CI13" s="14">
        <v>-791.56</v>
      </c>
      <c r="CJ13" s="14">
        <f>-4285.9- 53.48</f>
        <v>-4339.3799999999992</v>
      </c>
      <c r="CK13" s="17">
        <v>-5151.6099999999997</v>
      </c>
      <c r="CL13" s="14"/>
      <c r="CM13" s="14"/>
      <c r="CN13" s="14">
        <v>-8444.84</v>
      </c>
      <c r="CO13" s="14">
        <f>-7060.16</f>
        <v>-7060.16</v>
      </c>
      <c r="CP13" s="73">
        <f>-589.34-119.82</f>
        <v>-709.16000000000008</v>
      </c>
      <c r="CQ13" s="14">
        <f>-15902.43-1678.56</f>
        <v>-17580.990000000002</v>
      </c>
      <c r="CR13" s="14">
        <f>-647.87</f>
        <v>-647.87</v>
      </c>
      <c r="CS13" s="14">
        <f>-1238.71-88957.39-89.55</f>
        <v>-90285.650000000009</v>
      </c>
      <c r="CT13" s="73">
        <f>-8608.58</f>
        <v>-8608.58</v>
      </c>
      <c r="CU13" s="14">
        <v>-54492.27</v>
      </c>
      <c r="CV13" s="14">
        <v>-10512.61</v>
      </c>
      <c r="CW13" s="14">
        <f>-1353.91</f>
        <v>-1353.91</v>
      </c>
      <c r="CX13" s="73">
        <f>-8819.24</f>
        <v>-8819.24</v>
      </c>
      <c r="CY13" s="14">
        <f>-6964.65</f>
        <v>-6964.65</v>
      </c>
      <c r="CZ13" s="14">
        <f>-23474.87-84</f>
        <v>-23558.87</v>
      </c>
      <c r="DA13" s="14">
        <f>-179.1-5163.61</f>
        <v>-5342.71</v>
      </c>
      <c r="DB13" s="14">
        <f>2102.73-9259.44</f>
        <v>-7156.7100000000009</v>
      </c>
      <c r="DC13" s="73">
        <f>-3005.51</f>
        <v>-3005.51</v>
      </c>
      <c r="DD13" s="14">
        <f>-13713.59</f>
        <v>-13713.59</v>
      </c>
      <c r="DE13" s="14">
        <f>-951.06</f>
        <v>-951.06</v>
      </c>
      <c r="DF13" s="14">
        <f>-9808.77</f>
        <v>-9808.77</v>
      </c>
      <c r="DG13" s="147">
        <f>-3494.6-108523.97</f>
        <v>-112018.57</v>
      </c>
      <c r="DH13" s="14">
        <f>-12865.48</f>
        <v>-12865.48</v>
      </c>
      <c r="DI13" s="14">
        <f>-1215.07</f>
        <v>-1215.07</v>
      </c>
      <c r="DJ13" s="14">
        <f>-10018.94</f>
        <v>-10018.94</v>
      </c>
      <c r="DK13" s="73">
        <f>-121380.06</f>
        <v>-121380.06</v>
      </c>
      <c r="DL13" s="14">
        <f>-25245.82</f>
        <v>-25245.82</v>
      </c>
      <c r="DM13" s="14">
        <f>-1741.56</f>
        <v>-1741.56</v>
      </c>
      <c r="DN13" s="14">
        <f>-14602.41-461.39</f>
        <v>-15063.8</v>
      </c>
      <c r="DO13" s="71">
        <v>-10000</v>
      </c>
      <c r="DP13" s="9">
        <v>-10000</v>
      </c>
      <c r="DQ13" s="9">
        <v>-10000</v>
      </c>
      <c r="DR13" s="9">
        <v>-10000</v>
      </c>
      <c r="DS13" s="9">
        <v>-10000</v>
      </c>
      <c r="DT13" s="71">
        <v>-10000</v>
      </c>
      <c r="DU13" s="9">
        <v>-10000</v>
      </c>
      <c r="DV13" s="9">
        <v>-10000</v>
      </c>
      <c r="DW13" s="9">
        <v>-10000</v>
      </c>
      <c r="DX13" s="71">
        <v>-10000</v>
      </c>
      <c r="DY13" s="9">
        <v>-10000</v>
      </c>
      <c r="DZ13" s="9">
        <v>-10000</v>
      </c>
      <c r="EA13" s="9">
        <v>-10000</v>
      </c>
      <c r="EB13" s="9">
        <v>-10000</v>
      </c>
      <c r="EC13" s="71">
        <v>-10000</v>
      </c>
      <c r="ED13" s="9">
        <v>-10000</v>
      </c>
      <c r="EE13" s="9">
        <v>-10000</v>
      </c>
      <c r="EF13" s="9">
        <v>-10000</v>
      </c>
      <c r="EG13" s="71">
        <v>-10000</v>
      </c>
      <c r="EH13" s="9">
        <v>-10000</v>
      </c>
      <c r="EI13" s="9">
        <v>-10000</v>
      </c>
      <c r="EJ13" s="9">
        <v>-10000</v>
      </c>
      <c r="EK13" s="71">
        <v>-10000</v>
      </c>
      <c r="EL13" s="9"/>
    </row>
    <row r="14" spans="1:142" ht="14.5" x14ac:dyDescent="0.35">
      <c r="B14" s="8" t="s">
        <v>11</v>
      </c>
      <c r="C14" s="14"/>
      <c r="D14" s="14">
        <v>-7639.83</v>
      </c>
      <c r="E14" s="14">
        <v>-295000</v>
      </c>
      <c r="F14" s="17">
        <v>-28000</v>
      </c>
      <c r="G14" s="14"/>
      <c r="H14" s="14">
        <v>-7095.26</v>
      </c>
      <c r="I14" s="14">
        <v>-78581.11</v>
      </c>
      <c r="J14" s="14">
        <v>-192788.83</v>
      </c>
      <c r="K14" s="17"/>
      <c r="L14" s="14"/>
      <c r="M14" s="14">
        <v>7000</v>
      </c>
      <c r="N14" s="14">
        <v>-250000.38</v>
      </c>
      <c r="O14" s="17">
        <v>-50000</v>
      </c>
      <c r="P14" s="14"/>
      <c r="Q14" s="14">
        <v>7000</v>
      </c>
      <c r="R14" s="14">
        <v>-225000</v>
      </c>
      <c r="S14" s="14">
        <v>-50000</v>
      </c>
      <c r="T14" s="17"/>
      <c r="U14" s="14">
        <v>-247520.21</v>
      </c>
      <c r="V14" s="14">
        <v>-154282.23000000001</v>
      </c>
      <c r="W14" s="14">
        <v>-36073.11</v>
      </c>
      <c r="X14" s="17"/>
      <c r="Y14" s="14">
        <v>-72821.679999999993</v>
      </c>
      <c r="Z14" s="14"/>
      <c r="AA14" s="14">
        <v>-226530.09000000003</v>
      </c>
      <c r="AB14" s="17"/>
      <c r="AC14" s="14"/>
      <c r="AD14" s="14">
        <v>7000</v>
      </c>
      <c r="AE14" s="14">
        <v>-40000</v>
      </c>
      <c r="AF14" s="14">
        <v>-178145.39</v>
      </c>
      <c r="AG14" s="17"/>
      <c r="AH14" s="14">
        <f>-5427.14-169099.3</f>
        <v>-174526.44</v>
      </c>
      <c r="AI14" s="14">
        <v>-75000</v>
      </c>
      <c r="AJ14" s="14">
        <f>-128937.38-501.27</f>
        <v>-129438.65000000001</v>
      </c>
      <c r="AK14" s="17">
        <v>-50016</v>
      </c>
      <c r="AL14" s="14">
        <v>-25000</v>
      </c>
      <c r="AM14" s="14">
        <f>-9296.36-25000-41813.41</f>
        <v>-76109.77</v>
      </c>
      <c r="AN14" s="14">
        <f>-25000-228.89</f>
        <v>-25228.89</v>
      </c>
      <c r="AO14" s="17">
        <f>-40000-174282.69</f>
        <v>-214282.69</v>
      </c>
      <c r="AP14" s="14">
        <v>-35000</v>
      </c>
      <c r="AQ14" s="14">
        <f>-57888.44-31554.98</f>
        <v>-89443.42</v>
      </c>
      <c r="AR14" s="14">
        <f>-50000-124.78</f>
        <v>-50124.78</v>
      </c>
      <c r="AS14" s="14">
        <v>-128111.97</v>
      </c>
      <c r="AT14" s="17">
        <v>-25000</v>
      </c>
      <c r="AU14" s="14">
        <f>-100000-98133.45-7835.34</f>
        <v>-205968.79</v>
      </c>
      <c r="AV14" s="14">
        <v>-25000</v>
      </c>
      <c r="AW14" s="14">
        <v>-137232.12</v>
      </c>
      <c r="AX14" s="17">
        <v>-15.94</v>
      </c>
      <c r="AY14" s="14"/>
      <c r="AZ14" s="14">
        <f>-12513.16-145575.65</f>
        <v>-158088.81</v>
      </c>
      <c r="BA14" s="14">
        <v>-75132.160000000003</v>
      </c>
      <c r="BB14" s="14">
        <v>-208560.93</v>
      </c>
      <c r="BC14" s="17">
        <v>-149012.29</v>
      </c>
      <c r="BD14" s="14">
        <f>-7490.24-50000</f>
        <v>-57490.239999999998</v>
      </c>
      <c r="BE14" s="14">
        <v>-100000</v>
      </c>
      <c r="BF14" s="14">
        <v>-130521.36</v>
      </c>
      <c r="BG14" s="17">
        <v>-25015.94</v>
      </c>
      <c r="BH14" s="14">
        <f>-8192.73-109339.54</f>
        <v>-117532.26999999999</v>
      </c>
      <c r="BI14" s="14">
        <v>-50000</v>
      </c>
      <c r="BJ14" s="14">
        <v>-260623.07</v>
      </c>
      <c r="BK14" s="17">
        <v>-100000</v>
      </c>
      <c r="BL14" s="14">
        <v>-109782.88</v>
      </c>
      <c r="BM14" s="14">
        <f>-16262.39-75000</f>
        <v>-91262.39</v>
      </c>
      <c r="BN14" s="14">
        <v>-80000</v>
      </c>
      <c r="BO14" s="17"/>
      <c r="BP14" s="14">
        <v>-75000</v>
      </c>
      <c r="BQ14" s="14">
        <f>-2812.54-100000-53045.18</f>
        <v>-155857.72</v>
      </c>
      <c r="BR14" s="14">
        <v>-50000</v>
      </c>
      <c r="BS14" s="14">
        <v>-202443.54</v>
      </c>
      <c r="BT14" s="17">
        <v>-25000</v>
      </c>
      <c r="BU14" s="14">
        <f>-122545.72-10580.93</f>
        <v>-133126.65</v>
      </c>
      <c r="BV14" s="14">
        <f>-150000</f>
        <v>-150000</v>
      </c>
      <c r="BW14" s="14">
        <f>-229599.44</f>
        <v>-229599.44</v>
      </c>
      <c r="BX14" s="17">
        <v>-75000</v>
      </c>
      <c r="BY14" s="14">
        <f>-50000+7280</f>
        <v>-42720</v>
      </c>
      <c r="BZ14" s="14">
        <f>-19961.25-155933.03-29529.58</f>
        <v>-205423.86</v>
      </c>
      <c r="CA14" s="14">
        <f>-25000</f>
        <v>-25000</v>
      </c>
      <c r="CB14" s="17">
        <f>-233139.47</f>
        <v>-233139.47</v>
      </c>
      <c r="CC14" s="14">
        <f>-95000</f>
        <v>-95000</v>
      </c>
      <c r="CD14" s="14">
        <f>-107674.85-3453.39</f>
        <v>-111128.24</v>
      </c>
      <c r="CE14" s="14">
        <f>-50000</f>
        <v>-50000</v>
      </c>
      <c r="CF14" s="14">
        <v>-169796.14</v>
      </c>
      <c r="CG14" s="17">
        <v>-50000</v>
      </c>
      <c r="CH14" s="14">
        <f>-299297</f>
        <v>-299297</v>
      </c>
      <c r="CI14" s="14">
        <f>-29625.29-116638.07</f>
        <v>-146263.36000000002</v>
      </c>
      <c r="CJ14" s="14">
        <v>-100000</v>
      </c>
      <c r="CK14" s="17">
        <v>-190289.73</v>
      </c>
      <c r="CL14" s="14">
        <v>-50000</v>
      </c>
      <c r="CM14" s="14">
        <f>-10935.72-161278.04</f>
        <v>-172213.76000000001</v>
      </c>
      <c r="CN14" s="14">
        <v>-25000</v>
      </c>
      <c r="CO14" s="14">
        <f>-137554.39</f>
        <v>-137554.39000000001</v>
      </c>
      <c r="CP14" s="73">
        <f>-25000</f>
        <v>-25000</v>
      </c>
      <c r="CQ14" s="14">
        <f>-174954.19-12577.32</f>
        <v>-187531.51</v>
      </c>
      <c r="CR14" s="14"/>
      <c r="CS14" s="14">
        <f>-204856.01</f>
        <v>-204856.01</v>
      </c>
      <c r="CT14" s="73"/>
      <c r="CU14" s="14">
        <v>-50000</v>
      </c>
      <c r="CV14" s="14">
        <f>25850-10415.68-11806.11</f>
        <v>3628.2099999999991</v>
      </c>
      <c r="CW14" s="14"/>
      <c r="CX14" s="73">
        <f>-118554.35</f>
        <v>-118554.35</v>
      </c>
      <c r="CY14" s="14">
        <f>-91965.51</f>
        <v>-91965.51</v>
      </c>
      <c r="CZ14" s="14">
        <f>-43327.07+5000-33007.08</f>
        <v>-71334.149999999994</v>
      </c>
      <c r="DA14" s="14">
        <f>-192420.18</f>
        <v>-192420.18</v>
      </c>
      <c r="DB14" s="14">
        <f>-50000-25000</f>
        <v>-75000</v>
      </c>
      <c r="DC14" s="73">
        <v>-50000</v>
      </c>
      <c r="DD14" s="14">
        <f>-129423.64-95421.93</f>
        <v>-224845.57</v>
      </c>
      <c r="DE14" s="14"/>
      <c r="DF14" s="14">
        <f>-373584.76</f>
        <v>-373584.76</v>
      </c>
      <c r="DG14" s="147">
        <v>-15.94</v>
      </c>
      <c r="DH14" s="14">
        <f>-172550.74</f>
        <v>-172550.74</v>
      </c>
      <c r="DI14" s="14">
        <f>-150000</f>
        <v>-150000</v>
      </c>
      <c r="DJ14" s="14">
        <f>-200000</f>
        <v>-200000</v>
      </c>
      <c r="DK14" s="73"/>
      <c r="DL14" s="14"/>
      <c r="DM14" s="14">
        <f>-276546.06</f>
        <v>-276546.06</v>
      </c>
      <c r="DN14" s="14"/>
      <c r="DO14" s="71">
        <v>-100000</v>
      </c>
      <c r="DP14" s="9">
        <v>-100000</v>
      </c>
      <c r="DQ14" s="9">
        <v>-50000</v>
      </c>
      <c r="DR14" s="9">
        <v>-100000</v>
      </c>
      <c r="DS14" s="79"/>
      <c r="DT14" s="71">
        <v>-100000</v>
      </c>
      <c r="DU14" s="9">
        <v>-100000</v>
      </c>
      <c r="DV14" s="9">
        <v>-100000</v>
      </c>
      <c r="DW14" s="9">
        <v>-100000</v>
      </c>
      <c r="DX14" s="71">
        <v>-10000</v>
      </c>
      <c r="DY14" s="9">
        <v>-100000</v>
      </c>
      <c r="DZ14" s="9">
        <v>-50000</v>
      </c>
      <c r="EA14" s="9">
        <v>-100000</v>
      </c>
      <c r="EB14" s="9"/>
      <c r="EC14" s="71"/>
      <c r="ED14" s="9">
        <v>-100000</v>
      </c>
      <c r="EE14" s="9">
        <v>-50000</v>
      </c>
      <c r="EF14" s="9">
        <v>-100000</v>
      </c>
      <c r="EG14" s="71"/>
      <c r="EH14" s="9">
        <v>-100000</v>
      </c>
      <c r="EI14" s="9">
        <v>-50000</v>
      </c>
      <c r="EJ14" s="9">
        <v>-100000</v>
      </c>
      <c r="EK14" s="71"/>
      <c r="EL14" s="9"/>
    </row>
    <row r="15" spans="1:142" ht="14.5" x14ac:dyDescent="0.35">
      <c r="B15" s="8" t="s">
        <v>12</v>
      </c>
      <c r="C15" s="14">
        <v>-71000</v>
      </c>
      <c r="D15" s="14"/>
      <c r="E15" s="14">
        <v>-5885</v>
      </c>
      <c r="F15" s="17"/>
      <c r="G15" s="14">
        <v>-71031.149999999994</v>
      </c>
      <c r="H15" s="14"/>
      <c r="I15" s="14"/>
      <c r="J15" s="14"/>
      <c r="K15" s="17"/>
      <c r="L15" s="14">
        <v>-71000</v>
      </c>
      <c r="M15" s="14"/>
      <c r="N15" s="14"/>
      <c r="O15" s="17"/>
      <c r="P15" s="14">
        <v>-71000</v>
      </c>
      <c r="Q15" s="14"/>
      <c r="R15" s="14"/>
      <c r="S15" s="14"/>
      <c r="T15" s="17"/>
      <c r="U15" s="14">
        <v>-71031</v>
      </c>
      <c r="V15" s="14"/>
      <c r="W15" s="14"/>
      <c r="X15" s="17"/>
      <c r="Y15" s="14">
        <v>-71000</v>
      </c>
      <c r="Z15" s="14"/>
      <c r="AA15" s="14"/>
      <c r="AB15" s="17"/>
      <c r="AC15" s="14">
        <v>-71000</v>
      </c>
      <c r="AD15" s="14"/>
      <c r="AE15" s="14"/>
      <c r="AF15" s="14"/>
      <c r="AG15" s="17"/>
      <c r="AH15" s="14">
        <f>-47373.08-25000</f>
        <v>-72373.08</v>
      </c>
      <c r="AI15" s="14"/>
      <c r="AJ15" s="14"/>
      <c r="AK15" s="17"/>
      <c r="AL15" s="14">
        <v>-100</v>
      </c>
      <c r="AM15" s="14">
        <v>-72373.08</v>
      </c>
      <c r="AN15" s="14"/>
      <c r="AO15" s="17"/>
      <c r="AP15" s="14">
        <v>-25000</v>
      </c>
      <c r="AQ15" s="14">
        <v>-47373.08</v>
      </c>
      <c r="AR15" s="14"/>
      <c r="AS15" s="14"/>
      <c r="AT15" s="17"/>
      <c r="AU15" s="14">
        <v>-25000</v>
      </c>
      <c r="AV15" s="14">
        <v>-47373.08</v>
      </c>
      <c r="AW15" s="14"/>
      <c r="AX15" s="17"/>
      <c r="AY15" s="14"/>
      <c r="AZ15" s="14"/>
      <c r="BA15" s="14"/>
      <c r="BB15" s="14"/>
      <c r="BC15" s="17"/>
      <c r="BD15" s="14">
        <f>-47373.08-25000</f>
        <v>-72373.08</v>
      </c>
      <c r="BE15" s="14"/>
      <c r="BF15" s="14"/>
      <c r="BG15" s="17"/>
      <c r="BH15" s="14">
        <f>-47373.08-25000</f>
        <v>-72373.08</v>
      </c>
      <c r="BI15" s="14"/>
      <c r="BJ15" s="14"/>
      <c r="BK15" s="17"/>
      <c r="BL15" s="14">
        <v>-47373.08</v>
      </c>
      <c r="BM15" s="14"/>
      <c r="BN15" s="14"/>
      <c r="BO15" s="17"/>
      <c r="BP15" s="14">
        <v>-25000</v>
      </c>
      <c r="BQ15" s="14">
        <v>-47373.08</v>
      </c>
      <c r="BR15" s="14"/>
      <c r="BS15" s="14"/>
      <c r="BT15" s="17"/>
      <c r="BU15" s="14"/>
      <c r="BV15" s="14">
        <v>-100134.08</v>
      </c>
      <c r="BW15" s="14"/>
      <c r="BX15" s="17"/>
      <c r="BY15" s="14"/>
      <c r="BZ15" s="14"/>
      <c r="CA15" s="14"/>
      <c r="CB15" s="17"/>
      <c r="CC15" s="14">
        <v>-31500</v>
      </c>
      <c r="CD15" s="14"/>
      <c r="CE15" s="14"/>
      <c r="CF15" s="14"/>
      <c r="CG15" s="17"/>
      <c r="CH15" s="14">
        <v>-25000</v>
      </c>
      <c r="CI15" s="14"/>
      <c r="CJ15" s="14"/>
      <c r="CK15" s="17"/>
      <c r="CL15" s="14"/>
      <c r="CM15" s="14"/>
      <c r="CN15" s="14"/>
      <c r="CO15" s="14"/>
      <c r="CP15" s="73"/>
      <c r="CQ15" s="14"/>
      <c r="CR15" s="14"/>
      <c r="CS15" s="14"/>
      <c r="CT15" s="73"/>
      <c r="CU15" s="14">
        <v>-48755.28</v>
      </c>
      <c r="CV15" s="14"/>
      <c r="CW15" s="14"/>
      <c r="CX15" s="73"/>
      <c r="CY15" s="14"/>
      <c r="CZ15" s="14"/>
      <c r="DA15" s="14"/>
      <c r="DB15" s="14"/>
      <c r="DC15" s="73"/>
      <c r="DD15" s="14">
        <f>-58259.35</f>
        <v>-58259.35</v>
      </c>
      <c r="DE15" s="14"/>
      <c r="DF15" s="14"/>
      <c r="DG15" s="147"/>
      <c r="DH15" s="14"/>
      <c r="DI15" s="14"/>
      <c r="DJ15" s="14"/>
      <c r="DK15" s="73"/>
      <c r="DL15" s="14"/>
      <c r="DM15" s="14">
        <v>-48755.28</v>
      </c>
      <c r="DN15" s="14"/>
      <c r="DO15" s="71"/>
      <c r="DP15" s="9">
        <v>-48755.28</v>
      </c>
      <c r="DQ15" s="9"/>
      <c r="DR15" s="9"/>
      <c r="DS15" s="79"/>
      <c r="DT15" s="71"/>
      <c r="DU15" s="9">
        <v>-48755.28</v>
      </c>
      <c r="DV15" s="9"/>
      <c r="DW15" s="9"/>
      <c r="DX15" s="71"/>
      <c r="DY15" s="9">
        <v>-48755.28</v>
      </c>
      <c r="DZ15" s="9"/>
      <c r="EA15" s="9"/>
      <c r="EB15" s="9"/>
      <c r="EC15" s="71"/>
      <c r="ED15" s="9">
        <v>-48755.28</v>
      </c>
      <c r="EE15" s="9"/>
      <c r="EF15" s="9"/>
      <c r="EG15" s="71"/>
      <c r="EH15" s="9">
        <v>-48755.28</v>
      </c>
      <c r="EI15" s="9"/>
      <c r="EJ15" s="9"/>
      <c r="EK15" s="71"/>
      <c r="EL15" s="9"/>
    </row>
    <row r="16" spans="1:142" ht="14.5" x14ac:dyDescent="0.35">
      <c r="B16" s="8" t="s">
        <v>13</v>
      </c>
      <c r="C16" s="14">
        <v>-50514.179999999993</v>
      </c>
      <c r="D16" s="14">
        <v>-16669.96</v>
      </c>
      <c r="E16" s="14"/>
      <c r="F16" s="17"/>
      <c r="G16" s="14">
        <v>-115000</v>
      </c>
      <c r="H16" s="14">
        <v>35140.800000000003</v>
      </c>
      <c r="I16" s="14"/>
      <c r="J16" s="14"/>
      <c r="K16" s="17">
        <v>-98981.99</v>
      </c>
      <c r="L16" s="14"/>
      <c r="M16" s="14"/>
      <c r="N16" s="14"/>
      <c r="O16" s="17">
        <v>-115000</v>
      </c>
      <c r="P16" s="14"/>
      <c r="Q16" s="14"/>
      <c r="R16" s="14"/>
      <c r="S16" s="14"/>
      <c r="T16" s="17">
        <v>-115000</v>
      </c>
      <c r="U16" s="14"/>
      <c r="V16" s="14"/>
      <c r="W16" s="14"/>
      <c r="X16" s="17">
        <v>-99000</v>
      </c>
      <c r="Y16" s="14"/>
      <c r="Z16" s="14"/>
      <c r="AA16" s="14"/>
      <c r="AB16" s="17">
        <v>-110000</v>
      </c>
      <c r="AC16" s="14"/>
      <c r="AD16" s="14"/>
      <c r="AE16" s="14"/>
      <c r="AF16" s="14"/>
      <c r="AG16" s="17">
        <v>-111756.12</v>
      </c>
      <c r="AH16" s="14"/>
      <c r="AI16" s="14"/>
      <c r="AJ16" s="14"/>
      <c r="AK16" s="17">
        <v>-117564.09</v>
      </c>
      <c r="AL16" s="14"/>
      <c r="AM16" s="14"/>
      <c r="AN16" s="14"/>
      <c r="AO16" s="17"/>
      <c r="AP16" s="14">
        <v>-107427.21</v>
      </c>
      <c r="AQ16" s="14"/>
      <c r="AR16" s="14"/>
      <c r="AS16" s="14"/>
      <c r="AT16" s="17">
        <v>-107975.3</v>
      </c>
      <c r="AU16" s="14"/>
      <c r="AV16" s="14"/>
      <c r="AW16" s="14"/>
      <c r="AX16" s="17">
        <v>-99187.85</v>
      </c>
      <c r="AY16" s="14">
        <v>-6479.12</v>
      </c>
      <c r="AZ16" s="14"/>
      <c r="BA16" s="14"/>
      <c r="BB16" s="14">
        <v>-22995.38</v>
      </c>
      <c r="BC16" s="17">
        <f>-101515.24-4995.71</f>
        <v>-106510.95000000001</v>
      </c>
      <c r="BD16" s="14"/>
      <c r="BE16" s="14"/>
      <c r="BF16" s="14"/>
      <c r="BG16" s="17">
        <v>-127805.9</v>
      </c>
      <c r="BH16" s="14"/>
      <c r="BI16" s="14"/>
      <c r="BJ16" s="14"/>
      <c r="BK16" s="17">
        <v>-136855.9</v>
      </c>
      <c r="BL16" s="14"/>
      <c r="BM16" s="14">
        <v>-24099.43</v>
      </c>
      <c r="BN16" s="14">
        <v>-16424.04</v>
      </c>
      <c r="BO16" s="17">
        <v>-141883.03</v>
      </c>
      <c r="BP16" s="14">
        <f>-12170.03-13400.91</f>
        <v>-25570.940000000002</v>
      </c>
      <c r="BQ16" s="14"/>
      <c r="BR16" s="14"/>
      <c r="BS16" s="14">
        <v>-2805.67</v>
      </c>
      <c r="BT16" s="17">
        <v>-183813.17</v>
      </c>
      <c r="BU16" s="14"/>
      <c r="BV16" s="14"/>
      <c r="BW16" s="14"/>
      <c r="BX16" s="17">
        <v>-232223.99</v>
      </c>
      <c r="BY16" s="14"/>
      <c r="BZ16" s="14"/>
      <c r="CA16" s="14"/>
      <c r="CB16" s="17"/>
      <c r="CC16" s="14">
        <v>-200817.64</v>
      </c>
      <c r="CD16" s="14"/>
      <c r="CE16" s="14"/>
      <c r="CF16" s="14"/>
      <c r="CG16" s="17">
        <v>-234773.39</v>
      </c>
      <c r="CH16" s="14"/>
      <c r="CI16" s="14">
        <v>-19467.13</v>
      </c>
      <c r="CJ16" s="14"/>
      <c r="CK16" s="17"/>
      <c r="CL16" s="14">
        <v>-201840.51</v>
      </c>
      <c r="CM16" s="14"/>
      <c r="CN16" s="14"/>
      <c r="CO16" s="14"/>
      <c r="CP16" s="73">
        <v>-135667.97</v>
      </c>
      <c r="CQ16" s="14"/>
      <c r="CR16" s="14"/>
      <c r="CS16" s="14"/>
      <c r="CT16" s="73">
        <f>-187183.96</f>
        <v>-187183.96</v>
      </c>
      <c r="CU16" s="14"/>
      <c r="CV16" s="14"/>
      <c r="CW16" s="14">
        <f>-21950.71</f>
        <v>-21950.71</v>
      </c>
      <c r="CX16" s="73">
        <v>-197275.83</v>
      </c>
      <c r="CY16" s="14">
        <f>-9995.95</f>
        <v>-9995.9500000000007</v>
      </c>
      <c r="CZ16" s="14"/>
      <c r="DA16" s="14"/>
      <c r="DB16" s="14"/>
      <c r="DC16" s="73">
        <v>-236673.32</v>
      </c>
      <c r="DD16" s="14"/>
      <c r="DE16" s="14"/>
      <c r="DF16" s="14"/>
      <c r="DG16" s="147">
        <v>-236435.99</v>
      </c>
      <c r="DH16" s="14"/>
      <c r="DI16" s="14"/>
      <c r="DJ16" s="14"/>
      <c r="DK16" s="73">
        <f>-261524.26</f>
        <v>-261524.26</v>
      </c>
      <c r="DL16" s="14"/>
      <c r="DM16" s="14"/>
      <c r="DN16" s="14">
        <f>-12834.44</f>
        <v>-12834.44</v>
      </c>
      <c r="DO16" s="71">
        <v>-230000</v>
      </c>
      <c r="DP16" s="9"/>
      <c r="DQ16" s="9"/>
      <c r="DR16" s="9"/>
      <c r="DS16" s="79"/>
      <c r="DT16" s="71">
        <v>-230000</v>
      </c>
      <c r="DU16" s="9"/>
      <c r="DV16" s="9"/>
      <c r="DW16" s="9"/>
      <c r="DX16" s="71">
        <v>-230000</v>
      </c>
      <c r="DY16" s="9"/>
      <c r="DZ16" s="9"/>
      <c r="EA16" s="9"/>
      <c r="EB16" s="9"/>
      <c r="EC16" s="71">
        <v>-230000</v>
      </c>
      <c r="ED16" s="9"/>
      <c r="EE16" s="9"/>
      <c r="EF16" s="9"/>
      <c r="EG16" s="71">
        <v>-230000</v>
      </c>
      <c r="EH16" s="9"/>
      <c r="EI16" s="9"/>
      <c r="EJ16" s="9"/>
      <c r="EK16" s="71">
        <v>-230000</v>
      </c>
      <c r="EL16" s="9"/>
    </row>
    <row r="17" spans="1:142" ht="14.5" x14ac:dyDescent="0.35">
      <c r="B17" s="8" t="s">
        <v>14</v>
      </c>
      <c r="C17" s="14"/>
      <c r="D17" s="14"/>
      <c r="E17" s="14"/>
      <c r="F17" s="17"/>
      <c r="G17" s="14"/>
      <c r="H17" s="14"/>
      <c r="I17" s="14"/>
      <c r="J17" s="14"/>
      <c r="K17" s="17"/>
      <c r="L17" s="14"/>
      <c r="M17" s="14"/>
      <c r="N17" s="14"/>
      <c r="O17" s="17"/>
      <c r="P17" s="14"/>
      <c r="Q17" s="14"/>
      <c r="R17" s="14"/>
      <c r="S17" s="14"/>
      <c r="T17" s="17"/>
      <c r="U17" s="14">
        <v>-32000</v>
      </c>
      <c r="V17" s="14">
        <v>30000</v>
      </c>
      <c r="W17" s="14"/>
      <c r="X17" s="17">
        <v>-30000</v>
      </c>
      <c r="Y17" s="14"/>
      <c r="Z17" s="14"/>
      <c r="AA17" s="14"/>
      <c r="AB17" s="17">
        <v>-30000</v>
      </c>
      <c r="AC17" s="14"/>
      <c r="AD17" s="14"/>
      <c r="AE17" s="14"/>
      <c r="AF17" s="14"/>
      <c r="AG17" s="17">
        <v>-40000</v>
      </c>
      <c r="AH17" s="14"/>
      <c r="AI17" s="14"/>
      <c r="AJ17" s="14"/>
      <c r="AK17" s="17"/>
      <c r="AL17" s="14"/>
      <c r="AM17" s="14"/>
      <c r="AN17" s="14"/>
      <c r="AO17" s="17"/>
      <c r="AP17" s="14"/>
      <c r="AQ17" s="14"/>
      <c r="AR17" s="14"/>
      <c r="AS17" s="14"/>
      <c r="AT17" s="17"/>
      <c r="AU17" s="14"/>
      <c r="AV17" s="14"/>
      <c r="AW17" s="14"/>
      <c r="AX17" s="17"/>
      <c r="AY17" s="14"/>
      <c r="AZ17" s="14"/>
      <c r="BA17" s="14"/>
      <c r="BB17" s="14"/>
      <c r="BC17" s="17"/>
      <c r="BD17" s="14">
        <v>-12000</v>
      </c>
      <c r="BE17" s="14"/>
      <c r="BF17" s="14"/>
      <c r="BG17" s="17">
        <v>-12000</v>
      </c>
      <c r="BH17" s="14"/>
      <c r="BI17" s="14"/>
      <c r="BJ17" s="14"/>
      <c r="BK17" s="17"/>
      <c r="BL17" s="14"/>
      <c r="BM17" s="14"/>
      <c r="BN17" s="14"/>
      <c r="BO17" s="17"/>
      <c r="BP17" s="14"/>
      <c r="BQ17" s="14"/>
      <c r="BR17" s="14"/>
      <c r="BS17" s="14"/>
      <c r="BT17" s="17"/>
      <c r="BU17" s="14"/>
      <c r="BV17" s="14"/>
      <c r="BW17" s="14"/>
      <c r="BX17" s="17"/>
      <c r="BY17" s="14"/>
      <c r="BZ17" s="14"/>
      <c r="CA17" s="14"/>
      <c r="CB17" s="17"/>
      <c r="CC17" s="14"/>
      <c r="CD17" s="14"/>
      <c r="CE17" s="14"/>
      <c r="CF17" s="14"/>
      <c r="CG17" s="17"/>
      <c r="CH17" s="14"/>
      <c r="CI17" s="14"/>
      <c r="CJ17" s="14"/>
      <c r="CK17" s="17"/>
      <c r="CL17" s="14"/>
      <c r="CM17" s="14"/>
      <c r="CN17" s="14"/>
      <c r="CO17" s="14"/>
      <c r="CP17" s="73"/>
      <c r="CQ17" s="14"/>
      <c r="CR17" s="14"/>
      <c r="CS17" s="14"/>
      <c r="CT17" s="73"/>
      <c r="CU17" s="14"/>
      <c r="CV17" s="14"/>
      <c r="CW17" s="14"/>
      <c r="CX17" s="73"/>
      <c r="CY17" s="14"/>
      <c r="CZ17" s="14"/>
      <c r="DA17" s="14"/>
      <c r="DB17" s="14"/>
      <c r="DC17" s="73"/>
      <c r="DD17" s="14"/>
      <c r="DE17" s="14"/>
      <c r="DF17" s="14"/>
      <c r="DG17" s="147"/>
      <c r="DH17" s="14"/>
      <c r="DI17" s="14"/>
      <c r="DJ17" s="14"/>
      <c r="DK17" s="73"/>
      <c r="DL17" s="14"/>
      <c r="DM17" s="14"/>
      <c r="DN17" s="14"/>
      <c r="DO17" s="71"/>
      <c r="DP17" s="9"/>
      <c r="DQ17" s="9"/>
      <c r="DR17" s="9"/>
      <c r="DS17" s="79"/>
      <c r="DT17" s="71"/>
      <c r="DU17" s="9"/>
      <c r="DV17" s="9"/>
      <c r="DW17" s="9"/>
      <c r="DX17" s="71"/>
      <c r="DY17" s="9"/>
      <c r="DZ17" s="9"/>
      <c r="EA17" s="9"/>
      <c r="EB17" s="9"/>
      <c r="EC17" s="71"/>
      <c r="ED17" s="9"/>
      <c r="EE17" s="9"/>
      <c r="EF17" s="9"/>
      <c r="EG17" s="71"/>
      <c r="EH17" s="9"/>
      <c r="EI17" s="9"/>
      <c r="EJ17" s="9"/>
      <c r="EK17" s="71"/>
      <c r="EL17" s="9"/>
    </row>
    <row r="18" spans="1:142" ht="14.5" x14ac:dyDescent="0.35">
      <c r="B18" s="8" t="s">
        <v>15</v>
      </c>
      <c r="C18" s="14"/>
      <c r="D18" s="14"/>
      <c r="E18" s="14">
        <v>-22410</v>
      </c>
      <c r="F18" s="17"/>
      <c r="G18" s="14"/>
      <c r="H18" s="14"/>
      <c r="I18" s="14"/>
      <c r="J18" s="14"/>
      <c r="K18" s="17"/>
      <c r="L18" s="14"/>
      <c r="M18" s="14"/>
      <c r="N18" s="14">
        <v>-50000</v>
      </c>
      <c r="O18" s="17"/>
      <c r="P18" s="14"/>
      <c r="Q18" s="14"/>
      <c r="R18" s="14">
        <v>-50000</v>
      </c>
      <c r="S18" s="14"/>
      <c r="T18" s="17"/>
      <c r="U18" s="14"/>
      <c r="V18" s="14"/>
      <c r="W18" s="14">
        <v>-47125.14</v>
      </c>
      <c r="X18" s="17"/>
      <c r="Y18" s="14"/>
      <c r="Z18" s="14"/>
      <c r="AA18" s="14">
        <v>-50000</v>
      </c>
      <c r="AB18" s="17"/>
      <c r="AC18" s="14"/>
      <c r="AD18" s="14"/>
      <c r="AE18" s="14"/>
      <c r="AF18" s="14"/>
      <c r="AG18" s="17"/>
      <c r="AH18" s="14"/>
      <c r="AI18" s="14"/>
      <c r="AJ18" s="14"/>
      <c r="AK18" s="17"/>
      <c r="AL18" s="14"/>
      <c r="AM18" s="14">
        <v>25000</v>
      </c>
      <c r="AN18" s="14"/>
      <c r="AO18" s="17"/>
      <c r="AP18" s="14"/>
      <c r="AQ18" s="14"/>
      <c r="AR18" s="14"/>
      <c r="AS18" s="14">
        <v>-19751.91</v>
      </c>
      <c r="AT18" s="17"/>
      <c r="AU18" s="14"/>
      <c r="AV18" s="14"/>
      <c r="AW18" s="14"/>
      <c r="AX18" s="17"/>
      <c r="AY18" s="14"/>
      <c r="AZ18" s="14"/>
      <c r="BA18" s="14"/>
      <c r="BB18" s="14"/>
      <c r="BC18" s="17"/>
      <c r="BD18" s="14"/>
      <c r="BE18" s="14"/>
      <c r="BF18" s="14"/>
      <c r="BG18" s="17"/>
      <c r="BH18" s="14"/>
      <c r="BI18" s="14"/>
      <c r="BJ18" s="14"/>
      <c r="BK18" s="17"/>
      <c r="BL18" s="14"/>
      <c r="BM18" s="14">
        <v>-1410.49</v>
      </c>
      <c r="BN18" s="14"/>
      <c r="BO18" s="17"/>
      <c r="BP18" s="14"/>
      <c r="BQ18" s="14"/>
      <c r="BR18" s="14"/>
      <c r="BS18" s="14"/>
      <c r="BT18" s="17"/>
      <c r="BU18" s="14"/>
      <c r="BV18" s="14"/>
      <c r="BW18" s="14"/>
      <c r="BX18" s="17">
        <v>-15000</v>
      </c>
      <c r="BY18" s="14"/>
      <c r="BZ18" s="14"/>
      <c r="CA18" s="14"/>
      <c r="CB18" s="17"/>
      <c r="CC18" s="14"/>
      <c r="CD18" s="14"/>
      <c r="CE18" s="14"/>
      <c r="CF18" s="14"/>
      <c r="CG18" s="17"/>
      <c r="CH18" s="14"/>
      <c r="CI18" s="14"/>
      <c r="CJ18" s="14"/>
      <c r="CK18" s="17"/>
      <c r="CL18" s="14"/>
      <c r="CM18" s="14"/>
      <c r="CN18" s="14"/>
      <c r="CO18" s="14"/>
      <c r="CP18" s="73"/>
      <c r="CQ18" s="14"/>
      <c r="CR18" s="14"/>
      <c r="CS18" s="14"/>
      <c r="CT18" s="73"/>
      <c r="CU18" s="14"/>
      <c r="CV18" s="14"/>
      <c r="CW18" s="14"/>
      <c r="CX18" s="73"/>
      <c r="CY18" s="14"/>
      <c r="CZ18" s="14"/>
      <c r="DA18" s="14"/>
      <c r="DB18" s="14"/>
      <c r="DC18" s="73"/>
      <c r="DD18" s="14"/>
      <c r="DE18" s="14"/>
      <c r="DF18" s="14"/>
      <c r="DG18" s="147">
        <v>-27500</v>
      </c>
      <c r="DH18" s="14"/>
      <c r="DI18" s="14"/>
      <c r="DJ18" s="14"/>
      <c r="DK18" s="73"/>
      <c r="DL18" s="14"/>
      <c r="DM18" s="14"/>
      <c r="DN18" s="14"/>
      <c r="DO18" s="71"/>
      <c r="DP18" s="9"/>
      <c r="DQ18" s="9"/>
      <c r="DR18" s="9"/>
      <c r="DS18" s="79"/>
      <c r="DT18" s="71"/>
      <c r="DU18" s="9"/>
      <c r="DV18" s="9"/>
      <c r="DW18" s="9"/>
      <c r="DX18" s="71"/>
      <c r="DY18" s="9"/>
      <c r="DZ18" s="9"/>
      <c r="EA18" s="9"/>
      <c r="EB18" s="9"/>
      <c r="EC18" s="71"/>
      <c r="ED18" s="9"/>
      <c r="EE18" s="9"/>
      <c r="EF18" s="9"/>
      <c r="EG18" s="71"/>
      <c r="EH18" s="9"/>
      <c r="EI18" s="9"/>
      <c r="EJ18" s="9"/>
      <c r="EK18" s="71"/>
      <c r="EL18" s="9"/>
    </row>
    <row r="19" spans="1:142" ht="14.5" x14ac:dyDescent="0.35">
      <c r="B19" s="8" t="s">
        <v>16</v>
      </c>
      <c r="C19" s="14">
        <v>-8000</v>
      </c>
      <c r="D19" s="14">
        <v>-9714.41</v>
      </c>
      <c r="E19" s="14">
        <v>-12000</v>
      </c>
      <c r="F19" s="17">
        <v>-5932</v>
      </c>
      <c r="G19" s="14">
        <v>-1161.2800000000279</v>
      </c>
      <c r="H19" s="14">
        <v>-11926.13</v>
      </c>
      <c r="I19" s="14">
        <v>-16255.92</v>
      </c>
      <c r="J19" s="14">
        <v>-103774.01</v>
      </c>
      <c r="K19" s="17">
        <v>-20384.05</v>
      </c>
      <c r="L19" s="14">
        <v>-10000</v>
      </c>
      <c r="M19" s="14">
        <v>-10000</v>
      </c>
      <c r="N19" s="14">
        <v>-10000</v>
      </c>
      <c r="O19" s="17">
        <v>-10000</v>
      </c>
      <c r="P19" s="14">
        <v>-10000</v>
      </c>
      <c r="Q19" s="14">
        <v>-10000</v>
      </c>
      <c r="R19" s="14">
        <v>-10000</v>
      </c>
      <c r="S19" s="14">
        <v>-239526</v>
      </c>
      <c r="T19" s="17">
        <v>-10000</v>
      </c>
      <c r="U19" s="14">
        <v>-10063.16</v>
      </c>
      <c r="V19" s="14">
        <v>-27847.8</v>
      </c>
      <c r="W19" s="14">
        <v>-29036.06</v>
      </c>
      <c r="X19" s="17">
        <v>-95000</v>
      </c>
      <c r="Y19" s="14">
        <v>-10000</v>
      </c>
      <c r="Z19" s="14">
        <v>-60000</v>
      </c>
      <c r="AA19" s="14">
        <v>-60000</v>
      </c>
      <c r="AB19" s="17">
        <v>-10000</v>
      </c>
      <c r="AC19" s="14">
        <v>-25000</v>
      </c>
      <c r="AD19" s="14">
        <f>-60000-10845</f>
        <v>-70845</v>
      </c>
      <c r="AE19" s="14">
        <f>-3002.07-2426- 27177.9</f>
        <v>-32605.97</v>
      </c>
      <c r="AF19" s="14">
        <f>-22934.5-2598.94</f>
        <v>-25533.439999999999</v>
      </c>
      <c r="AG19" s="17">
        <f>-988.79-25500-9149</f>
        <v>-35637.79</v>
      </c>
      <c r="AH19" s="14">
        <f>-300000-24651.83+300000</f>
        <v>-24651.830000000016</v>
      </c>
      <c r="AI19" s="14">
        <f>-300000-1945.7+300000-4807.5</f>
        <v>-6753.2000000000116</v>
      </c>
      <c r="AJ19" s="14">
        <f>-306333.13+300000</f>
        <v>-6333.1300000000047</v>
      </c>
      <c r="AK19" s="17">
        <f>-47187.81-4433</f>
        <v>-51620.81</v>
      </c>
      <c r="AL19" s="14">
        <f>-11897.31-83446</f>
        <v>-95343.31</v>
      </c>
      <c r="AM19" s="14">
        <f>-28793.79-500000+492363.61</f>
        <v>-36430.180000000051</v>
      </c>
      <c r="AN19" s="14">
        <f>-304206.99+273750</f>
        <v>-30456.989999999991</v>
      </c>
      <c r="AO19" s="17">
        <f>-813157.27+795798.33</f>
        <v>-17358.940000000061</v>
      </c>
      <c r="AP19" s="14">
        <f>-4731.99-25000</f>
        <v>-29731.989999999998</v>
      </c>
      <c r="AQ19" s="14">
        <f>-37934.4-700000-423.54+669750</f>
        <v>-68607.940000000061</v>
      </c>
      <c r="AR19" s="14">
        <f>-6868.85-24529.01</f>
        <v>-31397.86</v>
      </c>
      <c r="AS19" s="14">
        <f>-554852.12+544448.89</f>
        <v>-10403.229999999981</v>
      </c>
      <c r="AT19" s="17">
        <f>-509092.21+338250</f>
        <v>-170842.21000000002</v>
      </c>
      <c r="AU19" s="14">
        <f>-507659.49+665340.71-200000-1501</f>
        <v>-43819.780000000028</v>
      </c>
      <c r="AV19" s="14">
        <f>-6045.67-12033.97</f>
        <v>-18079.64</v>
      </c>
      <c r="AW19" s="14">
        <f>-1019473.79+849944.19+150785</f>
        <v>-18744.600000000093</v>
      </c>
      <c r="AX19" s="17">
        <f>-238326.96-45616.73+230000</f>
        <v>-53943.69</v>
      </c>
      <c r="AY19" s="14">
        <f>-1511720.6+1461393.6</f>
        <v>-50327</v>
      </c>
      <c r="AZ19" s="14">
        <f>-24164.38-374484-423.54+288107.53</f>
        <v>-110964.38999999996</v>
      </c>
      <c r="BA19" s="14">
        <f>-121779.19+45610.01</f>
        <v>-76169.179999999993</v>
      </c>
      <c r="BB19" s="14">
        <f>-752753.9+701003.21</f>
        <v>-51750.690000000061</v>
      </c>
      <c r="BC19" s="17">
        <f>-157230.23-20103.06+67.29</f>
        <v>-177266</v>
      </c>
      <c r="BD19" s="14">
        <f>-412654.34+315462.95+25000</f>
        <v>-72191.390000000014</v>
      </c>
      <c r="BE19" s="14">
        <f>-87542.12+69582.35</f>
        <v>-17959.76999999999</v>
      </c>
      <c r="BF19" s="14">
        <f>-53792.32-35511.34+39035.33-7680+7680-1591.11</f>
        <v>-51859.44</v>
      </c>
      <c r="BG19" s="17">
        <f>-837431.6+655298.57+ 148719.55+12000</f>
        <v>-21413.48000000004</v>
      </c>
      <c r="BH19" s="14">
        <f>-9850.77+247628.11+5147.24-262678.12-0.06</f>
        <v>-19753.600000000009</v>
      </c>
      <c r="BI19" s="14">
        <f>518134.14-522840.88</f>
        <v>-4706.7399999999907</v>
      </c>
      <c r="BJ19" s="14">
        <f>-284484.43+278766.83-40743.07-476.88</f>
        <v>-46937.549999999974</v>
      </c>
      <c r="BK19" s="17">
        <f>-490298.6+457710.73</f>
        <v>-32587.869999999995</v>
      </c>
      <c r="BL19" s="14">
        <f>-758633.25+631460.84</f>
        <v>-127172.41000000003</v>
      </c>
      <c r="BM19" s="14">
        <f>-346515.06-255328.98+537214.83-315.84-11675.81</f>
        <v>-76620.860000000073</v>
      </c>
      <c r="BN19" s="14">
        <f>-176441.37-1464.34</f>
        <v>-177905.71</v>
      </c>
      <c r="BO19" s="17">
        <f>-46760.21-165761.62+32932.79</f>
        <v>-179589.03999999998</v>
      </c>
      <c r="BP19" s="14">
        <f>-602815.85+496538.77</f>
        <v>-106277.07999999996</v>
      </c>
      <c r="BQ19" s="14">
        <f>-85639.61+472518.18-450886.5</f>
        <v>-64007.929999999993</v>
      </c>
      <c r="BR19" s="14">
        <f>-108257.98+10000+85974.26-18745.99</f>
        <v>-31029.710000000003</v>
      </c>
      <c r="BS19" s="14">
        <f>-323474.43-19605.79+171022.9+130125</f>
        <v>-41932.319999999978</v>
      </c>
      <c r="BT19" s="17">
        <f>-1457.91-81501.55</f>
        <v>-82959.460000000006</v>
      </c>
      <c r="BU19" s="14">
        <f>152299.94-204676.16</f>
        <v>-52376.22</v>
      </c>
      <c r="BV19" s="14">
        <f>48246.62-59165.06</f>
        <v>-10918.439999999995</v>
      </c>
      <c r="BW19" s="14">
        <f>-172073.9+146895.93</f>
        <v>-25177.97</v>
      </c>
      <c r="BX19" s="17">
        <f>-54705.96-554468.86+550392.86</f>
        <v>-58781.959999999963</v>
      </c>
      <c r="BY19" s="14">
        <f>-154706.62+870647.18-910176.21</f>
        <v>-194235.64999999991</v>
      </c>
      <c r="BZ19" s="14">
        <f>-156621.29+184048.47-15390-13199.85+1312.62-1209.51-45443.9</f>
        <v>-46503.460000000006</v>
      </c>
      <c r="CA19" s="14">
        <f>-354425.98+302523.71</f>
        <v>-51902.26999999996</v>
      </c>
      <c r="CB19" s="17">
        <f>-183364.28+154800.19</f>
        <v>-28564.089999999997</v>
      </c>
      <c r="CC19" s="14">
        <f>529421.94-566157.58</f>
        <v>-36735.640000000014</v>
      </c>
      <c r="CD19" s="14">
        <f>159725.5-265976.16</f>
        <v>-106250.65999999997</v>
      </c>
      <c r="CE19" s="14">
        <f>67237.01 - 91423.81</f>
        <v>-24186.800000000003</v>
      </c>
      <c r="CF19" s="14">
        <f>-196099.28+180026.88</f>
        <v>-16072.399999999994</v>
      </c>
      <c r="CG19" s="17">
        <f>24224.04-64178.73</f>
        <v>-39954.69</v>
      </c>
      <c r="CH19" s="14">
        <f>316883.78-391717.46</f>
        <v>-74833.679999999993</v>
      </c>
      <c r="CI19" s="14">
        <f>-54977.13+40063.32</f>
        <v>-14913.809999999998</v>
      </c>
      <c r="CJ19" s="14">
        <f>-163413.22+116510.62</f>
        <v>-46902.600000000006</v>
      </c>
      <c r="CK19" s="17">
        <v>-31730.81</v>
      </c>
      <c r="CL19" s="14">
        <f>-11646.65-468317.37-57011.9</f>
        <v>-536975.92000000004</v>
      </c>
      <c r="CM19" s="14">
        <f>-108999.5-22796.51+55000</f>
        <v>-76796.010000000009</v>
      </c>
      <c r="CN19" s="14">
        <f>-89079.5-28725.45</f>
        <v>-117804.95</v>
      </c>
      <c r="CO19" s="14">
        <f>-95237.26+99279.01-161141.52</f>
        <v>-157099.76999999999</v>
      </c>
      <c r="CP19" s="73">
        <f>10835.24-10136.25-2983.83-18078.6</f>
        <v>-20363.439999999999</v>
      </c>
      <c r="CQ19" s="14">
        <f>727381.36-12273.55-727633</f>
        <v>-12525.190000000061</v>
      </c>
      <c r="CR19" s="14">
        <f>-177902.09+167017.94-169013.53</f>
        <v>-179897.68</v>
      </c>
      <c r="CS19" s="14">
        <f>128546.16-183601.27-95389.74</f>
        <v>-150444.84999999998</v>
      </c>
      <c r="CT19" s="73">
        <f>-65772.7-17420.06</f>
        <v>-83192.759999999995</v>
      </c>
      <c r="CU19" s="14">
        <v>-229823.28</v>
      </c>
      <c r="CV19" s="14">
        <f>-72576.78+63968.52-427948.05</f>
        <v>-436556.31</v>
      </c>
      <c r="CW19" s="14">
        <f>-124539.36+53545.52-51905.01</f>
        <v>-122898.85</v>
      </c>
      <c r="CX19" s="73">
        <f>-61843.75-52627.26+59343.75</f>
        <v>-55127.260000000009</v>
      </c>
      <c r="CY19" s="14">
        <f>-10840.89+585495.13-585766.08</f>
        <v>-11111.839999999967</v>
      </c>
      <c r="CZ19" s="14">
        <f>-324970.86+324066.46-112838.74</f>
        <v>-113743.13999999997</v>
      </c>
      <c r="DA19" s="14">
        <f>-89826.71-8616.11+123312.26+27360</f>
        <v>52229.439999999988</v>
      </c>
      <c r="DB19" s="14">
        <f>-511172.23+380340.44+124449.79-38856.88</f>
        <v>-45238.879999999983</v>
      </c>
      <c r="DC19" s="73">
        <v>-69849.83</v>
      </c>
      <c r="DD19" s="14">
        <f>947286.27-89464+58259.35-1258968.82</f>
        <v>-342887.20000000007</v>
      </c>
      <c r="DE19" s="14">
        <f>47370.23-73495.39-75444.39</f>
        <v>-101569.54999999999</v>
      </c>
      <c r="DF19" s="14">
        <f>74032.31-58899.94-130722.92</f>
        <v>-115590.55</v>
      </c>
      <c r="DG19" s="147">
        <f>459137.4-43777.97-2598.18-459137.4-2000</f>
        <v>-48376.149999999965</v>
      </c>
      <c r="DH19" s="14">
        <f>1092160.79-128058.55-1132562.13</f>
        <v>-168459.8899999999</v>
      </c>
      <c r="DI19" s="14">
        <f>640191.68-24549.43-221625.47-420661.2</f>
        <v>-26644.419999999984</v>
      </c>
      <c r="DJ19" s="14">
        <v>-31080.459999999977</v>
      </c>
      <c r="DK19" s="73">
        <f>-45892.8+47104.8-11591.57</f>
        <v>-10379.57</v>
      </c>
      <c r="DL19" s="14">
        <f>-595531+473921-98820.71</f>
        <v>-220430.71000000002</v>
      </c>
      <c r="DM19" s="14">
        <v>-16729.450000000004</v>
      </c>
      <c r="DN19" s="14">
        <v>-80922.489999999991</v>
      </c>
      <c r="DO19" s="71">
        <v>-110000</v>
      </c>
      <c r="DP19" s="9">
        <v>-110000</v>
      </c>
      <c r="DQ19" s="9">
        <v>-110000</v>
      </c>
      <c r="DR19" s="9">
        <v>-110000</v>
      </c>
      <c r="DS19" s="9">
        <v>-110000</v>
      </c>
      <c r="DT19" s="71">
        <v>-110000</v>
      </c>
      <c r="DU19" s="9">
        <v>-110000</v>
      </c>
      <c r="DV19" s="9">
        <v>-110000</v>
      </c>
      <c r="DW19" s="9">
        <v>-110000</v>
      </c>
      <c r="DX19" s="71">
        <v>-110000</v>
      </c>
      <c r="DY19" s="9">
        <v>-110000</v>
      </c>
      <c r="DZ19" s="9">
        <v>-110000</v>
      </c>
      <c r="EA19" s="9">
        <v>-110000</v>
      </c>
      <c r="EB19" s="9">
        <v>-110000</v>
      </c>
      <c r="EC19" s="71">
        <v>-110000</v>
      </c>
      <c r="ED19" s="9">
        <v>-110000</v>
      </c>
      <c r="EE19" s="9">
        <v>-110000</v>
      </c>
      <c r="EF19" s="9">
        <v>-110000</v>
      </c>
      <c r="EG19" s="71">
        <v>-110000</v>
      </c>
      <c r="EH19" s="9">
        <v>-110000</v>
      </c>
      <c r="EI19" s="9">
        <v>-110000</v>
      </c>
      <c r="EJ19" s="9">
        <v>-110000</v>
      </c>
      <c r="EK19" s="71">
        <v>-110000</v>
      </c>
      <c r="EL19" s="9">
        <v>-110000</v>
      </c>
    </row>
    <row r="20" spans="1:142" ht="14.5" x14ac:dyDescent="0.35">
      <c r="B20" s="19" t="s">
        <v>17</v>
      </c>
      <c r="C20" s="14">
        <v>-250000</v>
      </c>
      <c r="D20" s="14"/>
      <c r="E20" s="14"/>
      <c r="F20" s="17"/>
      <c r="G20" s="14"/>
      <c r="H20" s="14">
        <v>-100000</v>
      </c>
      <c r="I20" s="14"/>
      <c r="J20" s="14"/>
      <c r="K20" s="17"/>
      <c r="L20" s="14">
        <v>-100000</v>
      </c>
      <c r="M20" s="14"/>
      <c r="N20" s="14"/>
      <c r="O20" s="17"/>
      <c r="P20" s="14">
        <v>-100000</v>
      </c>
      <c r="Q20" s="14"/>
      <c r="R20" s="14"/>
      <c r="S20" s="14"/>
      <c r="T20" s="17"/>
      <c r="U20" s="14"/>
      <c r="V20" s="14"/>
      <c r="W20" s="14"/>
      <c r="X20" s="17"/>
      <c r="Y20" s="14"/>
      <c r="Z20" s="14"/>
      <c r="AA20" s="14"/>
      <c r="AB20" s="17"/>
      <c r="AC20" s="14"/>
      <c r="AD20" s="14"/>
      <c r="AE20" s="14">
        <v>-293633.88</v>
      </c>
      <c r="AF20" s="14"/>
      <c r="AG20" s="17"/>
      <c r="AH20" s="14">
        <v>-100000</v>
      </c>
      <c r="AI20" s="14"/>
      <c r="AJ20" s="14"/>
      <c r="AK20" s="17"/>
      <c r="AL20" s="14">
        <v>-30000</v>
      </c>
      <c r="AM20" s="14"/>
      <c r="AN20" s="14"/>
      <c r="AO20" s="17">
        <f>-100000-100000</f>
        <v>-200000</v>
      </c>
      <c r="AP20" s="14">
        <v>-50000</v>
      </c>
      <c r="AQ20" s="14"/>
      <c r="AR20" s="14"/>
      <c r="AS20" s="14"/>
      <c r="AT20" s="17"/>
      <c r="AU20" s="14"/>
      <c r="AV20" s="14"/>
      <c r="AW20" s="14">
        <v>-150785</v>
      </c>
      <c r="AX20" s="17"/>
      <c r="AY20" s="14"/>
      <c r="AZ20" s="14"/>
      <c r="BA20" s="14">
        <v>-250000</v>
      </c>
      <c r="BB20" s="14"/>
      <c r="BC20" s="17"/>
      <c r="BD20" s="14"/>
      <c r="BE20" s="14"/>
      <c r="BF20" s="14"/>
      <c r="BG20" s="17"/>
      <c r="BH20" s="14"/>
      <c r="BI20" s="14"/>
      <c r="BJ20" s="14"/>
      <c r="BK20" s="17"/>
      <c r="BL20" s="14"/>
      <c r="BM20" s="14"/>
      <c r="BN20" s="14"/>
      <c r="BO20" s="17">
        <v>-75000</v>
      </c>
      <c r="BP20" s="14"/>
      <c r="BQ20" s="14"/>
      <c r="BR20" s="14">
        <v>-100000</v>
      </c>
      <c r="BS20" s="14">
        <v>-110000</v>
      </c>
      <c r="BT20" s="17"/>
      <c r="BU20" s="14">
        <v>-125000</v>
      </c>
      <c r="BV20" s="14">
        <f>-25000-22779.07</f>
        <v>-47779.07</v>
      </c>
      <c r="BW20" s="14">
        <v>-1275000</v>
      </c>
      <c r="BX20" s="17">
        <v>-25000</v>
      </c>
      <c r="BY20" s="14">
        <f>-25000</f>
        <v>-25000</v>
      </c>
      <c r="BZ20" s="14">
        <f>-25000</f>
        <v>-25000</v>
      </c>
      <c r="CA20" s="14">
        <f>-100000</f>
        <v>-100000</v>
      </c>
      <c r="CB20" s="17">
        <f>-75000</f>
        <v>-75000</v>
      </c>
      <c r="CC20" s="14">
        <v>175000</v>
      </c>
      <c r="CD20" s="14">
        <v>-25000</v>
      </c>
      <c r="CE20" s="14">
        <v>-25000</v>
      </c>
      <c r="CF20" s="14">
        <v>-25000</v>
      </c>
      <c r="CG20" s="17">
        <v>-25000</v>
      </c>
      <c r="CH20" s="14"/>
      <c r="CI20" s="14">
        <f>-100000</f>
        <v>-100000</v>
      </c>
      <c r="CJ20" s="14">
        <v>100000.03</v>
      </c>
      <c r="CK20" s="17"/>
      <c r="CL20" s="14"/>
      <c r="CM20" s="14">
        <v>-55000</v>
      </c>
      <c r="CN20" s="14"/>
      <c r="CO20" s="14"/>
      <c r="CP20" s="73"/>
      <c r="CQ20" s="14"/>
      <c r="CR20" s="14"/>
      <c r="CS20" s="14"/>
      <c r="CT20" s="73"/>
      <c r="CU20" s="14"/>
      <c r="CV20" s="14"/>
      <c r="CW20" s="14"/>
      <c r="CX20" s="73"/>
      <c r="CY20" s="14"/>
      <c r="CZ20" s="14"/>
      <c r="DA20" s="14"/>
      <c r="DB20" s="14"/>
      <c r="DC20" s="73"/>
      <c r="DD20" s="14"/>
      <c r="DE20" s="14"/>
      <c r="DF20" s="14"/>
      <c r="DG20" s="148"/>
      <c r="DH20" s="14"/>
      <c r="DI20" s="14"/>
      <c r="DJ20" s="14"/>
      <c r="DK20" s="73"/>
      <c r="DL20" s="14"/>
      <c r="DM20" s="14"/>
      <c r="DN20" s="14"/>
      <c r="DO20" s="76"/>
      <c r="DP20" s="75"/>
      <c r="DQ20" s="75"/>
      <c r="DR20" s="75"/>
      <c r="DS20" s="75"/>
      <c r="DT20" s="76"/>
      <c r="DU20" s="75"/>
      <c r="DV20" s="75"/>
      <c r="DW20" s="75"/>
      <c r="DX20" s="76"/>
      <c r="DY20" s="75"/>
      <c r="DZ20" s="75"/>
      <c r="EA20" s="75"/>
      <c r="EB20" s="75"/>
      <c r="EC20" s="76"/>
      <c r="ED20" s="75"/>
      <c r="EE20" s="75"/>
      <c r="EF20" s="75"/>
      <c r="EG20" s="76"/>
      <c r="EH20" s="75"/>
      <c r="EI20" s="75"/>
      <c r="EJ20" s="75"/>
      <c r="EK20" s="76"/>
      <c r="EL20" s="75"/>
    </row>
    <row r="21" spans="1:142" ht="15.75" customHeight="1" x14ac:dyDescent="0.35">
      <c r="B21" s="19" t="s">
        <v>18</v>
      </c>
      <c r="C21" s="14">
        <v>-28988.61</v>
      </c>
      <c r="D21" s="14"/>
      <c r="E21" s="14"/>
      <c r="F21" s="17"/>
      <c r="G21" s="14">
        <v>-45079</v>
      </c>
      <c r="H21" s="14"/>
      <c r="I21" s="14"/>
      <c r="J21" s="14"/>
      <c r="K21" s="17"/>
      <c r="L21" s="14">
        <v>-45079</v>
      </c>
      <c r="M21" s="14"/>
      <c r="N21" s="14"/>
      <c r="O21" s="17"/>
      <c r="P21" s="14">
        <f>-47222-45079</f>
        <v>-92301</v>
      </c>
      <c r="Q21" s="14">
        <v>-47222</v>
      </c>
      <c r="R21" s="14">
        <v>-47222</v>
      </c>
      <c r="S21" s="14">
        <v>-47222</v>
      </c>
      <c r="T21" s="17">
        <v>-47222</v>
      </c>
      <c r="U21" s="14">
        <v>-47222</v>
      </c>
      <c r="V21" s="14">
        <v>-47222</v>
      </c>
      <c r="W21" s="14">
        <v>-47222.2</v>
      </c>
      <c r="X21" s="17">
        <v>-47222.2</v>
      </c>
      <c r="Y21" s="14">
        <f>-47222-32000</f>
        <v>-79222</v>
      </c>
      <c r="Z21" s="14"/>
      <c r="AA21" s="14"/>
      <c r="AB21" s="17"/>
      <c r="AC21" s="14">
        <v>-45079</v>
      </c>
      <c r="AD21" s="14"/>
      <c r="AE21" s="14">
        <f>-300000+300000</f>
        <v>0</v>
      </c>
      <c r="AF21" s="14">
        <f>-300000+300000</f>
        <v>0</v>
      </c>
      <c r="AG21" s="17">
        <f>-400000+400000</f>
        <v>0</v>
      </c>
      <c r="AH21" s="14">
        <v>-91528.5</v>
      </c>
      <c r="AI21" s="14"/>
      <c r="AJ21" s="14"/>
      <c r="AK21" s="17"/>
      <c r="AL21" s="14">
        <v>-95266.2</v>
      </c>
      <c r="AM21" s="14"/>
      <c r="AN21" s="14">
        <v>-43200</v>
      </c>
      <c r="AO21" s="17"/>
      <c r="AP21" s="14">
        <v>-95920.17</v>
      </c>
      <c r="AQ21" s="14"/>
      <c r="AR21" s="14"/>
      <c r="AS21" s="14"/>
      <c r="AT21" s="17"/>
      <c r="AU21" s="14">
        <v>-94841.2</v>
      </c>
      <c r="AV21" s="14"/>
      <c r="AW21" s="14"/>
      <c r="AX21" s="17"/>
      <c r="AY21" s="14">
        <v>-98255.31</v>
      </c>
      <c r="AZ21" s="14"/>
      <c r="BA21" s="14"/>
      <c r="BB21" s="14">
        <v>-43200</v>
      </c>
      <c r="BC21" s="17"/>
      <c r="BD21" s="14">
        <v>-99067.53</v>
      </c>
      <c r="BE21" s="14"/>
      <c r="BF21" s="14"/>
      <c r="BG21" s="17">
        <v>-56224</v>
      </c>
      <c r="BH21" s="14">
        <v>-95526.03</v>
      </c>
      <c r="BI21" s="14"/>
      <c r="BJ21" s="14">
        <v>-50000</v>
      </c>
      <c r="BK21" s="17">
        <v>-50000</v>
      </c>
      <c r="BL21" s="14">
        <v>-98602.9</v>
      </c>
      <c r="BM21" s="14"/>
      <c r="BN21" s="14"/>
      <c r="BO21" s="17"/>
      <c r="BP21" s="14">
        <f>-50000-97488.78</f>
        <v>-147488.78</v>
      </c>
      <c r="BQ21" s="14"/>
      <c r="BR21" s="14"/>
      <c r="BS21" s="14">
        <v>-72000</v>
      </c>
      <c r="BT21" s="17">
        <f>-5000-50000</f>
        <v>-55000</v>
      </c>
      <c r="BU21" s="14">
        <f>-98656.01-25000</f>
        <v>-123656.01</v>
      </c>
      <c r="BV21" s="14"/>
      <c r="BW21" s="14"/>
      <c r="BX21" s="17">
        <v>-25000</v>
      </c>
      <c r="BY21" s="21">
        <f>-97488.77</f>
        <v>-97488.77</v>
      </c>
      <c r="BZ21" s="14"/>
      <c r="CA21" s="14"/>
      <c r="CB21" s="17">
        <v>-20000</v>
      </c>
      <c r="CC21" s="21">
        <v>-98656.01</v>
      </c>
      <c r="CD21" s="14">
        <v>-45000</v>
      </c>
      <c r="CE21" s="14"/>
      <c r="CF21" s="14">
        <v>-20000</v>
      </c>
      <c r="CG21" s="17"/>
      <c r="CH21" s="14"/>
      <c r="CI21" s="14"/>
      <c r="CJ21" s="14">
        <v>141298.97</v>
      </c>
      <c r="CK21" s="17">
        <f>-145669-62208+66578.03</f>
        <v>-141298.97</v>
      </c>
      <c r="CL21" s="14"/>
      <c r="CM21" s="14"/>
      <c r="CN21" s="14"/>
      <c r="CO21" s="14"/>
      <c r="CP21" s="73"/>
      <c r="CQ21" s="14"/>
      <c r="CR21" s="14"/>
      <c r="CS21" s="14"/>
      <c r="CT21" s="73"/>
      <c r="CU21" s="14"/>
      <c r="CV21" s="14"/>
      <c r="CW21" s="14"/>
      <c r="CX21" s="73"/>
      <c r="CY21" s="14"/>
      <c r="CZ21" s="14"/>
      <c r="DA21" s="14"/>
      <c r="DB21" s="14"/>
      <c r="DC21" s="73"/>
      <c r="DD21" s="14"/>
      <c r="DE21" s="14"/>
      <c r="DF21" s="14"/>
      <c r="DG21" s="148"/>
      <c r="DH21" s="14"/>
      <c r="DI21" s="14"/>
      <c r="DJ21" s="14"/>
      <c r="DK21" s="73"/>
      <c r="DL21" s="14"/>
      <c r="DM21" s="14"/>
      <c r="DN21" s="14"/>
      <c r="DO21" s="76"/>
      <c r="DP21" s="75"/>
      <c r="DQ21" s="75"/>
      <c r="DR21" s="75"/>
      <c r="DS21" s="75"/>
      <c r="DT21" s="76"/>
      <c r="DU21" s="75"/>
      <c r="DV21" s="75"/>
      <c r="DW21" s="75"/>
      <c r="DX21" s="76"/>
      <c r="DY21" s="75"/>
      <c r="DZ21" s="75"/>
      <c r="EA21" s="75"/>
      <c r="EB21" s="75"/>
      <c r="EC21" s="76"/>
      <c r="ED21" s="75"/>
      <c r="EE21" s="75"/>
      <c r="EF21" s="75"/>
      <c r="EG21" s="76"/>
      <c r="EH21" s="75"/>
      <c r="EI21" s="75"/>
      <c r="EJ21" s="75"/>
      <c r="EK21" s="76"/>
      <c r="EL21" s="75"/>
    </row>
    <row r="22" spans="1:142" ht="7.5" customHeight="1" thickBot="1" x14ac:dyDescent="0.4">
      <c r="B22" s="89"/>
      <c r="C22" s="90"/>
      <c r="D22" s="90"/>
      <c r="E22" s="90"/>
      <c r="F22" s="91"/>
      <c r="G22" s="90"/>
      <c r="H22" s="90"/>
      <c r="I22" s="90"/>
      <c r="J22" s="90"/>
      <c r="K22" s="91"/>
      <c r="L22" s="90"/>
      <c r="M22" s="90"/>
      <c r="N22" s="90"/>
      <c r="O22" s="91"/>
      <c r="P22" s="90"/>
      <c r="Q22" s="90"/>
      <c r="R22" s="90"/>
      <c r="S22" s="90"/>
      <c r="T22" s="91"/>
      <c r="U22" s="90"/>
      <c r="V22" s="90"/>
      <c r="W22" s="90"/>
      <c r="X22" s="91"/>
      <c r="Y22" s="90"/>
      <c r="Z22" s="90"/>
      <c r="AA22" s="90"/>
      <c r="AB22" s="91"/>
      <c r="AC22" s="90"/>
      <c r="AD22" s="90"/>
      <c r="AE22" s="90"/>
      <c r="AF22" s="90"/>
      <c r="AG22" s="91"/>
      <c r="AH22" s="90"/>
      <c r="AI22" s="90"/>
      <c r="AJ22" s="90"/>
      <c r="AK22" s="91"/>
      <c r="AL22" s="90"/>
      <c r="AM22" s="90"/>
      <c r="AN22" s="90"/>
      <c r="AO22" s="91"/>
      <c r="AP22" s="90"/>
      <c r="AQ22" s="90"/>
      <c r="AR22" s="90"/>
      <c r="AS22" s="90"/>
      <c r="AT22" s="91"/>
      <c r="AU22" s="90"/>
      <c r="AV22" s="90"/>
      <c r="AW22" s="90"/>
      <c r="AX22" s="91"/>
      <c r="AY22" s="90"/>
      <c r="AZ22" s="90"/>
      <c r="BA22" s="90"/>
      <c r="BB22" s="90"/>
      <c r="BC22" s="91"/>
      <c r="BD22" s="90"/>
      <c r="BE22" s="90"/>
      <c r="BF22" s="90"/>
      <c r="BG22" s="91"/>
      <c r="BH22" s="90"/>
      <c r="BI22" s="90"/>
      <c r="BJ22" s="90"/>
      <c r="BK22" s="91"/>
      <c r="BL22" s="90"/>
      <c r="BM22" s="90"/>
      <c r="BN22" s="90"/>
      <c r="BO22" s="91"/>
      <c r="BP22" s="90"/>
      <c r="BQ22" s="90"/>
      <c r="BR22" s="90"/>
      <c r="BS22" s="90"/>
      <c r="BT22" s="91"/>
      <c r="BU22" s="90"/>
      <c r="BV22" s="90"/>
      <c r="BW22" s="90"/>
      <c r="BX22" s="92"/>
      <c r="BY22" s="93"/>
      <c r="BZ22" s="90"/>
      <c r="CA22" s="90"/>
      <c r="CB22" s="91"/>
      <c r="CC22" s="94"/>
      <c r="CD22" s="90"/>
      <c r="CE22" s="90"/>
      <c r="CF22" s="90"/>
      <c r="CG22" s="91"/>
      <c r="CH22" s="90"/>
      <c r="CI22" s="90"/>
      <c r="CJ22" s="90"/>
      <c r="CK22" s="91"/>
      <c r="CL22" s="90"/>
      <c r="CM22" s="90"/>
      <c r="CN22" s="90"/>
      <c r="CO22" s="90"/>
      <c r="CP22" s="95"/>
      <c r="CQ22" s="90"/>
      <c r="CR22" s="90"/>
      <c r="CS22" s="90"/>
      <c r="CT22" s="95"/>
      <c r="CU22" s="90"/>
      <c r="CV22" s="90"/>
      <c r="CW22" s="90"/>
      <c r="CX22" s="95"/>
      <c r="CY22" s="90"/>
      <c r="CZ22" s="90"/>
      <c r="DA22" s="90"/>
      <c r="DB22" s="90"/>
      <c r="DC22" s="95"/>
      <c r="DD22" s="90"/>
      <c r="DE22" s="90"/>
      <c r="DF22" s="90"/>
      <c r="DG22" s="149"/>
      <c r="DH22" s="90"/>
      <c r="DI22" s="90"/>
      <c r="DJ22" s="90"/>
      <c r="DK22" s="95"/>
      <c r="DL22" s="90"/>
      <c r="DM22" s="90"/>
      <c r="DN22" s="90"/>
      <c r="DO22" s="97"/>
      <c r="DP22" s="96"/>
      <c r="DQ22" s="96"/>
      <c r="DR22" s="96"/>
      <c r="DS22" s="96"/>
      <c r="DT22" s="97"/>
      <c r="DU22" s="96"/>
      <c r="DV22" s="96"/>
      <c r="DW22" s="96"/>
      <c r="DX22" s="97"/>
      <c r="DY22" s="96"/>
      <c r="DZ22" s="96"/>
      <c r="EA22" s="96"/>
      <c r="EB22" s="96"/>
      <c r="EC22" s="97"/>
      <c r="ED22" s="96"/>
      <c r="EE22" s="96"/>
      <c r="EF22" s="96"/>
      <c r="EG22" s="97"/>
      <c r="EH22" s="96"/>
      <c r="EI22" s="96"/>
      <c r="EJ22" s="96"/>
      <c r="EK22" s="97"/>
      <c r="EL22" s="96"/>
    </row>
    <row r="23" spans="1:142" ht="15.75" customHeight="1" x14ac:dyDescent="0.35">
      <c r="B23" s="86" t="s">
        <v>19</v>
      </c>
      <c r="C23" s="79">
        <f t="shared" ref="C23:CZ23" si="29">SUM(C3:C22)</f>
        <v>2288807.5</v>
      </c>
      <c r="D23" s="79">
        <f t="shared" si="29"/>
        <v>2604552.4</v>
      </c>
      <c r="E23" s="79">
        <f t="shared" si="29"/>
        <v>1994376.4</v>
      </c>
      <c r="F23" s="87">
        <f t="shared" si="29"/>
        <v>2251105.19</v>
      </c>
      <c r="G23" s="79">
        <f t="shared" si="29"/>
        <v>1595981.2000000002</v>
      </c>
      <c r="H23" s="79">
        <f t="shared" si="29"/>
        <v>1633425.2700000003</v>
      </c>
      <c r="I23" s="79">
        <f t="shared" si="29"/>
        <v>1364115.8100000003</v>
      </c>
      <c r="J23" s="79">
        <f t="shared" si="29"/>
        <v>1102620.9400000002</v>
      </c>
      <c r="K23" s="87">
        <f t="shared" si="29"/>
        <v>608900.42000000016</v>
      </c>
      <c r="L23" s="79">
        <f t="shared" si="29"/>
        <v>866741.42000000016</v>
      </c>
      <c r="M23" s="79">
        <f t="shared" si="29"/>
        <v>1185798.9700000002</v>
      </c>
      <c r="N23" s="79">
        <f t="shared" si="29"/>
        <v>2925048.99</v>
      </c>
      <c r="O23" s="87">
        <f t="shared" si="29"/>
        <v>3191396.58</v>
      </c>
      <c r="P23" s="79">
        <f t="shared" si="29"/>
        <v>2840095.58</v>
      </c>
      <c r="Q23" s="79">
        <f t="shared" si="29"/>
        <v>2243873.58</v>
      </c>
      <c r="R23" s="79">
        <f t="shared" si="29"/>
        <v>1911651.58</v>
      </c>
      <c r="S23" s="79">
        <f t="shared" si="29"/>
        <v>1028903.5800000001</v>
      </c>
      <c r="T23" s="87">
        <f t="shared" si="29"/>
        <v>2348705.5100000002</v>
      </c>
      <c r="U23" s="79">
        <f t="shared" si="29"/>
        <v>1815788.5200000003</v>
      </c>
      <c r="V23" s="79">
        <f t="shared" si="29"/>
        <v>1820307.6400000001</v>
      </c>
      <c r="W23" s="79">
        <f t="shared" si="29"/>
        <v>1224444.4100000001</v>
      </c>
      <c r="X23" s="87">
        <f t="shared" si="29"/>
        <v>1078140.3000000003</v>
      </c>
      <c r="Y23" s="79">
        <f t="shared" si="29"/>
        <v>1898512.8500000003</v>
      </c>
      <c r="Z23" s="79">
        <f t="shared" si="29"/>
        <v>2750442.8500000006</v>
      </c>
      <c r="AA23" s="79">
        <f t="shared" si="29"/>
        <v>2181672.8700000006</v>
      </c>
      <c r="AB23" s="87">
        <f t="shared" si="29"/>
        <v>2177832.8700000006</v>
      </c>
      <c r="AC23" s="79">
        <f t="shared" si="29"/>
        <v>1672461.6700000004</v>
      </c>
      <c r="AD23" s="80">
        <f t="shared" si="29"/>
        <v>1658397.8700000003</v>
      </c>
      <c r="AE23" s="80">
        <f t="shared" si="29"/>
        <v>1014567.9300000003</v>
      </c>
      <c r="AF23" s="80">
        <f t="shared" si="29"/>
        <v>1170582.4100000001</v>
      </c>
      <c r="AG23" s="88">
        <f t="shared" si="29"/>
        <v>1359914.06</v>
      </c>
      <c r="AH23" s="80">
        <f t="shared" si="29"/>
        <v>1231202.0900000001</v>
      </c>
      <c r="AI23" s="80">
        <f t="shared" si="29"/>
        <v>887594.36000000034</v>
      </c>
      <c r="AJ23" s="80">
        <f t="shared" si="29"/>
        <v>874146.77000000025</v>
      </c>
      <c r="AK23" s="88">
        <f t="shared" si="29"/>
        <v>1652259.5000000002</v>
      </c>
      <c r="AL23" s="80">
        <f t="shared" si="29"/>
        <v>1959378.07</v>
      </c>
      <c r="AM23" s="80">
        <f t="shared" si="29"/>
        <v>1632131.85</v>
      </c>
      <c r="AN23" s="80">
        <f t="shared" si="29"/>
        <v>1786503.6800000002</v>
      </c>
      <c r="AO23" s="88">
        <f t="shared" si="29"/>
        <v>1025395.8300000005</v>
      </c>
      <c r="AP23" s="80">
        <f t="shared" si="29"/>
        <v>1062630.8100000008</v>
      </c>
      <c r="AQ23" s="80">
        <f t="shared" si="29"/>
        <v>665032.98000000068</v>
      </c>
      <c r="AR23" s="80">
        <f t="shared" si="29"/>
        <v>1000740.3500000007</v>
      </c>
      <c r="AS23" s="80">
        <f t="shared" si="29"/>
        <v>941863.10000000091</v>
      </c>
      <c r="AT23" s="88">
        <f t="shared" si="29"/>
        <v>678985.76000000094</v>
      </c>
      <c r="AU23" s="80">
        <f t="shared" si="29"/>
        <v>396051.890000001</v>
      </c>
      <c r="AV23" s="80">
        <f t="shared" si="29"/>
        <v>1426261.4100000013</v>
      </c>
      <c r="AW23" s="80">
        <f t="shared" si="29"/>
        <v>720910.21000000113</v>
      </c>
      <c r="AX23" s="88">
        <f t="shared" si="29"/>
        <v>1337503.2600000009</v>
      </c>
      <c r="AY23" s="80">
        <f t="shared" si="29"/>
        <v>1308888.7400000012</v>
      </c>
      <c r="AZ23" s="80">
        <f t="shared" si="29"/>
        <v>1556026.610000001</v>
      </c>
      <c r="BA23" s="80">
        <f t="shared" si="29"/>
        <v>1606423.4500000014</v>
      </c>
      <c r="BB23" s="80">
        <f t="shared" si="29"/>
        <v>2252298.600000001</v>
      </c>
      <c r="BC23" s="88">
        <f t="shared" si="29"/>
        <v>1433331.7000000007</v>
      </c>
      <c r="BD23" s="80">
        <f t="shared" si="29"/>
        <v>1529013.8700000003</v>
      </c>
      <c r="BE23" s="80">
        <f t="shared" si="29"/>
        <v>905031.57000000018</v>
      </c>
      <c r="BF23" s="80">
        <f t="shared" si="29"/>
        <v>1496366.36</v>
      </c>
      <c r="BG23" s="88">
        <f t="shared" si="29"/>
        <v>539811.14999999991</v>
      </c>
      <c r="BH23" s="80">
        <f t="shared" si="29"/>
        <v>464610.67999999993</v>
      </c>
      <c r="BI23" s="80">
        <f t="shared" si="29"/>
        <v>318948.24999999988</v>
      </c>
      <c r="BJ23" s="80">
        <f t="shared" si="29"/>
        <v>916028.34999999974</v>
      </c>
      <c r="BK23" s="88">
        <f t="shared" si="29"/>
        <v>603965.66999999958</v>
      </c>
      <c r="BL23" s="80">
        <f t="shared" si="29"/>
        <v>1008974.7599999992</v>
      </c>
      <c r="BM23" s="80">
        <f t="shared" si="29"/>
        <v>952125.31999999925</v>
      </c>
      <c r="BN23" s="80">
        <f t="shared" si="29"/>
        <v>986584.05999999936</v>
      </c>
      <c r="BO23" s="88">
        <f t="shared" si="29"/>
        <v>1264430.1599999995</v>
      </c>
      <c r="BP23" s="80">
        <f t="shared" si="29"/>
        <v>1545190.99</v>
      </c>
      <c r="BQ23" s="80">
        <f t="shared" si="29"/>
        <v>1556009.2699999998</v>
      </c>
      <c r="BR23" s="80">
        <f t="shared" si="29"/>
        <v>2098433.2999999998</v>
      </c>
      <c r="BS23" s="80">
        <f t="shared" si="29"/>
        <v>1355761.1299999997</v>
      </c>
      <c r="BT23" s="88">
        <f t="shared" si="29"/>
        <v>617642.46999999962</v>
      </c>
      <c r="BU23" s="80">
        <f t="shared" si="29"/>
        <v>974223.78</v>
      </c>
      <c r="BV23" s="80">
        <f t="shared" si="29"/>
        <v>964817.59000000008</v>
      </c>
      <c r="BW23" s="80">
        <f t="shared" si="29"/>
        <v>641928.55999999982</v>
      </c>
      <c r="BX23" s="88">
        <f t="shared" si="29"/>
        <v>1076488.01</v>
      </c>
      <c r="BY23" s="80">
        <f t="shared" si="29"/>
        <v>435863.18000000017</v>
      </c>
      <c r="BZ23" s="80">
        <f t="shared" si="29"/>
        <v>582595.49000000022</v>
      </c>
      <c r="CA23" s="80">
        <f t="shared" si="29"/>
        <v>710229.9600000002</v>
      </c>
      <c r="CB23" s="88">
        <f t="shared" si="29"/>
        <v>1017418.9100000001</v>
      </c>
      <c r="CC23" s="80">
        <f t="shared" si="29"/>
        <v>563041.91</v>
      </c>
      <c r="CD23" s="80">
        <f t="shared" si="29"/>
        <v>728947.94</v>
      </c>
      <c r="CE23" s="80">
        <f t="shared" si="29"/>
        <v>18602928.029999997</v>
      </c>
      <c r="CF23" s="80">
        <f t="shared" si="29"/>
        <v>1467910.7399999998</v>
      </c>
      <c r="CG23" s="88">
        <f t="shared" si="29"/>
        <v>945739.01999999979</v>
      </c>
      <c r="CH23" s="80">
        <f t="shared" si="29"/>
        <v>1028145.02</v>
      </c>
      <c r="CI23" s="80">
        <f t="shared" si="29"/>
        <v>676970.94</v>
      </c>
      <c r="CJ23" s="80">
        <f t="shared" si="29"/>
        <v>1105950.1700000002</v>
      </c>
      <c r="CK23" s="77">
        <f t="shared" si="29"/>
        <v>486229.50000000023</v>
      </c>
      <c r="CL23" s="80">
        <f t="shared" si="29"/>
        <v>823924.38000000047</v>
      </c>
      <c r="CM23" s="80">
        <f t="shared" si="29"/>
        <v>657708.11000000034</v>
      </c>
      <c r="CN23" s="80">
        <f t="shared" si="29"/>
        <v>1262936.5300000003</v>
      </c>
      <c r="CO23" s="80">
        <f t="shared" si="29"/>
        <v>811369.37000000023</v>
      </c>
      <c r="CP23" s="77">
        <f t="shared" si="29"/>
        <v>1346629.4200000004</v>
      </c>
      <c r="CQ23" s="80">
        <f t="shared" si="29"/>
        <v>1792112.5100000002</v>
      </c>
      <c r="CR23" s="80">
        <f t="shared" si="29"/>
        <v>2447341.6800000002</v>
      </c>
      <c r="CS23" s="80">
        <f t="shared" si="29"/>
        <v>1897664.7700000005</v>
      </c>
      <c r="CT23" s="77">
        <f t="shared" si="29"/>
        <v>2326047.7200000007</v>
      </c>
      <c r="CU23" s="80">
        <f>SUM(CU3:CU22)</f>
        <v>2708001.6500000008</v>
      </c>
      <c r="CV23" s="80">
        <f t="shared" si="29"/>
        <v>2620060.3400000008</v>
      </c>
      <c r="CW23" s="80">
        <f t="shared" si="29"/>
        <v>3395696.5000000005</v>
      </c>
      <c r="CX23" s="77">
        <f t="shared" si="29"/>
        <v>3553928.1500000004</v>
      </c>
      <c r="CY23" s="80">
        <f t="shared" si="29"/>
        <v>3191699.6000000006</v>
      </c>
      <c r="CZ23" s="80">
        <f t="shared" si="29"/>
        <v>3515729.8200000003</v>
      </c>
      <c r="DA23" s="80">
        <f>SUM(DA3:DA22)</f>
        <v>3388552.9</v>
      </c>
      <c r="DB23" s="80">
        <f t="shared" ref="DB23:DV23" si="30">SUM(DB3:DB22)</f>
        <v>3845045.13</v>
      </c>
      <c r="DC23" s="77">
        <f t="shared" si="30"/>
        <v>3425092.4999999995</v>
      </c>
      <c r="DD23" s="80">
        <f t="shared" si="30"/>
        <v>3944699.5199999996</v>
      </c>
      <c r="DE23" s="80">
        <f t="shared" si="30"/>
        <v>4005412.0600000005</v>
      </c>
      <c r="DF23" s="80">
        <f t="shared" si="30"/>
        <v>4130140.580000001</v>
      </c>
      <c r="DG23" s="77">
        <f t="shared" si="30"/>
        <v>3776943.140000002</v>
      </c>
      <c r="DH23" s="80">
        <f t="shared" si="30"/>
        <v>4458331.5600000015</v>
      </c>
      <c r="DI23" s="80">
        <f t="shared" si="30"/>
        <v>4400217.040000001</v>
      </c>
      <c r="DJ23" s="80">
        <f t="shared" si="30"/>
        <v>4791874.74</v>
      </c>
      <c r="DK23" s="77">
        <f t="shared" si="30"/>
        <v>3806668.8699999996</v>
      </c>
      <c r="DL23" s="80">
        <f t="shared" si="30"/>
        <v>4161028.5500000007</v>
      </c>
      <c r="DM23" s="80">
        <f t="shared" si="30"/>
        <v>3453635.7000000007</v>
      </c>
      <c r="DN23" s="80">
        <f t="shared" si="30"/>
        <v>4265615.7700000005</v>
      </c>
      <c r="DO23" s="77">
        <f t="shared" si="30"/>
        <v>2596615.7700000005</v>
      </c>
      <c r="DP23" s="80">
        <f t="shared" si="30"/>
        <v>2583550.9900000007</v>
      </c>
      <c r="DQ23" s="80">
        <f t="shared" si="30"/>
        <v>2821995.1550000007</v>
      </c>
      <c r="DR23" s="80">
        <f t="shared" si="30"/>
        <v>3578506.8250000007</v>
      </c>
      <c r="DS23" s="80">
        <f t="shared" si="30"/>
        <v>2468506.8250000007</v>
      </c>
      <c r="DT23" s="77">
        <f t="shared" si="30"/>
        <v>4286213.6311850008</v>
      </c>
      <c r="DU23" s="80">
        <f t="shared" si="30"/>
        <v>3024675.101185001</v>
      </c>
      <c r="DV23" s="80">
        <f t="shared" si="30"/>
        <v>5535079.5511850007</v>
      </c>
      <c r="DW23" s="80">
        <f>SUM(DW3:DW22)</f>
        <v>4364841.1511850003</v>
      </c>
      <c r="DX23" s="77">
        <f>SUM(DX3:DX22)</f>
        <v>3744841.1511850003</v>
      </c>
      <c r="DY23" s="80">
        <f>SUM(DY3:DY22)</f>
        <v>5315452.6211850001</v>
      </c>
      <c r="DZ23" s="80">
        <f t="shared" ref="DZ23:ED23" si="31">SUM(DZ3:DZ22)</f>
        <v>5452969.6211850001</v>
      </c>
      <c r="EA23" s="80">
        <f t="shared" si="31"/>
        <v>6800616.2411850002</v>
      </c>
      <c r="EB23" s="80">
        <f t="shared" si="31"/>
        <v>6680616.2411850002</v>
      </c>
      <c r="EC23" s="77">
        <f t="shared" si="31"/>
        <v>8983440.9911850002</v>
      </c>
      <c r="ED23" s="80">
        <f t="shared" si="31"/>
        <v>8822386.2111850008</v>
      </c>
      <c r="EE23" s="80">
        <f t="shared" ref="EE23" si="32">SUM(EE3:EE22)</f>
        <v>10296819.611185001</v>
      </c>
      <c r="EF23" s="80">
        <f t="shared" ref="EF23" si="33">SUM(EF3:EF22)</f>
        <v>10076819.611185001</v>
      </c>
      <c r="EG23" s="77">
        <f t="shared" ref="EG23" si="34">SUM(EG3:EG22)</f>
        <v>13946276.291185001</v>
      </c>
      <c r="EH23" s="80">
        <f t="shared" ref="EH23" si="35">SUM(EH3:EH22)</f>
        <v>13407521.011185002</v>
      </c>
      <c r="EI23" s="80">
        <f t="shared" ref="EI23" si="36">SUM(EI3:EI22)</f>
        <v>12867070.781185001</v>
      </c>
      <c r="EJ23" s="80">
        <f t="shared" ref="EJ23" si="37">SUM(EJ3:EJ22)</f>
        <v>13250408.381185001</v>
      </c>
      <c r="EK23" s="77">
        <f t="shared" ref="EK23:EL23" si="38">SUM(EK3:EK22)</f>
        <v>11740408.381185001</v>
      </c>
      <c r="EL23" s="80">
        <f t="shared" si="38"/>
        <v>16983975.881185003</v>
      </c>
    </row>
    <row r="24" spans="1:142" ht="15.75" customHeight="1" x14ac:dyDescent="0.35">
      <c r="A24" s="152"/>
      <c r="B24" s="152" t="s">
        <v>356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  <c r="CG24" s="80"/>
      <c r="CH24" s="80"/>
      <c r="CI24" s="80"/>
      <c r="CJ24" s="80"/>
      <c r="CK24" s="77"/>
      <c r="CL24" s="80"/>
      <c r="CM24" s="80"/>
      <c r="CN24" s="80"/>
      <c r="CO24" s="80"/>
      <c r="CP24" s="77"/>
      <c r="CQ24" s="80"/>
      <c r="CR24" s="80"/>
      <c r="CS24" s="80"/>
      <c r="CT24" s="77"/>
      <c r="CU24" s="80"/>
      <c r="CV24" s="80">
        <f t="shared" ref="CV24:EL24" si="39">CV23-CU23</f>
        <v>-87941.310000000056</v>
      </c>
      <c r="CW24" s="80">
        <f t="shared" si="39"/>
        <v>775636.15999999968</v>
      </c>
      <c r="CX24" s="80">
        <f t="shared" si="39"/>
        <v>158231.64999999991</v>
      </c>
      <c r="CY24" s="80">
        <f t="shared" si="39"/>
        <v>-362228.54999999981</v>
      </c>
      <c r="CZ24" s="80">
        <f t="shared" si="39"/>
        <v>324030.21999999974</v>
      </c>
      <c r="DA24" s="80">
        <f t="shared" si="39"/>
        <v>-127176.92000000039</v>
      </c>
      <c r="DB24" s="80">
        <f t="shared" si="39"/>
        <v>456492.23</v>
      </c>
      <c r="DC24" s="77">
        <f t="shared" si="39"/>
        <v>-419952.63000000035</v>
      </c>
      <c r="DD24" s="80">
        <f t="shared" si="39"/>
        <v>519607.02</v>
      </c>
      <c r="DE24" s="80">
        <f t="shared" si="39"/>
        <v>60712.540000000969</v>
      </c>
      <c r="DF24" s="80">
        <f t="shared" si="39"/>
        <v>124728.52000000048</v>
      </c>
      <c r="DG24" s="77">
        <f t="shared" si="39"/>
        <v>-353197.43999999901</v>
      </c>
      <c r="DH24" s="80">
        <f t="shared" si="39"/>
        <v>681388.41999999946</v>
      </c>
      <c r="DI24" s="80">
        <f t="shared" si="39"/>
        <v>-58114.520000000484</v>
      </c>
      <c r="DJ24" s="80">
        <f t="shared" si="39"/>
        <v>391657.69999999925</v>
      </c>
      <c r="DK24" s="77">
        <f t="shared" si="39"/>
        <v>-985205.87000000058</v>
      </c>
      <c r="DL24" s="80">
        <f t="shared" si="39"/>
        <v>354359.6800000011</v>
      </c>
      <c r="DM24" s="80">
        <f t="shared" si="39"/>
        <v>-707392.85000000009</v>
      </c>
      <c r="DN24" s="80">
        <f t="shared" si="39"/>
        <v>811980.06999999983</v>
      </c>
      <c r="DO24" s="77">
        <f t="shared" si="39"/>
        <v>-1669000</v>
      </c>
      <c r="DP24" s="80">
        <f t="shared" si="39"/>
        <v>-13064.779999999795</v>
      </c>
      <c r="DQ24" s="80">
        <f t="shared" si="39"/>
        <v>238444.16500000004</v>
      </c>
      <c r="DR24" s="80">
        <f t="shared" si="39"/>
        <v>756511.66999999993</v>
      </c>
      <c r="DS24" s="80">
        <f t="shared" si="39"/>
        <v>-1110000</v>
      </c>
      <c r="DT24" s="77">
        <f t="shared" si="39"/>
        <v>1817706.8061850001</v>
      </c>
      <c r="DU24" s="80">
        <f t="shared" si="39"/>
        <v>-1261538.5299999998</v>
      </c>
      <c r="DV24" s="80">
        <f t="shared" si="39"/>
        <v>2510404.4499999997</v>
      </c>
      <c r="DW24" s="80">
        <f t="shared" si="39"/>
        <v>-1170238.4000000004</v>
      </c>
      <c r="DX24" s="77">
        <f t="shared" si="39"/>
        <v>-620000</v>
      </c>
      <c r="DY24" s="80">
        <f t="shared" si="39"/>
        <v>1570611.4699999997</v>
      </c>
      <c r="DZ24" s="80">
        <f t="shared" si="39"/>
        <v>137517</v>
      </c>
      <c r="EA24" s="80">
        <f t="shared" si="39"/>
        <v>1347646.62</v>
      </c>
      <c r="EB24" s="80">
        <f t="shared" si="39"/>
        <v>-120000</v>
      </c>
      <c r="EC24" s="77">
        <f t="shared" si="39"/>
        <v>2302824.75</v>
      </c>
      <c r="ED24" s="80">
        <f t="shared" si="39"/>
        <v>-161054.77999999933</v>
      </c>
      <c r="EE24" s="80">
        <f t="shared" si="39"/>
        <v>1474433.4000000004</v>
      </c>
      <c r="EF24" s="80">
        <f t="shared" si="39"/>
        <v>-220000</v>
      </c>
      <c r="EG24" s="77">
        <f t="shared" si="39"/>
        <v>3869456.6799999997</v>
      </c>
      <c r="EH24" s="80">
        <f t="shared" si="39"/>
        <v>-538755.27999999933</v>
      </c>
      <c r="EI24" s="80">
        <f t="shared" si="39"/>
        <v>-540450.23000000045</v>
      </c>
      <c r="EJ24" s="80">
        <f t="shared" si="39"/>
        <v>383337.59999999963</v>
      </c>
      <c r="EK24" s="77">
        <f t="shared" si="39"/>
        <v>-1510000</v>
      </c>
      <c r="EL24" s="80">
        <f t="shared" si="39"/>
        <v>5243567.5000000019</v>
      </c>
    </row>
    <row r="25" spans="1:142" ht="15.75" customHeight="1" x14ac:dyDescent="0.35">
      <c r="B25" s="2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71"/>
      <c r="CL25" s="9"/>
      <c r="CM25" s="9"/>
      <c r="CN25" s="9"/>
      <c r="CO25" s="9"/>
      <c r="CP25" s="71"/>
      <c r="CQ25" s="9"/>
      <c r="CR25" s="9"/>
      <c r="CS25" s="9"/>
      <c r="CT25" s="71"/>
      <c r="CU25" s="9"/>
      <c r="CV25" s="9"/>
      <c r="CW25" s="9"/>
      <c r="CX25" s="71"/>
      <c r="CY25" s="9"/>
      <c r="DC25" s="74"/>
      <c r="DG25" s="74"/>
      <c r="DK25" s="74"/>
      <c r="DO25" s="74"/>
      <c r="DT25" s="74"/>
      <c r="DX25" s="74"/>
      <c r="EC25" s="74"/>
      <c r="EG25" s="74"/>
      <c r="EK25" s="74"/>
    </row>
    <row r="26" spans="1:142" ht="15.75" customHeight="1" x14ac:dyDescent="0.35">
      <c r="B26" s="3" t="s">
        <v>268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>
        <v>1815788.5200000003</v>
      </c>
      <c r="V26" s="9">
        <v>1707304.5200000003</v>
      </c>
      <c r="W26" s="9">
        <v>1088371.8600000003</v>
      </c>
      <c r="X26" s="9">
        <v>1078140.3000000003</v>
      </c>
      <c r="Y26" s="9">
        <v>1898512.8500000003</v>
      </c>
      <c r="Z26" s="9">
        <v>2750442.8500000006</v>
      </c>
      <c r="AA26" s="9">
        <v>2181672.8700000006</v>
      </c>
      <c r="AB26" s="9">
        <v>2177832.8700000006</v>
      </c>
      <c r="AC26" s="9">
        <v>1672461.6700000004</v>
      </c>
      <c r="AD26" s="9">
        <v>1658397.8700000003</v>
      </c>
      <c r="AE26" s="9">
        <v>1014567.9300000003</v>
      </c>
      <c r="AF26" s="9">
        <v>1170582.4100000001</v>
      </c>
      <c r="AG26" s="9">
        <v>1359914.06</v>
      </c>
      <c r="AH26" s="9">
        <v>1231202.0900000001</v>
      </c>
      <c r="AI26" s="9">
        <v>887594.36000000034</v>
      </c>
      <c r="AJ26" s="9">
        <v>874146.77000000025</v>
      </c>
      <c r="AK26" s="9">
        <v>1652259.5000000002</v>
      </c>
      <c r="AL26" s="9">
        <v>1959378.07</v>
      </c>
      <c r="AM26" s="9">
        <v>1632131.85</v>
      </c>
      <c r="AN26" s="9">
        <v>1786503.6800000002</v>
      </c>
      <c r="AO26" s="9">
        <v>1025395.8300000005</v>
      </c>
      <c r="AP26" s="9">
        <v>1062630.8100000008</v>
      </c>
      <c r="AQ26" s="9">
        <v>665032.98000000068</v>
      </c>
      <c r="AR26" s="9">
        <v>1000740.3500000007</v>
      </c>
      <c r="AS26" s="9">
        <v>941863.10000000091</v>
      </c>
      <c r="AT26" s="9">
        <v>678985.76000000094</v>
      </c>
      <c r="AU26" s="9">
        <v>396051.890000001</v>
      </c>
      <c r="AV26" s="9">
        <v>1426261.4100000013</v>
      </c>
      <c r="AW26" s="9">
        <v>720910.21000000113</v>
      </c>
      <c r="AX26" s="9">
        <v>922139.42000000121</v>
      </c>
      <c r="AY26" s="9">
        <v>1308888.7400000012</v>
      </c>
      <c r="AZ26" s="9">
        <v>1556026.610000001</v>
      </c>
      <c r="BA26" s="9">
        <v>1606423.4500000014</v>
      </c>
      <c r="BB26" s="9">
        <v>2252298.600000001</v>
      </c>
      <c r="BC26" s="9">
        <v>1433331.7000000007</v>
      </c>
      <c r="BD26" s="9">
        <v>1529013.8700000003</v>
      </c>
      <c r="BE26" s="9">
        <v>905031.57000000018</v>
      </c>
      <c r="BF26" s="9">
        <v>1496366.36</v>
      </c>
      <c r="BG26" s="9">
        <v>539811.14999999991</v>
      </c>
      <c r="BH26" s="9">
        <v>464610.67999999993</v>
      </c>
      <c r="BI26" s="9">
        <v>318948.24999999988</v>
      </c>
      <c r="BJ26" s="9">
        <v>916028.34999999974</v>
      </c>
      <c r="BK26" s="9">
        <v>603965.66999999958</v>
      </c>
      <c r="BL26" s="9">
        <v>1008974.7599999992</v>
      </c>
      <c r="BM26" s="9">
        <v>952125.31999999925</v>
      </c>
      <c r="BN26" s="9">
        <v>986584.05999999936</v>
      </c>
      <c r="BO26" s="9">
        <v>1264430.1599999995</v>
      </c>
      <c r="BP26" s="9">
        <v>1545190.99</v>
      </c>
      <c r="BQ26" s="9">
        <v>1556009.2699999998</v>
      </c>
      <c r="BR26" s="9">
        <v>2098433.2999999998</v>
      </c>
      <c r="BS26" s="9">
        <v>1355761.1299999997</v>
      </c>
      <c r="BT26" s="9">
        <v>617642.46999999962</v>
      </c>
      <c r="BU26" s="9">
        <v>974223.78</v>
      </c>
      <c r="BV26" s="9">
        <v>964817.59000000008</v>
      </c>
      <c r="BW26" s="9">
        <v>641928.55999999982</v>
      </c>
      <c r="BX26" s="9">
        <v>1076488.01</v>
      </c>
      <c r="BY26" s="9">
        <v>435863.18000000017</v>
      </c>
      <c r="BZ26" s="9">
        <v>582595.49000000022</v>
      </c>
      <c r="CA26" s="9">
        <v>713880.8200000003</v>
      </c>
      <c r="CB26" s="9">
        <v>119680.8200000003</v>
      </c>
      <c r="CC26" s="9">
        <v>-52240.539999999732</v>
      </c>
      <c r="CD26" s="9">
        <v>-69224.899999999732</v>
      </c>
      <c r="CE26" s="9">
        <v>83185.100000000326</v>
      </c>
      <c r="CF26" s="9">
        <v>3185.100000000326</v>
      </c>
      <c r="CG26" s="9">
        <v>129583.10000000033</v>
      </c>
      <c r="CH26" s="9">
        <v>-307789.97999999969</v>
      </c>
      <c r="CI26" s="9">
        <v>396121.02000000025</v>
      </c>
      <c r="CJ26" s="9">
        <v>46121.020000000251</v>
      </c>
      <c r="CK26" s="71">
        <v>-578878.97999999975</v>
      </c>
      <c r="CL26" s="9">
        <v>782166.02000000025</v>
      </c>
      <c r="CM26" s="9">
        <v>782166.02000000025</v>
      </c>
      <c r="CN26" s="9">
        <v>782166.02000000025</v>
      </c>
      <c r="CO26" s="9">
        <v>782166.02000000025</v>
      </c>
      <c r="CP26" s="71">
        <v>782166.02000000025</v>
      </c>
      <c r="CQ26" s="9">
        <v>782166.02000000025</v>
      </c>
      <c r="CR26" s="9">
        <v>782166.02000000025</v>
      </c>
      <c r="CS26" s="9">
        <v>782166.02000000025</v>
      </c>
      <c r="CT26" s="71">
        <v>782166.02000000025</v>
      </c>
      <c r="CU26" s="106">
        <v>2708001.6500000008</v>
      </c>
      <c r="CV26" s="106">
        <v>2620060.3400000008</v>
      </c>
      <c r="CW26" s="106">
        <v>3395696.5000000005</v>
      </c>
      <c r="CX26" s="107">
        <v>3553928.1500000004</v>
      </c>
      <c r="CY26" s="106">
        <v>3191699.6000000006</v>
      </c>
      <c r="CZ26" s="108">
        <v>3515729.8200000003</v>
      </c>
      <c r="DA26" s="108">
        <v>3388552.9</v>
      </c>
      <c r="DB26" s="108">
        <v>3845045.13</v>
      </c>
      <c r="DC26" s="109">
        <v>4215565.72</v>
      </c>
      <c r="DD26" s="108">
        <v>4964367.68</v>
      </c>
      <c r="DE26" s="108">
        <v>5632200.0599999996</v>
      </c>
      <c r="DF26" s="108">
        <v>5848852.2599999998</v>
      </c>
      <c r="DG26" s="109">
        <v>5410791.2599999998</v>
      </c>
      <c r="DH26" s="108">
        <v>5145447.4799999995</v>
      </c>
      <c r="DI26" s="108">
        <v>4106397.4799999995</v>
      </c>
      <c r="DJ26" s="108">
        <v>6988731.9799999995</v>
      </c>
      <c r="DK26" s="109">
        <v>5418731.9799999995</v>
      </c>
      <c r="DL26" s="108">
        <v>6949897.1999999993</v>
      </c>
      <c r="DM26" s="108">
        <v>5799897.1999999993</v>
      </c>
      <c r="DN26" s="108">
        <v>7906021.4299999997</v>
      </c>
      <c r="DO26" s="109">
        <v>6326021.4299999997</v>
      </c>
      <c r="DP26" s="108">
        <v>7527720.6499999994</v>
      </c>
      <c r="DQ26" s="108">
        <v>6367720.6499999994</v>
      </c>
      <c r="DR26" s="108">
        <v>8329607.5599999987</v>
      </c>
      <c r="DS26" s="108">
        <v>7219607.5599999987</v>
      </c>
      <c r="DT26" s="109">
        <v>7704608.3999999985</v>
      </c>
      <c r="DU26" s="108">
        <v>6355853.1199999982</v>
      </c>
      <c r="DV26" s="108">
        <v>6909469.1899999985</v>
      </c>
      <c r="DW26" s="108">
        <v>5839469.1899999985</v>
      </c>
      <c r="DX26" s="109">
        <v>5459469.1899999985</v>
      </c>
      <c r="DY26" s="110">
        <v>4583012.6899999985</v>
      </c>
      <c r="DZ26" s="110">
        <v>4583013.6900000004</v>
      </c>
      <c r="EA26" s="110">
        <v>4583014.6900000004</v>
      </c>
      <c r="EB26" s="110">
        <v>4583015.6900000004</v>
      </c>
      <c r="EC26" s="109">
        <v>4583016.6900000004</v>
      </c>
      <c r="ED26" s="110">
        <v>4583017.6900000004</v>
      </c>
      <c r="EE26" s="110">
        <v>4583018.6900000004</v>
      </c>
      <c r="EF26" s="110">
        <v>4583019.6900000004</v>
      </c>
      <c r="EG26" s="109">
        <v>4583020.6900000004</v>
      </c>
      <c r="EH26" s="110">
        <v>4583021.6900000004</v>
      </c>
      <c r="EI26" s="110">
        <v>4583022.6900000004</v>
      </c>
      <c r="EJ26" s="110">
        <v>4583023.6900000004</v>
      </c>
      <c r="EK26" s="109">
        <v>4583024.6900000004</v>
      </c>
      <c r="EL26" s="110">
        <v>4583025.6900000004</v>
      </c>
    </row>
    <row r="27" spans="1:142" ht="15.75" customHeight="1" x14ac:dyDescent="0.35">
      <c r="B27" s="3" t="s">
        <v>20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>
        <f t="shared" ref="U27:CY27" si="40">U23-U26</f>
        <v>0</v>
      </c>
      <c r="V27" s="9">
        <f t="shared" si="40"/>
        <v>113003.11999999988</v>
      </c>
      <c r="W27" s="9">
        <f t="shared" si="40"/>
        <v>136072.54999999981</v>
      </c>
      <c r="X27" s="9">
        <f t="shared" si="40"/>
        <v>0</v>
      </c>
      <c r="Y27" s="9">
        <f t="shared" si="40"/>
        <v>0</v>
      </c>
      <c r="Z27" s="9">
        <f t="shared" si="40"/>
        <v>0</v>
      </c>
      <c r="AA27" s="9">
        <f t="shared" si="40"/>
        <v>0</v>
      </c>
      <c r="AB27" s="9">
        <f t="shared" si="40"/>
        <v>0</v>
      </c>
      <c r="AC27" s="9">
        <f t="shared" si="40"/>
        <v>0</v>
      </c>
      <c r="AD27" s="9">
        <f t="shared" si="40"/>
        <v>0</v>
      </c>
      <c r="AE27" s="9">
        <f t="shared" si="40"/>
        <v>0</v>
      </c>
      <c r="AF27" s="9">
        <f t="shared" si="40"/>
        <v>0</v>
      </c>
      <c r="AG27" s="9">
        <f t="shared" si="40"/>
        <v>0</v>
      </c>
      <c r="AH27" s="9">
        <f t="shared" si="40"/>
        <v>0</v>
      </c>
      <c r="AI27" s="9">
        <f t="shared" si="40"/>
        <v>0</v>
      </c>
      <c r="AJ27" s="9">
        <f t="shared" si="40"/>
        <v>0</v>
      </c>
      <c r="AK27" s="9">
        <f t="shared" si="40"/>
        <v>0</v>
      </c>
      <c r="AL27" s="9">
        <f t="shared" si="40"/>
        <v>0</v>
      </c>
      <c r="AM27" s="9">
        <f t="shared" si="40"/>
        <v>0</v>
      </c>
      <c r="AN27" s="9">
        <f t="shared" si="40"/>
        <v>0</v>
      </c>
      <c r="AO27" s="9">
        <f t="shared" si="40"/>
        <v>0</v>
      </c>
      <c r="AP27" s="9">
        <f t="shared" si="40"/>
        <v>0</v>
      </c>
      <c r="AQ27" s="9">
        <f t="shared" si="40"/>
        <v>0</v>
      </c>
      <c r="AR27" s="9">
        <f t="shared" si="40"/>
        <v>0</v>
      </c>
      <c r="AS27" s="9">
        <f t="shared" si="40"/>
        <v>0</v>
      </c>
      <c r="AT27" s="9">
        <f t="shared" si="40"/>
        <v>0</v>
      </c>
      <c r="AU27" s="9">
        <f t="shared" si="40"/>
        <v>0</v>
      </c>
      <c r="AV27" s="9">
        <f t="shared" si="40"/>
        <v>0</v>
      </c>
      <c r="AW27" s="9">
        <f t="shared" si="40"/>
        <v>0</v>
      </c>
      <c r="AX27" s="9">
        <f t="shared" si="40"/>
        <v>415363.83999999973</v>
      </c>
      <c r="AY27" s="9">
        <f t="shared" si="40"/>
        <v>0</v>
      </c>
      <c r="AZ27" s="9">
        <f t="shared" si="40"/>
        <v>0</v>
      </c>
      <c r="BA27" s="9">
        <f t="shared" si="40"/>
        <v>0</v>
      </c>
      <c r="BB27" s="9">
        <f t="shared" si="40"/>
        <v>0</v>
      </c>
      <c r="BC27" s="9">
        <f t="shared" si="40"/>
        <v>0</v>
      </c>
      <c r="BD27" s="9">
        <f t="shared" si="40"/>
        <v>0</v>
      </c>
      <c r="BE27" s="9">
        <f t="shared" si="40"/>
        <v>0</v>
      </c>
      <c r="BF27" s="9">
        <f t="shared" si="40"/>
        <v>0</v>
      </c>
      <c r="BG27" s="9">
        <f t="shared" si="40"/>
        <v>0</v>
      </c>
      <c r="BH27" s="9">
        <f t="shared" si="40"/>
        <v>0</v>
      </c>
      <c r="BI27" s="9">
        <f t="shared" si="40"/>
        <v>0</v>
      </c>
      <c r="BJ27" s="9">
        <f t="shared" si="40"/>
        <v>0</v>
      </c>
      <c r="BK27" s="9">
        <f t="shared" si="40"/>
        <v>0</v>
      </c>
      <c r="BL27" s="9">
        <f t="shared" si="40"/>
        <v>0</v>
      </c>
      <c r="BM27" s="9">
        <f t="shared" si="40"/>
        <v>0</v>
      </c>
      <c r="BN27" s="9">
        <f t="shared" si="40"/>
        <v>0</v>
      </c>
      <c r="BO27" s="9">
        <f t="shared" si="40"/>
        <v>0</v>
      </c>
      <c r="BP27" s="9">
        <f t="shared" si="40"/>
        <v>0</v>
      </c>
      <c r="BQ27" s="9">
        <f t="shared" si="40"/>
        <v>0</v>
      </c>
      <c r="BR27" s="9">
        <f t="shared" si="40"/>
        <v>0</v>
      </c>
      <c r="BS27" s="9">
        <f t="shared" si="40"/>
        <v>0</v>
      </c>
      <c r="BT27" s="9">
        <f t="shared" si="40"/>
        <v>0</v>
      </c>
      <c r="BU27" s="9">
        <f t="shared" si="40"/>
        <v>0</v>
      </c>
      <c r="BV27" s="9">
        <f t="shared" si="40"/>
        <v>0</v>
      </c>
      <c r="BW27" s="9">
        <f t="shared" si="40"/>
        <v>0</v>
      </c>
      <c r="BX27" s="9">
        <f t="shared" si="40"/>
        <v>0</v>
      </c>
      <c r="BY27" s="9">
        <f t="shared" si="40"/>
        <v>0</v>
      </c>
      <c r="BZ27" s="9">
        <f t="shared" si="40"/>
        <v>0</v>
      </c>
      <c r="CA27" s="9">
        <f t="shared" si="40"/>
        <v>-3650.8600000001024</v>
      </c>
      <c r="CB27" s="9">
        <f t="shared" si="40"/>
        <v>897738.08999999985</v>
      </c>
      <c r="CC27" s="9">
        <f t="shared" si="40"/>
        <v>615282.44999999972</v>
      </c>
      <c r="CD27" s="9">
        <f t="shared" si="40"/>
        <v>798172.83999999962</v>
      </c>
      <c r="CE27" s="9">
        <f t="shared" si="40"/>
        <v>18519742.929999996</v>
      </c>
      <c r="CF27" s="9">
        <f t="shared" si="40"/>
        <v>1464725.6399999994</v>
      </c>
      <c r="CG27" s="9">
        <f t="shared" si="40"/>
        <v>816155.91999999946</v>
      </c>
      <c r="CH27" s="9">
        <f t="shared" si="40"/>
        <v>1335934.9999999998</v>
      </c>
      <c r="CI27" s="9">
        <f t="shared" si="40"/>
        <v>280849.91999999969</v>
      </c>
      <c r="CJ27" s="9">
        <f t="shared" si="40"/>
        <v>1059829.1499999999</v>
      </c>
      <c r="CK27" s="71">
        <f t="shared" si="40"/>
        <v>1065108.48</v>
      </c>
      <c r="CL27" s="9">
        <f t="shared" si="40"/>
        <v>41758.360000000219</v>
      </c>
      <c r="CM27" s="9">
        <f t="shared" si="40"/>
        <v>-124457.90999999992</v>
      </c>
      <c r="CN27" s="9">
        <f t="shared" si="40"/>
        <v>480770.51</v>
      </c>
      <c r="CO27" s="9">
        <f t="shared" si="40"/>
        <v>29203.349999999977</v>
      </c>
      <c r="CP27" s="71">
        <f t="shared" si="40"/>
        <v>564463.40000000014</v>
      </c>
      <c r="CQ27" s="9">
        <f t="shared" si="40"/>
        <v>1009946.49</v>
      </c>
      <c r="CR27" s="9">
        <f t="shared" si="40"/>
        <v>1665175.66</v>
      </c>
      <c r="CS27" s="9">
        <f t="shared" si="40"/>
        <v>1115498.7500000002</v>
      </c>
      <c r="CT27" s="71">
        <f t="shared" si="40"/>
        <v>1543881.7000000004</v>
      </c>
      <c r="CU27" s="104">
        <f t="shared" si="40"/>
        <v>0</v>
      </c>
      <c r="CV27" s="104">
        <f t="shared" si="40"/>
        <v>0</v>
      </c>
      <c r="CW27" s="104">
        <f t="shared" si="40"/>
        <v>0</v>
      </c>
      <c r="CX27" s="105">
        <f t="shared" si="40"/>
        <v>0</v>
      </c>
      <c r="CY27" s="104">
        <f t="shared" si="40"/>
        <v>0</v>
      </c>
      <c r="CZ27" s="104">
        <f t="shared" ref="CZ27:DW27" si="41">CZ23-CZ26</f>
        <v>0</v>
      </c>
      <c r="DA27" s="104">
        <f t="shared" si="41"/>
        <v>0</v>
      </c>
      <c r="DB27" s="104">
        <f t="shared" si="41"/>
        <v>0</v>
      </c>
      <c r="DC27" s="71">
        <f t="shared" si="41"/>
        <v>-790473.2200000002</v>
      </c>
      <c r="DD27" s="9">
        <f t="shared" si="41"/>
        <v>-1019668.1600000001</v>
      </c>
      <c r="DE27" s="9">
        <f t="shared" si="41"/>
        <v>-1626787.9999999991</v>
      </c>
      <c r="DF27" s="9">
        <f t="shared" si="41"/>
        <v>-1718711.6799999988</v>
      </c>
      <c r="DG27" s="71">
        <f t="shared" si="41"/>
        <v>-1633848.1199999978</v>
      </c>
      <c r="DH27" s="9">
        <f t="shared" si="41"/>
        <v>-687115.91999999806</v>
      </c>
      <c r="DI27" s="9">
        <f t="shared" si="41"/>
        <v>293819.56000000145</v>
      </c>
      <c r="DJ27" s="9">
        <f t="shared" si="41"/>
        <v>-2196857.2399999993</v>
      </c>
      <c r="DK27" s="71">
        <f t="shared" si="41"/>
        <v>-1612063.1099999999</v>
      </c>
      <c r="DL27" s="9">
        <f t="shared" si="41"/>
        <v>-2788868.6499999985</v>
      </c>
      <c r="DM27" s="9">
        <f t="shared" si="41"/>
        <v>-2346261.4999999986</v>
      </c>
      <c r="DN27" s="9">
        <f t="shared" si="41"/>
        <v>-3640405.6599999992</v>
      </c>
      <c r="DO27" s="71">
        <f t="shared" si="41"/>
        <v>-3729405.6599999992</v>
      </c>
      <c r="DP27" s="9">
        <f t="shared" si="41"/>
        <v>-4944169.6599999983</v>
      </c>
      <c r="DQ27" s="9">
        <f t="shared" si="41"/>
        <v>-3545725.4949999987</v>
      </c>
      <c r="DR27" s="9">
        <f t="shared" si="41"/>
        <v>-4751100.7349999975</v>
      </c>
      <c r="DS27" s="9">
        <f t="shared" si="41"/>
        <v>-4751100.7349999975</v>
      </c>
      <c r="DT27" s="71">
        <f t="shared" si="41"/>
        <v>-3418394.7688149977</v>
      </c>
      <c r="DU27" s="9">
        <f t="shared" si="41"/>
        <v>-3331178.0188149973</v>
      </c>
      <c r="DV27" s="9">
        <f t="shared" si="41"/>
        <v>-1374389.6388149979</v>
      </c>
      <c r="DW27" s="9">
        <f t="shared" si="41"/>
        <v>-1474628.0388149982</v>
      </c>
      <c r="DX27" s="71">
        <f>DX23-DX26</f>
        <v>-1714628.0388149982</v>
      </c>
      <c r="DY27" s="9">
        <f>DY23-DY26</f>
        <v>732439.93118500151</v>
      </c>
      <c r="DZ27" s="9">
        <f t="shared" ref="DZ27:ED27" si="42">DZ23-DZ26</f>
        <v>869955.93118499964</v>
      </c>
      <c r="EA27" s="9">
        <f t="shared" si="42"/>
        <v>2217601.5511849998</v>
      </c>
      <c r="EB27" s="9">
        <f t="shared" si="42"/>
        <v>2097600.5511849998</v>
      </c>
      <c r="EC27" s="71">
        <f t="shared" si="42"/>
        <v>4400424.3011849998</v>
      </c>
      <c r="ED27" s="9">
        <f t="shared" si="42"/>
        <v>4239368.5211850004</v>
      </c>
      <c r="EE27" s="9">
        <f t="shared" ref="EE27" si="43">EE23-EE26</f>
        <v>5713800.9211850008</v>
      </c>
      <c r="EF27" s="9">
        <f t="shared" ref="EF27" si="44">EF23-EF26</f>
        <v>5493799.9211850008</v>
      </c>
      <c r="EG27" s="71">
        <f t="shared" ref="EG27" si="45">EG23-EG26</f>
        <v>9363255.6011850014</v>
      </c>
      <c r="EH27" s="9">
        <f t="shared" ref="EH27" si="46">EH23-EH26</f>
        <v>8824499.3211850002</v>
      </c>
      <c r="EI27" s="9">
        <f t="shared" ref="EI27" si="47">EI23-EI26</f>
        <v>8284048.0911850007</v>
      </c>
      <c r="EJ27" s="9">
        <f t="shared" ref="EJ27" si="48">EJ23-EJ26</f>
        <v>8667384.6911850013</v>
      </c>
      <c r="EK27" s="71">
        <f t="shared" ref="EK27:EL27" si="49">EK23-EK26</f>
        <v>7157383.6911850004</v>
      </c>
      <c r="EL27" s="9">
        <f t="shared" si="49"/>
        <v>12400950.191185001</v>
      </c>
    </row>
    <row r="28" spans="1:142" ht="15.75" customHeight="1" x14ac:dyDescent="0.35">
      <c r="B28" s="3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</row>
    <row r="29" spans="1:142" ht="15.75" customHeight="1" x14ac:dyDescent="0.35">
      <c r="B29" s="24" t="s">
        <v>21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</row>
    <row r="30" spans="1:142" ht="15.75" customHeight="1" x14ac:dyDescent="0.35">
      <c r="B30" s="3" t="s">
        <v>22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>
        <v>962287.64</v>
      </c>
      <c r="Y30" s="9">
        <v>1063205.18</v>
      </c>
      <c r="Z30" s="9">
        <v>1665588.43</v>
      </c>
      <c r="AA30" s="9">
        <v>932923</v>
      </c>
      <c r="AB30" s="9">
        <v>1100457.57</v>
      </c>
      <c r="AC30" s="9">
        <v>261394.1</v>
      </c>
      <c r="AD30" s="9">
        <v>783718.13</v>
      </c>
      <c r="AE30" s="25">
        <v>395363.33</v>
      </c>
      <c r="AF30" s="25">
        <v>489886.14</v>
      </c>
      <c r="AG30" s="25">
        <v>614238.91</v>
      </c>
      <c r="AH30" s="9">
        <v>448451.7</v>
      </c>
      <c r="AI30" s="9">
        <v>467856.38</v>
      </c>
      <c r="AJ30" s="9">
        <v>285938.62</v>
      </c>
      <c r="AK30" s="23">
        <v>996539.81</v>
      </c>
      <c r="AL30" s="23">
        <v>1512810.51</v>
      </c>
      <c r="AM30" s="23">
        <v>1316657.28</v>
      </c>
      <c r="AN30" s="23">
        <v>1206105.6100000001</v>
      </c>
      <c r="AO30" s="23">
        <v>465249.71</v>
      </c>
      <c r="AP30" s="23">
        <v>835672.52</v>
      </c>
      <c r="AQ30" s="9">
        <v>390741.02</v>
      </c>
      <c r="AR30" s="9">
        <v>603395.25</v>
      </c>
      <c r="AS30" s="9">
        <v>724905.02</v>
      </c>
      <c r="AT30" s="9">
        <v>414873.77</v>
      </c>
      <c r="AU30" s="9">
        <v>120705.58</v>
      </c>
      <c r="AV30" s="9">
        <v>770079.63</v>
      </c>
      <c r="AW30" s="9">
        <v>45714.84</v>
      </c>
      <c r="AX30" s="26">
        <v>736055.25</v>
      </c>
      <c r="AY30" s="26">
        <v>248000</v>
      </c>
      <c r="AZ30" s="26">
        <v>363551.51</v>
      </c>
      <c r="BA30" s="26">
        <v>441189.66</v>
      </c>
      <c r="BB30" s="9">
        <v>235940.45</v>
      </c>
      <c r="BC30" s="9">
        <v>356305.8</v>
      </c>
      <c r="BD30" s="27">
        <v>108381.38</v>
      </c>
      <c r="BE30" s="27">
        <v>152328.66</v>
      </c>
      <c r="BF30" s="27">
        <v>768750</v>
      </c>
      <c r="BG30" s="27">
        <v>109400</v>
      </c>
      <c r="BH30" s="27">
        <v>141771.5</v>
      </c>
      <c r="BI30" s="27">
        <v>102090</v>
      </c>
      <c r="BJ30" s="27">
        <v>99523.12</v>
      </c>
      <c r="BK30" s="27">
        <v>250000</v>
      </c>
      <c r="BL30" s="27">
        <v>209667.94</v>
      </c>
      <c r="BM30" s="27">
        <v>99684.160000000003</v>
      </c>
      <c r="BN30" s="27">
        <v>99178.79</v>
      </c>
      <c r="BO30" s="27">
        <v>109448.58</v>
      </c>
      <c r="BP30" s="27">
        <v>77619</v>
      </c>
      <c r="BQ30" s="27">
        <v>100000</v>
      </c>
      <c r="BR30" s="27">
        <v>460910.12</v>
      </c>
      <c r="BS30" s="27">
        <v>127267.55</v>
      </c>
      <c r="BT30" s="27">
        <v>48100</v>
      </c>
      <c r="BU30" s="27">
        <v>122778.07</v>
      </c>
      <c r="BV30" s="9">
        <v>99505.06</v>
      </c>
      <c r="BW30" s="9">
        <v>350000</v>
      </c>
      <c r="BX30" s="9">
        <v>797750</v>
      </c>
      <c r="BY30" s="9">
        <v>196972.54</v>
      </c>
      <c r="BZ30" s="9">
        <v>84085.68</v>
      </c>
      <c r="CA30" s="9">
        <v>93255.62</v>
      </c>
      <c r="CB30" s="9">
        <v>100000</v>
      </c>
      <c r="CC30" s="9">
        <v>68500</v>
      </c>
      <c r="CD30" s="9">
        <v>60999</v>
      </c>
      <c r="CE30" s="9">
        <v>79235.28</v>
      </c>
      <c r="CF30" s="9">
        <v>100000</v>
      </c>
      <c r="CG30" s="9">
        <v>68576.02</v>
      </c>
      <c r="CH30" s="9">
        <v>98036.38</v>
      </c>
      <c r="CI30" s="9">
        <v>97074.06</v>
      </c>
      <c r="CJ30" s="9">
        <v>241299</v>
      </c>
      <c r="CK30" s="9">
        <v>100000</v>
      </c>
      <c r="CL30" s="9">
        <v>121271.25</v>
      </c>
      <c r="CM30" s="9">
        <v>188182.15</v>
      </c>
      <c r="CN30" s="9">
        <v>128802.65</v>
      </c>
      <c r="CO30">
        <v>12425.32</v>
      </c>
      <c r="CP30">
        <v>127446.16</v>
      </c>
      <c r="CQ30" s="9">
        <v>100000</v>
      </c>
      <c r="CR30" s="9">
        <v>88587.91</v>
      </c>
      <c r="CS30" s="9">
        <v>100000</v>
      </c>
      <c r="CT30" s="9">
        <v>99787.3</v>
      </c>
      <c r="CU30" s="111">
        <v>121210.5</v>
      </c>
      <c r="CV30" s="111">
        <v>99905.01</v>
      </c>
      <c r="CW30" s="111">
        <v>100000</v>
      </c>
      <c r="CX30" s="111">
        <v>100000</v>
      </c>
      <c r="CY30" s="111">
        <v>100000</v>
      </c>
      <c r="CZ30" s="112">
        <v>100000</v>
      </c>
      <c r="DA30" s="112">
        <v>224449.79</v>
      </c>
      <c r="DB30" s="112">
        <v>134354.79999999999</v>
      </c>
      <c r="DC30" s="112">
        <v>462659.76</v>
      </c>
      <c r="DD30" s="112">
        <v>4578.07</v>
      </c>
      <c r="DE30" s="112">
        <v>150676.92000000001</v>
      </c>
      <c r="DF30" s="112">
        <v>130591.3</v>
      </c>
      <c r="DG30" s="112">
        <v>376981</v>
      </c>
      <c r="DH30" s="113">
        <v>100000</v>
      </c>
      <c r="DI30" s="113">
        <v>187250.5</v>
      </c>
      <c r="DJ30" s="113">
        <v>100000</v>
      </c>
      <c r="DK30" s="113">
        <v>100000</v>
      </c>
      <c r="DL30" s="113">
        <v>84340</v>
      </c>
      <c r="DM30" s="113">
        <v>221562.5</v>
      </c>
      <c r="DN30" s="113">
        <v>172777.63</v>
      </c>
      <c r="DO30" s="113"/>
      <c r="DP30" s="113"/>
      <c r="DQ30" s="113"/>
      <c r="DR30" s="113"/>
      <c r="DS30" s="113"/>
      <c r="DT30" s="113"/>
      <c r="DU30" s="113"/>
      <c r="DV30" s="113"/>
      <c r="DW30" s="113"/>
      <c r="DX30" s="113"/>
      <c r="DY30" s="113"/>
      <c r="DZ30" s="113"/>
      <c r="EA30" s="113"/>
      <c r="EB30" s="113"/>
      <c r="EC30" s="113"/>
      <c r="ED30" s="113"/>
      <c r="EE30" s="113"/>
      <c r="EF30" s="113"/>
      <c r="EG30" s="113"/>
      <c r="EH30" s="113"/>
      <c r="EI30" s="113"/>
      <c r="EJ30" s="113"/>
      <c r="EK30" s="113"/>
      <c r="EL30" s="113"/>
    </row>
    <row r="31" spans="1:142" ht="15.75" customHeight="1" x14ac:dyDescent="0.35">
      <c r="B31" s="24" t="s">
        <v>23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>
        <v>549498.47</v>
      </c>
      <c r="Z31" s="7">
        <v>1036610.13</v>
      </c>
      <c r="AA31" s="7">
        <v>1036610.13</v>
      </c>
      <c r="AB31" s="7">
        <v>1036610.13</v>
      </c>
      <c r="AC31" s="7">
        <v>973001.72</v>
      </c>
      <c r="AD31" s="7">
        <v>874679.51</v>
      </c>
      <c r="AE31" s="7">
        <v>619204.37</v>
      </c>
      <c r="AF31" s="7">
        <v>680696.31</v>
      </c>
      <c r="AG31" s="7">
        <v>745675.19</v>
      </c>
      <c r="AH31" s="7">
        <v>782750.43</v>
      </c>
      <c r="AI31" s="7">
        <v>419738.02</v>
      </c>
      <c r="AJ31" s="7">
        <v>588208.18999999994</v>
      </c>
      <c r="AK31" s="7">
        <v>655719.68999999994</v>
      </c>
      <c r="AL31" s="7">
        <v>446567.56</v>
      </c>
      <c r="AM31" s="7">
        <v>315474.57</v>
      </c>
      <c r="AN31" s="7">
        <v>580398.06999999995</v>
      </c>
      <c r="AO31" s="7">
        <v>560146.12</v>
      </c>
      <c r="AP31" s="7">
        <v>226958.29</v>
      </c>
      <c r="AQ31" s="7">
        <v>274291.96000000002</v>
      </c>
      <c r="AR31" s="7">
        <v>397345.1</v>
      </c>
      <c r="AS31" s="7">
        <v>216958.07999999999</v>
      </c>
      <c r="AT31" s="7">
        <v>264111.99</v>
      </c>
      <c r="AU31" s="7">
        <v>275346.31</v>
      </c>
      <c r="AV31" s="7">
        <v>656181.78</v>
      </c>
      <c r="AW31" s="7">
        <v>675195.37</v>
      </c>
      <c r="AX31" s="28">
        <v>601448.00999999989</v>
      </c>
      <c r="AY31" s="28">
        <v>1060888.74</v>
      </c>
      <c r="AZ31" s="28">
        <v>1192475.1000000001</v>
      </c>
      <c r="BA31" s="28">
        <v>1165233.79</v>
      </c>
      <c r="BB31" s="28">
        <v>2016358.15</v>
      </c>
      <c r="BC31" s="28">
        <v>1077025.9000000001</v>
      </c>
      <c r="BD31" s="29">
        <v>1420632.49</v>
      </c>
      <c r="BE31" s="29">
        <v>752702.91</v>
      </c>
      <c r="BF31" s="29">
        <v>727616.36</v>
      </c>
      <c r="BG31" s="29">
        <v>430411.15</v>
      </c>
      <c r="BH31" s="29">
        <v>322839.18</v>
      </c>
      <c r="BI31" s="29">
        <v>216858.24999999983</v>
      </c>
      <c r="BJ31" s="29">
        <v>816505.22999999975</v>
      </c>
      <c r="BK31" s="29">
        <v>353965.67</v>
      </c>
      <c r="BL31" s="29">
        <v>799306.82</v>
      </c>
      <c r="BM31" s="29">
        <v>852441.16</v>
      </c>
      <c r="BN31" s="30">
        <v>887405.27</v>
      </c>
      <c r="BO31" s="30">
        <v>1154981.58</v>
      </c>
      <c r="BP31" s="30">
        <v>1467571.99</v>
      </c>
      <c r="BQ31" s="30">
        <v>1456009.27</v>
      </c>
      <c r="BR31" s="30">
        <v>1637523.18</v>
      </c>
      <c r="BS31" s="31">
        <v>1228493.58</v>
      </c>
      <c r="BT31" s="31">
        <v>569542.47</v>
      </c>
      <c r="BU31" s="31">
        <v>851445.71</v>
      </c>
      <c r="BV31" s="7">
        <v>865312.53</v>
      </c>
      <c r="BW31" s="7">
        <v>291928.56</v>
      </c>
      <c r="BX31" s="7">
        <v>278738.01</v>
      </c>
      <c r="BY31" s="7">
        <v>238890.64</v>
      </c>
      <c r="BZ31" s="7">
        <v>498509.80999999994</v>
      </c>
      <c r="CA31" s="7">
        <v>616974.34</v>
      </c>
      <c r="CB31" s="7">
        <v>917418.91</v>
      </c>
      <c r="CC31" s="7">
        <v>494541.91</v>
      </c>
      <c r="CD31" s="7">
        <v>667948.93999999994</v>
      </c>
      <c r="CE31" s="7">
        <v>18523692.75</v>
      </c>
      <c r="CF31" s="7">
        <v>1367910.74</v>
      </c>
      <c r="CG31" s="7">
        <v>877163</v>
      </c>
      <c r="CH31" s="7">
        <v>930108.64</v>
      </c>
      <c r="CI31" s="7">
        <v>579896.88</v>
      </c>
      <c r="CJ31" s="7">
        <v>864651.17</v>
      </c>
      <c r="CK31" s="7">
        <v>386229.5</v>
      </c>
      <c r="CL31" s="7">
        <v>702653.13</v>
      </c>
      <c r="CM31" s="7">
        <v>469525.96</v>
      </c>
      <c r="CN31" s="7">
        <f>1054607.05+79526.83</f>
        <v>1134133.8800000001</v>
      </c>
      <c r="CO31" s="7">
        <v>798944.05</v>
      </c>
      <c r="CP31" s="7">
        <v>1219183.26</v>
      </c>
      <c r="CQ31" s="7">
        <v>1692112.51</v>
      </c>
      <c r="CR31" s="7">
        <v>2358753.77</v>
      </c>
      <c r="CS31" s="7">
        <v>1797664.77</v>
      </c>
      <c r="CT31" s="7">
        <v>2226260.42</v>
      </c>
      <c r="CU31" s="114">
        <v>2586791.15</v>
      </c>
      <c r="CV31" s="114">
        <v>2520155.33</v>
      </c>
      <c r="CW31" s="114">
        <v>3295696.5</v>
      </c>
      <c r="CX31" s="114">
        <v>3453928.15</v>
      </c>
      <c r="CY31" s="114">
        <v>3091699.6</v>
      </c>
      <c r="CZ31" s="114">
        <v>3415729.82</v>
      </c>
      <c r="DA31" s="114">
        <v>3164103.11</v>
      </c>
      <c r="DB31" s="114">
        <v>3710690.33</v>
      </c>
      <c r="DC31" s="114">
        <v>2962432.74</v>
      </c>
      <c r="DD31" s="114">
        <v>3940121.45</v>
      </c>
      <c r="DE31" s="114">
        <v>3854735.14</v>
      </c>
      <c r="DF31" s="114">
        <v>3999549.28</v>
      </c>
      <c r="DG31" s="114">
        <v>3399962.14</v>
      </c>
      <c r="DH31" s="115">
        <v>4358331.5599999996</v>
      </c>
      <c r="DI31" s="115">
        <v>4212966.54</v>
      </c>
      <c r="DJ31" s="115">
        <v>4691874.74</v>
      </c>
      <c r="DK31" s="115">
        <v>3706668.87</v>
      </c>
      <c r="DL31" s="115">
        <v>4076688.55</v>
      </c>
      <c r="DM31" s="115">
        <v>3232073.2</v>
      </c>
      <c r="DN31" s="115">
        <v>4092838.14</v>
      </c>
      <c r="DO31" s="115"/>
      <c r="DP31" s="115"/>
      <c r="DQ31" s="115"/>
      <c r="DR31" s="115"/>
      <c r="DS31" s="115"/>
      <c r="DT31" s="115"/>
      <c r="DU31" s="115"/>
      <c r="DV31" s="115"/>
      <c r="DW31" s="115"/>
      <c r="DX31" s="115"/>
      <c r="DY31" s="115"/>
      <c r="DZ31" s="115"/>
      <c r="EA31" s="115"/>
      <c r="EB31" s="115"/>
      <c r="EC31" s="115"/>
      <c r="ED31" s="115"/>
      <c r="EE31" s="115"/>
      <c r="EF31" s="115"/>
      <c r="EG31" s="115"/>
      <c r="EH31" s="115"/>
      <c r="EI31" s="115"/>
      <c r="EJ31" s="115"/>
      <c r="EK31" s="115"/>
      <c r="EL31" s="115"/>
    </row>
    <row r="32" spans="1:142" ht="15.75" customHeight="1" x14ac:dyDescent="0.35">
      <c r="B32" s="3" t="s">
        <v>24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>
        <f t="shared" ref="X32:DE32" si="50">SUM(X30:X31)</f>
        <v>962287.64</v>
      </c>
      <c r="Y32" s="9">
        <f t="shared" si="50"/>
        <v>1612703.65</v>
      </c>
      <c r="Z32" s="9">
        <f t="shared" si="50"/>
        <v>2702198.56</v>
      </c>
      <c r="AA32" s="9">
        <f t="shared" si="50"/>
        <v>1969533.13</v>
      </c>
      <c r="AB32" s="9">
        <f t="shared" si="50"/>
        <v>2137067.7000000002</v>
      </c>
      <c r="AC32" s="9">
        <f t="shared" si="50"/>
        <v>1234395.82</v>
      </c>
      <c r="AD32" s="9">
        <f t="shared" si="50"/>
        <v>1658397.6400000001</v>
      </c>
      <c r="AE32" s="9">
        <f t="shared" si="50"/>
        <v>1014567.7</v>
      </c>
      <c r="AF32" s="9">
        <f t="shared" si="50"/>
        <v>1170582.4500000002</v>
      </c>
      <c r="AG32" s="9">
        <f t="shared" si="50"/>
        <v>1359914.1</v>
      </c>
      <c r="AH32" s="9">
        <f t="shared" si="50"/>
        <v>1231202.1300000001</v>
      </c>
      <c r="AI32" s="9">
        <f t="shared" si="50"/>
        <v>887594.4</v>
      </c>
      <c r="AJ32" s="9">
        <f t="shared" si="50"/>
        <v>874146.80999999994</v>
      </c>
      <c r="AK32" s="9">
        <f t="shared" si="50"/>
        <v>1652259.5</v>
      </c>
      <c r="AL32" s="9">
        <f t="shared" si="50"/>
        <v>1959378.07</v>
      </c>
      <c r="AM32" s="9">
        <f t="shared" si="50"/>
        <v>1632131.85</v>
      </c>
      <c r="AN32" s="9">
        <f t="shared" si="50"/>
        <v>1786503.6800000002</v>
      </c>
      <c r="AO32" s="9">
        <f t="shared" si="50"/>
        <v>1025395.8300000001</v>
      </c>
      <c r="AP32" s="9">
        <f t="shared" si="50"/>
        <v>1062630.81</v>
      </c>
      <c r="AQ32" s="9">
        <f t="shared" si="50"/>
        <v>665032.98</v>
      </c>
      <c r="AR32" s="9">
        <f t="shared" si="50"/>
        <v>1000740.35</v>
      </c>
      <c r="AS32" s="9">
        <f t="shared" si="50"/>
        <v>941863.1</v>
      </c>
      <c r="AT32" s="9">
        <f t="shared" si="50"/>
        <v>678985.76</v>
      </c>
      <c r="AU32" s="9">
        <f t="shared" si="50"/>
        <v>396051.89</v>
      </c>
      <c r="AV32" s="9">
        <f t="shared" si="50"/>
        <v>1426261.4100000001</v>
      </c>
      <c r="AW32" s="9">
        <f t="shared" si="50"/>
        <v>720910.21</v>
      </c>
      <c r="AX32" s="9">
        <f t="shared" si="50"/>
        <v>1337503.2599999998</v>
      </c>
      <c r="AY32" s="9">
        <f t="shared" si="50"/>
        <v>1308888.74</v>
      </c>
      <c r="AZ32" s="23">
        <f t="shared" si="50"/>
        <v>1556026.61</v>
      </c>
      <c r="BA32" s="23">
        <f t="shared" si="50"/>
        <v>1606423.45</v>
      </c>
      <c r="BB32" s="23">
        <f t="shared" si="50"/>
        <v>2252298.6</v>
      </c>
      <c r="BC32" s="23">
        <f t="shared" si="50"/>
        <v>1433331.7000000002</v>
      </c>
      <c r="BD32" s="27">
        <f t="shared" si="50"/>
        <v>1529013.87</v>
      </c>
      <c r="BE32" s="27">
        <f t="shared" si="50"/>
        <v>905031.57000000007</v>
      </c>
      <c r="BF32" s="27">
        <f t="shared" si="50"/>
        <v>1496366.3599999999</v>
      </c>
      <c r="BG32" s="27">
        <f t="shared" si="50"/>
        <v>539811.15</v>
      </c>
      <c r="BH32" s="27">
        <f t="shared" si="50"/>
        <v>464610.68</v>
      </c>
      <c r="BI32" s="27">
        <f t="shared" si="50"/>
        <v>318948.24999999983</v>
      </c>
      <c r="BJ32" s="27">
        <f t="shared" si="50"/>
        <v>916028.34999999974</v>
      </c>
      <c r="BK32" s="27">
        <f t="shared" si="50"/>
        <v>603965.66999999993</v>
      </c>
      <c r="BL32" s="27">
        <f t="shared" si="50"/>
        <v>1008974.76</v>
      </c>
      <c r="BM32" s="27">
        <f t="shared" si="50"/>
        <v>952125.32000000007</v>
      </c>
      <c r="BN32" s="27">
        <f t="shared" si="50"/>
        <v>986584.06</v>
      </c>
      <c r="BO32" s="27">
        <f t="shared" si="50"/>
        <v>1264430.1600000001</v>
      </c>
      <c r="BP32" s="23">
        <f t="shared" si="50"/>
        <v>1545190.99</v>
      </c>
      <c r="BQ32" s="23">
        <f t="shared" si="50"/>
        <v>1556009.27</v>
      </c>
      <c r="BR32" s="23">
        <f t="shared" si="50"/>
        <v>2098433.2999999998</v>
      </c>
      <c r="BS32" s="23">
        <f t="shared" si="50"/>
        <v>1355761.1300000001</v>
      </c>
      <c r="BT32" s="23">
        <f t="shared" si="50"/>
        <v>617642.47</v>
      </c>
      <c r="BU32" s="23">
        <f t="shared" si="50"/>
        <v>974223.78</v>
      </c>
      <c r="BV32" s="23">
        <f t="shared" si="50"/>
        <v>964817.59000000008</v>
      </c>
      <c r="BW32" s="23">
        <f t="shared" si="50"/>
        <v>641928.56000000006</v>
      </c>
      <c r="BX32" s="23">
        <f t="shared" si="50"/>
        <v>1076488.01</v>
      </c>
      <c r="BY32" s="23">
        <f t="shared" si="50"/>
        <v>435863.18000000005</v>
      </c>
      <c r="BZ32" s="23">
        <f t="shared" si="50"/>
        <v>582595.49</v>
      </c>
      <c r="CA32" s="23">
        <f t="shared" si="50"/>
        <v>710229.96</v>
      </c>
      <c r="CB32" s="23">
        <f t="shared" si="50"/>
        <v>1017418.91</v>
      </c>
      <c r="CC32" s="23">
        <f t="shared" si="50"/>
        <v>563041.90999999992</v>
      </c>
      <c r="CD32" s="23">
        <f t="shared" si="50"/>
        <v>728947.94</v>
      </c>
      <c r="CE32" s="23">
        <f t="shared" si="50"/>
        <v>18602928.030000001</v>
      </c>
      <c r="CF32" s="23">
        <f t="shared" si="50"/>
        <v>1467910.74</v>
      </c>
      <c r="CG32" s="23">
        <f t="shared" si="50"/>
        <v>945739.02</v>
      </c>
      <c r="CH32" s="23">
        <f t="shared" si="50"/>
        <v>1028145.02</v>
      </c>
      <c r="CI32" s="23">
        <f t="shared" si="50"/>
        <v>676970.94</v>
      </c>
      <c r="CJ32" s="23">
        <f t="shared" si="50"/>
        <v>1105950.17</v>
      </c>
      <c r="CK32" s="23">
        <f t="shared" si="50"/>
        <v>486229.5</v>
      </c>
      <c r="CL32" s="23">
        <f t="shared" si="50"/>
        <v>823924.38</v>
      </c>
      <c r="CM32" s="23">
        <f t="shared" si="50"/>
        <v>657708.11</v>
      </c>
      <c r="CN32" s="23">
        <f t="shared" si="50"/>
        <v>1262936.53</v>
      </c>
      <c r="CO32" s="23">
        <f t="shared" si="50"/>
        <v>811369.37</v>
      </c>
      <c r="CP32" s="23">
        <f t="shared" si="50"/>
        <v>1346629.42</v>
      </c>
      <c r="CQ32" s="23">
        <f t="shared" si="50"/>
        <v>1792112.51</v>
      </c>
      <c r="CR32" s="23">
        <f t="shared" si="50"/>
        <v>2447341.6800000002</v>
      </c>
      <c r="CS32" s="23">
        <f t="shared" si="50"/>
        <v>1897664.77</v>
      </c>
      <c r="CT32" s="23">
        <f t="shared" si="50"/>
        <v>2326047.7199999997</v>
      </c>
      <c r="CU32" s="23">
        <f t="shared" si="50"/>
        <v>2708001.65</v>
      </c>
      <c r="CV32" s="23">
        <f t="shared" si="50"/>
        <v>2620060.34</v>
      </c>
      <c r="CW32" s="23">
        <f t="shared" si="50"/>
        <v>3395696.5</v>
      </c>
      <c r="CX32" s="23">
        <f t="shared" si="50"/>
        <v>3553928.15</v>
      </c>
      <c r="CY32" s="23">
        <f t="shared" si="50"/>
        <v>3191699.6</v>
      </c>
      <c r="CZ32" s="23">
        <f t="shared" si="50"/>
        <v>3515729.82</v>
      </c>
      <c r="DA32" s="23">
        <f t="shared" si="50"/>
        <v>3388552.9</v>
      </c>
      <c r="DB32" s="23">
        <f t="shared" si="50"/>
        <v>3845045.13</v>
      </c>
      <c r="DC32" s="23">
        <f t="shared" si="50"/>
        <v>3425092.5</v>
      </c>
      <c r="DD32" s="23">
        <f t="shared" si="50"/>
        <v>3944699.52</v>
      </c>
      <c r="DE32" s="23">
        <f t="shared" si="50"/>
        <v>4005412.06</v>
      </c>
      <c r="DF32" s="23">
        <f>SUM(DF30:DF31)</f>
        <v>4130140.5799999996</v>
      </c>
      <c r="DG32" s="23">
        <f>SUM(DG30:DG31)</f>
        <v>3776943.14</v>
      </c>
      <c r="DH32" s="23">
        <f t="shared" ref="DH32:DK32" si="51">SUM(DH30:DH31)</f>
        <v>4458331.5599999996</v>
      </c>
      <c r="DI32" s="23">
        <f t="shared" si="51"/>
        <v>4400217.04</v>
      </c>
      <c r="DJ32" s="23">
        <f t="shared" si="51"/>
        <v>4791874.74</v>
      </c>
      <c r="DK32" s="23">
        <f t="shared" si="51"/>
        <v>3806668.87</v>
      </c>
      <c r="DL32" s="23">
        <f t="shared" ref="DL32" si="52">SUM(DL30:DL31)</f>
        <v>4161028.55</v>
      </c>
      <c r="DM32" s="23">
        <f t="shared" ref="DM32" si="53">SUM(DM30:DM31)</f>
        <v>3453635.7</v>
      </c>
      <c r="DN32" s="23">
        <f t="shared" ref="DN32" si="54">SUM(DN30:DN31)</f>
        <v>4265615.7700000005</v>
      </c>
      <c r="DO32" s="23">
        <f t="shared" ref="DO32" si="55">SUM(DO30:DO31)</f>
        <v>0</v>
      </c>
      <c r="DP32" s="23">
        <f t="shared" ref="DP32" si="56">SUM(DP30:DP31)</f>
        <v>0</v>
      </c>
      <c r="DQ32" s="23">
        <f t="shared" ref="DQ32" si="57">SUM(DQ30:DQ31)</f>
        <v>0</v>
      </c>
      <c r="DR32" s="23">
        <f t="shared" ref="DR32" si="58">SUM(DR30:DR31)</f>
        <v>0</v>
      </c>
      <c r="DS32" s="23">
        <f t="shared" ref="DS32" si="59">SUM(DS30:DS31)</f>
        <v>0</v>
      </c>
      <c r="DT32" s="23">
        <f t="shared" ref="DT32" si="60">SUM(DT30:DT31)</f>
        <v>0</v>
      </c>
      <c r="DU32" s="23">
        <f t="shared" ref="DU32" si="61">SUM(DU30:DU31)</f>
        <v>0</v>
      </c>
      <c r="DV32" s="23">
        <f t="shared" ref="DV32" si="62">SUM(DV30:DV31)</f>
        <v>0</v>
      </c>
      <c r="DW32" s="23">
        <f t="shared" ref="DW32" si="63">SUM(DW30:DW31)</f>
        <v>0</v>
      </c>
      <c r="DX32" s="23">
        <f t="shared" ref="DX32" si="64">SUM(DX30:DX31)</f>
        <v>0</v>
      </c>
      <c r="DY32" s="23">
        <f t="shared" ref="DY32" si="65">SUM(DY30:DY31)</f>
        <v>0</v>
      </c>
      <c r="DZ32" s="23">
        <f t="shared" ref="DZ32" si="66">SUM(DZ30:DZ31)</f>
        <v>0</v>
      </c>
      <c r="EA32" s="23">
        <f t="shared" ref="EA32" si="67">SUM(EA30:EA31)</f>
        <v>0</v>
      </c>
      <c r="EB32" s="23">
        <f t="shared" ref="EB32" si="68">SUM(EB30:EB31)</f>
        <v>0</v>
      </c>
      <c r="EC32" s="23">
        <f t="shared" ref="EC32" si="69">SUM(EC30:EC31)</f>
        <v>0</v>
      </c>
      <c r="ED32" s="23">
        <f t="shared" ref="ED32" si="70">SUM(ED30:ED31)</f>
        <v>0</v>
      </c>
      <c r="EE32" s="23">
        <f t="shared" ref="EE32" si="71">SUM(EE30:EE31)</f>
        <v>0</v>
      </c>
      <c r="EF32" s="23">
        <f t="shared" ref="EF32" si="72">SUM(EF30:EF31)</f>
        <v>0</v>
      </c>
      <c r="EG32" s="23">
        <f t="shared" ref="EG32" si="73">SUM(EG30:EG31)</f>
        <v>0</v>
      </c>
      <c r="EH32" s="23">
        <f t="shared" ref="EH32" si="74">SUM(EH30:EH31)</f>
        <v>0</v>
      </c>
      <c r="EI32" s="23">
        <f t="shared" ref="EI32" si="75">SUM(EI30:EI31)</f>
        <v>0</v>
      </c>
      <c r="EJ32" s="23">
        <f t="shared" ref="EJ32" si="76">SUM(EJ30:EJ31)</f>
        <v>0</v>
      </c>
      <c r="EK32" s="23">
        <f t="shared" ref="EK32" si="77">SUM(EK30:EK31)</f>
        <v>0</v>
      </c>
      <c r="EL32" s="23">
        <f t="shared" ref="EL32" si="78">SUM(EL30:EL31)</f>
        <v>0</v>
      </c>
    </row>
    <row r="33" spans="2:142" ht="15.75" customHeight="1" x14ac:dyDescent="0.35">
      <c r="B33" s="3" t="s">
        <v>25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>
        <f t="shared" ref="X33:CY33" si="79">X23-X32</f>
        <v>115852.66000000027</v>
      </c>
      <c r="Y33" s="9">
        <f t="shared" si="79"/>
        <v>285809.20000000042</v>
      </c>
      <c r="Z33" s="9">
        <f t="shared" si="79"/>
        <v>48244.290000000503</v>
      </c>
      <c r="AA33" s="9">
        <f t="shared" si="79"/>
        <v>212139.74000000069</v>
      </c>
      <c r="AB33" s="9">
        <f t="shared" si="79"/>
        <v>40765.170000000391</v>
      </c>
      <c r="AC33" s="9">
        <f t="shared" si="79"/>
        <v>438065.85000000033</v>
      </c>
      <c r="AD33" s="9">
        <f t="shared" si="79"/>
        <v>0.23000000021420419</v>
      </c>
      <c r="AE33" s="9">
        <f t="shared" si="79"/>
        <v>0.23000000033061951</v>
      </c>
      <c r="AF33" s="9">
        <f t="shared" si="79"/>
        <v>-4.0000000037252903E-2</v>
      </c>
      <c r="AG33" s="9">
        <f t="shared" si="79"/>
        <v>-4.0000000037252903E-2</v>
      </c>
      <c r="AH33" s="9">
        <f t="shared" si="79"/>
        <v>-4.0000000037252903E-2</v>
      </c>
      <c r="AI33" s="9">
        <f t="shared" si="79"/>
        <v>-3.9999999688006938E-2</v>
      </c>
      <c r="AJ33" s="9">
        <f t="shared" si="79"/>
        <v>-3.9999999688006938E-2</v>
      </c>
      <c r="AK33" s="9">
        <f t="shared" si="79"/>
        <v>0</v>
      </c>
      <c r="AL33" s="9">
        <f t="shared" si="79"/>
        <v>0</v>
      </c>
      <c r="AM33" s="9">
        <f t="shared" si="79"/>
        <v>0</v>
      </c>
      <c r="AN33" s="9">
        <f t="shared" si="79"/>
        <v>0</v>
      </c>
      <c r="AO33" s="9">
        <f t="shared" si="79"/>
        <v>0</v>
      </c>
      <c r="AP33" s="9">
        <f t="shared" si="79"/>
        <v>0</v>
      </c>
      <c r="AQ33" s="9">
        <f t="shared" si="79"/>
        <v>0</v>
      </c>
      <c r="AR33" s="9">
        <f t="shared" si="79"/>
        <v>0</v>
      </c>
      <c r="AS33" s="9">
        <f t="shared" si="79"/>
        <v>9.3132257461547852E-10</v>
      </c>
      <c r="AT33" s="9">
        <f t="shared" si="79"/>
        <v>9.3132257461547852E-10</v>
      </c>
      <c r="AU33" s="9">
        <f t="shared" si="79"/>
        <v>9.8953023552894592E-10</v>
      </c>
      <c r="AV33" s="9">
        <f t="shared" si="79"/>
        <v>0</v>
      </c>
      <c r="AW33" s="9">
        <f t="shared" si="79"/>
        <v>1.1641532182693481E-9</v>
      </c>
      <c r="AX33" s="9">
        <f t="shared" si="79"/>
        <v>0</v>
      </c>
      <c r="AY33" s="9">
        <f t="shared" si="79"/>
        <v>0</v>
      </c>
      <c r="AZ33" s="9">
        <f t="shared" si="79"/>
        <v>0</v>
      </c>
      <c r="BA33" s="9">
        <f t="shared" si="79"/>
        <v>0</v>
      </c>
      <c r="BB33" s="9">
        <f t="shared" si="79"/>
        <v>0</v>
      </c>
      <c r="BC33" s="9">
        <f t="shared" si="79"/>
        <v>0</v>
      </c>
      <c r="BD33" s="27">
        <f t="shared" si="79"/>
        <v>0</v>
      </c>
      <c r="BE33" s="27">
        <f t="shared" si="79"/>
        <v>0</v>
      </c>
      <c r="BF33" s="27">
        <f t="shared" si="79"/>
        <v>0</v>
      </c>
      <c r="BG33" s="27">
        <f t="shared" si="79"/>
        <v>0</v>
      </c>
      <c r="BH33" s="27">
        <f t="shared" si="79"/>
        <v>0</v>
      </c>
      <c r="BI33" s="27">
        <f t="shared" si="79"/>
        <v>0</v>
      </c>
      <c r="BJ33" s="27">
        <f t="shared" si="79"/>
        <v>0</v>
      </c>
      <c r="BK33" s="27">
        <f t="shared" si="79"/>
        <v>0</v>
      </c>
      <c r="BL33" s="27">
        <f t="shared" si="79"/>
        <v>0</v>
      </c>
      <c r="BM33" s="27">
        <f t="shared" si="79"/>
        <v>0</v>
      </c>
      <c r="BN33" s="27">
        <f t="shared" si="79"/>
        <v>0</v>
      </c>
      <c r="BO33" s="27">
        <f t="shared" si="79"/>
        <v>0</v>
      </c>
      <c r="BP33" s="27">
        <f t="shared" si="79"/>
        <v>0</v>
      </c>
      <c r="BQ33" s="27">
        <f t="shared" si="79"/>
        <v>0</v>
      </c>
      <c r="BR33" s="27">
        <f t="shared" si="79"/>
        <v>0</v>
      </c>
      <c r="BS33" s="27">
        <f t="shared" si="79"/>
        <v>0</v>
      </c>
      <c r="BT33" s="27">
        <f t="shared" si="79"/>
        <v>0</v>
      </c>
      <c r="BU33" s="27">
        <f t="shared" si="79"/>
        <v>0</v>
      </c>
      <c r="BV33" s="27">
        <f t="shared" si="79"/>
        <v>0</v>
      </c>
      <c r="BW33" s="27">
        <f t="shared" si="79"/>
        <v>0</v>
      </c>
      <c r="BX33" s="27">
        <f t="shared" si="79"/>
        <v>0</v>
      </c>
      <c r="BY33" s="27">
        <f t="shared" si="79"/>
        <v>0</v>
      </c>
      <c r="BZ33" s="27">
        <f t="shared" si="79"/>
        <v>0</v>
      </c>
      <c r="CA33" s="27">
        <f t="shared" si="79"/>
        <v>0</v>
      </c>
      <c r="CB33" s="27">
        <f t="shared" si="79"/>
        <v>0</v>
      </c>
      <c r="CC33" s="27">
        <f t="shared" si="79"/>
        <v>0</v>
      </c>
      <c r="CD33" s="27">
        <f t="shared" si="79"/>
        <v>0</v>
      </c>
      <c r="CE33" s="27">
        <f t="shared" si="79"/>
        <v>0</v>
      </c>
      <c r="CF33" s="27">
        <f t="shared" si="79"/>
        <v>0</v>
      </c>
      <c r="CG33" s="27">
        <f t="shared" si="79"/>
        <v>0</v>
      </c>
      <c r="CH33" s="27">
        <f t="shared" si="79"/>
        <v>0</v>
      </c>
      <c r="CI33" s="27">
        <f t="shared" si="79"/>
        <v>0</v>
      </c>
      <c r="CJ33" s="27">
        <f t="shared" si="79"/>
        <v>0</v>
      </c>
      <c r="CK33" s="27">
        <f t="shared" si="79"/>
        <v>0</v>
      </c>
      <c r="CL33" s="27">
        <f t="shared" si="79"/>
        <v>0</v>
      </c>
      <c r="CM33" s="27">
        <f t="shared" si="79"/>
        <v>0</v>
      </c>
      <c r="CN33" s="27">
        <f t="shared" si="79"/>
        <v>0</v>
      </c>
      <c r="CO33" s="27">
        <f t="shared" si="79"/>
        <v>0</v>
      </c>
      <c r="CP33" s="27">
        <f t="shared" si="79"/>
        <v>0</v>
      </c>
      <c r="CQ33" s="27">
        <f t="shared" si="79"/>
        <v>0</v>
      </c>
      <c r="CR33" s="27">
        <f t="shared" si="79"/>
        <v>0</v>
      </c>
      <c r="CS33" s="27">
        <f t="shared" si="79"/>
        <v>0</v>
      </c>
      <c r="CT33" s="27">
        <f t="shared" si="79"/>
        <v>0</v>
      </c>
      <c r="CU33" s="27">
        <f t="shared" si="79"/>
        <v>0</v>
      </c>
      <c r="CV33" s="27">
        <f t="shared" si="79"/>
        <v>0</v>
      </c>
      <c r="CW33" s="27">
        <f t="shared" si="79"/>
        <v>0</v>
      </c>
      <c r="CX33" s="27">
        <f t="shared" si="79"/>
        <v>0</v>
      </c>
      <c r="CY33" s="27">
        <f t="shared" si="79"/>
        <v>0</v>
      </c>
      <c r="CZ33" s="27">
        <f>CZ23-CZ32</f>
        <v>0</v>
      </c>
      <c r="DA33" s="27">
        <f t="shared" ref="DA33:DV33" si="80">DA23-DA32</f>
        <v>0</v>
      </c>
      <c r="DB33" s="27">
        <f t="shared" si="80"/>
        <v>0</v>
      </c>
      <c r="DC33" s="27">
        <f t="shared" si="80"/>
        <v>0</v>
      </c>
      <c r="DD33" s="27">
        <f t="shared" si="80"/>
        <v>0</v>
      </c>
      <c r="DE33" s="27">
        <f t="shared" si="80"/>
        <v>0</v>
      </c>
      <c r="DF33" s="27">
        <f t="shared" si="80"/>
        <v>0</v>
      </c>
      <c r="DG33" s="27">
        <f t="shared" si="80"/>
        <v>0</v>
      </c>
      <c r="DH33" s="27">
        <f t="shared" si="80"/>
        <v>0</v>
      </c>
      <c r="DI33" s="27">
        <f t="shared" si="80"/>
        <v>0</v>
      </c>
      <c r="DJ33" s="27">
        <f t="shared" si="80"/>
        <v>0</v>
      </c>
      <c r="DK33" s="27">
        <f t="shared" si="80"/>
        <v>0</v>
      </c>
      <c r="DL33" s="27">
        <f t="shared" si="80"/>
        <v>0</v>
      </c>
      <c r="DM33" s="27">
        <f t="shared" si="80"/>
        <v>0</v>
      </c>
      <c r="DN33" s="27">
        <f t="shared" si="80"/>
        <v>0</v>
      </c>
      <c r="DO33" s="27">
        <f t="shared" si="80"/>
        <v>2596615.7700000005</v>
      </c>
      <c r="DP33" s="27">
        <f t="shared" si="80"/>
        <v>2583550.9900000007</v>
      </c>
      <c r="DQ33" s="27">
        <f t="shared" si="80"/>
        <v>2821995.1550000007</v>
      </c>
      <c r="DR33" s="27">
        <f t="shared" si="80"/>
        <v>3578506.8250000007</v>
      </c>
      <c r="DS33" s="27">
        <f t="shared" si="80"/>
        <v>2468506.8250000007</v>
      </c>
      <c r="DT33" s="27">
        <f t="shared" si="80"/>
        <v>4286213.6311850008</v>
      </c>
      <c r="DU33" s="27">
        <f t="shared" si="80"/>
        <v>3024675.101185001</v>
      </c>
      <c r="DV33" s="27">
        <f t="shared" si="80"/>
        <v>5535079.5511850007</v>
      </c>
      <c r="DW33" s="27">
        <f t="shared" ref="DW33:EL33" si="81">DW23-DW32</f>
        <v>4364841.1511850003</v>
      </c>
      <c r="DX33" s="27">
        <f t="shared" si="81"/>
        <v>3744841.1511850003</v>
      </c>
      <c r="DY33" s="27">
        <f t="shared" si="81"/>
        <v>5315452.6211850001</v>
      </c>
      <c r="DZ33" s="27">
        <f t="shared" si="81"/>
        <v>5452969.6211850001</v>
      </c>
      <c r="EA33" s="27">
        <f t="shared" si="81"/>
        <v>6800616.2411850002</v>
      </c>
      <c r="EB33" s="27">
        <f t="shared" si="81"/>
        <v>6680616.2411850002</v>
      </c>
      <c r="EC33" s="27">
        <f t="shared" si="81"/>
        <v>8983440.9911850002</v>
      </c>
      <c r="ED33" s="27">
        <f t="shared" si="81"/>
        <v>8822386.2111850008</v>
      </c>
      <c r="EE33" s="27">
        <f t="shared" si="81"/>
        <v>10296819.611185001</v>
      </c>
      <c r="EF33" s="27">
        <f t="shared" si="81"/>
        <v>10076819.611185001</v>
      </c>
      <c r="EG33" s="27">
        <f t="shared" si="81"/>
        <v>13946276.291185001</v>
      </c>
      <c r="EH33" s="27">
        <f t="shared" si="81"/>
        <v>13407521.011185002</v>
      </c>
      <c r="EI33" s="27">
        <f t="shared" si="81"/>
        <v>12867070.781185001</v>
      </c>
      <c r="EJ33" s="27">
        <f t="shared" si="81"/>
        <v>13250408.381185001</v>
      </c>
      <c r="EK33" s="27">
        <f t="shared" si="81"/>
        <v>11740408.381185001</v>
      </c>
      <c r="EL33" s="27">
        <f t="shared" si="81"/>
        <v>16983975.881185003</v>
      </c>
    </row>
    <row r="34" spans="2:142" ht="15.75" customHeight="1" x14ac:dyDescent="0.35">
      <c r="B34" s="3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</row>
    <row r="35" spans="2:142" ht="15.75" customHeight="1" x14ac:dyDescent="0.35">
      <c r="B35" s="32" t="s">
        <v>26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 t="e">
        <f t="array" aca="1" ref="O35" ca="1">_xludf.XLOOKUP(O$2,'AR Aging Balance'!$A:$A,'AR Aging Balance'!$F:$F)</f>
        <v>#NAME?</v>
      </c>
      <c r="P35" s="9" t="e">
        <f t="array" aca="1" ref="P35" ca="1">_xludf.XLOOKUP(P$2,'AR Aging Balance'!$A:$A,'AR Aging Balance'!$F:$F)</f>
        <v>#NAME?</v>
      </c>
      <c r="Q35" s="9" t="e">
        <f t="array" aca="1" ref="Q35" ca="1">_xludf.XLOOKUP(Q$2,'AR Aging Balance'!$A:$A,'AR Aging Balance'!$F:$F)</f>
        <v>#NAME?</v>
      </c>
      <c r="R35" s="9" t="e">
        <f t="array" aca="1" ref="R35" ca="1">_xludf.XLOOKUP(R$2,'AR Aging Balance'!$A:$A,'AR Aging Balance'!$F:$F)</f>
        <v>#NAME?</v>
      </c>
      <c r="S35" s="9" t="e">
        <f t="array" aca="1" ref="S35" ca="1">_xludf.XLOOKUP(S$2,'AR Aging Balance'!$A:$A,'AR Aging Balance'!$F:$F)</f>
        <v>#NAME?</v>
      </c>
      <c r="T35" s="9" t="e">
        <f t="array" aca="1" ref="T35" ca="1">_xludf.XLOOKUP(T$2,'AR Aging Balance'!$A:$A,'AR Aging Balance'!$F:$F)</f>
        <v>#NAME?</v>
      </c>
      <c r="U35" s="9" t="e">
        <f t="array" aca="1" ref="U35" ca="1">_xludf.XLOOKUP(U$2,'AR Aging Balance'!$A:$A,'AR Aging Balance'!$F:$F)</f>
        <v>#NAME?</v>
      </c>
      <c r="V35" s="9" t="e">
        <f t="array" aca="1" ref="V35" ca="1">_xludf.XLOOKUP(V$2,'AR Aging Balance'!$A:$A,'AR Aging Balance'!$F:$F)</f>
        <v>#NAME?</v>
      </c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 t="e">
        <f>_xlfn.XLOOKUP(CL$2,'AR Aging Balance'!$A:$A,'AR Aging Balance'!$F:$F)</f>
        <v>#N/A</v>
      </c>
      <c r="CM35" s="9" t="e">
        <f>_xlfn.XLOOKUP(CM$2,'AR Aging Balance'!$A:$A,'AR Aging Balance'!$F:$F)</f>
        <v>#N/A</v>
      </c>
      <c r="CN35" s="9" t="e">
        <f>_xlfn.XLOOKUP(CN$2,'AR Aging Balance'!$A:$A,'AR Aging Balance'!$F:$F)</f>
        <v>#N/A</v>
      </c>
      <c r="CO35" s="9" t="e">
        <f>_xlfn.XLOOKUP(CO$2,'AR Aging Balance'!$A:$A,'AR Aging Balance'!$F:$F)</f>
        <v>#N/A</v>
      </c>
      <c r="CP35" s="9" t="e">
        <f>_xlfn.XLOOKUP(CP$2,'AR Aging Balance'!$A:$A,'AR Aging Balance'!$F:$F)</f>
        <v>#N/A</v>
      </c>
      <c r="CQ35" s="9" t="e">
        <f>_xlfn.XLOOKUP(CQ$2,'AR Aging Balance'!$A:$A,'AR Aging Balance'!$F:$F)</f>
        <v>#N/A</v>
      </c>
      <c r="CR35" s="9" t="e">
        <f>_xlfn.XLOOKUP(CR$2,'AR Aging Balance'!$A:$A,'AR Aging Balance'!$F:$F)</f>
        <v>#N/A</v>
      </c>
      <c r="CS35" s="9" t="e">
        <f>_xlfn.XLOOKUP(CS$2,'AR Aging Balance'!$A:$A,'AR Aging Balance'!$F:$F)</f>
        <v>#N/A</v>
      </c>
      <c r="CT35" s="9" t="e">
        <f>_xlfn.XLOOKUP(CT$2,'AR Aging Balance'!$A:$A,'AR Aging Balance'!$F:$F)</f>
        <v>#N/A</v>
      </c>
      <c r="CU35" s="9">
        <v>0</v>
      </c>
      <c r="CV35" s="9">
        <v>0</v>
      </c>
      <c r="CW35" s="9">
        <v>0</v>
      </c>
      <c r="CX35" s="9">
        <v>0</v>
      </c>
      <c r="CY35" s="9">
        <f>_xlfn.XLOOKUP(CY$2,'AR Aging Balance'!$A:$A,'AR Aging Balance'!$F:$F)</f>
        <v>0</v>
      </c>
      <c r="CZ35" s="9">
        <f>_xlfn.XLOOKUP(CZ$2,'AR Aging Balance'!$A:$A,'AR Aging Balance'!$F:$F)</f>
        <v>0</v>
      </c>
      <c r="DA35" s="9">
        <f>_xlfn.XLOOKUP(DA$2,'AR Aging Balance'!$A:$A,'AR Aging Balance'!$F:$F)</f>
        <v>0</v>
      </c>
      <c r="DB35" s="9">
        <f>_xlfn.XLOOKUP(DB$2,'AR Aging Balance'!$A:$A,'AR Aging Balance'!$F:$F)</f>
        <v>0</v>
      </c>
      <c r="DC35" s="9">
        <f>_xlfn.XLOOKUP(DC$2,'AR Aging Balance'!$A:$A,'AR Aging Balance'!$F:$F)</f>
        <v>0</v>
      </c>
      <c r="DD35" s="9">
        <f>_xlfn.XLOOKUP(DD$2,'AR Aging Balance'!$A:$A,'AR Aging Balance'!$F:$F)</f>
        <v>0</v>
      </c>
      <c r="DE35" s="9">
        <f>_xlfn.XLOOKUP(DE$2,'AR Aging Balance'!$A:$A,'AR Aging Balance'!$F:$F)</f>
        <v>0</v>
      </c>
      <c r="DF35" s="9">
        <f>_xlfn.XLOOKUP(DF$2,'AR Aging Balance'!$A:$A,'AR Aging Balance'!$F:$F)</f>
        <v>0</v>
      </c>
      <c r="DG35" s="9">
        <f>_xlfn.XLOOKUP(DG$2,'AR Aging Balance'!$A:$A,'AR Aging Balance'!$F:$F)</f>
        <v>0</v>
      </c>
      <c r="DH35" s="9">
        <f>_xlfn.XLOOKUP(DH$2,'AR Aging Balance'!$A:$A,'AR Aging Balance'!$F:$F)</f>
        <v>0</v>
      </c>
      <c r="DI35" s="9">
        <f>_xlfn.XLOOKUP(DI$2,'AR Aging Balance'!$A:$A,'AR Aging Balance'!$F:$F)</f>
        <v>0</v>
      </c>
      <c r="DJ35" s="9">
        <f>_xlfn.XLOOKUP(DJ$2,'AR Aging Balance'!$A:$A,'AR Aging Balance'!$F:$F)</f>
        <v>0</v>
      </c>
      <c r="DK35" s="9">
        <f>_xlfn.XLOOKUP(DK$2,'AR Aging Balance'!$A:$A,'AR Aging Balance'!$F:$F)</f>
        <v>0</v>
      </c>
      <c r="DL35" s="9">
        <f>_xlfn.XLOOKUP(DL$2,'AR Aging Balance'!$A:$A,'AR Aging Balance'!$F:$F)</f>
        <v>9461542.9700000007</v>
      </c>
      <c r="DM35" s="9">
        <f>_xlfn.XLOOKUP(DM$2,'AR Aging Balance'!$A:$A,'AR Aging Balance'!$F:$F)</f>
        <v>9420416.3100000005</v>
      </c>
      <c r="DN35" s="9">
        <f>_xlfn.XLOOKUP(DN$2,'AR Aging Balance'!$A:$A,'AR Aging Balance'!$F:$F)</f>
        <v>10080879.316184999</v>
      </c>
      <c r="DO35" s="9">
        <f>_xlfn.XLOOKUP(DO$2,'AR Aging Balance'!$A:$A,'AR Aging Balance'!$F:$F)</f>
        <v>10337123.816184999</v>
      </c>
      <c r="DP35" s="9">
        <f>_xlfn.XLOOKUP(DP$2,'AR Aging Balance'!$A:$A,'AR Aging Balance'!$F:$F)</f>
        <v>15599190.386185</v>
      </c>
      <c r="DQ35" s="9">
        <f>_xlfn.XLOOKUP(DQ$2,'AR Aging Balance'!$A:$A,'AR Aging Balance'!$F:$F)</f>
        <v>14200746.221184999</v>
      </c>
      <c r="DR35" s="9">
        <f>_xlfn.XLOOKUP(DR$2,'AR Aging Balance'!$A:$A,'AR Aging Balance'!$F:$F)</f>
        <v>13219234.551184999</v>
      </c>
      <c r="DS35" s="9">
        <f>_xlfn.XLOOKUP(DS$2,'AR Aging Balance'!$A:$A,'AR Aging Balance'!$F:$F)</f>
        <v>13219234.551184999</v>
      </c>
      <c r="DT35" s="9">
        <f>_xlfn.XLOOKUP(DT$2,'AR Aging Balance'!$A:$A,'AR Aging Balance'!$F:$F)</f>
        <v>10696527.744999999</v>
      </c>
      <c r="DU35" s="9">
        <f>_xlfn.XLOOKUP(DU$2,'AR Aging Balance'!$A:$A,'AR Aging Balance'!$F:$F)</f>
        <v>17288291.244999997</v>
      </c>
      <c r="DV35" s="9">
        <f>_xlfn.XLOOKUP(DV$2,'AR Aging Balance'!$A:$A,'AR Aging Balance'!$F:$F)</f>
        <v>14552886.794999998</v>
      </c>
      <c r="DW35" s="9">
        <f>_xlfn.XLOOKUP(DW$2,'AR Aging Balance'!$A:$A,'AR Aging Balance'!$F:$F)</f>
        <v>14503125.194999998</v>
      </c>
      <c r="DX35" s="9">
        <f>_xlfn.XLOOKUP(DX$2,'AR Aging Balance'!$A:$A,'AR Aging Balance'!$F:$F)</f>
        <v>14503125.194999998</v>
      </c>
      <c r="DY35" s="9">
        <f>_xlfn.XLOOKUP(DY$2,'AR Aging Balance'!$A:$A,'AR Aging Balance'!$F:$F)</f>
        <v>19030514.695</v>
      </c>
      <c r="DZ35" s="9">
        <f>_xlfn.XLOOKUP(DZ$2,'AR Aging Balance'!$A:$A,'AR Aging Balance'!$F:$F)</f>
        <v>18722997.695</v>
      </c>
      <c r="EA35" s="9">
        <f>_xlfn.XLOOKUP(EA$2,'AR Aging Balance'!$A:$A,'AR Aging Balance'!$F:$F)</f>
        <v>16255351.074999999</v>
      </c>
      <c r="EB35" s="9">
        <f>_xlfn.XLOOKUP(EB$2,'AR Aging Balance'!$A:$A,'AR Aging Balance'!$F:$F)</f>
        <v>16255351.074999999</v>
      </c>
      <c r="EC35" s="9">
        <f>_xlfn.XLOOKUP(EC$2,'AR Aging Balance'!$A:$A,'AR Aging Balance'!$F:$F)</f>
        <v>18753101.424999997</v>
      </c>
      <c r="ED35" s="9">
        <f>_xlfn.XLOOKUP(ED$2,'AR Aging Balance'!$A:$A,'AR Aging Balance'!$F:$F)</f>
        <v>18470400.924999997</v>
      </c>
      <c r="EE35" s="9">
        <f>_xlfn.XLOOKUP(EE$2,'AR Aging Balance'!$A:$A,'AR Aging Balance'!$F:$F)</f>
        <v>15915967.524999997</v>
      </c>
      <c r="EF35" s="9">
        <f>_xlfn.XLOOKUP(EF$2,'AR Aging Balance'!$A:$A,'AR Aging Balance'!$F:$F)</f>
        <v>15915967.524999997</v>
      </c>
      <c r="EG35" s="9">
        <f>_xlfn.XLOOKUP(EG$2,'AR Aging Balance'!$A:$A,'AR Aging Balance'!$F:$F)</f>
        <v>10536510.844999997</v>
      </c>
      <c r="EH35" s="9">
        <f>_xlfn.XLOOKUP(EH$2,'AR Aging Balance'!$A:$A,'AR Aging Balance'!$F:$F)</f>
        <v>16408036.244999997</v>
      </c>
      <c r="EI35" s="9">
        <f>_xlfn.XLOOKUP(EI$2,'AR Aging Balance'!$A:$A,'AR Aging Balance'!$F:$F)</f>
        <v>15868486.474999998</v>
      </c>
      <c r="EJ35" s="9">
        <f>_xlfn.XLOOKUP(EJ$2,'AR Aging Balance'!$A:$A,'AR Aging Balance'!$F:$F)</f>
        <v>15265148.874999998</v>
      </c>
      <c r="EK35" s="9">
        <f>_xlfn.XLOOKUP(EK$2,'AR Aging Balance'!$A:$A,'AR Aging Balance'!$F:$F)</f>
        <v>15265148.874999998</v>
      </c>
      <c r="EL35" s="9">
        <f>_xlfn.XLOOKUP(EL$2,'AR Aging Balance'!$A:$A,'AR Aging Balance'!$F:$F)</f>
        <v>15901379.274999999</v>
      </c>
    </row>
    <row r="36" spans="2:142" ht="15.75" customHeight="1" x14ac:dyDescent="0.35">
      <c r="B36" s="3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</row>
    <row r="37" spans="2:142" ht="15.75" customHeight="1" x14ac:dyDescent="0.35">
      <c r="B37" s="33" t="s">
        <v>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DG37" s="150"/>
    </row>
    <row r="38" spans="2:142" ht="15.75" customHeight="1" x14ac:dyDescent="0.35">
      <c r="B38" s="3" t="s">
        <v>27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>
        <f>SUM(U10:X17,U18:X19)</f>
        <v>-2141207.08</v>
      </c>
      <c r="Y38" s="9"/>
      <c r="Z38" s="9"/>
      <c r="AA38" s="9"/>
      <c r="AB38" s="9">
        <f>SUM(Y10:AB17,Y18:AB19)</f>
        <v>-1818351.77</v>
      </c>
      <c r="AC38" s="9"/>
      <c r="AD38" s="9"/>
      <c r="AE38" s="9"/>
      <c r="AF38" s="9"/>
      <c r="AG38" s="9">
        <f>SUM(AC10:AG17,AC18:AG19)</f>
        <v>-2724440.7100000004</v>
      </c>
      <c r="AH38" s="9"/>
      <c r="AI38" s="9"/>
      <c r="AJ38" s="9"/>
      <c r="AK38" s="9">
        <f>SUM(AH10:AK17,AH18:AK19)</f>
        <v>-2143871.9500000002</v>
      </c>
      <c r="AL38" s="9"/>
      <c r="AM38" s="9"/>
      <c r="AN38" s="9"/>
      <c r="AO38" s="9">
        <f>SUM(AL10:AO17,AL18:AO19)</f>
        <v>-1861924.58</v>
      </c>
      <c r="AP38" s="9"/>
      <c r="AQ38" s="9"/>
      <c r="AR38" s="9"/>
      <c r="AS38" s="9"/>
      <c r="AT38" s="9">
        <f>SUM(AP10:AT17,AP18:AT19)</f>
        <v>-2643825.21</v>
      </c>
      <c r="AU38" s="9"/>
      <c r="AV38" s="9"/>
      <c r="AW38" s="9"/>
      <c r="AX38" s="9">
        <f>SUM(AU10:AX17,AU18:AX19)</f>
        <v>-2240953.44</v>
      </c>
      <c r="AY38" s="9"/>
      <c r="AZ38" s="9"/>
      <c r="BA38" s="9"/>
      <c r="BB38" s="9"/>
      <c r="BC38" s="9">
        <f>SUM(AY10:BC17,AY18:BC19)</f>
        <v>-3685066.9300000006</v>
      </c>
      <c r="BD38" s="9"/>
      <c r="BE38" s="9"/>
      <c r="BF38" s="9"/>
      <c r="BG38" s="9">
        <f>SUM(BD10:BG17,BD18:BG19)</f>
        <v>-2367250.2000000002</v>
      </c>
      <c r="BH38" s="9"/>
      <c r="BI38" s="9"/>
      <c r="BJ38" s="9"/>
      <c r="BK38" s="9">
        <f>SUM(BH10:BK17,BH18:BK19)</f>
        <v>-2356184.91</v>
      </c>
      <c r="BL38" s="9"/>
      <c r="BM38" s="9"/>
      <c r="BN38" s="9"/>
      <c r="BO38" s="9">
        <f>SUM(BL10:BO17,BL18:BO19)</f>
        <v>-2615876.59</v>
      </c>
      <c r="BP38" s="9"/>
      <c r="BQ38" s="9"/>
      <c r="BR38" s="9"/>
      <c r="BS38" s="9"/>
      <c r="BT38" s="9">
        <f>SUM(BP10:BT17,BP18:BT19)</f>
        <v>-3283551.3099999996</v>
      </c>
      <c r="BU38" s="9"/>
      <c r="BV38" s="9"/>
      <c r="BW38" s="9"/>
      <c r="BX38" s="9">
        <f>SUM(BU10:BX17,BU18:BX19)</f>
        <v>-2749415.4500000007</v>
      </c>
      <c r="BY38" s="9"/>
      <c r="BZ38" s="9"/>
      <c r="CA38" s="9"/>
      <c r="CB38" s="9">
        <f>SUM(BY10:CB17,BY18:CB19)</f>
        <v>-2315382.8699999996</v>
      </c>
      <c r="CC38" s="9"/>
      <c r="CD38" s="9"/>
      <c r="CE38" s="9"/>
      <c r="CF38" s="9"/>
      <c r="CG38" s="9">
        <f>SUM(CC10:CG17,CC18:CG19)</f>
        <v>-21404523.479999997</v>
      </c>
      <c r="CH38" s="9"/>
      <c r="CI38" s="9"/>
      <c r="CJ38" s="9"/>
      <c r="CK38" s="9">
        <f>SUM(CH10:CK17,CH18:CK19)</f>
        <v>-2456908.7600000002</v>
      </c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</row>
    <row r="39" spans="2:142" ht="15.75" customHeight="1" x14ac:dyDescent="0.35">
      <c r="B39" s="3" t="s">
        <v>28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>
        <f>SUM(U21:X21)</f>
        <v>-188888.40000000002</v>
      </c>
      <c r="Y39" s="9"/>
      <c r="Z39" s="9"/>
      <c r="AA39" s="9"/>
      <c r="AB39" s="9">
        <f>SUM(Y21:AB21)</f>
        <v>-79222</v>
      </c>
      <c r="AC39" s="9"/>
      <c r="AD39" s="9"/>
      <c r="AE39" s="9"/>
      <c r="AF39" s="9"/>
      <c r="AG39" s="9">
        <f>SUM(AC21:AG21)</f>
        <v>-45079</v>
      </c>
      <c r="AH39" s="9"/>
      <c r="AI39" s="9"/>
      <c r="AJ39" s="9"/>
      <c r="AK39" s="9">
        <f>SUM(AH21:AK21)</f>
        <v>-91528.5</v>
      </c>
      <c r="AL39" s="9"/>
      <c r="AM39" s="9"/>
      <c r="AN39" s="9"/>
      <c r="AO39" s="9">
        <f>SUM(AL21:AO21)</f>
        <v>-138466.20000000001</v>
      </c>
      <c r="AP39" s="9"/>
      <c r="AQ39" s="9"/>
      <c r="AR39" s="9"/>
      <c r="AS39" s="9"/>
      <c r="AT39" s="9">
        <f>SUM(AP21:AT21)</f>
        <v>-95920.17</v>
      </c>
      <c r="AU39" s="9"/>
      <c r="AV39" s="9"/>
      <c r="AW39" s="9"/>
      <c r="AX39" s="9">
        <f>SUM(AU21:AX21)</f>
        <v>-94841.2</v>
      </c>
      <c r="AY39" s="9"/>
      <c r="AZ39" s="9"/>
      <c r="BA39" s="9"/>
      <c r="BB39" s="9"/>
      <c r="BC39" s="9">
        <f>SUM(AY21:BC21)</f>
        <v>-141455.31</v>
      </c>
      <c r="BD39" s="9"/>
      <c r="BE39" s="9"/>
      <c r="BF39" s="9"/>
      <c r="BG39" s="9">
        <f>SUM(BD21:BG21)</f>
        <v>-155291.53</v>
      </c>
      <c r="BH39" s="9"/>
      <c r="BI39" s="9"/>
      <c r="BJ39" s="9"/>
      <c r="BK39" s="9">
        <f>SUM(BH21:BK21)</f>
        <v>-195526.03</v>
      </c>
      <c r="BL39" s="9"/>
      <c r="BM39" s="9"/>
      <c r="BN39" s="9"/>
      <c r="BO39" s="9">
        <f>SUM(BL21:BO21)</f>
        <v>-98602.9</v>
      </c>
      <c r="BP39" s="9"/>
      <c r="BQ39" s="9"/>
      <c r="BR39" s="9"/>
      <c r="BS39" s="9"/>
      <c r="BT39" s="9">
        <f>SUM(BP21:BT21)</f>
        <v>-274488.78000000003</v>
      </c>
      <c r="BU39" s="9"/>
      <c r="BV39" s="9"/>
      <c r="BW39" s="9"/>
      <c r="BX39" s="9">
        <f>SUM(BU21:BX21)</f>
        <v>-148656.01</v>
      </c>
      <c r="BY39" s="9"/>
      <c r="BZ39" s="9"/>
      <c r="CA39" s="9"/>
      <c r="CB39" s="9">
        <f>SUM(BY21:CB21)</f>
        <v>-117488.77</v>
      </c>
      <c r="CC39" s="9"/>
      <c r="CD39" s="9"/>
      <c r="CE39" s="9"/>
      <c r="CF39" s="9"/>
      <c r="CG39" s="9">
        <f>SUM(CC21:CG21)</f>
        <v>-163656.01</v>
      </c>
      <c r="CH39" s="9"/>
      <c r="CI39" s="9"/>
      <c r="CJ39" s="9"/>
      <c r="CK39" s="9">
        <f>SUM(CH21:CK21)</f>
        <v>0</v>
      </c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</row>
    <row r="40" spans="2:142" ht="15.75" customHeight="1" x14ac:dyDescent="0.35">
      <c r="B40" s="3" t="s">
        <v>17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7">
        <f>SUM(U20:X20)</f>
        <v>0</v>
      </c>
      <c r="Y40" s="9"/>
      <c r="Z40" s="9"/>
      <c r="AA40" s="9"/>
      <c r="AB40" s="7">
        <f>SUM(Y20:AB20)</f>
        <v>0</v>
      </c>
      <c r="AC40" s="9"/>
      <c r="AD40" s="9"/>
      <c r="AE40" s="9"/>
      <c r="AF40" s="9"/>
      <c r="AG40" s="7">
        <f>SUM(AC20:AG20)</f>
        <v>-293633.88</v>
      </c>
      <c r="AH40" s="9"/>
      <c r="AI40" s="9"/>
      <c r="AJ40" s="9"/>
      <c r="AK40" s="7">
        <f>SUM(AH20:AK20)</f>
        <v>-100000</v>
      </c>
      <c r="AL40" s="9"/>
      <c r="AM40" s="9"/>
      <c r="AN40" s="9"/>
      <c r="AO40" s="7">
        <f>SUM(AL20:AO20)</f>
        <v>-230000</v>
      </c>
      <c r="AP40" s="9"/>
      <c r="AQ40" s="9"/>
      <c r="AR40" s="9"/>
      <c r="AS40" s="9"/>
      <c r="AT40" s="7">
        <f>SUM(AP20:AT20)</f>
        <v>-50000</v>
      </c>
      <c r="AU40" s="9"/>
      <c r="AV40" s="9"/>
      <c r="AW40" s="9"/>
      <c r="AX40" s="7">
        <f>SUM(AU20:AX20)</f>
        <v>-150785</v>
      </c>
      <c r="AY40" s="9"/>
      <c r="AZ40" s="9"/>
      <c r="BA40" s="9"/>
      <c r="BB40" s="9"/>
      <c r="BC40" s="7">
        <f>SUM(AY20:BC20)</f>
        <v>-250000</v>
      </c>
      <c r="BD40" s="9"/>
      <c r="BE40" s="9"/>
      <c r="BF40" s="9"/>
      <c r="BG40" s="7">
        <f>SUM(BD20:BG20)</f>
        <v>0</v>
      </c>
      <c r="BH40" s="9"/>
      <c r="BI40" s="9"/>
      <c r="BJ40" s="9"/>
      <c r="BK40" s="7">
        <f>SUM(BH20:BK20)</f>
        <v>0</v>
      </c>
      <c r="BL40" s="9"/>
      <c r="BM40" s="9"/>
      <c r="BN40" s="9"/>
      <c r="BO40" s="7">
        <f>SUM(BL20:BO20)</f>
        <v>-75000</v>
      </c>
      <c r="BP40" s="9"/>
      <c r="BQ40" s="9"/>
      <c r="BR40" s="9"/>
      <c r="BS40" s="9"/>
      <c r="BT40" s="7">
        <f>SUM(BQ20:BT20)</f>
        <v>-210000</v>
      </c>
      <c r="BU40" s="9"/>
      <c r="BV40" s="9"/>
      <c r="BW40" s="9"/>
      <c r="BX40" s="7">
        <f>SUM(BU20:BX20)</f>
        <v>-1472779.07</v>
      </c>
      <c r="BY40" s="9"/>
      <c r="BZ40" s="9"/>
      <c r="CA40" s="9"/>
      <c r="CB40" s="7">
        <f>SUM(BY20:CB20)</f>
        <v>-225000</v>
      </c>
      <c r="CC40" s="9"/>
      <c r="CD40" s="9"/>
      <c r="CE40" s="9"/>
      <c r="CF40" s="9"/>
      <c r="CG40" s="7">
        <f>SUM(CD20:CG20)</f>
        <v>-100000</v>
      </c>
      <c r="CH40" s="9"/>
      <c r="CI40" s="9"/>
      <c r="CJ40" s="9"/>
      <c r="CK40" s="7">
        <f>SUM(CH20:CK20)</f>
        <v>2.9999999998835847E-2</v>
      </c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</row>
    <row r="41" spans="2:142" ht="15.75" customHeight="1" x14ac:dyDescent="0.35">
      <c r="B41" s="3" t="s">
        <v>29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>
        <f>SUM(X38:X40)</f>
        <v>-2330095.48</v>
      </c>
      <c r="Y41" s="9"/>
      <c r="Z41" s="9"/>
      <c r="AA41" s="9"/>
      <c r="AB41" s="9">
        <f>SUM(AB38:AB40)</f>
        <v>-1897573.77</v>
      </c>
      <c r="AC41" s="9"/>
      <c r="AD41" s="9"/>
      <c r="AE41" s="9"/>
      <c r="AF41" s="9"/>
      <c r="AG41" s="9">
        <f>SUM(AG38:AG40)</f>
        <v>-3063153.5900000003</v>
      </c>
      <c r="AH41" s="9"/>
      <c r="AI41" s="9"/>
      <c r="AJ41" s="9"/>
      <c r="AK41" s="9">
        <f>SUM(AK38:AK40)</f>
        <v>-2335400.4500000002</v>
      </c>
      <c r="AL41" s="9"/>
      <c r="AM41" s="9"/>
      <c r="AN41" s="9"/>
      <c r="AO41" s="9">
        <f>SUM(AO38:AO40)</f>
        <v>-2230390.7800000003</v>
      </c>
      <c r="AP41" s="9"/>
      <c r="AQ41" s="9"/>
      <c r="AR41" s="9"/>
      <c r="AS41" s="9"/>
      <c r="AT41" s="9">
        <f>SUM(AT38:AT40)</f>
        <v>-2789745.38</v>
      </c>
      <c r="AU41" s="9"/>
      <c r="AV41" s="9"/>
      <c r="AW41" s="9"/>
      <c r="AX41" s="9">
        <f>SUM(AX38:AX40)</f>
        <v>-2486579.64</v>
      </c>
      <c r="AY41" s="9"/>
      <c r="AZ41" s="9"/>
      <c r="BA41" s="9"/>
      <c r="BB41" s="9"/>
      <c r="BC41" s="9">
        <f>SUM(BC38:BC40)</f>
        <v>-4076522.2400000007</v>
      </c>
      <c r="BD41" s="9"/>
      <c r="BE41" s="9"/>
      <c r="BF41" s="9"/>
      <c r="BG41" s="9">
        <f>SUM(BG38:BG40)</f>
        <v>-2522541.73</v>
      </c>
      <c r="BH41" s="9"/>
      <c r="BI41" s="9"/>
      <c r="BJ41" s="9"/>
      <c r="BK41" s="9">
        <f>SUM(BK38:BK40)</f>
        <v>-2551710.94</v>
      </c>
      <c r="BL41" s="9"/>
      <c r="BM41" s="9"/>
      <c r="BN41" s="9"/>
      <c r="BO41" s="9">
        <f>SUM(BO38:BO40)</f>
        <v>-2789479.4899999998</v>
      </c>
      <c r="BP41" s="9"/>
      <c r="BQ41" s="9"/>
      <c r="BR41" s="9"/>
      <c r="BS41" s="9"/>
      <c r="BT41" s="9">
        <f>SUM(BT38:BT40)</f>
        <v>-3768040.09</v>
      </c>
      <c r="BU41" s="9"/>
      <c r="BV41" s="9"/>
      <c r="BW41" s="9"/>
      <c r="BX41" s="9">
        <f>SUM(BX38:BX40)</f>
        <v>-4370850.5300000012</v>
      </c>
      <c r="BY41" s="9"/>
      <c r="BZ41" s="9"/>
      <c r="CA41" s="9"/>
      <c r="CB41" s="9">
        <f>SUM(CB38:CB40)</f>
        <v>-2657871.6399999997</v>
      </c>
      <c r="CC41" s="9"/>
      <c r="CD41" s="9"/>
      <c r="CE41" s="9"/>
      <c r="CF41" s="9"/>
      <c r="CG41" s="9">
        <f>SUM(CG38:CG40)</f>
        <v>-21668179.489999998</v>
      </c>
      <c r="CH41" s="9"/>
      <c r="CI41" s="9"/>
      <c r="CJ41" s="9"/>
      <c r="CK41" s="9">
        <f>SUM(CK38:CK40)</f>
        <v>-2456908.7300000004</v>
      </c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</row>
    <row r="42" spans="2:142" ht="15.75" customHeight="1" x14ac:dyDescent="0.35">
      <c r="B42" s="33"/>
      <c r="C42" s="23"/>
      <c r="D42" s="23"/>
      <c r="E42" s="23"/>
    </row>
    <row r="43" spans="2:142" ht="15.75" customHeight="1" x14ac:dyDescent="0.35">
      <c r="B43" s="33"/>
      <c r="C43" s="23"/>
      <c r="D43" s="23"/>
      <c r="E43" s="23"/>
      <c r="AS43" s="3">
        <f>2.6*3</f>
        <v>7.8000000000000007</v>
      </c>
      <c r="BH43" s="3">
        <v>816505.22999999975</v>
      </c>
      <c r="DN43" s="9"/>
    </row>
    <row r="44" spans="2:142" ht="15.75" customHeight="1" x14ac:dyDescent="0.35">
      <c r="B44" s="3"/>
      <c r="C44" s="23"/>
      <c r="D44" s="23"/>
      <c r="E44" s="23"/>
      <c r="AL44" s="3">
        <v>996539.81</v>
      </c>
      <c r="BC44" s="9"/>
      <c r="BH44" s="3">
        <v>216858.24999999983</v>
      </c>
    </row>
    <row r="45" spans="2:142" ht="15.75" customHeight="1" x14ac:dyDescent="0.35">
      <c r="B45" s="3"/>
      <c r="C45" s="23"/>
      <c r="D45" s="23"/>
      <c r="E45" s="23"/>
      <c r="AL45" s="3">
        <v>1512810.51</v>
      </c>
      <c r="BH45" s="3">
        <v>322839.18</v>
      </c>
    </row>
    <row r="46" spans="2:142" ht="15.75" customHeight="1" x14ac:dyDescent="0.35">
      <c r="B46" s="3"/>
      <c r="C46" s="23"/>
      <c r="D46" s="23"/>
      <c r="E46" s="23"/>
      <c r="AL46" s="3">
        <v>1206105.6100000001</v>
      </c>
    </row>
    <row r="47" spans="2:142" ht="15.75" customHeight="1" x14ac:dyDescent="0.35">
      <c r="C47" s="23"/>
      <c r="D47" s="23"/>
      <c r="E47" s="23"/>
      <c r="AL47" s="3">
        <v>465249.71</v>
      </c>
      <c r="BD47" s="34" t="s">
        <v>30</v>
      </c>
      <c r="BE47" s="35"/>
      <c r="BF47" s="35">
        <v>25</v>
      </c>
      <c r="BG47" s="35">
        <v>25</v>
      </c>
      <c r="BH47" s="35">
        <v>25</v>
      </c>
      <c r="BI47" s="35">
        <v>25</v>
      </c>
      <c r="BJ47" s="35">
        <v>25</v>
      </c>
      <c r="BK47" s="35">
        <v>25</v>
      </c>
      <c r="BL47" s="35">
        <v>25</v>
      </c>
      <c r="BM47" s="35">
        <v>25</v>
      </c>
      <c r="BN47" s="35">
        <v>25</v>
      </c>
      <c r="BO47" s="35">
        <v>25</v>
      </c>
      <c r="BP47" s="35">
        <v>25</v>
      </c>
      <c r="BQ47" s="35">
        <v>25</v>
      </c>
      <c r="BR47" s="35">
        <v>25</v>
      </c>
      <c r="BS47" s="35">
        <v>25</v>
      </c>
      <c r="BT47" s="35">
        <v>25</v>
      </c>
      <c r="BU47" s="35">
        <v>25</v>
      </c>
      <c r="BV47" s="35">
        <v>25</v>
      </c>
      <c r="BW47" s="35">
        <v>25</v>
      </c>
      <c r="BX47" s="36">
        <v>25</v>
      </c>
      <c r="BY47" s="37">
        <v>25</v>
      </c>
      <c r="BZ47" s="38">
        <v>25</v>
      </c>
      <c r="CA47" s="38">
        <v>25</v>
      </c>
      <c r="CB47" s="38">
        <v>25</v>
      </c>
      <c r="CC47" s="38">
        <v>25</v>
      </c>
      <c r="CD47" s="38">
        <v>25</v>
      </c>
      <c r="CE47" s="38">
        <v>25</v>
      </c>
      <c r="CF47" s="38">
        <v>25</v>
      </c>
      <c r="CG47" s="38">
        <v>25</v>
      </c>
      <c r="CH47" s="38">
        <v>25</v>
      </c>
      <c r="CI47" s="38">
        <v>25</v>
      </c>
      <c r="CJ47" s="38">
        <v>25</v>
      </c>
      <c r="CK47" s="39">
        <v>25</v>
      </c>
    </row>
    <row r="48" spans="2:142" ht="15.75" customHeight="1" x14ac:dyDescent="0.35">
      <c r="C48" s="23"/>
      <c r="D48" s="23"/>
      <c r="E48" s="23"/>
      <c r="AL48" s="3">
        <v>835672.52</v>
      </c>
      <c r="BD48" s="40" t="s">
        <v>31</v>
      </c>
      <c r="BE48" s="41"/>
      <c r="BF48" s="41"/>
      <c r="BG48" s="41">
        <f>SUM(BF47:BG47)</f>
        <v>50</v>
      </c>
      <c r="BH48" s="41">
        <f t="shared" ref="BH48:CK48" si="82">SUM(BG48,BH47)</f>
        <v>75</v>
      </c>
      <c r="BI48" s="41">
        <f t="shared" si="82"/>
        <v>100</v>
      </c>
      <c r="BJ48" s="41">
        <f t="shared" si="82"/>
        <v>125</v>
      </c>
      <c r="BK48" s="41">
        <f t="shared" si="82"/>
        <v>150</v>
      </c>
      <c r="BL48" s="41">
        <f t="shared" si="82"/>
        <v>175</v>
      </c>
      <c r="BM48" s="41">
        <f t="shared" si="82"/>
        <v>200</v>
      </c>
      <c r="BN48" s="41">
        <f t="shared" si="82"/>
        <v>225</v>
      </c>
      <c r="BO48" s="41">
        <f t="shared" si="82"/>
        <v>250</v>
      </c>
      <c r="BP48" s="41">
        <f t="shared" si="82"/>
        <v>275</v>
      </c>
      <c r="BQ48" s="41">
        <f t="shared" si="82"/>
        <v>300</v>
      </c>
      <c r="BR48" s="41">
        <f t="shared" si="82"/>
        <v>325</v>
      </c>
      <c r="BS48" s="41">
        <f t="shared" si="82"/>
        <v>350</v>
      </c>
      <c r="BT48" s="41">
        <f t="shared" si="82"/>
        <v>375</v>
      </c>
      <c r="BU48" s="41">
        <f t="shared" si="82"/>
        <v>400</v>
      </c>
      <c r="BV48" s="41">
        <f t="shared" si="82"/>
        <v>425</v>
      </c>
      <c r="BW48" s="41">
        <f t="shared" si="82"/>
        <v>450</v>
      </c>
      <c r="BX48" s="42">
        <f t="shared" si="82"/>
        <v>475</v>
      </c>
      <c r="BY48" s="43">
        <f t="shared" si="82"/>
        <v>500</v>
      </c>
      <c r="BZ48" s="3">
        <f t="shared" si="82"/>
        <v>525</v>
      </c>
      <c r="CA48" s="3">
        <f t="shared" si="82"/>
        <v>550</v>
      </c>
      <c r="CB48" s="3">
        <f t="shared" si="82"/>
        <v>575</v>
      </c>
      <c r="CC48" s="3">
        <f t="shared" si="82"/>
        <v>600</v>
      </c>
      <c r="CD48" s="3">
        <f t="shared" si="82"/>
        <v>625</v>
      </c>
      <c r="CE48" s="3">
        <f t="shared" si="82"/>
        <v>650</v>
      </c>
      <c r="CF48" s="3">
        <f t="shared" si="82"/>
        <v>675</v>
      </c>
      <c r="CG48" s="3">
        <f t="shared" si="82"/>
        <v>700</v>
      </c>
      <c r="CH48" s="3">
        <f t="shared" si="82"/>
        <v>725</v>
      </c>
      <c r="CI48" s="3">
        <f t="shared" si="82"/>
        <v>750</v>
      </c>
      <c r="CJ48" s="3">
        <f t="shared" si="82"/>
        <v>775</v>
      </c>
      <c r="CK48" s="44">
        <f t="shared" si="82"/>
        <v>800</v>
      </c>
    </row>
    <row r="49" spans="2:102" ht="15.75" customHeight="1" x14ac:dyDescent="0.35">
      <c r="B49" s="33" t="s">
        <v>2</v>
      </c>
      <c r="C49" s="23"/>
      <c r="D49" s="23"/>
      <c r="E49" s="23"/>
      <c r="BD49" s="45" t="s">
        <v>32</v>
      </c>
      <c r="BE49" s="46"/>
      <c r="BF49" s="46">
        <f>1200-BF47</f>
        <v>1175</v>
      </c>
      <c r="BG49" s="46">
        <f t="shared" ref="BG49:CK49" si="83">1200-BG48</f>
        <v>1150</v>
      </c>
      <c r="BH49" s="46">
        <f t="shared" si="83"/>
        <v>1125</v>
      </c>
      <c r="BI49" s="46">
        <f t="shared" si="83"/>
        <v>1100</v>
      </c>
      <c r="BJ49" s="46">
        <f t="shared" si="83"/>
        <v>1075</v>
      </c>
      <c r="BK49" s="46">
        <f t="shared" si="83"/>
        <v>1050</v>
      </c>
      <c r="BL49" s="46">
        <f t="shared" si="83"/>
        <v>1025</v>
      </c>
      <c r="BM49" s="46">
        <f t="shared" si="83"/>
        <v>1000</v>
      </c>
      <c r="BN49" s="46">
        <f t="shared" si="83"/>
        <v>975</v>
      </c>
      <c r="BO49" s="46">
        <f t="shared" si="83"/>
        <v>950</v>
      </c>
      <c r="BP49" s="46">
        <f t="shared" si="83"/>
        <v>925</v>
      </c>
      <c r="BQ49" s="46">
        <f t="shared" si="83"/>
        <v>900</v>
      </c>
      <c r="BR49" s="46">
        <f t="shared" si="83"/>
        <v>875</v>
      </c>
      <c r="BS49" s="46">
        <f t="shared" si="83"/>
        <v>850</v>
      </c>
      <c r="BT49" s="46">
        <f t="shared" si="83"/>
        <v>825</v>
      </c>
      <c r="BU49" s="46">
        <f t="shared" si="83"/>
        <v>800</v>
      </c>
      <c r="BV49" s="46">
        <f t="shared" si="83"/>
        <v>775</v>
      </c>
      <c r="BW49" s="46">
        <f t="shared" si="83"/>
        <v>750</v>
      </c>
      <c r="BX49" s="47">
        <f t="shared" si="83"/>
        <v>725</v>
      </c>
      <c r="BY49" s="48">
        <f t="shared" si="83"/>
        <v>700</v>
      </c>
      <c r="BZ49" s="24">
        <f t="shared" si="83"/>
        <v>675</v>
      </c>
      <c r="CA49" s="24">
        <f t="shared" si="83"/>
        <v>650</v>
      </c>
      <c r="CB49" s="24">
        <f t="shared" si="83"/>
        <v>625</v>
      </c>
      <c r="CC49" s="24">
        <f t="shared" si="83"/>
        <v>600</v>
      </c>
      <c r="CD49" s="24">
        <f t="shared" si="83"/>
        <v>575</v>
      </c>
      <c r="CE49" s="24">
        <f t="shared" si="83"/>
        <v>550</v>
      </c>
      <c r="CF49" s="24">
        <f t="shared" si="83"/>
        <v>525</v>
      </c>
      <c r="CG49" s="24">
        <f t="shared" si="83"/>
        <v>500</v>
      </c>
      <c r="CH49" s="24">
        <f t="shared" si="83"/>
        <v>475</v>
      </c>
      <c r="CI49" s="24">
        <f t="shared" si="83"/>
        <v>450</v>
      </c>
      <c r="CJ49" s="24">
        <f t="shared" si="83"/>
        <v>425</v>
      </c>
      <c r="CK49" s="6">
        <f t="shared" si="83"/>
        <v>400</v>
      </c>
    </row>
    <row r="50" spans="2:102" ht="15.75" customHeight="1" x14ac:dyDescent="0.35">
      <c r="B50" s="3" t="s">
        <v>33</v>
      </c>
      <c r="C50" s="23"/>
      <c r="D50" s="23"/>
      <c r="E50" s="23"/>
      <c r="BC50" s="27">
        <f>0.6*AY6+AZ6+BA6+BB6+BC6</f>
        <v>3742788.54</v>
      </c>
      <c r="BG50" s="27">
        <f>BD6+BE6+BF6+BG6</f>
        <v>1029021.1799999999</v>
      </c>
      <c r="BK50" s="27">
        <f>BH6+BI6+BJ6+BK6+0.2*BL6</f>
        <v>1998192.8599999999</v>
      </c>
      <c r="BO50" s="27">
        <f>0.8*BL6+BM6+BN6+BO6+0.6*BP6</f>
        <v>3867521.0419999999</v>
      </c>
      <c r="BT50" s="27">
        <f>0.4*BP6+BQ6+BR6+BS6+BT6</f>
        <v>2521347.9380000001</v>
      </c>
      <c r="BX50" s="27">
        <f>BU6+BV6+BW6+BX6+0.2*BY6</f>
        <v>2233410.8199999998</v>
      </c>
      <c r="CB50" s="27">
        <f>0.8*BY6+BZ6+CA6+CB6+0.8*CC6</f>
        <v>2853500.2940000002</v>
      </c>
      <c r="CG50" s="27">
        <f>0.2*CC6+CD6+CF6+CE6+CG6</f>
        <v>2668378.5460000001</v>
      </c>
      <c r="CK50" s="27">
        <f>CH6+CI6+CJ6+CK6+0.4*CL6</f>
        <v>2553424.8820000002</v>
      </c>
      <c r="CP50" s="27">
        <f>0.6*CL6+CM6+CN6+CO6+CP6</f>
        <v>4217621.5279999999</v>
      </c>
      <c r="CT50" s="49">
        <f>CQ6+CR6+CS6+CT6</f>
        <v>3677818.47</v>
      </c>
      <c r="CX50" s="49">
        <f>CU6+CV6+CW6+CX6+0.6*CY6</f>
        <v>5073561.3780000005</v>
      </c>
    </row>
    <row r="51" spans="2:102" ht="15.75" customHeight="1" x14ac:dyDescent="0.35">
      <c r="B51" s="3" t="s">
        <v>34</v>
      </c>
      <c r="C51" s="23"/>
      <c r="D51" s="23"/>
      <c r="E51" s="23"/>
      <c r="BC51" s="27">
        <f>0.6*AY7+AZ7+BA7+BB7+BC7</f>
        <v>0</v>
      </c>
      <c r="BG51" s="27">
        <f>BD7+BE7+BF7+BG7</f>
        <v>0</v>
      </c>
      <c r="BK51" s="27">
        <f>BH7+BI7+BJ7+BK7+0.2*BL7</f>
        <v>0</v>
      </c>
      <c r="BO51" s="27">
        <f>0.8*BL7+BM7+BN7+BO7+0.6*BP7</f>
        <v>0</v>
      </c>
      <c r="BT51" s="27">
        <f>0.4*BP7+BQ7+BR7+BS7+BT7</f>
        <v>0</v>
      </c>
      <c r="CB51" s="27">
        <f>0.8*BY7+BZ7+CA7+CB7+0.8*CC7</f>
        <v>0</v>
      </c>
      <c r="CG51" s="27">
        <f>0.2*CC7+CD7+CF7+CE7+CG7+0.4*CH7</f>
        <v>0</v>
      </c>
      <c r="CK51" s="27">
        <f>CH7+CI7+CJ7+CK7+0.4*CL7</f>
        <v>0</v>
      </c>
      <c r="CP51" s="27">
        <f>0.6*CL7+CM7+CN7+CO7+CP7</f>
        <v>0</v>
      </c>
      <c r="CT51" s="49">
        <f>CQ7+CR7+CS7+CT7</f>
        <v>0</v>
      </c>
      <c r="CX51" s="49">
        <f>CU7+CV7+CW7+CX7+0.6*CY7</f>
        <v>0</v>
      </c>
    </row>
    <row r="52" spans="2:102" ht="15.75" customHeight="1" x14ac:dyDescent="0.35">
      <c r="B52" s="3" t="s">
        <v>5</v>
      </c>
      <c r="C52" s="23"/>
      <c r="D52" s="23"/>
      <c r="E52" s="23"/>
      <c r="BC52" s="29">
        <f>0.6*AY8+AZ8+BA8+BB8+BC8</f>
        <v>0</v>
      </c>
      <c r="BG52" s="29">
        <f>BD8+BE8+BF8+BG8</f>
        <v>600000</v>
      </c>
      <c r="BK52" s="29">
        <f>BH8+BI8+BJ8+BK8+0.2*BL8</f>
        <v>800000</v>
      </c>
      <c r="BO52" s="29">
        <f>0.8*BL8+BM8+BN8+BO8+0.6*BP8</f>
        <v>0</v>
      </c>
      <c r="BT52" s="29">
        <f>0.4*BP8+BQ8+BR8+BS8+BT8</f>
        <v>0</v>
      </c>
      <c r="BX52" s="29">
        <f>BU8+BV8+BW8+BX8+0.2*BY8</f>
        <v>2700000</v>
      </c>
      <c r="CB52" s="29">
        <f>0.8*BY8+BZ8+CA8+CB8+0.8*CC8</f>
        <v>300000</v>
      </c>
      <c r="CG52" s="29">
        <f>0.2*CC8+CD8+CF8+CE8+CG8+0.4*CH8</f>
        <v>18094708.550000001</v>
      </c>
      <c r="CK52" s="29">
        <f>CH8+CI8+CJ8+CK8+0.4*CL8</f>
        <v>0</v>
      </c>
      <c r="CP52" s="29">
        <f>0.6*CL8+CM8+CN8+CO8+CP8</f>
        <v>0</v>
      </c>
      <c r="CT52" s="50">
        <f>CQ8+CR8+CS8+CT8</f>
        <v>418107</v>
      </c>
      <c r="CX52" s="50">
        <f>CU8+CV8+CW8+CX8+0.6*CY8</f>
        <v>0</v>
      </c>
    </row>
    <row r="53" spans="2:102" ht="15.75" customHeight="1" x14ac:dyDescent="0.35">
      <c r="B53" s="51" t="s">
        <v>35</v>
      </c>
      <c r="C53" s="23"/>
      <c r="D53" s="23"/>
      <c r="E53" s="23"/>
      <c r="BC53" s="27">
        <f>BC50+BC51+BC52</f>
        <v>3742788.54</v>
      </c>
      <c r="BG53" s="27">
        <f>BG50+BG51+BG52</f>
        <v>1629021.18</v>
      </c>
      <c r="BK53" s="27">
        <f>BK50+BK51+BK52</f>
        <v>2798192.86</v>
      </c>
      <c r="BO53" s="27">
        <f>BO50+BO51+BO52</f>
        <v>3867521.0419999999</v>
      </c>
      <c r="BT53" s="27">
        <f>BT50+BT51+BT52</f>
        <v>2521347.9380000001</v>
      </c>
      <c r="BX53" s="27">
        <f>BX51+BX50+BX52</f>
        <v>4933410.82</v>
      </c>
      <c r="CB53" s="27">
        <f>CB50+CB51+CB52</f>
        <v>3153500.2940000002</v>
      </c>
      <c r="CG53" s="27">
        <f>CG50+CG51+CG52</f>
        <v>20763087.096000001</v>
      </c>
      <c r="CK53" s="27">
        <f>CK50+CK51+CK52</f>
        <v>2553424.8820000002</v>
      </c>
      <c r="CP53" s="27">
        <f>CP50+CP51+CP52</f>
        <v>4217621.5279999999</v>
      </c>
      <c r="CT53" s="27">
        <f>CT50+CT51+CT52</f>
        <v>4095925.47</v>
      </c>
      <c r="CX53" s="27">
        <f>CX50+CX51+CX52</f>
        <v>5073561.3780000005</v>
      </c>
    </row>
    <row r="54" spans="2:102" ht="15.75" customHeight="1" x14ac:dyDescent="0.35">
      <c r="C54" s="23"/>
      <c r="D54" s="23"/>
      <c r="E54" s="23"/>
    </row>
    <row r="55" spans="2:102" ht="15.75" customHeight="1" x14ac:dyDescent="0.35">
      <c r="C55" s="23"/>
      <c r="D55" s="23"/>
      <c r="E55" s="23"/>
    </row>
    <row r="56" spans="2:102" ht="15.75" customHeight="1" x14ac:dyDescent="0.35">
      <c r="C56" s="23"/>
      <c r="D56" s="23"/>
      <c r="E56" s="23"/>
    </row>
    <row r="57" spans="2:102" ht="15.75" customHeight="1" x14ac:dyDescent="0.35">
      <c r="C57" s="23"/>
      <c r="D57" s="23"/>
      <c r="E57" s="23"/>
    </row>
    <row r="58" spans="2:102" ht="15.75" customHeight="1" x14ac:dyDescent="0.35">
      <c r="C58" s="23"/>
      <c r="D58" s="23"/>
      <c r="E58" s="23"/>
      <c r="BC58" s="9">
        <f>BC41+BC53</f>
        <v>-333733.70000000065</v>
      </c>
      <c r="BG58" s="9">
        <f>BG41+BG53</f>
        <v>-893520.55</v>
      </c>
      <c r="BK58" s="9">
        <f>BK41+BK53</f>
        <v>246481.91999999993</v>
      </c>
      <c r="BO58" s="9">
        <f>BO41+BO53</f>
        <v>1078041.5520000001</v>
      </c>
      <c r="BT58" s="9">
        <f>BT41+BT53</f>
        <v>-1246692.1519999998</v>
      </c>
    </row>
    <row r="59" spans="2:102" ht="15.75" customHeight="1" x14ac:dyDescent="0.35">
      <c r="C59" s="23"/>
      <c r="D59" s="23"/>
      <c r="E59" s="23"/>
    </row>
    <row r="60" spans="2:102" ht="15.75" customHeight="1" x14ac:dyDescent="0.35">
      <c r="C60" s="23"/>
      <c r="D60" s="23"/>
      <c r="E60" s="23"/>
    </row>
    <row r="61" spans="2:102" ht="15.75" customHeight="1" x14ac:dyDescent="0.35">
      <c r="C61" s="23"/>
      <c r="D61" s="23"/>
      <c r="E61" s="23"/>
    </row>
    <row r="62" spans="2:102" ht="15.75" customHeight="1" x14ac:dyDescent="0.35">
      <c r="C62" s="23"/>
      <c r="D62" s="23"/>
      <c r="E62" s="23"/>
      <c r="CD62" s="24"/>
    </row>
    <row r="63" spans="2:102" ht="15.75" customHeight="1" x14ac:dyDescent="0.35">
      <c r="C63" s="23"/>
      <c r="D63" s="23"/>
      <c r="E63" s="23"/>
    </row>
    <row r="64" spans="2:102" ht="15.75" customHeight="1" x14ac:dyDescent="0.35">
      <c r="C64" s="23"/>
      <c r="D64" s="23"/>
      <c r="E64" s="23"/>
    </row>
    <row r="65" spans="3:5" ht="15.75" customHeight="1" x14ac:dyDescent="0.35">
      <c r="C65" s="23"/>
      <c r="D65" s="23"/>
      <c r="E65" s="23"/>
    </row>
    <row r="66" spans="3:5" ht="15.75" customHeight="1" x14ac:dyDescent="0.35">
      <c r="C66" s="23"/>
      <c r="D66" s="23"/>
      <c r="E66" s="23"/>
    </row>
    <row r="67" spans="3:5" ht="15.75" customHeight="1" x14ac:dyDescent="0.35">
      <c r="C67" s="23"/>
      <c r="D67" s="23"/>
      <c r="E67" s="23"/>
    </row>
    <row r="68" spans="3:5" ht="15.75" customHeight="1" x14ac:dyDescent="0.35">
      <c r="C68" s="23"/>
      <c r="D68" s="23"/>
      <c r="E68" s="23"/>
    </row>
    <row r="69" spans="3:5" ht="15.75" customHeight="1" x14ac:dyDescent="0.35">
      <c r="C69" s="23"/>
      <c r="D69" s="23"/>
      <c r="E69" s="23"/>
    </row>
    <row r="70" spans="3:5" ht="15.75" customHeight="1" x14ac:dyDescent="0.35">
      <c r="C70" s="23"/>
      <c r="D70" s="23"/>
      <c r="E70" s="23"/>
    </row>
    <row r="71" spans="3:5" ht="15.75" customHeight="1" x14ac:dyDescent="0.35">
      <c r="C71" s="23"/>
      <c r="D71" s="23"/>
      <c r="E71" s="23"/>
    </row>
    <row r="72" spans="3:5" ht="15.75" customHeight="1" x14ac:dyDescent="0.35">
      <c r="C72" s="23"/>
      <c r="D72" s="23"/>
      <c r="E72" s="23"/>
    </row>
    <row r="73" spans="3:5" ht="15.75" customHeight="1" x14ac:dyDescent="0.35">
      <c r="C73" s="23"/>
      <c r="D73" s="23"/>
      <c r="E73" s="23"/>
    </row>
    <row r="74" spans="3:5" ht="15.75" customHeight="1" x14ac:dyDescent="0.35">
      <c r="C74" s="23"/>
      <c r="D74" s="23"/>
      <c r="E74" s="23"/>
    </row>
    <row r="75" spans="3:5" ht="15.75" customHeight="1" x14ac:dyDescent="0.35">
      <c r="C75" s="23"/>
      <c r="D75" s="23"/>
      <c r="E75" s="23"/>
    </row>
    <row r="76" spans="3:5" ht="15.75" customHeight="1" x14ac:dyDescent="0.35">
      <c r="C76" s="23"/>
      <c r="D76" s="23"/>
      <c r="E76" s="23"/>
    </row>
    <row r="77" spans="3:5" ht="15.75" customHeight="1" x14ac:dyDescent="0.35">
      <c r="C77" s="23"/>
      <c r="D77" s="23"/>
      <c r="E77" s="23"/>
    </row>
    <row r="78" spans="3:5" ht="15.75" customHeight="1" x14ac:dyDescent="0.35">
      <c r="C78" s="23"/>
      <c r="D78" s="23"/>
      <c r="E78" s="23"/>
    </row>
    <row r="79" spans="3:5" ht="15.75" customHeight="1" x14ac:dyDescent="0.35">
      <c r="C79" s="23"/>
      <c r="D79" s="23"/>
      <c r="E79" s="23"/>
    </row>
    <row r="80" spans="3:5" ht="15.75" customHeight="1" x14ac:dyDescent="0.35">
      <c r="C80" s="23"/>
      <c r="D80" s="23"/>
      <c r="E80" s="23"/>
    </row>
    <row r="81" spans="3:5" ht="15.75" customHeight="1" x14ac:dyDescent="0.35">
      <c r="C81" s="23"/>
      <c r="D81" s="23"/>
      <c r="E81" s="23"/>
    </row>
    <row r="82" spans="3:5" ht="15.75" customHeight="1" x14ac:dyDescent="0.35">
      <c r="C82" s="23"/>
      <c r="D82" s="23"/>
      <c r="E82" s="23"/>
    </row>
    <row r="83" spans="3:5" ht="15.75" customHeight="1" x14ac:dyDescent="0.35">
      <c r="C83" s="23"/>
      <c r="D83" s="23"/>
      <c r="E83" s="23"/>
    </row>
    <row r="84" spans="3:5" ht="15.75" customHeight="1" x14ac:dyDescent="0.35">
      <c r="C84" s="23"/>
      <c r="D84" s="23"/>
      <c r="E84" s="23"/>
    </row>
    <row r="85" spans="3:5" ht="15.75" customHeight="1" x14ac:dyDescent="0.35">
      <c r="C85" s="23"/>
      <c r="D85" s="23"/>
      <c r="E85" s="23"/>
    </row>
    <row r="86" spans="3:5" ht="15.75" customHeight="1" x14ac:dyDescent="0.35">
      <c r="C86" s="23"/>
      <c r="D86" s="23"/>
      <c r="E86" s="23"/>
    </row>
    <row r="87" spans="3:5" ht="15.75" customHeight="1" x14ac:dyDescent="0.35">
      <c r="C87" s="23"/>
      <c r="D87" s="23"/>
      <c r="E87" s="23"/>
    </row>
    <row r="88" spans="3:5" ht="15.75" customHeight="1" x14ac:dyDescent="0.35">
      <c r="C88" s="23"/>
      <c r="D88" s="23"/>
      <c r="E88" s="23"/>
    </row>
    <row r="89" spans="3:5" ht="15.75" customHeight="1" x14ac:dyDescent="0.35">
      <c r="C89" s="23"/>
      <c r="D89" s="23"/>
      <c r="E89" s="23"/>
    </row>
    <row r="90" spans="3:5" ht="15.75" customHeight="1" x14ac:dyDescent="0.35">
      <c r="C90" s="23"/>
      <c r="D90" s="23"/>
      <c r="E90" s="23"/>
    </row>
    <row r="91" spans="3:5" ht="15.75" customHeight="1" x14ac:dyDescent="0.35">
      <c r="C91" s="23"/>
      <c r="D91" s="23"/>
      <c r="E91" s="23"/>
    </row>
    <row r="92" spans="3:5" ht="15.75" customHeight="1" x14ac:dyDescent="0.35">
      <c r="C92" s="23"/>
      <c r="D92" s="23"/>
      <c r="E92" s="23"/>
    </row>
    <row r="93" spans="3:5" ht="15.75" customHeight="1" x14ac:dyDescent="0.35">
      <c r="C93" s="23"/>
      <c r="D93" s="23"/>
      <c r="E93" s="23"/>
    </row>
    <row r="94" spans="3:5" ht="15.75" customHeight="1" x14ac:dyDescent="0.35">
      <c r="C94" s="23"/>
      <c r="D94" s="23"/>
      <c r="E94" s="23"/>
    </row>
    <row r="95" spans="3:5" ht="15.75" customHeight="1" x14ac:dyDescent="0.35">
      <c r="C95" s="23"/>
      <c r="D95" s="23"/>
      <c r="E95" s="23"/>
    </row>
    <row r="96" spans="3:5" ht="15.75" customHeight="1" x14ac:dyDescent="0.35">
      <c r="C96" s="23"/>
      <c r="D96" s="23"/>
      <c r="E96" s="23"/>
    </row>
    <row r="97" spans="3:5" ht="15.75" customHeight="1" x14ac:dyDescent="0.35">
      <c r="C97" s="23"/>
      <c r="D97" s="23"/>
      <c r="E97" s="23"/>
    </row>
    <row r="98" spans="3:5" ht="15.75" customHeight="1" x14ac:dyDescent="0.35">
      <c r="C98" s="23"/>
      <c r="D98" s="23"/>
      <c r="E98" s="23"/>
    </row>
    <row r="99" spans="3:5" ht="15.75" customHeight="1" x14ac:dyDescent="0.35">
      <c r="C99" s="23"/>
      <c r="D99" s="23"/>
      <c r="E99" s="23"/>
    </row>
    <row r="100" spans="3:5" ht="15.75" customHeight="1" x14ac:dyDescent="0.35">
      <c r="C100" s="23"/>
      <c r="D100" s="23"/>
      <c r="E100" s="23"/>
    </row>
    <row r="101" spans="3:5" ht="15.75" customHeight="1" x14ac:dyDescent="0.35">
      <c r="C101" s="23"/>
      <c r="D101" s="23"/>
      <c r="E101" s="23"/>
    </row>
    <row r="102" spans="3:5" ht="15.75" customHeight="1" x14ac:dyDescent="0.35">
      <c r="C102" s="23"/>
      <c r="D102" s="23"/>
      <c r="E102" s="23"/>
    </row>
    <row r="103" spans="3:5" ht="15.75" customHeight="1" x14ac:dyDescent="0.35">
      <c r="C103" s="23"/>
      <c r="D103" s="23"/>
      <c r="E103" s="23"/>
    </row>
    <row r="104" spans="3:5" ht="15.75" customHeight="1" x14ac:dyDescent="0.35">
      <c r="C104" s="23"/>
      <c r="D104" s="23"/>
      <c r="E104" s="23"/>
    </row>
    <row r="105" spans="3:5" ht="15.75" customHeight="1" x14ac:dyDescent="0.35">
      <c r="C105" s="23"/>
      <c r="D105" s="23"/>
      <c r="E105" s="23"/>
    </row>
    <row r="106" spans="3:5" ht="15.75" customHeight="1" x14ac:dyDescent="0.35">
      <c r="C106" s="23"/>
      <c r="D106" s="23"/>
      <c r="E106" s="23"/>
    </row>
    <row r="107" spans="3:5" ht="15.75" customHeight="1" x14ac:dyDescent="0.35">
      <c r="C107" s="23"/>
      <c r="D107" s="23"/>
      <c r="E107" s="23"/>
    </row>
    <row r="108" spans="3:5" ht="15.75" customHeight="1" x14ac:dyDescent="0.35">
      <c r="C108" s="23"/>
      <c r="D108" s="23"/>
      <c r="E108" s="23"/>
    </row>
    <row r="109" spans="3:5" ht="15.75" customHeight="1" x14ac:dyDescent="0.35">
      <c r="C109" s="23"/>
      <c r="D109" s="23"/>
      <c r="E109" s="23"/>
    </row>
    <row r="110" spans="3:5" ht="15.75" customHeight="1" x14ac:dyDescent="0.35">
      <c r="C110" s="23"/>
      <c r="D110" s="23"/>
      <c r="E110" s="23"/>
    </row>
    <row r="111" spans="3:5" ht="15.75" customHeight="1" x14ac:dyDescent="0.35">
      <c r="C111" s="23"/>
      <c r="D111" s="23"/>
      <c r="E111" s="23"/>
    </row>
    <row r="112" spans="3:5" ht="15.75" customHeight="1" x14ac:dyDescent="0.35">
      <c r="C112" s="23"/>
      <c r="D112" s="23"/>
      <c r="E112" s="23"/>
    </row>
    <row r="113" spans="3:5" ht="15.75" customHeight="1" x14ac:dyDescent="0.35">
      <c r="C113" s="23"/>
      <c r="D113" s="23"/>
      <c r="E113" s="23"/>
    </row>
    <row r="114" spans="3:5" ht="15.75" customHeight="1" x14ac:dyDescent="0.35">
      <c r="C114" s="23"/>
      <c r="D114" s="23"/>
      <c r="E114" s="23"/>
    </row>
    <row r="115" spans="3:5" ht="15.75" customHeight="1" x14ac:dyDescent="0.35">
      <c r="C115" s="23"/>
      <c r="D115" s="23"/>
      <c r="E115" s="23"/>
    </row>
    <row r="116" spans="3:5" ht="15.75" customHeight="1" x14ac:dyDescent="0.35">
      <c r="C116" s="23"/>
      <c r="D116" s="23"/>
      <c r="E116" s="23"/>
    </row>
    <row r="117" spans="3:5" ht="15.75" customHeight="1" x14ac:dyDescent="0.35">
      <c r="C117" s="23"/>
      <c r="D117" s="23"/>
      <c r="E117" s="23"/>
    </row>
    <row r="118" spans="3:5" ht="15.75" customHeight="1" x14ac:dyDescent="0.35">
      <c r="C118" s="23"/>
      <c r="D118" s="23"/>
      <c r="E118" s="23"/>
    </row>
    <row r="119" spans="3:5" ht="15.75" customHeight="1" x14ac:dyDescent="0.35">
      <c r="C119" s="23"/>
      <c r="D119" s="23"/>
      <c r="E119" s="23"/>
    </row>
    <row r="120" spans="3:5" ht="15.75" customHeight="1" x14ac:dyDescent="0.35">
      <c r="C120" s="23"/>
      <c r="D120" s="23"/>
      <c r="E120" s="23"/>
    </row>
    <row r="121" spans="3:5" ht="15.75" customHeight="1" x14ac:dyDescent="0.35">
      <c r="C121" s="23"/>
      <c r="D121" s="23"/>
      <c r="E121" s="23"/>
    </row>
    <row r="122" spans="3:5" ht="15.75" customHeight="1" x14ac:dyDescent="0.35">
      <c r="C122" s="23"/>
      <c r="D122" s="23"/>
      <c r="E122" s="23"/>
    </row>
    <row r="123" spans="3:5" ht="15.75" customHeight="1" x14ac:dyDescent="0.35">
      <c r="C123" s="23"/>
      <c r="D123" s="23"/>
      <c r="E123" s="23"/>
    </row>
    <row r="124" spans="3:5" ht="15.75" customHeight="1" x14ac:dyDescent="0.35">
      <c r="C124" s="23"/>
      <c r="D124" s="23"/>
      <c r="E124" s="23"/>
    </row>
    <row r="125" spans="3:5" ht="15.75" customHeight="1" x14ac:dyDescent="0.35">
      <c r="C125" s="23"/>
      <c r="D125" s="23"/>
      <c r="E125" s="23"/>
    </row>
    <row r="126" spans="3:5" ht="15.75" customHeight="1" x14ac:dyDescent="0.35">
      <c r="C126" s="23"/>
      <c r="D126" s="23"/>
      <c r="E126" s="23"/>
    </row>
    <row r="127" spans="3:5" ht="15.75" customHeight="1" x14ac:dyDescent="0.35">
      <c r="C127" s="23"/>
      <c r="D127" s="23"/>
      <c r="E127" s="23"/>
    </row>
    <row r="128" spans="3:5" ht="15.75" customHeight="1" x14ac:dyDescent="0.35">
      <c r="C128" s="23"/>
      <c r="D128" s="23"/>
      <c r="E128" s="23"/>
    </row>
    <row r="129" spans="3:5" ht="15.75" customHeight="1" x14ac:dyDescent="0.35">
      <c r="C129" s="23"/>
      <c r="D129" s="23"/>
      <c r="E129" s="23"/>
    </row>
    <row r="130" spans="3:5" ht="15.75" customHeight="1" x14ac:dyDescent="0.35">
      <c r="C130" s="23"/>
      <c r="D130" s="23"/>
      <c r="E130" s="23"/>
    </row>
    <row r="131" spans="3:5" ht="15.75" customHeight="1" x14ac:dyDescent="0.35">
      <c r="C131" s="23"/>
      <c r="D131" s="23"/>
      <c r="E131" s="23"/>
    </row>
    <row r="132" spans="3:5" ht="15.75" customHeight="1" x14ac:dyDescent="0.35">
      <c r="C132" s="23"/>
      <c r="D132" s="23"/>
      <c r="E132" s="23"/>
    </row>
    <row r="133" spans="3:5" ht="15.75" customHeight="1" x14ac:dyDescent="0.35">
      <c r="C133" s="23"/>
      <c r="D133" s="23"/>
      <c r="E133" s="23"/>
    </row>
    <row r="134" spans="3:5" ht="15.75" customHeight="1" x14ac:dyDescent="0.35">
      <c r="C134" s="23"/>
      <c r="D134" s="23"/>
      <c r="E134" s="23"/>
    </row>
    <row r="135" spans="3:5" ht="15.75" customHeight="1" x14ac:dyDescent="0.35">
      <c r="C135" s="23"/>
      <c r="D135" s="23"/>
      <c r="E135" s="23"/>
    </row>
    <row r="136" spans="3:5" ht="15.75" customHeight="1" x14ac:dyDescent="0.35">
      <c r="C136" s="23"/>
      <c r="D136" s="23"/>
      <c r="E136" s="23"/>
    </row>
    <row r="137" spans="3:5" ht="15.75" customHeight="1" x14ac:dyDescent="0.35">
      <c r="C137" s="23"/>
      <c r="D137" s="23"/>
      <c r="E137" s="23"/>
    </row>
    <row r="138" spans="3:5" ht="15.75" customHeight="1" x14ac:dyDescent="0.35">
      <c r="C138" s="23"/>
      <c r="D138" s="23"/>
      <c r="E138" s="23"/>
    </row>
    <row r="139" spans="3:5" ht="15.75" customHeight="1" x14ac:dyDescent="0.35">
      <c r="C139" s="23"/>
      <c r="D139" s="23"/>
      <c r="E139" s="23"/>
    </row>
    <row r="140" spans="3:5" ht="15.75" customHeight="1" x14ac:dyDescent="0.35">
      <c r="C140" s="23"/>
      <c r="D140" s="23"/>
      <c r="E140" s="23"/>
    </row>
    <row r="141" spans="3:5" ht="15.75" customHeight="1" x14ac:dyDescent="0.35">
      <c r="C141" s="23"/>
      <c r="D141" s="23"/>
      <c r="E141" s="23"/>
    </row>
    <row r="142" spans="3:5" ht="15.75" customHeight="1" x14ac:dyDescent="0.35">
      <c r="C142" s="23"/>
      <c r="D142" s="23"/>
      <c r="E142" s="23"/>
    </row>
    <row r="143" spans="3:5" ht="15.75" customHeight="1" x14ac:dyDescent="0.35">
      <c r="C143" s="23"/>
      <c r="D143" s="23"/>
      <c r="E143" s="23"/>
    </row>
    <row r="144" spans="3:5" ht="15.75" customHeight="1" x14ac:dyDescent="0.35">
      <c r="C144" s="23"/>
      <c r="D144" s="23"/>
      <c r="E144" s="23"/>
    </row>
    <row r="145" spans="3:5" ht="15.75" customHeight="1" x14ac:dyDescent="0.35">
      <c r="C145" s="23"/>
      <c r="D145" s="23"/>
      <c r="E145" s="23"/>
    </row>
    <row r="146" spans="3:5" ht="15.75" customHeight="1" x14ac:dyDescent="0.35">
      <c r="C146" s="23"/>
      <c r="D146" s="23"/>
      <c r="E146" s="23"/>
    </row>
    <row r="147" spans="3:5" ht="15.75" customHeight="1" x14ac:dyDescent="0.35">
      <c r="C147" s="23"/>
      <c r="D147" s="23"/>
      <c r="E147" s="23"/>
    </row>
    <row r="148" spans="3:5" ht="15.75" customHeight="1" x14ac:dyDescent="0.35">
      <c r="C148" s="23"/>
      <c r="D148" s="23"/>
      <c r="E148" s="23"/>
    </row>
    <row r="149" spans="3:5" ht="15.75" customHeight="1" x14ac:dyDescent="0.35">
      <c r="C149" s="23"/>
      <c r="D149" s="23"/>
      <c r="E149" s="23"/>
    </row>
    <row r="150" spans="3:5" ht="15.75" customHeight="1" x14ac:dyDescent="0.35">
      <c r="C150" s="23"/>
      <c r="D150" s="23"/>
      <c r="E150" s="23"/>
    </row>
    <row r="151" spans="3:5" ht="15.75" customHeight="1" x14ac:dyDescent="0.35">
      <c r="C151" s="23"/>
      <c r="D151" s="23"/>
      <c r="E151" s="23"/>
    </row>
    <row r="152" spans="3:5" ht="15.75" customHeight="1" x14ac:dyDescent="0.35">
      <c r="C152" s="23"/>
      <c r="D152" s="23"/>
      <c r="E152" s="23"/>
    </row>
    <row r="153" spans="3:5" ht="15.75" customHeight="1" x14ac:dyDescent="0.35">
      <c r="C153" s="23"/>
      <c r="D153" s="23"/>
      <c r="E153" s="23"/>
    </row>
    <row r="154" spans="3:5" ht="15.75" customHeight="1" x14ac:dyDescent="0.35">
      <c r="C154" s="23"/>
      <c r="D154" s="23"/>
      <c r="E154" s="23"/>
    </row>
    <row r="155" spans="3:5" ht="15.75" customHeight="1" x14ac:dyDescent="0.35">
      <c r="C155" s="23"/>
      <c r="D155" s="23"/>
      <c r="E155" s="23"/>
    </row>
    <row r="156" spans="3:5" ht="15.75" customHeight="1" x14ac:dyDescent="0.35">
      <c r="C156" s="23"/>
      <c r="D156" s="23"/>
      <c r="E156" s="23"/>
    </row>
    <row r="157" spans="3:5" ht="15.75" customHeight="1" x14ac:dyDescent="0.35">
      <c r="C157" s="23"/>
      <c r="D157" s="23"/>
      <c r="E157" s="23"/>
    </row>
    <row r="158" spans="3:5" ht="15.75" customHeight="1" x14ac:dyDescent="0.35">
      <c r="C158" s="23"/>
      <c r="D158" s="23"/>
      <c r="E158" s="23"/>
    </row>
    <row r="159" spans="3:5" ht="15.75" customHeight="1" x14ac:dyDescent="0.35">
      <c r="C159" s="23"/>
      <c r="D159" s="23"/>
      <c r="E159" s="23"/>
    </row>
    <row r="160" spans="3:5" ht="15.75" customHeight="1" x14ac:dyDescent="0.35">
      <c r="C160" s="23"/>
      <c r="D160" s="23"/>
      <c r="E160" s="23"/>
    </row>
    <row r="161" spans="3:5" ht="15.75" customHeight="1" x14ac:dyDescent="0.35">
      <c r="C161" s="23"/>
      <c r="D161" s="23"/>
      <c r="E161" s="23"/>
    </row>
    <row r="162" spans="3:5" ht="15.75" customHeight="1" x14ac:dyDescent="0.35">
      <c r="C162" s="23"/>
      <c r="D162" s="23"/>
      <c r="E162" s="23"/>
    </row>
    <row r="163" spans="3:5" ht="15.75" customHeight="1" x14ac:dyDescent="0.35">
      <c r="C163" s="23"/>
      <c r="D163" s="23"/>
      <c r="E163" s="23"/>
    </row>
    <row r="164" spans="3:5" ht="15.75" customHeight="1" x14ac:dyDescent="0.35">
      <c r="C164" s="23"/>
      <c r="D164" s="23"/>
      <c r="E164" s="23"/>
    </row>
    <row r="165" spans="3:5" ht="15.75" customHeight="1" x14ac:dyDescent="0.35">
      <c r="C165" s="23"/>
      <c r="D165" s="23"/>
      <c r="E165" s="23"/>
    </row>
    <row r="166" spans="3:5" ht="15.75" customHeight="1" x14ac:dyDescent="0.35">
      <c r="C166" s="23"/>
      <c r="D166" s="23"/>
      <c r="E166" s="23"/>
    </row>
    <row r="167" spans="3:5" ht="15.75" customHeight="1" x14ac:dyDescent="0.35">
      <c r="C167" s="23"/>
      <c r="D167" s="23"/>
      <c r="E167" s="23"/>
    </row>
    <row r="168" spans="3:5" ht="15.75" customHeight="1" x14ac:dyDescent="0.35">
      <c r="C168" s="23"/>
      <c r="D168" s="23"/>
      <c r="E168" s="23"/>
    </row>
    <row r="169" spans="3:5" ht="15.75" customHeight="1" x14ac:dyDescent="0.35">
      <c r="C169" s="23"/>
      <c r="D169" s="23"/>
      <c r="E169" s="23"/>
    </row>
    <row r="170" spans="3:5" ht="15.75" customHeight="1" x14ac:dyDescent="0.35">
      <c r="C170" s="23"/>
      <c r="D170" s="23"/>
      <c r="E170" s="23"/>
    </row>
    <row r="171" spans="3:5" ht="15.75" customHeight="1" x14ac:dyDescent="0.35">
      <c r="C171" s="23"/>
      <c r="D171" s="23"/>
      <c r="E171" s="23"/>
    </row>
    <row r="172" spans="3:5" ht="15.75" customHeight="1" x14ac:dyDescent="0.35">
      <c r="C172" s="23"/>
      <c r="D172" s="23"/>
      <c r="E172" s="23"/>
    </row>
    <row r="173" spans="3:5" ht="15.75" customHeight="1" x14ac:dyDescent="0.35">
      <c r="C173" s="23"/>
      <c r="D173" s="23"/>
      <c r="E173" s="23"/>
    </row>
    <row r="174" spans="3:5" ht="15.75" customHeight="1" x14ac:dyDescent="0.35">
      <c r="C174" s="23"/>
      <c r="D174" s="23"/>
      <c r="E174" s="23"/>
    </row>
    <row r="175" spans="3:5" ht="15.75" customHeight="1" x14ac:dyDescent="0.35">
      <c r="C175" s="23"/>
      <c r="D175" s="23"/>
      <c r="E175" s="23"/>
    </row>
    <row r="176" spans="3:5" ht="15.75" customHeight="1" x14ac:dyDescent="0.35">
      <c r="C176" s="23"/>
      <c r="D176" s="23"/>
      <c r="E176" s="23"/>
    </row>
    <row r="177" spans="3:5" ht="15.75" customHeight="1" x14ac:dyDescent="0.35">
      <c r="C177" s="23"/>
      <c r="D177" s="23"/>
      <c r="E177" s="23"/>
    </row>
    <row r="178" spans="3:5" ht="15.75" customHeight="1" x14ac:dyDescent="0.35">
      <c r="C178" s="23"/>
      <c r="D178" s="23"/>
      <c r="E178" s="23"/>
    </row>
    <row r="179" spans="3:5" ht="15.75" customHeight="1" x14ac:dyDescent="0.35">
      <c r="C179" s="23"/>
      <c r="D179" s="23"/>
      <c r="E179" s="23"/>
    </row>
    <row r="180" spans="3:5" ht="15.75" customHeight="1" x14ac:dyDescent="0.35">
      <c r="C180" s="23"/>
      <c r="D180" s="23"/>
      <c r="E180" s="23"/>
    </row>
    <row r="181" spans="3:5" ht="15.75" customHeight="1" x14ac:dyDescent="0.35">
      <c r="C181" s="23"/>
      <c r="D181" s="23"/>
      <c r="E181" s="23"/>
    </row>
    <row r="182" spans="3:5" ht="15.75" customHeight="1" x14ac:dyDescent="0.35">
      <c r="C182" s="23"/>
      <c r="D182" s="23"/>
      <c r="E182" s="23"/>
    </row>
    <row r="183" spans="3:5" ht="15.75" customHeight="1" x14ac:dyDescent="0.35">
      <c r="C183" s="23"/>
      <c r="D183" s="23"/>
      <c r="E183" s="23"/>
    </row>
    <row r="184" spans="3:5" ht="15.75" customHeight="1" x14ac:dyDescent="0.35">
      <c r="C184" s="23"/>
      <c r="D184" s="23"/>
      <c r="E184" s="23"/>
    </row>
    <row r="185" spans="3:5" ht="15.75" customHeight="1" x14ac:dyDescent="0.35">
      <c r="C185" s="23"/>
      <c r="D185" s="23"/>
      <c r="E185" s="23"/>
    </row>
    <row r="186" spans="3:5" ht="15.75" customHeight="1" x14ac:dyDescent="0.35">
      <c r="C186" s="23"/>
      <c r="D186" s="23"/>
      <c r="E186" s="23"/>
    </row>
    <row r="187" spans="3:5" ht="15.75" customHeight="1" x14ac:dyDescent="0.35">
      <c r="C187" s="23"/>
      <c r="D187" s="23"/>
      <c r="E187" s="23"/>
    </row>
    <row r="188" spans="3:5" ht="15.75" customHeight="1" x14ac:dyDescent="0.35">
      <c r="C188" s="23"/>
      <c r="D188" s="23"/>
      <c r="E188" s="23"/>
    </row>
    <row r="189" spans="3:5" ht="15.75" customHeight="1" x14ac:dyDescent="0.35">
      <c r="C189" s="23"/>
      <c r="D189" s="23"/>
      <c r="E189" s="23"/>
    </row>
    <row r="190" spans="3:5" ht="15.75" customHeight="1" x14ac:dyDescent="0.35">
      <c r="C190" s="23"/>
      <c r="D190" s="23"/>
      <c r="E190" s="23"/>
    </row>
    <row r="191" spans="3:5" ht="15.75" customHeight="1" x14ac:dyDescent="0.35">
      <c r="C191" s="23"/>
      <c r="D191" s="23"/>
      <c r="E191" s="23"/>
    </row>
    <row r="192" spans="3:5" ht="15.75" customHeight="1" x14ac:dyDescent="0.35">
      <c r="C192" s="23"/>
      <c r="D192" s="23"/>
      <c r="E192" s="23"/>
    </row>
    <row r="193" spans="3:5" ht="15.75" customHeight="1" x14ac:dyDescent="0.35">
      <c r="C193" s="23"/>
      <c r="D193" s="23"/>
      <c r="E193" s="23"/>
    </row>
    <row r="194" spans="3:5" ht="15.75" customHeight="1" x14ac:dyDescent="0.35">
      <c r="C194" s="23"/>
      <c r="D194" s="23"/>
      <c r="E194" s="23"/>
    </row>
    <row r="195" spans="3:5" ht="15.75" customHeight="1" x14ac:dyDescent="0.35">
      <c r="C195" s="23"/>
      <c r="D195" s="23"/>
      <c r="E195" s="23"/>
    </row>
    <row r="196" spans="3:5" ht="15.75" customHeight="1" x14ac:dyDescent="0.35">
      <c r="C196" s="23"/>
      <c r="D196" s="23"/>
      <c r="E196" s="23"/>
    </row>
    <row r="197" spans="3:5" ht="15.75" customHeight="1" x14ac:dyDescent="0.35">
      <c r="C197" s="23"/>
      <c r="D197" s="23"/>
      <c r="E197" s="23"/>
    </row>
    <row r="198" spans="3:5" ht="15.75" customHeight="1" x14ac:dyDescent="0.35">
      <c r="C198" s="23"/>
      <c r="D198" s="23"/>
      <c r="E198" s="23"/>
    </row>
    <row r="199" spans="3:5" ht="15.75" customHeight="1" x14ac:dyDescent="0.35">
      <c r="C199" s="23"/>
      <c r="D199" s="23"/>
      <c r="E199" s="23"/>
    </row>
    <row r="200" spans="3:5" ht="15.75" customHeight="1" x14ac:dyDescent="0.35">
      <c r="C200" s="23"/>
      <c r="D200" s="23"/>
      <c r="E200" s="23"/>
    </row>
    <row r="201" spans="3:5" ht="15.75" customHeight="1" x14ac:dyDescent="0.35">
      <c r="C201" s="23"/>
      <c r="D201" s="23"/>
      <c r="E201" s="23"/>
    </row>
    <row r="202" spans="3:5" ht="15.75" customHeight="1" x14ac:dyDescent="0.35">
      <c r="C202" s="23"/>
      <c r="D202" s="23"/>
      <c r="E202" s="23"/>
    </row>
    <row r="203" spans="3:5" ht="15.75" customHeight="1" x14ac:dyDescent="0.35">
      <c r="C203" s="23"/>
      <c r="D203" s="23"/>
      <c r="E203" s="23"/>
    </row>
    <row r="204" spans="3:5" ht="15.75" customHeight="1" x14ac:dyDescent="0.35">
      <c r="C204" s="23"/>
      <c r="D204" s="23"/>
      <c r="E204" s="23"/>
    </row>
    <row r="205" spans="3:5" ht="15.75" customHeight="1" x14ac:dyDescent="0.35">
      <c r="C205" s="23"/>
      <c r="D205" s="23"/>
      <c r="E205" s="23"/>
    </row>
    <row r="206" spans="3:5" ht="15.75" customHeight="1" x14ac:dyDescent="0.35">
      <c r="C206" s="23"/>
      <c r="D206" s="23"/>
      <c r="E206" s="23"/>
    </row>
    <row r="207" spans="3:5" ht="15.75" customHeight="1" x14ac:dyDescent="0.35">
      <c r="C207" s="23"/>
      <c r="D207" s="23"/>
      <c r="E207" s="23"/>
    </row>
    <row r="208" spans="3:5" ht="15.75" customHeight="1" x14ac:dyDescent="0.35">
      <c r="C208" s="23"/>
      <c r="D208" s="23"/>
      <c r="E208" s="23"/>
    </row>
    <row r="209" spans="3:5" ht="15.75" customHeight="1" x14ac:dyDescent="0.35">
      <c r="C209" s="23"/>
      <c r="D209" s="23"/>
      <c r="E209" s="23"/>
    </row>
    <row r="210" spans="3:5" ht="15.75" customHeight="1" x14ac:dyDescent="0.35">
      <c r="C210" s="23"/>
      <c r="D210" s="23"/>
      <c r="E210" s="23"/>
    </row>
    <row r="211" spans="3:5" ht="15.75" customHeight="1" x14ac:dyDescent="0.35">
      <c r="C211" s="23"/>
      <c r="D211" s="23"/>
      <c r="E211" s="23"/>
    </row>
    <row r="212" spans="3:5" ht="15.75" customHeight="1" x14ac:dyDescent="0.35">
      <c r="C212" s="23"/>
      <c r="D212" s="23"/>
      <c r="E212" s="23"/>
    </row>
    <row r="213" spans="3:5" ht="15.75" customHeight="1" x14ac:dyDescent="0.35">
      <c r="C213" s="23"/>
      <c r="D213" s="23"/>
      <c r="E213" s="23"/>
    </row>
    <row r="214" spans="3:5" ht="15.75" customHeight="1" x14ac:dyDescent="0.35">
      <c r="C214" s="23"/>
      <c r="D214" s="23"/>
      <c r="E214" s="23"/>
    </row>
    <row r="215" spans="3:5" ht="15.75" customHeight="1" x14ac:dyDescent="0.35">
      <c r="C215" s="23"/>
      <c r="D215" s="23"/>
      <c r="E215" s="23"/>
    </row>
    <row r="216" spans="3:5" ht="15.75" customHeight="1" x14ac:dyDescent="0.35">
      <c r="C216" s="23"/>
      <c r="D216" s="23"/>
      <c r="E216" s="23"/>
    </row>
    <row r="217" spans="3:5" ht="15.75" customHeight="1" x14ac:dyDescent="0.35">
      <c r="C217" s="23"/>
      <c r="D217" s="23"/>
      <c r="E217" s="23"/>
    </row>
    <row r="218" spans="3:5" ht="15.75" customHeight="1" x14ac:dyDescent="0.35">
      <c r="C218" s="23"/>
      <c r="D218" s="23"/>
      <c r="E218" s="23"/>
    </row>
    <row r="219" spans="3:5" ht="15.75" customHeight="1" x14ac:dyDescent="0.35">
      <c r="C219" s="23"/>
      <c r="D219" s="23"/>
      <c r="E219" s="23"/>
    </row>
    <row r="220" spans="3:5" ht="15.75" customHeight="1" x14ac:dyDescent="0.35">
      <c r="C220" s="23"/>
      <c r="D220" s="23"/>
      <c r="E220" s="23"/>
    </row>
    <row r="221" spans="3:5" ht="15.75" customHeight="1" x14ac:dyDescent="0.35">
      <c r="C221" s="23"/>
      <c r="D221" s="23"/>
      <c r="E221" s="23"/>
    </row>
    <row r="222" spans="3:5" ht="15.75" customHeight="1" x14ac:dyDescent="0.35">
      <c r="C222" s="23"/>
      <c r="D222" s="23"/>
      <c r="E222" s="23"/>
    </row>
    <row r="223" spans="3:5" ht="15.75" customHeight="1" x14ac:dyDescent="0.35">
      <c r="C223" s="23"/>
      <c r="D223" s="23"/>
      <c r="E223" s="23"/>
    </row>
    <row r="224" spans="3:5" ht="15.75" customHeight="1" x14ac:dyDescent="0.35">
      <c r="C224" s="23"/>
      <c r="D224" s="23"/>
      <c r="E224" s="23"/>
    </row>
    <row r="225" spans="3:5" ht="15.75" customHeight="1" x14ac:dyDescent="0.35">
      <c r="C225" s="23"/>
      <c r="D225" s="23"/>
      <c r="E225" s="23"/>
    </row>
    <row r="226" spans="3:5" ht="15.75" customHeight="1" x14ac:dyDescent="0.35">
      <c r="C226" s="23"/>
      <c r="D226" s="23"/>
      <c r="E226" s="23"/>
    </row>
    <row r="227" spans="3:5" ht="15.75" customHeight="1" x14ac:dyDescent="0.35">
      <c r="C227" s="23"/>
      <c r="D227" s="23"/>
      <c r="E227" s="23"/>
    </row>
    <row r="228" spans="3:5" ht="15.75" customHeight="1" x14ac:dyDescent="0.35">
      <c r="C228" s="23"/>
      <c r="D228" s="23"/>
      <c r="E228" s="23"/>
    </row>
    <row r="229" spans="3:5" ht="15.75" customHeight="1" x14ac:dyDescent="0.35">
      <c r="C229" s="23"/>
      <c r="D229" s="23"/>
      <c r="E229" s="23"/>
    </row>
    <row r="230" spans="3:5" ht="15.75" customHeight="1" x14ac:dyDescent="0.35">
      <c r="C230" s="23"/>
      <c r="D230" s="23"/>
      <c r="E230" s="23"/>
    </row>
    <row r="231" spans="3:5" ht="15.75" customHeight="1" x14ac:dyDescent="0.35">
      <c r="C231" s="23"/>
      <c r="D231" s="23"/>
      <c r="E231" s="23"/>
    </row>
    <row r="232" spans="3:5" ht="15.75" customHeight="1" x14ac:dyDescent="0.35">
      <c r="C232" s="23"/>
      <c r="D232" s="23"/>
      <c r="E232" s="23"/>
    </row>
    <row r="233" spans="3:5" ht="15.75" customHeight="1" x14ac:dyDescent="0.35">
      <c r="C233" s="23"/>
      <c r="D233" s="23"/>
      <c r="E233" s="23"/>
    </row>
    <row r="234" spans="3:5" ht="15.75" customHeight="1" x14ac:dyDescent="0.35">
      <c r="C234" s="23"/>
      <c r="D234" s="23"/>
      <c r="E234" s="23"/>
    </row>
    <row r="235" spans="3:5" ht="15.75" customHeight="1" x14ac:dyDescent="0.35">
      <c r="C235" s="23"/>
      <c r="D235" s="23"/>
      <c r="E235" s="23"/>
    </row>
    <row r="236" spans="3:5" ht="15.75" customHeight="1" x14ac:dyDescent="0.35">
      <c r="C236" s="23"/>
      <c r="D236" s="23"/>
      <c r="E236" s="23"/>
    </row>
    <row r="237" spans="3:5" ht="15.75" customHeight="1" x14ac:dyDescent="0.35">
      <c r="C237" s="23"/>
      <c r="D237" s="23"/>
      <c r="E237" s="23"/>
    </row>
    <row r="238" spans="3:5" ht="15.75" customHeight="1" x14ac:dyDescent="0.35">
      <c r="C238" s="23"/>
      <c r="D238" s="23"/>
      <c r="E238" s="23"/>
    </row>
    <row r="239" spans="3:5" ht="15.75" customHeight="1" x14ac:dyDescent="0.35">
      <c r="C239" s="23"/>
      <c r="D239" s="23"/>
      <c r="E239" s="23"/>
    </row>
    <row r="240" spans="3:5" ht="15.75" customHeight="1" x14ac:dyDescent="0.35">
      <c r="C240" s="23"/>
      <c r="D240" s="23"/>
      <c r="E240" s="23"/>
    </row>
    <row r="241" spans="3:5" ht="15.75" customHeight="1" x14ac:dyDescent="0.35">
      <c r="C241" s="23"/>
      <c r="D241" s="23"/>
      <c r="E241" s="23"/>
    </row>
    <row r="242" spans="3:5" ht="15.75" customHeight="1" x14ac:dyDescent="0.35">
      <c r="C242" s="23"/>
      <c r="D242" s="23"/>
      <c r="E242" s="23"/>
    </row>
    <row r="243" spans="3:5" ht="15.75" customHeight="1" x14ac:dyDescent="0.35">
      <c r="C243" s="23"/>
      <c r="D243" s="23"/>
      <c r="E243" s="23"/>
    </row>
    <row r="244" spans="3:5" ht="15.75" customHeight="1" x14ac:dyDescent="0.35">
      <c r="C244" s="23"/>
      <c r="D244" s="23"/>
      <c r="E244" s="23"/>
    </row>
    <row r="245" spans="3:5" ht="15.75" customHeight="1" x14ac:dyDescent="0.35">
      <c r="C245" s="23"/>
      <c r="D245" s="23"/>
      <c r="E245" s="23"/>
    </row>
    <row r="246" spans="3:5" ht="15.75" customHeight="1" x14ac:dyDescent="0.35">
      <c r="C246" s="23"/>
      <c r="D246" s="23"/>
      <c r="E246" s="23"/>
    </row>
    <row r="247" spans="3:5" ht="15.75" customHeight="1" x14ac:dyDescent="0.35">
      <c r="C247" s="23"/>
      <c r="D247" s="23"/>
      <c r="E247" s="23"/>
    </row>
    <row r="248" spans="3:5" ht="15.75" customHeight="1" x14ac:dyDescent="0.35">
      <c r="C248" s="23"/>
      <c r="D248" s="23"/>
      <c r="E248" s="23"/>
    </row>
    <row r="249" spans="3:5" ht="15.75" customHeight="1" x14ac:dyDescent="0.35">
      <c r="C249" s="23"/>
      <c r="D249" s="23"/>
      <c r="E249" s="23"/>
    </row>
    <row r="250" spans="3:5" ht="15.75" customHeight="1" x14ac:dyDescent="0.35">
      <c r="C250" s="23"/>
      <c r="D250" s="23"/>
      <c r="E250" s="23"/>
    </row>
    <row r="251" spans="3:5" ht="15.75" customHeight="1" x14ac:dyDescent="0.35">
      <c r="C251" s="23"/>
      <c r="D251" s="23"/>
      <c r="E251" s="23"/>
    </row>
    <row r="252" spans="3:5" ht="15.75" customHeight="1" x14ac:dyDescent="0.35">
      <c r="C252" s="23"/>
      <c r="D252" s="23"/>
      <c r="E252" s="23"/>
    </row>
    <row r="253" spans="3:5" ht="15.75" customHeight="1" x14ac:dyDescent="0.35">
      <c r="C253" s="23"/>
      <c r="D253" s="23"/>
      <c r="E253" s="23"/>
    </row>
    <row r="254" spans="3:5" ht="15.75" customHeight="1" x14ac:dyDescent="0.35"/>
    <row r="255" spans="3:5" ht="15.75" customHeight="1" x14ac:dyDescent="0.35"/>
    <row r="256" spans="3:5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conditionalFormatting sqref="C23:EL24">
    <cfRule type="cellIs" dxfId="5" priority="1" operator="greaterThan">
      <formula>500000</formula>
    </cfRule>
    <cfRule type="cellIs" dxfId="4" priority="2" operator="lessThan">
      <formula>0</formula>
    </cfRule>
  </conditionalFormatting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964"/>
  <sheetViews>
    <sheetView workbookViewId="0">
      <pane ySplit="2" topLeftCell="A3" activePane="bottomLeft" state="frozen"/>
      <selection pane="bottomLeft" activeCell="C12" sqref="C12"/>
    </sheetView>
  </sheetViews>
  <sheetFormatPr defaultColWidth="14.453125" defaultRowHeight="15" customHeight="1" x14ac:dyDescent="0.35"/>
  <cols>
    <col min="1" max="1" width="14.7265625" customWidth="1"/>
    <col min="2" max="3" width="8.7265625" customWidth="1"/>
    <col min="4" max="6" width="15.81640625" customWidth="1"/>
    <col min="7" max="10" width="8.7265625" customWidth="1"/>
  </cols>
  <sheetData>
    <row r="2" spans="1:10" ht="14.5" x14ac:dyDescent="0.35">
      <c r="A2" s="32" t="s">
        <v>36</v>
      </c>
      <c r="B2" s="52" t="s">
        <v>37</v>
      </c>
      <c r="C2" s="52" t="s">
        <v>38</v>
      </c>
      <c r="D2" s="52" t="s">
        <v>39</v>
      </c>
      <c r="E2" s="52" t="s">
        <v>40</v>
      </c>
      <c r="F2" s="52" t="s">
        <v>41</v>
      </c>
      <c r="H2" s="3"/>
    </row>
    <row r="3" spans="1:10" ht="15.75" customHeight="1" x14ac:dyDescent="0.35">
      <c r="A3" s="5">
        <v>46024</v>
      </c>
      <c r="B3" s="3">
        <v>2026</v>
      </c>
      <c r="C3" s="3">
        <v>1</v>
      </c>
      <c r="D3" s="23">
        <f>SUMIFS('AR Aging 20260320'!$H:$H,'AR Aging 20260320'!$J:$J,$B3,'AR Aging 20260320'!$K:$K,$C3)+SUMIFS(Bookings!$E:$E,Bookings!$L:$L,$B3,Bookings!$K:$K,$C3)</f>
        <v>300800</v>
      </c>
      <c r="E3" s="23">
        <f>SUMIFS('AR Aging 20260320'!$H:$H, 'AR Aging 20260320'!$N:$N,$C3,'AR Aging 20260320'!$M:$M,$B3)+SUMIFS(Bookings!$E:$E,Bookings!$P:$P,$B3,Bookings!$O:$O,$C3)</f>
        <v>0</v>
      </c>
      <c r="F3" s="23">
        <v>0</v>
      </c>
    </row>
    <row r="4" spans="1:10" ht="15.75" customHeight="1" x14ac:dyDescent="0.35">
      <c r="A4" s="5">
        <f t="shared" ref="A4:A67" si="0">A3+7</f>
        <v>46031</v>
      </c>
      <c r="B4" s="3">
        <v>2026</v>
      </c>
      <c r="C4" s="3">
        <v>2</v>
      </c>
      <c r="D4" s="23">
        <f>SUMIFS('AR Aging 20260320'!$H:$H,'AR Aging 20260320'!$J:$J,$B4,'AR Aging 20260320'!$K:$K,$C4)+SUMIFS(Bookings!$E:$E,Bookings!$L:$L,$B4,Bookings!$K:$K,$C4)</f>
        <v>0</v>
      </c>
      <c r="E4" s="23">
        <f>SUMIFS('AR Aging 20260320'!$H:$H, 'AR Aging 20260320'!$N:$N,$C4,'AR Aging 20260320'!$M:$M,$B4)+SUMIFS(Bookings!$E:$E,Bookings!$P:$P,$B4,Bookings!$O:$O,$C4)</f>
        <v>0</v>
      </c>
      <c r="F4" s="23">
        <v>0</v>
      </c>
      <c r="H4" s="3"/>
      <c r="I4" s="3"/>
      <c r="J4" s="3"/>
    </row>
    <row r="5" spans="1:10" ht="15.75" customHeight="1" x14ac:dyDescent="0.35">
      <c r="A5" s="5">
        <f t="shared" si="0"/>
        <v>46038</v>
      </c>
      <c r="B5" s="3">
        <v>2026</v>
      </c>
      <c r="C5" s="3">
        <v>3</v>
      </c>
      <c r="D5" s="23">
        <f>SUMIFS('AR Aging 20260320'!$H:$H,'AR Aging 20260320'!$J:$J,$B5,'AR Aging 20260320'!$K:$K,$C5)+SUMIFS(Bookings!$E:$E,Bookings!$L:$L,$B5,Bookings!$K:$K,$C5)</f>
        <v>209760</v>
      </c>
      <c r="E5" s="23">
        <f>SUMIFS('AR Aging 20260320'!$H:$H, 'AR Aging 20260320'!$N:$N,$C5,'AR Aging 20260320'!$M:$M,$B5)+SUMIFS(Bookings!$E:$E,Bookings!$P:$P,$B5,Bookings!$O:$O,$C5)</f>
        <v>297412.59999999998</v>
      </c>
      <c r="F5" s="23">
        <v>0</v>
      </c>
      <c r="H5" s="3"/>
      <c r="I5" s="3"/>
      <c r="J5" s="3"/>
    </row>
    <row r="6" spans="1:10" ht="15.75" customHeight="1" x14ac:dyDescent="0.35">
      <c r="A6" s="5">
        <f t="shared" si="0"/>
        <v>46045</v>
      </c>
      <c r="B6" s="3">
        <v>2026</v>
      </c>
      <c r="C6" s="3">
        <v>4</v>
      </c>
      <c r="D6" s="23">
        <f>SUMIFS('AR Aging 20260320'!$H:$H,'AR Aging 20260320'!$J:$J,$B6,'AR Aging 20260320'!$K:$K,$C6)+SUMIFS(Bookings!$E:$E,Bookings!$L:$L,$B6,Bookings!$K:$K,$C6)</f>
        <v>21592.9</v>
      </c>
      <c r="E6" s="23">
        <f>SUMIFS('AR Aging 20260320'!$H:$H, 'AR Aging 20260320'!$N:$N,$C6,'AR Aging 20260320'!$M:$M,$B6)+SUMIFS(Bookings!$E:$E,Bookings!$P:$P,$B6,Bookings!$O:$O,$C6)</f>
        <v>0</v>
      </c>
      <c r="F6" s="23">
        <v>0</v>
      </c>
      <c r="H6" s="3"/>
      <c r="I6" s="3"/>
      <c r="J6" s="3"/>
    </row>
    <row r="7" spans="1:10" ht="15.75" customHeight="1" x14ac:dyDescent="0.35">
      <c r="A7" s="5">
        <f t="shared" si="0"/>
        <v>46052</v>
      </c>
      <c r="B7" s="3">
        <v>2026</v>
      </c>
      <c r="C7" s="3">
        <v>5</v>
      </c>
      <c r="D7" s="23">
        <f>SUMIFS('AR Aging 20260320'!$H:$H,'AR Aging 20260320'!$J:$J,$B7,'AR Aging 20260320'!$K:$K,$C7)+SUMIFS(Bookings!$E:$E,Bookings!$L:$L,$B7,Bookings!$K:$K,$C7)</f>
        <v>419605</v>
      </c>
      <c r="E7" s="23">
        <f>SUMIFS('AR Aging 20260320'!$H:$H, 'AR Aging 20260320'!$N:$N,$C7,'AR Aging 20260320'!$M:$M,$B7)+SUMIFS(Bookings!$E:$E,Bookings!$P:$P,$B7,Bookings!$O:$O,$C7)</f>
        <v>0</v>
      </c>
      <c r="F7" s="23">
        <v>0</v>
      </c>
      <c r="H7" s="3"/>
      <c r="I7" s="3"/>
      <c r="J7" s="3"/>
    </row>
    <row r="8" spans="1:10" ht="15.75" customHeight="1" x14ac:dyDescent="0.35">
      <c r="A8" s="5">
        <f t="shared" si="0"/>
        <v>46059</v>
      </c>
      <c r="B8" s="3">
        <v>2026</v>
      </c>
      <c r="C8" s="3">
        <v>6</v>
      </c>
      <c r="D8" s="23">
        <f>SUMIFS('AR Aging 20260320'!$H:$H,'AR Aging 20260320'!$J:$J,$B8,'AR Aging 20260320'!$K:$K,$C8)+SUMIFS(Bookings!$E:$E,Bookings!$L:$L,$B8,Bookings!$K:$K,$C8)</f>
        <v>104761.60000000001</v>
      </c>
      <c r="E8" s="23">
        <f>SUMIFS('AR Aging 20260320'!$H:$H, 'AR Aging 20260320'!$N:$N,$C8,'AR Aging 20260320'!$M:$M,$B8)+SUMIFS(Bookings!$E:$E,Bookings!$P:$P,$B8,Bookings!$O:$O,$C8)</f>
        <v>0</v>
      </c>
      <c r="F8" s="23">
        <v>0</v>
      </c>
      <c r="H8" s="3"/>
      <c r="I8" s="3"/>
      <c r="J8" s="3"/>
    </row>
    <row r="9" spans="1:10" ht="15.75" customHeight="1" x14ac:dyDescent="0.35">
      <c r="A9" s="5">
        <f t="shared" si="0"/>
        <v>46066</v>
      </c>
      <c r="B9" s="3">
        <v>2026</v>
      </c>
      <c r="C9" s="3">
        <v>7</v>
      </c>
      <c r="D9" s="23">
        <f>SUMIFS('AR Aging 20260320'!$H:$H,'AR Aging 20260320'!$J:$J,$B9,'AR Aging 20260320'!$K:$K,$C9)+SUMIFS(Bookings!$E:$E,Bookings!$L:$L,$B9,Bookings!$K:$K,$C9)</f>
        <v>0</v>
      </c>
      <c r="E9" s="23">
        <f>SUMIFS('AR Aging 20260320'!$H:$H, 'AR Aging 20260320'!$N:$N,$C9,'AR Aging 20260320'!$M:$M,$B9)+SUMIFS(Bookings!$E:$E,Bookings!$P:$P,$B9,Bookings!$O:$O,$C9)</f>
        <v>272280</v>
      </c>
      <c r="F9" s="23">
        <v>0</v>
      </c>
      <c r="H9" s="3"/>
      <c r="I9" s="3"/>
      <c r="J9" s="3"/>
    </row>
    <row r="10" spans="1:10" ht="15.75" customHeight="1" x14ac:dyDescent="0.35">
      <c r="A10" s="5">
        <f t="shared" si="0"/>
        <v>46073</v>
      </c>
      <c r="B10" s="3">
        <v>2026</v>
      </c>
      <c r="C10" s="3">
        <v>8</v>
      </c>
      <c r="D10" s="23">
        <f>SUMIFS('AR Aging 20260320'!$H:$H,'AR Aging 20260320'!$J:$J,$B10,'AR Aging 20260320'!$K:$K,$C10)+SUMIFS(Bookings!$E:$E,Bookings!$L:$L,$B10,Bookings!$K:$K,$C10)</f>
        <v>412451.4</v>
      </c>
      <c r="E10" s="23">
        <f>SUMIFS('AR Aging 20260320'!$H:$H, 'AR Aging 20260320'!$N:$N,$C10,'AR Aging 20260320'!$M:$M,$B10)+SUMIFS(Bookings!$E:$E,Bookings!$P:$P,$B10,Bookings!$O:$O,$C10)</f>
        <v>33667.199999999997</v>
      </c>
      <c r="F10" s="23">
        <v>0</v>
      </c>
      <c r="H10" s="3"/>
      <c r="I10" s="3"/>
      <c r="J10" s="3"/>
    </row>
    <row r="11" spans="1:10" ht="15.75" customHeight="1" x14ac:dyDescent="0.35">
      <c r="A11" s="5">
        <f t="shared" si="0"/>
        <v>46080</v>
      </c>
      <c r="B11" s="3">
        <v>2026</v>
      </c>
      <c r="C11" s="3">
        <v>9</v>
      </c>
      <c r="D11" s="23">
        <f>SUMIFS('AR Aging 20260320'!$H:$H,'AR Aging 20260320'!$J:$J,$B11,'AR Aging 20260320'!$K:$K,$C11)+SUMIFS(Bookings!$E:$E,Bookings!$L:$L,$B11,Bookings!$K:$K,$C11)</f>
        <v>461827.26</v>
      </c>
      <c r="E11" s="23">
        <f>SUMIFS('AR Aging 20260320'!$H:$H, 'AR Aging 20260320'!$N:$N,$C11,'AR Aging 20260320'!$M:$M,$B11)+SUMIFS(Bookings!$E:$E,Bookings!$P:$P,$B11,Bookings!$O:$O,$C11)</f>
        <v>209760</v>
      </c>
      <c r="F11" s="23"/>
      <c r="H11" s="3"/>
      <c r="I11" s="3"/>
      <c r="J11" s="3"/>
    </row>
    <row r="12" spans="1:10" ht="15.75" customHeight="1" x14ac:dyDescent="0.35">
      <c r="A12" s="5">
        <f t="shared" si="0"/>
        <v>46087</v>
      </c>
      <c r="B12" s="3">
        <v>2026</v>
      </c>
      <c r="C12" s="3">
        <v>10</v>
      </c>
      <c r="D12" s="23">
        <f>SUMIFS('AR Aging 20260320'!$H:$H,'AR Aging 20260320'!$J:$J,$B12,'AR Aging 20260320'!$K:$K,$C12)+SUMIFS(Bookings!$E:$E,Bookings!$L:$L,$B12,Bookings!$K:$K,$C12)</f>
        <v>222163.5</v>
      </c>
      <c r="E12" s="23">
        <f>SUMIFS('AR Aging 20260320'!$H:$H, 'AR Aging 20260320'!$N:$N,$C12,'AR Aging 20260320'!$M:$M,$B12)+SUMIFS(Bookings!$E:$E,Bookings!$P:$P,$B12,Bookings!$O:$O,$C12)</f>
        <v>0</v>
      </c>
      <c r="F12" s="23"/>
      <c r="H12" s="3"/>
      <c r="I12" s="3"/>
      <c r="J12" s="3"/>
    </row>
    <row r="13" spans="1:10" ht="15.75" customHeight="1" x14ac:dyDescent="0.35">
      <c r="A13" s="5">
        <f t="shared" si="0"/>
        <v>46094</v>
      </c>
      <c r="B13" s="3">
        <v>2026</v>
      </c>
      <c r="C13" s="3">
        <v>11</v>
      </c>
      <c r="D13" s="23">
        <f>SUMIFS('AR Aging 20260320'!$H:$H,'AR Aging 20260320'!$J:$J,$B13,'AR Aging 20260320'!$K:$K,$C13)+SUMIFS(Bookings!$E:$E,Bookings!$L:$L,$B13,Bookings!$K:$K,$C13)</f>
        <v>1128000</v>
      </c>
      <c r="E13" s="23">
        <f>SUMIFS('AR Aging 20260320'!$H:$H, 'AR Aging 20260320'!$N:$N,$C13,'AR Aging 20260320'!$M:$M,$B13)+SUMIFS(Bookings!$E:$E,Bookings!$P:$P,$B13,Bookings!$O:$O,$C13)</f>
        <v>4315.72</v>
      </c>
      <c r="F13" s="23"/>
      <c r="H13" s="3"/>
      <c r="I13" s="3"/>
      <c r="J13" s="3"/>
    </row>
    <row r="14" spans="1:10" ht="15.75" customHeight="1" x14ac:dyDescent="0.35">
      <c r="A14" s="5">
        <f t="shared" si="0"/>
        <v>46101</v>
      </c>
      <c r="B14" s="3">
        <v>2026</v>
      </c>
      <c r="C14" s="3">
        <v>12</v>
      </c>
      <c r="D14" s="23">
        <f>SUMIFS('AR Aging 20260320'!$H:$H,'AR Aging 20260320'!$J:$J,$B14,'AR Aging 20260320'!$K:$K,$C14)+SUMIFS(Bookings!$E:$E,Bookings!$L:$L,$B14,Bookings!$K:$K,$C14)</f>
        <v>347953</v>
      </c>
      <c r="E14" s="23">
        <f>SUMIFS('AR Aging 20260320'!$H:$H, 'AR Aging 20260320'!$N:$N,$C14,'AR Aging 20260320'!$M:$M,$B14)+SUMIFS(Bookings!$E:$E,Bookings!$P:$P,$B14,Bookings!$O:$O,$C14)</f>
        <v>80420</v>
      </c>
      <c r="F14" s="23"/>
      <c r="H14" s="3"/>
      <c r="I14" s="3"/>
      <c r="J14" s="3"/>
    </row>
    <row r="15" spans="1:10" ht="15.75" customHeight="1" x14ac:dyDescent="0.35">
      <c r="A15" s="5">
        <f t="shared" si="0"/>
        <v>46108</v>
      </c>
      <c r="B15" s="3">
        <v>2026</v>
      </c>
      <c r="C15" s="3">
        <v>13</v>
      </c>
      <c r="D15" s="23">
        <f>SUMIFS('AR Aging 20260320'!$H:$H,'AR Aging 20260320'!$J:$J,$B15,'AR Aging 20260320'!$K:$K,$C15)+SUMIFS(Bookings!$E:$E,Bookings!$L:$L,$B15,Bookings!$K:$K,$C15)</f>
        <v>1036710.265</v>
      </c>
      <c r="E15" s="23">
        <f>SUMIFS('AR Aging 20260320'!$H:$H, 'AR Aging 20260320'!$N:$N,$C15,'AR Aging 20260320'!$M:$M,$B15)+SUMIFS(Bookings!$E:$E,Bookings!$P:$P,$B15,Bookings!$O:$O,$C15)</f>
        <v>172530</v>
      </c>
      <c r="F15" s="23"/>
      <c r="H15" s="3"/>
      <c r="I15" s="3"/>
      <c r="J15" s="3"/>
    </row>
    <row r="16" spans="1:10" ht="15.75" customHeight="1" x14ac:dyDescent="0.35">
      <c r="A16" s="5">
        <f t="shared" si="0"/>
        <v>46115</v>
      </c>
      <c r="B16" s="3">
        <v>2026</v>
      </c>
      <c r="C16" s="3">
        <v>14</v>
      </c>
      <c r="D16" s="23">
        <f>SUMIFS('AR Aging 20260320'!$H:$H,'AR Aging 20260320'!$J:$J,$B16,'AR Aging 20260320'!$K:$K,$C16)+SUMIFS(Bookings!$E:$E,Bookings!$L:$L,$B16,Bookings!$K:$K,$C16)</f>
        <v>1904566.67</v>
      </c>
      <c r="E16" s="23">
        <f>SUMIFS('AR Aging 20260320'!$H:$H, 'AR Aging 20260320'!$N:$N,$C16,'AR Aging 20260320'!$M:$M,$B16)+SUMIFS(Bookings!$E:$E,Bookings!$P:$P,$B16,Bookings!$O:$O,$C16)</f>
        <v>368726.4</v>
      </c>
      <c r="F16" s="23">
        <v>9461542.9700000007</v>
      </c>
      <c r="H16" s="3"/>
      <c r="I16" s="3"/>
      <c r="J16" s="3"/>
    </row>
    <row r="17" spans="1:10" ht="15.75" customHeight="1" x14ac:dyDescent="0.35">
      <c r="A17" s="5">
        <f t="shared" si="0"/>
        <v>46122</v>
      </c>
      <c r="B17" s="3">
        <v>2026</v>
      </c>
      <c r="C17" s="3">
        <v>15</v>
      </c>
      <c r="D17" s="23">
        <f>SUMIFS('AR Aging 20260320'!$H:$H,'AR Aging 20260320'!$J:$J,$B17,'AR Aging 20260320'!$K:$K,$C17)+SUMIFS(Bookings!$E:$E,Bookings!$L:$L,$B17,Bookings!$K:$K,$C17)</f>
        <v>0</v>
      </c>
      <c r="E17" s="23">
        <f>SUMIFS('AR Aging 20260320'!$H:$H, 'AR Aging 20260320'!$N:$N,$C17,'AR Aging 20260320'!$M:$M,$B17)+SUMIFS(Bookings!$E:$E,Bookings!$P:$P,$B17,Bookings!$O:$O,$C17)</f>
        <v>41126.660000000003</v>
      </c>
      <c r="F17" s="23">
        <f t="shared" ref="F17:F55" si="1">F16+D17-E17</f>
        <v>9420416.3100000005</v>
      </c>
      <c r="H17" s="3"/>
      <c r="I17" s="3"/>
      <c r="J17" s="3"/>
    </row>
    <row r="18" spans="1:10" ht="15.75" customHeight="1" x14ac:dyDescent="0.35">
      <c r="A18" s="5">
        <f t="shared" si="0"/>
        <v>46129</v>
      </c>
      <c r="B18" s="3">
        <v>2026</v>
      </c>
      <c r="C18" s="3">
        <v>16</v>
      </c>
      <c r="D18" s="23">
        <f>SUMIFS('AR Aging 20260320'!$H:$H,'AR Aging 20260320'!$J:$J,$B18,'AR Aging 20260320'!$K:$K,$C18)+SUMIFS(Bookings!$E:$E,Bookings!$L:$L,$B18,Bookings!$K:$K,$C18)</f>
        <v>946169.80618499999</v>
      </c>
      <c r="E18" s="23">
        <f>SUMIFS('AR Aging 20260320'!$H:$H, 'AR Aging 20260320'!$N:$N,$C18,'AR Aging 20260320'!$M:$M,$B18)+SUMIFS(Bookings!$E:$E,Bookings!$P:$P,$B18,Bookings!$O:$O,$C18)</f>
        <v>285706.8</v>
      </c>
      <c r="F18" s="23">
        <f t="shared" si="1"/>
        <v>10080879.316184999</v>
      </c>
      <c r="H18" s="3"/>
      <c r="I18" s="3"/>
      <c r="J18" s="3"/>
    </row>
    <row r="19" spans="1:10" ht="15.75" customHeight="1" x14ac:dyDescent="0.35">
      <c r="A19" s="5">
        <f t="shared" si="0"/>
        <v>46136</v>
      </c>
      <c r="B19" s="3">
        <v>2026</v>
      </c>
      <c r="C19" s="3">
        <v>17</v>
      </c>
      <c r="D19" s="23">
        <f>SUMIFS('AR Aging 20260320'!$H:$H,'AR Aging 20260320'!$J:$J,$B19,'AR Aging 20260320'!$K:$K,$C19)+SUMIFS(Bookings!$E:$E,Bookings!$L:$L,$B19,Bookings!$K:$K,$C19)</f>
        <v>267244.5</v>
      </c>
      <c r="E19" s="23">
        <f>SUMIFS('AR Aging 20260320'!$H:$H, 'AR Aging 20260320'!$N:$N,$C19,'AR Aging 20260320'!$M:$M,$B19)+SUMIFS(Bookings!$E:$E,Bookings!$P:$P,$B19,Bookings!$O:$O,$C19)</f>
        <v>11000</v>
      </c>
      <c r="F19" s="23">
        <f t="shared" si="1"/>
        <v>10337123.816184999</v>
      </c>
      <c r="H19" s="3"/>
      <c r="I19" s="3"/>
      <c r="J19" s="3"/>
    </row>
    <row r="20" spans="1:10" ht="15.75" customHeight="1" x14ac:dyDescent="0.35">
      <c r="A20" s="5">
        <f t="shared" si="0"/>
        <v>46143</v>
      </c>
      <c r="B20" s="3">
        <v>2026</v>
      </c>
      <c r="C20" s="3">
        <v>18</v>
      </c>
      <c r="D20" s="23">
        <f>SUMIFS('AR Aging 20260320'!$H:$H,'AR Aging 20260320'!$J:$J,$B20,'AR Aging 20260320'!$K:$K,$C20)+SUMIFS(Bookings!$E:$E,Bookings!$L:$L,$B20,Bookings!$K:$K,$C20)</f>
        <v>5692757.0700000003</v>
      </c>
      <c r="E20" s="23">
        <f>SUMIFS('AR Aging 20260320'!$H:$H, 'AR Aging 20260320'!$N:$N,$C20,'AR Aging 20260320'!$M:$M,$B20)+SUMIFS(Bookings!$E:$E,Bookings!$P:$P,$B20,Bookings!$O:$O,$C20)</f>
        <v>430690.5</v>
      </c>
      <c r="F20" s="23">
        <f t="shared" si="1"/>
        <v>15599190.386185</v>
      </c>
      <c r="H20" s="3"/>
      <c r="I20" s="3"/>
      <c r="J20" s="3"/>
    </row>
    <row r="21" spans="1:10" ht="15.75" customHeight="1" x14ac:dyDescent="0.35">
      <c r="A21" s="5">
        <f t="shared" si="0"/>
        <v>46150</v>
      </c>
      <c r="B21" s="3">
        <v>2026</v>
      </c>
      <c r="C21" s="3">
        <v>19</v>
      </c>
      <c r="D21" s="23">
        <f>SUMIFS('AR Aging 20260320'!$H:$H,'AR Aging 20260320'!$J:$J,$B21,'AR Aging 20260320'!$K:$K,$C21)+SUMIFS(Bookings!$E:$E,Bookings!$L:$L,$B21,Bookings!$K:$K,$C21)</f>
        <v>0</v>
      </c>
      <c r="E21" s="23">
        <f>SUMIFS('AR Aging 20260320'!$H:$H, 'AR Aging 20260320'!$N:$N,$C21,'AR Aging 20260320'!$M:$M,$B21)+SUMIFS(Bookings!$E:$E,Bookings!$P:$P,$B21,Bookings!$O:$O,$C21)</f>
        <v>1398444.165</v>
      </c>
      <c r="F21" s="23">
        <f t="shared" si="1"/>
        <v>14200746.221184999</v>
      </c>
      <c r="H21" s="3"/>
      <c r="I21" s="3"/>
      <c r="J21" s="3"/>
    </row>
    <row r="22" spans="1:10" ht="15.75" customHeight="1" x14ac:dyDescent="0.35">
      <c r="A22" s="5">
        <f t="shared" si="0"/>
        <v>46157</v>
      </c>
      <c r="B22" s="3">
        <v>2026</v>
      </c>
      <c r="C22" s="2">
        <v>20</v>
      </c>
      <c r="D22" s="23">
        <f>SUMIFS('AR Aging 20260320'!$H:$H,'AR Aging 20260320'!$J:$J,$B22,'AR Aging 20260320'!$K:$K,$C22)+SUMIFS(Bookings!$E:$E,Bookings!$L:$L,$B22,Bookings!$K:$K,$C22)</f>
        <v>0</v>
      </c>
      <c r="E22" s="23">
        <f>SUMIFS('AR Aging 20260320'!$H:$H, 'AR Aging 20260320'!$N:$N,$C22,'AR Aging 20260320'!$M:$M,$B22)+SUMIFS(Bookings!$E:$E,Bookings!$P:$P,$B22,Bookings!$O:$O,$C22)</f>
        <v>981511.67</v>
      </c>
      <c r="F22" s="23">
        <f t="shared" si="1"/>
        <v>13219234.551184999</v>
      </c>
      <c r="H22" s="3"/>
      <c r="I22" s="3"/>
      <c r="J22" s="3"/>
    </row>
    <row r="23" spans="1:10" ht="15.75" customHeight="1" x14ac:dyDescent="0.35">
      <c r="A23" s="5">
        <f t="shared" si="0"/>
        <v>46164</v>
      </c>
      <c r="B23" s="3">
        <v>2026</v>
      </c>
      <c r="C23" s="2">
        <v>21</v>
      </c>
      <c r="D23" s="23">
        <f>SUMIFS('AR Aging 20260320'!$H:$H,'AR Aging 20260320'!$J:$J,$B23,'AR Aging 20260320'!$K:$K,$C23)+SUMIFS(Bookings!$E:$E,Bookings!$L:$L,$B23,Bookings!$K:$K,$C23)</f>
        <v>0</v>
      </c>
      <c r="E23" s="23">
        <f>SUMIFS('AR Aging 20260320'!$H:$H, 'AR Aging 20260320'!$N:$N,$C23,'AR Aging 20260320'!$M:$M,$B23)+SUMIFS(Bookings!$E:$E,Bookings!$P:$P,$B23,Bookings!$O:$O,$C23)</f>
        <v>0</v>
      </c>
      <c r="F23" s="23">
        <f t="shared" si="1"/>
        <v>13219234.551184999</v>
      </c>
      <c r="H23" s="3"/>
      <c r="I23" s="3"/>
      <c r="J23" s="3"/>
    </row>
    <row r="24" spans="1:10" ht="15.75" customHeight="1" x14ac:dyDescent="0.35">
      <c r="A24" s="5">
        <f t="shared" si="0"/>
        <v>46171</v>
      </c>
      <c r="B24" s="3">
        <v>2026</v>
      </c>
      <c r="C24" s="2">
        <v>22</v>
      </c>
      <c r="D24" s="23">
        <f>SUMIFS('AR Aging 20260320'!$H:$H,'AR Aging 20260320'!$J:$J,$B24,'AR Aging 20260320'!$K:$K,$C24)+SUMIFS(Bookings!$E:$E,Bookings!$L:$L,$B24,Bookings!$K:$K,$C24)</f>
        <v>0</v>
      </c>
      <c r="E24" s="23">
        <f>SUMIFS('AR Aging 20260320'!$H:$H, 'AR Aging 20260320'!$N:$N,$C24,'AR Aging 20260320'!$M:$M,$B24)+SUMIFS(Bookings!$E:$E,Bookings!$P:$P,$B24,Bookings!$O:$O,$C24)</f>
        <v>2522706.8061850001</v>
      </c>
      <c r="F24" s="23">
        <f t="shared" si="1"/>
        <v>10696527.744999999</v>
      </c>
    </row>
    <row r="25" spans="1:10" ht="15.75" customHeight="1" x14ac:dyDescent="0.35">
      <c r="A25" s="5">
        <f t="shared" si="0"/>
        <v>46178</v>
      </c>
      <c r="B25" s="3">
        <v>2026</v>
      </c>
      <c r="C25" s="2">
        <v>23</v>
      </c>
      <c r="D25" s="23">
        <f>SUMIFS('AR Aging 20260320'!$H:$H,'AR Aging 20260320'!$J:$J,$B25,'AR Aging 20260320'!$K:$K,$C25)+SUMIFS(Bookings!$E:$E,Bookings!$L:$L,$B25,Bookings!$K:$K,$C25)</f>
        <v>6768980.25</v>
      </c>
      <c r="E25" s="23">
        <f>SUMIFS('AR Aging 20260320'!$H:$H, 'AR Aging 20260320'!$N:$N,$C25,'AR Aging 20260320'!$M:$M,$B25)+SUMIFS(Bookings!$E:$E,Bookings!$P:$P,$B25,Bookings!$O:$O,$C25)</f>
        <v>177216.75</v>
      </c>
      <c r="F25" s="23">
        <f t="shared" si="1"/>
        <v>17288291.244999997</v>
      </c>
    </row>
    <row r="26" spans="1:10" ht="15.75" customHeight="1" x14ac:dyDescent="0.35">
      <c r="A26" s="5">
        <f t="shared" si="0"/>
        <v>46185</v>
      </c>
      <c r="B26" s="3">
        <v>2026</v>
      </c>
      <c r="C26" s="2">
        <v>24</v>
      </c>
      <c r="D26" s="23">
        <f>SUMIFS('AR Aging 20260320'!$H:$H,'AR Aging 20260320'!$J:$J,$B26,'AR Aging 20260320'!$K:$K,$C26)+SUMIFS(Bookings!$E:$E,Bookings!$L:$L,$B26,Bookings!$K:$K,$C26)</f>
        <v>0</v>
      </c>
      <c r="E26" s="23">
        <f>SUMIFS('AR Aging 20260320'!$H:$H, 'AR Aging 20260320'!$N:$N,$C26,'AR Aging 20260320'!$M:$M,$B26)+SUMIFS(Bookings!$E:$E,Bookings!$P:$P,$B26,Bookings!$O:$O,$C26)</f>
        <v>2735404.4499999997</v>
      </c>
      <c r="F26" s="23">
        <f t="shared" si="1"/>
        <v>14552886.794999998</v>
      </c>
    </row>
    <row r="27" spans="1:10" ht="15.75" customHeight="1" x14ac:dyDescent="0.35">
      <c r="A27" s="5">
        <f t="shared" si="0"/>
        <v>46192</v>
      </c>
      <c r="B27" s="3">
        <v>2026</v>
      </c>
      <c r="C27" s="2">
        <v>25</v>
      </c>
      <c r="D27" s="23">
        <f>SUMIFS('AR Aging 20260320'!$H:$H,'AR Aging 20260320'!$J:$J,$B27,'AR Aging 20260320'!$K:$K,$C27)+SUMIFS(Bookings!$E:$E,Bookings!$L:$L,$B27,Bookings!$K:$K,$C27)</f>
        <v>0</v>
      </c>
      <c r="E27" s="23">
        <f>SUMIFS('AR Aging 20260320'!$H:$H, 'AR Aging 20260320'!$N:$N,$C27,'AR Aging 20260320'!$M:$M,$B27)+SUMIFS(Bookings!$E:$E,Bookings!$P:$P,$B27,Bookings!$O:$O,$C27)</f>
        <v>49761.599999999999</v>
      </c>
      <c r="F27" s="23">
        <f t="shared" si="1"/>
        <v>14503125.194999998</v>
      </c>
    </row>
    <row r="28" spans="1:10" ht="15.75" customHeight="1" x14ac:dyDescent="0.35">
      <c r="A28" s="5">
        <f t="shared" si="0"/>
        <v>46199</v>
      </c>
      <c r="B28" s="3">
        <v>2026</v>
      </c>
      <c r="C28" s="2">
        <v>26</v>
      </c>
      <c r="D28" s="23">
        <f>SUMIFS('AR Aging 20260320'!$H:$H,'AR Aging 20260320'!$J:$J,$B28,'AR Aging 20260320'!$K:$K,$C28)+SUMIFS(Bookings!$E:$E,Bookings!$L:$L,$B28,Bookings!$K:$K,$C28)</f>
        <v>0</v>
      </c>
      <c r="E28" s="23">
        <f>SUMIFS('AR Aging 20260320'!$H:$H, 'AR Aging 20260320'!$N:$N,$C28,'AR Aging 20260320'!$M:$M,$B28)+SUMIFS(Bookings!$E:$E,Bookings!$P:$P,$B28,Bookings!$O:$O,$C28)</f>
        <v>0</v>
      </c>
      <c r="F28" s="23">
        <f t="shared" si="1"/>
        <v>14503125.194999998</v>
      </c>
    </row>
    <row r="29" spans="1:10" ht="15.75" customHeight="1" x14ac:dyDescent="0.35">
      <c r="A29" s="5">
        <f t="shared" si="0"/>
        <v>46206</v>
      </c>
      <c r="B29" s="3">
        <v>2026</v>
      </c>
      <c r="C29" s="2">
        <v>27</v>
      </c>
      <c r="D29" s="23">
        <f>SUMIFS('AR Aging 20260320'!$H:$H,'AR Aging 20260320'!$J:$J,$B29,'AR Aging 20260320'!$K:$K,$C29)+SUMIFS(Bookings!$E:$E,Bookings!$L:$L,$B29,Bookings!$K:$K,$C29)</f>
        <v>7441756.25</v>
      </c>
      <c r="E29" s="23">
        <f>SUMIFS('AR Aging 20260320'!$H:$H, 'AR Aging 20260320'!$N:$N,$C29,'AR Aging 20260320'!$M:$M,$B29)+SUMIFS(Bookings!$E:$E,Bookings!$P:$P,$B29,Bookings!$O:$O,$C29)</f>
        <v>2914366.75</v>
      </c>
      <c r="F29" s="23">
        <f t="shared" si="1"/>
        <v>19030514.695</v>
      </c>
    </row>
    <row r="30" spans="1:10" ht="15.75" customHeight="1" x14ac:dyDescent="0.35">
      <c r="A30" s="5">
        <f t="shared" si="0"/>
        <v>46213</v>
      </c>
      <c r="B30" s="3">
        <v>2026</v>
      </c>
      <c r="C30" s="2">
        <v>28</v>
      </c>
      <c r="D30" s="23">
        <f>SUMIFS('AR Aging 20260320'!$H:$H,'AR Aging 20260320'!$J:$J,$B30,'AR Aging 20260320'!$K:$K,$C30)+SUMIFS(Bookings!$E:$E,Bookings!$L:$L,$B30,Bookings!$K:$K,$C30)</f>
        <v>0</v>
      </c>
      <c r="E30" s="23">
        <f>SUMIFS('AR Aging 20260320'!$H:$H, 'AR Aging 20260320'!$N:$N,$C30,'AR Aging 20260320'!$M:$M,$B30)+SUMIFS(Bookings!$E:$E,Bookings!$P:$P,$B30,Bookings!$O:$O,$C30)</f>
        <v>307517</v>
      </c>
      <c r="F30" s="23">
        <f t="shared" si="1"/>
        <v>18722997.695</v>
      </c>
    </row>
    <row r="31" spans="1:10" ht="15.75" customHeight="1" x14ac:dyDescent="0.35">
      <c r="A31" s="5">
        <f t="shared" si="0"/>
        <v>46220</v>
      </c>
      <c r="B31" s="3">
        <v>2026</v>
      </c>
      <c r="C31" s="2">
        <v>29</v>
      </c>
      <c r="D31" s="23">
        <f>SUMIFS('AR Aging 20260320'!$H:$H,'AR Aging 20260320'!$J:$J,$B31,'AR Aging 20260320'!$K:$K,$C31)+SUMIFS(Bookings!$E:$E,Bookings!$L:$L,$B31,Bookings!$K:$K,$C31)</f>
        <v>0</v>
      </c>
      <c r="E31" s="23">
        <f>SUMIFS('AR Aging 20260320'!$H:$H, 'AR Aging 20260320'!$N:$N,$C31,'AR Aging 20260320'!$M:$M,$B31)+SUMIFS(Bookings!$E:$E,Bookings!$P:$P,$B31,Bookings!$O:$O,$C31)</f>
        <v>2467646.62</v>
      </c>
      <c r="F31" s="23">
        <f t="shared" si="1"/>
        <v>16255351.074999999</v>
      </c>
    </row>
    <row r="32" spans="1:10" ht="15.75" customHeight="1" x14ac:dyDescent="0.35">
      <c r="A32" s="5">
        <f t="shared" si="0"/>
        <v>46227</v>
      </c>
      <c r="B32" s="3">
        <v>2026</v>
      </c>
      <c r="C32" s="2">
        <v>30</v>
      </c>
      <c r="D32" s="23">
        <f>SUMIFS('AR Aging 20260320'!$H:$H,'AR Aging 20260320'!$J:$J,$B32,'AR Aging 20260320'!$K:$K,$C32)+SUMIFS(Bookings!$E:$E,Bookings!$L:$L,$B32,Bookings!$K:$K,$C32)</f>
        <v>0</v>
      </c>
      <c r="E32" s="23">
        <f>SUMIFS('AR Aging 20260320'!$H:$H, 'AR Aging 20260320'!$N:$N,$C32,'AR Aging 20260320'!$M:$M,$B32)+SUMIFS(Bookings!$E:$E,Bookings!$P:$P,$B32,Bookings!$O:$O,$C32)</f>
        <v>0</v>
      </c>
      <c r="F32" s="23">
        <f t="shared" si="1"/>
        <v>16255351.074999999</v>
      </c>
    </row>
    <row r="33" spans="1:6" ht="15.75" customHeight="1" x14ac:dyDescent="0.35">
      <c r="A33" s="5">
        <f t="shared" si="0"/>
        <v>46234</v>
      </c>
      <c r="B33" s="3">
        <v>2026</v>
      </c>
      <c r="C33" s="2">
        <v>31</v>
      </c>
      <c r="D33" s="23">
        <f>SUMIFS('AR Aging 20260320'!$H:$H,'AR Aging 20260320'!$J:$J,$B33,'AR Aging 20260320'!$K:$K,$C33)+SUMIFS(Bookings!$E:$E,Bookings!$L:$L,$B33,Bookings!$K:$K,$C33)</f>
        <v>6300575.0999999996</v>
      </c>
      <c r="E33" s="23">
        <f>SUMIFS('AR Aging 20260320'!$H:$H, 'AR Aging 20260320'!$N:$N,$C33,'AR Aging 20260320'!$M:$M,$B33)+SUMIFS(Bookings!$E:$E,Bookings!$P:$P,$B33,Bookings!$O:$O,$C33)</f>
        <v>3802824.75</v>
      </c>
      <c r="F33" s="23">
        <f t="shared" si="1"/>
        <v>18753101.424999997</v>
      </c>
    </row>
    <row r="34" spans="1:6" ht="15.75" customHeight="1" x14ac:dyDescent="0.35">
      <c r="A34" s="5">
        <f t="shared" si="0"/>
        <v>46241</v>
      </c>
      <c r="B34" s="3">
        <v>2026</v>
      </c>
      <c r="C34" s="2">
        <v>32</v>
      </c>
      <c r="D34" s="23">
        <f>SUMIFS('AR Aging 20260320'!$H:$H,'AR Aging 20260320'!$J:$J,$B34,'AR Aging 20260320'!$K:$K,$C34)+SUMIFS(Bookings!$E:$E,Bookings!$L:$L,$B34,Bookings!$K:$K,$C34)</f>
        <v>0</v>
      </c>
      <c r="E34" s="23">
        <f>SUMIFS('AR Aging 20260320'!$H:$H, 'AR Aging 20260320'!$N:$N,$C34,'AR Aging 20260320'!$M:$M,$B34)+SUMIFS(Bookings!$E:$E,Bookings!$P:$P,$B34,Bookings!$O:$O,$C34)</f>
        <v>282700.5</v>
      </c>
      <c r="F34" s="23">
        <f t="shared" si="1"/>
        <v>18470400.924999997</v>
      </c>
    </row>
    <row r="35" spans="1:6" ht="15.75" customHeight="1" x14ac:dyDescent="0.35">
      <c r="A35" s="5">
        <f t="shared" si="0"/>
        <v>46248</v>
      </c>
      <c r="B35" s="3">
        <v>2026</v>
      </c>
      <c r="C35" s="2">
        <v>33</v>
      </c>
      <c r="D35" s="23">
        <f>SUMIFS('AR Aging 20260320'!$H:$H,'AR Aging 20260320'!$J:$J,$B35,'AR Aging 20260320'!$K:$K,$C35)+SUMIFS(Bookings!$E:$E,Bookings!$L:$L,$B35,Bookings!$K:$K,$C35)</f>
        <v>0</v>
      </c>
      <c r="E35" s="23">
        <f>SUMIFS('AR Aging 20260320'!$H:$H, 'AR Aging 20260320'!$N:$N,$C35,'AR Aging 20260320'!$M:$M,$B35)+SUMIFS(Bookings!$E:$E,Bookings!$P:$P,$B35,Bookings!$O:$O,$C35)</f>
        <v>2554433.4</v>
      </c>
      <c r="F35" s="23">
        <f t="shared" si="1"/>
        <v>15915967.524999997</v>
      </c>
    </row>
    <row r="36" spans="1:6" ht="15.75" customHeight="1" x14ac:dyDescent="0.35">
      <c r="A36" s="5">
        <f t="shared" si="0"/>
        <v>46255</v>
      </c>
      <c r="B36" s="3">
        <v>2026</v>
      </c>
      <c r="C36" s="2">
        <v>34</v>
      </c>
      <c r="D36" s="23">
        <f>SUMIFS('AR Aging 20260320'!$H:$H,'AR Aging 20260320'!$J:$J,$B36,'AR Aging 20260320'!$K:$K,$C36)+SUMIFS(Bookings!$E:$E,Bookings!$L:$L,$B36,Bookings!$K:$K,$C36)</f>
        <v>0</v>
      </c>
      <c r="E36" s="23">
        <f>SUMIFS('AR Aging 20260320'!$H:$H, 'AR Aging 20260320'!$N:$N,$C36,'AR Aging 20260320'!$M:$M,$B36)+SUMIFS(Bookings!$E:$E,Bookings!$P:$P,$B36,Bookings!$O:$O,$C36)</f>
        <v>0</v>
      </c>
      <c r="F36" s="23">
        <f t="shared" si="1"/>
        <v>15915967.524999997</v>
      </c>
    </row>
    <row r="37" spans="1:6" ht="15.75" customHeight="1" x14ac:dyDescent="0.35">
      <c r="A37" s="5">
        <f t="shared" si="0"/>
        <v>46262</v>
      </c>
      <c r="B37" s="3">
        <v>2026</v>
      </c>
      <c r="C37" s="2">
        <v>35</v>
      </c>
      <c r="D37" s="23">
        <f>SUMIFS('AR Aging 20260320'!$H:$H,'AR Aging 20260320'!$J:$J,$B37,'AR Aging 20260320'!$K:$K,$C37)+SUMIFS(Bookings!$E:$E,Bookings!$L:$L,$B37,Bookings!$K:$K,$C37)</f>
        <v>0</v>
      </c>
      <c r="E37" s="23">
        <f>SUMIFS('AR Aging 20260320'!$H:$H, 'AR Aging 20260320'!$N:$N,$C37,'AR Aging 20260320'!$M:$M,$B37)+SUMIFS(Bookings!$E:$E,Bookings!$P:$P,$B37,Bookings!$O:$O,$C37)</f>
        <v>5379456.6799999997</v>
      </c>
      <c r="F37" s="23">
        <f t="shared" si="1"/>
        <v>10536510.844999997</v>
      </c>
    </row>
    <row r="38" spans="1:6" ht="15.75" customHeight="1" x14ac:dyDescent="0.35">
      <c r="A38" s="5">
        <f t="shared" si="0"/>
        <v>46269</v>
      </c>
      <c r="B38" s="3">
        <v>2026</v>
      </c>
      <c r="C38" s="2">
        <v>36</v>
      </c>
      <c r="D38" s="23">
        <f>SUMIFS('AR Aging 20260320'!$H:$H,'AR Aging 20260320'!$J:$J,$B38,'AR Aging 20260320'!$K:$K,$C38)+SUMIFS(Bookings!$E:$E,Bookings!$L:$L,$B38,Bookings!$K:$K,$C38)</f>
        <v>5871525.4000000004</v>
      </c>
      <c r="E38" s="23">
        <f>SUMIFS('AR Aging 20260320'!$H:$H, 'AR Aging 20260320'!$N:$N,$C38,'AR Aging 20260320'!$M:$M,$B38)+SUMIFS(Bookings!$E:$E,Bookings!$P:$P,$B38,Bookings!$O:$O,$C38)</f>
        <v>0</v>
      </c>
      <c r="F38" s="23">
        <f t="shared" si="1"/>
        <v>16408036.244999997</v>
      </c>
    </row>
    <row r="39" spans="1:6" ht="15.75" customHeight="1" x14ac:dyDescent="0.35">
      <c r="A39" s="5">
        <f t="shared" si="0"/>
        <v>46276</v>
      </c>
      <c r="B39" s="3">
        <v>2026</v>
      </c>
      <c r="C39" s="2">
        <v>37</v>
      </c>
      <c r="D39" s="23">
        <f>SUMIFS('AR Aging 20260320'!$H:$H,'AR Aging 20260320'!$J:$J,$B39,'AR Aging 20260320'!$K:$K,$C39)+SUMIFS(Bookings!$E:$E,Bookings!$L:$L,$B39,Bookings!$K:$K,$C39)</f>
        <v>0</v>
      </c>
      <c r="E39" s="23">
        <f>SUMIFS('AR Aging 20260320'!$H:$H, 'AR Aging 20260320'!$N:$N,$C39,'AR Aging 20260320'!$M:$M,$B39)+SUMIFS(Bookings!$E:$E,Bookings!$P:$P,$B39,Bookings!$O:$O,$C39)</f>
        <v>539549.77</v>
      </c>
      <c r="F39" s="23">
        <f t="shared" si="1"/>
        <v>15868486.474999998</v>
      </c>
    </row>
    <row r="40" spans="1:6" ht="15.75" customHeight="1" x14ac:dyDescent="0.35">
      <c r="A40" s="5">
        <f t="shared" si="0"/>
        <v>46283</v>
      </c>
      <c r="B40" s="3">
        <v>2026</v>
      </c>
      <c r="C40" s="2">
        <v>38</v>
      </c>
      <c r="D40" s="23">
        <f>SUMIFS('AR Aging 20260320'!$H:$H,'AR Aging 20260320'!$J:$J,$B40,'AR Aging 20260320'!$K:$K,$C40)+SUMIFS(Bookings!$E:$E,Bookings!$L:$L,$B40,Bookings!$K:$K,$C40)</f>
        <v>0</v>
      </c>
      <c r="E40" s="23">
        <f>SUMIFS('AR Aging 20260320'!$H:$H, 'AR Aging 20260320'!$N:$N,$C40,'AR Aging 20260320'!$M:$M,$B40)+SUMIFS(Bookings!$E:$E,Bookings!$P:$P,$B40,Bookings!$O:$O,$C40)</f>
        <v>603337.6</v>
      </c>
      <c r="F40" s="23">
        <f t="shared" si="1"/>
        <v>15265148.874999998</v>
      </c>
    </row>
    <row r="41" spans="1:6" ht="15.75" customHeight="1" x14ac:dyDescent="0.35">
      <c r="A41" s="5">
        <f t="shared" si="0"/>
        <v>46290</v>
      </c>
      <c r="B41" s="3">
        <v>2026</v>
      </c>
      <c r="C41" s="2">
        <v>39</v>
      </c>
      <c r="D41" s="23">
        <f>SUMIFS('AR Aging 20260320'!$H:$H,'AR Aging 20260320'!$J:$J,$B41,'AR Aging 20260320'!$K:$K,$C41)+SUMIFS(Bookings!$E:$E,Bookings!$L:$L,$B41,Bookings!$K:$K,$C41)</f>
        <v>0</v>
      </c>
      <c r="E41" s="23">
        <f>SUMIFS('AR Aging 20260320'!$H:$H, 'AR Aging 20260320'!$N:$N,$C41,'AR Aging 20260320'!$M:$M,$B41)+SUMIFS(Bookings!$E:$E,Bookings!$P:$P,$B41,Bookings!$O:$O,$C41)</f>
        <v>0</v>
      </c>
      <c r="F41" s="23">
        <f t="shared" si="1"/>
        <v>15265148.874999998</v>
      </c>
    </row>
    <row r="42" spans="1:6" ht="15.75" customHeight="1" x14ac:dyDescent="0.35">
      <c r="A42" s="5">
        <f t="shared" si="0"/>
        <v>46297</v>
      </c>
      <c r="B42" s="3">
        <v>2026</v>
      </c>
      <c r="C42" s="2">
        <v>40</v>
      </c>
      <c r="D42" s="23">
        <f>SUMIFS('AR Aging 20260320'!$H:$H,'AR Aging 20260320'!$J:$J,$B42,'AR Aging 20260320'!$K:$K,$C42)+SUMIFS(Bookings!$E:$E,Bookings!$L:$L,$B42,Bookings!$K:$K,$C42)</f>
        <v>6164797.9000000004</v>
      </c>
      <c r="E42" s="23">
        <f>SUMIFS('AR Aging 20260320'!$H:$H, 'AR Aging 20260320'!$N:$N,$C42,'AR Aging 20260320'!$M:$M,$B42)+SUMIFS(Bookings!$E:$E,Bookings!$P:$P,$B42,Bookings!$O:$O,$C42)</f>
        <v>5528567.5</v>
      </c>
      <c r="F42" s="23">
        <f t="shared" si="1"/>
        <v>15901379.274999999</v>
      </c>
    </row>
    <row r="43" spans="1:6" ht="15.75" customHeight="1" x14ac:dyDescent="0.35">
      <c r="A43" s="5">
        <f t="shared" si="0"/>
        <v>46304</v>
      </c>
      <c r="B43" s="3">
        <v>2026</v>
      </c>
      <c r="C43" s="2">
        <v>41</v>
      </c>
      <c r="D43" s="23">
        <f>SUMIFS('AR Aging 20260320'!$H:$H,'AR Aging 20260320'!$J:$J,$B43,'AR Aging 20260320'!$K:$K,$C43)+SUMIFS(Bookings!$E:$E,Bookings!$L:$L,$B43,Bookings!$K:$K,$C43)</f>
        <v>0</v>
      </c>
      <c r="E43" s="23">
        <f>SUMIFS('AR Aging 20260320'!$H:$H, 'AR Aging 20260320'!$N:$N,$C43,'AR Aging 20260320'!$M:$M,$B43)+SUMIFS(Bookings!$E:$E,Bookings!$P:$P,$B43,Bookings!$O:$O,$C43)</f>
        <v>0</v>
      </c>
      <c r="F43" s="23">
        <f t="shared" si="1"/>
        <v>15901379.274999999</v>
      </c>
    </row>
    <row r="44" spans="1:6" ht="15.75" customHeight="1" x14ac:dyDescent="0.35">
      <c r="A44" s="5">
        <f t="shared" si="0"/>
        <v>46311</v>
      </c>
      <c r="B44" s="3">
        <v>2026</v>
      </c>
      <c r="C44" s="2">
        <v>42</v>
      </c>
      <c r="D44" s="23">
        <f>SUMIFS('AR Aging 20260320'!$H:$H,'AR Aging 20260320'!$J:$J,$B44,'AR Aging 20260320'!$K:$K,$C44)+SUMIFS(Bookings!$E:$E,Bookings!$L:$L,$B44,Bookings!$K:$K,$C44)</f>
        <v>0</v>
      </c>
      <c r="E44" s="23">
        <f>SUMIFS('AR Aging 20260320'!$H:$H, 'AR Aging 20260320'!$N:$N,$C44,'AR Aging 20260320'!$M:$M,$B44)+SUMIFS(Bookings!$E:$E,Bookings!$P:$P,$B44,Bookings!$O:$O,$C44)</f>
        <v>422232.4</v>
      </c>
      <c r="F44" s="23">
        <f t="shared" si="1"/>
        <v>15479146.874999998</v>
      </c>
    </row>
    <row r="45" spans="1:6" ht="15.75" customHeight="1" x14ac:dyDescent="0.35">
      <c r="A45" s="5">
        <f t="shared" si="0"/>
        <v>46318</v>
      </c>
      <c r="B45" s="3">
        <v>2026</v>
      </c>
      <c r="C45" s="2">
        <v>43</v>
      </c>
      <c r="D45" s="23">
        <f>SUMIFS('AR Aging 20260320'!$H:$H,'AR Aging 20260320'!$J:$J,$B45,'AR Aging 20260320'!$K:$K,$C45)+SUMIFS(Bookings!$E:$E,Bookings!$L:$L,$B45,Bookings!$K:$K,$C45)</f>
        <v>0</v>
      </c>
      <c r="E45" s="23">
        <f>SUMIFS('AR Aging 20260320'!$H:$H, 'AR Aging 20260320'!$N:$N,$C45,'AR Aging 20260320'!$M:$M,$B45)+SUMIFS(Bookings!$E:$E,Bookings!$P:$P,$B45,Bookings!$O:$O,$C45)</f>
        <v>0</v>
      </c>
      <c r="F45" s="23">
        <f t="shared" si="1"/>
        <v>15479146.874999998</v>
      </c>
    </row>
    <row r="46" spans="1:6" ht="15.75" customHeight="1" x14ac:dyDescent="0.35">
      <c r="A46" s="5">
        <f t="shared" si="0"/>
        <v>46325</v>
      </c>
      <c r="B46" s="3">
        <v>2026</v>
      </c>
      <c r="C46" s="2">
        <v>44</v>
      </c>
      <c r="D46" s="23">
        <f>SUMIFS('AR Aging 20260320'!$H:$H,'AR Aging 20260320'!$J:$J,$B46,'AR Aging 20260320'!$K:$K,$C46)+SUMIFS(Bookings!$E:$E,Bookings!$L:$L,$B46,Bookings!$K:$K,$C46)</f>
        <v>4263220.4000000004</v>
      </c>
      <c r="E46" s="23">
        <f>SUMIFS('AR Aging 20260320'!$H:$H, 'AR Aging 20260320'!$N:$N,$C46,'AR Aging 20260320'!$M:$M,$B46)+SUMIFS(Bookings!$E:$E,Bookings!$P:$P,$B46,Bookings!$O:$O,$C46)</f>
        <v>5384293</v>
      </c>
      <c r="F46" s="23">
        <f t="shared" si="1"/>
        <v>14358074.274999999</v>
      </c>
    </row>
    <row r="47" spans="1:6" ht="15.75" customHeight="1" x14ac:dyDescent="0.35">
      <c r="A47" s="5">
        <f t="shared" si="0"/>
        <v>46332</v>
      </c>
      <c r="B47" s="3">
        <v>2026</v>
      </c>
      <c r="C47" s="2">
        <v>45</v>
      </c>
      <c r="D47" s="23">
        <f>SUMIFS('AR Aging 20260320'!$H:$H,'AR Aging 20260320'!$J:$J,$B47,'AR Aging 20260320'!$K:$K,$C47)+SUMIFS(Bookings!$E:$E,Bookings!$L:$L,$B47,Bookings!$K:$K,$C47)</f>
        <v>0</v>
      </c>
      <c r="E47" s="23">
        <f>SUMIFS('AR Aging 20260320'!$H:$H, 'AR Aging 20260320'!$N:$N,$C47,'AR Aging 20260320'!$M:$M,$B47)+SUMIFS(Bookings!$E:$E,Bookings!$P:$P,$B47,Bookings!$O:$O,$C47)</f>
        <v>0</v>
      </c>
      <c r="F47" s="23">
        <f t="shared" si="1"/>
        <v>14358074.274999999</v>
      </c>
    </row>
    <row r="48" spans="1:6" ht="15.75" customHeight="1" x14ac:dyDescent="0.35">
      <c r="A48" s="5">
        <f t="shared" si="0"/>
        <v>46339</v>
      </c>
      <c r="B48" s="3">
        <v>2026</v>
      </c>
      <c r="C48" s="2">
        <v>46</v>
      </c>
      <c r="D48" s="23">
        <f>SUMIFS('AR Aging 20260320'!$H:$H,'AR Aging 20260320'!$J:$J,$B48,'AR Aging 20260320'!$K:$K,$C48)+SUMIFS(Bookings!$E:$E,Bookings!$L:$L,$B48,Bookings!$K:$K,$C48)</f>
        <v>0</v>
      </c>
      <c r="E48" s="23">
        <f>SUMIFS('AR Aging 20260320'!$H:$H, 'AR Aging 20260320'!$N:$N,$C48,'AR Aging 20260320'!$M:$M,$B48)+SUMIFS(Bookings!$E:$E,Bookings!$P:$P,$B48,Bookings!$O:$O,$C48)</f>
        <v>1128070.3999999999</v>
      </c>
      <c r="F48" s="23">
        <f t="shared" si="1"/>
        <v>13230003.874999998</v>
      </c>
    </row>
    <row r="49" spans="1:6" ht="15.75" customHeight="1" x14ac:dyDescent="0.35">
      <c r="A49" s="5">
        <f t="shared" si="0"/>
        <v>46346</v>
      </c>
      <c r="B49" s="3">
        <v>2026</v>
      </c>
      <c r="C49" s="2">
        <v>47</v>
      </c>
      <c r="D49" s="23">
        <f>SUMIFS('AR Aging 20260320'!$H:$H,'AR Aging 20260320'!$J:$J,$B49,'AR Aging 20260320'!$K:$K,$C49)+SUMIFS(Bookings!$E:$E,Bookings!$L:$L,$B49,Bookings!$K:$K,$C49)</f>
        <v>0</v>
      </c>
      <c r="E49" s="23">
        <f>SUMIFS('AR Aging 20260320'!$H:$H, 'AR Aging 20260320'!$N:$N,$C49,'AR Aging 20260320'!$M:$M,$B49)+SUMIFS(Bookings!$E:$E,Bookings!$P:$P,$B49,Bookings!$O:$O,$C49)</f>
        <v>0</v>
      </c>
      <c r="F49" s="23">
        <f t="shared" si="1"/>
        <v>13230003.874999998</v>
      </c>
    </row>
    <row r="50" spans="1:6" ht="15.75" customHeight="1" x14ac:dyDescent="0.35">
      <c r="A50" s="5">
        <f t="shared" si="0"/>
        <v>46353</v>
      </c>
      <c r="B50" s="3">
        <v>2026</v>
      </c>
      <c r="C50" s="2">
        <v>48</v>
      </c>
      <c r="D50" s="23">
        <f>SUMIFS('AR Aging 20260320'!$H:$H,'AR Aging 20260320'!$J:$J,$B50,'AR Aging 20260320'!$K:$K,$C50)+SUMIFS(Bookings!$E:$E,Bookings!$L:$L,$B50,Bookings!$K:$K,$C50)</f>
        <v>0</v>
      </c>
      <c r="E50" s="23">
        <f>SUMIFS('AR Aging 20260320'!$H:$H, 'AR Aging 20260320'!$N:$N,$C50,'AR Aging 20260320'!$M:$M,$B50)+SUMIFS(Bookings!$E:$E,Bookings!$P:$P,$B50,Bookings!$O:$O,$C50)</f>
        <v>5101727.5</v>
      </c>
      <c r="F50" s="23">
        <f t="shared" si="1"/>
        <v>8128276.3749999981</v>
      </c>
    </row>
    <row r="51" spans="1:6" ht="15.75" customHeight="1" x14ac:dyDescent="0.35">
      <c r="A51" s="5">
        <f t="shared" si="0"/>
        <v>46360</v>
      </c>
      <c r="B51" s="3">
        <v>2026</v>
      </c>
      <c r="C51" s="2">
        <v>49</v>
      </c>
      <c r="D51" s="23">
        <f>SUMIFS('AR Aging 20260320'!$H:$H,'AR Aging 20260320'!$J:$J,$B51,'AR Aging 20260320'!$K:$K,$C51)+SUMIFS(Bookings!$E:$E,Bookings!$L:$L,$B51,Bookings!$K:$K,$C51)</f>
        <v>3000000</v>
      </c>
      <c r="E51" s="23">
        <f>SUMIFS('AR Aging 20260320'!$H:$H, 'AR Aging 20260320'!$N:$N,$C51,'AR Aging 20260320'!$M:$M,$B51)+SUMIFS(Bookings!$E:$E,Bookings!$P:$P,$B51,Bookings!$O:$O,$C51)</f>
        <v>0</v>
      </c>
      <c r="F51" s="23">
        <f t="shared" si="1"/>
        <v>11128276.374999998</v>
      </c>
    </row>
    <row r="52" spans="1:6" ht="15.75" customHeight="1" x14ac:dyDescent="0.35">
      <c r="A52" s="5">
        <f t="shared" si="0"/>
        <v>46367</v>
      </c>
      <c r="B52" s="3">
        <v>2026</v>
      </c>
      <c r="C52" s="2">
        <v>50</v>
      </c>
      <c r="D52" s="23">
        <f>SUMIFS('AR Aging 20260320'!$H:$H,'AR Aging 20260320'!$J:$J,$B52,'AR Aging 20260320'!$K:$K,$C52)+SUMIFS(Bookings!$E:$E,Bookings!$L:$L,$B52,Bookings!$K:$K,$C52)</f>
        <v>0</v>
      </c>
      <c r="E52" s="23">
        <f>SUMIFS('AR Aging 20260320'!$H:$H, 'AR Aging 20260320'!$N:$N,$C52,'AR Aging 20260320'!$M:$M,$B52)+SUMIFS(Bookings!$E:$E,Bookings!$P:$P,$B52,Bookings!$O:$O,$C52)</f>
        <v>0</v>
      </c>
      <c r="F52" s="23">
        <f t="shared" si="1"/>
        <v>11128276.374999998</v>
      </c>
    </row>
    <row r="53" spans="1:6" ht="15.75" customHeight="1" x14ac:dyDescent="0.35">
      <c r="A53" s="5">
        <f t="shared" si="0"/>
        <v>46374</v>
      </c>
      <c r="B53" s="3">
        <v>2026</v>
      </c>
      <c r="C53" s="2">
        <v>51</v>
      </c>
      <c r="D53" s="23">
        <f>SUMIFS('AR Aging 20260320'!$H:$H,'AR Aging 20260320'!$J:$J,$B53,'AR Aging 20260320'!$K:$K,$C53)+SUMIFS(Bookings!$E:$E,Bookings!$L:$L,$B53,Bookings!$K:$K,$C53)</f>
        <v>0</v>
      </c>
      <c r="E53" s="23">
        <f>SUMIFS('AR Aging 20260320'!$H:$H, 'AR Aging 20260320'!$N:$N,$C53,'AR Aging 20260320'!$M:$M,$B53)+SUMIFS(Bookings!$E:$E,Bookings!$P:$P,$B53,Bookings!$O:$O,$C53)</f>
        <v>232020.4</v>
      </c>
      <c r="F53" s="23">
        <f t="shared" si="1"/>
        <v>10896255.974999998</v>
      </c>
    </row>
    <row r="54" spans="1:6" ht="15.75" customHeight="1" x14ac:dyDescent="0.35">
      <c r="A54" s="5">
        <f t="shared" si="0"/>
        <v>46381</v>
      </c>
      <c r="B54" s="3">
        <v>2026</v>
      </c>
      <c r="C54" s="2">
        <v>52</v>
      </c>
      <c r="D54" s="23">
        <f>SUMIFS('AR Aging 20260320'!$H:$H,'AR Aging 20260320'!$J:$J,$B54,'AR Aging 20260320'!$K:$K,$C54)+SUMIFS(Bookings!$E:$E,Bookings!$L:$L,$B54,Bookings!$K:$K,$C54)</f>
        <v>0</v>
      </c>
      <c r="E54" s="23">
        <f>SUMIFS('AR Aging 20260320'!$H:$H, 'AR Aging 20260320'!$N:$N,$C54,'AR Aging 20260320'!$M:$M,$B54)+SUMIFS(Bookings!$E:$E,Bookings!$P:$P,$B54,Bookings!$O:$O,$C54)</f>
        <v>0</v>
      </c>
      <c r="F54" s="23">
        <f t="shared" si="1"/>
        <v>10896255.974999998</v>
      </c>
    </row>
    <row r="55" spans="1:6" ht="15.75" customHeight="1" x14ac:dyDescent="0.35">
      <c r="A55" s="5">
        <f t="shared" si="0"/>
        <v>46388</v>
      </c>
      <c r="B55" s="3">
        <v>2027</v>
      </c>
      <c r="C55" s="2">
        <v>1</v>
      </c>
      <c r="D55" s="23">
        <f>SUMIFS('AR Aging 20260320'!$H:$H,'AR Aging 20260320'!$J:$J,$B55,'AR Aging 20260320'!$K:$K,$C55)+SUMIFS(Bookings!$E:$E,Bookings!$L:$L,$B55,Bookings!$K:$K,$C55)</f>
        <v>0</v>
      </c>
      <c r="E55" s="23">
        <f>SUMIFS('AR Aging 20260320'!$H:$H, 'AR Aging 20260320'!$N:$N,$C55,'AR Aging 20260320'!$M:$M,$B55)+SUMIFS(Bookings!$E:$E,Bookings!$P:$P,$B55,Bookings!$O:$O,$C55)</f>
        <v>4031200</v>
      </c>
      <c r="F55" s="23">
        <f t="shared" si="1"/>
        <v>6865055.9749999978</v>
      </c>
    </row>
    <row r="56" spans="1:6" ht="15.75" customHeight="1" x14ac:dyDescent="0.35">
      <c r="A56" s="5">
        <f t="shared" si="0"/>
        <v>46395</v>
      </c>
      <c r="B56" s="3">
        <v>2027</v>
      </c>
      <c r="C56" s="2">
        <v>2</v>
      </c>
      <c r="D56" s="23">
        <f>SUMIFS('AR Aging 20260320'!$H:$H,'AR Aging 20260320'!$J:$J,$B56,'AR Aging 20260320'!$K:$K,$C56)+SUMIFS(Bookings!$E:$E,Bookings!$L:$L,$B56,Bookings!$K:$K,$C56)</f>
        <v>0</v>
      </c>
      <c r="E56" s="23">
        <f>SUMIFS('AR Aging 20260320'!$H:$H, 'AR Aging 20260320'!$N:$N,$C56,'AR Aging 20260320'!$M:$M,$B56)+SUMIFS(Bookings!$E:$E,Bookings!$P:$P,$B56,Bookings!$O:$O,$C56)</f>
        <v>0</v>
      </c>
      <c r="F56" s="23">
        <f t="shared" ref="F56:F107" si="2">F55+D56-E56</f>
        <v>6865055.9749999978</v>
      </c>
    </row>
    <row r="57" spans="1:6" ht="15.75" customHeight="1" x14ac:dyDescent="0.35">
      <c r="A57" s="5">
        <f t="shared" si="0"/>
        <v>46402</v>
      </c>
      <c r="B57" s="3">
        <v>2027</v>
      </c>
      <c r="C57" s="2">
        <v>3</v>
      </c>
      <c r="D57" s="23">
        <f>SUMIFS('AR Aging 20260320'!$H:$H,'AR Aging 20260320'!$J:$J,$B57,'AR Aging 20260320'!$K:$K,$C57)+SUMIFS(Bookings!$E:$E,Bookings!$L:$L,$B57,Bookings!$K:$K,$C57)</f>
        <v>0</v>
      </c>
      <c r="E57" s="23">
        <f>SUMIFS('AR Aging 20260320'!$H:$H, 'AR Aging 20260320'!$N:$N,$C57,'AR Aging 20260320'!$M:$M,$B57)+SUMIFS(Bookings!$E:$E,Bookings!$P:$P,$B57,Bookings!$O:$O,$C57)</f>
        <v>0</v>
      </c>
      <c r="F57" s="23">
        <f t="shared" si="2"/>
        <v>6865055.9749999978</v>
      </c>
    </row>
    <row r="58" spans="1:6" ht="15.75" customHeight="1" x14ac:dyDescent="0.35">
      <c r="A58" s="5">
        <f t="shared" si="0"/>
        <v>46409</v>
      </c>
      <c r="B58" s="3">
        <v>2027</v>
      </c>
      <c r="C58" s="2">
        <v>4</v>
      </c>
      <c r="D58" s="23">
        <f>SUMIFS('AR Aging 20260320'!$H:$H,'AR Aging 20260320'!$J:$J,$B58,'AR Aging 20260320'!$K:$K,$C58)+SUMIFS(Bookings!$E:$E,Bookings!$L:$L,$B58,Bookings!$K:$K,$C58)</f>
        <v>0</v>
      </c>
      <c r="E58" s="23">
        <f>SUMIFS('AR Aging 20260320'!$H:$H, 'AR Aging 20260320'!$N:$N,$C58,'AR Aging 20260320'!$M:$M,$B58)+SUMIFS(Bookings!$E:$E,Bookings!$P:$P,$B58,Bookings!$O:$O,$C58)</f>
        <v>0</v>
      </c>
      <c r="F58" s="23">
        <f t="shared" si="2"/>
        <v>6865055.9749999978</v>
      </c>
    </row>
    <row r="59" spans="1:6" ht="15.75" customHeight="1" x14ac:dyDescent="0.35">
      <c r="A59" s="5">
        <f t="shared" si="0"/>
        <v>46416</v>
      </c>
      <c r="B59" s="3">
        <v>2027</v>
      </c>
      <c r="C59" s="2">
        <v>5</v>
      </c>
      <c r="D59" s="23">
        <f>SUMIFS('AR Aging 20260320'!$H:$H,'AR Aging 20260320'!$J:$J,$B59,'AR Aging 20260320'!$K:$K,$C59)+SUMIFS(Bookings!$E:$E,Bookings!$L:$L,$B59,Bookings!$K:$K,$C59)</f>
        <v>0</v>
      </c>
      <c r="E59" s="23">
        <f>SUMIFS('AR Aging 20260320'!$H:$H, 'AR Aging 20260320'!$N:$N,$C59,'AR Aging 20260320'!$M:$M,$B59)+SUMIFS(Bookings!$E:$E,Bookings!$P:$P,$B59,Bookings!$O:$O,$C59)</f>
        <v>3000000</v>
      </c>
      <c r="F59" s="23">
        <f t="shared" si="2"/>
        <v>3865055.9749999978</v>
      </c>
    </row>
    <row r="60" spans="1:6" ht="15.75" customHeight="1" x14ac:dyDescent="0.35">
      <c r="A60" s="5">
        <f t="shared" si="0"/>
        <v>46423</v>
      </c>
      <c r="B60" s="3">
        <v>2027</v>
      </c>
      <c r="C60" s="2">
        <v>6</v>
      </c>
      <c r="D60" s="23">
        <f>SUMIFS('AR Aging 20260320'!$H:$H,'AR Aging 20260320'!$J:$J,$B60,'AR Aging 20260320'!$K:$K,$C60)+SUMIFS(Bookings!$E:$E,Bookings!$L:$L,$B60,Bookings!$K:$K,$C60)</f>
        <v>1000000</v>
      </c>
      <c r="E60" s="23">
        <f>SUMIFS('AR Aging 20260320'!$H:$H, 'AR Aging 20260320'!$N:$N,$C60,'AR Aging 20260320'!$M:$M,$B60)+SUMIFS(Bookings!$E:$E,Bookings!$P:$P,$B60,Bookings!$O:$O,$C60)</f>
        <v>0</v>
      </c>
      <c r="F60" s="23">
        <f t="shared" si="2"/>
        <v>4865055.9749999978</v>
      </c>
    </row>
    <row r="61" spans="1:6" ht="15.75" customHeight="1" x14ac:dyDescent="0.35">
      <c r="A61" s="5">
        <f t="shared" si="0"/>
        <v>46430</v>
      </c>
      <c r="B61" s="3">
        <v>2027</v>
      </c>
      <c r="C61" s="2">
        <v>7</v>
      </c>
      <c r="D61" s="23">
        <f>SUMIFS('AR Aging 20260320'!$H:$H,'AR Aging 20260320'!$J:$J,$B61,'AR Aging 20260320'!$K:$K,$C61)+SUMIFS(Bookings!$E:$E,Bookings!$L:$L,$B61,Bookings!$K:$K,$C61)</f>
        <v>0</v>
      </c>
      <c r="E61" s="23">
        <f>SUMIFS('AR Aging 20260320'!$H:$H, 'AR Aging 20260320'!$N:$N,$C61,'AR Aging 20260320'!$M:$M,$B61)+SUMIFS(Bookings!$E:$E,Bookings!$P:$P,$B61,Bookings!$O:$O,$C61)</f>
        <v>0</v>
      </c>
      <c r="F61" s="23">
        <f t="shared" si="2"/>
        <v>4865055.9749999978</v>
      </c>
    </row>
    <row r="62" spans="1:6" ht="15.75" customHeight="1" x14ac:dyDescent="0.35">
      <c r="A62" s="5">
        <f t="shared" si="0"/>
        <v>46437</v>
      </c>
      <c r="B62" s="3">
        <v>2027</v>
      </c>
      <c r="C62" s="2">
        <v>8</v>
      </c>
      <c r="D62" s="23">
        <f>SUMIFS('AR Aging 20260320'!$H:$H,'AR Aging 20260320'!$J:$J,$B62,'AR Aging 20260320'!$K:$K,$C62)+SUMIFS(Bookings!$E:$E,Bookings!$L:$L,$B62,Bookings!$K:$K,$C62)</f>
        <v>0</v>
      </c>
      <c r="E62" s="23">
        <f>SUMIFS('AR Aging 20260320'!$H:$H, 'AR Aging 20260320'!$N:$N,$C62,'AR Aging 20260320'!$M:$M,$B62)+SUMIFS(Bookings!$E:$E,Bookings!$P:$P,$B62,Bookings!$O:$O,$C62)</f>
        <v>0</v>
      </c>
      <c r="F62" s="23">
        <f t="shared" si="2"/>
        <v>4865055.9749999978</v>
      </c>
    </row>
    <row r="63" spans="1:6" ht="15.75" customHeight="1" x14ac:dyDescent="0.35">
      <c r="A63" s="5">
        <f t="shared" si="0"/>
        <v>46444</v>
      </c>
      <c r="B63" s="3">
        <v>2027</v>
      </c>
      <c r="C63" s="2">
        <v>9</v>
      </c>
      <c r="D63" s="23">
        <f>SUMIFS('AR Aging 20260320'!$H:$H,'AR Aging 20260320'!$J:$J,$B63,'AR Aging 20260320'!$K:$K,$C63)+SUMIFS(Bookings!$E:$E,Bookings!$L:$L,$B63,Bookings!$K:$K,$C63)</f>
        <v>0</v>
      </c>
      <c r="E63" s="23">
        <f>SUMIFS('AR Aging 20260320'!$H:$H, 'AR Aging 20260320'!$N:$N,$C63,'AR Aging 20260320'!$M:$M,$B63)+SUMIFS(Bookings!$E:$E,Bookings!$P:$P,$B63,Bookings!$O:$O,$C63)</f>
        <v>0</v>
      </c>
      <c r="F63" s="23">
        <f t="shared" si="2"/>
        <v>4865055.9749999978</v>
      </c>
    </row>
    <row r="64" spans="1:6" ht="15.75" customHeight="1" x14ac:dyDescent="0.35">
      <c r="A64" s="5">
        <f t="shared" si="0"/>
        <v>46451</v>
      </c>
      <c r="B64" s="3">
        <v>2027</v>
      </c>
      <c r="C64" s="2">
        <v>10</v>
      </c>
      <c r="D64" s="23">
        <f>SUMIFS('AR Aging 20260320'!$H:$H,'AR Aging 20260320'!$J:$J,$B64,'AR Aging 20260320'!$K:$K,$C64)+SUMIFS(Bookings!$E:$E,Bookings!$L:$L,$B64,Bookings!$K:$K,$C64)</f>
        <v>0</v>
      </c>
      <c r="E64" s="23">
        <f>SUMIFS('AR Aging 20260320'!$H:$H, 'AR Aging 20260320'!$N:$N,$C64,'AR Aging 20260320'!$M:$M,$B64)+SUMIFS(Bookings!$E:$E,Bookings!$P:$P,$B64,Bookings!$O:$O,$C64)</f>
        <v>2000000</v>
      </c>
      <c r="F64" s="23">
        <f t="shared" si="2"/>
        <v>2865055.9749999978</v>
      </c>
    </row>
    <row r="65" spans="1:6" ht="15.75" customHeight="1" x14ac:dyDescent="0.35">
      <c r="A65" s="5">
        <f t="shared" si="0"/>
        <v>46458</v>
      </c>
      <c r="B65" s="3">
        <v>2027</v>
      </c>
      <c r="C65" s="2">
        <v>11</v>
      </c>
      <c r="D65" s="23">
        <f>SUMIFS('AR Aging 20260320'!$H:$H,'AR Aging 20260320'!$J:$J,$B65,'AR Aging 20260320'!$K:$K,$C65)+SUMIFS(Bookings!$E:$E,Bookings!$L:$L,$B65,Bookings!$K:$K,$C65)</f>
        <v>0</v>
      </c>
      <c r="E65" s="23">
        <f>SUMIFS('AR Aging 20260320'!$H:$H, 'AR Aging 20260320'!$N:$N,$C65,'AR Aging 20260320'!$M:$M,$B65)+SUMIFS(Bookings!$E:$E,Bookings!$P:$P,$B65,Bookings!$O:$O,$C65)</f>
        <v>0</v>
      </c>
      <c r="F65" s="23">
        <f t="shared" si="2"/>
        <v>2865055.9749999978</v>
      </c>
    </row>
    <row r="66" spans="1:6" ht="15.75" customHeight="1" x14ac:dyDescent="0.35">
      <c r="A66" s="5">
        <f t="shared" si="0"/>
        <v>46465</v>
      </c>
      <c r="B66" s="3">
        <v>2027</v>
      </c>
      <c r="C66" s="2">
        <v>12</v>
      </c>
      <c r="D66" s="23">
        <f>SUMIFS('AR Aging 20260320'!$H:$H,'AR Aging 20260320'!$J:$J,$B66,'AR Aging 20260320'!$K:$K,$C66)+SUMIFS(Bookings!$E:$E,Bookings!$L:$L,$B66,Bookings!$K:$K,$C66)</f>
        <v>0</v>
      </c>
      <c r="E66" s="23">
        <f>SUMIFS('AR Aging 20260320'!$H:$H, 'AR Aging 20260320'!$N:$N,$C66,'AR Aging 20260320'!$M:$M,$B66)+SUMIFS(Bookings!$E:$E,Bookings!$P:$P,$B66,Bookings!$O:$O,$C66)</f>
        <v>0</v>
      </c>
      <c r="F66" s="23">
        <f t="shared" si="2"/>
        <v>2865055.9749999978</v>
      </c>
    </row>
    <row r="67" spans="1:6" ht="15.75" customHeight="1" x14ac:dyDescent="0.35">
      <c r="A67" s="5">
        <f t="shared" si="0"/>
        <v>46472</v>
      </c>
      <c r="B67" s="3">
        <v>2027</v>
      </c>
      <c r="C67" s="2">
        <v>13</v>
      </c>
      <c r="D67" s="23">
        <f>SUMIFS('AR Aging 20260320'!$H:$H,'AR Aging 20260320'!$J:$J,$B67,'AR Aging 20260320'!$K:$K,$C67)+SUMIFS(Bookings!$E:$E,Bookings!$L:$L,$B67,Bookings!$K:$K,$C67)</f>
        <v>0</v>
      </c>
      <c r="E67" s="23">
        <f>SUMIFS('AR Aging 20260320'!$H:$H, 'AR Aging 20260320'!$N:$N,$C67,'AR Aging 20260320'!$M:$M,$B67)+SUMIFS(Bookings!$E:$E,Bookings!$P:$P,$B67,Bookings!$O:$O,$C67)</f>
        <v>0</v>
      </c>
      <c r="F67" s="23">
        <f t="shared" si="2"/>
        <v>2865055.9749999978</v>
      </c>
    </row>
    <row r="68" spans="1:6" ht="15.75" customHeight="1" x14ac:dyDescent="0.35">
      <c r="A68" s="5">
        <f t="shared" ref="A68:A107" si="3">A67+7</f>
        <v>46479</v>
      </c>
      <c r="B68" s="3">
        <v>2027</v>
      </c>
      <c r="C68" s="2">
        <v>14</v>
      </c>
      <c r="D68" s="23">
        <f>SUMIFS('AR Aging 20260320'!$H:$H,'AR Aging 20260320'!$J:$J,$B68,'AR Aging 20260320'!$K:$K,$C68)+SUMIFS(Bookings!$E:$E,Bookings!$L:$L,$B68,Bookings!$K:$K,$C68)</f>
        <v>0</v>
      </c>
      <c r="E68" s="23">
        <f>SUMIFS('AR Aging 20260320'!$H:$H, 'AR Aging 20260320'!$N:$N,$C68,'AR Aging 20260320'!$M:$M,$B68)+SUMIFS(Bookings!$E:$E,Bookings!$P:$P,$B68,Bookings!$O:$O,$C68)</f>
        <v>1000000</v>
      </c>
      <c r="F68" s="23">
        <f t="shared" si="2"/>
        <v>1865055.9749999978</v>
      </c>
    </row>
    <row r="69" spans="1:6" ht="15.75" customHeight="1" x14ac:dyDescent="0.35">
      <c r="A69" s="5">
        <f t="shared" si="3"/>
        <v>46486</v>
      </c>
      <c r="B69" s="3">
        <v>2027</v>
      </c>
      <c r="C69" s="2">
        <v>15</v>
      </c>
      <c r="D69" s="23">
        <f>SUMIFS('AR Aging 20260320'!$H:$H,'AR Aging 20260320'!$J:$J,$B69,'AR Aging 20260320'!$K:$K,$C69)+SUMIFS(Bookings!$E:$E,Bookings!$L:$L,$B69,Bookings!$K:$K,$C69)</f>
        <v>0</v>
      </c>
      <c r="E69" s="23">
        <f>SUMIFS('AR Aging 20260320'!$H:$H, 'AR Aging 20260320'!$N:$N,$C69,'AR Aging 20260320'!$M:$M,$B69)+SUMIFS(Bookings!$E:$E,Bookings!$P:$P,$B69,Bookings!$O:$O,$C69)</f>
        <v>0</v>
      </c>
      <c r="F69" s="23">
        <f t="shared" si="2"/>
        <v>1865055.9749999978</v>
      </c>
    </row>
    <row r="70" spans="1:6" ht="15.75" customHeight="1" x14ac:dyDescent="0.35">
      <c r="A70" s="5">
        <f t="shared" si="3"/>
        <v>46493</v>
      </c>
      <c r="B70" s="3">
        <v>2027</v>
      </c>
      <c r="C70" s="2">
        <v>16</v>
      </c>
      <c r="D70" s="23">
        <f>SUMIFS('AR Aging 20260320'!$H:$H,'AR Aging 20260320'!$J:$J,$B70,'AR Aging 20260320'!$K:$K,$C70)+SUMIFS(Bookings!$E:$E,Bookings!$L:$L,$B70,Bookings!$K:$K,$C70)</f>
        <v>0</v>
      </c>
      <c r="E70" s="23">
        <f>SUMIFS('AR Aging 20260320'!$H:$H, 'AR Aging 20260320'!$N:$N,$C70,'AR Aging 20260320'!$M:$M,$B70)+SUMIFS(Bookings!$E:$E,Bookings!$P:$P,$B70,Bookings!$O:$O,$C70)</f>
        <v>0</v>
      </c>
      <c r="F70" s="23">
        <f t="shared" si="2"/>
        <v>1865055.9749999978</v>
      </c>
    </row>
    <row r="71" spans="1:6" ht="15.75" customHeight="1" x14ac:dyDescent="0.35">
      <c r="A71" s="5">
        <f t="shared" si="3"/>
        <v>46500</v>
      </c>
      <c r="B71" s="3">
        <v>2027</v>
      </c>
      <c r="C71" s="2">
        <v>17</v>
      </c>
      <c r="D71" s="23">
        <f>SUMIFS('AR Aging 20260320'!$H:$H,'AR Aging 20260320'!$J:$J,$B71,'AR Aging 20260320'!$K:$K,$C71)+SUMIFS(Bookings!$E:$E,Bookings!$L:$L,$B71,Bookings!$K:$K,$C71)</f>
        <v>0</v>
      </c>
      <c r="E71" s="23">
        <f>SUMIFS('AR Aging 20260320'!$H:$H, 'AR Aging 20260320'!$N:$N,$C71,'AR Aging 20260320'!$M:$M,$B71)+SUMIFS(Bookings!$E:$E,Bookings!$P:$P,$B71,Bookings!$O:$O,$C71)</f>
        <v>0</v>
      </c>
      <c r="F71" s="23">
        <f t="shared" si="2"/>
        <v>1865055.9749999978</v>
      </c>
    </row>
    <row r="72" spans="1:6" ht="15.75" customHeight="1" x14ac:dyDescent="0.35">
      <c r="A72" s="5">
        <f t="shared" si="3"/>
        <v>46507</v>
      </c>
      <c r="B72" s="3">
        <v>2027</v>
      </c>
      <c r="C72" s="2">
        <v>18</v>
      </c>
      <c r="D72" s="23">
        <f>SUMIFS('AR Aging 20260320'!$H:$H,'AR Aging 20260320'!$J:$J,$B72,'AR Aging 20260320'!$K:$K,$C72)+SUMIFS(Bookings!$E:$E,Bookings!$L:$L,$B72,Bookings!$K:$K,$C72)</f>
        <v>0</v>
      </c>
      <c r="E72" s="23">
        <f>SUMIFS('AR Aging 20260320'!$H:$H, 'AR Aging 20260320'!$N:$N,$C72,'AR Aging 20260320'!$M:$M,$B72)+SUMIFS(Bookings!$E:$E,Bookings!$P:$P,$B72,Bookings!$O:$O,$C72)</f>
        <v>0</v>
      </c>
      <c r="F72" s="23">
        <f t="shared" si="2"/>
        <v>1865055.9749999978</v>
      </c>
    </row>
    <row r="73" spans="1:6" ht="15.75" customHeight="1" x14ac:dyDescent="0.35">
      <c r="A73" s="5">
        <f t="shared" si="3"/>
        <v>46514</v>
      </c>
      <c r="B73" s="3">
        <v>2027</v>
      </c>
      <c r="C73" s="2">
        <v>19</v>
      </c>
      <c r="D73" s="23">
        <f>SUMIFS('AR Aging 20260320'!$H:$H,'AR Aging 20260320'!$J:$J,$B73,'AR Aging 20260320'!$K:$K,$C73)+SUMIFS(Bookings!$E:$E,Bookings!$L:$L,$B73,Bookings!$K:$K,$C73)</f>
        <v>0</v>
      </c>
      <c r="E73" s="23">
        <f>SUMIFS('AR Aging 20260320'!$H:$H, 'AR Aging 20260320'!$N:$N,$C73,'AR Aging 20260320'!$M:$M,$B73)+SUMIFS(Bookings!$E:$E,Bookings!$P:$P,$B73,Bookings!$O:$O,$C73)</f>
        <v>0</v>
      </c>
      <c r="F73" s="23">
        <f t="shared" si="2"/>
        <v>1865055.9749999978</v>
      </c>
    </row>
    <row r="74" spans="1:6" ht="15.75" customHeight="1" x14ac:dyDescent="0.35">
      <c r="A74" s="5">
        <f t="shared" si="3"/>
        <v>46521</v>
      </c>
      <c r="B74" s="3">
        <v>2027</v>
      </c>
      <c r="C74" s="2">
        <v>20</v>
      </c>
      <c r="D74" s="23">
        <f>SUMIFS('AR Aging 20260320'!$H:$H,'AR Aging 20260320'!$J:$J,$B74,'AR Aging 20260320'!$K:$K,$C74)+SUMIFS(Bookings!$E:$E,Bookings!$L:$L,$B74,Bookings!$K:$K,$C74)</f>
        <v>0</v>
      </c>
      <c r="E74" s="23">
        <f>SUMIFS('AR Aging 20260320'!$H:$H, 'AR Aging 20260320'!$N:$N,$C74,'AR Aging 20260320'!$M:$M,$B74)+SUMIFS(Bookings!$E:$E,Bookings!$P:$P,$B74,Bookings!$O:$O,$C74)</f>
        <v>0</v>
      </c>
      <c r="F74" s="23">
        <f t="shared" si="2"/>
        <v>1865055.9749999978</v>
      </c>
    </row>
    <row r="75" spans="1:6" ht="15.75" customHeight="1" x14ac:dyDescent="0.35">
      <c r="A75" s="5">
        <f t="shared" si="3"/>
        <v>46528</v>
      </c>
      <c r="B75" s="3">
        <v>2027</v>
      </c>
      <c r="C75" s="2">
        <v>21</v>
      </c>
      <c r="D75" s="23">
        <f>SUMIFS('AR Aging 20260320'!$H:$H,'AR Aging 20260320'!$J:$J,$B75,'AR Aging 20260320'!$K:$K,$C75)+SUMIFS(Bookings!$E:$E,Bookings!$L:$L,$B75,Bookings!$K:$K,$C75)</f>
        <v>0</v>
      </c>
      <c r="E75" s="23">
        <f>SUMIFS('AR Aging 20260320'!$H:$H, 'AR Aging 20260320'!$N:$N,$C75,'AR Aging 20260320'!$M:$M,$B75)+SUMIFS(Bookings!$E:$E,Bookings!$P:$P,$B75,Bookings!$O:$O,$C75)</f>
        <v>0</v>
      </c>
      <c r="F75" s="23">
        <f t="shared" si="2"/>
        <v>1865055.9749999978</v>
      </c>
    </row>
    <row r="76" spans="1:6" ht="15.75" customHeight="1" x14ac:dyDescent="0.35">
      <c r="A76" s="5">
        <f t="shared" si="3"/>
        <v>46535</v>
      </c>
      <c r="B76" s="3">
        <v>2027</v>
      </c>
      <c r="C76" s="2">
        <v>22</v>
      </c>
      <c r="D76" s="23">
        <f>SUMIFS('AR Aging 20260320'!$H:$H,'AR Aging 20260320'!$J:$J,$B76,'AR Aging 20260320'!$K:$K,$C76)+SUMIFS(Bookings!$E:$E,Bookings!$L:$L,$B76,Bookings!$K:$K,$C76)</f>
        <v>0</v>
      </c>
      <c r="E76" s="23">
        <f>SUMIFS('AR Aging 20260320'!$H:$H, 'AR Aging 20260320'!$N:$N,$C76,'AR Aging 20260320'!$M:$M,$B76)+SUMIFS(Bookings!$E:$E,Bookings!$P:$P,$B76,Bookings!$O:$O,$C76)</f>
        <v>0</v>
      </c>
      <c r="F76" s="23">
        <f t="shared" si="2"/>
        <v>1865055.9749999978</v>
      </c>
    </row>
    <row r="77" spans="1:6" ht="15.75" customHeight="1" x14ac:dyDescent="0.35">
      <c r="A77" s="5">
        <f t="shared" si="3"/>
        <v>46542</v>
      </c>
      <c r="B77" s="3">
        <v>2027</v>
      </c>
      <c r="C77" s="2">
        <v>23</v>
      </c>
      <c r="D77" s="23">
        <f>SUMIFS('AR Aging 20260320'!$H:$H,'AR Aging 20260320'!$J:$J,$B77,'AR Aging 20260320'!$K:$K,$C77)+SUMIFS(Bookings!$E:$E,Bookings!$L:$L,$B77,Bookings!$K:$K,$C77)</f>
        <v>0</v>
      </c>
      <c r="E77" s="23">
        <f>SUMIFS('AR Aging 20260320'!$H:$H, 'AR Aging 20260320'!$N:$N,$C77,'AR Aging 20260320'!$M:$M,$B77)+SUMIFS(Bookings!$E:$E,Bookings!$P:$P,$B77,Bookings!$O:$O,$C77)</f>
        <v>0</v>
      </c>
      <c r="F77" s="23">
        <f t="shared" si="2"/>
        <v>1865055.9749999978</v>
      </c>
    </row>
    <row r="78" spans="1:6" ht="15.75" customHeight="1" x14ac:dyDescent="0.35">
      <c r="A78" s="5">
        <f t="shared" si="3"/>
        <v>46549</v>
      </c>
      <c r="B78" s="3">
        <v>2027</v>
      </c>
      <c r="C78" s="2">
        <v>24</v>
      </c>
      <c r="D78" s="23">
        <f>SUMIFS('AR Aging 20260320'!$H:$H,'AR Aging 20260320'!$J:$J,$B78,'AR Aging 20260320'!$K:$K,$C78)+SUMIFS(Bookings!$E:$E,Bookings!$L:$L,$B78,Bookings!$K:$K,$C78)</f>
        <v>0</v>
      </c>
      <c r="E78" s="23">
        <f>SUMIFS('AR Aging 20260320'!$H:$H, 'AR Aging 20260320'!$N:$N,$C78,'AR Aging 20260320'!$M:$M,$B78)+SUMIFS(Bookings!$E:$E,Bookings!$P:$P,$B78,Bookings!$O:$O,$C78)</f>
        <v>0</v>
      </c>
      <c r="F78" s="23">
        <f t="shared" si="2"/>
        <v>1865055.9749999978</v>
      </c>
    </row>
    <row r="79" spans="1:6" ht="15.75" customHeight="1" x14ac:dyDescent="0.35">
      <c r="A79" s="5">
        <f t="shared" si="3"/>
        <v>46556</v>
      </c>
      <c r="B79" s="3">
        <v>2027</v>
      </c>
      <c r="C79" s="2">
        <v>25</v>
      </c>
      <c r="D79" s="23">
        <f>SUMIFS('AR Aging 20260320'!$H:$H,'AR Aging 20260320'!$J:$J,$B79,'AR Aging 20260320'!$K:$K,$C79)+SUMIFS(Bookings!$E:$E,Bookings!$L:$L,$B79,Bookings!$K:$K,$C79)</f>
        <v>0</v>
      </c>
      <c r="E79" s="23">
        <f>SUMIFS('AR Aging 20260320'!$H:$H, 'AR Aging 20260320'!$N:$N,$C79,'AR Aging 20260320'!$M:$M,$B79)+SUMIFS(Bookings!$E:$E,Bookings!$P:$P,$B79,Bookings!$O:$O,$C79)</f>
        <v>0</v>
      </c>
      <c r="F79" s="23">
        <f t="shared" si="2"/>
        <v>1865055.9749999978</v>
      </c>
    </row>
    <row r="80" spans="1:6" ht="15.75" customHeight="1" x14ac:dyDescent="0.35">
      <c r="A80" s="5">
        <f t="shared" si="3"/>
        <v>46563</v>
      </c>
      <c r="B80" s="3">
        <v>2027</v>
      </c>
      <c r="C80" s="2">
        <v>26</v>
      </c>
      <c r="D80" s="23">
        <f>SUMIFS('AR Aging 20260320'!$H:$H,'AR Aging 20260320'!$J:$J,$B80,'AR Aging 20260320'!$K:$K,$C80)+SUMIFS(Bookings!$E:$E,Bookings!$L:$L,$B80,Bookings!$K:$K,$C80)</f>
        <v>0</v>
      </c>
      <c r="E80" s="23">
        <f>SUMIFS('AR Aging 20260320'!$H:$H, 'AR Aging 20260320'!$N:$N,$C80,'AR Aging 20260320'!$M:$M,$B80)+SUMIFS(Bookings!$E:$E,Bookings!$P:$P,$B80,Bookings!$O:$O,$C80)</f>
        <v>0</v>
      </c>
      <c r="F80" s="23">
        <f t="shared" si="2"/>
        <v>1865055.9749999978</v>
      </c>
    </row>
    <row r="81" spans="1:6" ht="15.75" customHeight="1" x14ac:dyDescent="0.35">
      <c r="A81" s="5">
        <f t="shared" si="3"/>
        <v>46570</v>
      </c>
      <c r="B81" s="3">
        <v>2027</v>
      </c>
      <c r="C81" s="2">
        <v>27</v>
      </c>
      <c r="D81" s="23">
        <f>SUMIFS('AR Aging 20260320'!$H:$H,'AR Aging 20260320'!$J:$J,$B81,'AR Aging 20260320'!$K:$K,$C81)+SUMIFS(Bookings!$E:$E,Bookings!$L:$L,$B81,Bookings!$K:$K,$C81)</f>
        <v>0</v>
      </c>
      <c r="E81" s="23">
        <f>SUMIFS('AR Aging 20260320'!$H:$H, 'AR Aging 20260320'!$N:$N,$C81,'AR Aging 20260320'!$M:$M,$B81)+SUMIFS(Bookings!$E:$E,Bookings!$P:$P,$B81,Bookings!$O:$O,$C81)</f>
        <v>0</v>
      </c>
      <c r="F81" s="23">
        <f t="shared" si="2"/>
        <v>1865055.9749999978</v>
      </c>
    </row>
    <row r="82" spans="1:6" ht="15.75" customHeight="1" x14ac:dyDescent="0.35">
      <c r="A82" s="5">
        <f t="shared" si="3"/>
        <v>46577</v>
      </c>
      <c r="B82" s="3">
        <v>2027</v>
      </c>
      <c r="C82" s="2">
        <v>28</v>
      </c>
      <c r="D82" s="23">
        <f>SUMIFS('AR Aging 20260320'!$H:$H,'AR Aging 20260320'!$J:$J,$B82,'AR Aging 20260320'!$K:$K,$C82)+SUMIFS(Bookings!$E:$E,Bookings!$L:$L,$B82,Bookings!$K:$K,$C82)</f>
        <v>0</v>
      </c>
      <c r="E82" s="23">
        <f>SUMIFS('AR Aging 20260320'!$H:$H, 'AR Aging 20260320'!$N:$N,$C82,'AR Aging 20260320'!$M:$M,$B82)+SUMIFS(Bookings!$E:$E,Bookings!$P:$P,$B82,Bookings!$O:$O,$C82)</f>
        <v>0</v>
      </c>
      <c r="F82" s="23">
        <f t="shared" si="2"/>
        <v>1865055.9749999978</v>
      </c>
    </row>
    <row r="83" spans="1:6" ht="15.75" customHeight="1" x14ac:dyDescent="0.35">
      <c r="A83" s="5">
        <f t="shared" si="3"/>
        <v>46584</v>
      </c>
      <c r="B83" s="3">
        <v>2027</v>
      </c>
      <c r="C83" s="2">
        <v>29</v>
      </c>
      <c r="D83" s="23">
        <f>SUMIFS('AR Aging 20260320'!$H:$H,'AR Aging 20260320'!$J:$J,$B83,'AR Aging 20260320'!$K:$K,$C83)+SUMIFS(Bookings!$E:$E,Bookings!$L:$L,$B83,Bookings!$K:$K,$C83)</f>
        <v>0</v>
      </c>
      <c r="E83" s="23">
        <f>SUMIFS('AR Aging 20260320'!$H:$H, 'AR Aging 20260320'!$N:$N,$C83,'AR Aging 20260320'!$M:$M,$B83)+SUMIFS(Bookings!$E:$E,Bookings!$P:$P,$B83,Bookings!$O:$O,$C83)</f>
        <v>0</v>
      </c>
      <c r="F83" s="23">
        <f t="shared" si="2"/>
        <v>1865055.9749999978</v>
      </c>
    </row>
    <row r="84" spans="1:6" ht="15.75" customHeight="1" x14ac:dyDescent="0.35">
      <c r="A84" s="5">
        <f t="shared" si="3"/>
        <v>46591</v>
      </c>
      <c r="B84" s="3">
        <v>2027</v>
      </c>
      <c r="C84" s="2">
        <v>30</v>
      </c>
      <c r="D84" s="23">
        <f>SUMIFS('AR Aging 20260320'!$H:$H,'AR Aging 20260320'!$J:$J,$B84,'AR Aging 20260320'!$K:$K,$C84)+SUMIFS(Bookings!$E:$E,Bookings!$L:$L,$B84,Bookings!$K:$K,$C84)</f>
        <v>0</v>
      </c>
      <c r="E84" s="23">
        <f>SUMIFS('AR Aging 20260320'!$H:$H, 'AR Aging 20260320'!$N:$N,$C84,'AR Aging 20260320'!$M:$M,$B84)+SUMIFS(Bookings!$E:$E,Bookings!$P:$P,$B84,Bookings!$O:$O,$C84)</f>
        <v>0</v>
      </c>
      <c r="F84" s="23">
        <f t="shared" si="2"/>
        <v>1865055.9749999978</v>
      </c>
    </row>
    <row r="85" spans="1:6" ht="15.75" customHeight="1" x14ac:dyDescent="0.35">
      <c r="A85" s="5">
        <f t="shared" si="3"/>
        <v>46598</v>
      </c>
      <c r="B85" s="3">
        <v>2027</v>
      </c>
      <c r="C85" s="2">
        <v>31</v>
      </c>
      <c r="D85" s="23">
        <f>SUMIFS('AR Aging 20260320'!$H:$H,'AR Aging 20260320'!$J:$J,$B85,'AR Aging 20260320'!$K:$K,$C85)+SUMIFS(Bookings!$E:$E,Bookings!$L:$L,$B85,Bookings!$K:$K,$C85)</f>
        <v>0</v>
      </c>
      <c r="E85" s="23">
        <f>SUMIFS('AR Aging 20260320'!$H:$H, 'AR Aging 20260320'!$N:$N,$C85,'AR Aging 20260320'!$M:$M,$B85)+SUMIFS(Bookings!$E:$E,Bookings!$P:$P,$B85,Bookings!$O:$O,$C85)</f>
        <v>0</v>
      </c>
      <c r="F85" s="23">
        <f t="shared" si="2"/>
        <v>1865055.9749999978</v>
      </c>
    </row>
    <row r="86" spans="1:6" ht="15.75" customHeight="1" x14ac:dyDescent="0.35">
      <c r="A86" s="5">
        <f t="shared" si="3"/>
        <v>46605</v>
      </c>
      <c r="B86" s="3">
        <v>2027</v>
      </c>
      <c r="C86" s="2">
        <v>32</v>
      </c>
      <c r="D86" s="23">
        <f>SUMIFS('AR Aging 20260320'!$H:$H,'AR Aging 20260320'!$J:$J,$B86,'AR Aging 20260320'!$K:$K,$C86)+SUMIFS(Bookings!$E:$E,Bookings!$L:$L,$B86,Bookings!$K:$K,$C86)</f>
        <v>0</v>
      </c>
      <c r="E86" s="23">
        <f>SUMIFS('AR Aging 20260320'!$H:$H, 'AR Aging 20260320'!$N:$N,$C86,'AR Aging 20260320'!$M:$M,$B86)+SUMIFS(Bookings!$E:$E,Bookings!$P:$P,$B86,Bookings!$O:$O,$C86)</f>
        <v>0</v>
      </c>
      <c r="F86" s="23">
        <f t="shared" si="2"/>
        <v>1865055.9749999978</v>
      </c>
    </row>
    <row r="87" spans="1:6" ht="15.75" customHeight="1" x14ac:dyDescent="0.35">
      <c r="A87" s="5">
        <f t="shared" si="3"/>
        <v>46612</v>
      </c>
      <c r="B87" s="3">
        <v>2027</v>
      </c>
      <c r="C87" s="2">
        <v>33</v>
      </c>
      <c r="D87" s="23">
        <f>SUMIFS('AR Aging 20260320'!$H:$H,'AR Aging 20260320'!$J:$J,$B87,'AR Aging 20260320'!$K:$K,$C87)+SUMIFS(Bookings!$E:$E,Bookings!$L:$L,$B87,Bookings!$K:$K,$C87)</f>
        <v>0</v>
      </c>
      <c r="E87" s="23">
        <f>SUMIFS('AR Aging 20260320'!$H:$H, 'AR Aging 20260320'!$N:$N,$C87,'AR Aging 20260320'!$M:$M,$B87)+SUMIFS(Bookings!$E:$E,Bookings!$P:$P,$B87,Bookings!$O:$O,$C87)</f>
        <v>0</v>
      </c>
      <c r="F87" s="23">
        <f t="shared" si="2"/>
        <v>1865055.9749999978</v>
      </c>
    </row>
    <row r="88" spans="1:6" ht="15.75" customHeight="1" x14ac:dyDescent="0.35">
      <c r="A88" s="5">
        <f t="shared" si="3"/>
        <v>46619</v>
      </c>
      <c r="B88" s="3">
        <v>2027</v>
      </c>
      <c r="C88" s="2">
        <v>34</v>
      </c>
      <c r="D88" s="23">
        <f>SUMIFS('AR Aging 20260320'!$H:$H,'AR Aging 20260320'!$J:$J,$B88,'AR Aging 20260320'!$K:$K,$C88)+SUMIFS(Bookings!$E:$E,Bookings!$L:$L,$B88,Bookings!$K:$K,$C88)</f>
        <v>0</v>
      </c>
      <c r="E88" s="23">
        <f>SUMIFS('AR Aging 20260320'!$H:$H, 'AR Aging 20260320'!$N:$N,$C88,'AR Aging 20260320'!$M:$M,$B88)+SUMIFS(Bookings!$E:$E,Bookings!$P:$P,$B88,Bookings!$O:$O,$C88)</f>
        <v>0</v>
      </c>
      <c r="F88" s="23">
        <f t="shared" si="2"/>
        <v>1865055.9749999978</v>
      </c>
    </row>
    <row r="89" spans="1:6" ht="15.75" customHeight="1" x14ac:dyDescent="0.35">
      <c r="A89" s="5">
        <f t="shared" si="3"/>
        <v>46626</v>
      </c>
      <c r="B89" s="3">
        <v>2027</v>
      </c>
      <c r="C89" s="2">
        <v>35</v>
      </c>
      <c r="D89" s="23">
        <f>SUMIFS('AR Aging 20260320'!$H:$H,'AR Aging 20260320'!$J:$J,$B89,'AR Aging 20260320'!$K:$K,$C89)+SUMIFS(Bookings!$E:$E,Bookings!$L:$L,$B89,Bookings!$K:$K,$C89)</f>
        <v>0</v>
      </c>
      <c r="E89" s="23">
        <f>SUMIFS('AR Aging 20260320'!$H:$H, 'AR Aging 20260320'!$N:$N,$C89,'AR Aging 20260320'!$M:$M,$B89)+SUMIFS(Bookings!$E:$E,Bookings!$P:$P,$B89,Bookings!$O:$O,$C89)</f>
        <v>0</v>
      </c>
      <c r="F89" s="23">
        <f t="shared" si="2"/>
        <v>1865055.9749999978</v>
      </c>
    </row>
    <row r="90" spans="1:6" ht="15.75" customHeight="1" x14ac:dyDescent="0.35">
      <c r="A90" s="5">
        <f t="shared" si="3"/>
        <v>46633</v>
      </c>
      <c r="B90" s="3">
        <v>2027</v>
      </c>
      <c r="C90" s="2">
        <v>36</v>
      </c>
      <c r="D90" s="23">
        <f>SUMIFS('AR Aging 20260320'!$H:$H,'AR Aging 20260320'!$J:$J,$B90,'AR Aging 20260320'!$K:$K,$C90)+SUMIFS(Bookings!$E:$E,Bookings!$L:$L,$B90,Bookings!$K:$K,$C90)</f>
        <v>0</v>
      </c>
      <c r="E90" s="23">
        <f>SUMIFS('AR Aging 20260320'!$H:$H, 'AR Aging 20260320'!$N:$N,$C90,'AR Aging 20260320'!$M:$M,$B90)+SUMIFS(Bookings!$E:$E,Bookings!$P:$P,$B90,Bookings!$O:$O,$C90)</f>
        <v>0</v>
      </c>
      <c r="F90" s="23">
        <f t="shared" si="2"/>
        <v>1865055.9749999978</v>
      </c>
    </row>
    <row r="91" spans="1:6" ht="15.75" customHeight="1" x14ac:dyDescent="0.35">
      <c r="A91" s="5">
        <f t="shared" si="3"/>
        <v>46640</v>
      </c>
      <c r="B91" s="3">
        <v>2027</v>
      </c>
      <c r="C91" s="2">
        <v>37</v>
      </c>
      <c r="D91" s="23">
        <f>SUMIFS('AR Aging 20260320'!$H:$H,'AR Aging 20260320'!$J:$J,$B91,'AR Aging 20260320'!$K:$K,$C91)+SUMIFS(Bookings!$E:$E,Bookings!$L:$L,$B91,Bookings!$K:$K,$C91)</f>
        <v>0</v>
      </c>
      <c r="E91" s="23">
        <f>SUMIFS('AR Aging 20260320'!$H:$H, 'AR Aging 20260320'!$N:$N,$C91,'AR Aging 20260320'!$M:$M,$B91)+SUMIFS(Bookings!$E:$E,Bookings!$P:$P,$B91,Bookings!$O:$O,$C91)</f>
        <v>0</v>
      </c>
      <c r="F91" s="23">
        <f t="shared" si="2"/>
        <v>1865055.9749999978</v>
      </c>
    </row>
    <row r="92" spans="1:6" ht="15.75" customHeight="1" x14ac:dyDescent="0.35">
      <c r="A92" s="5">
        <f t="shared" si="3"/>
        <v>46647</v>
      </c>
      <c r="B92" s="3">
        <v>2027</v>
      </c>
      <c r="C92" s="2">
        <v>38</v>
      </c>
      <c r="D92" s="23">
        <f>SUMIFS('AR Aging 20260320'!$H:$H,'AR Aging 20260320'!$J:$J,$B92,'AR Aging 20260320'!$K:$K,$C92)+SUMIFS(Bookings!$E:$E,Bookings!$L:$L,$B92,Bookings!$K:$K,$C92)</f>
        <v>0</v>
      </c>
      <c r="E92" s="23">
        <f>SUMIFS('AR Aging 20260320'!$H:$H, 'AR Aging 20260320'!$N:$N,$C92,'AR Aging 20260320'!$M:$M,$B92)+SUMIFS(Bookings!$E:$E,Bookings!$P:$P,$B92,Bookings!$O:$O,$C92)</f>
        <v>0</v>
      </c>
      <c r="F92" s="23">
        <f t="shared" si="2"/>
        <v>1865055.9749999978</v>
      </c>
    </row>
    <row r="93" spans="1:6" ht="15.75" customHeight="1" x14ac:dyDescent="0.35">
      <c r="A93" s="5">
        <f t="shared" si="3"/>
        <v>46654</v>
      </c>
      <c r="B93" s="3">
        <v>2027</v>
      </c>
      <c r="C93" s="2">
        <v>39</v>
      </c>
      <c r="D93" s="23">
        <f>SUMIFS('AR Aging 20260320'!$H:$H,'AR Aging 20260320'!$J:$J,$B93,'AR Aging 20260320'!$K:$K,$C93)+SUMIFS(Bookings!$E:$E,Bookings!$L:$L,$B93,Bookings!$K:$K,$C93)</f>
        <v>0</v>
      </c>
      <c r="E93" s="23">
        <f>SUMIFS('AR Aging 20260320'!$H:$H, 'AR Aging 20260320'!$N:$N,$C93,'AR Aging 20260320'!$M:$M,$B93)+SUMIFS(Bookings!$E:$E,Bookings!$P:$P,$B93,Bookings!$O:$O,$C93)</f>
        <v>0</v>
      </c>
      <c r="F93" s="23">
        <f t="shared" si="2"/>
        <v>1865055.9749999978</v>
      </c>
    </row>
    <row r="94" spans="1:6" ht="15.75" customHeight="1" x14ac:dyDescent="0.35">
      <c r="A94" s="5">
        <f t="shared" si="3"/>
        <v>46661</v>
      </c>
      <c r="B94" s="3">
        <v>2027</v>
      </c>
      <c r="C94" s="2">
        <v>40</v>
      </c>
      <c r="D94" s="23">
        <f>SUMIFS('AR Aging 20260320'!$H:$H,'AR Aging 20260320'!$J:$J,$B94,'AR Aging 20260320'!$K:$K,$C94)+SUMIFS(Bookings!$E:$E,Bookings!$L:$L,$B94,Bookings!$K:$K,$C94)</f>
        <v>0</v>
      </c>
      <c r="E94" s="23">
        <f>SUMIFS('AR Aging 20260320'!$H:$H, 'AR Aging 20260320'!$N:$N,$C94,'AR Aging 20260320'!$M:$M,$B94)+SUMIFS(Bookings!$E:$E,Bookings!$P:$P,$B94,Bookings!$O:$O,$C94)</f>
        <v>0</v>
      </c>
      <c r="F94" s="23">
        <f t="shared" si="2"/>
        <v>1865055.9749999978</v>
      </c>
    </row>
    <row r="95" spans="1:6" ht="15.75" customHeight="1" x14ac:dyDescent="0.35">
      <c r="A95" s="5">
        <f t="shared" si="3"/>
        <v>46668</v>
      </c>
      <c r="B95" s="3">
        <v>2027</v>
      </c>
      <c r="C95" s="2">
        <v>41</v>
      </c>
      <c r="D95" s="23">
        <f>SUMIFS('AR Aging 20260320'!$H:$H,'AR Aging 20260320'!$J:$J,$B95,'AR Aging 20260320'!$K:$K,$C95)+SUMIFS(Bookings!$E:$E,Bookings!$L:$L,$B95,Bookings!$K:$K,$C95)</f>
        <v>0</v>
      </c>
      <c r="E95" s="23">
        <f>SUMIFS('AR Aging 20260320'!$H:$H, 'AR Aging 20260320'!$N:$N,$C95,'AR Aging 20260320'!$M:$M,$B95)+SUMIFS(Bookings!$E:$E,Bookings!$P:$P,$B95,Bookings!$O:$O,$C95)</f>
        <v>0</v>
      </c>
      <c r="F95" s="23">
        <f t="shared" si="2"/>
        <v>1865055.9749999978</v>
      </c>
    </row>
    <row r="96" spans="1:6" ht="15.75" customHeight="1" x14ac:dyDescent="0.35">
      <c r="A96" s="5">
        <f t="shared" si="3"/>
        <v>46675</v>
      </c>
      <c r="B96" s="3">
        <v>2027</v>
      </c>
      <c r="C96" s="2">
        <v>42</v>
      </c>
      <c r="D96" s="23">
        <f>SUMIFS('AR Aging 20260320'!$H:$H,'AR Aging 20260320'!$J:$J,$B96,'AR Aging 20260320'!$K:$K,$C96)+SUMIFS(Bookings!$E:$E,Bookings!$L:$L,$B96,Bookings!$K:$K,$C96)</f>
        <v>0</v>
      </c>
      <c r="E96" s="23">
        <f>SUMIFS('AR Aging 20260320'!$H:$H, 'AR Aging 20260320'!$N:$N,$C96,'AR Aging 20260320'!$M:$M,$B96)+SUMIFS(Bookings!$E:$E,Bookings!$P:$P,$B96,Bookings!$O:$O,$C96)</f>
        <v>0</v>
      </c>
      <c r="F96" s="23">
        <f t="shared" si="2"/>
        <v>1865055.9749999978</v>
      </c>
    </row>
    <row r="97" spans="1:6" ht="15.75" customHeight="1" x14ac:dyDescent="0.35">
      <c r="A97" s="5">
        <f t="shared" si="3"/>
        <v>46682</v>
      </c>
      <c r="B97" s="3">
        <v>2027</v>
      </c>
      <c r="C97" s="2">
        <v>43</v>
      </c>
      <c r="D97" s="23">
        <f>SUMIFS('AR Aging 20260320'!$H:$H,'AR Aging 20260320'!$J:$J,$B97,'AR Aging 20260320'!$K:$K,$C97)+SUMIFS(Bookings!$E:$E,Bookings!$L:$L,$B97,Bookings!$K:$K,$C97)</f>
        <v>0</v>
      </c>
      <c r="E97" s="23">
        <f>SUMIFS('AR Aging 20260320'!$H:$H, 'AR Aging 20260320'!$N:$N,$C97,'AR Aging 20260320'!$M:$M,$B97)+SUMIFS(Bookings!$E:$E,Bookings!$P:$P,$B97,Bookings!$O:$O,$C97)</f>
        <v>0</v>
      </c>
      <c r="F97" s="23">
        <f t="shared" si="2"/>
        <v>1865055.9749999978</v>
      </c>
    </row>
    <row r="98" spans="1:6" ht="15.75" customHeight="1" x14ac:dyDescent="0.35">
      <c r="A98" s="5">
        <f t="shared" si="3"/>
        <v>46689</v>
      </c>
      <c r="B98" s="3">
        <v>2027</v>
      </c>
      <c r="C98" s="2">
        <v>44</v>
      </c>
      <c r="D98" s="23">
        <f>SUMIFS('AR Aging 20260320'!$H:$H,'AR Aging 20260320'!$J:$J,$B98,'AR Aging 20260320'!$K:$K,$C98)+SUMIFS(Bookings!$E:$E,Bookings!$L:$L,$B98,Bookings!$K:$K,$C98)</f>
        <v>0</v>
      </c>
      <c r="E98" s="23">
        <f>SUMIFS('AR Aging 20260320'!$H:$H, 'AR Aging 20260320'!$N:$N,$C98,'AR Aging 20260320'!$M:$M,$B98)+SUMIFS(Bookings!$E:$E,Bookings!$P:$P,$B98,Bookings!$O:$O,$C98)</f>
        <v>0</v>
      </c>
      <c r="F98" s="23">
        <f t="shared" si="2"/>
        <v>1865055.9749999978</v>
      </c>
    </row>
    <row r="99" spans="1:6" ht="15.75" customHeight="1" x14ac:dyDescent="0.35">
      <c r="A99" s="5">
        <f t="shared" si="3"/>
        <v>46696</v>
      </c>
      <c r="B99" s="3">
        <v>2027</v>
      </c>
      <c r="C99" s="2">
        <v>45</v>
      </c>
      <c r="D99" s="23">
        <f>SUMIFS('AR Aging 20260320'!$H:$H,'AR Aging 20260320'!$J:$J,$B99,'AR Aging 20260320'!$K:$K,$C99)+SUMIFS(Bookings!$E:$E,Bookings!$L:$L,$B99,Bookings!$K:$K,$C99)</f>
        <v>0</v>
      </c>
      <c r="E99" s="23">
        <f>SUMIFS('AR Aging 20260320'!$H:$H, 'AR Aging 20260320'!$N:$N,$C99,'AR Aging 20260320'!$M:$M,$B99)+SUMIFS(Bookings!$E:$E,Bookings!$P:$P,$B99,Bookings!$O:$O,$C99)</f>
        <v>0</v>
      </c>
      <c r="F99" s="23">
        <f t="shared" si="2"/>
        <v>1865055.9749999978</v>
      </c>
    </row>
    <row r="100" spans="1:6" ht="15.75" customHeight="1" x14ac:dyDescent="0.35">
      <c r="A100" s="5">
        <f t="shared" si="3"/>
        <v>46703</v>
      </c>
      <c r="B100" s="3">
        <v>2027</v>
      </c>
      <c r="C100" s="2">
        <v>46</v>
      </c>
      <c r="D100" s="23">
        <f>SUMIFS('AR Aging 20260320'!$H:$H,'AR Aging 20260320'!$J:$J,$B100,'AR Aging 20260320'!$K:$K,$C100)+SUMIFS(Bookings!$E:$E,Bookings!$L:$L,$B100,Bookings!$K:$K,$C100)</f>
        <v>0</v>
      </c>
      <c r="E100" s="23">
        <f>SUMIFS('AR Aging 20260320'!$H:$H, 'AR Aging 20260320'!$N:$N,$C100,'AR Aging 20260320'!$M:$M,$B100)+SUMIFS(Bookings!$E:$E,Bookings!$P:$P,$B100,Bookings!$O:$O,$C100)</f>
        <v>0</v>
      </c>
      <c r="F100" s="23">
        <f t="shared" si="2"/>
        <v>1865055.9749999978</v>
      </c>
    </row>
    <row r="101" spans="1:6" ht="15.75" customHeight="1" x14ac:dyDescent="0.35">
      <c r="A101" s="5">
        <f t="shared" si="3"/>
        <v>46710</v>
      </c>
      <c r="B101" s="3">
        <v>2027</v>
      </c>
      <c r="C101" s="2">
        <v>47</v>
      </c>
      <c r="D101" s="23">
        <f>SUMIFS('AR Aging 20260320'!$H:$H,'AR Aging 20260320'!$J:$J,$B101,'AR Aging 20260320'!$K:$K,$C101)+SUMIFS(Bookings!$E:$E,Bookings!$L:$L,$B101,Bookings!$K:$K,$C101)</f>
        <v>0</v>
      </c>
      <c r="E101" s="23">
        <f>SUMIFS('AR Aging 20260320'!$H:$H, 'AR Aging 20260320'!$N:$N,$C101,'AR Aging 20260320'!$M:$M,$B101)+SUMIFS(Bookings!$E:$E,Bookings!$P:$P,$B101,Bookings!$O:$O,$C101)</f>
        <v>0</v>
      </c>
      <c r="F101" s="23">
        <f t="shared" si="2"/>
        <v>1865055.9749999978</v>
      </c>
    </row>
    <row r="102" spans="1:6" ht="15.75" customHeight="1" x14ac:dyDescent="0.35">
      <c r="A102" s="5">
        <f t="shared" si="3"/>
        <v>46717</v>
      </c>
      <c r="B102" s="3">
        <v>2027</v>
      </c>
      <c r="C102" s="2">
        <v>48</v>
      </c>
      <c r="D102" s="23">
        <f>SUMIFS('AR Aging 20260320'!$H:$H,'AR Aging 20260320'!$J:$J,$B102,'AR Aging 20260320'!$K:$K,$C102)+SUMIFS(Bookings!$E:$E,Bookings!$L:$L,$B102,Bookings!$K:$K,$C102)</f>
        <v>0</v>
      </c>
      <c r="E102" s="23">
        <f>SUMIFS('AR Aging 20260320'!$H:$H, 'AR Aging 20260320'!$N:$N,$C102,'AR Aging 20260320'!$M:$M,$B102)+SUMIFS(Bookings!$E:$E,Bookings!$P:$P,$B102,Bookings!$O:$O,$C102)</f>
        <v>0</v>
      </c>
      <c r="F102" s="23">
        <f t="shared" si="2"/>
        <v>1865055.9749999978</v>
      </c>
    </row>
    <row r="103" spans="1:6" ht="15.75" customHeight="1" x14ac:dyDescent="0.35">
      <c r="A103" s="5">
        <f t="shared" si="3"/>
        <v>46724</v>
      </c>
      <c r="B103" s="3">
        <v>2027</v>
      </c>
      <c r="C103" s="2">
        <v>49</v>
      </c>
      <c r="D103" s="23">
        <f>SUMIFS('AR Aging 20260320'!$H:$H,'AR Aging 20260320'!$J:$J,$B103,'AR Aging 20260320'!$K:$K,$C103)+SUMIFS(Bookings!$E:$E,Bookings!$L:$L,$B103,Bookings!$K:$K,$C103)</f>
        <v>0</v>
      </c>
      <c r="E103" s="23">
        <f>SUMIFS('AR Aging 20260320'!$H:$H, 'AR Aging 20260320'!$N:$N,$C103,'AR Aging 20260320'!$M:$M,$B103)+SUMIFS(Bookings!$E:$E,Bookings!$P:$P,$B103,Bookings!$O:$O,$C103)</f>
        <v>0</v>
      </c>
      <c r="F103" s="23">
        <f t="shared" si="2"/>
        <v>1865055.9749999978</v>
      </c>
    </row>
    <row r="104" spans="1:6" ht="15.75" customHeight="1" x14ac:dyDescent="0.35">
      <c r="A104" s="5">
        <f t="shared" si="3"/>
        <v>46731</v>
      </c>
      <c r="B104" s="3">
        <v>2027</v>
      </c>
      <c r="C104" s="2">
        <v>50</v>
      </c>
      <c r="D104" s="23">
        <f>SUMIFS('AR Aging 20260320'!$H:$H,'AR Aging 20260320'!$J:$J,$B104,'AR Aging 20260320'!$K:$K,$C104)+SUMIFS(Bookings!$E:$E,Bookings!$L:$L,$B104,Bookings!$K:$K,$C104)</f>
        <v>0</v>
      </c>
      <c r="E104" s="23">
        <f>SUMIFS('AR Aging 20260320'!$H:$H, 'AR Aging 20260320'!$N:$N,$C104,'AR Aging 20260320'!$M:$M,$B104)+SUMIFS(Bookings!$E:$E,Bookings!$P:$P,$B104,Bookings!$O:$O,$C104)</f>
        <v>0</v>
      </c>
      <c r="F104" s="23">
        <f t="shared" si="2"/>
        <v>1865055.9749999978</v>
      </c>
    </row>
    <row r="105" spans="1:6" ht="15.75" customHeight="1" x14ac:dyDescent="0.35">
      <c r="A105" s="5">
        <f t="shared" si="3"/>
        <v>46738</v>
      </c>
      <c r="B105" s="3">
        <v>2027</v>
      </c>
      <c r="C105" s="2">
        <v>51</v>
      </c>
      <c r="D105" s="23">
        <f>SUMIFS('AR Aging 20260320'!$H:$H,'AR Aging 20260320'!$J:$J,$B105,'AR Aging 20260320'!$K:$K,$C105)+SUMIFS(Bookings!$E:$E,Bookings!$L:$L,$B105,Bookings!$K:$K,$C105)</f>
        <v>0</v>
      </c>
      <c r="E105" s="23">
        <f>SUMIFS('AR Aging 20260320'!$H:$H, 'AR Aging 20260320'!$N:$N,$C105,'AR Aging 20260320'!$M:$M,$B105)+SUMIFS(Bookings!$E:$E,Bookings!$P:$P,$B105,Bookings!$O:$O,$C105)</f>
        <v>0</v>
      </c>
      <c r="F105" s="23">
        <f t="shared" si="2"/>
        <v>1865055.9749999978</v>
      </c>
    </row>
    <row r="106" spans="1:6" ht="15.75" customHeight="1" x14ac:dyDescent="0.35">
      <c r="A106" s="5">
        <f t="shared" si="3"/>
        <v>46745</v>
      </c>
      <c r="B106" s="3">
        <v>2027</v>
      </c>
      <c r="C106" s="2">
        <v>52</v>
      </c>
      <c r="D106" s="23">
        <f>SUMIFS('AR Aging 20260320'!$H:$H,'AR Aging 20260320'!$J:$J,$B106,'AR Aging 20260320'!$K:$K,$C106)+SUMIFS(Bookings!$E:$E,Bookings!$L:$L,$B106,Bookings!$K:$K,$C106)</f>
        <v>0</v>
      </c>
      <c r="E106" s="23">
        <f>SUMIFS('AR Aging 20260320'!$H:$H, 'AR Aging 20260320'!$N:$N,$C106,'AR Aging 20260320'!$M:$M,$B106)+SUMIFS(Bookings!$E:$E,Bookings!$P:$P,$B106,Bookings!$O:$O,$C106)</f>
        <v>0</v>
      </c>
      <c r="F106" s="23">
        <f t="shared" si="2"/>
        <v>1865055.9749999978</v>
      </c>
    </row>
    <row r="107" spans="1:6" ht="15.75" customHeight="1" x14ac:dyDescent="0.35">
      <c r="A107" s="5">
        <f t="shared" si="3"/>
        <v>46752</v>
      </c>
      <c r="B107" s="3">
        <v>2027</v>
      </c>
      <c r="C107" s="2">
        <v>53</v>
      </c>
      <c r="D107" s="23">
        <f>SUMIFS('AR Aging 20260320'!$H:$H,'AR Aging 20260320'!$J:$J,$B107,'AR Aging 20260320'!$K:$K,$C107)+SUMIFS(Bookings!$E:$E,Bookings!$L:$L,$B107,Bookings!$K:$K,$C107)</f>
        <v>0</v>
      </c>
      <c r="E107" s="23">
        <f>SUMIFS('AR Aging 20260320'!$H:$H, 'AR Aging 20260320'!$N:$N,$C107,'AR Aging 20260320'!$M:$M,$B107)+SUMIFS(Bookings!$E:$E,Bookings!$P:$P,$B107,Bookings!$O:$O,$C107)</f>
        <v>0</v>
      </c>
      <c r="F107" s="23">
        <f t="shared" si="2"/>
        <v>1865055.9749999978</v>
      </c>
    </row>
    <row r="108" spans="1:6" ht="15.75" customHeight="1" x14ac:dyDescent="0.35">
      <c r="A108" s="5"/>
      <c r="B108" s="3"/>
      <c r="C108" s="2"/>
      <c r="D108" s="23"/>
      <c r="E108" s="23"/>
      <c r="F108" s="23"/>
    </row>
    <row r="109" spans="1:6" ht="15.75" customHeight="1" x14ac:dyDescent="0.35">
      <c r="A109" s="5"/>
    </row>
    <row r="110" spans="1:6" ht="15.75" customHeight="1" x14ac:dyDescent="0.35">
      <c r="A110" s="5"/>
    </row>
    <row r="111" spans="1:6" ht="15.75" customHeight="1" x14ac:dyDescent="0.35">
      <c r="A111" s="5"/>
      <c r="D111" s="23">
        <f>SUM(D3:D109)</f>
        <v>54287218.271184996</v>
      </c>
      <c r="E111" s="23">
        <f>SUM(E3:E32)</f>
        <v>15762211.691184998</v>
      </c>
    </row>
    <row r="112" spans="1:6" ht="15.75" customHeight="1" x14ac:dyDescent="0.35">
      <c r="A112" s="5"/>
      <c r="D112" s="23">
        <f>D111-'AR Aging 20260320'!H4-Bookings!E1</f>
        <v>-2465407.3199999928</v>
      </c>
      <c r="E112" s="23">
        <f>SUM(Bookings!$E$1,'AR Aging 20260320'!$H$4)-'AR Aging Balance'!E111</f>
        <v>40990413.899999991</v>
      </c>
    </row>
    <row r="113" spans="1:1" ht="15.75" customHeight="1" x14ac:dyDescent="0.35">
      <c r="A113" s="5"/>
    </row>
    <row r="114" spans="1:1" ht="15.75" customHeight="1" x14ac:dyDescent="0.35">
      <c r="A114" s="5"/>
    </row>
    <row r="115" spans="1:1" ht="15.75" customHeight="1" x14ac:dyDescent="0.35">
      <c r="A115" s="5"/>
    </row>
    <row r="116" spans="1:1" ht="15.75" customHeight="1" x14ac:dyDescent="0.35">
      <c r="A116" s="5"/>
    </row>
    <row r="117" spans="1:1" ht="15.75" customHeight="1" x14ac:dyDescent="0.35">
      <c r="A117" s="5"/>
    </row>
    <row r="118" spans="1:1" ht="15.75" customHeight="1" x14ac:dyDescent="0.35">
      <c r="A118" s="5"/>
    </row>
    <row r="119" spans="1:1" ht="15.75" customHeight="1" x14ac:dyDescent="0.35">
      <c r="A119" s="5"/>
    </row>
    <row r="120" spans="1:1" ht="15.75" customHeight="1" x14ac:dyDescent="0.35">
      <c r="A120" s="5"/>
    </row>
    <row r="121" spans="1:1" ht="15.75" customHeight="1" x14ac:dyDescent="0.35">
      <c r="A121" s="5"/>
    </row>
    <row r="122" spans="1:1" ht="15.75" customHeight="1" x14ac:dyDescent="0.35">
      <c r="A122" s="5"/>
    </row>
    <row r="123" spans="1:1" ht="15.75" customHeight="1" x14ac:dyDescent="0.35">
      <c r="A123" s="5"/>
    </row>
    <row r="124" spans="1:1" ht="15.75" customHeight="1" x14ac:dyDescent="0.35">
      <c r="A124" s="5"/>
    </row>
    <row r="125" spans="1:1" ht="15.75" customHeight="1" x14ac:dyDescent="0.35">
      <c r="A125" s="5"/>
    </row>
    <row r="126" spans="1:1" ht="15.75" customHeight="1" x14ac:dyDescent="0.35">
      <c r="A126" s="5"/>
    </row>
    <row r="127" spans="1:1" ht="15.75" customHeight="1" x14ac:dyDescent="0.35">
      <c r="A127" s="5"/>
    </row>
    <row r="128" spans="1:1" ht="15.75" customHeight="1" x14ac:dyDescent="0.35">
      <c r="A128" s="5"/>
    </row>
    <row r="129" spans="1:1" ht="15.75" customHeight="1" x14ac:dyDescent="0.35">
      <c r="A129" s="5"/>
    </row>
    <row r="130" spans="1:1" ht="15.75" customHeight="1" x14ac:dyDescent="0.35">
      <c r="A130" s="5"/>
    </row>
    <row r="131" spans="1:1" ht="15.75" customHeight="1" x14ac:dyDescent="0.35">
      <c r="A131" s="5"/>
    </row>
    <row r="132" spans="1:1" ht="15.75" customHeight="1" x14ac:dyDescent="0.35">
      <c r="A132" s="5"/>
    </row>
    <row r="133" spans="1:1" ht="15.75" customHeight="1" x14ac:dyDescent="0.35">
      <c r="A133" s="5"/>
    </row>
    <row r="134" spans="1:1" ht="15.75" customHeight="1" x14ac:dyDescent="0.35">
      <c r="A134" s="5"/>
    </row>
    <row r="135" spans="1:1" ht="15.75" customHeight="1" x14ac:dyDescent="0.35">
      <c r="A135" s="5"/>
    </row>
    <row r="136" spans="1:1" ht="15.75" customHeight="1" x14ac:dyDescent="0.35">
      <c r="A136" s="5"/>
    </row>
    <row r="137" spans="1:1" ht="15.75" customHeight="1" x14ac:dyDescent="0.35">
      <c r="A137" s="5"/>
    </row>
    <row r="138" spans="1:1" ht="15.75" customHeight="1" x14ac:dyDescent="0.35">
      <c r="A138" s="5"/>
    </row>
    <row r="139" spans="1:1" ht="15.75" customHeight="1" x14ac:dyDescent="0.35">
      <c r="A139" s="5"/>
    </row>
    <row r="140" spans="1:1" ht="15.75" customHeight="1" x14ac:dyDescent="0.35">
      <c r="A140" s="5"/>
    </row>
    <row r="141" spans="1:1" ht="15.75" customHeight="1" x14ac:dyDescent="0.35">
      <c r="A141" s="5"/>
    </row>
    <row r="142" spans="1:1" ht="15.75" customHeight="1" x14ac:dyDescent="0.35">
      <c r="A142" s="5"/>
    </row>
    <row r="143" spans="1:1" ht="15.75" customHeight="1" x14ac:dyDescent="0.35">
      <c r="A143" s="5"/>
    </row>
    <row r="144" spans="1:1" ht="15.75" customHeight="1" x14ac:dyDescent="0.35">
      <c r="A144" s="5"/>
    </row>
    <row r="145" spans="1:1" ht="15.75" customHeight="1" x14ac:dyDescent="0.35">
      <c r="A145" s="5"/>
    </row>
    <row r="146" spans="1:1" ht="15.75" customHeight="1" x14ac:dyDescent="0.35">
      <c r="A146" s="5"/>
    </row>
    <row r="147" spans="1:1" ht="15.75" customHeight="1" x14ac:dyDescent="0.35">
      <c r="A147" s="5"/>
    </row>
    <row r="148" spans="1:1" ht="15.75" customHeight="1" x14ac:dyDescent="0.35">
      <c r="A148" s="5"/>
    </row>
    <row r="149" spans="1:1" ht="15.75" customHeight="1" x14ac:dyDescent="0.35">
      <c r="A149" s="5"/>
    </row>
    <row r="150" spans="1:1" ht="15.75" customHeight="1" x14ac:dyDescent="0.35">
      <c r="A150" s="5"/>
    </row>
    <row r="151" spans="1:1" ht="15.75" customHeight="1" x14ac:dyDescent="0.35">
      <c r="A151" s="5"/>
    </row>
    <row r="152" spans="1:1" ht="15.75" customHeight="1" x14ac:dyDescent="0.35"/>
    <row r="153" spans="1:1" ht="15.75" customHeight="1" x14ac:dyDescent="0.35"/>
    <row r="154" spans="1:1" ht="15.75" customHeight="1" x14ac:dyDescent="0.35"/>
    <row r="155" spans="1:1" ht="15.75" customHeight="1" x14ac:dyDescent="0.35"/>
    <row r="156" spans="1:1" ht="15.75" customHeight="1" x14ac:dyDescent="0.35"/>
    <row r="157" spans="1:1" ht="15.75" customHeight="1" x14ac:dyDescent="0.35"/>
    <row r="158" spans="1:1" ht="15.75" customHeight="1" x14ac:dyDescent="0.35"/>
    <row r="159" spans="1:1" ht="15.75" customHeight="1" x14ac:dyDescent="0.35"/>
    <row r="160" spans="1:1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</sheetData>
  <autoFilter ref="A2:F2" xr:uid="{00000000-0009-0000-0000-000001000000}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2" topLeftCell="A3" activePane="bottomLeft" state="frozen"/>
      <selection pane="bottomLeft" activeCell="B9" sqref="B9"/>
    </sheetView>
  </sheetViews>
  <sheetFormatPr defaultColWidth="14.453125" defaultRowHeight="15" customHeight="1" x14ac:dyDescent="0.35"/>
  <cols>
    <col min="1" max="1" width="8.7265625" customWidth="1"/>
    <col min="2" max="2" width="10.54296875" customWidth="1"/>
    <col min="3" max="3" width="24.1796875" customWidth="1"/>
    <col min="4" max="4" width="38.26953125" customWidth="1"/>
    <col min="5" max="5" width="11.54296875" customWidth="1"/>
    <col min="6" max="6" width="10.7265625" customWidth="1"/>
    <col min="7" max="7" width="9.7265625" customWidth="1"/>
    <col min="8" max="8" width="10.7265625" customWidth="1"/>
    <col min="9" max="9" width="8.7265625" customWidth="1"/>
    <col min="10" max="10" width="10.54296875" bestFit="1" customWidth="1"/>
    <col min="11" max="15" width="8.7265625" customWidth="1"/>
    <col min="16" max="16" width="13.54296875" customWidth="1"/>
    <col min="17" max="20" width="8.7265625" customWidth="1"/>
    <col min="21" max="21" width="11.26953125" customWidth="1"/>
    <col min="22" max="22" width="8.7265625" customWidth="1"/>
    <col min="23" max="23" width="12" customWidth="1"/>
    <col min="24" max="26" width="8.7265625" customWidth="1"/>
  </cols>
  <sheetData>
    <row r="1" spans="1:26" ht="14.5" x14ac:dyDescent="0.35">
      <c r="E1" s="23">
        <f>SUBTOTAL(9,$E$3:$E$4919)</f>
        <v>30000000</v>
      </c>
      <c r="F1" s="53"/>
      <c r="G1" s="3"/>
      <c r="I1" s="116" t="s">
        <v>42</v>
      </c>
      <c r="J1" s="117">
        <f>SUM($E$3:$E$4920)-SUM($W:$W)</f>
        <v>0</v>
      </c>
      <c r="M1" s="118"/>
      <c r="N1" s="119" t="s">
        <v>67</v>
      </c>
      <c r="O1" s="120">
        <f>'AR Aging 20260320'!$N$2</f>
        <v>2</v>
      </c>
      <c r="R1" s="153" t="s">
        <v>43</v>
      </c>
      <c r="S1" s="154"/>
      <c r="T1" s="154"/>
      <c r="U1" s="154"/>
      <c r="V1" s="154"/>
      <c r="W1" s="154"/>
    </row>
    <row r="2" spans="1:26" ht="30" customHeight="1" x14ac:dyDescent="0.35">
      <c r="A2" s="54"/>
      <c r="B2" s="55" t="s">
        <v>44</v>
      </c>
      <c r="C2" s="56" t="s">
        <v>45</v>
      </c>
      <c r="D2" s="56" t="s">
        <v>46</v>
      </c>
      <c r="E2" s="56" t="s">
        <v>47</v>
      </c>
      <c r="F2" s="56" t="s">
        <v>48</v>
      </c>
      <c r="G2" s="55" t="s">
        <v>49</v>
      </c>
      <c r="H2" s="56" t="s">
        <v>50</v>
      </c>
      <c r="I2" s="58" t="s">
        <v>57</v>
      </c>
      <c r="J2" s="58" t="s">
        <v>58</v>
      </c>
      <c r="K2" s="57" t="s">
        <v>54</v>
      </c>
      <c r="L2" s="57" t="s">
        <v>53</v>
      </c>
      <c r="M2" s="57" t="s">
        <v>51</v>
      </c>
      <c r="N2" s="57" t="s">
        <v>52</v>
      </c>
      <c r="O2" s="57" t="s">
        <v>55</v>
      </c>
      <c r="P2" s="57" t="s">
        <v>56</v>
      </c>
      <c r="Q2" s="54"/>
      <c r="R2" s="52" t="s">
        <v>37</v>
      </c>
      <c r="S2" s="55" t="s">
        <v>59</v>
      </c>
      <c r="T2" s="55" t="s">
        <v>60</v>
      </c>
      <c r="U2" s="55" t="s">
        <v>61</v>
      </c>
      <c r="V2" s="55" t="s">
        <v>62</v>
      </c>
      <c r="W2" s="55" t="s">
        <v>63</v>
      </c>
      <c r="X2" s="54"/>
      <c r="Y2" s="54"/>
      <c r="Z2" s="54"/>
    </row>
    <row r="3" spans="1:26" ht="15.75" customHeight="1" x14ac:dyDescent="0.35">
      <c r="B3" s="59"/>
      <c r="C3" s="3"/>
      <c r="E3" s="23"/>
      <c r="F3" s="59"/>
      <c r="G3" s="3"/>
      <c r="H3" s="59"/>
      <c r="I3" s="2"/>
      <c r="J3" s="2"/>
      <c r="K3" s="2"/>
      <c r="L3" s="2"/>
      <c r="M3" s="2"/>
      <c r="N3" s="2"/>
      <c r="O3" s="2"/>
      <c r="P3" s="2"/>
      <c r="R3" s="3">
        <v>2026</v>
      </c>
      <c r="S3" s="2">
        <v>1</v>
      </c>
      <c r="T3" s="5">
        <v>46024</v>
      </c>
      <c r="U3" s="60">
        <f t="shared" ref="U3:U34" si="0">SUMIFS($E:$E,$O:$O,$S3,$P:$P,$R3)</f>
        <v>0</v>
      </c>
      <c r="W3" s="61">
        <f t="shared" ref="W3:W34" si="1">SUM(U3:V3)</f>
        <v>0</v>
      </c>
    </row>
    <row r="4" spans="1:26" ht="15.75" customHeight="1" x14ac:dyDescent="0.35">
      <c r="B4" s="59"/>
      <c r="C4" s="3"/>
      <c r="E4" s="23"/>
      <c r="F4" s="59"/>
      <c r="G4" s="3"/>
      <c r="H4" s="59"/>
      <c r="I4" s="2"/>
      <c r="J4" s="2"/>
      <c r="K4" s="2"/>
      <c r="L4" s="2"/>
      <c r="M4" s="2"/>
      <c r="N4" s="2"/>
      <c r="O4" s="2"/>
      <c r="P4" s="2"/>
      <c r="R4" s="3">
        <v>2026</v>
      </c>
      <c r="S4" s="2">
        <v>2</v>
      </c>
      <c r="T4" s="5">
        <f t="shared" ref="T4:T35" si="2">T3+7</f>
        <v>46031</v>
      </c>
      <c r="U4" s="60">
        <f>SUMIFS($E:$E,$O:$O,$S4,$P:$P,$R4)</f>
        <v>0</v>
      </c>
      <c r="W4" s="61">
        <f t="shared" si="1"/>
        <v>0</v>
      </c>
    </row>
    <row r="5" spans="1:26" ht="15.75" customHeight="1" x14ac:dyDescent="0.35">
      <c r="B5" s="59"/>
      <c r="C5" s="3"/>
      <c r="E5" s="23"/>
      <c r="F5" s="59"/>
      <c r="G5" s="3"/>
      <c r="H5" s="59"/>
      <c r="I5" s="2"/>
      <c r="J5" s="2"/>
      <c r="K5" s="2"/>
      <c r="L5" s="2"/>
      <c r="M5" s="2"/>
      <c r="N5" s="2"/>
      <c r="O5" s="2"/>
      <c r="P5" s="2"/>
      <c r="R5" s="3">
        <v>2026</v>
      </c>
      <c r="S5" s="2">
        <v>3</v>
      </c>
      <c r="T5" s="5">
        <f t="shared" si="2"/>
        <v>46038</v>
      </c>
      <c r="U5" s="60">
        <f t="shared" si="0"/>
        <v>0</v>
      </c>
      <c r="W5" s="61">
        <f t="shared" si="1"/>
        <v>0</v>
      </c>
    </row>
    <row r="6" spans="1:26" ht="15.75" customHeight="1" x14ac:dyDescent="0.35">
      <c r="B6" s="59"/>
      <c r="C6" s="3"/>
      <c r="E6" s="23"/>
      <c r="F6" s="59"/>
      <c r="G6" s="3"/>
      <c r="H6" s="59"/>
      <c r="I6" s="2"/>
      <c r="J6" s="2"/>
      <c r="K6" s="2"/>
      <c r="L6" s="2"/>
      <c r="M6" s="2"/>
      <c r="N6" s="2"/>
      <c r="O6" s="2"/>
      <c r="P6" s="2"/>
      <c r="R6" s="3">
        <v>2026</v>
      </c>
      <c r="S6" s="2">
        <v>4</v>
      </c>
      <c r="T6" s="5">
        <f t="shared" si="2"/>
        <v>46045</v>
      </c>
      <c r="U6" s="60">
        <f t="shared" si="0"/>
        <v>0</v>
      </c>
      <c r="W6" s="61">
        <f t="shared" si="1"/>
        <v>0</v>
      </c>
    </row>
    <row r="7" spans="1:26" ht="15.75" customHeight="1" x14ac:dyDescent="0.35">
      <c r="B7" s="62"/>
      <c r="C7" s="24"/>
      <c r="D7" s="24"/>
      <c r="E7" s="28"/>
      <c r="F7" s="62"/>
      <c r="G7" s="78"/>
      <c r="H7" s="62"/>
      <c r="I7" s="63"/>
      <c r="J7" s="63"/>
      <c r="K7" s="63"/>
      <c r="L7" s="63"/>
      <c r="M7" s="63"/>
      <c r="N7" s="63"/>
      <c r="O7" s="63"/>
      <c r="P7" s="63"/>
      <c r="R7" s="3">
        <v>2026</v>
      </c>
      <c r="S7" s="2">
        <v>5</v>
      </c>
      <c r="T7" s="5">
        <f t="shared" si="2"/>
        <v>46052</v>
      </c>
      <c r="U7" s="60">
        <f t="shared" si="0"/>
        <v>0</v>
      </c>
      <c r="W7" s="61">
        <f t="shared" si="1"/>
        <v>0</v>
      </c>
    </row>
    <row r="8" spans="1:26" ht="15.75" customHeight="1" x14ac:dyDescent="0.35">
      <c r="B8" s="59">
        <v>46142</v>
      </c>
      <c r="C8" s="3" t="s">
        <v>93</v>
      </c>
      <c r="E8" s="23">
        <v>1000000</v>
      </c>
      <c r="F8" s="59">
        <v>46142</v>
      </c>
      <c r="G8" s="3">
        <v>45</v>
      </c>
      <c r="H8" s="59">
        <f t="shared" ref="H8:H26" si="3">F8+G8</f>
        <v>46187</v>
      </c>
      <c r="I8" s="2">
        <f t="shared" ref="I8:I28" si="4">MONTH(B8)</f>
        <v>4</v>
      </c>
      <c r="J8" s="2">
        <f t="shared" ref="J8:J28" si="5">YEAR(B8)</f>
        <v>2026</v>
      </c>
      <c r="K8" s="2">
        <f t="shared" ref="K8:K32" si="6">WEEKNUM($F8)</f>
        <v>18</v>
      </c>
      <c r="L8" s="2">
        <f t="shared" ref="L8:L32" si="7">YEAR($F8)</f>
        <v>2026</v>
      </c>
      <c r="M8" s="2">
        <f t="shared" ref="M8:M32" si="8">WEEKNUM($H8)</f>
        <v>25</v>
      </c>
      <c r="N8" s="2">
        <f t="shared" ref="N8:N32" si="9">YEAR(H8)</f>
        <v>2026</v>
      </c>
      <c r="O8" s="2">
        <f t="shared" ref="O8:O32" si="10">IF(ISBLANK($B8),"",IF($M8&lt;51,$M8+$O$1,$M8-52+$O$1))</f>
        <v>27</v>
      </c>
      <c r="P8" s="2">
        <f t="shared" ref="P8:P32" si="11">IF(ISBLANK($B8),"",IF($M8&lt;51,YEAR($H8),YEAR($H8)+1))</f>
        <v>2026</v>
      </c>
      <c r="Q8" s="3"/>
      <c r="R8" s="3">
        <v>2026</v>
      </c>
      <c r="S8" s="2">
        <v>6</v>
      </c>
      <c r="T8" s="5">
        <f t="shared" si="2"/>
        <v>46059</v>
      </c>
      <c r="U8" s="60">
        <f t="shared" si="0"/>
        <v>0</v>
      </c>
      <c r="W8" s="61">
        <f t="shared" si="1"/>
        <v>0</v>
      </c>
    </row>
    <row r="9" spans="1:26" ht="15.75" customHeight="1" x14ac:dyDescent="0.35">
      <c r="B9" s="59">
        <v>46142</v>
      </c>
      <c r="C9" s="3" t="s">
        <v>93</v>
      </c>
      <c r="E9" s="23">
        <v>1000000</v>
      </c>
      <c r="F9" s="59">
        <v>46173</v>
      </c>
      <c r="G9" s="3">
        <v>45</v>
      </c>
      <c r="H9" s="59">
        <f t="shared" si="3"/>
        <v>46218</v>
      </c>
      <c r="I9" s="2">
        <f t="shared" si="4"/>
        <v>4</v>
      </c>
      <c r="J9" s="2">
        <f t="shared" si="5"/>
        <v>2026</v>
      </c>
      <c r="K9" s="2">
        <f t="shared" si="6"/>
        <v>23</v>
      </c>
      <c r="L9" s="2">
        <f t="shared" si="7"/>
        <v>2026</v>
      </c>
      <c r="M9" s="2">
        <f t="shared" si="8"/>
        <v>29</v>
      </c>
      <c r="N9" s="2">
        <f t="shared" si="9"/>
        <v>2026</v>
      </c>
      <c r="O9" s="2">
        <f t="shared" si="10"/>
        <v>31</v>
      </c>
      <c r="P9" s="2">
        <f t="shared" si="11"/>
        <v>2026</v>
      </c>
      <c r="R9" s="3">
        <v>2026</v>
      </c>
      <c r="S9" s="2">
        <v>7</v>
      </c>
      <c r="T9" s="5">
        <f t="shared" si="2"/>
        <v>46066</v>
      </c>
      <c r="U9" s="60">
        <f t="shared" si="0"/>
        <v>0</v>
      </c>
      <c r="W9" s="61">
        <f t="shared" si="1"/>
        <v>0</v>
      </c>
    </row>
    <row r="10" spans="1:26" ht="15.75" customHeight="1" x14ac:dyDescent="0.35">
      <c r="B10" s="59">
        <v>46142</v>
      </c>
      <c r="C10" s="3" t="s">
        <v>93</v>
      </c>
      <c r="E10" s="23">
        <v>1000000</v>
      </c>
      <c r="F10" s="59">
        <v>46203</v>
      </c>
      <c r="G10" s="3">
        <v>45</v>
      </c>
      <c r="H10" s="59">
        <f t="shared" si="3"/>
        <v>46248</v>
      </c>
      <c r="I10" s="2">
        <f t="shared" si="4"/>
        <v>4</v>
      </c>
      <c r="J10" s="2">
        <f t="shared" si="5"/>
        <v>2026</v>
      </c>
      <c r="K10" s="2">
        <f t="shared" si="6"/>
        <v>27</v>
      </c>
      <c r="L10" s="2">
        <f t="shared" si="7"/>
        <v>2026</v>
      </c>
      <c r="M10" s="2">
        <f t="shared" si="8"/>
        <v>33</v>
      </c>
      <c r="N10" s="2">
        <f t="shared" si="9"/>
        <v>2026</v>
      </c>
      <c r="O10" s="2">
        <f t="shared" si="10"/>
        <v>35</v>
      </c>
      <c r="P10" s="2">
        <f t="shared" si="11"/>
        <v>2026</v>
      </c>
      <c r="R10" s="3">
        <v>2026</v>
      </c>
      <c r="S10" s="2">
        <v>8</v>
      </c>
      <c r="T10" s="5">
        <f t="shared" si="2"/>
        <v>46073</v>
      </c>
      <c r="U10" s="60">
        <f t="shared" si="0"/>
        <v>0</v>
      </c>
      <c r="W10" s="61">
        <f t="shared" si="1"/>
        <v>0</v>
      </c>
    </row>
    <row r="11" spans="1:26" ht="15.75" customHeight="1" x14ac:dyDescent="0.35">
      <c r="B11" s="59">
        <v>46142</v>
      </c>
      <c r="C11" s="3" t="s">
        <v>93</v>
      </c>
      <c r="E11" s="23">
        <v>1000000</v>
      </c>
      <c r="F11" s="59">
        <v>46234</v>
      </c>
      <c r="G11" s="3">
        <v>45</v>
      </c>
      <c r="H11" s="59">
        <f t="shared" si="3"/>
        <v>46279</v>
      </c>
      <c r="I11" s="2">
        <f t="shared" si="4"/>
        <v>4</v>
      </c>
      <c r="J11" s="2">
        <f t="shared" si="5"/>
        <v>2026</v>
      </c>
      <c r="K11" s="2">
        <f t="shared" si="6"/>
        <v>31</v>
      </c>
      <c r="L11" s="2">
        <f t="shared" si="7"/>
        <v>2026</v>
      </c>
      <c r="M11" s="2">
        <f t="shared" si="8"/>
        <v>38</v>
      </c>
      <c r="N11" s="2">
        <f t="shared" si="9"/>
        <v>2026</v>
      </c>
      <c r="O11" s="2">
        <f t="shared" si="10"/>
        <v>40</v>
      </c>
      <c r="P11" s="2">
        <f t="shared" si="11"/>
        <v>2026</v>
      </c>
      <c r="R11" s="3">
        <v>2026</v>
      </c>
      <c r="S11" s="2">
        <v>9</v>
      </c>
      <c r="T11" s="5">
        <f t="shared" si="2"/>
        <v>46080</v>
      </c>
      <c r="U11" s="60">
        <f t="shared" si="0"/>
        <v>0</v>
      </c>
      <c r="W11" s="61">
        <f t="shared" si="1"/>
        <v>0</v>
      </c>
    </row>
    <row r="12" spans="1:26" ht="15.75" customHeight="1" x14ac:dyDescent="0.35">
      <c r="B12" s="62">
        <v>46142</v>
      </c>
      <c r="C12" s="24" t="s">
        <v>93</v>
      </c>
      <c r="D12" s="24"/>
      <c r="E12" s="28">
        <v>1000000</v>
      </c>
      <c r="F12" s="62">
        <v>46265</v>
      </c>
      <c r="G12" s="78">
        <v>45</v>
      </c>
      <c r="H12" s="62">
        <f t="shared" si="3"/>
        <v>46310</v>
      </c>
      <c r="I12" s="63">
        <f t="shared" si="4"/>
        <v>4</v>
      </c>
      <c r="J12" s="63">
        <f t="shared" si="5"/>
        <v>2026</v>
      </c>
      <c r="K12" s="63">
        <f t="shared" si="6"/>
        <v>36</v>
      </c>
      <c r="L12" s="63">
        <f t="shared" si="7"/>
        <v>2026</v>
      </c>
      <c r="M12" s="63">
        <f t="shared" si="8"/>
        <v>42</v>
      </c>
      <c r="N12" s="63">
        <f t="shared" si="9"/>
        <v>2026</v>
      </c>
      <c r="O12" s="63">
        <f t="shared" si="10"/>
        <v>44</v>
      </c>
      <c r="P12" s="63">
        <f t="shared" si="11"/>
        <v>2026</v>
      </c>
      <c r="R12" s="3">
        <v>2026</v>
      </c>
      <c r="S12" s="2">
        <v>10</v>
      </c>
      <c r="T12" s="5">
        <f t="shared" si="2"/>
        <v>46087</v>
      </c>
      <c r="U12" s="60">
        <f t="shared" si="0"/>
        <v>0</v>
      </c>
      <c r="W12" s="61">
        <f t="shared" si="1"/>
        <v>0</v>
      </c>
    </row>
    <row r="13" spans="1:26" ht="15.75" customHeight="1" x14ac:dyDescent="0.35">
      <c r="B13" s="59">
        <v>46173</v>
      </c>
      <c r="C13" s="3" t="s">
        <v>93</v>
      </c>
      <c r="E13" s="23">
        <v>1000000</v>
      </c>
      <c r="F13" s="59">
        <v>46173</v>
      </c>
      <c r="G13" s="3">
        <v>45</v>
      </c>
      <c r="H13" s="59">
        <f t="shared" si="3"/>
        <v>46218</v>
      </c>
      <c r="I13" s="2">
        <f t="shared" si="4"/>
        <v>5</v>
      </c>
      <c r="J13" s="2">
        <f t="shared" si="5"/>
        <v>2026</v>
      </c>
      <c r="K13" s="2">
        <f t="shared" si="6"/>
        <v>23</v>
      </c>
      <c r="L13" s="2">
        <f t="shared" si="7"/>
        <v>2026</v>
      </c>
      <c r="M13" s="2">
        <f t="shared" si="8"/>
        <v>29</v>
      </c>
      <c r="N13" s="2">
        <f t="shared" si="9"/>
        <v>2026</v>
      </c>
      <c r="O13" s="2">
        <f t="shared" si="10"/>
        <v>31</v>
      </c>
      <c r="P13" s="2">
        <f t="shared" si="11"/>
        <v>2026</v>
      </c>
      <c r="R13" s="3">
        <v>2026</v>
      </c>
      <c r="S13" s="2">
        <v>11</v>
      </c>
      <c r="T13" s="5">
        <f t="shared" si="2"/>
        <v>46094</v>
      </c>
      <c r="U13" s="60">
        <f t="shared" si="0"/>
        <v>0</v>
      </c>
      <c r="W13" s="61">
        <f t="shared" si="1"/>
        <v>0</v>
      </c>
    </row>
    <row r="14" spans="1:26" ht="15.75" customHeight="1" x14ac:dyDescent="0.35">
      <c r="B14" s="59">
        <v>46173</v>
      </c>
      <c r="C14" s="3" t="s">
        <v>93</v>
      </c>
      <c r="E14" s="23">
        <v>1000000</v>
      </c>
      <c r="F14" s="59">
        <v>46203</v>
      </c>
      <c r="G14" s="3">
        <v>45</v>
      </c>
      <c r="H14" s="59">
        <f t="shared" si="3"/>
        <v>46248</v>
      </c>
      <c r="I14" s="2">
        <f t="shared" si="4"/>
        <v>5</v>
      </c>
      <c r="J14" s="2">
        <f t="shared" si="5"/>
        <v>2026</v>
      </c>
      <c r="K14" s="2">
        <f t="shared" si="6"/>
        <v>27</v>
      </c>
      <c r="L14" s="2">
        <f t="shared" si="7"/>
        <v>2026</v>
      </c>
      <c r="M14" s="2">
        <f t="shared" si="8"/>
        <v>33</v>
      </c>
      <c r="N14" s="2">
        <f t="shared" si="9"/>
        <v>2026</v>
      </c>
      <c r="O14" s="2">
        <f t="shared" si="10"/>
        <v>35</v>
      </c>
      <c r="P14" s="2">
        <f t="shared" si="11"/>
        <v>2026</v>
      </c>
      <c r="R14" s="3">
        <v>2026</v>
      </c>
      <c r="S14" s="2">
        <v>12</v>
      </c>
      <c r="T14" s="5">
        <f t="shared" si="2"/>
        <v>46101</v>
      </c>
      <c r="U14" s="60">
        <f t="shared" si="0"/>
        <v>0</v>
      </c>
      <c r="W14" s="61">
        <f t="shared" si="1"/>
        <v>0</v>
      </c>
    </row>
    <row r="15" spans="1:26" ht="15.75" customHeight="1" x14ac:dyDescent="0.35">
      <c r="B15" s="59">
        <v>46173</v>
      </c>
      <c r="C15" s="3" t="s">
        <v>93</v>
      </c>
      <c r="E15" s="23">
        <v>1000000</v>
      </c>
      <c r="F15" s="59">
        <v>46234</v>
      </c>
      <c r="G15" s="3">
        <v>45</v>
      </c>
      <c r="H15" s="59">
        <f t="shared" si="3"/>
        <v>46279</v>
      </c>
      <c r="I15" s="2">
        <f t="shared" si="4"/>
        <v>5</v>
      </c>
      <c r="J15" s="2">
        <f t="shared" si="5"/>
        <v>2026</v>
      </c>
      <c r="K15" s="2">
        <f t="shared" si="6"/>
        <v>31</v>
      </c>
      <c r="L15" s="2">
        <f t="shared" si="7"/>
        <v>2026</v>
      </c>
      <c r="M15" s="2">
        <f t="shared" si="8"/>
        <v>38</v>
      </c>
      <c r="N15" s="2">
        <f t="shared" si="9"/>
        <v>2026</v>
      </c>
      <c r="O15" s="2">
        <f t="shared" si="10"/>
        <v>40</v>
      </c>
      <c r="P15" s="2">
        <f t="shared" si="11"/>
        <v>2026</v>
      </c>
      <c r="R15" s="3">
        <v>2026</v>
      </c>
      <c r="S15" s="2">
        <v>13</v>
      </c>
      <c r="T15" s="5">
        <f t="shared" si="2"/>
        <v>46108</v>
      </c>
      <c r="U15" s="60">
        <f t="shared" si="0"/>
        <v>0</v>
      </c>
      <c r="W15" s="61">
        <f t="shared" si="1"/>
        <v>0</v>
      </c>
    </row>
    <row r="16" spans="1:26" ht="15.75" customHeight="1" x14ac:dyDescent="0.35">
      <c r="B16" s="59">
        <v>46173</v>
      </c>
      <c r="C16" s="3" t="s">
        <v>93</v>
      </c>
      <c r="E16" s="23">
        <v>1000000</v>
      </c>
      <c r="F16" s="59">
        <v>46265</v>
      </c>
      <c r="G16" s="3">
        <v>45</v>
      </c>
      <c r="H16" s="59">
        <f t="shared" si="3"/>
        <v>46310</v>
      </c>
      <c r="I16" s="2">
        <f t="shared" si="4"/>
        <v>5</v>
      </c>
      <c r="J16" s="2">
        <f t="shared" si="5"/>
        <v>2026</v>
      </c>
      <c r="K16" s="2">
        <f t="shared" si="6"/>
        <v>36</v>
      </c>
      <c r="L16" s="2">
        <f t="shared" si="7"/>
        <v>2026</v>
      </c>
      <c r="M16" s="2">
        <f t="shared" si="8"/>
        <v>42</v>
      </c>
      <c r="N16" s="2">
        <f t="shared" si="9"/>
        <v>2026</v>
      </c>
      <c r="O16" s="2">
        <f t="shared" si="10"/>
        <v>44</v>
      </c>
      <c r="P16" s="2">
        <f t="shared" si="11"/>
        <v>2026</v>
      </c>
      <c r="R16" s="3">
        <v>2026</v>
      </c>
      <c r="S16" s="2">
        <v>14</v>
      </c>
      <c r="T16" s="5">
        <f t="shared" si="2"/>
        <v>46115</v>
      </c>
      <c r="U16" s="60">
        <f t="shared" si="0"/>
        <v>0</v>
      </c>
      <c r="W16" s="61">
        <f t="shared" si="1"/>
        <v>0</v>
      </c>
    </row>
    <row r="17" spans="2:23" ht="15.75" customHeight="1" x14ac:dyDescent="0.35">
      <c r="B17" s="62">
        <v>46173</v>
      </c>
      <c r="C17" s="24" t="s">
        <v>93</v>
      </c>
      <c r="D17" s="24"/>
      <c r="E17" s="28">
        <v>1000000</v>
      </c>
      <c r="F17" s="62">
        <v>46295</v>
      </c>
      <c r="G17" s="78">
        <v>45</v>
      </c>
      <c r="H17" s="62">
        <f t="shared" si="3"/>
        <v>46340</v>
      </c>
      <c r="I17" s="63">
        <f t="shared" si="4"/>
        <v>5</v>
      </c>
      <c r="J17" s="63">
        <f t="shared" si="5"/>
        <v>2026</v>
      </c>
      <c r="K17" s="63">
        <f t="shared" si="6"/>
        <v>40</v>
      </c>
      <c r="L17" s="63">
        <f t="shared" si="7"/>
        <v>2026</v>
      </c>
      <c r="M17" s="63">
        <f t="shared" si="8"/>
        <v>46</v>
      </c>
      <c r="N17" s="63">
        <f t="shared" si="9"/>
        <v>2026</v>
      </c>
      <c r="O17" s="63">
        <f t="shared" si="10"/>
        <v>48</v>
      </c>
      <c r="P17" s="63">
        <f t="shared" si="11"/>
        <v>2026</v>
      </c>
      <c r="R17" s="3">
        <v>2026</v>
      </c>
      <c r="S17" s="2">
        <v>15</v>
      </c>
      <c r="T17" s="5">
        <f t="shared" si="2"/>
        <v>46122</v>
      </c>
      <c r="U17" s="60">
        <f t="shared" si="0"/>
        <v>0</v>
      </c>
      <c r="W17" s="61">
        <f t="shared" si="1"/>
        <v>0</v>
      </c>
    </row>
    <row r="18" spans="2:23" ht="15.75" customHeight="1" x14ac:dyDescent="0.35">
      <c r="B18" s="59">
        <v>46203</v>
      </c>
      <c r="C18" s="3" t="s">
        <v>93</v>
      </c>
      <c r="E18" s="23">
        <v>1000000</v>
      </c>
      <c r="F18" s="59">
        <v>46203</v>
      </c>
      <c r="G18" s="3">
        <v>45</v>
      </c>
      <c r="H18" s="59">
        <f t="shared" si="3"/>
        <v>46248</v>
      </c>
      <c r="I18" s="2">
        <f t="shared" si="4"/>
        <v>6</v>
      </c>
      <c r="J18" s="2">
        <f t="shared" si="5"/>
        <v>2026</v>
      </c>
      <c r="K18" s="2">
        <f t="shared" si="6"/>
        <v>27</v>
      </c>
      <c r="L18" s="2">
        <f t="shared" si="7"/>
        <v>2026</v>
      </c>
      <c r="M18" s="2">
        <f t="shared" si="8"/>
        <v>33</v>
      </c>
      <c r="N18" s="2">
        <f t="shared" si="9"/>
        <v>2026</v>
      </c>
      <c r="O18" s="2">
        <f t="shared" si="10"/>
        <v>35</v>
      </c>
      <c r="P18" s="2">
        <f t="shared" si="11"/>
        <v>2026</v>
      </c>
      <c r="R18" s="3">
        <v>2026</v>
      </c>
      <c r="S18" s="2">
        <v>16</v>
      </c>
      <c r="T18" s="5">
        <f t="shared" si="2"/>
        <v>46129</v>
      </c>
      <c r="U18" s="60">
        <f t="shared" si="0"/>
        <v>0</v>
      </c>
      <c r="W18" s="61">
        <f t="shared" si="1"/>
        <v>0</v>
      </c>
    </row>
    <row r="19" spans="2:23" ht="15.75" customHeight="1" x14ac:dyDescent="0.35">
      <c r="B19" s="59">
        <v>46203</v>
      </c>
      <c r="C19" s="3" t="s">
        <v>93</v>
      </c>
      <c r="E19" s="23">
        <v>1000000</v>
      </c>
      <c r="F19" s="59">
        <v>46234</v>
      </c>
      <c r="G19" s="3">
        <v>45</v>
      </c>
      <c r="H19" s="59">
        <f t="shared" si="3"/>
        <v>46279</v>
      </c>
      <c r="I19" s="2">
        <f t="shared" si="4"/>
        <v>6</v>
      </c>
      <c r="J19" s="2">
        <f t="shared" si="5"/>
        <v>2026</v>
      </c>
      <c r="K19" s="2">
        <f t="shared" si="6"/>
        <v>31</v>
      </c>
      <c r="L19" s="2">
        <f t="shared" si="7"/>
        <v>2026</v>
      </c>
      <c r="M19" s="2">
        <f t="shared" si="8"/>
        <v>38</v>
      </c>
      <c r="N19" s="2">
        <f t="shared" si="9"/>
        <v>2026</v>
      </c>
      <c r="O19" s="2">
        <f t="shared" si="10"/>
        <v>40</v>
      </c>
      <c r="P19" s="2">
        <f t="shared" si="11"/>
        <v>2026</v>
      </c>
      <c r="R19" s="3">
        <v>2026</v>
      </c>
      <c r="S19" s="2">
        <v>17</v>
      </c>
      <c r="T19" s="5">
        <f t="shared" si="2"/>
        <v>46136</v>
      </c>
      <c r="U19" s="60">
        <f t="shared" si="0"/>
        <v>0</v>
      </c>
      <c r="W19" s="61">
        <f t="shared" si="1"/>
        <v>0</v>
      </c>
    </row>
    <row r="20" spans="2:23" ht="15.75" customHeight="1" x14ac:dyDescent="0.35">
      <c r="B20" s="59">
        <v>46203</v>
      </c>
      <c r="C20" s="3" t="s">
        <v>93</v>
      </c>
      <c r="E20" s="23">
        <v>1000000</v>
      </c>
      <c r="F20" s="59">
        <v>46265</v>
      </c>
      <c r="G20" s="3">
        <v>45</v>
      </c>
      <c r="H20" s="59">
        <f t="shared" si="3"/>
        <v>46310</v>
      </c>
      <c r="I20" s="2">
        <f t="shared" si="4"/>
        <v>6</v>
      </c>
      <c r="J20" s="2">
        <f t="shared" si="5"/>
        <v>2026</v>
      </c>
      <c r="K20" s="2">
        <f t="shared" si="6"/>
        <v>36</v>
      </c>
      <c r="L20" s="2">
        <f t="shared" si="7"/>
        <v>2026</v>
      </c>
      <c r="M20" s="2">
        <f t="shared" si="8"/>
        <v>42</v>
      </c>
      <c r="N20" s="2">
        <f t="shared" si="9"/>
        <v>2026</v>
      </c>
      <c r="O20" s="2">
        <f t="shared" si="10"/>
        <v>44</v>
      </c>
      <c r="P20" s="2">
        <f t="shared" si="11"/>
        <v>2026</v>
      </c>
      <c r="R20" s="3">
        <v>2026</v>
      </c>
      <c r="S20" s="2">
        <v>18</v>
      </c>
      <c r="T20" s="5">
        <f t="shared" si="2"/>
        <v>46143</v>
      </c>
      <c r="U20" s="60">
        <f t="shared" si="0"/>
        <v>0</v>
      </c>
      <c r="W20" s="61">
        <f t="shared" si="1"/>
        <v>0</v>
      </c>
    </row>
    <row r="21" spans="2:23" ht="15.75" customHeight="1" x14ac:dyDescent="0.35">
      <c r="B21" s="59">
        <v>46203</v>
      </c>
      <c r="C21" s="3" t="s">
        <v>93</v>
      </c>
      <c r="E21" s="23">
        <v>1000000</v>
      </c>
      <c r="F21" s="59">
        <v>46295</v>
      </c>
      <c r="G21" s="3">
        <v>45</v>
      </c>
      <c r="H21" s="59">
        <f t="shared" si="3"/>
        <v>46340</v>
      </c>
      <c r="I21" s="2">
        <f t="shared" si="4"/>
        <v>6</v>
      </c>
      <c r="J21" s="2">
        <f t="shared" si="5"/>
        <v>2026</v>
      </c>
      <c r="K21" s="2">
        <f t="shared" si="6"/>
        <v>40</v>
      </c>
      <c r="L21" s="2">
        <f t="shared" si="7"/>
        <v>2026</v>
      </c>
      <c r="M21" s="2">
        <f t="shared" si="8"/>
        <v>46</v>
      </c>
      <c r="N21" s="2">
        <f t="shared" si="9"/>
        <v>2026</v>
      </c>
      <c r="O21" s="2">
        <f t="shared" si="10"/>
        <v>48</v>
      </c>
      <c r="P21" s="2">
        <f t="shared" si="11"/>
        <v>2026</v>
      </c>
      <c r="R21" s="3">
        <v>2026</v>
      </c>
      <c r="S21" s="2">
        <v>19</v>
      </c>
      <c r="T21" s="5">
        <f t="shared" si="2"/>
        <v>46150</v>
      </c>
      <c r="U21" s="60">
        <f t="shared" si="0"/>
        <v>0</v>
      </c>
      <c r="W21" s="61">
        <f t="shared" si="1"/>
        <v>0</v>
      </c>
    </row>
    <row r="22" spans="2:23" ht="15.75" customHeight="1" x14ac:dyDescent="0.35">
      <c r="B22" s="121">
        <v>46203</v>
      </c>
      <c r="C22" s="78" t="s">
        <v>93</v>
      </c>
      <c r="D22" s="78"/>
      <c r="E22" s="122">
        <v>1000000</v>
      </c>
      <c r="F22" s="121">
        <v>46326</v>
      </c>
      <c r="G22" s="78">
        <v>45</v>
      </c>
      <c r="H22" s="121">
        <f t="shared" si="3"/>
        <v>46371</v>
      </c>
      <c r="I22" s="123">
        <f t="shared" si="4"/>
        <v>6</v>
      </c>
      <c r="J22" s="123">
        <f t="shared" si="5"/>
        <v>2026</v>
      </c>
      <c r="K22" s="123">
        <f t="shared" si="6"/>
        <v>44</v>
      </c>
      <c r="L22" s="123">
        <f t="shared" si="7"/>
        <v>2026</v>
      </c>
      <c r="M22" s="123">
        <f t="shared" si="8"/>
        <v>51</v>
      </c>
      <c r="N22" s="123">
        <f t="shared" si="9"/>
        <v>2026</v>
      </c>
      <c r="O22" s="123">
        <f t="shared" si="10"/>
        <v>1</v>
      </c>
      <c r="P22" s="123">
        <f t="shared" si="11"/>
        <v>2027</v>
      </c>
      <c r="R22" s="3">
        <v>2026</v>
      </c>
      <c r="S22" s="2">
        <v>20</v>
      </c>
      <c r="T22" s="5">
        <f t="shared" si="2"/>
        <v>46157</v>
      </c>
      <c r="U22" s="60">
        <f t="shared" si="0"/>
        <v>0</v>
      </c>
      <c r="W22" s="61">
        <f t="shared" si="1"/>
        <v>0</v>
      </c>
    </row>
    <row r="23" spans="2:23" ht="15.75" customHeight="1" x14ac:dyDescent="0.35">
      <c r="B23" s="59">
        <v>46234</v>
      </c>
      <c r="C23" s="151" t="s">
        <v>352</v>
      </c>
      <c r="E23" s="23">
        <v>1000000</v>
      </c>
      <c r="F23" s="59">
        <v>46234</v>
      </c>
      <c r="G23" s="3">
        <v>45</v>
      </c>
      <c r="H23" s="59">
        <f t="shared" si="3"/>
        <v>46279</v>
      </c>
      <c r="I23" s="2">
        <f t="shared" si="4"/>
        <v>7</v>
      </c>
      <c r="J23" s="2">
        <f t="shared" si="5"/>
        <v>2026</v>
      </c>
      <c r="K23" s="2">
        <f t="shared" si="6"/>
        <v>31</v>
      </c>
      <c r="L23" s="2">
        <f t="shared" si="7"/>
        <v>2026</v>
      </c>
      <c r="M23" s="2">
        <f t="shared" si="8"/>
        <v>38</v>
      </c>
      <c r="N23" s="2">
        <f t="shared" si="9"/>
        <v>2026</v>
      </c>
      <c r="O23" s="2">
        <f t="shared" si="10"/>
        <v>40</v>
      </c>
      <c r="P23" s="2">
        <f t="shared" si="11"/>
        <v>2026</v>
      </c>
      <c r="R23" s="3">
        <v>2026</v>
      </c>
      <c r="S23" s="2">
        <v>21</v>
      </c>
      <c r="T23" s="5">
        <f t="shared" si="2"/>
        <v>46164</v>
      </c>
      <c r="U23" s="60">
        <f t="shared" si="0"/>
        <v>0</v>
      </c>
      <c r="W23" s="61">
        <f t="shared" si="1"/>
        <v>0</v>
      </c>
    </row>
    <row r="24" spans="2:23" ht="15.75" customHeight="1" x14ac:dyDescent="0.35">
      <c r="B24" s="59">
        <v>46234</v>
      </c>
      <c r="C24" s="151" t="s">
        <v>352</v>
      </c>
      <c r="E24" s="23">
        <v>1000000</v>
      </c>
      <c r="F24" s="59">
        <v>46265</v>
      </c>
      <c r="G24" s="3">
        <v>45</v>
      </c>
      <c r="H24" s="59">
        <f t="shared" si="3"/>
        <v>46310</v>
      </c>
      <c r="I24" s="2">
        <f t="shared" si="4"/>
        <v>7</v>
      </c>
      <c r="J24" s="2">
        <f t="shared" si="5"/>
        <v>2026</v>
      </c>
      <c r="K24" s="2">
        <f t="shared" si="6"/>
        <v>36</v>
      </c>
      <c r="L24" s="2">
        <f t="shared" si="7"/>
        <v>2026</v>
      </c>
      <c r="M24" s="2">
        <f t="shared" si="8"/>
        <v>42</v>
      </c>
      <c r="N24" s="2">
        <f t="shared" si="9"/>
        <v>2026</v>
      </c>
      <c r="O24" s="2">
        <f t="shared" si="10"/>
        <v>44</v>
      </c>
      <c r="P24" s="2">
        <f t="shared" si="11"/>
        <v>2026</v>
      </c>
      <c r="R24" s="3">
        <v>2026</v>
      </c>
      <c r="S24" s="2">
        <v>22</v>
      </c>
      <c r="T24" s="5">
        <f t="shared" si="2"/>
        <v>46171</v>
      </c>
      <c r="U24" s="60">
        <f t="shared" si="0"/>
        <v>0</v>
      </c>
      <c r="W24" s="61">
        <f t="shared" si="1"/>
        <v>0</v>
      </c>
    </row>
    <row r="25" spans="2:23" ht="15.75" customHeight="1" x14ac:dyDescent="0.35">
      <c r="B25" s="59">
        <v>46234</v>
      </c>
      <c r="C25" s="151" t="s">
        <v>352</v>
      </c>
      <c r="E25" s="23">
        <v>1000000</v>
      </c>
      <c r="F25" s="59">
        <v>46295</v>
      </c>
      <c r="G25" s="3">
        <v>45</v>
      </c>
      <c r="H25" s="59">
        <f t="shared" si="3"/>
        <v>46340</v>
      </c>
      <c r="I25" s="2">
        <f t="shared" si="4"/>
        <v>7</v>
      </c>
      <c r="J25" s="2">
        <f t="shared" si="5"/>
        <v>2026</v>
      </c>
      <c r="K25" s="2">
        <f t="shared" si="6"/>
        <v>40</v>
      </c>
      <c r="L25" s="2">
        <f t="shared" si="7"/>
        <v>2026</v>
      </c>
      <c r="M25" s="2">
        <f t="shared" si="8"/>
        <v>46</v>
      </c>
      <c r="N25" s="2">
        <f t="shared" si="9"/>
        <v>2026</v>
      </c>
      <c r="O25" s="2">
        <f t="shared" si="10"/>
        <v>48</v>
      </c>
      <c r="P25" s="2">
        <f t="shared" si="11"/>
        <v>2026</v>
      </c>
      <c r="R25" s="3">
        <v>2026</v>
      </c>
      <c r="S25" s="2">
        <v>23</v>
      </c>
      <c r="T25" s="5">
        <f t="shared" si="2"/>
        <v>46178</v>
      </c>
      <c r="U25" s="60">
        <f t="shared" si="0"/>
        <v>0</v>
      </c>
      <c r="W25" s="61">
        <f t="shared" si="1"/>
        <v>0</v>
      </c>
    </row>
    <row r="26" spans="2:23" ht="15.75" customHeight="1" x14ac:dyDescent="0.35">
      <c r="B26" s="59">
        <v>46234</v>
      </c>
      <c r="C26" s="151" t="s">
        <v>352</v>
      </c>
      <c r="E26" s="23">
        <v>1000000</v>
      </c>
      <c r="F26" s="59">
        <v>46326</v>
      </c>
      <c r="G26" s="3">
        <v>45</v>
      </c>
      <c r="H26" s="59">
        <f t="shared" si="3"/>
        <v>46371</v>
      </c>
      <c r="I26" s="2">
        <f t="shared" si="4"/>
        <v>7</v>
      </c>
      <c r="J26" s="2">
        <f t="shared" si="5"/>
        <v>2026</v>
      </c>
      <c r="K26" s="2">
        <f t="shared" si="6"/>
        <v>44</v>
      </c>
      <c r="L26" s="2">
        <f t="shared" si="7"/>
        <v>2026</v>
      </c>
      <c r="M26" s="2">
        <f t="shared" si="8"/>
        <v>51</v>
      </c>
      <c r="N26" s="2">
        <f t="shared" si="9"/>
        <v>2026</v>
      </c>
      <c r="O26" s="2">
        <f t="shared" si="10"/>
        <v>1</v>
      </c>
      <c r="P26" s="2">
        <f t="shared" si="11"/>
        <v>2027</v>
      </c>
      <c r="R26" s="3">
        <v>2026</v>
      </c>
      <c r="S26" s="2">
        <v>24</v>
      </c>
      <c r="T26" s="5">
        <f t="shared" si="2"/>
        <v>46185</v>
      </c>
      <c r="U26" s="60">
        <f t="shared" si="0"/>
        <v>0</v>
      </c>
      <c r="W26" s="61">
        <f t="shared" si="1"/>
        <v>0</v>
      </c>
    </row>
    <row r="27" spans="2:23" ht="15.75" customHeight="1" x14ac:dyDescent="0.35">
      <c r="B27" s="121">
        <v>46234</v>
      </c>
      <c r="C27" s="78" t="s">
        <v>352</v>
      </c>
      <c r="D27" s="24"/>
      <c r="E27" s="122">
        <v>1000000</v>
      </c>
      <c r="F27" s="62">
        <v>46356</v>
      </c>
      <c r="G27" s="78">
        <v>45</v>
      </c>
      <c r="H27" s="62">
        <v>46402</v>
      </c>
      <c r="I27" s="123">
        <f t="shared" si="4"/>
        <v>7</v>
      </c>
      <c r="J27" s="123">
        <f t="shared" si="5"/>
        <v>2026</v>
      </c>
      <c r="K27" s="123">
        <f t="shared" si="6"/>
        <v>49</v>
      </c>
      <c r="L27" s="123">
        <f t="shared" si="7"/>
        <v>2026</v>
      </c>
      <c r="M27" s="123">
        <f t="shared" si="8"/>
        <v>3</v>
      </c>
      <c r="N27" s="123">
        <f t="shared" si="9"/>
        <v>2027</v>
      </c>
      <c r="O27" s="123">
        <f t="shared" si="10"/>
        <v>5</v>
      </c>
      <c r="P27" s="123">
        <f t="shared" si="11"/>
        <v>2027</v>
      </c>
      <c r="R27" s="3">
        <v>2026</v>
      </c>
      <c r="S27" s="2">
        <v>25</v>
      </c>
      <c r="T27" s="5">
        <f t="shared" si="2"/>
        <v>46192</v>
      </c>
      <c r="U27" s="60">
        <f t="shared" si="0"/>
        <v>0</v>
      </c>
      <c r="W27" s="61">
        <f t="shared" si="1"/>
        <v>0</v>
      </c>
    </row>
    <row r="28" spans="2:23" ht="15.75" customHeight="1" x14ac:dyDescent="0.35">
      <c r="B28" s="59">
        <v>46265</v>
      </c>
      <c r="C28" s="151" t="s">
        <v>352</v>
      </c>
      <c r="E28" s="23">
        <v>1000000</v>
      </c>
      <c r="F28" s="59">
        <v>46265</v>
      </c>
      <c r="G28" s="3">
        <v>45</v>
      </c>
      <c r="H28" s="59">
        <f>F28+G28</f>
        <v>46310</v>
      </c>
      <c r="I28" s="2">
        <f t="shared" si="4"/>
        <v>8</v>
      </c>
      <c r="J28" s="2">
        <f t="shared" si="5"/>
        <v>2026</v>
      </c>
      <c r="K28" s="2">
        <f t="shared" si="6"/>
        <v>36</v>
      </c>
      <c r="L28" s="2">
        <f t="shared" si="7"/>
        <v>2026</v>
      </c>
      <c r="M28" s="2">
        <f t="shared" si="8"/>
        <v>42</v>
      </c>
      <c r="N28" s="2">
        <f t="shared" si="9"/>
        <v>2026</v>
      </c>
      <c r="O28" s="2">
        <f t="shared" si="10"/>
        <v>44</v>
      </c>
      <c r="P28" s="2">
        <f t="shared" si="11"/>
        <v>2026</v>
      </c>
      <c r="R28" s="3">
        <v>2026</v>
      </c>
      <c r="S28" s="2">
        <v>26</v>
      </c>
      <c r="T28" s="5">
        <f t="shared" si="2"/>
        <v>46199</v>
      </c>
      <c r="U28" s="60">
        <f t="shared" si="0"/>
        <v>0</v>
      </c>
      <c r="W28" s="61">
        <f t="shared" si="1"/>
        <v>0</v>
      </c>
    </row>
    <row r="29" spans="2:23" ht="15.75" customHeight="1" x14ac:dyDescent="0.35">
      <c r="B29" s="59">
        <v>46265</v>
      </c>
      <c r="C29" s="151" t="s">
        <v>352</v>
      </c>
      <c r="E29" s="23">
        <v>1000000</v>
      </c>
      <c r="F29" s="59">
        <v>46295</v>
      </c>
      <c r="G29" s="3">
        <v>45</v>
      </c>
      <c r="H29" s="59">
        <f>F29+G29</f>
        <v>46340</v>
      </c>
      <c r="I29" s="2">
        <f t="shared" ref="I29:I37" si="12">MONTH(B29)</f>
        <v>8</v>
      </c>
      <c r="J29" s="2">
        <f t="shared" ref="J29:J37" si="13">YEAR(B29)</f>
        <v>2026</v>
      </c>
      <c r="K29" s="2">
        <f t="shared" si="6"/>
        <v>40</v>
      </c>
      <c r="L29" s="2">
        <f t="shared" si="7"/>
        <v>2026</v>
      </c>
      <c r="M29" s="2">
        <f t="shared" si="8"/>
        <v>46</v>
      </c>
      <c r="N29" s="2">
        <f t="shared" si="9"/>
        <v>2026</v>
      </c>
      <c r="O29" s="2">
        <f t="shared" si="10"/>
        <v>48</v>
      </c>
      <c r="P29" s="2">
        <f t="shared" si="11"/>
        <v>2026</v>
      </c>
      <c r="R29" s="3">
        <v>2026</v>
      </c>
      <c r="S29" s="2">
        <v>27</v>
      </c>
      <c r="T29" s="5">
        <f t="shared" si="2"/>
        <v>46206</v>
      </c>
      <c r="U29" s="60">
        <f t="shared" si="0"/>
        <v>1000000</v>
      </c>
      <c r="W29" s="61">
        <f t="shared" si="1"/>
        <v>1000000</v>
      </c>
    </row>
    <row r="30" spans="2:23" ht="15.75" customHeight="1" x14ac:dyDescent="0.35">
      <c r="B30" s="59">
        <v>46265</v>
      </c>
      <c r="C30" s="151" t="s">
        <v>352</v>
      </c>
      <c r="E30" s="23">
        <v>1000000</v>
      </c>
      <c r="F30" s="59">
        <v>46326</v>
      </c>
      <c r="G30" s="3">
        <v>45</v>
      </c>
      <c r="H30" s="59">
        <f>F30+G30</f>
        <v>46371</v>
      </c>
      <c r="I30" s="2">
        <f t="shared" si="12"/>
        <v>8</v>
      </c>
      <c r="J30" s="2">
        <f t="shared" si="13"/>
        <v>2026</v>
      </c>
      <c r="K30" s="2">
        <f t="shared" si="6"/>
        <v>44</v>
      </c>
      <c r="L30" s="2">
        <f t="shared" si="7"/>
        <v>2026</v>
      </c>
      <c r="M30" s="2">
        <f t="shared" si="8"/>
        <v>51</v>
      </c>
      <c r="N30" s="2">
        <f t="shared" si="9"/>
        <v>2026</v>
      </c>
      <c r="O30" s="2">
        <f t="shared" si="10"/>
        <v>1</v>
      </c>
      <c r="P30" s="2">
        <f t="shared" si="11"/>
        <v>2027</v>
      </c>
      <c r="R30" s="3">
        <v>2026</v>
      </c>
      <c r="S30" s="2">
        <v>28</v>
      </c>
      <c r="T30" s="5">
        <f t="shared" si="2"/>
        <v>46213</v>
      </c>
      <c r="U30" s="60">
        <f t="shared" si="0"/>
        <v>0</v>
      </c>
      <c r="W30" s="61">
        <f t="shared" si="1"/>
        <v>0</v>
      </c>
    </row>
    <row r="31" spans="2:23" ht="15.75" customHeight="1" x14ac:dyDescent="0.35">
      <c r="B31" s="59">
        <v>46265</v>
      </c>
      <c r="C31" s="151" t="s">
        <v>352</v>
      </c>
      <c r="E31" s="23">
        <v>1000000</v>
      </c>
      <c r="F31" s="59">
        <v>46356</v>
      </c>
      <c r="G31" s="3">
        <v>45</v>
      </c>
      <c r="H31" s="59">
        <v>46402</v>
      </c>
      <c r="I31" s="2">
        <f t="shared" si="12"/>
        <v>8</v>
      </c>
      <c r="J31" s="2">
        <f t="shared" si="13"/>
        <v>2026</v>
      </c>
      <c r="K31" s="2">
        <f t="shared" si="6"/>
        <v>49</v>
      </c>
      <c r="L31" s="2">
        <f t="shared" si="7"/>
        <v>2026</v>
      </c>
      <c r="M31" s="2">
        <f t="shared" si="8"/>
        <v>3</v>
      </c>
      <c r="N31" s="2">
        <f t="shared" si="9"/>
        <v>2027</v>
      </c>
      <c r="O31" s="2">
        <f t="shared" si="10"/>
        <v>5</v>
      </c>
      <c r="P31" s="2">
        <f t="shared" si="11"/>
        <v>2027</v>
      </c>
      <c r="R31" s="3">
        <v>2026</v>
      </c>
      <c r="S31" s="2">
        <v>29</v>
      </c>
      <c r="T31" s="5">
        <f t="shared" si="2"/>
        <v>46220</v>
      </c>
      <c r="U31" s="60">
        <f t="shared" si="0"/>
        <v>0</v>
      </c>
      <c r="W31" s="61">
        <f t="shared" si="1"/>
        <v>0</v>
      </c>
    </row>
    <row r="32" spans="2:23" ht="15.75" customHeight="1" x14ac:dyDescent="0.35">
      <c r="B32" s="121">
        <v>46265</v>
      </c>
      <c r="C32" s="78" t="s">
        <v>352</v>
      </c>
      <c r="D32" s="24"/>
      <c r="E32" s="122">
        <v>1000000</v>
      </c>
      <c r="F32" s="62">
        <v>46387</v>
      </c>
      <c r="G32" s="78">
        <v>45</v>
      </c>
      <c r="H32" s="62">
        <v>46432</v>
      </c>
      <c r="I32" s="123">
        <f t="shared" si="12"/>
        <v>8</v>
      </c>
      <c r="J32" s="123">
        <f t="shared" si="13"/>
        <v>2026</v>
      </c>
      <c r="K32" s="123">
        <f t="shared" si="6"/>
        <v>53</v>
      </c>
      <c r="L32" s="123">
        <f t="shared" si="7"/>
        <v>2026</v>
      </c>
      <c r="M32" s="123">
        <f t="shared" si="8"/>
        <v>8</v>
      </c>
      <c r="N32" s="123">
        <f t="shared" si="9"/>
        <v>2027</v>
      </c>
      <c r="O32" s="123">
        <f t="shared" si="10"/>
        <v>10</v>
      </c>
      <c r="P32" s="123">
        <f t="shared" si="11"/>
        <v>2027</v>
      </c>
      <c r="R32" s="3">
        <v>2026</v>
      </c>
      <c r="S32" s="2">
        <v>30</v>
      </c>
      <c r="T32" s="5">
        <f t="shared" si="2"/>
        <v>46227</v>
      </c>
      <c r="U32" s="60">
        <f t="shared" si="0"/>
        <v>0</v>
      </c>
      <c r="W32" s="61">
        <f t="shared" si="1"/>
        <v>0</v>
      </c>
    </row>
    <row r="33" spans="2:23" ht="15.75" customHeight="1" x14ac:dyDescent="0.35">
      <c r="B33" s="59">
        <v>46295</v>
      </c>
      <c r="C33" s="151" t="s">
        <v>352</v>
      </c>
      <c r="E33" s="23">
        <v>1000000</v>
      </c>
      <c r="F33" s="59">
        <v>46295</v>
      </c>
      <c r="G33" s="3">
        <v>45</v>
      </c>
      <c r="H33" s="59">
        <f>F33+G33</f>
        <v>46340</v>
      </c>
      <c r="I33" s="2">
        <f t="shared" si="12"/>
        <v>9</v>
      </c>
      <c r="J33" s="2">
        <f t="shared" si="13"/>
        <v>2026</v>
      </c>
      <c r="K33" s="2">
        <f t="shared" ref="K33:K37" si="14">WEEKNUM($F33)</f>
        <v>40</v>
      </c>
      <c r="L33" s="2">
        <f t="shared" ref="L33:L37" si="15">YEAR($F33)</f>
        <v>2026</v>
      </c>
      <c r="M33" s="2">
        <f t="shared" ref="M33:M37" si="16">WEEKNUM($H33)</f>
        <v>46</v>
      </c>
      <c r="N33" s="2">
        <f t="shared" ref="N33:N37" si="17">YEAR(H33)</f>
        <v>2026</v>
      </c>
      <c r="O33" s="2">
        <f t="shared" ref="O33:O37" si="18">IF(ISBLANK($B33),"",IF($M33&lt;51,$M33+$O$1,$M33-52+$O$1))</f>
        <v>48</v>
      </c>
      <c r="P33" s="2">
        <f t="shared" ref="P33:P37" si="19">IF(ISBLANK($B33),"",IF($M33&lt;51,YEAR($H33),YEAR($H33)+1))</f>
        <v>2026</v>
      </c>
      <c r="R33" s="3">
        <v>2026</v>
      </c>
      <c r="S33" s="2">
        <v>31</v>
      </c>
      <c r="T33" s="5">
        <f t="shared" si="2"/>
        <v>46234</v>
      </c>
      <c r="U33" s="60">
        <f t="shared" si="0"/>
        <v>2000000</v>
      </c>
      <c r="W33" s="61">
        <f t="shared" si="1"/>
        <v>2000000</v>
      </c>
    </row>
    <row r="34" spans="2:23" ht="15.75" customHeight="1" x14ac:dyDescent="0.35">
      <c r="B34" s="59">
        <v>46295</v>
      </c>
      <c r="C34" s="151" t="s">
        <v>352</v>
      </c>
      <c r="E34" s="23">
        <v>1000000</v>
      </c>
      <c r="F34" s="59">
        <v>46326</v>
      </c>
      <c r="G34" s="3">
        <v>45</v>
      </c>
      <c r="H34" s="59">
        <f>F34+G34</f>
        <v>46371</v>
      </c>
      <c r="I34" s="2">
        <f t="shared" si="12"/>
        <v>9</v>
      </c>
      <c r="J34" s="2">
        <f t="shared" si="13"/>
        <v>2026</v>
      </c>
      <c r="K34" s="2">
        <f t="shared" si="14"/>
        <v>44</v>
      </c>
      <c r="L34" s="2">
        <f t="shared" si="15"/>
        <v>2026</v>
      </c>
      <c r="M34" s="2">
        <f t="shared" si="16"/>
        <v>51</v>
      </c>
      <c r="N34" s="2">
        <f t="shared" si="17"/>
        <v>2026</v>
      </c>
      <c r="O34" s="2">
        <f t="shared" si="18"/>
        <v>1</v>
      </c>
      <c r="P34" s="2">
        <f t="shared" si="19"/>
        <v>2027</v>
      </c>
      <c r="R34" s="3">
        <v>2026</v>
      </c>
      <c r="S34" s="2">
        <v>32</v>
      </c>
      <c r="T34" s="5">
        <f t="shared" si="2"/>
        <v>46241</v>
      </c>
      <c r="U34" s="60">
        <f t="shared" si="0"/>
        <v>0</v>
      </c>
      <c r="W34" s="61">
        <f t="shared" si="1"/>
        <v>0</v>
      </c>
    </row>
    <row r="35" spans="2:23" ht="15.75" customHeight="1" x14ac:dyDescent="0.35">
      <c r="B35" s="59">
        <v>46295</v>
      </c>
      <c r="C35" s="151" t="s">
        <v>352</v>
      </c>
      <c r="E35" s="23">
        <v>1000000</v>
      </c>
      <c r="F35" s="59">
        <v>46356</v>
      </c>
      <c r="G35" s="3">
        <v>45</v>
      </c>
      <c r="H35" s="59">
        <v>46402</v>
      </c>
      <c r="I35" s="2">
        <f t="shared" si="12"/>
        <v>9</v>
      </c>
      <c r="J35" s="2">
        <f t="shared" si="13"/>
        <v>2026</v>
      </c>
      <c r="K35" s="2">
        <f t="shared" si="14"/>
        <v>49</v>
      </c>
      <c r="L35" s="2">
        <f t="shared" si="15"/>
        <v>2026</v>
      </c>
      <c r="M35" s="2">
        <f t="shared" si="16"/>
        <v>3</v>
      </c>
      <c r="N35" s="2">
        <f t="shared" si="17"/>
        <v>2027</v>
      </c>
      <c r="O35" s="2">
        <f t="shared" si="18"/>
        <v>5</v>
      </c>
      <c r="P35" s="2">
        <f t="shared" si="19"/>
        <v>2027</v>
      </c>
      <c r="R35" s="3">
        <v>2026</v>
      </c>
      <c r="S35" s="2">
        <v>33</v>
      </c>
      <c r="T35" s="5">
        <f t="shared" si="2"/>
        <v>46248</v>
      </c>
      <c r="U35" s="60">
        <f t="shared" ref="U35:U66" si="20">SUMIFS($E:$E,$O:$O,$S35,$P:$P,$R35)</f>
        <v>0</v>
      </c>
      <c r="W35" s="61">
        <f t="shared" ref="W35:W55" si="21">SUM(U35:V35)</f>
        <v>0</v>
      </c>
    </row>
    <row r="36" spans="2:23" ht="15.75" customHeight="1" x14ac:dyDescent="0.35">
      <c r="B36" s="59">
        <v>46295</v>
      </c>
      <c r="C36" s="151" t="s">
        <v>352</v>
      </c>
      <c r="E36" s="23">
        <v>1000000</v>
      </c>
      <c r="F36" s="59">
        <v>46387</v>
      </c>
      <c r="G36" s="3">
        <v>45</v>
      </c>
      <c r="H36" s="59">
        <v>46432</v>
      </c>
      <c r="I36" s="2">
        <f t="shared" si="12"/>
        <v>9</v>
      </c>
      <c r="J36" s="2">
        <f t="shared" si="13"/>
        <v>2026</v>
      </c>
      <c r="K36" s="2">
        <f t="shared" si="14"/>
        <v>53</v>
      </c>
      <c r="L36" s="2">
        <f t="shared" si="15"/>
        <v>2026</v>
      </c>
      <c r="M36" s="2">
        <f t="shared" si="16"/>
        <v>8</v>
      </c>
      <c r="N36" s="2">
        <f t="shared" si="17"/>
        <v>2027</v>
      </c>
      <c r="O36" s="2">
        <f t="shared" si="18"/>
        <v>10</v>
      </c>
      <c r="P36" s="2">
        <f t="shared" si="19"/>
        <v>2027</v>
      </c>
      <c r="R36" s="3">
        <v>2026</v>
      </c>
      <c r="S36" s="2">
        <v>34</v>
      </c>
      <c r="T36" s="5">
        <f t="shared" ref="T36:T56" si="22">T35+7</f>
        <v>46255</v>
      </c>
      <c r="U36" s="60">
        <f t="shared" si="20"/>
        <v>0</v>
      </c>
      <c r="W36" s="61">
        <f t="shared" si="21"/>
        <v>0</v>
      </c>
    </row>
    <row r="37" spans="2:23" ht="15.75" customHeight="1" x14ac:dyDescent="0.35">
      <c r="B37" s="121">
        <v>46295</v>
      </c>
      <c r="C37" s="78" t="s">
        <v>352</v>
      </c>
      <c r="D37" s="24"/>
      <c r="E37" s="122">
        <v>1000000</v>
      </c>
      <c r="F37" s="62">
        <v>46418</v>
      </c>
      <c r="G37" s="78">
        <v>45</v>
      </c>
      <c r="H37" s="62">
        <v>46461</v>
      </c>
      <c r="I37" s="123">
        <f t="shared" si="12"/>
        <v>9</v>
      </c>
      <c r="J37" s="123">
        <f t="shared" si="13"/>
        <v>2026</v>
      </c>
      <c r="K37" s="123">
        <f t="shared" si="14"/>
        <v>6</v>
      </c>
      <c r="L37" s="123">
        <f t="shared" si="15"/>
        <v>2027</v>
      </c>
      <c r="M37" s="123">
        <f t="shared" si="16"/>
        <v>12</v>
      </c>
      <c r="N37" s="123">
        <f t="shared" si="17"/>
        <v>2027</v>
      </c>
      <c r="O37" s="123">
        <f t="shared" si="18"/>
        <v>14</v>
      </c>
      <c r="P37" s="123">
        <f t="shared" si="19"/>
        <v>2027</v>
      </c>
      <c r="R37" s="3">
        <v>2026</v>
      </c>
      <c r="S37" s="2">
        <v>35</v>
      </c>
      <c r="T37" s="5">
        <f t="shared" si="22"/>
        <v>46262</v>
      </c>
      <c r="U37" s="60">
        <f t="shared" si="20"/>
        <v>3000000</v>
      </c>
      <c r="W37" s="61">
        <f t="shared" si="21"/>
        <v>3000000</v>
      </c>
    </row>
    <row r="38" spans="2:23" ht="15.75" customHeight="1" x14ac:dyDescent="0.35">
      <c r="B38" s="59"/>
      <c r="C38" s="3"/>
      <c r="E38" s="23"/>
      <c r="F38" s="59"/>
      <c r="G38" s="3"/>
      <c r="H38" s="59"/>
      <c r="I38" s="2"/>
      <c r="J38" s="2"/>
      <c r="K38" s="2"/>
      <c r="L38" s="2"/>
      <c r="M38" s="2"/>
      <c r="N38" s="2"/>
      <c r="O38" s="2"/>
      <c r="P38" s="2"/>
      <c r="R38" s="3">
        <v>2026</v>
      </c>
      <c r="S38" s="2">
        <v>36</v>
      </c>
      <c r="T38" s="5">
        <f t="shared" si="22"/>
        <v>46269</v>
      </c>
      <c r="U38" s="60">
        <f t="shared" si="20"/>
        <v>0</v>
      </c>
      <c r="W38" s="61">
        <f t="shared" si="21"/>
        <v>0</v>
      </c>
    </row>
    <row r="39" spans="2:23" ht="15.75" customHeight="1" x14ac:dyDescent="0.35">
      <c r="B39" s="59"/>
      <c r="C39" s="3"/>
      <c r="E39" s="23"/>
      <c r="F39" s="59"/>
      <c r="G39" s="3"/>
      <c r="H39" s="59"/>
      <c r="I39" s="2"/>
      <c r="J39" s="2"/>
      <c r="K39" s="2"/>
      <c r="L39" s="2"/>
      <c r="M39" s="2"/>
      <c r="N39" s="2"/>
      <c r="O39" s="2"/>
      <c r="P39" s="2"/>
      <c r="R39" s="3">
        <v>2026</v>
      </c>
      <c r="S39" s="2">
        <v>37</v>
      </c>
      <c r="T39" s="5">
        <f t="shared" si="22"/>
        <v>46276</v>
      </c>
      <c r="U39" s="60">
        <f t="shared" si="20"/>
        <v>0</v>
      </c>
      <c r="W39" s="61">
        <f t="shared" si="21"/>
        <v>0</v>
      </c>
    </row>
    <row r="40" spans="2:23" ht="15.75" customHeight="1" x14ac:dyDescent="0.35">
      <c r="B40" s="59"/>
      <c r="C40" s="3"/>
      <c r="E40" s="23"/>
      <c r="F40" s="59"/>
      <c r="G40" s="3"/>
      <c r="H40" s="59"/>
      <c r="I40" s="2"/>
      <c r="J40" s="2"/>
      <c r="K40" s="2"/>
      <c r="L40" s="2"/>
      <c r="M40" s="2"/>
      <c r="N40" s="2"/>
      <c r="O40" s="2"/>
      <c r="P40" s="2"/>
      <c r="R40" s="3">
        <v>2026</v>
      </c>
      <c r="S40" s="2">
        <v>38</v>
      </c>
      <c r="T40" s="5">
        <f t="shared" si="22"/>
        <v>46283</v>
      </c>
      <c r="U40" s="60">
        <f t="shared" si="20"/>
        <v>0</v>
      </c>
      <c r="W40" s="61">
        <f t="shared" si="21"/>
        <v>0</v>
      </c>
    </row>
    <row r="41" spans="2:23" ht="15.75" customHeight="1" x14ac:dyDescent="0.35">
      <c r="B41" s="59"/>
      <c r="C41" s="3"/>
      <c r="E41" s="23"/>
      <c r="F41" s="59"/>
      <c r="G41" s="3"/>
      <c r="H41" s="59"/>
      <c r="I41" s="2"/>
      <c r="J41" s="2"/>
      <c r="K41" s="2"/>
      <c r="L41" s="2"/>
      <c r="M41" s="2"/>
      <c r="N41" s="2"/>
      <c r="O41" s="2"/>
      <c r="P41" s="2"/>
      <c r="R41" s="3">
        <v>2026</v>
      </c>
      <c r="S41" s="2">
        <v>39</v>
      </c>
      <c r="T41" s="5">
        <f t="shared" si="22"/>
        <v>46290</v>
      </c>
      <c r="U41" s="60">
        <f t="shared" si="20"/>
        <v>0</v>
      </c>
      <c r="W41" s="61">
        <f t="shared" si="21"/>
        <v>0</v>
      </c>
    </row>
    <row r="42" spans="2:23" ht="15.75" customHeight="1" x14ac:dyDescent="0.35">
      <c r="B42" s="62"/>
      <c r="C42" s="24"/>
      <c r="D42" s="24"/>
      <c r="E42" s="28"/>
      <c r="F42" s="62"/>
      <c r="G42" s="24"/>
      <c r="H42" s="62"/>
      <c r="I42" s="63"/>
      <c r="J42" s="63"/>
      <c r="K42" s="63"/>
      <c r="L42" s="63"/>
      <c r="M42" s="63"/>
      <c r="N42" s="63"/>
      <c r="O42" s="63"/>
      <c r="P42" s="63"/>
      <c r="R42" s="3">
        <v>2026</v>
      </c>
      <c r="S42" s="2">
        <v>40</v>
      </c>
      <c r="T42" s="5">
        <f t="shared" si="22"/>
        <v>46297</v>
      </c>
      <c r="U42" s="60">
        <f t="shared" si="20"/>
        <v>4000000</v>
      </c>
      <c r="W42" s="61">
        <f t="shared" si="21"/>
        <v>4000000</v>
      </c>
    </row>
    <row r="43" spans="2:23" ht="15.75" customHeight="1" x14ac:dyDescent="0.35">
      <c r="B43" s="59"/>
      <c r="C43" s="3"/>
      <c r="E43" s="23"/>
      <c r="F43" s="59"/>
      <c r="G43" s="3"/>
      <c r="H43" s="59"/>
      <c r="I43" s="2"/>
      <c r="J43" s="2"/>
      <c r="K43" s="2"/>
      <c r="L43" s="2"/>
      <c r="M43" s="2"/>
      <c r="N43" s="2"/>
      <c r="O43" s="2"/>
      <c r="P43" s="2"/>
      <c r="R43" s="3">
        <v>2026</v>
      </c>
      <c r="S43" s="2">
        <v>41</v>
      </c>
      <c r="T43" s="5">
        <f t="shared" si="22"/>
        <v>46304</v>
      </c>
      <c r="U43" s="60">
        <f t="shared" si="20"/>
        <v>0</v>
      </c>
      <c r="W43" s="61">
        <f t="shared" si="21"/>
        <v>0</v>
      </c>
    </row>
    <row r="44" spans="2:23" ht="15.75" customHeight="1" x14ac:dyDescent="0.35">
      <c r="R44" s="3">
        <v>2026</v>
      </c>
      <c r="S44" s="2">
        <v>42</v>
      </c>
      <c r="T44" s="5">
        <f t="shared" si="22"/>
        <v>46311</v>
      </c>
      <c r="U44" s="60">
        <f t="shared" si="20"/>
        <v>0</v>
      </c>
      <c r="W44" s="61">
        <f t="shared" si="21"/>
        <v>0</v>
      </c>
    </row>
    <row r="45" spans="2:23" ht="15.75" customHeight="1" x14ac:dyDescent="0.35">
      <c r="R45" s="3">
        <v>2026</v>
      </c>
      <c r="S45" s="2">
        <v>43</v>
      </c>
      <c r="T45" s="5">
        <f t="shared" si="22"/>
        <v>46318</v>
      </c>
      <c r="U45" s="60">
        <f t="shared" si="20"/>
        <v>0</v>
      </c>
      <c r="W45" s="61">
        <f t="shared" si="21"/>
        <v>0</v>
      </c>
    </row>
    <row r="46" spans="2:23" ht="15.75" customHeight="1" x14ac:dyDescent="0.35">
      <c r="R46" s="3">
        <v>2026</v>
      </c>
      <c r="S46" s="2">
        <v>44</v>
      </c>
      <c r="T46" s="5">
        <f t="shared" si="22"/>
        <v>46325</v>
      </c>
      <c r="U46" s="60">
        <f t="shared" si="20"/>
        <v>5000000</v>
      </c>
      <c r="W46" s="61">
        <f t="shared" si="21"/>
        <v>5000000</v>
      </c>
    </row>
    <row r="47" spans="2:23" ht="15.75" customHeight="1" x14ac:dyDescent="0.35">
      <c r="R47" s="3">
        <v>2026</v>
      </c>
      <c r="S47" s="2">
        <v>45</v>
      </c>
      <c r="T47" s="5">
        <f t="shared" si="22"/>
        <v>46332</v>
      </c>
      <c r="U47" s="60">
        <f t="shared" si="20"/>
        <v>0</v>
      </c>
      <c r="W47" s="61">
        <f t="shared" si="21"/>
        <v>0</v>
      </c>
    </row>
    <row r="48" spans="2:23" ht="15.75" customHeight="1" x14ac:dyDescent="0.35">
      <c r="B48" s="59"/>
      <c r="C48" s="3"/>
      <c r="D48" s="3"/>
      <c r="E48" s="23"/>
      <c r="F48" s="59"/>
      <c r="G48" s="3"/>
      <c r="H48" s="59"/>
      <c r="I48" s="2"/>
      <c r="J48" s="2"/>
      <c r="K48" s="2"/>
      <c r="L48" s="2"/>
      <c r="M48" s="2"/>
      <c r="N48" s="2"/>
      <c r="O48" s="2"/>
      <c r="P48" s="2"/>
      <c r="R48" s="3">
        <v>2026</v>
      </c>
      <c r="S48" s="2">
        <v>46</v>
      </c>
      <c r="T48" s="5">
        <f t="shared" si="22"/>
        <v>46339</v>
      </c>
      <c r="U48" s="60">
        <f t="shared" si="20"/>
        <v>0</v>
      </c>
      <c r="W48" s="61">
        <f t="shared" si="21"/>
        <v>0</v>
      </c>
    </row>
    <row r="49" spans="2:23" ht="15.75" customHeight="1" x14ac:dyDescent="0.35">
      <c r="B49" s="59"/>
      <c r="C49" s="3"/>
      <c r="D49" s="3"/>
      <c r="E49" s="23"/>
      <c r="F49" s="59"/>
      <c r="G49" s="3"/>
      <c r="H49" s="59"/>
      <c r="I49" s="2"/>
      <c r="J49" s="2"/>
      <c r="K49" s="2"/>
      <c r="L49" s="2"/>
      <c r="M49" s="2"/>
      <c r="N49" s="2"/>
      <c r="O49" s="2"/>
      <c r="P49" s="2"/>
      <c r="R49" s="3">
        <v>2026</v>
      </c>
      <c r="S49" s="2">
        <v>47</v>
      </c>
      <c r="T49" s="5">
        <f t="shared" si="22"/>
        <v>46346</v>
      </c>
      <c r="U49" s="60">
        <f t="shared" si="20"/>
        <v>0</v>
      </c>
      <c r="W49" s="61">
        <f t="shared" si="21"/>
        <v>0</v>
      </c>
    </row>
    <row r="50" spans="2:23" ht="15.75" customHeight="1" x14ac:dyDescent="0.35">
      <c r="B50" s="59"/>
      <c r="C50" s="3"/>
      <c r="D50" s="3"/>
      <c r="E50" s="23"/>
      <c r="F50" s="59"/>
      <c r="G50" s="3"/>
      <c r="H50" s="59"/>
      <c r="I50" s="2"/>
      <c r="J50" s="2"/>
      <c r="K50" s="2"/>
      <c r="L50" s="2"/>
      <c r="M50" s="2"/>
      <c r="N50" s="2"/>
      <c r="O50" s="2"/>
      <c r="P50" s="2"/>
      <c r="R50" s="3">
        <v>2026</v>
      </c>
      <c r="S50" s="2">
        <v>48</v>
      </c>
      <c r="T50" s="5">
        <f t="shared" si="22"/>
        <v>46353</v>
      </c>
      <c r="U50" s="60">
        <f t="shared" si="20"/>
        <v>5000000</v>
      </c>
      <c r="W50" s="61">
        <f t="shared" si="21"/>
        <v>5000000</v>
      </c>
    </row>
    <row r="51" spans="2:23" ht="15.75" customHeight="1" x14ac:dyDescent="0.35">
      <c r="B51" s="59"/>
      <c r="C51" s="3"/>
      <c r="D51" s="3"/>
      <c r="E51" s="23"/>
      <c r="F51" s="59"/>
      <c r="G51" s="3"/>
      <c r="H51" s="59"/>
      <c r="I51" s="2"/>
      <c r="J51" s="2"/>
      <c r="K51" s="2"/>
      <c r="L51" s="2"/>
      <c r="M51" s="2"/>
      <c r="N51" s="2"/>
      <c r="O51" s="2"/>
      <c r="P51" s="2"/>
      <c r="R51" s="3">
        <v>2026</v>
      </c>
      <c r="S51" s="2">
        <v>49</v>
      </c>
      <c r="T51" s="5">
        <f t="shared" si="22"/>
        <v>46360</v>
      </c>
      <c r="U51" s="60">
        <f t="shared" si="20"/>
        <v>0</v>
      </c>
      <c r="W51" s="61">
        <f t="shared" si="21"/>
        <v>0</v>
      </c>
    </row>
    <row r="52" spans="2:23" ht="15.75" customHeight="1" x14ac:dyDescent="0.35">
      <c r="B52" s="59"/>
      <c r="C52" s="3"/>
      <c r="D52" s="3"/>
      <c r="E52" s="23"/>
      <c r="F52" s="59"/>
      <c r="G52" s="3"/>
      <c r="H52" s="59"/>
      <c r="I52" s="2"/>
      <c r="J52" s="2"/>
      <c r="K52" s="2"/>
      <c r="L52" s="2"/>
      <c r="M52" s="2"/>
      <c r="N52" s="2"/>
      <c r="O52" s="2"/>
      <c r="P52" s="2"/>
      <c r="R52" s="3">
        <v>2026</v>
      </c>
      <c r="S52" s="2">
        <v>50</v>
      </c>
      <c r="T52" s="5">
        <f t="shared" si="22"/>
        <v>46367</v>
      </c>
      <c r="U52" s="60">
        <f t="shared" si="20"/>
        <v>0</v>
      </c>
      <c r="W52" s="61">
        <f t="shared" si="21"/>
        <v>0</v>
      </c>
    </row>
    <row r="53" spans="2:23" ht="15.75" customHeight="1" x14ac:dyDescent="0.35">
      <c r="B53" s="59"/>
      <c r="C53" s="3"/>
      <c r="D53" s="3"/>
      <c r="E53" s="23"/>
      <c r="F53" s="59"/>
      <c r="G53" s="3"/>
      <c r="H53" s="59"/>
      <c r="I53" s="2"/>
      <c r="J53" s="2"/>
      <c r="K53" s="2"/>
      <c r="L53" s="2"/>
      <c r="M53" s="2"/>
      <c r="N53" s="2"/>
      <c r="O53" s="2"/>
      <c r="P53" s="2"/>
      <c r="R53" s="3">
        <v>2026</v>
      </c>
      <c r="S53" s="2">
        <v>51</v>
      </c>
      <c r="T53" s="5">
        <f t="shared" si="22"/>
        <v>46374</v>
      </c>
      <c r="U53" s="60">
        <f t="shared" si="20"/>
        <v>0</v>
      </c>
      <c r="W53" s="61">
        <f t="shared" si="21"/>
        <v>0</v>
      </c>
    </row>
    <row r="54" spans="2:23" ht="15.75" customHeight="1" x14ac:dyDescent="0.35">
      <c r="B54" s="59"/>
      <c r="C54" s="3"/>
      <c r="D54" s="3"/>
      <c r="E54" s="23"/>
      <c r="F54" s="59"/>
      <c r="G54" s="3"/>
      <c r="H54" s="59"/>
      <c r="I54" s="2"/>
      <c r="J54" s="2"/>
      <c r="K54" s="2"/>
      <c r="L54" s="2"/>
      <c r="M54" s="2"/>
      <c r="N54" s="2"/>
      <c r="O54" s="2"/>
      <c r="P54" s="2"/>
      <c r="R54" s="3">
        <v>2026</v>
      </c>
      <c r="S54" s="2">
        <v>52</v>
      </c>
      <c r="T54" s="5">
        <f t="shared" si="22"/>
        <v>46381</v>
      </c>
      <c r="U54" s="60">
        <f t="shared" si="20"/>
        <v>0</v>
      </c>
      <c r="W54" s="61">
        <f t="shared" si="21"/>
        <v>0</v>
      </c>
    </row>
    <row r="55" spans="2:23" ht="15.75" customHeight="1" x14ac:dyDescent="0.35">
      <c r="B55" s="59"/>
      <c r="C55" s="3"/>
      <c r="E55" s="23"/>
      <c r="F55" s="59"/>
      <c r="G55" s="3"/>
      <c r="H55" s="59"/>
      <c r="I55" s="2"/>
      <c r="J55" s="2"/>
      <c r="K55" s="2"/>
      <c r="L55" s="2"/>
      <c r="M55" s="2"/>
      <c r="N55" s="2"/>
      <c r="O55" s="2"/>
      <c r="P55" s="2"/>
      <c r="R55" s="3">
        <v>2027</v>
      </c>
      <c r="S55" s="2">
        <v>1</v>
      </c>
      <c r="T55" s="5">
        <f t="shared" si="22"/>
        <v>46388</v>
      </c>
      <c r="U55" s="60">
        <f t="shared" si="20"/>
        <v>4000000</v>
      </c>
      <c r="W55" s="61">
        <f t="shared" si="21"/>
        <v>4000000</v>
      </c>
    </row>
    <row r="56" spans="2:23" ht="15.75" customHeight="1" x14ac:dyDescent="0.35">
      <c r="B56" s="59"/>
      <c r="C56" s="3"/>
      <c r="E56" s="23"/>
      <c r="F56" s="59"/>
      <c r="G56" s="3"/>
      <c r="H56" s="59"/>
      <c r="I56" s="2"/>
      <c r="J56" s="2"/>
      <c r="K56" s="2"/>
      <c r="L56" s="2"/>
      <c r="M56" s="2"/>
      <c r="N56" s="2"/>
      <c r="O56" s="2"/>
      <c r="P56" s="2"/>
      <c r="R56" s="3">
        <v>2027</v>
      </c>
      <c r="S56" s="2">
        <v>2</v>
      </c>
      <c r="T56" s="5">
        <f t="shared" si="22"/>
        <v>46395</v>
      </c>
      <c r="U56" s="60">
        <f t="shared" si="20"/>
        <v>0</v>
      </c>
      <c r="W56" s="61">
        <f t="shared" ref="W56:W106" si="23">SUM(U56:V56)</f>
        <v>0</v>
      </c>
    </row>
    <row r="57" spans="2:23" ht="15.75" customHeight="1" x14ac:dyDescent="0.35">
      <c r="B57" s="59"/>
      <c r="C57" s="3"/>
      <c r="E57" s="23"/>
      <c r="F57" s="59"/>
      <c r="G57" s="3"/>
      <c r="H57" s="59"/>
      <c r="I57" s="2"/>
      <c r="J57" s="2"/>
      <c r="K57" s="2"/>
      <c r="L57" s="2"/>
      <c r="M57" s="2"/>
      <c r="N57" s="2"/>
      <c r="O57" s="2"/>
      <c r="P57" s="2"/>
      <c r="R57" s="3">
        <v>2027</v>
      </c>
      <c r="S57" s="2">
        <v>3</v>
      </c>
      <c r="T57" s="5">
        <f t="shared" ref="T57:T106" si="24">T56+7</f>
        <v>46402</v>
      </c>
      <c r="U57" s="60">
        <f t="shared" si="20"/>
        <v>0</v>
      </c>
      <c r="W57" s="61">
        <f t="shared" si="23"/>
        <v>0</v>
      </c>
    </row>
    <row r="58" spans="2:23" ht="15.75" customHeight="1" x14ac:dyDescent="0.35">
      <c r="B58" s="59"/>
      <c r="C58" s="3"/>
      <c r="E58" s="23"/>
      <c r="F58" s="59"/>
      <c r="G58" s="3"/>
      <c r="H58" s="59"/>
      <c r="I58" s="2"/>
      <c r="J58" s="2"/>
      <c r="K58" s="2"/>
      <c r="L58" s="2"/>
      <c r="M58" s="2"/>
      <c r="N58" s="2"/>
      <c r="O58" s="2"/>
      <c r="P58" s="2"/>
      <c r="R58" s="3">
        <v>2027</v>
      </c>
      <c r="S58" s="2">
        <v>4</v>
      </c>
      <c r="T58" s="5">
        <f t="shared" si="24"/>
        <v>46409</v>
      </c>
      <c r="U58" s="60">
        <f t="shared" si="20"/>
        <v>0</v>
      </c>
      <c r="W58" s="61">
        <f t="shared" si="23"/>
        <v>0</v>
      </c>
    </row>
    <row r="59" spans="2:23" ht="15.75" customHeight="1" x14ac:dyDescent="0.35">
      <c r="B59" s="59"/>
      <c r="C59" s="3"/>
      <c r="E59" s="23"/>
      <c r="F59" s="59"/>
      <c r="G59" s="3"/>
      <c r="H59" s="59"/>
      <c r="I59" s="2"/>
      <c r="J59" s="2"/>
      <c r="K59" s="2"/>
      <c r="L59" s="2"/>
      <c r="M59" s="2"/>
      <c r="N59" s="2"/>
      <c r="O59" s="2"/>
      <c r="P59" s="2"/>
      <c r="R59" s="3">
        <v>2027</v>
      </c>
      <c r="S59" s="2">
        <v>5</v>
      </c>
      <c r="T59" s="5">
        <f t="shared" si="24"/>
        <v>46416</v>
      </c>
      <c r="U59" s="60">
        <f t="shared" si="20"/>
        <v>3000000</v>
      </c>
      <c r="W59" s="61">
        <f t="shared" si="23"/>
        <v>3000000</v>
      </c>
    </row>
    <row r="60" spans="2:23" ht="15.75" customHeight="1" x14ac:dyDescent="0.35">
      <c r="B60" s="59"/>
      <c r="C60" s="3"/>
      <c r="E60" s="23"/>
      <c r="F60" s="59"/>
      <c r="G60" s="3"/>
      <c r="H60" s="59"/>
      <c r="I60" s="2"/>
      <c r="J60" s="2"/>
      <c r="K60" s="2"/>
      <c r="L60" s="2"/>
      <c r="M60" s="2"/>
      <c r="N60" s="2"/>
      <c r="O60" s="2"/>
      <c r="P60" s="2"/>
      <c r="R60" s="3">
        <v>2027</v>
      </c>
      <c r="S60" s="2">
        <v>6</v>
      </c>
      <c r="T60" s="5">
        <f t="shared" si="24"/>
        <v>46423</v>
      </c>
      <c r="U60" s="60">
        <f t="shared" si="20"/>
        <v>0</v>
      </c>
      <c r="W60" s="61">
        <f t="shared" si="23"/>
        <v>0</v>
      </c>
    </row>
    <row r="61" spans="2:23" ht="15.75" customHeight="1" x14ac:dyDescent="0.35">
      <c r="B61" s="59"/>
      <c r="C61" s="3"/>
      <c r="E61" s="23"/>
      <c r="F61" s="59"/>
      <c r="G61" s="3"/>
      <c r="H61" s="59"/>
      <c r="I61" s="2"/>
      <c r="J61" s="2"/>
      <c r="K61" s="2"/>
      <c r="L61" s="2"/>
      <c r="M61" s="2"/>
      <c r="N61" s="2"/>
      <c r="O61" s="2"/>
      <c r="P61" s="2"/>
      <c r="R61" s="3">
        <v>2027</v>
      </c>
      <c r="S61" s="2">
        <v>7</v>
      </c>
      <c r="T61" s="5">
        <f t="shared" si="24"/>
        <v>46430</v>
      </c>
      <c r="U61" s="60">
        <f t="shared" si="20"/>
        <v>0</v>
      </c>
      <c r="W61" s="61">
        <f t="shared" si="23"/>
        <v>0</v>
      </c>
    </row>
    <row r="62" spans="2:23" ht="15.75" customHeight="1" x14ac:dyDescent="0.35">
      <c r="B62" s="59"/>
      <c r="C62" s="3"/>
      <c r="E62" s="23"/>
      <c r="F62" s="59"/>
      <c r="G62" s="3"/>
      <c r="H62" s="59"/>
      <c r="I62" s="2"/>
      <c r="J62" s="2"/>
      <c r="K62" s="2"/>
      <c r="L62" s="2"/>
      <c r="M62" s="2"/>
      <c r="N62" s="2"/>
      <c r="O62" s="2"/>
      <c r="P62" s="2"/>
      <c r="R62" s="3">
        <v>2027</v>
      </c>
      <c r="S62" s="2">
        <v>8</v>
      </c>
      <c r="T62" s="5">
        <f t="shared" si="24"/>
        <v>46437</v>
      </c>
      <c r="U62" s="60">
        <f t="shared" si="20"/>
        <v>0</v>
      </c>
      <c r="W62" s="61">
        <f t="shared" si="23"/>
        <v>0</v>
      </c>
    </row>
    <row r="63" spans="2:23" ht="15.75" customHeight="1" x14ac:dyDescent="0.35">
      <c r="B63" s="59"/>
      <c r="C63" s="3"/>
      <c r="E63" s="23"/>
      <c r="F63" s="59"/>
      <c r="G63" s="3"/>
      <c r="H63" s="59"/>
      <c r="I63" s="2"/>
      <c r="J63" s="2"/>
      <c r="K63" s="2"/>
      <c r="L63" s="2"/>
      <c r="M63" s="2"/>
      <c r="N63" s="2"/>
      <c r="O63" s="2"/>
      <c r="P63" s="2"/>
      <c r="R63" s="3">
        <v>2027</v>
      </c>
      <c r="S63" s="2">
        <v>9</v>
      </c>
      <c r="T63" s="5">
        <f t="shared" si="24"/>
        <v>46444</v>
      </c>
      <c r="U63" s="60">
        <f t="shared" si="20"/>
        <v>0</v>
      </c>
      <c r="W63" s="61">
        <f t="shared" si="23"/>
        <v>0</v>
      </c>
    </row>
    <row r="64" spans="2:23" ht="15.75" customHeight="1" x14ac:dyDescent="0.35">
      <c r="B64" s="59"/>
      <c r="C64" s="3"/>
      <c r="E64" s="23"/>
      <c r="F64" s="59"/>
      <c r="G64" s="3"/>
      <c r="H64" s="59"/>
      <c r="I64" s="2"/>
      <c r="J64" s="2"/>
      <c r="K64" s="2"/>
      <c r="L64" s="2"/>
      <c r="M64" s="2"/>
      <c r="N64" s="2"/>
      <c r="O64" s="2"/>
      <c r="P64" s="2"/>
      <c r="R64" s="3">
        <v>2027</v>
      </c>
      <c r="S64" s="2">
        <v>10</v>
      </c>
      <c r="T64" s="5">
        <f t="shared" si="24"/>
        <v>46451</v>
      </c>
      <c r="U64" s="60">
        <f t="shared" si="20"/>
        <v>2000000</v>
      </c>
      <c r="W64" s="61">
        <f t="shared" si="23"/>
        <v>2000000</v>
      </c>
    </row>
    <row r="65" spans="2:23" ht="15.75" customHeight="1" x14ac:dyDescent="0.35">
      <c r="B65" s="59"/>
      <c r="C65" s="3"/>
      <c r="E65" s="23"/>
      <c r="F65" s="59"/>
      <c r="G65" s="3"/>
      <c r="H65" s="59"/>
      <c r="I65" s="2"/>
      <c r="J65" s="2"/>
      <c r="K65" s="2"/>
      <c r="L65" s="2"/>
      <c r="M65" s="2"/>
      <c r="N65" s="2"/>
      <c r="O65" s="2"/>
      <c r="P65" s="2"/>
      <c r="R65" s="3">
        <v>2027</v>
      </c>
      <c r="S65" s="2">
        <v>11</v>
      </c>
      <c r="T65" s="5">
        <f t="shared" si="24"/>
        <v>46458</v>
      </c>
      <c r="U65" s="60">
        <f t="shared" si="20"/>
        <v>0</v>
      </c>
      <c r="W65" s="61">
        <f t="shared" si="23"/>
        <v>0</v>
      </c>
    </row>
    <row r="66" spans="2:23" ht="15.75" customHeight="1" x14ac:dyDescent="0.35">
      <c r="B66" s="59"/>
      <c r="C66" s="3"/>
      <c r="E66" s="23"/>
      <c r="F66" s="59"/>
      <c r="G66" s="3"/>
      <c r="H66" s="59"/>
      <c r="I66" s="2"/>
      <c r="J66" s="2"/>
      <c r="K66" s="2"/>
      <c r="L66" s="2"/>
      <c r="M66" s="2"/>
      <c r="N66" s="2"/>
      <c r="O66" s="2"/>
      <c r="P66" s="2"/>
      <c r="R66" s="3">
        <v>2027</v>
      </c>
      <c r="S66" s="2">
        <v>12</v>
      </c>
      <c r="T66" s="5">
        <f t="shared" si="24"/>
        <v>46465</v>
      </c>
      <c r="U66" s="60">
        <f t="shared" si="20"/>
        <v>0</v>
      </c>
      <c r="W66" s="61">
        <f t="shared" si="23"/>
        <v>0</v>
      </c>
    </row>
    <row r="67" spans="2:23" ht="15.75" customHeight="1" x14ac:dyDescent="0.35">
      <c r="B67" s="59"/>
      <c r="C67" s="3"/>
      <c r="E67" s="23"/>
      <c r="F67" s="59"/>
      <c r="G67" s="3"/>
      <c r="H67" s="59"/>
      <c r="I67" s="2"/>
      <c r="J67" s="2"/>
      <c r="K67" s="2"/>
      <c r="L67" s="2"/>
      <c r="M67" s="2"/>
      <c r="N67" s="2"/>
      <c r="O67" s="2"/>
      <c r="P67" s="2"/>
      <c r="R67" s="3">
        <v>2027</v>
      </c>
      <c r="S67" s="2">
        <v>13</v>
      </c>
      <c r="T67" s="5">
        <f t="shared" si="24"/>
        <v>46472</v>
      </c>
      <c r="U67" s="60">
        <f t="shared" ref="U67:U98" si="25">SUMIFS($E:$E,$O:$O,$S67,$P:$P,$R67)</f>
        <v>0</v>
      </c>
      <c r="W67" s="61">
        <f t="shared" si="23"/>
        <v>0</v>
      </c>
    </row>
    <row r="68" spans="2:23" ht="15.75" customHeight="1" x14ac:dyDescent="0.35">
      <c r="B68" s="59"/>
      <c r="C68" s="3"/>
      <c r="E68" s="23"/>
      <c r="F68" s="59"/>
      <c r="G68" s="3"/>
      <c r="H68" s="59"/>
      <c r="I68" s="2"/>
      <c r="J68" s="2"/>
      <c r="K68" s="2"/>
      <c r="L68" s="2"/>
      <c r="M68" s="2"/>
      <c r="N68" s="2"/>
      <c r="O68" s="2"/>
      <c r="P68" s="2"/>
      <c r="R68" s="3">
        <v>2027</v>
      </c>
      <c r="S68" s="2">
        <v>14</v>
      </c>
      <c r="T68" s="5">
        <f t="shared" si="24"/>
        <v>46479</v>
      </c>
      <c r="U68" s="60">
        <f t="shared" si="25"/>
        <v>1000000</v>
      </c>
      <c r="W68" s="61">
        <f t="shared" si="23"/>
        <v>1000000</v>
      </c>
    </row>
    <row r="69" spans="2:23" ht="15.75" customHeight="1" x14ac:dyDescent="0.35">
      <c r="B69" s="59"/>
      <c r="C69" s="3"/>
      <c r="E69" s="23"/>
      <c r="F69" s="59"/>
      <c r="G69" s="3"/>
      <c r="H69" s="59"/>
      <c r="I69" s="2"/>
      <c r="J69" s="2"/>
      <c r="K69" s="2"/>
      <c r="L69" s="2"/>
      <c r="M69" s="2"/>
      <c r="N69" s="2"/>
      <c r="O69" s="2"/>
      <c r="P69" s="2"/>
      <c r="R69" s="3">
        <v>2027</v>
      </c>
      <c r="S69" s="2">
        <v>15</v>
      </c>
      <c r="T69" s="5">
        <f t="shared" si="24"/>
        <v>46486</v>
      </c>
      <c r="U69" s="60">
        <f t="shared" si="25"/>
        <v>0</v>
      </c>
      <c r="W69" s="61">
        <f t="shared" si="23"/>
        <v>0</v>
      </c>
    </row>
    <row r="70" spans="2:23" ht="15.75" customHeight="1" x14ac:dyDescent="0.35">
      <c r="B70" s="59"/>
      <c r="C70" s="3"/>
      <c r="E70" s="23"/>
      <c r="F70" s="59"/>
      <c r="G70" s="3"/>
      <c r="H70" s="59"/>
      <c r="I70" s="2"/>
      <c r="J70" s="2"/>
      <c r="K70" s="2"/>
      <c r="L70" s="2"/>
      <c r="M70" s="2"/>
      <c r="N70" s="2"/>
      <c r="O70" s="2"/>
      <c r="P70" s="2"/>
      <c r="R70" s="3">
        <v>2027</v>
      </c>
      <c r="S70" s="2">
        <v>16</v>
      </c>
      <c r="T70" s="5">
        <f t="shared" si="24"/>
        <v>46493</v>
      </c>
      <c r="U70" s="60">
        <f t="shared" si="25"/>
        <v>0</v>
      </c>
      <c r="W70" s="61">
        <f t="shared" si="23"/>
        <v>0</v>
      </c>
    </row>
    <row r="71" spans="2:23" ht="15.75" customHeight="1" x14ac:dyDescent="0.35">
      <c r="B71" s="59"/>
      <c r="C71" s="3"/>
      <c r="E71" s="23"/>
      <c r="F71" s="59"/>
      <c r="G71" s="3"/>
      <c r="H71" s="59"/>
      <c r="I71" s="2"/>
      <c r="J71" s="2"/>
      <c r="K71" s="2"/>
      <c r="L71" s="2"/>
      <c r="M71" s="2"/>
      <c r="N71" s="2"/>
      <c r="O71" s="2"/>
      <c r="P71" s="2"/>
      <c r="R71" s="3">
        <v>2027</v>
      </c>
      <c r="S71" s="2">
        <v>17</v>
      </c>
      <c r="T71" s="5">
        <f t="shared" si="24"/>
        <v>46500</v>
      </c>
      <c r="U71" s="60">
        <f t="shared" si="25"/>
        <v>0</v>
      </c>
      <c r="W71" s="61">
        <f t="shared" si="23"/>
        <v>0</v>
      </c>
    </row>
    <row r="72" spans="2:23" ht="15.75" customHeight="1" x14ac:dyDescent="0.35">
      <c r="B72" s="59"/>
      <c r="C72" s="3"/>
      <c r="E72" s="23"/>
      <c r="F72" s="59"/>
      <c r="G72" s="3"/>
      <c r="H72" s="59"/>
      <c r="I72" s="2"/>
      <c r="J72" s="2"/>
      <c r="K72" s="2"/>
      <c r="L72" s="2"/>
      <c r="M72" s="2"/>
      <c r="N72" s="2"/>
      <c r="O72" s="2"/>
      <c r="P72" s="2"/>
      <c r="R72" s="3">
        <v>2027</v>
      </c>
      <c r="S72" s="2">
        <v>18</v>
      </c>
      <c r="T72" s="5">
        <f t="shared" si="24"/>
        <v>46507</v>
      </c>
      <c r="U72" s="60">
        <f t="shared" si="25"/>
        <v>0</v>
      </c>
      <c r="W72" s="61">
        <f t="shared" si="23"/>
        <v>0</v>
      </c>
    </row>
    <row r="73" spans="2:23" ht="15.75" customHeight="1" x14ac:dyDescent="0.35">
      <c r="B73" s="59"/>
      <c r="C73" s="3"/>
      <c r="E73" s="23"/>
      <c r="F73" s="59"/>
      <c r="G73" s="3"/>
      <c r="H73" s="59"/>
      <c r="I73" s="2"/>
      <c r="J73" s="2"/>
      <c r="K73" s="2"/>
      <c r="L73" s="2"/>
      <c r="M73" s="2"/>
      <c r="N73" s="2"/>
      <c r="O73" s="2"/>
      <c r="P73" s="2"/>
      <c r="R73" s="3">
        <v>2027</v>
      </c>
      <c r="S73" s="2">
        <v>19</v>
      </c>
      <c r="T73" s="5">
        <f t="shared" si="24"/>
        <v>46514</v>
      </c>
      <c r="U73" s="60">
        <f t="shared" si="25"/>
        <v>0</v>
      </c>
      <c r="W73" s="61">
        <f t="shared" si="23"/>
        <v>0</v>
      </c>
    </row>
    <row r="74" spans="2:23" ht="15.75" customHeight="1" x14ac:dyDescent="0.35">
      <c r="B74" s="59"/>
      <c r="C74" s="3"/>
      <c r="E74" s="23"/>
      <c r="F74" s="59"/>
      <c r="G74" s="3"/>
      <c r="H74" s="59"/>
      <c r="I74" s="2"/>
      <c r="J74" s="2"/>
      <c r="K74" s="2"/>
      <c r="L74" s="2"/>
      <c r="M74" s="2"/>
      <c r="N74" s="2"/>
      <c r="O74" s="2"/>
      <c r="P74" s="2"/>
      <c r="R74" s="3">
        <v>2027</v>
      </c>
      <c r="S74" s="2">
        <v>20</v>
      </c>
      <c r="T74" s="5">
        <f t="shared" si="24"/>
        <v>46521</v>
      </c>
      <c r="U74" s="60">
        <f t="shared" si="25"/>
        <v>0</v>
      </c>
      <c r="W74" s="61">
        <f t="shared" si="23"/>
        <v>0</v>
      </c>
    </row>
    <row r="75" spans="2:23" ht="15.75" customHeight="1" x14ac:dyDescent="0.35">
      <c r="B75" s="59"/>
      <c r="C75" s="3"/>
      <c r="E75" s="23"/>
      <c r="F75" s="59"/>
      <c r="G75" s="3"/>
      <c r="H75" s="59"/>
      <c r="I75" s="2"/>
      <c r="J75" s="2"/>
      <c r="K75" s="2"/>
      <c r="L75" s="2"/>
      <c r="M75" s="2"/>
      <c r="N75" s="2"/>
      <c r="O75" s="2"/>
      <c r="P75" s="2"/>
      <c r="R75" s="3">
        <v>2027</v>
      </c>
      <c r="S75" s="2">
        <v>21</v>
      </c>
      <c r="T75" s="5">
        <f t="shared" si="24"/>
        <v>46528</v>
      </c>
      <c r="U75" s="60">
        <f t="shared" si="25"/>
        <v>0</v>
      </c>
      <c r="W75" s="61">
        <f t="shared" si="23"/>
        <v>0</v>
      </c>
    </row>
    <row r="76" spans="2:23" ht="15.75" customHeight="1" x14ac:dyDescent="0.35">
      <c r="B76" s="59"/>
      <c r="C76" s="3"/>
      <c r="E76" s="23"/>
      <c r="F76" s="59"/>
      <c r="G76" s="3"/>
      <c r="H76" s="59"/>
      <c r="I76" s="2"/>
      <c r="J76" s="2"/>
      <c r="K76" s="2"/>
      <c r="L76" s="2"/>
      <c r="M76" s="2"/>
      <c r="N76" s="2"/>
      <c r="O76" s="2"/>
      <c r="P76" s="2"/>
      <c r="R76" s="3">
        <v>2027</v>
      </c>
      <c r="S76" s="2">
        <v>22</v>
      </c>
      <c r="T76" s="5">
        <f t="shared" si="24"/>
        <v>46535</v>
      </c>
      <c r="U76" s="60">
        <f t="shared" si="25"/>
        <v>0</v>
      </c>
      <c r="W76" s="61">
        <f t="shared" si="23"/>
        <v>0</v>
      </c>
    </row>
    <row r="77" spans="2:23" ht="15.75" customHeight="1" x14ac:dyDescent="0.35">
      <c r="B77" s="59"/>
      <c r="C77" s="3"/>
      <c r="E77" s="23"/>
      <c r="F77" s="59"/>
      <c r="G77" s="3"/>
      <c r="H77" s="59"/>
      <c r="I77" s="2"/>
      <c r="J77" s="2"/>
      <c r="K77" s="2"/>
      <c r="L77" s="2"/>
      <c r="M77" s="2"/>
      <c r="N77" s="2"/>
      <c r="O77" s="2"/>
      <c r="P77" s="2"/>
      <c r="R77" s="3">
        <v>2027</v>
      </c>
      <c r="S77" s="2">
        <v>23</v>
      </c>
      <c r="T77" s="5">
        <f t="shared" si="24"/>
        <v>46542</v>
      </c>
      <c r="U77" s="60">
        <f t="shared" si="25"/>
        <v>0</v>
      </c>
      <c r="W77" s="61">
        <f t="shared" si="23"/>
        <v>0</v>
      </c>
    </row>
    <row r="78" spans="2:23" ht="15.75" customHeight="1" x14ac:dyDescent="0.35">
      <c r="B78" s="59"/>
      <c r="C78" s="3"/>
      <c r="E78" s="23"/>
      <c r="F78" s="59"/>
      <c r="G78" s="3"/>
      <c r="H78" s="59"/>
      <c r="I78" s="2"/>
      <c r="J78" s="2"/>
      <c r="K78" s="2"/>
      <c r="L78" s="2"/>
      <c r="M78" s="2"/>
      <c r="N78" s="2"/>
      <c r="O78" s="2"/>
      <c r="P78" s="2"/>
      <c r="R78" s="3">
        <v>2027</v>
      </c>
      <c r="S78" s="2">
        <v>24</v>
      </c>
      <c r="T78" s="5">
        <f t="shared" si="24"/>
        <v>46549</v>
      </c>
      <c r="U78" s="60">
        <f t="shared" si="25"/>
        <v>0</v>
      </c>
      <c r="W78" s="61">
        <f t="shared" si="23"/>
        <v>0</v>
      </c>
    </row>
    <row r="79" spans="2:23" ht="15.75" customHeight="1" x14ac:dyDescent="0.35">
      <c r="B79" s="59"/>
      <c r="C79" s="3"/>
      <c r="E79" s="23"/>
      <c r="F79" s="59"/>
      <c r="G79" s="3"/>
      <c r="H79" s="59"/>
      <c r="I79" s="2"/>
      <c r="J79" s="2"/>
      <c r="K79" s="2"/>
      <c r="L79" s="2"/>
      <c r="M79" s="2"/>
      <c r="N79" s="2"/>
      <c r="O79" s="2"/>
      <c r="P79" s="2"/>
      <c r="R79" s="3">
        <v>2027</v>
      </c>
      <c r="S79" s="2">
        <v>25</v>
      </c>
      <c r="T79" s="5">
        <f t="shared" si="24"/>
        <v>46556</v>
      </c>
      <c r="U79" s="60">
        <f t="shared" si="25"/>
        <v>0</v>
      </c>
      <c r="W79" s="61">
        <f t="shared" si="23"/>
        <v>0</v>
      </c>
    </row>
    <row r="80" spans="2:23" ht="15.75" customHeight="1" x14ac:dyDescent="0.35">
      <c r="B80" s="59"/>
      <c r="C80" s="3"/>
      <c r="E80" s="23"/>
      <c r="F80" s="59"/>
      <c r="G80" s="3"/>
      <c r="H80" s="59"/>
      <c r="I80" s="2"/>
      <c r="J80" s="2"/>
      <c r="K80" s="2"/>
      <c r="L80" s="2"/>
      <c r="M80" s="2"/>
      <c r="N80" s="2"/>
      <c r="O80" s="2"/>
      <c r="P80" s="2"/>
      <c r="R80" s="3">
        <v>2027</v>
      </c>
      <c r="S80" s="2">
        <v>26</v>
      </c>
      <c r="T80" s="5">
        <f t="shared" si="24"/>
        <v>46563</v>
      </c>
      <c r="U80" s="60">
        <f t="shared" si="25"/>
        <v>0</v>
      </c>
      <c r="W80" s="61">
        <f t="shared" si="23"/>
        <v>0</v>
      </c>
    </row>
    <row r="81" spans="2:23" ht="15.75" customHeight="1" x14ac:dyDescent="0.35">
      <c r="B81" s="59"/>
      <c r="C81" s="3"/>
      <c r="E81" s="23"/>
      <c r="F81" s="59"/>
      <c r="G81" s="3"/>
      <c r="H81" s="59"/>
      <c r="I81" s="2"/>
      <c r="J81" s="2"/>
      <c r="K81" s="2"/>
      <c r="L81" s="2"/>
      <c r="M81" s="2"/>
      <c r="N81" s="2"/>
      <c r="O81" s="2"/>
      <c r="P81" s="2"/>
      <c r="R81" s="3">
        <v>2027</v>
      </c>
      <c r="S81" s="2">
        <v>27</v>
      </c>
      <c r="T81" s="5">
        <f t="shared" si="24"/>
        <v>46570</v>
      </c>
      <c r="U81" s="60">
        <f t="shared" si="25"/>
        <v>0</v>
      </c>
      <c r="W81" s="61">
        <f t="shared" si="23"/>
        <v>0</v>
      </c>
    </row>
    <row r="82" spans="2:23" ht="15.75" customHeight="1" x14ac:dyDescent="0.35">
      <c r="B82" s="59"/>
      <c r="C82" s="3"/>
      <c r="E82" s="23"/>
      <c r="F82" s="59"/>
      <c r="G82" s="3"/>
      <c r="H82" s="59"/>
      <c r="I82" s="2"/>
      <c r="J82" s="2"/>
      <c r="K82" s="2"/>
      <c r="L82" s="2"/>
      <c r="M82" s="2"/>
      <c r="N82" s="2"/>
      <c r="O82" s="2"/>
      <c r="P82" s="2"/>
      <c r="R82" s="3">
        <v>2027</v>
      </c>
      <c r="S82" s="2">
        <v>28</v>
      </c>
      <c r="T82" s="5">
        <f t="shared" si="24"/>
        <v>46577</v>
      </c>
      <c r="U82" s="60">
        <f t="shared" si="25"/>
        <v>0</v>
      </c>
      <c r="W82" s="61">
        <f t="shared" si="23"/>
        <v>0</v>
      </c>
    </row>
    <row r="83" spans="2:23" ht="15.75" customHeight="1" x14ac:dyDescent="0.35">
      <c r="B83" s="59"/>
      <c r="C83" s="3"/>
      <c r="E83" s="23"/>
      <c r="F83" s="59"/>
      <c r="G83" s="3"/>
      <c r="H83" s="59"/>
      <c r="I83" s="2"/>
      <c r="J83" s="2"/>
      <c r="K83" s="2"/>
      <c r="L83" s="2"/>
      <c r="M83" s="2"/>
      <c r="N83" s="2"/>
      <c r="O83" s="2"/>
      <c r="P83" s="2"/>
      <c r="R83" s="3">
        <v>2027</v>
      </c>
      <c r="S83" s="2">
        <v>29</v>
      </c>
      <c r="T83" s="5">
        <f t="shared" si="24"/>
        <v>46584</v>
      </c>
      <c r="U83" s="60">
        <f t="shared" si="25"/>
        <v>0</v>
      </c>
      <c r="W83" s="61">
        <f t="shared" si="23"/>
        <v>0</v>
      </c>
    </row>
    <row r="84" spans="2:23" ht="15.75" customHeight="1" x14ac:dyDescent="0.35">
      <c r="B84" s="59"/>
      <c r="C84" s="3"/>
      <c r="E84" s="23"/>
      <c r="F84" s="59"/>
      <c r="G84" s="3"/>
      <c r="H84" s="59"/>
      <c r="I84" s="2"/>
      <c r="J84" s="2"/>
      <c r="K84" s="2"/>
      <c r="L84" s="2"/>
      <c r="M84" s="2"/>
      <c r="N84" s="2"/>
      <c r="O84" s="2"/>
      <c r="P84" s="2"/>
      <c r="R84" s="3">
        <v>2027</v>
      </c>
      <c r="S84" s="2">
        <v>30</v>
      </c>
      <c r="T84" s="5">
        <f t="shared" si="24"/>
        <v>46591</v>
      </c>
      <c r="U84" s="60">
        <f t="shared" si="25"/>
        <v>0</v>
      </c>
      <c r="W84" s="61">
        <f t="shared" si="23"/>
        <v>0</v>
      </c>
    </row>
    <row r="85" spans="2:23" ht="15.75" customHeight="1" x14ac:dyDescent="0.35">
      <c r="B85" s="59"/>
      <c r="C85" s="3"/>
      <c r="E85" s="23"/>
      <c r="F85" s="59"/>
      <c r="G85" s="3"/>
      <c r="H85" s="59"/>
      <c r="I85" s="2"/>
      <c r="J85" s="2"/>
      <c r="K85" s="2"/>
      <c r="L85" s="2"/>
      <c r="M85" s="2"/>
      <c r="N85" s="2"/>
      <c r="O85" s="2"/>
      <c r="P85" s="2"/>
      <c r="R85" s="3">
        <v>2027</v>
      </c>
      <c r="S85" s="2">
        <v>31</v>
      </c>
      <c r="T85" s="5">
        <f t="shared" si="24"/>
        <v>46598</v>
      </c>
      <c r="U85" s="60">
        <f t="shared" si="25"/>
        <v>0</v>
      </c>
      <c r="W85" s="61">
        <f t="shared" si="23"/>
        <v>0</v>
      </c>
    </row>
    <row r="86" spans="2:23" ht="15.75" customHeight="1" x14ac:dyDescent="0.35">
      <c r="B86" s="59"/>
      <c r="C86" s="3"/>
      <c r="E86" s="23"/>
      <c r="F86" s="59"/>
      <c r="G86" s="3"/>
      <c r="H86" s="59"/>
      <c r="I86" s="2"/>
      <c r="J86" s="2"/>
      <c r="K86" s="2"/>
      <c r="L86" s="2"/>
      <c r="M86" s="2"/>
      <c r="N86" s="2"/>
      <c r="O86" s="2"/>
      <c r="P86" s="2"/>
      <c r="R86" s="3">
        <v>2027</v>
      </c>
      <c r="S86" s="2">
        <v>32</v>
      </c>
      <c r="T86" s="5">
        <f t="shared" si="24"/>
        <v>46605</v>
      </c>
      <c r="U86" s="60">
        <f t="shared" si="25"/>
        <v>0</v>
      </c>
      <c r="W86" s="61">
        <f t="shared" si="23"/>
        <v>0</v>
      </c>
    </row>
    <row r="87" spans="2:23" ht="15.75" customHeight="1" x14ac:dyDescent="0.35">
      <c r="B87" s="59"/>
      <c r="C87" s="3"/>
      <c r="E87" s="23"/>
      <c r="F87" s="59"/>
      <c r="G87" s="3"/>
      <c r="H87" s="59"/>
      <c r="I87" s="2"/>
      <c r="J87" s="2"/>
      <c r="K87" s="2"/>
      <c r="L87" s="2"/>
      <c r="M87" s="2"/>
      <c r="N87" s="2"/>
      <c r="O87" s="2"/>
      <c r="P87" s="2"/>
      <c r="R87" s="3">
        <v>2027</v>
      </c>
      <c r="S87" s="2">
        <v>33</v>
      </c>
      <c r="T87" s="5">
        <f t="shared" si="24"/>
        <v>46612</v>
      </c>
      <c r="U87" s="60">
        <f t="shared" si="25"/>
        <v>0</v>
      </c>
      <c r="W87" s="61">
        <f t="shared" si="23"/>
        <v>0</v>
      </c>
    </row>
    <row r="88" spans="2:23" ht="15.75" customHeight="1" x14ac:dyDescent="0.35">
      <c r="B88" s="59"/>
      <c r="C88" s="3"/>
      <c r="E88" s="23"/>
      <c r="F88" s="59"/>
      <c r="G88" s="3"/>
      <c r="H88" s="59"/>
      <c r="I88" s="2"/>
      <c r="J88" s="2"/>
      <c r="K88" s="2"/>
      <c r="L88" s="2"/>
      <c r="M88" s="2"/>
      <c r="N88" s="2"/>
      <c r="O88" s="2"/>
      <c r="P88" s="2"/>
      <c r="R88" s="3">
        <v>2027</v>
      </c>
      <c r="S88" s="2">
        <v>34</v>
      </c>
      <c r="T88" s="5">
        <f t="shared" si="24"/>
        <v>46619</v>
      </c>
      <c r="U88" s="60">
        <f t="shared" si="25"/>
        <v>0</v>
      </c>
      <c r="W88" s="61">
        <f t="shared" si="23"/>
        <v>0</v>
      </c>
    </row>
    <row r="89" spans="2:23" ht="15.75" customHeight="1" x14ac:dyDescent="0.35">
      <c r="B89" s="59"/>
      <c r="C89" s="3"/>
      <c r="E89" s="23"/>
      <c r="F89" s="59"/>
      <c r="G89" s="3"/>
      <c r="H89" s="59"/>
      <c r="I89" s="2"/>
      <c r="J89" s="2"/>
      <c r="K89" s="2"/>
      <c r="L89" s="2"/>
      <c r="M89" s="2"/>
      <c r="N89" s="2"/>
      <c r="O89" s="2"/>
      <c r="P89" s="2"/>
      <c r="R89" s="3">
        <v>2027</v>
      </c>
      <c r="S89" s="2">
        <v>35</v>
      </c>
      <c r="T89" s="5">
        <f t="shared" si="24"/>
        <v>46626</v>
      </c>
      <c r="U89" s="60">
        <f t="shared" si="25"/>
        <v>0</v>
      </c>
      <c r="W89" s="61">
        <f t="shared" si="23"/>
        <v>0</v>
      </c>
    </row>
    <row r="90" spans="2:23" ht="15.75" customHeight="1" x14ac:dyDescent="0.35">
      <c r="B90" s="59"/>
      <c r="C90" s="3"/>
      <c r="E90" s="23"/>
      <c r="F90" s="59"/>
      <c r="G90" s="3"/>
      <c r="H90" s="59"/>
      <c r="I90" s="2"/>
      <c r="J90" s="2"/>
      <c r="K90" s="2"/>
      <c r="L90" s="2"/>
      <c r="M90" s="2"/>
      <c r="N90" s="2"/>
      <c r="O90" s="2"/>
      <c r="P90" s="2"/>
      <c r="R90" s="3">
        <v>2027</v>
      </c>
      <c r="S90" s="2">
        <v>36</v>
      </c>
      <c r="T90" s="5">
        <f t="shared" si="24"/>
        <v>46633</v>
      </c>
      <c r="U90" s="60">
        <f t="shared" si="25"/>
        <v>0</v>
      </c>
      <c r="W90" s="61">
        <f t="shared" si="23"/>
        <v>0</v>
      </c>
    </row>
    <row r="91" spans="2:23" ht="15.75" customHeight="1" x14ac:dyDescent="0.35">
      <c r="B91" s="59"/>
      <c r="C91" s="3"/>
      <c r="E91" s="23"/>
      <c r="F91" s="59"/>
      <c r="G91" s="3"/>
      <c r="H91" s="59"/>
      <c r="I91" s="2"/>
      <c r="J91" s="2"/>
      <c r="K91" s="2"/>
      <c r="L91" s="2"/>
      <c r="M91" s="2"/>
      <c r="N91" s="2"/>
      <c r="O91" s="2"/>
      <c r="P91" s="2"/>
      <c r="R91" s="3">
        <v>2027</v>
      </c>
      <c r="S91" s="2">
        <v>37</v>
      </c>
      <c r="T91" s="5">
        <f t="shared" si="24"/>
        <v>46640</v>
      </c>
      <c r="U91" s="60">
        <f t="shared" si="25"/>
        <v>0</v>
      </c>
      <c r="W91" s="61">
        <f t="shared" si="23"/>
        <v>0</v>
      </c>
    </row>
    <row r="92" spans="2:23" ht="15.75" customHeight="1" x14ac:dyDescent="0.35">
      <c r="B92" s="59"/>
      <c r="C92" s="3"/>
      <c r="E92" s="23"/>
      <c r="F92" s="59"/>
      <c r="G92" s="3"/>
      <c r="H92" s="59"/>
      <c r="I92" s="2"/>
      <c r="J92" s="2"/>
      <c r="K92" s="2"/>
      <c r="L92" s="2"/>
      <c r="M92" s="2"/>
      <c r="N92" s="2"/>
      <c r="O92" s="2"/>
      <c r="P92" s="2"/>
      <c r="R92" s="3">
        <v>2027</v>
      </c>
      <c r="S92" s="2">
        <v>38</v>
      </c>
      <c r="T92" s="5">
        <f t="shared" si="24"/>
        <v>46647</v>
      </c>
      <c r="U92" s="60">
        <f t="shared" si="25"/>
        <v>0</v>
      </c>
      <c r="W92" s="61">
        <f t="shared" si="23"/>
        <v>0</v>
      </c>
    </row>
    <row r="93" spans="2:23" ht="15.75" customHeight="1" x14ac:dyDescent="0.35">
      <c r="B93" s="59"/>
      <c r="C93" s="3"/>
      <c r="E93" s="23"/>
      <c r="F93" s="59"/>
      <c r="G93" s="3"/>
      <c r="H93" s="59"/>
      <c r="I93" s="2"/>
      <c r="J93" s="2"/>
      <c r="K93" s="2"/>
      <c r="L93" s="2"/>
      <c r="M93" s="2"/>
      <c r="N93" s="2"/>
      <c r="O93" s="2"/>
      <c r="P93" s="2"/>
      <c r="R93" s="3">
        <v>2027</v>
      </c>
      <c r="S93" s="2">
        <v>39</v>
      </c>
      <c r="T93" s="5">
        <f t="shared" si="24"/>
        <v>46654</v>
      </c>
      <c r="U93" s="60">
        <f t="shared" si="25"/>
        <v>0</v>
      </c>
      <c r="W93" s="61">
        <f t="shared" si="23"/>
        <v>0</v>
      </c>
    </row>
    <row r="94" spans="2:23" ht="15.75" customHeight="1" x14ac:dyDescent="0.35">
      <c r="B94" s="59"/>
      <c r="C94" s="3"/>
      <c r="E94" s="23"/>
      <c r="F94" s="59"/>
      <c r="G94" s="3"/>
      <c r="H94" s="59"/>
      <c r="I94" s="2"/>
      <c r="J94" s="2"/>
      <c r="K94" s="2"/>
      <c r="L94" s="2"/>
      <c r="M94" s="2"/>
      <c r="N94" s="2"/>
      <c r="O94" s="2"/>
      <c r="P94" s="2"/>
      <c r="R94" s="3">
        <v>2027</v>
      </c>
      <c r="S94" s="2">
        <v>40</v>
      </c>
      <c r="T94" s="5">
        <f t="shared" si="24"/>
        <v>46661</v>
      </c>
      <c r="U94" s="60">
        <f t="shared" si="25"/>
        <v>0</v>
      </c>
      <c r="W94" s="61">
        <f t="shared" si="23"/>
        <v>0</v>
      </c>
    </row>
    <row r="95" spans="2:23" ht="15.75" customHeight="1" x14ac:dyDescent="0.35">
      <c r="B95" s="59"/>
      <c r="C95" s="3"/>
      <c r="E95" s="23"/>
      <c r="F95" s="59"/>
      <c r="G95" s="3"/>
      <c r="H95" s="59"/>
      <c r="I95" s="2"/>
      <c r="J95" s="2"/>
      <c r="K95" s="2"/>
      <c r="L95" s="2"/>
      <c r="M95" s="2"/>
      <c r="N95" s="2"/>
      <c r="O95" s="2"/>
      <c r="P95" s="2"/>
      <c r="R95" s="3">
        <v>2027</v>
      </c>
      <c r="S95" s="2">
        <v>41</v>
      </c>
      <c r="T95" s="5">
        <f t="shared" si="24"/>
        <v>46668</v>
      </c>
      <c r="U95" s="60">
        <f t="shared" si="25"/>
        <v>0</v>
      </c>
      <c r="W95" s="61">
        <f t="shared" si="23"/>
        <v>0</v>
      </c>
    </row>
    <row r="96" spans="2:23" ht="15.75" customHeight="1" x14ac:dyDescent="0.35">
      <c r="B96" s="59"/>
      <c r="C96" s="3"/>
      <c r="E96" s="23"/>
      <c r="F96" s="59"/>
      <c r="G96" s="3"/>
      <c r="H96" s="59"/>
      <c r="I96" s="2"/>
      <c r="J96" s="2"/>
      <c r="K96" s="2"/>
      <c r="L96" s="2"/>
      <c r="M96" s="2"/>
      <c r="N96" s="2"/>
      <c r="O96" s="2"/>
      <c r="P96" s="2"/>
      <c r="R96" s="3">
        <v>2027</v>
      </c>
      <c r="S96" s="2">
        <v>42</v>
      </c>
      <c r="T96" s="5">
        <f t="shared" si="24"/>
        <v>46675</v>
      </c>
      <c r="U96" s="60">
        <f t="shared" si="25"/>
        <v>0</v>
      </c>
      <c r="W96" s="61">
        <f t="shared" si="23"/>
        <v>0</v>
      </c>
    </row>
    <row r="97" spans="2:23" ht="15.75" customHeight="1" x14ac:dyDescent="0.35">
      <c r="B97" s="59"/>
      <c r="E97" s="23"/>
      <c r="F97" s="59"/>
      <c r="G97" s="3"/>
      <c r="H97" s="59"/>
      <c r="R97" s="3">
        <v>2027</v>
      </c>
      <c r="S97" s="2">
        <v>43</v>
      </c>
      <c r="T97" s="5">
        <f t="shared" si="24"/>
        <v>46682</v>
      </c>
      <c r="U97" s="60">
        <f t="shared" si="25"/>
        <v>0</v>
      </c>
      <c r="W97" s="61">
        <f t="shared" si="23"/>
        <v>0</v>
      </c>
    </row>
    <row r="98" spans="2:23" ht="15.75" customHeight="1" x14ac:dyDescent="0.35">
      <c r="B98" s="59"/>
      <c r="E98" s="23"/>
      <c r="F98" s="59"/>
      <c r="G98" s="3"/>
      <c r="H98" s="59"/>
      <c r="R98" s="3">
        <v>2027</v>
      </c>
      <c r="S98" s="2">
        <v>44</v>
      </c>
      <c r="T98" s="5">
        <f t="shared" si="24"/>
        <v>46689</v>
      </c>
      <c r="U98" s="60">
        <f t="shared" si="25"/>
        <v>0</v>
      </c>
      <c r="W98" s="61">
        <f t="shared" si="23"/>
        <v>0</v>
      </c>
    </row>
    <row r="99" spans="2:23" ht="15.75" customHeight="1" x14ac:dyDescent="0.35">
      <c r="B99" s="59"/>
      <c r="E99" s="23"/>
      <c r="F99" s="59"/>
      <c r="G99" s="3"/>
      <c r="H99" s="59"/>
      <c r="R99" s="3">
        <v>2027</v>
      </c>
      <c r="S99" s="2">
        <v>45</v>
      </c>
      <c r="T99" s="5">
        <f t="shared" si="24"/>
        <v>46696</v>
      </c>
      <c r="U99" s="60">
        <f t="shared" ref="U99:U106" si="26">SUMIFS($E:$E,$O:$O,$S99,$P:$P,$R99)</f>
        <v>0</v>
      </c>
      <c r="W99" s="61">
        <f t="shared" si="23"/>
        <v>0</v>
      </c>
    </row>
    <row r="100" spans="2:23" ht="15.75" customHeight="1" x14ac:dyDescent="0.35">
      <c r="B100" s="59"/>
      <c r="E100" s="23"/>
      <c r="F100" s="59"/>
      <c r="G100" s="3"/>
      <c r="H100" s="59"/>
      <c r="R100" s="3">
        <v>2027</v>
      </c>
      <c r="S100" s="2">
        <v>46</v>
      </c>
      <c r="T100" s="5">
        <f t="shared" si="24"/>
        <v>46703</v>
      </c>
      <c r="U100" s="60">
        <f t="shared" si="26"/>
        <v>0</v>
      </c>
      <c r="W100" s="61">
        <f t="shared" si="23"/>
        <v>0</v>
      </c>
    </row>
    <row r="101" spans="2:23" ht="15.75" customHeight="1" x14ac:dyDescent="0.35">
      <c r="B101" s="59"/>
      <c r="E101" s="23"/>
      <c r="F101" s="59"/>
      <c r="G101" s="3"/>
      <c r="H101" s="59"/>
      <c r="R101" s="3">
        <v>2027</v>
      </c>
      <c r="S101" s="2">
        <v>47</v>
      </c>
      <c r="T101" s="5">
        <f t="shared" si="24"/>
        <v>46710</v>
      </c>
      <c r="U101" s="60">
        <f t="shared" si="26"/>
        <v>0</v>
      </c>
      <c r="W101" s="61">
        <f t="shared" si="23"/>
        <v>0</v>
      </c>
    </row>
    <row r="102" spans="2:23" ht="15.75" customHeight="1" x14ac:dyDescent="0.35">
      <c r="B102" s="59"/>
      <c r="E102" s="23"/>
      <c r="F102" s="59"/>
      <c r="G102" s="3"/>
      <c r="H102" s="59"/>
      <c r="R102" s="3">
        <v>2027</v>
      </c>
      <c r="S102" s="2">
        <v>48</v>
      </c>
      <c r="T102" s="5">
        <f t="shared" si="24"/>
        <v>46717</v>
      </c>
      <c r="U102" s="60">
        <f t="shared" si="26"/>
        <v>0</v>
      </c>
      <c r="W102" s="61">
        <f t="shared" si="23"/>
        <v>0</v>
      </c>
    </row>
    <row r="103" spans="2:23" ht="15.75" customHeight="1" x14ac:dyDescent="0.35">
      <c r="B103" s="59"/>
      <c r="E103" s="23"/>
      <c r="F103" s="59"/>
      <c r="G103" s="3"/>
      <c r="H103" s="59"/>
      <c r="R103" s="3">
        <v>2027</v>
      </c>
      <c r="S103" s="2">
        <v>49</v>
      </c>
      <c r="T103" s="5">
        <f t="shared" si="24"/>
        <v>46724</v>
      </c>
      <c r="U103" s="60">
        <f t="shared" si="26"/>
        <v>0</v>
      </c>
      <c r="W103" s="61">
        <f t="shared" si="23"/>
        <v>0</v>
      </c>
    </row>
    <row r="104" spans="2:23" ht="15.75" customHeight="1" x14ac:dyDescent="0.35">
      <c r="B104" s="59"/>
      <c r="E104" s="23"/>
      <c r="F104" s="59"/>
      <c r="G104" s="3"/>
      <c r="H104" s="59"/>
      <c r="R104" s="3">
        <v>2027</v>
      </c>
      <c r="S104" s="2">
        <v>50</v>
      </c>
      <c r="T104" s="5">
        <f t="shared" si="24"/>
        <v>46731</v>
      </c>
      <c r="U104" s="60">
        <f t="shared" si="26"/>
        <v>0</v>
      </c>
      <c r="W104" s="61">
        <f t="shared" si="23"/>
        <v>0</v>
      </c>
    </row>
    <row r="105" spans="2:23" ht="15.75" customHeight="1" x14ac:dyDescent="0.35">
      <c r="B105" s="59"/>
      <c r="E105" s="23"/>
      <c r="F105" s="59"/>
      <c r="G105" s="3"/>
      <c r="H105" s="59"/>
      <c r="R105" s="3">
        <v>2027</v>
      </c>
      <c r="S105" s="2">
        <v>51</v>
      </c>
      <c r="T105" s="5">
        <f t="shared" si="24"/>
        <v>46738</v>
      </c>
      <c r="U105" s="60">
        <f t="shared" si="26"/>
        <v>0</v>
      </c>
      <c r="W105" s="61">
        <f t="shared" si="23"/>
        <v>0</v>
      </c>
    </row>
    <row r="106" spans="2:23" ht="15.75" customHeight="1" x14ac:dyDescent="0.35">
      <c r="B106" s="59"/>
      <c r="E106" s="23"/>
      <c r="F106" s="59"/>
      <c r="G106" s="3"/>
      <c r="H106" s="59"/>
      <c r="R106" s="3">
        <v>2027</v>
      </c>
      <c r="S106" s="2">
        <v>52</v>
      </c>
      <c r="T106" s="5">
        <f t="shared" si="24"/>
        <v>46745</v>
      </c>
      <c r="U106" s="60">
        <f t="shared" si="26"/>
        <v>0</v>
      </c>
      <c r="W106" s="61">
        <f t="shared" si="23"/>
        <v>0</v>
      </c>
    </row>
    <row r="107" spans="2:23" ht="15.75" customHeight="1" x14ac:dyDescent="0.35">
      <c r="B107" s="59"/>
      <c r="E107" s="23"/>
      <c r="F107" s="59"/>
      <c r="G107" s="3"/>
      <c r="H107" s="59"/>
    </row>
    <row r="108" spans="2:23" ht="15.75" customHeight="1" x14ac:dyDescent="0.35">
      <c r="B108" s="59"/>
      <c r="E108" s="23"/>
      <c r="F108" s="59"/>
      <c r="G108" s="3"/>
      <c r="H108" s="59"/>
    </row>
    <row r="109" spans="2:23" ht="15.75" customHeight="1" x14ac:dyDescent="0.35">
      <c r="B109" s="59"/>
      <c r="E109" s="23"/>
      <c r="F109" s="59"/>
      <c r="G109" s="3"/>
      <c r="H109" s="59"/>
    </row>
    <row r="110" spans="2:23" ht="15.75" customHeight="1" x14ac:dyDescent="0.35">
      <c r="B110" s="59"/>
      <c r="E110" s="23"/>
      <c r="F110" s="59"/>
      <c r="G110" s="3"/>
      <c r="H110" s="59"/>
    </row>
    <row r="111" spans="2:23" ht="15.75" customHeight="1" x14ac:dyDescent="0.35">
      <c r="B111" s="59"/>
      <c r="E111" s="23"/>
      <c r="F111" s="59"/>
      <c r="G111" s="3"/>
      <c r="H111" s="59"/>
    </row>
    <row r="112" spans="2:23" ht="15.75" customHeight="1" x14ac:dyDescent="0.35">
      <c r="B112" s="59"/>
      <c r="E112" s="23"/>
      <c r="F112" s="59"/>
      <c r="G112" s="3"/>
      <c r="H112" s="59"/>
    </row>
    <row r="113" spans="2:8" ht="15.75" customHeight="1" x14ac:dyDescent="0.35">
      <c r="B113" s="59"/>
      <c r="E113" s="23"/>
      <c r="F113" s="59"/>
      <c r="G113" s="3"/>
      <c r="H113" s="59"/>
    </row>
    <row r="114" spans="2:8" ht="15.75" customHeight="1" x14ac:dyDescent="0.35">
      <c r="B114" s="59"/>
      <c r="E114" s="23"/>
      <c r="F114" s="59"/>
      <c r="G114" s="3"/>
      <c r="H114" s="59"/>
    </row>
    <row r="115" spans="2:8" ht="15.75" customHeight="1" x14ac:dyDescent="0.35">
      <c r="B115" s="59"/>
      <c r="E115" s="23"/>
      <c r="F115" s="59"/>
      <c r="G115" s="3"/>
      <c r="H115" s="59"/>
    </row>
    <row r="116" spans="2:8" ht="15.75" customHeight="1" x14ac:dyDescent="0.35">
      <c r="B116" s="59"/>
      <c r="E116" s="23"/>
      <c r="F116" s="59"/>
      <c r="G116" s="3"/>
      <c r="H116" s="59"/>
    </row>
    <row r="117" spans="2:8" ht="15.75" customHeight="1" x14ac:dyDescent="0.35">
      <c r="B117" s="59"/>
      <c r="E117" s="23"/>
      <c r="F117" s="59"/>
      <c r="G117" s="3"/>
      <c r="H117" s="59"/>
    </row>
    <row r="118" spans="2:8" ht="15.75" customHeight="1" x14ac:dyDescent="0.35">
      <c r="B118" s="59"/>
      <c r="E118" s="23"/>
      <c r="F118" s="59"/>
      <c r="G118" s="3"/>
      <c r="H118" s="59"/>
    </row>
    <row r="119" spans="2:8" ht="15.75" customHeight="1" x14ac:dyDescent="0.35">
      <c r="B119" s="59"/>
      <c r="E119" s="23"/>
      <c r="F119" s="59"/>
      <c r="G119" s="3"/>
      <c r="H119" s="59"/>
    </row>
    <row r="120" spans="2:8" ht="15.75" customHeight="1" x14ac:dyDescent="0.35">
      <c r="B120" s="59"/>
      <c r="E120" s="23"/>
      <c r="F120" s="59"/>
      <c r="G120" s="3"/>
      <c r="H120" s="59"/>
    </row>
    <row r="121" spans="2:8" ht="15.75" customHeight="1" x14ac:dyDescent="0.35">
      <c r="B121" s="59"/>
      <c r="E121" s="23"/>
      <c r="F121" s="59"/>
      <c r="G121" s="3"/>
      <c r="H121" s="59"/>
    </row>
    <row r="122" spans="2:8" ht="15.75" customHeight="1" x14ac:dyDescent="0.35">
      <c r="B122" s="59"/>
      <c r="E122" s="23"/>
      <c r="F122" s="59"/>
      <c r="G122" s="3"/>
      <c r="H122" s="59"/>
    </row>
    <row r="123" spans="2:8" ht="15.75" customHeight="1" x14ac:dyDescent="0.35">
      <c r="B123" s="59"/>
      <c r="E123" s="23"/>
      <c r="F123" s="59"/>
      <c r="G123" s="3"/>
      <c r="H123" s="59"/>
    </row>
    <row r="124" spans="2:8" ht="15.75" customHeight="1" x14ac:dyDescent="0.35">
      <c r="B124" s="59"/>
      <c r="E124" s="23"/>
      <c r="F124" s="59"/>
      <c r="G124" s="3"/>
      <c r="H124" s="59"/>
    </row>
    <row r="125" spans="2:8" ht="15.75" customHeight="1" x14ac:dyDescent="0.35">
      <c r="B125" s="59"/>
      <c r="E125" s="23"/>
      <c r="F125" s="59"/>
      <c r="G125" s="3"/>
      <c r="H125" s="59"/>
    </row>
    <row r="126" spans="2:8" ht="15.75" customHeight="1" x14ac:dyDescent="0.35">
      <c r="B126" s="59"/>
      <c r="E126" s="23"/>
      <c r="F126" s="59"/>
      <c r="G126" s="3"/>
      <c r="H126" s="59"/>
    </row>
    <row r="127" spans="2:8" ht="15.75" customHeight="1" x14ac:dyDescent="0.35">
      <c r="B127" s="59"/>
      <c r="E127" s="23"/>
      <c r="F127" s="59"/>
      <c r="G127" s="3"/>
      <c r="H127" s="59"/>
    </row>
    <row r="128" spans="2:8" ht="15.75" customHeight="1" x14ac:dyDescent="0.35">
      <c r="B128" s="59"/>
      <c r="E128" s="23"/>
      <c r="F128" s="59"/>
      <c r="G128" s="3"/>
      <c r="H128" s="59"/>
    </row>
    <row r="129" spans="2:8" ht="15.75" customHeight="1" x14ac:dyDescent="0.35">
      <c r="B129" s="59"/>
      <c r="E129" s="23"/>
      <c r="F129" s="59"/>
      <c r="G129" s="3"/>
      <c r="H129" s="59"/>
    </row>
    <row r="130" spans="2:8" ht="15.75" customHeight="1" x14ac:dyDescent="0.35">
      <c r="B130" s="59"/>
      <c r="E130" s="23"/>
      <c r="F130" s="59"/>
      <c r="G130" s="3"/>
      <c r="H130" s="59"/>
    </row>
    <row r="131" spans="2:8" ht="15.75" customHeight="1" x14ac:dyDescent="0.35">
      <c r="B131" s="59"/>
      <c r="E131" s="23"/>
      <c r="F131" s="59"/>
      <c r="G131" s="3"/>
      <c r="H131" s="59"/>
    </row>
    <row r="132" spans="2:8" ht="15.75" customHeight="1" x14ac:dyDescent="0.35">
      <c r="B132" s="59"/>
      <c r="E132" s="23"/>
      <c r="F132" s="59"/>
      <c r="G132" s="3"/>
      <c r="H132" s="59"/>
    </row>
    <row r="133" spans="2:8" ht="15.75" customHeight="1" x14ac:dyDescent="0.35">
      <c r="B133" s="59"/>
      <c r="E133" s="23"/>
      <c r="F133" s="59"/>
      <c r="G133" s="3"/>
      <c r="H133" s="59"/>
    </row>
    <row r="134" spans="2:8" ht="15.75" customHeight="1" x14ac:dyDescent="0.35">
      <c r="B134" s="59"/>
      <c r="E134" s="23"/>
      <c r="F134" s="59"/>
      <c r="G134" s="3"/>
      <c r="H134" s="59"/>
    </row>
    <row r="135" spans="2:8" ht="15.75" customHeight="1" x14ac:dyDescent="0.35">
      <c r="B135" s="59"/>
      <c r="E135" s="23"/>
      <c r="F135" s="59"/>
      <c r="G135" s="3"/>
      <c r="H135" s="59"/>
    </row>
    <row r="136" spans="2:8" ht="15.75" customHeight="1" x14ac:dyDescent="0.35">
      <c r="B136" s="59"/>
      <c r="E136" s="23"/>
      <c r="F136" s="59"/>
      <c r="G136" s="3"/>
      <c r="H136" s="59"/>
    </row>
    <row r="137" spans="2:8" ht="15.75" customHeight="1" x14ac:dyDescent="0.35">
      <c r="B137" s="59"/>
      <c r="E137" s="23"/>
      <c r="F137" s="59"/>
      <c r="G137" s="3"/>
      <c r="H137" s="59"/>
    </row>
    <row r="138" spans="2:8" ht="15.75" customHeight="1" x14ac:dyDescent="0.35">
      <c r="B138" s="59"/>
      <c r="E138" s="23"/>
      <c r="F138" s="59"/>
      <c r="G138" s="3"/>
      <c r="H138" s="59"/>
    </row>
    <row r="139" spans="2:8" ht="15.75" customHeight="1" x14ac:dyDescent="0.35">
      <c r="B139" s="59"/>
      <c r="E139" s="23"/>
      <c r="F139" s="59"/>
      <c r="G139" s="3"/>
      <c r="H139" s="59"/>
    </row>
    <row r="140" spans="2:8" ht="15.75" customHeight="1" x14ac:dyDescent="0.35">
      <c r="B140" s="59"/>
      <c r="E140" s="23"/>
      <c r="F140" s="59"/>
      <c r="G140" s="3"/>
      <c r="H140" s="59"/>
    </row>
    <row r="141" spans="2:8" ht="15.75" customHeight="1" x14ac:dyDescent="0.35">
      <c r="B141" s="59"/>
      <c r="E141" s="23"/>
      <c r="F141" s="59"/>
      <c r="G141" s="3"/>
      <c r="H141" s="59"/>
    </row>
    <row r="142" spans="2:8" ht="15.75" customHeight="1" x14ac:dyDescent="0.35">
      <c r="B142" s="59"/>
      <c r="E142" s="23"/>
      <c r="F142" s="59"/>
      <c r="G142" s="3"/>
      <c r="H142" s="59"/>
    </row>
    <row r="143" spans="2:8" ht="15.75" customHeight="1" x14ac:dyDescent="0.35">
      <c r="B143" s="59"/>
      <c r="E143" s="23"/>
      <c r="F143" s="59"/>
      <c r="G143" s="3"/>
      <c r="H143" s="59"/>
    </row>
    <row r="144" spans="2:8" ht="15.75" customHeight="1" x14ac:dyDescent="0.35">
      <c r="B144" s="59"/>
      <c r="E144" s="23"/>
      <c r="F144" s="59"/>
      <c r="G144" s="3"/>
      <c r="H144" s="59"/>
    </row>
    <row r="145" spans="2:8" ht="15.75" customHeight="1" x14ac:dyDescent="0.35">
      <c r="B145" s="59"/>
      <c r="E145" s="23"/>
      <c r="F145" s="59"/>
      <c r="G145" s="3"/>
      <c r="H145" s="59"/>
    </row>
    <row r="146" spans="2:8" ht="15.75" customHeight="1" x14ac:dyDescent="0.35">
      <c r="B146" s="59"/>
      <c r="E146" s="23"/>
      <c r="F146" s="59"/>
      <c r="G146" s="3"/>
      <c r="H146" s="59"/>
    </row>
    <row r="147" spans="2:8" ht="15.75" customHeight="1" x14ac:dyDescent="0.35">
      <c r="B147" s="59"/>
      <c r="E147" s="23"/>
      <c r="F147" s="59"/>
      <c r="G147" s="3"/>
      <c r="H147" s="59"/>
    </row>
    <row r="148" spans="2:8" ht="15.75" customHeight="1" x14ac:dyDescent="0.35">
      <c r="B148" s="59"/>
      <c r="E148" s="23"/>
      <c r="F148" s="59"/>
      <c r="G148" s="3"/>
      <c r="H148" s="59"/>
    </row>
    <row r="149" spans="2:8" ht="15.75" customHeight="1" x14ac:dyDescent="0.35">
      <c r="B149" s="59"/>
      <c r="E149" s="23"/>
      <c r="F149" s="59"/>
      <c r="G149" s="3"/>
      <c r="H149" s="59"/>
    </row>
    <row r="150" spans="2:8" ht="15.75" customHeight="1" x14ac:dyDescent="0.35">
      <c r="B150" s="59"/>
      <c r="E150" s="23"/>
      <c r="F150" s="59"/>
      <c r="G150" s="3"/>
      <c r="H150" s="59"/>
    </row>
    <row r="151" spans="2:8" ht="15.75" customHeight="1" x14ac:dyDescent="0.35">
      <c r="B151" s="59"/>
      <c r="E151" s="23"/>
      <c r="F151" s="59"/>
      <c r="G151" s="3"/>
      <c r="H151" s="59"/>
    </row>
    <row r="152" spans="2:8" ht="15.75" customHeight="1" x14ac:dyDescent="0.35">
      <c r="B152" s="59"/>
      <c r="E152" s="23"/>
      <c r="F152" s="59"/>
      <c r="G152" s="3"/>
      <c r="H152" s="59"/>
    </row>
    <row r="153" spans="2:8" ht="15.75" customHeight="1" x14ac:dyDescent="0.35">
      <c r="B153" s="59"/>
      <c r="E153" s="23"/>
      <c r="F153" s="59"/>
      <c r="G153" s="3"/>
      <c r="H153" s="59"/>
    </row>
    <row r="154" spans="2:8" ht="15.75" customHeight="1" x14ac:dyDescent="0.35">
      <c r="B154" s="59"/>
      <c r="E154" s="23"/>
      <c r="F154" s="59"/>
      <c r="G154" s="3"/>
      <c r="H154" s="59"/>
    </row>
    <row r="155" spans="2:8" ht="15.75" customHeight="1" x14ac:dyDescent="0.35">
      <c r="B155" s="59"/>
      <c r="E155" s="23"/>
      <c r="F155" s="59"/>
      <c r="G155" s="3"/>
      <c r="H155" s="59"/>
    </row>
    <row r="156" spans="2:8" ht="15.75" customHeight="1" x14ac:dyDescent="0.35">
      <c r="B156" s="59"/>
      <c r="E156" s="23"/>
      <c r="F156" s="59"/>
      <c r="G156" s="3"/>
      <c r="H156" s="59"/>
    </row>
    <row r="157" spans="2:8" ht="15.75" customHeight="1" x14ac:dyDescent="0.35">
      <c r="B157" s="59"/>
      <c r="E157" s="23"/>
      <c r="F157" s="59"/>
      <c r="G157" s="3"/>
      <c r="H157" s="59"/>
    </row>
    <row r="158" spans="2:8" ht="15.75" customHeight="1" x14ac:dyDescent="0.35">
      <c r="B158" s="59"/>
      <c r="E158" s="23"/>
      <c r="F158" s="59"/>
      <c r="G158" s="3"/>
      <c r="H158" s="59"/>
    </row>
    <row r="159" spans="2:8" ht="15.75" customHeight="1" x14ac:dyDescent="0.35">
      <c r="B159" s="59"/>
      <c r="E159" s="23"/>
      <c r="F159" s="59"/>
      <c r="G159" s="3"/>
      <c r="H159" s="59"/>
    </row>
    <row r="160" spans="2:8" ht="15.75" customHeight="1" x14ac:dyDescent="0.35">
      <c r="B160" s="59"/>
      <c r="E160" s="23"/>
      <c r="F160" s="59"/>
      <c r="G160" s="3"/>
      <c r="H160" s="59"/>
    </row>
    <row r="161" spans="2:8" ht="15.75" customHeight="1" x14ac:dyDescent="0.35">
      <c r="B161" s="59"/>
      <c r="E161" s="23"/>
      <c r="F161" s="59"/>
      <c r="G161" s="3"/>
      <c r="H161" s="59"/>
    </row>
    <row r="162" spans="2:8" ht="15.75" customHeight="1" x14ac:dyDescent="0.35">
      <c r="B162" s="59"/>
      <c r="E162" s="23"/>
      <c r="F162" s="59"/>
      <c r="G162" s="3"/>
      <c r="H162" s="59"/>
    </row>
    <row r="163" spans="2:8" ht="15.75" customHeight="1" x14ac:dyDescent="0.35">
      <c r="B163" s="59"/>
      <c r="E163" s="23"/>
      <c r="F163" s="59"/>
      <c r="G163" s="3"/>
      <c r="H163" s="59"/>
    </row>
    <row r="164" spans="2:8" ht="15.75" customHeight="1" x14ac:dyDescent="0.35">
      <c r="B164" s="59"/>
      <c r="E164" s="23"/>
      <c r="F164" s="59"/>
      <c r="G164" s="3"/>
      <c r="H164" s="59"/>
    </row>
    <row r="165" spans="2:8" ht="15.75" customHeight="1" x14ac:dyDescent="0.35">
      <c r="B165" s="59"/>
      <c r="E165" s="23"/>
      <c r="F165" s="59"/>
      <c r="G165" s="3"/>
      <c r="H165" s="59"/>
    </row>
    <row r="166" spans="2:8" ht="15.75" customHeight="1" x14ac:dyDescent="0.35">
      <c r="B166" s="59"/>
      <c r="E166" s="23"/>
      <c r="F166" s="59"/>
      <c r="G166" s="3"/>
      <c r="H166" s="59"/>
    </row>
    <row r="167" spans="2:8" ht="15.75" customHeight="1" x14ac:dyDescent="0.35">
      <c r="B167" s="59"/>
      <c r="E167" s="23"/>
      <c r="F167" s="59"/>
      <c r="G167" s="3"/>
      <c r="H167" s="59"/>
    </row>
    <row r="168" spans="2:8" ht="15.75" customHeight="1" x14ac:dyDescent="0.35">
      <c r="B168" s="59"/>
      <c r="E168" s="23"/>
      <c r="F168" s="59"/>
      <c r="G168" s="3"/>
      <c r="H168" s="59"/>
    </row>
    <row r="169" spans="2:8" ht="15.75" customHeight="1" x14ac:dyDescent="0.35">
      <c r="B169" s="59"/>
      <c r="E169" s="23"/>
      <c r="F169" s="59"/>
      <c r="G169" s="3"/>
      <c r="H169" s="59"/>
    </row>
    <row r="170" spans="2:8" ht="15.75" customHeight="1" x14ac:dyDescent="0.35">
      <c r="B170" s="59"/>
      <c r="E170" s="23"/>
      <c r="F170" s="59"/>
      <c r="G170" s="3"/>
      <c r="H170" s="59"/>
    </row>
    <row r="171" spans="2:8" ht="15.75" customHeight="1" x14ac:dyDescent="0.35">
      <c r="B171" s="59"/>
      <c r="E171" s="23"/>
      <c r="F171" s="59"/>
      <c r="G171" s="3"/>
      <c r="H171" s="59"/>
    </row>
    <row r="172" spans="2:8" ht="15.75" customHeight="1" x14ac:dyDescent="0.35">
      <c r="B172" s="59"/>
      <c r="E172" s="23"/>
      <c r="F172" s="59"/>
      <c r="G172" s="3"/>
      <c r="H172" s="59"/>
    </row>
    <row r="173" spans="2:8" ht="15.75" customHeight="1" x14ac:dyDescent="0.35">
      <c r="B173" s="59"/>
      <c r="E173" s="23"/>
      <c r="F173" s="59"/>
      <c r="G173" s="3"/>
      <c r="H173" s="59"/>
    </row>
    <row r="174" spans="2:8" ht="15.75" customHeight="1" x14ac:dyDescent="0.35">
      <c r="B174" s="59"/>
      <c r="E174" s="23"/>
      <c r="F174" s="59"/>
      <c r="G174" s="3"/>
      <c r="H174" s="59"/>
    </row>
    <row r="175" spans="2:8" ht="15.75" customHeight="1" x14ac:dyDescent="0.35">
      <c r="B175" s="59"/>
      <c r="E175" s="23"/>
      <c r="F175" s="59"/>
      <c r="G175" s="3"/>
      <c r="H175" s="59"/>
    </row>
    <row r="176" spans="2:8" ht="15.75" customHeight="1" x14ac:dyDescent="0.35">
      <c r="B176" s="59"/>
      <c r="E176" s="23"/>
      <c r="F176" s="59"/>
      <c r="G176" s="3"/>
      <c r="H176" s="59"/>
    </row>
    <row r="177" spans="2:8" ht="15.75" customHeight="1" x14ac:dyDescent="0.35">
      <c r="B177" s="59"/>
      <c r="E177" s="23"/>
      <c r="F177" s="59"/>
      <c r="G177" s="3"/>
      <c r="H177" s="59"/>
    </row>
    <row r="178" spans="2:8" ht="15.75" customHeight="1" x14ac:dyDescent="0.35">
      <c r="B178" s="59"/>
      <c r="E178" s="23"/>
      <c r="F178" s="59"/>
      <c r="G178" s="3"/>
      <c r="H178" s="59"/>
    </row>
    <row r="179" spans="2:8" ht="15.75" customHeight="1" x14ac:dyDescent="0.35">
      <c r="B179" s="59"/>
      <c r="E179" s="23"/>
      <c r="F179" s="59"/>
      <c r="G179" s="3"/>
      <c r="H179" s="59"/>
    </row>
    <row r="180" spans="2:8" ht="15.75" customHeight="1" x14ac:dyDescent="0.35">
      <c r="B180" s="59"/>
      <c r="E180" s="23"/>
      <c r="F180" s="59"/>
      <c r="G180" s="3"/>
      <c r="H180" s="59"/>
    </row>
    <row r="181" spans="2:8" ht="15.75" customHeight="1" x14ac:dyDescent="0.35">
      <c r="B181" s="59"/>
      <c r="E181" s="23"/>
      <c r="F181" s="59"/>
      <c r="G181" s="3"/>
      <c r="H181" s="59"/>
    </row>
    <row r="182" spans="2:8" ht="15.75" customHeight="1" x14ac:dyDescent="0.35">
      <c r="B182" s="59"/>
      <c r="E182" s="23"/>
      <c r="F182" s="59"/>
      <c r="G182" s="3"/>
      <c r="H182" s="59"/>
    </row>
    <row r="183" spans="2:8" ht="15.75" customHeight="1" x14ac:dyDescent="0.35">
      <c r="B183" s="59"/>
      <c r="E183" s="23"/>
      <c r="F183" s="59"/>
      <c r="G183" s="3"/>
      <c r="H183" s="59"/>
    </row>
    <row r="184" spans="2:8" ht="15.75" customHeight="1" x14ac:dyDescent="0.35">
      <c r="B184" s="59"/>
      <c r="E184" s="23"/>
      <c r="F184" s="59"/>
      <c r="G184" s="3"/>
      <c r="H184" s="59"/>
    </row>
    <row r="185" spans="2:8" ht="15.75" customHeight="1" x14ac:dyDescent="0.35">
      <c r="B185" s="59"/>
      <c r="E185" s="23"/>
      <c r="F185" s="59"/>
      <c r="G185" s="3"/>
      <c r="H185" s="59"/>
    </row>
    <row r="186" spans="2:8" ht="15.75" customHeight="1" x14ac:dyDescent="0.35">
      <c r="B186" s="59"/>
      <c r="E186" s="23"/>
      <c r="F186" s="59"/>
      <c r="G186" s="3"/>
      <c r="H186" s="59"/>
    </row>
    <row r="187" spans="2:8" ht="15.75" customHeight="1" x14ac:dyDescent="0.35">
      <c r="B187" s="59"/>
      <c r="E187" s="23"/>
      <c r="F187" s="59"/>
      <c r="G187" s="3"/>
      <c r="H187" s="59"/>
    </row>
    <row r="188" spans="2:8" ht="15.75" customHeight="1" x14ac:dyDescent="0.35">
      <c r="B188" s="59"/>
      <c r="E188" s="23"/>
      <c r="F188" s="59"/>
      <c r="G188" s="3"/>
      <c r="H188" s="59"/>
    </row>
    <row r="189" spans="2:8" ht="15.75" customHeight="1" x14ac:dyDescent="0.35">
      <c r="B189" s="59"/>
      <c r="E189" s="23"/>
      <c r="F189" s="59"/>
      <c r="G189" s="3"/>
      <c r="H189" s="59"/>
    </row>
    <row r="190" spans="2:8" ht="15.75" customHeight="1" x14ac:dyDescent="0.35">
      <c r="B190" s="59"/>
      <c r="E190" s="23"/>
      <c r="F190" s="59"/>
      <c r="G190" s="3"/>
      <c r="H190" s="59"/>
    </row>
    <row r="191" spans="2:8" ht="15.75" customHeight="1" x14ac:dyDescent="0.35">
      <c r="B191" s="59"/>
      <c r="E191" s="23"/>
      <c r="F191" s="59"/>
      <c r="G191" s="3"/>
      <c r="H191" s="59"/>
    </row>
    <row r="192" spans="2:8" ht="15.75" customHeight="1" x14ac:dyDescent="0.35">
      <c r="B192" s="59"/>
      <c r="E192" s="23"/>
      <c r="F192" s="59"/>
      <c r="G192" s="3"/>
      <c r="H192" s="59"/>
    </row>
    <row r="193" spans="2:8" ht="15.75" customHeight="1" x14ac:dyDescent="0.35">
      <c r="B193" s="59"/>
      <c r="E193" s="23"/>
      <c r="F193" s="59"/>
      <c r="G193" s="3"/>
      <c r="H193" s="59"/>
    </row>
    <row r="194" spans="2:8" ht="15.75" customHeight="1" x14ac:dyDescent="0.35">
      <c r="B194" s="59"/>
      <c r="E194" s="23"/>
      <c r="F194" s="59"/>
      <c r="G194" s="3"/>
      <c r="H194" s="59"/>
    </row>
    <row r="195" spans="2:8" ht="15.75" customHeight="1" x14ac:dyDescent="0.35">
      <c r="B195" s="59"/>
      <c r="E195" s="23"/>
      <c r="F195" s="59"/>
      <c r="G195" s="3"/>
      <c r="H195" s="59"/>
    </row>
    <row r="196" spans="2:8" ht="15.75" customHeight="1" x14ac:dyDescent="0.35">
      <c r="B196" s="59"/>
      <c r="E196" s="23"/>
      <c r="F196" s="59"/>
      <c r="G196" s="3"/>
      <c r="H196" s="59"/>
    </row>
    <row r="197" spans="2:8" ht="15.75" customHeight="1" x14ac:dyDescent="0.35">
      <c r="B197" s="59"/>
      <c r="E197" s="23"/>
      <c r="F197" s="59"/>
      <c r="G197" s="3"/>
      <c r="H197" s="59"/>
    </row>
    <row r="198" spans="2:8" ht="15.75" customHeight="1" x14ac:dyDescent="0.35">
      <c r="B198" s="59"/>
      <c r="E198" s="23"/>
      <c r="F198" s="59"/>
      <c r="G198" s="3"/>
      <c r="H198" s="59"/>
    </row>
    <row r="199" spans="2:8" ht="15.75" customHeight="1" x14ac:dyDescent="0.35">
      <c r="B199" s="59"/>
      <c r="E199" s="23"/>
      <c r="F199" s="59"/>
      <c r="G199" s="3"/>
      <c r="H199" s="59"/>
    </row>
    <row r="200" spans="2:8" ht="15.75" customHeight="1" x14ac:dyDescent="0.35">
      <c r="B200" s="59"/>
      <c r="E200" s="23"/>
      <c r="F200" s="59"/>
      <c r="G200" s="3"/>
      <c r="H200" s="59"/>
    </row>
    <row r="201" spans="2:8" ht="15.75" customHeight="1" x14ac:dyDescent="0.35">
      <c r="B201" s="59"/>
      <c r="E201" s="23"/>
      <c r="F201" s="59"/>
      <c r="G201" s="3"/>
      <c r="H201" s="59"/>
    </row>
    <row r="202" spans="2:8" ht="15.75" customHeight="1" x14ac:dyDescent="0.35">
      <c r="B202" s="59"/>
      <c r="E202" s="23"/>
      <c r="F202" s="59"/>
      <c r="G202" s="3"/>
      <c r="H202" s="59"/>
    </row>
    <row r="203" spans="2:8" ht="15.75" customHeight="1" x14ac:dyDescent="0.35">
      <c r="B203" s="59"/>
      <c r="E203" s="23"/>
      <c r="F203" s="59"/>
      <c r="G203" s="3"/>
      <c r="H203" s="59"/>
    </row>
    <row r="204" spans="2:8" ht="15.75" customHeight="1" x14ac:dyDescent="0.35">
      <c r="B204" s="59"/>
      <c r="E204" s="23"/>
      <c r="F204" s="59"/>
      <c r="G204" s="3"/>
      <c r="H204" s="59"/>
    </row>
    <row r="205" spans="2:8" ht="15.75" customHeight="1" x14ac:dyDescent="0.35">
      <c r="B205" s="59"/>
      <c r="E205" s="23"/>
      <c r="F205" s="59"/>
      <c r="G205" s="3"/>
      <c r="H205" s="59"/>
    </row>
    <row r="206" spans="2:8" ht="15.75" customHeight="1" x14ac:dyDescent="0.35">
      <c r="B206" s="59"/>
      <c r="E206" s="23"/>
      <c r="F206" s="59"/>
      <c r="G206" s="3"/>
      <c r="H206" s="59"/>
    </row>
    <row r="207" spans="2:8" ht="15.75" customHeight="1" x14ac:dyDescent="0.35">
      <c r="B207" s="59"/>
      <c r="E207" s="23"/>
      <c r="F207" s="59"/>
      <c r="G207" s="3"/>
      <c r="H207" s="59"/>
    </row>
    <row r="208" spans="2:8" ht="15.75" customHeight="1" x14ac:dyDescent="0.35">
      <c r="B208" s="59"/>
      <c r="E208" s="23"/>
      <c r="F208" s="59"/>
      <c r="G208" s="3"/>
      <c r="H208" s="59"/>
    </row>
    <row r="209" spans="2:8" ht="15.75" customHeight="1" x14ac:dyDescent="0.35">
      <c r="B209" s="59"/>
      <c r="E209" s="23"/>
      <c r="F209" s="59"/>
      <c r="G209" s="3"/>
      <c r="H209" s="59"/>
    </row>
    <row r="210" spans="2:8" ht="15.75" customHeight="1" x14ac:dyDescent="0.35">
      <c r="B210" s="59"/>
      <c r="E210" s="23"/>
      <c r="F210" s="59"/>
      <c r="G210" s="3"/>
      <c r="H210" s="59"/>
    </row>
    <row r="211" spans="2:8" ht="15.75" customHeight="1" x14ac:dyDescent="0.35">
      <c r="B211" s="59"/>
      <c r="E211" s="23"/>
      <c r="F211" s="59"/>
      <c r="G211" s="3"/>
      <c r="H211" s="59"/>
    </row>
    <row r="212" spans="2:8" ht="15.75" customHeight="1" x14ac:dyDescent="0.35">
      <c r="B212" s="59"/>
      <c r="E212" s="23"/>
      <c r="F212" s="59"/>
      <c r="G212" s="3"/>
      <c r="H212" s="59"/>
    </row>
    <row r="213" spans="2:8" ht="15.75" customHeight="1" x14ac:dyDescent="0.35">
      <c r="B213" s="59"/>
      <c r="E213" s="23"/>
      <c r="F213" s="59"/>
      <c r="G213" s="3"/>
      <c r="H213" s="59"/>
    </row>
    <row r="214" spans="2:8" ht="15.75" customHeight="1" x14ac:dyDescent="0.35">
      <c r="B214" s="59"/>
      <c r="E214" s="23"/>
      <c r="F214" s="59"/>
      <c r="G214" s="3"/>
      <c r="H214" s="59"/>
    </row>
    <row r="215" spans="2:8" ht="15.75" customHeight="1" x14ac:dyDescent="0.35">
      <c r="B215" s="59"/>
      <c r="E215" s="23"/>
      <c r="F215" s="59"/>
      <c r="G215" s="3"/>
      <c r="H215" s="59"/>
    </row>
    <row r="216" spans="2:8" ht="15.75" customHeight="1" x14ac:dyDescent="0.35">
      <c r="B216" s="59"/>
      <c r="E216" s="23"/>
      <c r="F216" s="59"/>
      <c r="G216" s="3"/>
      <c r="H216" s="59"/>
    </row>
    <row r="217" spans="2:8" ht="15.75" customHeight="1" x14ac:dyDescent="0.35">
      <c r="B217" s="59"/>
      <c r="E217" s="23"/>
      <c r="F217" s="59"/>
      <c r="G217" s="3"/>
      <c r="H217" s="59"/>
    </row>
    <row r="218" spans="2:8" ht="15.75" customHeight="1" x14ac:dyDescent="0.35">
      <c r="B218" s="59"/>
      <c r="E218" s="23"/>
      <c r="F218" s="59"/>
      <c r="G218" s="3"/>
      <c r="H218" s="59"/>
    </row>
    <row r="219" spans="2:8" ht="15.75" customHeight="1" x14ac:dyDescent="0.35">
      <c r="B219" s="59"/>
      <c r="E219" s="23"/>
      <c r="F219" s="59"/>
      <c r="G219" s="3"/>
      <c r="H219" s="59"/>
    </row>
    <row r="220" spans="2:8" ht="15.75" customHeight="1" x14ac:dyDescent="0.35">
      <c r="B220" s="59"/>
      <c r="E220" s="23"/>
      <c r="F220" s="59"/>
      <c r="G220" s="3"/>
      <c r="H220" s="59"/>
    </row>
    <row r="221" spans="2:8" ht="15.75" customHeight="1" x14ac:dyDescent="0.35">
      <c r="B221" s="59"/>
      <c r="E221" s="23"/>
      <c r="F221" s="59"/>
      <c r="G221" s="3"/>
      <c r="H221" s="59"/>
    </row>
    <row r="222" spans="2:8" ht="15.75" customHeight="1" x14ac:dyDescent="0.35">
      <c r="B222" s="59"/>
      <c r="E222" s="23"/>
      <c r="F222" s="59"/>
      <c r="G222" s="3"/>
      <c r="H222" s="59"/>
    </row>
    <row r="223" spans="2:8" ht="15.75" customHeight="1" x14ac:dyDescent="0.35">
      <c r="B223" s="59"/>
      <c r="E223" s="23"/>
      <c r="F223" s="59"/>
      <c r="G223" s="3"/>
      <c r="H223" s="59"/>
    </row>
    <row r="224" spans="2:8" ht="15.75" customHeight="1" x14ac:dyDescent="0.35">
      <c r="B224" s="59"/>
      <c r="E224" s="23"/>
      <c r="F224" s="59"/>
      <c r="G224" s="3"/>
      <c r="H224" s="59"/>
    </row>
    <row r="225" spans="2:8" ht="15.75" customHeight="1" x14ac:dyDescent="0.35">
      <c r="B225" s="59"/>
      <c r="E225" s="23"/>
      <c r="F225" s="59"/>
      <c r="G225" s="3"/>
      <c r="H225" s="59"/>
    </row>
    <row r="226" spans="2:8" ht="15.75" customHeight="1" x14ac:dyDescent="0.35">
      <c r="B226" s="59"/>
      <c r="E226" s="23"/>
      <c r="F226" s="59"/>
      <c r="G226" s="3"/>
      <c r="H226" s="59"/>
    </row>
    <row r="227" spans="2:8" ht="15.75" customHeight="1" x14ac:dyDescent="0.35">
      <c r="B227" s="59"/>
      <c r="E227" s="23"/>
      <c r="F227" s="59"/>
      <c r="G227" s="3"/>
      <c r="H227" s="59"/>
    </row>
    <row r="228" spans="2:8" ht="15.75" customHeight="1" x14ac:dyDescent="0.35">
      <c r="B228" s="59"/>
      <c r="E228" s="23"/>
      <c r="F228" s="59"/>
      <c r="G228" s="3"/>
      <c r="H228" s="59"/>
    </row>
    <row r="229" spans="2:8" ht="15.75" customHeight="1" x14ac:dyDescent="0.35">
      <c r="B229" s="59"/>
      <c r="E229" s="23"/>
      <c r="F229" s="59"/>
      <c r="G229" s="3"/>
      <c r="H229" s="59"/>
    </row>
    <row r="230" spans="2:8" ht="15.75" customHeight="1" x14ac:dyDescent="0.35">
      <c r="B230" s="59"/>
      <c r="E230" s="23"/>
      <c r="F230" s="59"/>
      <c r="G230" s="3"/>
      <c r="H230" s="59"/>
    </row>
    <row r="231" spans="2:8" ht="15.75" customHeight="1" x14ac:dyDescent="0.35">
      <c r="B231" s="59"/>
      <c r="E231" s="23"/>
      <c r="F231" s="59"/>
      <c r="G231" s="3"/>
      <c r="H231" s="59"/>
    </row>
    <row r="232" spans="2:8" ht="15.75" customHeight="1" x14ac:dyDescent="0.35">
      <c r="B232" s="59"/>
      <c r="E232" s="23"/>
      <c r="F232" s="59"/>
      <c r="G232" s="3"/>
      <c r="H232" s="59"/>
    </row>
    <row r="233" spans="2:8" ht="15.75" customHeight="1" x14ac:dyDescent="0.35">
      <c r="B233" s="59"/>
      <c r="E233" s="23"/>
      <c r="F233" s="59"/>
      <c r="G233" s="3"/>
      <c r="H233" s="59"/>
    </row>
    <row r="234" spans="2:8" ht="15.75" customHeight="1" x14ac:dyDescent="0.35">
      <c r="B234" s="59"/>
      <c r="E234" s="23"/>
      <c r="F234" s="59"/>
      <c r="G234" s="3"/>
      <c r="H234" s="59"/>
    </row>
    <row r="235" spans="2:8" ht="15.75" customHeight="1" x14ac:dyDescent="0.35">
      <c r="B235" s="59"/>
      <c r="E235" s="23"/>
      <c r="F235" s="59"/>
      <c r="G235" s="3"/>
      <c r="H235" s="59"/>
    </row>
    <row r="236" spans="2:8" ht="15.75" customHeight="1" x14ac:dyDescent="0.35">
      <c r="B236" s="59"/>
      <c r="E236" s="23"/>
      <c r="F236" s="59"/>
      <c r="G236" s="3"/>
      <c r="H236" s="59"/>
    </row>
    <row r="237" spans="2:8" ht="15.75" customHeight="1" x14ac:dyDescent="0.35">
      <c r="B237" s="59"/>
      <c r="E237" s="23"/>
      <c r="F237" s="59"/>
      <c r="G237" s="3"/>
      <c r="H237" s="59"/>
    </row>
    <row r="238" spans="2:8" ht="15.75" customHeight="1" x14ac:dyDescent="0.35">
      <c r="B238" s="59"/>
      <c r="E238" s="23"/>
      <c r="F238" s="59"/>
      <c r="G238" s="3"/>
      <c r="H238" s="59"/>
    </row>
    <row r="239" spans="2:8" ht="15.75" customHeight="1" x14ac:dyDescent="0.35">
      <c r="B239" s="59"/>
      <c r="E239" s="23"/>
      <c r="F239" s="59"/>
      <c r="G239" s="3"/>
      <c r="H239" s="59"/>
    </row>
    <row r="240" spans="2:8" ht="15.75" customHeight="1" x14ac:dyDescent="0.35">
      <c r="B240" s="59"/>
      <c r="E240" s="23"/>
      <c r="F240" s="59"/>
      <c r="G240" s="3"/>
      <c r="H240" s="59"/>
    </row>
    <row r="241" spans="2:8" ht="15.75" customHeight="1" x14ac:dyDescent="0.35">
      <c r="B241" s="59"/>
      <c r="E241" s="23"/>
      <c r="F241" s="59"/>
      <c r="G241" s="3"/>
      <c r="H241" s="59"/>
    </row>
    <row r="242" spans="2:8" ht="15.75" customHeight="1" x14ac:dyDescent="0.35">
      <c r="B242" s="59"/>
      <c r="E242" s="23"/>
      <c r="F242" s="59"/>
      <c r="G242" s="3"/>
      <c r="H242" s="59"/>
    </row>
    <row r="243" spans="2:8" ht="15.75" customHeight="1" x14ac:dyDescent="0.35">
      <c r="B243" s="59"/>
      <c r="E243" s="23"/>
      <c r="F243" s="59"/>
      <c r="G243" s="3"/>
      <c r="H243" s="59"/>
    </row>
    <row r="244" spans="2:8" ht="15.75" customHeight="1" x14ac:dyDescent="0.35">
      <c r="B244" s="59"/>
      <c r="E244" s="23"/>
      <c r="F244" s="59"/>
      <c r="G244" s="3"/>
      <c r="H244" s="59"/>
    </row>
    <row r="245" spans="2:8" ht="15.75" customHeight="1" x14ac:dyDescent="0.35">
      <c r="B245" s="59"/>
      <c r="E245" s="23"/>
      <c r="F245" s="59"/>
      <c r="G245" s="3"/>
      <c r="H245" s="59"/>
    </row>
    <row r="246" spans="2:8" ht="15.75" customHeight="1" x14ac:dyDescent="0.35">
      <c r="B246" s="59"/>
      <c r="E246" s="23"/>
      <c r="F246" s="59"/>
      <c r="G246" s="3"/>
      <c r="H246" s="59"/>
    </row>
    <row r="247" spans="2:8" ht="15.75" customHeight="1" x14ac:dyDescent="0.35">
      <c r="B247" s="59"/>
      <c r="E247" s="23"/>
      <c r="F247" s="59"/>
      <c r="G247" s="3"/>
      <c r="H247" s="59"/>
    </row>
    <row r="248" spans="2:8" ht="15.75" customHeight="1" x14ac:dyDescent="0.35">
      <c r="B248" s="59"/>
      <c r="E248" s="23"/>
      <c r="F248" s="59"/>
      <c r="G248" s="3"/>
      <c r="H248" s="59"/>
    </row>
    <row r="249" spans="2:8" ht="15.75" customHeight="1" x14ac:dyDescent="0.35">
      <c r="B249" s="59"/>
      <c r="E249" s="23"/>
      <c r="F249" s="59"/>
      <c r="G249" s="3"/>
      <c r="H249" s="59"/>
    </row>
    <row r="250" spans="2:8" ht="15.75" customHeight="1" x14ac:dyDescent="0.35">
      <c r="B250" s="59"/>
      <c r="E250" s="23"/>
      <c r="F250" s="59"/>
      <c r="G250" s="3"/>
      <c r="H250" s="59"/>
    </row>
    <row r="251" spans="2:8" ht="15.75" customHeight="1" x14ac:dyDescent="0.35">
      <c r="B251" s="59"/>
      <c r="E251" s="23"/>
      <c r="F251" s="59"/>
      <c r="G251" s="3"/>
      <c r="H251" s="59"/>
    </row>
    <row r="252" spans="2:8" ht="15.75" customHeight="1" x14ac:dyDescent="0.35">
      <c r="B252" s="59"/>
      <c r="E252" s="23"/>
      <c r="F252" s="59"/>
      <c r="G252" s="3"/>
      <c r="H252" s="59"/>
    </row>
    <row r="253" spans="2:8" ht="15.75" customHeight="1" x14ac:dyDescent="0.35">
      <c r="B253" s="59"/>
      <c r="E253" s="23"/>
      <c r="F253" s="59"/>
      <c r="G253" s="3"/>
      <c r="H253" s="59"/>
    </row>
    <row r="254" spans="2:8" ht="15.75" customHeight="1" x14ac:dyDescent="0.35">
      <c r="B254" s="59"/>
      <c r="E254" s="23"/>
      <c r="F254" s="59"/>
      <c r="G254" s="3"/>
      <c r="H254" s="59"/>
    </row>
    <row r="255" spans="2:8" ht="15.75" customHeight="1" x14ac:dyDescent="0.35">
      <c r="B255" s="59"/>
      <c r="E255" s="23"/>
      <c r="F255" s="59"/>
      <c r="G255" s="3"/>
      <c r="H255" s="59"/>
    </row>
    <row r="256" spans="2:8" ht="15.75" customHeight="1" x14ac:dyDescent="0.35">
      <c r="B256" s="59"/>
      <c r="E256" s="23"/>
      <c r="F256" s="59"/>
      <c r="G256" s="3"/>
      <c r="H256" s="59"/>
    </row>
    <row r="257" spans="2:8" ht="15.75" customHeight="1" x14ac:dyDescent="0.35">
      <c r="B257" s="59"/>
      <c r="E257" s="23"/>
      <c r="F257" s="59"/>
      <c r="G257" s="3"/>
      <c r="H257" s="59"/>
    </row>
    <row r="258" spans="2:8" ht="15.75" customHeight="1" x14ac:dyDescent="0.35">
      <c r="B258" s="59"/>
      <c r="E258" s="23"/>
      <c r="F258" s="59"/>
      <c r="G258" s="3"/>
      <c r="H258" s="59"/>
    </row>
    <row r="259" spans="2:8" ht="15.75" customHeight="1" x14ac:dyDescent="0.35">
      <c r="B259" s="59"/>
      <c r="E259" s="23"/>
      <c r="F259" s="59"/>
      <c r="G259" s="3"/>
      <c r="H259" s="59"/>
    </row>
    <row r="260" spans="2:8" ht="15.75" customHeight="1" x14ac:dyDescent="0.35">
      <c r="B260" s="59"/>
      <c r="E260" s="23"/>
      <c r="F260" s="59"/>
      <c r="G260" s="3"/>
      <c r="H260" s="59"/>
    </row>
    <row r="261" spans="2:8" ht="15.75" customHeight="1" x14ac:dyDescent="0.35">
      <c r="B261" s="59"/>
      <c r="E261" s="23"/>
      <c r="F261" s="59"/>
      <c r="G261" s="3"/>
      <c r="H261" s="59"/>
    </row>
    <row r="262" spans="2:8" ht="15.75" customHeight="1" x14ac:dyDescent="0.35">
      <c r="B262" s="59"/>
      <c r="E262" s="23"/>
      <c r="F262" s="59"/>
      <c r="G262" s="3"/>
      <c r="H262" s="59"/>
    </row>
    <row r="263" spans="2:8" ht="15.75" customHeight="1" x14ac:dyDescent="0.35">
      <c r="B263" s="59"/>
      <c r="E263" s="23"/>
      <c r="F263" s="59"/>
      <c r="G263" s="3"/>
      <c r="H263" s="59"/>
    </row>
    <row r="264" spans="2:8" ht="15.75" customHeight="1" x14ac:dyDescent="0.35">
      <c r="B264" s="59"/>
      <c r="E264" s="23"/>
      <c r="F264" s="59"/>
      <c r="G264" s="3"/>
      <c r="H264" s="59"/>
    </row>
    <row r="265" spans="2:8" ht="15.75" customHeight="1" x14ac:dyDescent="0.35">
      <c r="B265" s="59"/>
      <c r="E265" s="23"/>
      <c r="F265" s="59"/>
      <c r="G265" s="3"/>
      <c r="H265" s="59"/>
    </row>
    <row r="266" spans="2:8" ht="15.75" customHeight="1" x14ac:dyDescent="0.35">
      <c r="B266" s="59"/>
      <c r="E266" s="23"/>
      <c r="F266" s="59"/>
      <c r="G266" s="3"/>
      <c r="H266" s="59"/>
    </row>
    <row r="267" spans="2:8" ht="15.75" customHeight="1" x14ac:dyDescent="0.35">
      <c r="B267" s="59"/>
      <c r="E267" s="23"/>
      <c r="F267" s="59"/>
      <c r="G267" s="3"/>
      <c r="H267" s="59"/>
    </row>
    <row r="268" spans="2:8" ht="15.75" customHeight="1" x14ac:dyDescent="0.35">
      <c r="B268" s="59"/>
      <c r="E268" s="23"/>
      <c r="F268" s="59"/>
      <c r="G268" s="3"/>
      <c r="H268" s="59"/>
    </row>
    <row r="269" spans="2:8" ht="15.75" customHeight="1" x14ac:dyDescent="0.35">
      <c r="B269" s="59"/>
      <c r="E269" s="23"/>
      <c r="F269" s="59"/>
      <c r="G269" s="3"/>
      <c r="H269" s="59"/>
    </row>
    <row r="270" spans="2:8" ht="15.75" customHeight="1" x14ac:dyDescent="0.35">
      <c r="B270" s="59"/>
      <c r="E270" s="23"/>
      <c r="F270" s="59"/>
      <c r="G270" s="3"/>
      <c r="H270" s="59"/>
    </row>
    <row r="271" spans="2:8" ht="15.75" customHeight="1" x14ac:dyDescent="0.35">
      <c r="B271" s="59"/>
      <c r="E271" s="23"/>
      <c r="F271" s="59"/>
      <c r="G271" s="3"/>
      <c r="H271" s="59"/>
    </row>
    <row r="272" spans="2:8" ht="15.75" customHeight="1" x14ac:dyDescent="0.35">
      <c r="B272" s="59"/>
      <c r="E272" s="23"/>
      <c r="F272" s="59"/>
      <c r="G272" s="3"/>
      <c r="H272" s="59"/>
    </row>
    <row r="273" spans="2:8" ht="15.75" customHeight="1" x14ac:dyDescent="0.35">
      <c r="B273" s="59"/>
      <c r="E273" s="23"/>
      <c r="F273" s="59"/>
      <c r="G273" s="3"/>
      <c r="H273" s="59"/>
    </row>
    <row r="274" spans="2:8" ht="15.75" customHeight="1" x14ac:dyDescent="0.35">
      <c r="B274" s="59"/>
      <c r="E274" s="23"/>
      <c r="F274" s="59"/>
      <c r="G274" s="3"/>
      <c r="H274" s="59"/>
    </row>
    <row r="275" spans="2:8" ht="15.75" customHeight="1" x14ac:dyDescent="0.35">
      <c r="B275" s="59"/>
      <c r="E275" s="23"/>
      <c r="F275" s="59"/>
      <c r="G275" s="3"/>
      <c r="H275" s="59"/>
    </row>
    <row r="276" spans="2:8" ht="15.75" customHeight="1" x14ac:dyDescent="0.35">
      <c r="B276" s="59"/>
      <c r="E276" s="23"/>
      <c r="F276" s="59"/>
      <c r="G276" s="3"/>
      <c r="H276" s="59"/>
    </row>
    <row r="277" spans="2:8" ht="15.75" customHeight="1" x14ac:dyDescent="0.35">
      <c r="B277" s="59"/>
      <c r="E277" s="23"/>
      <c r="F277" s="59"/>
      <c r="G277" s="3"/>
      <c r="H277" s="59"/>
    </row>
    <row r="278" spans="2:8" ht="15.75" customHeight="1" x14ac:dyDescent="0.35">
      <c r="B278" s="59"/>
      <c r="E278" s="23"/>
      <c r="F278" s="59"/>
      <c r="G278" s="3"/>
      <c r="H278" s="59"/>
    </row>
    <row r="279" spans="2:8" ht="15.75" customHeight="1" x14ac:dyDescent="0.35">
      <c r="B279" s="59"/>
      <c r="E279" s="23"/>
      <c r="F279" s="59"/>
      <c r="G279" s="3"/>
      <c r="H279" s="59"/>
    </row>
    <row r="280" spans="2:8" ht="15.75" customHeight="1" x14ac:dyDescent="0.35">
      <c r="B280" s="59"/>
      <c r="E280" s="23"/>
      <c r="F280" s="59"/>
      <c r="G280" s="3"/>
      <c r="H280" s="59"/>
    </row>
    <row r="281" spans="2:8" ht="15.75" customHeight="1" x14ac:dyDescent="0.35">
      <c r="B281" s="59"/>
      <c r="E281" s="23"/>
      <c r="F281" s="59"/>
      <c r="G281" s="3"/>
      <c r="H281" s="59"/>
    </row>
    <row r="282" spans="2:8" ht="15.75" customHeight="1" x14ac:dyDescent="0.35">
      <c r="B282" s="59"/>
      <c r="E282" s="23"/>
      <c r="F282" s="59"/>
      <c r="G282" s="3"/>
      <c r="H282" s="59"/>
    </row>
    <row r="283" spans="2:8" ht="15.75" customHeight="1" x14ac:dyDescent="0.35">
      <c r="B283" s="59"/>
      <c r="E283" s="23"/>
      <c r="F283" s="59"/>
      <c r="G283" s="3"/>
      <c r="H283" s="59"/>
    </row>
    <row r="284" spans="2:8" ht="15.75" customHeight="1" x14ac:dyDescent="0.35">
      <c r="B284" s="59"/>
      <c r="E284" s="23"/>
      <c r="F284" s="59"/>
      <c r="G284" s="3"/>
      <c r="H284" s="59"/>
    </row>
    <row r="285" spans="2:8" ht="15.75" customHeight="1" x14ac:dyDescent="0.35">
      <c r="B285" s="59"/>
      <c r="E285" s="23"/>
      <c r="F285" s="59"/>
      <c r="G285" s="3"/>
      <c r="H285" s="59"/>
    </row>
    <row r="286" spans="2:8" ht="15.75" customHeight="1" x14ac:dyDescent="0.35">
      <c r="B286" s="59"/>
      <c r="E286" s="23"/>
      <c r="F286" s="59"/>
      <c r="G286" s="3"/>
      <c r="H286" s="59"/>
    </row>
    <row r="287" spans="2:8" ht="15.75" customHeight="1" x14ac:dyDescent="0.35">
      <c r="B287" s="59"/>
      <c r="E287" s="23"/>
      <c r="F287" s="59"/>
      <c r="G287" s="3"/>
      <c r="H287" s="59"/>
    </row>
    <row r="288" spans="2:8" ht="15.75" customHeight="1" x14ac:dyDescent="0.35">
      <c r="B288" s="59"/>
      <c r="E288" s="23"/>
      <c r="F288" s="59"/>
      <c r="G288" s="3"/>
      <c r="H288" s="59"/>
    </row>
    <row r="289" spans="2:8" ht="15.75" customHeight="1" x14ac:dyDescent="0.35">
      <c r="B289" s="59"/>
      <c r="E289" s="23"/>
      <c r="F289" s="59"/>
      <c r="G289" s="3"/>
      <c r="H289" s="59"/>
    </row>
    <row r="290" spans="2:8" ht="15.75" customHeight="1" x14ac:dyDescent="0.35">
      <c r="B290" s="59"/>
      <c r="E290" s="23"/>
      <c r="F290" s="59"/>
      <c r="G290" s="3"/>
      <c r="H290" s="59"/>
    </row>
    <row r="291" spans="2:8" ht="15.75" customHeight="1" x14ac:dyDescent="0.35">
      <c r="B291" s="59"/>
      <c r="E291" s="23"/>
      <c r="F291" s="59"/>
      <c r="G291" s="3"/>
      <c r="H291" s="59"/>
    </row>
    <row r="292" spans="2:8" ht="15.75" customHeight="1" x14ac:dyDescent="0.35">
      <c r="B292" s="59"/>
      <c r="E292" s="23"/>
      <c r="F292" s="59"/>
      <c r="G292" s="3"/>
      <c r="H292" s="59"/>
    </row>
    <row r="293" spans="2:8" ht="15.75" customHeight="1" x14ac:dyDescent="0.35">
      <c r="B293" s="59"/>
      <c r="E293" s="23"/>
      <c r="F293" s="59"/>
      <c r="G293" s="3"/>
      <c r="H293" s="59"/>
    </row>
    <row r="294" spans="2:8" ht="15.75" customHeight="1" x14ac:dyDescent="0.35">
      <c r="B294" s="59"/>
      <c r="E294" s="23"/>
      <c r="F294" s="59"/>
      <c r="G294" s="3"/>
      <c r="H294" s="59"/>
    </row>
    <row r="295" spans="2:8" ht="15.75" customHeight="1" x14ac:dyDescent="0.35">
      <c r="B295" s="59"/>
      <c r="E295" s="23"/>
      <c r="F295" s="59"/>
      <c r="G295" s="3"/>
      <c r="H295" s="59"/>
    </row>
    <row r="296" spans="2:8" ht="15.75" customHeight="1" x14ac:dyDescent="0.35">
      <c r="B296" s="59"/>
      <c r="E296" s="23"/>
      <c r="F296" s="59"/>
      <c r="G296" s="3"/>
      <c r="H296" s="59"/>
    </row>
    <row r="297" spans="2:8" ht="15.75" customHeight="1" x14ac:dyDescent="0.35">
      <c r="B297" s="59"/>
      <c r="E297" s="23"/>
      <c r="F297" s="59"/>
      <c r="G297" s="3"/>
      <c r="H297" s="59"/>
    </row>
    <row r="298" spans="2:8" ht="15.75" customHeight="1" x14ac:dyDescent="0.35">
      <c r="B298" s="59"/>
      <c r="E298" s="23"/>
      <c r="F298" s="59"/>
      <c r="G298" s="3"/>
      <c r="H298" s="59"/>
    </row>
    <row r="299" spans="2:8" ht="15.75" customHeight="1" x14ac:dyDescent="0.35">
      <c r="B299" s="59"/>
      <c r="E299" s="23"/>
      <c r="F299" s="59"/>
      <c r="G299" s="3"/>
      <c r="H299" s="59"/>
    </row>
    <row r="300" spans="2:8" ht="15.75" customHeight="1" x14ac:dyDescent="0.35">
      <c r="B300" s="59"/>
      <c r="E300" s="23"/>
      <c r="F300" s="59"/>
      <c r="G300" s="3"/>
      <c r="H300" s="59"/>
    </row>
    <row r="301" spans="2:8" ht="15.75" customHeight="1" x14ac:dyDescent="0.35">
      <c r="B301" s="59"/>
      <c r="E301" s="23"/>
      <c r="F301" s="59"/>
      <c r="G301" s="3"/>
      <c r="H301" s="59"/>
    </row>
    <row r="302" spans="2:8" ht="15.75" customHeight="1" x14ac:dyDescent="0.35">
      <c r="B302" s="59"/>
      <c r="E302" s="23"/>
      <c r="F302" s="59"/>
      <c r="G302" s="3"/>
      <c r="H302" s="59"/>
    </row>
    <row r="303" spans="2:8" ht="15.75" customHeight="1" x14ac:dyDescent="0.35">
      <c r="B303" s="59"/>
      <c r="E303" s="23"/>
      <c r="F303" s="59"/>
      <c r="G303" s="3"/>
      <c r="H303" s="59"/>
    </row>
    <row r="304" spans="2:8" ht="15.75" customHeight="1" x14ac:dyDescent="0.35">
      <c r="B304" s="59"/>
      <c r="E304" s="23"/>
      <c r="F304" s="59"/>
      <c r="G304" s="3"/>
      <c r="H304" s="59"/>
    </row>
    <row r="305" spans="2:8" ht="15.75" customHeight="1" x14ac:dyDescent="0.35">
      <c r="B305" s="59"/>
      <c r="E305" s="23"/>
      <c r="F305" s="59"/>
      <c r="G305" s="3"/>
      <c r="H305" s="59"/>
    </row>
    <row r="306" spans="2:8" ht="15.75" customHeight="1" x14ac:dyDescent="0.35">
      <c r="B306" s="59"/>
      <c r="E306" s="23"/>
      <c r="F306" s="59"/>
      <c r="G306" s="3"/>
      <c r="H306" s="59"/>
    </row>
    <row r="307" spans="2:8" ht="15.75" customHeight="1" x14ac:dyDescent="0.35">
      <c r="B307" s="59"/>
      <c r="E307" s="23"/>
      <c r="F307" s="59"/>
      <c r="G307" s="3"/>
      <c r="H307" s="59"/>
    </row>
    <row r="308" spans="2:8" ht="15.75" customHeight="1" x14ac:dyDescent="0.35">
      <c r="B308" s="59"/>
      <c r="E308" s="23"/>
      <c r="F308" s="59"/>
      <c r="G308" s="3"/>
      <c r="H308" s="59"/>
    </row>
    <row r="309" spans="2:8" ht="15.75" customHeight="1" x14ac:dyDescent="0.35">
      <c r="B309" s="59"/>
      <c r="E309" s="23"/>
      <c r="F309" s="59"/>
      <c r="G309" s="3"/>
      <c r="H309" s="59"/>
    </row>
    <row r="310" spans="2:8" ht="15.75" customHeight="1" x14ac:dyDescent="0.35">
      <c r="B310" s="59"/>
      <c r="E310" s="23"/>
      <c r="F310" s="59"/>
      <c r="G310" s="3"/>
      <c r="H310" s="59"/>
    </row>
    <row r="311" spans="2:8" ht="15.75" customHeight="1" x14ac:dyDescent="0.35">
      <c r="B311" s="59"/>
      <c r="E311" s="23"/>
      <c r="F311" s="59"/>
      <c r="G311" s="3"/>
      <c r="H311" s="59"/>
    </row>
    <row r="312" spans="2:8" ht="15.75" customHeight="1" x14ac:dyDescent="0.35"/>
    <row r="313" spans="2:8" ht="15.75" customHeight="1" x14ac:dyDescent="0.35"/>
    <row r="314" spans="2:8" ht="15.75" customHeight="1" x14ac:dyDescent="0.35"/>
    <row r="315" spans="2:8" ht="15.75" customHeight="1" x14ac:dyDescent="0.35"/>
    <row r="316" spans="2:8" ht="15.75" customHeight="1" x14ac:dyDescent="0.35"/>
    <row r="317" spans="2:8" ht="15.75" customHeight="1" x14ac:dyDescent="0.35"/>
    <row r="318" spans="2:8" ht="15.75" customHeight="1" x14ac:dyDescent="0.35"/>
    <row r="319" spans="2:8" ht="15.75" customHeight="1" x14ac:dyDescent="0.35"/>
    <row r="320" spans="2:8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B2:P96" xr:uid="{00000000-0009-0000-0000-000002000000}">
    <sortState xmlns:xlrd2="http://schemas.microsoft.com/office/spreadsheetml/2017/richdata2" ref="B2:P96">
      <sortCondition ref="B2:B96"/>
    </sortState>
  </autoFilter>
  <mergeCells count="1">
    <mergeCell ref="R1:W1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685"/>
  <sheetViews>
    <sheetView zoomScaleNormal="100" workbookViewId="0">
      <pane ySplit="5" topLeftCell="A70" activePane="bottomLeft" state="frozen"/>
      <selection pane="bottomLeft" activeCell="E140" sqref="E140"/>
    </sheetView>
  </sheetViews>
  <sheetFormatPr defaultColWidth="14.453125" defaultRowHeight="15" customHeight="1" x14ac:dyDescent="0.35"/>
  <cols>
    <col min="1" max="1" width="3" customWidth="1"/>
    <col min="2" max="2" width="10.453125" customWidth="1"/>
    <col min="3" max="3" width="12" customWidth="1"/>
    <col min="4" max="4" width="11.1796875" customWidth="1"/>
    <col min="5" max="5" width="74.453125" customWidth="1"/>
    <col min="6" max="8" width="12" customWidth="1"/>
    <col min="9" max="11" width="8.7265625" customWidth="1"/>
    <col min="12" max="14" width="12" customWidth="1"/>
    <col min="15" max="16" width="2.81640625" customWidth="1"/>
    <col min="17" max="17" width="5" bestFit="1" customWidth="1"/>
    <col min="18" max="18" width="6.26953125" bestFit="1" customWidth="1"/>
    <col min="19" max="19" width="11.54296875" customWidth="1"/>
    <col min="20" max="21" width="11.453125" customWidth="1"/>
    <col min="22" max="30" width="8.7265625" customWidth="1"/>
  </cols>
  <sheetData>
    <row r="1" spans="1:31" ht="18" x14ac:dyDescent="0.4">
      <c r="A1" s="155" t="s">
        <v>65</v>
      </c>
      <c r="B1" s="154"/>
      <c r="C1" s="154"/>
      <c r="D1" s="154"/>
      <c r="E1" s="154"/>
      <c r="F1" s="154"/>
      <c r="G1" s="154"/>
      <c r="H1" s="154"/>
      <c r="I1" s="61"/>
      <c r="J1" s="2"/>
      <c r="K1" s="2"/>
      <c r="L1" s="2"/>
      <c r="M1" s="2"/>
      <c r="N1" s="2"/>
      <c r="O1" s="2"/>
      <c r="P1" s="2"/>
      <c r="Q1" s="2"/>
      <c r="R1" s="64" t="s">
        <v>42</v>
      </c>
      <c r="S1" s="65">
        <f>SUM($H:$H)-SUM($U:$U)-H4</f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1" ht="18" x14ac:dyDescent="0.4">
      <c r="A2" s="155" t="s">
        <v>66</v>
      </c>
      <c r="B2" s="154"/>
      <c r="C2" s="154"/>
      <c r="D2" s="154"/>
      <c r="E2" s="154"/>
      <c r="F2" s="154"/>
      <c r="G2" s="154"/>
      <c r="H2" s="154"/>
      <c r="I2" s="61"/>
      <c r="J2" s="2"/>
      <c r="K2" s="2"/>
      <c r="L2" s="156" t="s">
        <v>67</v>
      </c>
      <c r="M2" s="157"/>
      <c r="N2" s="125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1" ht="14.5" x14ac:dyDescent="0.35">
      <c r="A3" s="158" t="s">
        <v>357</v>
      </c>
      <c r="B3" s="154"/>
      <c r="C3" s="154"/>
      <c r="D3" s="154"/>
      <c r="E3" s="154"/>
      <c r="F3" s="154"/>
      <c r="G3" s="154"/>
      <c r="H3" s="154"/>
      <c r="I3" s="2"/>
      <c r="J3" s="2"/>
      <c r="K3" s="2"/>
      <c r="L3" s="2"/>
      <c r="M3" s="2"/>
      <c r="N3" s="2"/>
      <c r="O3" s="2"/>
      <c r="P3" s="2"/>
      <c r="Q3" s="159" t="s">
        <v>43</v>
      </c>
      <c r="R3" s="159"/>
      <c r="S3" s="159"/>
      <c r="T3" s="159"/>
      <c r="U3" s="159"/>
      <c r="V3" s="2"/>
      <c r="W3" s="2"/>
      <c r="X3" s="2"/>
      <c r="Y3" s="2"/>
      <c r="Z3" s="2"/>
      <c r="AA3" s="2"/>
      <c r="AB3" s="2"/>
      <c r="AC3" s="2"/>
      <c r="AD3" s="2"/>
    </row>
    <row r="4" spans="1:31" ht="14.5" x14ac:dyDescent="0.35">
      <c r="A4" s="2"/>
      <c r="B4" s="2"/>
      <c r="C4" s="2"/>
      <c r="D4" s="2"/>
      <c r="E4" s="2"/>
      <c r="F4" s="66"/>
      <c r="G4" s="61">
        <f>SUBTOTAL(9,$G$6:$G$4657)</f>
        <v>26764153.959999986</v>
      </c>
      <c r="H4" s="61">
        <f>SUBTOTAL(9,$H$6:$H$4657)</f>
        <v>26752625.591184989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1" ht="30" customHeight="1" x14ac:dyDescent="0.35">
      <c r="A5" s="67"/>
      <c r="B5" s="126" t="s">
        <v>68</v>
      </c>
      <c r="C5" s="126" t="s">
        <v>69</v>
      </c>
      <c r="D5" s="126" t="s">
        <v>70</v>
      </c>
      <c r="E5" s="126" t="s">
        <v>45</v>
      </c>
      <c r="F5" s="127" t="s">
        <v>50</v>
      </c>
      <c r="G5" s="128" t="s">
        <v>64</v>
      </c>
      <c r="H5" s="126" t="s">
        <v>71</v>
      </c>
      <c r="I5" s="129" t="s">
        <v>72</v>
      </c>
      <c r="J5" s="129" t="s">
        <v>73</v>
      </c>
      <c r="K5" s="129" t="s">
        <v>74</v>
      </c>
      <c r="L5" s="129" t="s">
        <v>75</v>
      </c>
      <c r="M5" s="129" t="s">
        <v>76</v>
      </c>
      <c r="N5" s="129" t="s">
        <v>55</v>
      </c>
      <c r="O5" s="67"/>
      <c r="P5" s="67"/>
      <c r="Q5" s="124" t="s">
        <v>37</v>
      </c>
      <c r="R5" s="55" t="s">
        <v>59</v>
      </c>
      <c r="S5" s="55" t="s">
        <v>60</v>
      </c>
      <c r="T5" s="55" t="s">
        <v>61</v>
      </c>
      <c r="U5" s="55" t="s">
        <v>63</v>
      </c>
      <c r="V5" s="67"/>
      <c r="W5" s="67"/>
      <c r="X5" s="67"/>
      <c r="Y5" s="67"/>
      <c r="Z5" s="67"/>
      <c r="AA5" s="67"/>
      <c r="AB5" s="67"/>
      <c r="AC5" s="67"/>
      <c r="AD5" s="67"/>
      <c r="AE5" s="68"/>
    </row>
    <row r="6" spans="1:31" ht="14.5" x14ac:dyDescent="0.35">
      <c r="A6" s="2"/>
      <c r="B6" s="141" t="s">
        <v>78</v>
      </c>
      <c r="C6" s="141" t="s">
        <v>77</v>
      </c>
      <c r="D6" s="141" t="s">
        <v>269</v>
      </c>
      <c r="E6" s="141" t="s">
        <v>79</v>
      </c>
      <c r="F6" s="143">
        <v>46023</v>
      </c>
      <c r="G6" s="142">
        <v>7425.6</v>
      </c>
      <c r="H6" s="142">
        <v>7425.6</v>
      </c>
      <c r="I6" s="130">
        <v>120</v>
      </c>
      <c r="J6" s="132">
        <f t="shared" ref="J6:J100" si="0">IF(ISBLANK($B6),"",YEAR($B6))</f>
        <v>2025</v>
      </c>
      <c r="K6" s="132">
        <f>IF(ISBLANK($B6),"",WEEKNUM($B6))</f>
        <v>9</v>
      </c>
      <c r="L6" s="132">
        <f t="shared" ref="L6:L100" si="1">IF(ISBLANK($B6),"",WEEKNUM($F6))</f>
        <v>1</v>
      </c>
      <c r="M6" s="132">
        <f t="shared" ref="M6:M100" si="2">IF(ISBLANK($B6),"",IF($L6&lt;51,YEAR($F6),YEAR($F6)+1))</f>
        <v>2026</v>
      </c>
      <c r="N6" s="132">
        <f>IF(ISBLANK($B6),"",IF($L6&lt;51,$L6+$N$2,$L6-52+$N$2))</f>
        <v>3</v>
      </c>
      <c r="O6" s="2"/>
      <c r="P6" s="2"/>
      <c r="Q6" s="2">
        <v>2026</v>
      </c>
      <c r="R6" s="2">
        <v>1</v>
      </c>
      <c r="S6" s="5">
        <v>46024</v>
      </c>
      <c r="T6" s="60">
        <f>SUMIFS($H:$H,$N:$N,$R6,$M:$M,$Q6)</f>
        <v>0</v>
      </c>
      <c r="U6" s="61">
        <f t="shared" ref="U6:U37" si="3">SUM(T6:T6)</f>
        <v>0</v>
      </c>
      <c r="V6" s="2"/>
      <c r="W6" s="2"/>
      <c r="X6" s="2"/>
      <c r="Y6" s="2"/>
      <c r="Z6" s="2"/>
      <c r="AA6" s="2"/>
      <c r="AB6" s="2"/>
      <c r="AC6" s="2"/>
      <c r="AD6" s="2"/>
    </row>
    <row r="7" spans="1:31" ht="14.5" x14ac:dyDescent="0.35">
      <c r="A7" s="2"/>
      <c r="B7" s="141" t="s">
        <v>83</v>
      </c>
      <c r="C7" s="141" t="s">
        <v>77</v>
      </c>
      <c r="D7" s="141" t="s">
        <v>270</v>
      </c>
      <c r="E7" s="141" t="s">
        <v>81</v>
      </c>
      <c r="F7" s="143">
        <v>46023</v>
      </c>
      <c r="G7" s="142">
        <v>14880</v>
      </c>
      <c r="H7" s="142">
        <v>14880</v>
      </c>
      <c r="I7" s="130">
        <v>30</v>
      </c>
      <c r="J7" s="132">
        <f t="shared" si="0"/>
        <v>2025</v>
      </c>
      <c r="K7" s="132">
        <f t="shared" ref="K7:K100" si="4">IF(ISBLANK($B7),"",WEEKNUM($B7))</f>
        <v>40</v>
      </c>
      <c r="L7" s="132">
        <f>IF(ISBLANK($B7),"",WEEKNUM($F7))</f>
        <v>1</v>
      </c>
      <c r="M7" s="132">
        <f t="shared" si="2"/>
        <v>2026</v>
      </c>
      <c r="N7" s="132">
        <f t="shared" ref="N7:N100" si="5">IF(ISBLANK($B7),"",IF($L7&lt;51,$L7+$N$2,$L7-52+$N$2))</f>
        <v>3</v>
      </c>
      <c r="O7" s="2"/>
      <c r="P7" s="2"/>
      <c r="Q7" s="2">
        <v>2026</v>
      </c>
      <c r="R7" s="2">
        <v>2</v>
      </c>
      <c r="S7" s="5">
        <f t="shared" ref="S7:S38" si="6">S6+7</f>
        <v>46031</v>
      </c>
      <c r="T7" s="60">
        <f>SUMIFS($H:$H,$N:$N,$R7,$M:$M,$Q7)</f>
        <v>0</v>
      </c>
      <c r="U7" s="61">
        <f t="shared" si="3"/>
        <v>0</v>
      </c>
      <c r="V7" s="2"/>
      <c r="W7" s="2"/>
      <c r="X7" s="2"/>
      <c r="Y7" s="2"/>
      <c r="Z7" s="2"/>
      <c r="AA7" s="2"/>
      <c r="AB7" s="2"/>
      <c r="AC7" s="2"/>
      <c r="AD7" s="2"/>
    </row>
    <row r="8" spans="1:31" ht="14.5" x14ac:dyDescent="0.35">
      <c r="A8" s="2"/>
      <c r="B8" s="141" t="s">
        <v>82</v>
      </c>
      <c r="C8" s="141" t="s">
        <v>77</v>
      </c>
      <c r="D8" s="141" t="s">
        <v>271</v>
      </c>
      <c r="E8" s="141" t="s">
        <v>92</v>
      </c>
      <c r="F8" s="143">
        <v>46023</v>
      </c>
      <c r="G8" s="142">
        <v>11685</v>
      </c>
      <c r="H8" s="142">
        <v>11685</v>
      </c>
      <c r="I8" s="130">
        <v>90</v>
      </c>
      <c r="J8" s="132">
        <f t="shared" si="0"/>
        <v>2025</v>
      </c>
      <c r="K8" s="132">
        <f t="shared" si="4"/>
        <v>36</v>
      </c>
      <c r="L8" s="132">
        <f t="shared" si="1"/>
        <v>1</v>
      </c>
      <c r="M8" s="132">
        <f t="shared" si="2"/>
        <v>2026</v>
      </c>
      <c r="N8" s="132">
        <f>IF(ISBLANK($B8),"",IF($L8&lt;51,$L8+$N$2,$L8-52+$N$2))</f>
        <v>3</v>
      </c>
      <c r="O8" s="2"/>
      <c r="P8" s="2"/>
      <c r="Q8" s="2">
        <v>2026</v>
      </c>
      <c r="R8" s="2">
        <v>3</v>
      </c>
      <c r="S8" s="5">
        <f t="shared" si="6"/>
        <v>46038</v>
      </c>
      <c r="T8" s="60">
        <f>SUMIFS($H:$H,$N:$N,$R8,$M:$M,$Q8)</f>
        <v>297412.59999999998</v>
      </c>
      <c r="U8" s="61">
        <f t="shared" si="3"/>
        <v>297412.59999999998</v>
      </c>
      <c r="V8" s="2"/>
      <c r="W8" s="2"/>
      <c r="X8" s="2"/>
      <c r="Y8" s="2"/>
      <c r="Z8" s="2"/>
      <c r="AA8" s="2"/>
      <c r="AB8" s="2"/>
      <c r="AC8" s="2"/>
      <c r="AD8" s="2"/>
    </row>
    <row r="9" spans="1:31" ht="14.5" x14ac:dyDescent="0.35">
      <c r="A9" s="3"/>
      <c r="B9" s="141" t="s">
        <v>89</v>
      </c>
      <c r="C9" s="141" t="s">
        <v>77</v>
      </c>
      <c r="D9" s="141" t="s">
        <v>272</v>
      </c>
      <c r="E9" s="141" t="s">
        <v>81</v>
      </c>
      <c r="F9" s="143">
        <v>46023</v>
      </c>
      <c r="G9" s="142">
        <v>24000</v>
      </c>
      <c r="H9" s="142">
        <v>24000</v>
      </c>
      <c r="I9" s="130">
        <v>30</v>
      </c>
      <c r="J9" s="132">
        <f t="shared" si="0"/>
        <v>2025</v>
      </c>
      <c r="K9" s="132">
        <f t="shared" si="4"/>
        <v>44</v>
      </c>
      <c r="L9" s="132">
        <f t="shared" si="1"/>
        <v>1</v>
      </c>
      <c r="M9" s="132">
        <f t="shared" si="2"/>
        <v>2026</v>
      </c>
      <c r="N9" s="132">
        <f t="shared" si="5"/>
        <v>3</v>
      </c>
      <c r="O9" s="2"/>
      <c r="P9" s="2"/>
      <c r="Q9" s="2">
        <v>2026</v>
      </c>
      <c r="R9" s="2">
        <v>4</v>
      </c>
      <c r="S9" s="5">
        <f t="shared" si="6"/>
        <v>46045</v>
      </c>
      <c r="T9" s="60">
        <f>SUMIFS($H:$H,$N:$N,$R9,$M:$M,$Q9)</f>
        <v>0</v>
      </c>
      <c r="U9" s="61">
        <f t="shared" si="3"/>
        <v>0</v>
      </c>
      <c r="V9" s="2"/>
      <c r="W9" s="2"/>
      <c r="X9" s="2"/>
      <c r="Y9" s="2"/>
      <c r="Z9" s="2"/>
      <c r="AA9" s="2"/>
      <c r="AB9" s="2"/>
      <c r="AC9" s="2"/>
      <c r="AD9" s="2"/>
    </row>
    <row r="10" spans="1:31" ht="16.5" customHeight="1" x14ac:dyDescent="0.35">
      <c r="A10" s="2"/>
      <c r="B10" s="141" t="s">
        <v>91</v>
      </c>
      <c r="C10" s="141" t="s">
        <v>77</v>
      </c>
      <c r="D10" s="141" t="s">
        <v>273</v>
      </c>
      <c r="E10" s="141" t="s">
        <v>96</v>
      </c>
      <c r="F10" s="143">
        <v>46023</v>
      </c>
      <c r="G10" s="142">
        <v>48402</v>
      </c>
      <c r="H10" s="142">
        <v>48402</v>
      </c>
      <c r="I10" s="130">
        <v>30</v>
      </c>
      <c r="J10" s="132">
        <f t="shared" si="0"/>
        <v>2025</v>
      </c>
      <c r="K10" s="132">
        <f t="shared" si="4"/>
        <v>48</v>
      </c>
      <c r="L10" s="132">
        <f t="shared" si="1"/>
        <v>1</v>
      </c>
      <c r="M10" s="132">
        <f t="shared" si="2"/>
        <v>2026</v>
      </c>
      <c r="N10" s="132">
        <f t="shared" si="5"/>
        <v>3</v>
      </c>
      <c r="O10" s="2"/>
      <c r="P10" s="2"/>
      <c r="Q10" s="2">
        <v>2026</v>
      </c>
      <c r="R10" s="2">
        <v>5</v>
      </c>
      <c r="S10" s="5">
        <f t="shared" si="6"/>
        <v>46052</v>
      </c>
      <c r="T10" s="60">
        <f>SUMIFS($H:$H,$N:$N,$R10,$M:$M,$Q10)</f>
        <v>0</v>
      </c>
      <c r="U10" s="61">
        <f t="shared" si="3"/>
        <v>0</v>
      </c>
      <c r="V10" s="2"/>
      <c r="W10" s="2"/>
      <c r="X10" s="2"/>
      <c r="Y10" s="2"/>
      <c r="Z10" s="2"/>
      <c r="AA10" s="2"/>
      <c r="AB10" s="2"/>
      <c r="AC10" s="2"/>
      <c r="AD10" s="2"/>
    </row>
    <row r="11" spans="1:31" ht="13.5" customHeight="1" x14ac:dyDescent="0.35">
      <c r="A11" s="3"/>
      <c r="B11" s="141" t="s">
        <v>83</v>
      </c>
      <c r="C11" s="141" t="s">
        <v>77</v>
      </c>
      <c r="D11" s="141" t="s">
        <v>274</v>
      </c>
      <c r="E11" s="141" t="s">
        <v>92</v>
      </c>
      <c r="F11" s="143">
        <v>46023</v>
      </c>
      <c r="G11" s="142">
        <v>11400</v>
      </c>
      <c r="H11" s="142">
        <v>11400</v>
      </c>
      <c r="I11" s="130">
        <v>90</v>
      </c>
      <c r="J11" s="132">
        <f t="shared" si="0"/>
        <v>2025</v>
      </c>
      <c r="K11" s="132">
        <f t="shared" si="4"/>
        <v>40</v>
      </c>
      <c r="L11" s="132">
        <f t="shared" si="1"/>
        <v>1</v>
      </c>
      <c r="M11" s="132">
        <f t="shared" si="2"/>
        <v>2026</v>
      </c>
      <c r="N11" s="132">
        <f t="shared" si="5"/>
        <v>3</v>
      </c>
      <c r="O11" s="2"/>
      <c r="P11" s="2"/>
      <c r="Q11" s="2">
        <v>2026</v>
      </c>
      <c r="R11" s="2">
        <v>6</v>
      </c>
      <c r="S11" s="5">
        <f t="shared" si="6"/>
        <v>46059</v>
      </c>
      <c r="T11" s="60">
        <f>SUMIFS($H:$H,$N:$N,$R11,$M:$M,$Q11)</f>
        <v>0</v>
      </c>
      <c r="U11" s="61">
        <f t="shared" si="3"/>
        <v>0</v>
      </c>
      <c r="V11" s="2"/>
      <c r="W11" s="2"/>
      <c r="X11" s="2"/>
      <c r="Y11" s="2"/>
      <c r="Z11" s="2"/>
      <c r="AA11" s="2"/>
      <c r="AB11" s="2"/>
      <c r="AC11" s="2"/>
      <c r="AD11" s="2"/>
    </row>
    <row r="12" spans="1:31" ht="14.5" x14ac:dyDescent="0.35">
      <c r="A12" s="2"/>
      <c r="B12" s="141" t="s">
        <v>94</v>
      </c>
      <c r="C12" s="141" t="s">
        <v>77</v>
      </c>
      <c r="D12" s="141" t="s">
        <v>275</v>
      </c>
      <c r="E12" s="141" t="s">
        <v>80</v>
      </c>
      <c r="F12" s="143">
        <v>46023</v>
      </c>
      <c r="G12" s="142">
        <v>44000</v>
      </c>
      <c r="H12" s="142">
        <v>44000</v>
      </c>
      <c r="I12" s="130">
        <v>30</v>
      </c>
      <c r="J12" s="132">
        <f t="shared" si="0"/>
        <v>2025</v>
      </c>
      <c r="K12" s="132">
        <f t="shared" si="4"/>
        <v>49</v>
      </c>
      <c r="L12" s="132">
        <f t="shared" si="1"/>
        <v>1</v>
      </c>
      <c r="M12" s="132">
        <f t="shared" si="2"/>
        <v>2026</v>
      </c>
      <c r="N12" s="132">
        <f t="shared" si="5"/>
        <v>3</v>
      </c>
      <c r="O12" s="2"/>
      <c r="P12" s="2"/>
      <c r="Q12" s="2">
        <v>2026</v>
      </c>
      <c r="R12" s="2">
        <v>7</v>
      </c>
      <c r="S12" s="5">
        <f t="shared" si="6"/>
        <v>46066</v>
      </c>
      <c r="T12" s="60">
        <f>SUMIFS($H:$H,$N:$N,$R12,$M:$M,$Q12)</f>
        <v>272280</v>
      </c>
      <c r="U12" s="61">
        <f t="shared" si="3"/>
        <v>272280</v>
      </c>
      <c r="V12" s="2"/>
      <c r="W12" s="2"/>
      <c r="X12" s="2"/>
      <c r="Y12" s="2"/>
      <c r="Z12" s="2"/>
      <c r="AA12" s="2"/>
      <c r="AB12" s="2"/>
      <c r="AC12" s="2"/>
      <c r="AD12" s="2"/>
    </row>
    <row r="13" spans="1:31" ht="14.5" x14ac:dyDescent="0.35">
      <c r="A13" s="2"/>
      <c r="B13" s="141" t="s">
        <v>94</v>
      </c>
      <c r="C13" s="141" t="s">
        <v>77</v>
      </c>
      <c r="D13" s="141" t="s">
        <v>276</v>
      </c>
      <c r="E13" s="144" t="s">
        <v>99</v>
      </c>
      <c r="F13" s="143">
        <v>46023</v>
      </c>
      <c r="G13" s="142">
        <v>120500</v>
      </c>
      <c r="H13" s="142">
        <v>120500</v>
      </c>
      <c r="I13" s="130">
        <v>30</v>
      </c>
      <c r="J13" s="132">
        <f t="shared" si="0"/>
        <v>2025</v>
      </c>
      <c r="K13" s="132">
        <f t="shared" si="4"/>
        <v>49</v>
      </c>
      <c r="L13" s="132">
        <f t="shared" si="1"/>
        <v>1</v>
      </c>
      <c r="M13" s="132">
        <f t="shared" si="2"/>
        <v>2026</v>
      </c>
      <c r="N13" s="132">
        <f t="shared" si="5"/>
        <v>3</v>
      </c>
      <c r="O13" s="2"/>
      <c r="P13" s="2"/>
      <c r="Q13" s="2">
        <v>2026</v>
      </c>
      <c r="R13" s="2">
        <v>8</v>
      </c>
      <c r="S13" s="5">
        <f t="shared" si="6"/>
        <v>46073</v>
      </c>
      <c r="T13" s="60">
        <f>SUMIFS($H:$H,$N:$N,$R13,$M:$M,$Q13)</f>
        <v>33667.199999999997</v>
      </c>
      <c r="U13" s="61">
        <f t="shared" si="3"/>
        <v>33667.199999999997</v>
      </c>
      <c r="V13" s="2"/>
      <c r="W13" s="2"/>
      <c r="X13" s="2"/>
      <c r="Y13" s="2"/>
      <c r="Z13" s="2"/>
      <c r="AA13" s="2"/>
      <c r="AB13" s="2"/>
      <c r="AC13" s="2"/>
      <c r="AD13" s="2"/>
    </row>
    <row r="14" spans="1:31" ht="14.5" x14ac:dyDescent="0.35">
      <c r="A14" s="2"/>
      <c r="B14" s="141" t="s">
        <v>94</v>
      </c>
      <c r="C14" s="141" t="s">
        <v>77</v>
      </c>
      <c r="D14" s="141" t="s">
        <v>277</v>
      </c>
      <c r="E14" s="144" t="s">
        <v>81</v>
      </c>
      <c r="F14" s="143">
        <v>46023</v>
      </c>
      <c r="G14" s="142">
        <v>15120</v>
      </c>
      <c r="H14" s="142">
        <v>15120</v>
      </c>
      <c r="I14" s="130">
        <v>30</v>
      </c>
      <c r="J14" s="132">
        <f t="shared" si="0"/>
        <v>2025</v>
      </c>
      <c r="K14" s="132">
        <f t="shared" si="4"/>
        <v>49</v>
      </c>
      <c r="L14" s="132">
        <f t="shared" si="1"/>
        <v>1</v>
      </c>
      <c r="M14" s="132">
        <f t="shared" si="2"/>
        <v>2026</v>
      </c>
      <c r="N14" s="132">
        <f t="shared" si="5"/>
        <v>3</v>
      </c>
      <c r="O14" s="2"/>
      <c r="P14" s="2"/>
      <c r="Q14" s="2">
        <v>2026</v>
      </c>
      <c r="R14" s="2">
        <v>9</v>
      </c>
      <c r="S14" s="5">
        <f t="shared" si="6"/>
        <v>46080</v>
      </c>
      <c r="T14" s="60">
        <f>SUMIFS($H:$H,$N:$N,$R14,$M:$M,$Q14)</f>
        <v>209760</v>
      </c>
      <c r="U14" s="61">
        <f t="shared" si="3"/>
        <v>209760</v>
      </c>
      <c r="V14" s="2"/>
      <c r="W14" s="2"/>
      <c r="X14" s="2"/>
      <c r="Y14" s="2"/>
      <c r="Z14" s="2"/>
      <c r="AA14" s="2"/>
      <c r="AB14" s="2"/>
      <c r="AC14" s="2"/>
      <c r="AD14" s="2"/>
    </row>
    <row r="15" spans="1:31" ht="15.75" customHeight="1" x14ac:dyDescent="0.35">
      <c r="A15" s="2"/>
      <c r="B15" s="141" t="s">
        <v>102</v>
      </c>
      <c r="C15" s="141" t="s">
        <v>77</v>
      </c>
      <c r="D15" s="141" t="s">
        <v>278</v>
      </c>
      <c r="E15" s="144" t="s">
        <v>81</v>
      </c>
      <c r="F15" s="143" t="s">
        <v>114</v>
      </c>
      <c r="G15" s="142">
        <v>16080</v>
      </c>
      <c r="H15" s="142">
        <v>16080</v>
      </c>
      <c r="I15" s="130">
        <v>30</v>
      </c>
      <c r="J15" s="132">
        <f t="shared" si="0"/>
        <v>2025</v>
      </c>
      <c r="K15" s="132">
        <f t="shared" si="4"/>
        <v>53</v>
      </c>
      <c r="L15" s="132">
        <f t="shared" si="1"/>
        <v>5</v>
      </c>
      <c r="M15" s="132">
        <f t="shared" si="2"/>
        <v>2026</v>
      </c>
      <c r="N15" s="132">
        <f t="shared" si="5"/>
        <v>7</v>
      </c>
      <c r="O15" s="2"/>
      <c r="P15" s="2"/>
      <c r="Q15" s="2">
        <v>2026</v>
      </c>
      <c r="R15" s="2">
        <v>10</v>
      </c>
      <c r="S15" s="5">
        <f t="shared" si="6"/>
        <v>46087</v>
      </c>
      <c r="T15" s="60">
        <f>SUMIFS($H:$H,$N:$N,$R15,$M:$M,$Q15)</f>
        <v>0</v>
      </c>
      <c r="U15" s="61">
        <f t="shared" si="3"/>
        <v>0</v>
      </c>
      <c r="V15" s="2"/>
      <c r="W15" s="2"/>
      <c r="X15" s="2"/>
      <c r="Y15" s="2"/>
      <c r="Z15" s="2"/>
      <c r="AA15" s="2"/>
      <c r="AB15" s="2"/>
      <c r="AC15" s="2"/>
      <c r="AD15" s="2"/>
    </row>
    <row r="16" spans="1:31" ht="15.75" customHeight="1" x14ac:dyDescent="0.35">
      <c r="A16" s="2"/>
      <c r="B16" s="141" t="s">
        <v>102</v>
      </c>
      <c r="C16" s="141" t="s">
        <v>77</v>
      </c>
      <c r="D16" s="141" t="s">
        <v>279</v>
      </c>
      <c r="E16" s="144" t="s">
        <v>95</v>
      </c>
      <c r="F16" s="143" t="s">
        <v>114</v>
      </c>
      <c r="G16" s="142">
        <v>13000</v>
      </c>
      <c r="H16" s="142">
        <v>13000</v>
      </c>
      <c r="I16" s="130">
        <v>30</v>
      </c>
      <c r="J16" s="132">
        <f t="shared" si="0"/>
        <v>2025</v>
      </c>
      <c r="K16" s="132">
        <f t="shared" si="4"/>
        <v>53</v>
      </c>
      <c r="L16" s="132">
        <f t="shared" si="1"/>
        <v>5</v>
      </c>
      <c r="M16" s="132">
        <f t="shared" si="2"/>
        <v>2026</v>
      </c>
      <c r="N16" s="132">
        <f t="shared" si="5"/>
        <v>7</v>
      </c>
      <c r="O16" s="2"/>
      <c r="P16" s="2"/>
      <c r="Q16" s="2">
        <v>2026</v>
      </c>
      <c r="R16" s="2">
        <v>11</v>
      </c>
      <c r="S16" s="5">
        <f t="shared" si="6"/>
        <v>46094</v>
      </c>
      <c r="T16" s="60">
        <f>SUMIFS($H:$H,$N:$N,$R16,$M:$M,$Q16)</f>
        <v>4315.72</v>
      </c>
      <c r="U16" s="61">
        <f t="shared" si="3"/>
        <v>4315.72</v>
      </c>
      <c r="V16" s="2"/>
      <c r="W16" s="2"/>
      <c r="X16" s="2"/>
      <c r="Y16" s="2"/>
      <c r="Z16" s="2"/>
      <c r="AA16" s="2"/>
      <c r="AB16" s="2"/>
      <c r="AC16" s="2"/>
      <c r="AD16" s="2"/>
    </row>
    <row r="17" spans="1:30" ht="15.75" customHeight="1" x14ac:dyDescent="0.35">
      <c r="A17" s="2"/>
      <c r="B17" s="141" t="s">
        <v>117</v>
      </c>
      <c r="C17" s="141" t="s">
        <v>77</v>
      </c>
      <c r="D17" s="141" t="s">
        <v>280</v>
      </c>
      <c r="E17" s="144" t="s">
        <v>119</v>
      </c>
      <c r="F17" s="143" t="s">
        <v>118</v>
      </c>
      <c r="G17" s="142">
        <v>243200</v>
      </c>
      <c r="H17" s="142">
        <v>243200</v>
      </c>
      <c r="I17" s="130">
        <v>30</v>
      </c>
      <c r="J17" s="132">
        <f t="shared" si="0"/>
        <v>2026</v>
      </c>
      <c r="K17" s="132">
        <f t="shared" si="4"/>
        <v>1</v>
      </c>
      <c r="L17" s="132">
        <f t="shared" si="1"/>
        <v>5</v>
      </c>
      <c r="M17" s="132">
        <f t="shared" si="2"/>
        <v>2026</v>
      </c>
      <c r="N17" s="132">
        <f t="shared" si="5"/>
        <v>7</v>
      </c>
      <c r="O17" s="2"/>
      <c r="P17" s="2"/>
      <c r="Q17" s="2">
        <v>2026</v>
      </c>
      <c r="R17" s="2">
        <v>12</v>
      </c>
      <c r="S17" s="5">
        <f t="shared" si="6"/>
        <v>46101</v>
      </c>
      <c r="T17" s="60">
        <f>SUMIFS($H:$H,$N:$N,$R17,$M:$M,$Q17)</f>
        <v>80420</v>
      </c>
      <c r="U17" s="61">
        <f t="shared" si="3"/>
        <v>80420</v>
      </c>
      <c r="V17" s="2"/>
      <c r="W17" s="2"/>
      <c r="X17" s="2"/>
      <c r="Y17" s="2"/>
      <c r="Z17" s="2"/>
      <c r="AA17" s="2"/>
      <c r="AB17" s="2"/>
      <c r="AC17" s="2"/>
      <c r="AD17" s="2"/>
    </row>
    <row r="18" spans="1:30" ht="15.75" customHeight="1" x14ac:dyDescent="0.35">
      <c r="A18" s="2"/>
      <c r="B18" s="141" t="s">
        <v>111</v>
      </c>
      <c r="C18" s="141" t="s">
        <v>77</v>
      </c>
      <c r="D18" s="141" t="s">
        <v>281</v>
      </c>
      <c r="E18" s="144" t="s">
        <v>122</v>
      </c>
      <c r="F18" s="143" t="s">
        <v>282</v>
      </c>
      <c r="G18" s="142">
        <v>33667.199999999997</v>
      </c>
      <c r="H18" s="142">
        <v>33667.199999999997</v>
      </c>
      <c r="I18" s="130">
        <v>45</v>
      </c>
      <c r="J18" s="132">
        <f t="shared" si="0"/>
        <v>2025</v>
      </c>
      <c r="K18" s="132">
        <f t="shared" si="4"/>
        <v>52</v>
      </c>
      <c r="L18" s="132">
        <f t="shared" si="1"/>
        <v>6</v>
      </c>
      <c r="M18" s="132">
        <f t="shared" si="2"/>
        <v>2026</v>
      </c>
      <c r="N18" s="132">
        <f t="shared" si="5"/>
        <v>8</v>
      </c>
      <c r="O18" s="2"/>
      <c r="P18" s="2"/>
      <c r="Q18" s="2">
        <v>2026</v>
      </c>
      <c r="R18" s="2">
        <v>13</v>
      </c>
      <c r="S18" s="5">
        <f t="shared" si="6"/>
        <v>46108</v>
      </c>
      <c r="T18" s="60">
        <f>SUMIFS($H:$H,$N:$N,$R18,$M:$M,$Q18)</f>
        <v>172530</v>
      </c>
      <c r="U18" s="61">
        <f t="shared" si="3"/>
        <v>172530</v>
      </c>
      <c r="V18" s="2"/>
      <c r="W18" s="2"/>
      <c r="X18" s="2"/>
      <c r="Y18" s="2"/>
      <c r="Z18" s="2"/>
      <c r="AA18" s="2"/>
      <c r="AB18" s="2"/>
      <c r="AC18" s="2"/>
      <c r="AD18" s="2"/>
    </row>
    <row r="19" spans="1:30" ht="15.75" customHeight="1" x14ac:dyDescent="0.35">
      <c r="A19" s="2"/>
      <c r="B19" s="141" t="s">
        <v>106</v>
      </c>
      <c r="C19" s="141" t="s">
        <v>77</v>
      </c>
      <c r="D19" s="141" t="s">
        <v>283</v>
      </c>
      <c r="E19" s="144" t="s">
        <v>87</v>
      </c>
      <c r="F19" s="143" t="s">
        <v>284</v>
      </c>
      <c r="G19" s="142">
        <v>27360</v>
      </c>
      <c r="H19" s="142">
        <v>27360</v>
      </c>
      <c r="I19" s="130">
        <v>30</v>
      </c>
      <c r="J19" s="132">
        <f t="shared" si="0"/>
        <v>2026</v>
      </c>
      <c r="K19" s="132">
        <f t="shared" si="4"/>
        <v>3</v>
      </c>
      <c r="L19" s="132">
        <f t="shared" si="1"/>
        <v>7</v>
      </c>
      <c r="M19" s="132">
        <f t="shared" si="2"/>
        <v>2026</v>
      </c>
      <c r="N19" s="132">
        <f t="shared" si="5"/>
        <v>9</v>
      </c>
      <c r="O19" s="2"/>
      <c r="P19" s="2"/>
      <c r="Q19" s="2">
        <v>2026</v>
      </c>
      <c r="R19" s="2">
        <v>14</v>
      </c>
      <c r="S19" s="5">
        <f t="shared" si="6"/>
        <v>46115</v>
      </c>
      <c r="T19" s="60">
        <f>SUMIFS($H:$H,$N:$N,$R19,$M:$M,$Q19)</f>
        <v>368726.4</v>
      </c>
      <c r="U19" s="61">
        <f t="shared" si="3"/>
        <v>368726.4</v>
      </c>
      <c r="V19" s="2"/>
      <c r="W19" s="2"/>
      <c r="X19" s="2"/>
      <c r="Y19" s="2"/>
      <c r="Z19" s="2"/>
      <c r="AA19" s="2"/>
      <c r="AB19" s="2"/>
      <c r="AC19" s="2"/>
      <c r="AD19" s="2"/>
    </row>
    <row r="20" spans="1:30" ht="15.75" customHeight="1" x14ac:dyDescent="0.35">
      <c r="A20" s="2"/>
      <c r="B20" s="141" t="s">
        <v>106</v>
      </c>
      <c r="C20" s="141" t="s">
        <v>77</v>
      </c>
      <c r="D20" s="141" t="s">
        <v>285</v>
      </c>
      <c r="E20" s="144" t="s">
        <v>119</v>
      </c>
      <c r="F20" s="143" t="s">
        <v>284</v>
      </c>
      <c r="G20" s="142">
        <v>182400</v>
      </c>
      <c r="H20" s="142">
        <v>182400</v>
      </c>
      <c r="I20" s="130">
        <v>30</v>
      </c>
      <c r="J20" s="132">
        <f t="shared" si="0"/>
        <v>2026</v>
      </c>
      <c r="K20" s="132">
        <f t="shared" si="4"/>
        <v>3</v>
      </c>
      <c r="L20" s="132">
        <f t="shared" si="1"/>
        <v>7</v>
      </c>
      <c r="M20" s="132">
        <f t="shared" si="2"/>
        <v>2026</v>
      </c>
      <c r="N20" s="132">
        <f t="shared" si="5"/>
        <v>9</v>
      </c>
      <c r="O20" s="2"/>
      <c r="P20" s="2"/>
      <c r="Q20" s="2">
        <v>2026</v>
      </c>
      <c r="R20" s="2">
        <v>15</v>
      </c>
      <c r="S20" s="5">
        <f t="shared" si="6"/>
        <v>46122</v>
      </c>
      <c r="T20" s="60">
        <f>SUMIFS($H:$H,$N:$N,$R20,$M:$M,$Q20)</f>
        <v>41126.660000000003</v>
      </c>
      <c r="U20" s="61">
        <f t="shared" si="3"/>
        <v>41126.660000000003</v>
      </c>
      <c r="V20" s="2"/>
      <c r="W20" s="2"/>
      <c r="X20" s="2"/>
      <c r="Y20" s="2"/>
      <c r="Z20" s="2"/>
      <c r="AA20" s="2"/>
      <c r="AB20" s="2"/>
      <c r="AC20" s="2"/>
      <c r="AD20" s="2"/>
    </row>
    <row r="21" spans="1:30" ht="15.75" customHeight="1" x14ac:dyDescent="0.35">
      <c r="A21" s="2"/>
      <c r="B21" s="141" t="s">
        <v>91</v>
      </c>
      <c r="C21" s="141" t="s">
        <v>77</v>
      </c>
      <c r="D21" s="141" t="s">
        <v>286</v>
      </c>
      <c r="E21" s="144" t="s">
        <v>135</v>
      </c>
      <c r="F21" s="143" t="s">
        <v>136</v>
      </c>
      <c r="G21" s="142">
        <v>15844.08</v>
      </c>
      <c r="H21" s="142">
        <v>4315.72</v>
      </c>
      <c r="I21" s="130">
        <v>90</v>
      </c>
      <c r="J21" s="132">
        <f t="shared" ref="J21:J50" si="7">IF(ISBLANK($B21),"",YEAR($B21))</f>
        <v>2025</v>
      </c>
      <c r="K21" s="132">
        <f t="shared" ref="K21:K50" si="8">IF(ISBLANK($B21),"",WEEKNUM($B21))</f>
        <v>48</v>
      </c>
      <c r="L21" s="132">
        <f t="shared" ref="L21:L50" si="9">IF(ISBLANK($B21),"",WEEKNUM($F21))</f>
        <v>9</v>
      </c>
      <c r="M21" s="132">
        <f t="shared" ref="M21:M50" si="10">IF(ISBLANK($B21),"",IF($L21&lt;51,YEAR($F21),YEAR($F21)+1))</f>
        <v>2026</v>
      </c>
      <c r="N21" s="132">
        <f t="shared" ref="N21:N50" si="11">IF(ISBLANK($B21),"",IF($L21&lt;51,$L21+$N$2,$L21-52+$N$2))</f>
        <v>11</v>
      </c>
      <c r="O21" s="2"/>
      <c r="P21" s="2"/>
      <c r="Q21" s="2">
        <v>2026</v>
      </c>
      <c r="R21" s="2">
        <v>16</v>
      </c>
      <c r="S21" s="5">
        <f t="shared" si="6"/>
        <v>46129</v>
      </c>
      <c r="T21" s="60">
        <f>SUMIFS($H:$H,$N:$N,$R21,$M:$M,$Q21)</f>
        <v>285706.8</v>
      </c>
      <c r="U21" s="61">
        <f t="shared" si="3"/>
        <v>285706.8</v>
      </c>
      <c r="V21" s="2"/>
      <c r="W21" s="2"/>
      <c r="X21" s="2"/>
      <c r="Y21" s="2"/>
      <c r="Z21" s="2"/>
      <c r="AA21" s="2"/>
      <c r="AB21" s="2"/>
      <c r="AC21" s="2"/>
      <c r="AD21" s="2"/>
    </row>
    <row r="22" spans="1:30" ht="15.75" customHeight="1" x14ac:dyDescent="0.35">
      <c r="A22" s="2"/>
      <c r="B22" s="141" t="s">
        <v>114</v>
      </c>
      <c r="C22" s="141" t="s">
        <v>77</v>
      </c>
      <c r="D22" s="141" t="s">
        <v>287</v>
      </c>
      <c r="E22" s="144" t="s">
        <v>81</v>
      </c>
      <c r="F22" s="143" t="s">
        <v>127</v>
      </c>
      <c r="G22" s="142">
        <v>18720</v>
      </c>
      <c r="H22" s="142">
        <v>18720</v>
      </c>
      <c r="I22" s="130">
        <v>30</v>
      </c>
      <c r="J22" s="132">
        <f t="shared" si="7"/>
        <v>2026</v>
      </c>
      <c r="K22" s="132">
        <f t="shared" si="8"/>
        <v>5</v>
      </c>
      <c r="L22" s="132">
        <f t="shared" si="9"/>
        <v>10</v>
      </c>
      <c r="M22" s="132">
        <f t="shared" si="10"/>
        <v>2026</v>
      </c>
      <c r="N22" s="132">
        <f t="shared" si="11"/>
        <v>12</v>
      </c>
      <c r="O22" s="2"/>
      <c r="P22" s="2"/>
      <c r="Q22" s="2">
        <v>2026</v>
      </c>
      <c r="R22" s="2">
        <v>17</v>
      </c>
      <c r="S22" s="5">
        <f t="shared" si="6"/>
        <v>46136</v>
      </c>
      <c r="T22" s="60">
        <f>SUMIFS($H:$H,$N:$N,$R22,$M:$M,$Q22)</f>
        <v>11000</v>
      </c>
      <c r="U22" s="61">
        <f t="shared" si="3"/>
        <v>11000</v>
      </c>
      <c r="V22" s="2"/>
      <c r="W22" s="2"/>
      <c r="X22" s="2"/>
      <c r="Y22" s="2"/>
      <c r="Z22" s="2"/>
      <c r="AA22" s="2"/>
      <c r="AB22" s="2"/>
      <c r="AC22" s="2"/>
      <c r="AD22" s="2"/>
    </row>
    <row r="23" spans="1:30" ht="15.75" customHeight="1" x14ac:dyDescent="0.35">
      <c r="A23" s="2"/>
      <c r="B23" s="141" t="s">
        <v>114</v>
      </c>
      <c r="C23" s="141" t="s">
        <v>77</v>
      </c>
      <c r="D23" s="141" t="s">
        <v>288</v>
      </c>
      <c r="E23" s="144" t="s">
        <v>95</v>
      </c>
      <c r="F23" s="143" t="s">
        <v>127</v>
      </c>
      <c r="G23" s="142">
        <v>11500</v>
      </c>
      <c r="H23" s="142">
        <v>11500</v>
      </c>
      <c r="I23" s="130">
        <v>30</v>
      </c>
      <c r="J23" s="132">
        <f t="shared" si="7"/>
        <v>2026</v>
      </c>
      <c r="K23" s="132">
        <f t="shared" si="8"/>
        <v>5</v>
      </c>
      <c r="L23" s="132">
        <f t="shared" si="9"/>
        <v>10</v>
      </c>
      <c r="M23" s="132">
        <f t="shared" si="10"/>
        <v>2026</v>
      </c>
      <c r="N23" s="132">
        <f t="shared" si="11"/>
        <v>12</v>
      </c>
      <c r="O23" s="2"/>
      <c r="P23" s="2"/>
      <c r="Q23" s="2">
        <v>2026</v>
      </c>
      <c r="R23" s="2">
        <v>18</v>
      </c>
      <c r="S23" s="5">
        <f t="shared" si="6"/>
        <v>46143</v>
      </c>
      <c r="T23" s="60">
        <f>SUMIFS($H:$H,$N:$N,$R23,$M:$M,$Q23)</f>
        <v>430690.5</v>
      </c>
      <c r="U23" s="61">
        <f t="shared" si="3"/>
        <v>430690.5</v>
      </c>
      <c r="V23" s="2"/>
      <c r="W23" s="2"/>
      <c r="X23" s="2"/>
      <c r="Y23" s="2"/>
      <c r="Z23" s="2"/>
      <c r="AA23" s="2"/>
      <c r="AB23" s="2"/>
      <c r="AC23" s="2"/>
      <c r="AD23" s="2"/>
    </row>
    <row r="24" spans="1:30" ht="15.75" customHeight="1" x14ac:dyDescent="0.35">
      <c r="A24" s="2"/>
      <c r="B24" s="141" t="s">
        <v>114</v>
      </c>
      <c r="C24" s="141" t="s">
        <v>77</v>
      </c>
      <c r="D24" s="141" t="s">
        <v>289</v>
      </c>
      <c r="E24" s="144" t="s">
        <v>84</v>
      </c>
      <c r="F24" s="143" t="s">
        <v>127</v>
      </c>
      <c r="G24" s="142">
        <v>2200</v>
      </c>
      <c r="H24" s="142">
        <v>2200</v>
      </c>
      <c r="I24" s="130">
        <v>30</v>
      </c>
      <c r="J24" s="132">
        <f t="shared" si="7"/>
        <v>2026</v>
      </c>
      <c r="K24" s="132">
        <f t="shared" si="8"/>
        <v>5</v>
      </c>
      <c r="L24" s="132">
        <f t="shared" si="9"/>
        <v>10</v>
      </c>
      <c r="M24" s="132">
        <f t="shared" si="10"/>
        <v>2026</v>
      </c>
      <c r="N24" s="132">
        <f t="shared" si="11"/>
        <v>12</v>
      </c>
      <c r="O24" s="2"/>
      <c r="P24" s="2"/>
      <c r="Q24" s="2">
        <v>2026</v>
      </c>
      <c r="R24" s="2">
        <v>19</v>
      </c>
      <c r="S24" s="5">
        <f t="shared" si="6"/>
        <v>46150</v>
      </c>
      <c r="T24" s="60">
        <f>SUMIFS($H:$H,$N:$N,$R24,$M:$M,$Q24)</f>
        <v>1398444.165</v>
      </c>
      <c r="U24" s="61">
        <f t="shared" si="3"/>
        <v>1398444.165</v>
      </c>
      <c r="V24" s="2"/>
      <c r="W24" s="2"/>
      <c r="X24" s="2"/>
      <c r="Y24" s="2"/>
      <c r="Z24" s="2"/>
      <c r="AA24" s="2"/>
      <c r="AB24" s="2"/>
      <c r="AC24" s="2"/>
      <c r="AD24" s="2"/>
    </row>
    <row r="25" spans="1:30" ht="15.75" customHeight="1" x14ac:dyDescent="0.35">
      <c r="A25" s="2"/>
      <c r="B25" s="141" t="s">
        <v>141</v>
      </c>
      <c r="C25" s="141" t="s">
        <v>77</v>
      </c>
      <c r="D25" s="141" t="s">
        <v>290</v>
      </c>
      <c r="E25" s="144" t="s">
        <v>142</v>
      </c>
      <c r="F25" s="143" t="s">
        <v>143</v>
      </c>
      <c r="G25" s="142">
        <v>48000</v>
      </c>
      <c r="H25" s="142">
        <v>48000</v>
      </c>
      <c r="I25" s="130">
        <v>30</v>
      </c>
      <c r="J25" s="132">
        <f t="shared" si="7"/>
        <v>2026</v>
      </c>
      <c r="K25" s="132">
        <f t="shared" si="8"/>
        <v>6</v>
      </c>
      <c r="L25" s="132">
        <f t="shared" si="9"/>
        <v>10</v>
      </c>
      <c r="M25" s="132">
        <f t="shared" si="10"/>
        <v>2026</v>
      </c>
      <c r="N25" s="132">
        <f t="shared" si="11"/>
        <v>12</v>
      </c>
      <c r="O25" s="2"/>
      <c r="P25" s="2"/>
      <c r="Q25" s="2">
        <v>2026</v>
      </c>
      <c r="R25" s="2">
        <v>20</v>
      </c>
      <c r="S25" s="5">
        <f t="shared" si="6"/>
        <v>46157</v>
      </c>
      <c r="T25" s="60">
        <f>SUMIFS($H:$H,$N:$N,$R25,$M:$M,$Q25)</f>
        <v>981511.67</v>
      </c>
      <c r="U25" s="61">
        <f t="shared" si="3"/>
        <v>981511.67</v>
      </c>
      <c r="V25" s="2"/>
      <c r="W25" s="2"/>
      <c r="X25" s="2"/>
      <c r="Y25" s="2"/>
      <c r="Z25" s="2"/>
      <c r="AA25" s="2"/>
      <c r="AB25" s="2"/>
      <c r="AC25" s="2"/>
      <c r="AD25" s="2"/>
    </row>
    <row r="26" spans="1:30" ht="15.75" customHeight="1" x14ac:dyDescent="0.35">
      <c r="A26" s="2"/>
      <c r="B26" s="141" t="s">
        <v>112</v>
      </c>
      <c r="C26" s="141" t="s">
        <v>77</v>
      </c>
      <c r="D26" s="141" t="s">
        <v>292</v>
      </c>
      <c r="E26" s="144" t="s">
        <v>145</v>
      </c>
      <c r="F26" s="143" t="s">
        <v>144</v>
      </c>
      <c r="G26" s="142">
        <v>172530</v>
      </c>
      <c r="H26" s="142">
        <v>172530</v>
      </c>
      <c r="I26" s="130">
        <v>45</v>
      </c>
      <c r="J26" s="132">
        <f t="shared" si="7"/>
        <v>2026</v>
      </c>
      <c r="K26" s="132">
        <f t="shared" si="8"/>
        <v>5</v>
      </c>
      <c r="L26" s="132">
        <f t="shared" si="9"/>
        <v>11</v>
      </c>
      <c r="M26" s="132">
        <f t="shared" si="10"/>
        <v>2026</v>
      </c>
      <c r="N26" s="132">
        <f t="shared" si="11"/>
        <v>13</v>
      </c>
      <c r="O26" s="2"/>
      <c r="P26" s="2"/>
      <c r="Q26" s="2">
        <v>2026</v>
      </c>
      <c r="R26" s="2">
        <v>21</v>
      </c>
      <c r="S26" s="5">
        <f t="shared" si="6"/>
        <v>46164</v>
      </c>
      <c r="T26" s="60">
        <f>SUMIFS($H:$H,$N:$N,$R26,$M:$M,$Q26)</f>
        <v>0</v>
      </c>
      <c r="U26" s="61">
        <f t="shared" si="3"/>
        <v>0</v>
      </c>
      <c r="V26" s="2"/>
      <c r="W26" s="2"/>
      <c r="X26" s="2"/>
      <c r="Y26" s="2"/>
      <c r="Z26" s="2"/>
      <c r="AA26" s="2"/>
      <c r="AB26" s="2"/>
      <c r="AC26" s="2"/>
      <c r="AD26" s="2"/>
    </row>
    <row r="27" spans="1:30" ht="15.75" customHeight="1" x14ac:dyDescent="0.35">
      <c r="A27" s="2"/>
      <c r="B27" s="141" t="s">
        <v>113</v>
      </c>
      <c r="C27" s="141" t="s">
        <v>77</v>
      </c>
      <c r="D27" s="141" t="s">
        <v>293</v>
      </c>
      <c r="E27" s="144" t="s">
        <v>125</v>
      </c>
      <c r="F27" s="143" t="s">
        <v>128</v>
      </c>
      <c r="G27" s="142">
        <v>81000</v>
      </c>
      <c r="H27" s="142">
        <v>81000</v>
      </c>
      <c r="I27" s="130">
        <v>90</v>
      </c>
      <c r="J27" s="132">
        <f t="shared" si="7"/>
        <v>2025</v>
      </c>
      <c r="K27" s="132">
        <f t="shared" si="8"/>
        <v>51</v>
      </c>
      <c r="L27" s="132">
        <f t="shared" si="9"/>
        <v>12</v>
      </c>
      <c r="M27" s="132">
        <f t="shared" si="10"/>
        <v>2026</v>
      </c>
      <c r="N27" s="132">
        <f t="shared" si="11"/>
        <v>14</v>
      </c>
      <c r="O27" s="2"/>
      <c r="P27" s="2"/>
      <c r="Q27" s="2">
        <v>2026</v>
      </c>
      <c r="R27" s="2">
        <v>22</v>
      </c>
      <c r="S27" s="5">
        <f t="shared" si="6"/>
        <v>46171</v>
      </c>
      <c r="T27" s="60">
        <f>SUMIFS($H:$H,$N:$N,$R27,$M:$M,$Q27)</f>
        <v>2522706.8061850001</v>
      </c>
      <c r="U27" s="61">
        <f t="shared" si="3"/>
        <v>2522706.8061850001</v>
      </c>
      <c r="V27" s="2"/>
      <c r="W27" s="2"/>
      <c r="X27" s="2"/>
      <c r="Y27" s="2"/>
      <c r="Z27" s="2"/>
      <c r="AA27" s="2"/>
      <c r="AB27" s="2"/>
      <c r="AC27" s="2"/>
      <c r="AD27" s="2"/>
    </row>
    <row r="28" spans="1:30" ht="15.75" customHeight="1" x14ac:dyDescent="0.35">
      <c r="A28" s="2"/>
      <c r="B28" s="141" t="s">
        <v>114</v>
      </c>
      <c r="C28" s="141" t="s">
        <v>77</v>
      </c>
      <c r="D28" s="141" t="s">
        <v>294</v>
      </c>
      <c r="E28" s="144" t="s">
        <v>86</v>
      </c>
      <c r="F28" s="143" t="s">
        <v>128</v>
      </c>
      <c r="G28" s="142">
        <v>15840</v>
      </c>
      <c r="H28" s="142">
        <v>15840</v>
      </c>
      <c r="I28" s="130">
        <v>45</v>
      </c>
      <c r="J28" s="132">
        <f t="shared" si="7"/>
        <v>2026</v>
      </c>
      <c r="K28" s="132">
        <f t="shared" si="8"/>
        <v>5</v>
      </c>
      <c r="L28" s="132">
        <f t="shared" si="9"/>
        <v>12</v>
      </c>
      <c r="M28" s="132">
        <f t="shared" si="10"/>
        <v>2026</v>
      </c>
      <c r="N28" s="132">
        <f t="shared" si="11"/>
        <v>14</v>
      </c>
      <c r="O28" s="2"/>
      <c r="P28" s="2"/>
      <c r="Q28" s="2">
        <v>2026</v>
      </c>
      <c r="R28" s="2">
        <v>23</v>
      </c>
      <c r="S28" s="5">
        <f t="shared" si="6"/>
        <v>46178</v>
      </c>
      <c r="T28" s="60">
        <f>SUMIFS($H:$H,$N:$N,$R28,$M:$M,$Q28)</f>
        <v>177216.75</v>
      </c>
      <c r="U28" s="61">
        <f t="shared" si="3"/>
        <v>177216.75</v>
      </c>
      <c r="V28" s="2"/>
      <c r="W28" s="2"/>
      <c r="X28" s="2"/>
      <c r="Y28" s="2"/>
      <c r="Z28" s="2"/>
      <c r="AA28" s="2"/>
      <c r="AB28" s="2"/>
      <c r="AC28" s="2"/>
      <c r="AD28" s="2"/>
    </row>
    <row r="29" spans="1:30" ht="15.75" customHeight="1" x14ac:dyDescent="0.35">
      <c r="A29" s="2"/>
      <c r="B29" s="141" t="s">
        <v>147</v>
      </c>
      <c r="C29" s="141" t="s">
        <v>77</v>
      </c>
      <c r="D29" s="141" t="s">
        <v>295</v>
      </c>
      <c r="E29" s="144" t="s">
        <v>87</v>
      </c>
      <c r="F29" s="143" t="s">
        <v>148</v>
      </c>
      <c r="G29" s="142">
        <v>22360</v>
      </c>
      <c r="H29" s="142">
        <v>22360</v>
      </c>
      <c r="I29" s="130">
        <v>30</v>
      </c>
      <c r="J29" s="132">
        <f t="shared" si="7"/>
        <v>2026</v>
      </c>
      <c r="K29" s="132">
        <f t="shared" si="8"/>
        <v>8</v>
      </c>
      <c r="L29" s="132">
        <f t="shared" si="9"/>
        <v>12</v>
      </c>
      <c r="M29" s="132">
        <f t="shared" si="10"/>
        <v>2026</v>
      </c>
      <c r="N29" s="132">
        <f t="shared" si="11"/>
        <v>14</v>
      </c>
      <c r="O29" s="2"/>
      <c r="P29" s="2"/>
      <c r="Q29" s="2">
        <v>2026</v>
      </c>
      <c r="R29" s="2">
        <v>24</v>
      </c>
      <c r="S29" s="5">
        <f t="shared" si="6"/>
        <v>46185</v>
      </c>
      <c r="T29" s="60">
        <f>SUMIFS($H:$H,$N:$N,$R29,$M:$M,$Q29)</f>
        <v>2735404.4499999997</v>
      </c>
      <c r="U29" s="61">
        <f t="shared" si="3"/>
        <v>2735404.4499999997</v>
      </c>
      <c r="V29" s="2"/>
      <c r="W29" s="2"/>
      <c r="X29" s="2"/>
      <c r="Y29" s="2"/>
      <c r="Z29" s="2"/>
      <c r="AA29" s="2"/>
      <c r="AB29" s="2"/>
      <c r="AC29" s="2"/>
      <c r="AD29" s="2"/>
    </row>
    <row r="30" spans="1:30" ht="15.75" customHeight="1" x14ac:dyDescent="0.35">
      <c r="A30" s="2"/>
      <c r="B30" s="141" t="s">
        <v>149</v>
      </c>
      <c r="C30" s="141" t="s">
        <v>77</v>
      </c>
      <c r="D30" s="141" t="s">
        <v>296</v>
      </c>
      <c r="E30" s="144" t="s">
        <v>105</v>
      </c>
      <c r="F30" s="143" t="s">
        <v>150</v>
      </c>
      <c r="G30" s="142">
        <v>89035.199999999997</v>
      </c>
      <c r="H30" s="142">
        <v>89035.199999999997</v>
      </c>
      <c r="I30" s="130">
        <v>30</v>
      </c>
      <c r="J30" s="132">
        <f t="shared" si="7"/>
        <v>2026</v>
      </c>
      <c r="K30" s="132">
        <f t="shared" si="8"/>
        <v>8</v>
      </c>
      <c r="L30" s="132">
        <f t="shared" si="9"/>
        <v>12</v>
      </c>
      <c r="M30" s="132">
        <f t="shared" si="10"/>
        <v>2026</v>
      </c>
      <c r="N30" s="132">
        <f t="shared" si="11"/>
        <v>14</v>
      </c>
      <c r="O30" s="2"/>
      <c r="P30" s="2"/>
      <c r="Q30" s="2">
        <v>2026</v>
      </c>
      <c r="R30" s="2">
        <v>25</v>
      </c>
      <c r="S30" s="5">
        <f t="shared" si="6"/>
        <v>46192</v>
      </c>
      <c r="T30" s="60">
        <f>SUMIFS($H:$H,$N:$N,$R30,$M:$M,$Q30)</f>
        <v>49761.599999999999</v>
      </c>
      <c r="U30" s="61">
        <f t="shared" si="3"/>
        <v>49761.599999999999</v>
      </c>
      <c r="V30" s="2"/>
      <c r="W30" s="2"/>
      <c r="X30" s="2"/>
      <c r="Y30" s="2"/>
      <c r="Z30" s="2"/>
      <c r="AA30" s="2"/>
      <c r="AB30" s="2"/>
      <c r="AC30" s="2"/>
      <c r="AD30" s="2"/>
    </row>
    <row r="31" spans="1:30" ht="15.75" customHeight="1" x14ac:dyDescent="0.35">
      <c r="A31" s="2"/>
      <c r="B31" s="141" t="s">
        <v>149</v>
      </c>
      <c r="C31" s="141" t="s">
        <v>77</v>
      </c>
      <c r="D31" s="141" t="s">
        <v>297</v>
      </c>
      <c r="E31" s="144" t="s">
        <v>105</v>
      </c>
      <c r="F31" s="143" t="s">
        <v>150</v>
      </c>
      <c r="G31" s="142">
        <v>89035.199999999997</v>
      </c>
      <c r="H31" s="142">
        <v>89035.199999999997</v>
      </c>
      <c r="I31" s="130">
        <v>30</v>
      </c>
      <c r="J31" s="132">
        <f t="shared" si="7"/>
        <v>2026</v>
      </c>
      <c r="K31" s="132">
        <f t="shared" si="8"/>
        <v>8</v>
      </c>
      <c r="L31" s="132">
        <f t="shared" si="9"/>
        <v>12</v>
      </c>
      <c r="M31" s="132">
        <f t="shared" si="10"/>
        <v>2026</v>
      </c>
      <c r="N31" s="132">
        <f t="shared" si="11"/>
        <v>14</v>
      </c>
      <c r="O31" s="2"/>
      <c r="P31" s="2"/>
      <c r="Q31" s="2">
        <v>2026</v>
      </c>
      <c r="R31" s="2">
        <v>26</v>
      </c>
      <c r="S31" s="5">
        <f t="shared" si="6"/>
        <v>46199</v>
      </c>
      <c r="T31" s="60">
        <f>SUMIFS($H:$H,$N:$N,$R31,$M:$M,$Q31)</f>
        <v>0</v>
      </c>
      <c r="U31" s="61">
        <f t="shared" si="3"/>
        <v>0</v>
      </c>
      <c r="V31" s="2"/>
      <c r="W31" s="2"/>
      <c r="X31" s="2"/>
      <c r="Y31" s="2"/>
      <c r="Z31" s="2"/>
      <c r="AA31" s="2"/>
      <c r="AB31" s="2"/>
      <c r="AC31" s="2"/>
      <c r="AD31" s="2"/>
    </row>
    <row r="32" spans="1:30" ht="15.75" customHeight="1" x14ac:dyDescent="0.35">
      <c r="A32" s="2"/>
      <c r="B32" s="141" t="s">
        <v>153</v>
      </c>
      <c r="C32" s="141" t="s">
        <v>77</v>
      </c>
      <c r="D32" s="141" t="s">
        <v>298</v>
      </c>
      <c r="E32" s="144" t="s">
        <v>154</v>
      </c>
      <c r="F32" s="143" t="s">
        <v>155</v>
      </c>
      <c r="G32" s="142">
        <v>71456</v>
      </c>
      <c r="H32" s="142">
        <v>71456</v>
      </c>
      <c r="I32" s="130">
        <v>30</v>
      </c>
      <c r="J32" s="132">
        <f t="shared" si="7"/>
        <v>2026</v>
      </c>
      <c r="K32" s="132">
        <f t="shared" si="8"/>
        <v>8</v>
      </c>
      <c r="L32" s="132">
        <f t="shared" si="9"/>
        <v>12</v>
      </c>
      <c r="M32" s="132">
        <f t="shared" si="10"/>
        <v>2026</v>
      </c>
      <c r="N32" s="132">
        <f t="shared" si="11"/>
        <v>14</v>
      </c>
      <c r="O32" s="2"/>
      <c r="P32" s="2"/>
      <c r="Q32" s="2">
        <v>2026</v>
      </c>
      <c r="R32" s="2">
        <v>27</v>
      </c>
      <c r="S32" s="5">
        <f t="shared" si="6"/>
        <v>46206</v>
      </c>
      <c r="T32" s="60">
        <f>SUMIFS($H:$H,$N:$N,$R32,$M:$M,$Q32)</f>
        <v>1914366.75</v>
      </c>
      <c r="U32" s="61">
        <f t="shared" si="3"/>
        <v>1914366.75</v>
      </c>
      <c r="V32" s="2"/>
      <c r="W32" s="2"/>
      <c r="X32" s="2"/>
      <c r="Y32" s="2"/>
      <c r="Z32" s="2"/>
      <c r="AA32" s="2"/>
      <c r="AB32" s="2"/>
      <c r="AC32" s="2"/>
      <c r="AD32" s="2"/>
    </row>
    <row r="33" spans="1:30" ht="15.75" customHeight="1" x14ac:dyDescent="0.35">
      <c r="A33" s="2"/>
      <c r="B33" s="160" t="s">
        <v>157</v>
      </c>
      <c r="C33" s="160" t="s">
        <v>77</v>
      </c>
      <c r="D33" s="160" t="s">
        <v>299</v>
      </c>
      <c r="E33" s="160" t="s">
        <v>81</v>
      </c>
      <c r="F33" s="160" t="s">
        <v>156</v>
      </c>
      <c r="G33" s="161">
        <v>4166.66</v>
      </c>
      <c r="H33" s="161">
        <v>4166.66</v>
      </c>
      <c r="I33" s="160">
        <v>30</v>
      </c>
      <c r="J33" s="132">
        <f t="shared" si="7"/>
        <v>2026</v>
      </c>
      <c r="K33" s="132">
        <f t="shared" si="8"/>
        <v>9</v>
      </c>
      <c r="L33" s="132">
        <f t="shared" si="9"/>
        <v>13</v>
      </c>
      <c r="M33" s="132">
        <f t="shared" si="10"/>
        <v>2026</v>
      </c>
      <c r="N33" s="132">
        <f t="shared" si="11"/>
        <v>15</v>
      </c>
      <c r="O33" s="2"/>
      <c r="P33" s="2"/>
      <c r="Q33" s="2">
        <v>2026</v>
      </c>
      <c r="R33" s="2">
        <v>28</v>
      </c>
      <c r="S33" s="5">
        <f t="shared" si="6"/>
        <v>46213</v>
      </c>
      <c r="T33" s="60">
        <f>SUMIFS($H:$H,$N:$N,$R33,$M:$M,$Q33)</f>
        <v>307517</v>
      </c>
      <c r="U33" s="61">
        <f t="shared" si="3"/>
        <v>307517</v>
      </c>
      <c r="V33" s="2"/>
      <c r="W33" s="2"/>
      <c r="X33" s="2"/>
      <c r="Y33" s="2"/>
      <c r="Z33" s="2"/>
      <c r="AA33" s="2"/>
      <c r="AB33" s="2"/>
      <c r="AC33" s="2"/>
      <c r="AD33" s="2"/>
    </row>
    <row r="34" spans="1:30" ht="15.75" customHeight="1" x14ac:dyDescent="0.35">
      <c r="A34" s="2"/>
      <c r="B34" s="160" t="s">
        <v>136</v>
      </c>
      <c r="C34" s="160" t="s">
        <v>77</v>
      </c>
      <c r="D34" s="160" t="s">
        <v>300</v>
      </c>
      <c r="E34" s="160" t="s">
        <v>101</v>
      </c>
      <c r="F34" s="160" t="s">
        <v>159</v>
      </c>
      <c r="G34" s="161">
        <v>36960</v>
      </c>
      <c r="H34" s="161">
        <v>36960</v>
      </c>
      <c r="I34" s="160">
        <v>30</v>
      </c>
      <c r="J34" s="132">
        <f t="shared" si="7"/>
        <v>2026</v>
      </c>
      <c r="K34" s="132">
        <f t="shared" si="8"/>
        <v>9</v>
      </c>
      <c r="L34" s="132">
        <f t="shared" si="9"/>
        <v>13</v>
      </c>
      <c r="M34" s="132">
        <f t="shared" si="10"/>
        <v>2026</v>
      </c>
      <c r="N34" s="132">
        <f t="shared" si="11"/>
        <v>15</v>
      </c>
      <c r="O34" s="2"/>
      <c r="P34" s="2"/>
      <c r="Q34" s="2">
        <v>2026</v>
      </c>
      <c r="R34" s="2">
        <v>29</v>
      </c>
      <c r="S34" s="5">
        <f t="shared" si="6"/>
        <v>46220</v>
      </c>
      <c r="T34" s="60">
        <f>SUMIFS($H:$H,$N:$N,$R34,$M:$M,$Q34)</f>
        <v>2467646.62</v>
      </c>
      <c r="U34" s="61">
        <f t="shared" si="3"/>
        <v>2467646.62</v>
      </c>
      <c r="V34" s="2"/>
      <c r="W34" s="2"/>
      <c r="X34" s="2"/>
      <c r="Y34" s="2"/>
      <c r="Z34" s="2"/>
      <c r="AA34" s="2"/>
      <c r="AB34" s="2"/>
      <c r="AC34" s="2"/>
      <c r="AD34" s="2"/>
    </row>
    <row r="35" spans="1:30" ht="15.75" customHeight="1" x14ac:dyDescent="0.35">
      <c r="A35" s="2"/>
      <c r="B35" s="160" t="s">
        <v>137</v>
      </c>
      <c r="C35" s="160" t="s">
        <v>77</v>
      </c>
      <c r="D35" s="160" t="s">
        <v>301</v>
      </c>
      <c r="E35" s="160" t="s">
        <v>162</v>
      </c>
      <c r="F35" s="160" t="s">
        <v>160</v>
      </c>
      <c r="G35" s="161">
        <v>48750</v>
      </c>
      <c r="H35" s="161">
        <v>48750</v>
      </c>
      <c r="I35" s="160">
        <v>30</v>
      </c>
      <c r="J35" s="132">
        <f t="shared" si="7"/>
        <v>2026</v>
      </c>
      <c r="K35" s="132">
        <f t="shared" si="8"/>
        <v>9</v>
      </c>
      <c r="L35" s="132">
        <f t="shared" si="9"/>
        <v>14</v>
      </c>
      <c r="M35" s="132">
        <f t="shared" si="10"/>
        <v>2026</v>
      </c>
      <c r="N35" s="132">
        <f t="shared" si="11"/>
        <v>16</v>
      </c>
      <c r="O35" s="2"/>
      <c r="P35" s="2"/>
      <c r="Q35" s="2">
        <v>2026</v>
      </c>
      <c r="R35" s="2">
        <v>30</v>
      </c>
      <c r="S35" s="5">
        <f t="shared" si="6"/>
        <v>46227</v>
      </c>
      <c r="T35" s="60">
        <f>SUMIFS($H:$H,$N:$N,$R35,$M:$M,$Q35)</f>
        <v>0</v>
      </c>
      <c r="U35" s="61">
        <f t="shared" si="3"/>
        <v>0</v>
      </c>
      <c r="V35" s="2"/>
      <c r="W35" s="2"/>
      <c r="X35" s="2"/>
      <c r="Y35" s="2"/>
      <c r="Z35" s="2"/>
      <c r="AA35" s="2"/>
      <c r="AB35" s="2"/>
      <c r="AC35" s="2"/>
      <c r="AD35" s="2"/>
    </row>
    <row r="36" spans="1:30" ht="15.75" customHeight="1" x14ac:dyDescent="0.35">
      <c r="A36" s="2"/>
      <c r="B36" s="160" t="s">
        <v>137</v>
      </c>
      <c r="C36" s="160" t="s">
        <v>77</v>
      </c>
      <c r="D36" s="160" t="s">
        <v>303</v>
      </c>
      <c r="E36" s="160" t="s">
        <v>81</v>
      </c>
      <c r="F36" s="160" t="s">
        <v>160</v>
      </c>
      <c r="G36" s="161">
        <v>9360</v>
      </c>
      <c r="H36" s="161">
        <v>9360</v>
      </c>
      <c r="I36" s="160">
        <v>30</v>
      </c>
      <c r="J36" s="132">
        <f t="shared" si="7"/>
        <v>2026</v>
      </c>
      <c r="K36" s="132">
        <f t="shared" si="8"/>
        <v>9</v>
      </c>
      <c r="L36" s="132">
        <f t="shared" si="9"/>
        <v>14</v>
      </c>
      <c r="M36" s="132">
        <f t="shared" si="10"/>
        <v>2026</v>
      </c>
      <c r="N36" s="132">
        <f t="shared" si="11"/>
        <v>16</v>
      </c>
      <c r="O36" s="2"/>
      <c r="P36" s="2"/>
      <c r="Q36" s="2">
        <v>2026</v>
      </c>
      <c r="R36" s="2">
        <v>31</v>
      </c>
      <c r="S36" s="5">
        <f t="shared" si="6"/>
        <v>46234</v>
      </c>
      <c r="T36" s="60">
        <f>SUMIFS($H:$H,$N:$N,$R36,$M:$M,$Q36)</f>
        <v>1802824.75</v>
      </c>
      <c r="U36" s="61">
        <f t="shared" si="3"/>
        <v>1802824.75</v>
      </c>
      <c r="V36" s="2"/>
      <c r="W36" s="2"/>
      <c r="X36" s="2"/>
      <c r="Y36" s="2"/>
      <c r="Z36" s="2"/>
      <c r="AA36" s="2"/>
      <c r="AB36" s="2"/>
      <c r="AC36" s="2"/>
      <c r="AD36" s="2"/>
    </row>
    <row r="37" spans="1:30" ht="15.75" customHeight="1" x14ac:dyDescent="0.35">
      <c r="A37" s="2"/>
      <c r="B37" s="160" t="s">
        <v>137</v>
      </c>
      <c r="C37" s="160" t="s">
        <v>77</v>
      </c>
      <c r="D37" s="160" t="s">
        <v>304</v>
      </c>
      <c r="E37" s="160" t="s">
        <v>95</v>
      </c>
      <c r="F37" s="160" t="s">
        <v>160</v>
      </c>
      <c r="G37" s="161">
        <v>2500</v>
      </c>
      <c r="H37" s="161">
        <v>2500</v>
      </c>
      <c r="I37" s="160">
        <v>30</v>
      </c>
      <c r="J37" s="132">
        <f t="shared" si="7"/>
        <v>2026</v>
      </c>
      <c r="K37" s="132">
        <f t="shared" si="8"/>
        <v>9</v>
      </c>
      <c r="L37" s="132">
        <f t="shared" si="9"/>
        <v>14</v>
      </c>
      <c r="M37" s="132">
        <f t="shared" si="10"/>
        <v>2026</v>
      </c>
      <c r="N37" s="132">
        <f t="shared" si="11"/>
        <v>16</v>
      </c>
      <c r="O37" s="2"/>
      <c r="P37" s="2"/>
      <c r="Q37" s="2">
        <v>2026</v>
      </c>
      <c r="R37" s="2">
        <v>32</v>
      </c>
      <c r="S37" s="5">
        <f t="shared" si="6"/>
        <v>46241</v>
      </c>
      <c r="T37" s="60">
        <f>SUMIFS($H:$H,$N:$N,$R37,$M:$M,$Q37)</f>
        <v>282700.5</v>
      </c>
      <c r="U37" s="61">
        <f t="shared" si="3"/>
        <v>282700.5</v>
      </c>
      <c r="V37" s="2"/>
      <c r="W37" s="2"/>
      <c r="X37" s="2"/>
      <c r="Y37" s="2"/>
      <c r="Z37" s="2"/>
      <c r="AA37" s="2"/>
      <c r="AB37" s="2"/>
      <c r="AC37" s="2"/>
      <c r="AD37" s="2"/>
    </row>
    <row r="38" spans="1:30" ht="15.75" customHeight="1" x14ac:dyDescent="0.35">
      <c r="A38" s="2"/>
      <c r="B38" s="160" t="s">
        <v>97</v>
      </c>
      <c r="C38" s="160" t="s">
        <v>77</v>
      </c>
      <c r="D38" s="160" t="s">
        <v>305</v>
      </c>
      <c r="E38" s="160" t="s">
        <v>135</v>
      </c>
      <c r="F38" s="160" t="s">
        <v>129</v>
      </c>
      <c r="G38" s="161">
        <v>19931.8</v>
      </c>
      <c r="H38" s="161">
        <v>19931.8</v>
      </c>
      <c r="I38" s="160">
        <v>90</v>
      </c>
      <c r="J38" s="132">
        <f t="shared" si="7"/>
        <v>2025</v>
      </c>
      <c r="K38" s="132">
        <f t="shared" si="8"/>
        <v>53</v>
      </c>
      <c r="L38" s="132">
        <f t="shared" si="9"/>
        <v>14</v>
      </c>
      <c r="M38" s="132">
        <f t="shared" si="10"/>
        <v>2026</v>
      </c>
      <c r="N38" s="132">
        <f t="shared" si="11"/>
        <v>16</v>
      </c>
      <c r="O38" s="2"/>
      <c r="P38" s="2"/>
      <c r="Q38" s="2">
        <v>2026</v>
      </c>
      <c r="R38" s="2">
        <v>33</v>
      </c>
      <c r="S38" s="5">
        <f t="shared" si="6"/>
        <v>46248</v>
      </c>
      <c r="T38" s="60">
        <f>SUMIFS($H:$H,$N:$N,$R38,$M:$M,$Q38)</f>
        <v>2554433.4</v>
      </c>
      <c r="U38" s="61">
        <f t="shared" ref="U38:U69" si="12">SUM(T38:T38)</f>
        <v>2554433.4</v>
      </c>
      <c r="V38" s="2"/>
      <c r="W38" s="2"/>
      <c r="X38" s="2"/>
      <c r="Y38" s="2"/>
      <c r="Z38" s="2"/>
      <c r="AA38" s="2"/>
      <c r="AB38" s="2"/>
      <c r="AC38" s="2"/>
      <c r="AD38" s="2"/>
    </row>
    <row r="39" spans="1:30" ht="15.75" customHeight="1" x14ac:dyDescent="0.35">
      <c r="A39" s="2"/>
      <c r="B39" s="160" t="s">
        <v>117</v>
      </c>
      <c r="C39" s="160" t="s">
        <v>77</v>
      </c>
      <c r="D39" s="160" t="s">
        <v>306</v>
      </c>
      <c r="E39" s="160" t="s">
        <v>131</v>
      </c>
      <c r="F39" s="160" t="s">
        <v>132</v>
      </c>
      <c r="G39" s="161">
        <v>57600</v>
      </c>
      <c r="H39" s="161">
        <v>57600</v>
      </c>
      <c r="I39" s="160">
        <v>90</v>
      </c>
      <c r="J39" s="132">
        <f t="shared" si="7"/>
        <v>2026</v>
      </c>
      <c r="K39" s="132">
        <f t="shared" si="8"/>
        <v>1</v>
      </c>
      <c r="L39" s="132">
        <f t="shared" si="9"/>
        <v>14</v>
      </c>
      <c r="M39" s="132">
        <f t="shared" si="10"/>
        <v>2026</v>
      </c>
      <c r="N39" s="132">
        <f t="shared" si="11"/>
        <v>16</v>
      </c>
      <c r="O39" s="2"/>
      <c r="P39" s="2"/>
      <c r="Q39" s="2">
        <v>2026</v>
      </c>
      <c r="R39" s="2">
        <v>34</v>
      </c>
      <c r="S39" s="5">
        <f t="shared" ref="S39:S70" si="13">S38+7</f>
        <v>46255</v>
      </c>
      <c r="T39" s="60">
        <f>SUMIFS($H:$H,$N:$N,$R39,$M:$M,$Q39)</f>
        <v>0</v>
      </c>
      <c r="U39" s="61">
        <f t="shared" si="12"/>
        <v>0</v>
      </c>
      <c r="V39" s="2"/>
      <c r="W39" s="2"/>
      <c r="X39" s="2"/>
      <c r="Y39" s="2"/>
      <c r="Z39" s="2"/>
      <c r="AA39" s="2"/>
      <c r="AB39" s="2"/>
      <c r="AC39" s="2"/>
      <c r="AD39" s="2"/>
    </row>
    <row r="40" spans="1:30" ht="15.75" customHeight="1" x14ac:dyDescent="0.35">
      <c r="A40" s="2"/>
      <c r="B40" s="160" t="s">
        <v>147</v>
      </c>
      <c r="C40" s="160" t="s">
        <v>77</v>
      </c>
      <c r="D40" s="160" t="s">
        <v>307</v>
      </c>
      <c r="E40" s="160" t="s">
        <v>164</v>
      </c>
      <c r="F40" s="160" t="s">
        <v>165</v>
      </c>
      <c r="G40" s="161">
        <v>20020</v>
      </c>
      <c r="H40" s="161">
        <v>20020</v>
      </c>
      <c r="I40" s="160">
        <v>45</v>
      </c>
      <c r="J40" s="132">
        <f t="shared" si="7"/>
        <v>2026</v>
      </c>
      <c r="K40" s="132">
        <f t="shared" si="8"/>
        <v>8</v>
      </c>
      <c r="L40" s="132">
        <f t="shared" si="9"/>
        <v>14</v>
      </c>
      <c r="M40" s="132">
        <f t="shared" si="10"/>
        <v>2026</v>
      </c>
      <c r="N40" s="132">
        <f t="shared" si="11"/>
        <v>16</v>
      </c>
      <c r="O40" s="2"/>
      <c r="P40" s="2"/>
      <c r="Q40" s="2">
        <v>2026</v>
      </c>
      <c r="R40" s="2">
        <v>35</v>
      </c>
      <c r="S40" s="5">
        <f t="shared" si="13"/>
        <v>46262</v>
      </c>
      <c r="T40" s="60">
        <f>SUMIFS($H:$H,$N:$N,$R40,$M:$M,$Q40)</f>
        <v>2379456.6799999997</v>
      </c>
      <c r="U40" s="61">
        <f t="shared" si="12"/>
        <v>2379456.6799999997</v>
      </c>
      <c r="V40" s="2"/>
      <c r="W40" s="2"/>
      <c r="X40" s="2"/>
      <c r="Y40" s="2"/>
      <c r="Z40" s="2"/>
      <c r="AA40" s="2"/>
      <c r="AB40" s="2"/>
      <c r="AC40" s="2"/>
      <c r="AD40" s="2"/>
    </row>
    <row r="41" spans="1:30" ht="15.75" customHeight="1" x14ac:dyDescent="0.35">
      <c r="A41" s="2"/>
      <c r="B41" s="160" t="s">
        <v>149</v>
      </c>
      <c r="C41" s="160" t="s">
        <v>77</v>
      </c>
      <c r="D41" s="160" t="s">
        <v>308</v>
      </c>
      <c r="E41" s="160" t="s">
        <v>110</v>
      </c>
      <c r="F41" s="160" t="s">
        <v>166</v>
      </c>
      <c r="G41" s="161">
        <v>24910</v>
      </c>
      <c r="H41" s="161">
        <v>24910</v>
      </c>
      <c r="I41" s="160">
        <v>45</v>
      </c>
      <c r="J41" s="132">
        <f t="shared" si="7"/>
        <v>2026</v>
      </c>
      <c r="K41" s="132">
        <f t="shared" si="8"/>
        <v>8</v>
      </c>
      <c r="L41" s="132">
        <f t="shared" si="9"/>
        <v>14</v>
      </c>
      <c r="M41" s="132">
        <f t="shared" si="10"/>
        <v>2026</v>
      </c>
      <c r="N41" s="132">
        <f t="shared" si="11"/>
        <v>16</v>
      </c>
      <c r="O41" s="2"/>
      <c r="P41" s="2"/>
      <c r="Q41" s="2">
        <v>2026</v>
      </c>
      <c r="R41" s="2">
        <v>36</v>
      </c>
      <c r="S41" s="5">
        <f t="shared" si="13"/>
        <v>46269</v>
      </c>
      <c r="T41" s="60">
        <f>SUMIFS($H:$H,$N:$N,$R41,$M:$M,$Q41)</f>
        <v>0</v>
      </c>
      <c r="U41" s="61">
        <f t="shared" si="12"/>
        <v>0</v>
      </c>
      <c r="V41" s="2"/>
      <c r="W41" s="2"/>
      <c r="X41" s="2"/>
      <c r="Y41" s="2"/>
      <c r="Z41" s="2"/>
      <c r="AA41" s="2"/>
      <c r="AB41" s="2"/>
      <c r="AC41" s="2"/>
      <c r="AD41" s="2"/>
    </row>
    <row r="42" spans="1:30" ht="15.75" customHeight="1" x14ac:dyDescent="0.35">
      <c r="A42" s="2"/>
      <c r="B42" s="160" t="s">
        <v>141</v>
      </c>
      <c r="C42" s="160" t="s">
        <v>77</v>
      </c>
      <c r="D42" s="160" t="s">
        <v>311</v>
      </c>
      <c r="E42" s="160" t="s">
        <v>167</v>
      </c>
      <c r="F42" s="160" t="s">
        <v>168</v>
      </c>
      <c r="G42" s="161">
        <v>7000</v>
      </c>
      <c r="H42" s="161">
        <v>7000</v>
      </c>
      <c r="I42" s="160">
        <v>60</v>
      </c>
      <c r="J42" s="132">
        <f t="shared" si="7"/>
        <v>2026</v>
      </c>
      <c r="K42" s="132">
        <f t="shared" si="8"/>
        <v>6</v>
      </c>
      <c r="L42" s="132">
        <f t="shared" si="9"/>
        <v>14</v>
      </c>
      <c r="M42" s="132">
        <f t="shared" si="10"/>
        <v>2026</v>
      </c>
      <c r="N42" s="132">
        <f t="shared" si="11"/>
        <v>16</v>
      </c>
      <c r="O42" s="2"/>
      <c r="P42" s="2"/>
      <c r="Q42" s="2">
        <v>2026</v>
      </c>
      <c r="R42" s="2">
        <v>37</v>
      </c>
      <c r="S42" s="5">
        <f t="shared" si="13"/>
        <v>46276</v>
      </c>
      <c r="T42" s="60">
        <f>SUMIFS($H:$H,$N:$N,$R42,$M:$M,$Q42)</f>
        <v>539549.77</v>
      </c>
      <c r="U42" s="61">
        <f t="shared" si="12"/>
        <v>539549.77</v>
      </c>
      <c r="V42" s="2"/>
      <c r="W42" s="2"/>
      <c r="X42" s="2"/>
      <c r="Y42" s="2"/>
      <c r="Z42" s="2"/>
      <c r="AA42" s="2"/>
      <c r="AB42" s="2"/>
      <c r="AC42" s="2"/>
      <c r="AD42" s="2"/>
    </row>
    <row r="43" spans="1:30" ht="15.75" customHeight="1" x14ac:dyDescent="0.35">
      <c r="A43" s="2"/>
      <c r="B43" s="160" t="s">
        <v>169</v>
      </c>
      <c r="C43" s="160" t="s">
        <v>77</v>
      </c>
      <c r="D43" s="160" t="s">
        <v>312</v>
      </c>
      <c r="E43" s="160" t="s">
        <v>121</v>
      </c>
      <c r="F43" s="160" t="s">
        <v>168</v>
      </c>
      <c r="G43" s="161">
        <v>95635</v>
      </c>
      <c r="H43" s="161">
        <v>95635</v>
      </c>
      <c r="I43" s="160">
        <v>45</v>
      </c>
      <c r="J43" s="132">
        <f t="shared" si="7"/>
        <v>2026</v>
      </c>
      <c r="K43" s="132">
        <f t="shared" si="8"/>
        <v>8</v>
      </c>
      <c r="L43" s="132">
        <f t="shared" si="9"/>
        <v>14</v>
      </c>
      <c r="M43" s="132">
        <f t="shared" si="10"/>
        <v>2026</v>
      </c>
      <c r="N43" s="132">
        <f t="shared" si="11"/>
        <v>16</v>
      </c>
      <c r="O43" s="2"/>
      <c r="P43" s="2"/>
      <c r="Q43" s="2">
        <v>2026</v>
      </c>
      <c r="R43" s="2">
        <v>38</v>
      </c>
      <c r="S43" s="5">
        <f t="shared" si="13"/>
        <v>46283</v>
      </c>
      <c r="T43" s="60">
        <f>SUMIFS($H:$H,$N:$N,$R43,$M:$M,$Q43)</f>
        <v>603337.6</v>
      </c>
      <c r="U43" s="61">
        <f t="shared" si="12"/>
        <v>603337.6</v>
      </c>
      <c r="V43" s="2"/>
      <c r="W43" s="2"/>
      <c r="X43" s="2"/>
      <c r="Y43" s="2"/>
      <c r="Z43" s="2"/>
      <c r="AA43" s="2"/>
      <c r="AB43" s="2"/>
      <c r="AC43" s="2"/>
      <c r="AD43" s="2"/>
    </row>
    <row r="44" spans="1:30" ht="15.75" customHeight="1" x14ac:dyDescent="0.35">
      <c r="A44" s="2"/>
      <c r="B44" s="160" t="s">
        <v>313</v>
      </c>
      <c r="C44" s="160" t="s">
        <v>77</v>
      </c>
      <c r="D44" s="160" t="s">
        <v>314</v>
      </c>
      <c r="E44" s="160" t="s">
        <v>95</v>
      </c>
      <c r="F44" s="160" t="s">
        <v>171</v>
      </c>
      <c r="G44" s="161">
        <v>11000</v>
      </c>
      <c r="H44" s="161">
        <v>11000</v>
      </c>
      <c r="I44" s="160">
        <v>30</v>
      </c>
      <c r="J44" s="132">
        <f t="shared" si="7"/>
        <v>2026</v>
      </c>
      <c r="K44" s="132">
        <f t="shared" si="8"/>
        <v>11</v>
      </c>
      <c r="L44" s="132">
        <f t="shared" si="9"/>
        <v>15</v>
      </c>
      <c r="M44" s="132">
        <f t="shared" si="10"/>
        <v>2026</v>
      </c>
      <c r="N44" s="132">
        <f t="shared" si="11"/>
        <v>17</v>
      </c>
      <c r="O44" s="2"/>
      <c r="P44" s="2"/>
      <c r="Q44" s="2">
        <v>2026</v>
      </c>
      <c r="R44" s="2">
        <v>39</v>
      </c>
      <c r="S44" s="5">
        <f t="shared" si="13"/>
        <v>46290</v>
      </c>
      <c r="T44" s="60">
        <f>SUMIFS($H:$H,$N:$N,$R44,$M:$M,$Q44)</f>
        <v>0</v>
      </c>
      <c r="U44" s="61">
        <f t="shared" si="12"/>
        <v>0</v>
      </c>
      <c r="V44" s="2"/>
      <c r="W44" s="2"/>
      <c r="X44" s="2"/>
      <c r="Y44" s="2"/>
      <c r="Z44" s="2"/>
      <c r="AA44" s="2"/>
      <c r="AB44" s="2"/>
      <c r="AC44" s="2"/>
      <c r="AD44" s="2"/>
    </row>
    <row r="45" spans="1:30" ht="15.75" customHeight="1" x14ac:dyDescent="0.35">
      <c r="A45" s="2"/>
      <c r="B45" s="160" t="s">
        <v>136</v>
      </c>
      <c r="C45" s="160" t="s">
        <v>77</v>
      </c>
      <c r="D45" s="160" t="s">
        <v>315</v>
      </c>
      <c r="E45" s="160" t="s">
        <v>174</v>
      </c>
      <c r="F45" s="160" t="s">
        <v>173</v>
      </c>
      <c r="G45" s="161">
        <v>187782</v>
      </c>
      <c r="H45" s="161">
        <v>187782</v>
      </c>
      <c r="I45" s="160">
        <v>45</v>
      </c>
      <c r="J45" s="132">
        <f t="shared" si="7"/>
        <v>2026</v>
      </c>
      <c r="K45" s="132">
        <f t="shared" si="8"/>
        <v>9</v>
      </c>
      <c r="L45" s="132">
        <f t="shared" si="9"/>
        <v>16</v>
      </c>
      <c r="M45" s="132">
        <f t="shared" si="10"/>
        <v>2026</v>
      </c>
      <c r="N45" s="132">
        <f t="shared" si="11"/>
        <v>18</v>
      </c>
      <c r="O45" s="2"/>
      <c r="P45" s="2"/>
      <c r="Q45" s="2">
        <v>2026</v>
      </c>
      <c r="R45" s="2">
        <v>40</v>
      </c>
      <c r="S45" s="5">
        <f t="shared" si="13"/>
        <v>46297</v>
      </c>
      <c r="T45" s="60">
        <f>SUMIFS($H:$H,$N:$N,$R45,$M:$M,$Q45)</f>
        <v>1528567.5</v>
      </c>
      <c r="U45" s="61">
        <f t="shared" si="12"/>
        <v>1528567.5</v>
      </c>
      <c r="V45" s="2"/>
      <c r="W45" s="2"/>
      <c r="X45" s="2"/>
      <c r="Y45" s="2"/>
      <c r="Z45" s="2"/>
      <c r="AA45" s="2"/>
      <c r="AB45" s="2"/>
      <c r="AC45" s="2"/>
      <c r="AD45" s="2"/>
    </row>
    <row r="46" spans="1:30" ht="15.75" customHeight="1" x14ac:dyDescent="0.35">
      <c r="A46" s="2"/>
      <c r="B46" s="160" t="s">
        <v>137</v>
      </c>
      <c r="C46" s="160" t="s">
        <v>77</v>
      </c>
      <c r="D46" s="160" t="s">
        <v>316</v>
      </c>
      <c r="E46" s="160" t="s">
        <v>124</v>
      </c>
      <c r="F46" s="160" t="s">
        <v>176</v>
      </c>
      <c r="G46" s="161">
        <v>34944</v>
      </c>
      <c r="H46" s="161">
        <v>34944</v>
      </c>
      <c r="I46" s="160">
        <v>45</v>
      </c>
      <c r="J46" s="132">
        <f t="shared" si="7"/>
        <v>2026</v>
      </c>
      <c r="K46" s="132">
        <f t="shared" si="8"/>
        <v>9</v>
      </c>
      <c r="L46" s="132">
        <f t="shared" si="9"/>
        <v>16</v>
      </c>
      <c r="M46" s="132">
        <f t="shared" si="10"/>
        <v>2026</v>
      </c>
      <c r="N46" s="132">
        <f t="shared" si="11"/>
        <v>18</v>
      </c>
      <c r="O46" s="2"/>
      <c r="P46" s="2"/>
      <c r="Q46" s="2">
        <v>2026</v>
      </c>
      <c r="R46" s="2">
        <v>41</v>
      </c>
      <c r="S46" s="5">
        <f t="shared" si="13"/>
        <v>46304</v>
      </c>
      <c r="T46" s="60">
        <f>SUMIFS($H:$H,$N:$N,$R46,$M:$M,$Q46)</f>
        <v>0</v>
      </c>
      <c r="U46" s="61">
        <f t="shared" si="12"/>
        <v>0</v>
      </c>
      <c r="V46" s="2"/>
      <c r="W46" s="2"/>
      <c r="X46" s="2"/>
      <c r="Y46" s="2"/>
      <c r="Z46" s="2"/>
      <c r="AA46" s="2"/>
      <c r="AB46" s="2"/>
      <c r="AC46" s="2"/>
      <c r="AD46" s="2"/>
    </row>
    <row r="47" spans="1:30" ht="15.75" customHeight="1" x14ac:dyDescent="0.35">
      <c r="A47" s="2"/>
      <c r="B47" s="160" t="s">
        <v>137</v>
      </c>
      <c r="C47" s="160" t="s">
        <v>77</v>
      </c>
      <c r="D47" s="160" t="s">
        <v>317</v>
      </c>
      <c r="E47" s="160" t="s">
        <v>107</v>
      </c>
      <c r="F47" s="160" t="s">
        <v>176</v>
      </c>
      <c r="G47" s="161">
        <v>15000</v>
      </c>
      <c r="H47" s="161">
        <v>15000</v>
      </c>
      <c r="I47" s="160">
        <v>45</v>
      </c>
      <c r="J47" s="132">
        <f t="shared" si="7"/>
        <v>2026</v>
      </c>
      <c r="K47" s="132">
        <f t="shared" si="8"/>
        <v>9</v>
      </c>
      <c r="L47" s="132">
        <f t="shared" si="9"/>
        <v>16</v>
      </c>
      <c r="M47" s="132">
        <f t="shared" si="10"/>
        <v>2026</v>
      </c>
      <c r="N47" s="132">
        <f t="shared" si="11"/>
        <v>18</v>
      </c>
      <c r="O47" s="2"/>
      <c r="P47" s="2"/>
      <c r="Q47" s="2">
        <v>2026</v>
      </c>
      <c r="R47" s="2">
        <v>42</v>
      </c>
      <c r="S47" s="5">
        <f t="shared" si="13"/>
        <v>46311</v>
      </c>
      <c r="T47" s="60">
        <f>SUMIFS($H:$H,$N:$N,$R47,$M:$M,$Q47)</f>
        <v>422232.4</v>
      </c>
      <c r="U47" s="61">
        <f t="shared" si="12"/>
        <v>422232.4</v>
      </c>
      <c r="V47" s="2"/>
      <c r="W47" s="2"/>
      <c r="X47" s="2"/>
      <c r="Y47" s="2"/>
      <c r="Z47" s="2"/>
      <c r="AA47" s="2"/>
      <c r="AB47" s="2"/>
      <c r="AC47" s="2"/>
      <c r="AD47" s="2"/>
    </row>
    <row r="48" spans="1:30" ht="15.75" customHeight="1" x14ac:dyDescent="0.35">
      <c r="A48" s="2"/>
      <c r="B48" s="160" t="s">
        <v>137</v>
      </c>
      <c r="C48" s="160" t="s">
        <v>77</v>
      </c>
      <c r="D48" s="160" t="s">
        <v>318</v>
      </c>
      <c r="E48" s="160" t="s">
        <v>86</v>
      </c>
      <c r="F48" s="160" t="s">
        <v>176</v>
      </c>
      <c r="G48" s="161">
        <v>38880</v>
      </c>
      <c r="H48" s="161">
        <v>38880</v>
      </c>
      <c r="I48" s="160">
        <v>45</v>
      </c>
      <c r="J48" s="132">
        <f t="shared" si="7"/>
        <v>2026</v>
      </c>
      <c r="K48" s="132">
        <f t="shared" si="8"/>
        <v>9</v>
      </c>
      <c r="L48" s="132">
        <f t="shared" si="9"/>
        <v>16</v>
      </c>
      <c r="M48" s="132">
        <f t="shared" si="10"/>
        <v>2026</v>
      </c>
      <c r="N48" s="132">
        <f t="shared" si="11"/>
        <v>18</v>
      </c>
      <c r="O48" s="2"/>
      <c r="P48" s="2"/>
      <c r="Q48" s="2">
        <v>2026</v>
      </c>
      <c r="R48" s="2">
        <v>43</v>
      </c>
      <c r="S48" s="5">
        <f t="shared" si="13"/>
        <v>46318</v>
      </c>
      <c r="T48" s="60">
        <f>SUMIFS($H:$H,$N:$N,$R48,$M:$M,$Q48)</f>
        <v>0</v>
      </c>
      <c r="U48" s="61">
        <f t="shared" si="12"/>
        <v>0</v>
      </c>
      <c r="V48" s="2"/>
      <c r="W48" s="2"/>
      <c r="X48" s="2"/>
      <c r="Y48" s="2"/>
      <c r="Z48" s="2"/>
      <c r="AA48" s="2"/>
      <c r="AB48" s="2"/>
      <c r="AC48" s="2"/>
      <c r="AD48" s="2"/>
    </row>
    <row r="49" spans="1:30" ht="15.75" customHeight="1" x14ac:dyDescent="0.35">
      <c r="A49" s="2"/>
      <c r="B49" s="160" t="s">
        <v>137</v>
      </c>
      <c r="C49" s="160" t="s">
        <v>77</v>
      </c>
      <c r="D49" s="160" t="s">
        <v>319</v>
      </c>
      <c r="E49" s="160" t="s">
        <v>175</v>
      </c>
      <c r="F49" s="160" t="s">
        <v>176</v>
      </c>
      <c r="G49" s="161">
        <v>1920</v>
      </c>
      <c r="H49" s="161">
        <v>1920</v>
      </c>
      <c r="I49" s="160">
        <v>45</v>
      </c>
      <c r="J49" s="132">
        <f t="shared" si="7"/>
        <v>2026</v>
      </c>
      <c r="K49" s="132">
        <f t="shared" si="8"/>
        <v>9</v>
      </c>
      <c r="L49" s="132">
        <f t="shared" si="9"/>
        <v>16</v>
      </c>
      <c r="M49" s="132">
        <f t="shared" si="10"/>
        <v>2026</v>
      </c>
      <c r="N49" s="132">
        <f t="shared" si="11"/>
        <v>18</v>
      </c>
      <c r="O49" s="2"/>
      <c r="P49" s="2"/>
      <c r="Q49" s="2">
        <v>2026</v>
      </c>
      <c r="R49" s="2">
        <v>44</v>
      </c>
      <c r="S49" s="5">
        <f t="shared" si="13"/>
        <v>46325</v>
      </c>
      <c r="T49" s="60">
        <f>SUMIFS($H:$H,$N:$N,$R49,$M:$M,$Q49)</f>
        <v>384293</v>
      </c>
      <c r="U49" s="61">
        <f t="shared" si="12"/>
        <v>384293</v>
      </c>
      <c r="V49" s="2"/>
      <c r="W49" s="2"/>
      <c r="X49" s="2"/>
      <c r="Y49" s="2"/>
      <c r="Z49" s="2"/>
      <c r="AA49" s="2"/>
      <c r="AB49" s="2"/>
      <c r="AC49" s="2"/>
      <c r="AD49" s="2"/>
    </row>
    <row r="50" spans="1:30" ht="15.75" customHeight="1" x14ac:dyDescent="0.35">
      <c r="A50" s="2"/>
      <c r="B50" s="160" t="s">
        <v>127</v>
      </c>
      <c r="C50" s="160" t="s">
        <v>77</v>
      </c>
      <c r="D50" s="160" t="s">
        <v>320</v>
      </c>
      <c r="E50" s="160" t="s">
        <v>179</v>
      </c>
      <c r="F50" s="160" t="s">
        <v>180</v>
      </c>
      <c r="G50" s="161">
        <v>21703.5</v>
      </c>
      <c r="H50" s="161">
        <v>21703.5</v>
      </c>
      <c r="I50" s="160">
        <v>45</v>
      </c>
      <c r="J50" s="132">
        <f t="shared" si="7"/>
        <v>2026</v>
      </c>
      <c r="K50" s="132">
        <f t="shared" si="8"/>
        <v>10</v>
      </c>
      <c r="L50" s="132">
        <f t="shared" si="9"/>
        <v>16</v>
      </c>
      <c r="M50" s="132">
        <f t="shared" si="10"/>
        <v>2026</v>
      </c>
      <c r="N50" s="132">
        <f t="shared" si="11"/>
        <v>18</v>
      </c>
      <c r="O50" s="2"/>
      <c r="P50" s="2"/>
      <c r="Q50" s="2">
        <v>2026</v>
      </c>
      <c r="R50" s="2">
        <v>45</v>
      </c>
      <c r="S50" s="5">
        <f t="shared" si="13"/>
        <v>46332</v>
      </c>
      <c r="T50" s="60">
        <f>SUMIFS($H:$H,$N:$N,$R50,$M:$M,$Q50)</f>
        <v>0</v>
      </c>
      <c r="U50" s="61">
        <f t="shared" si="12"/>
        <v>0</v>
      </c>
      <c r="V50" s="2"/>
      <c r="W50" s="2"/>
      <c r="X50" s="2"/>
      <c r="Y50" s="2"/>
      <c r="Z50" s="2"/>
      <c r="AA50" s="2"/>
      <c r="AB50" s="2"/>
      <c r="AC50" s="2"/>
      <c r="AD50" s="2"/>
    </row>
    <row r="51" spans="1:30" ht="15.75" customHeight="1" x14ac:dyDescent="0.35">
      <c r="A51" s="2"/>
      <c r="B51" s="160" t="s">
        <v>128</v>
      </c>
      <c r="C51" s="160" t="s">
        <v>77</v>
      </c>
      <c r="D51" s="160" t="s">
        <v>321</v>
      </c>
      <c r="E51" s="160" t="s">
        <v>100</v>
      </c>
      <c r="F51" s="160" t="s">
        <v>180</v>
      </c>
      <c r="G51" s="161">
        <v>96981</v>
      </c>
      <c r="H51" s="161">
        <v>96981</v>
      </c>
      <c r="I51" s="160">
        <v>30</v>
      </c>
      <c r="J51" s="132">
        <f t="shared" si="0"/>
        <v>2026</v>
      </c>
      <c r="K51" s="132">
        <f t="shared" si="4"/>
        <v>12</v>
      </c>
      <c r="L51" s="132">
        <f t="shared" si="1"/>
        <v>16</v>
      </c>
      <c r="M51" s="132">
        <f t="shared" si="2"/>
        <v>2026</v>
      </c>
      <c r="N51" s="132">
        <f t="shared" si="5"/>
        <v>18</v>
      </c>
      <c r="O51" s="2"/>
      <c r="P51" s="2"/>
      <c r="Q51" s="2">
        <v>2026</v>
      </c>
      <c r="R51" s="2">
        <v>46</v>
      </c>
      <c r="S51" s="5">
        <f t="shared" si="13"/>
        <v>46339</v>
      </c>
      <c r="T51" s="60">
        <f>SUMIFS($H:$H,$N:$N,$R51,$M:$M,$Q51)</f>
        <v>1128070.3999999999</v>
      </c>
      <c r="U51" s="61">
        <f t="shared" si="12"/>
        <v>1128070.3999999999</v>
      </c>
      <c r="V51" s="2"/>
      <c r="W51" s="2"/>
      <c r="X51" s="2"/>
      <c r="Y51" s="2"/>
      <c r="Z51" s="2"/>
      <c r="AA51" s="2"/>
      <c r="AB51" s="2"/>
      <c r="AC51" s="2"/>
      <c r="AD51" s="2"/>
    </row>
    <row r="52" spans="1:30" ht="15.75" customHeight="1" x14ac:dyDescent="0.35">
      <c r="A52" s="2"/>
      <c r="B52" s="160" t="s">
        <v>148</v>
      </c>
      <c r="C52" s="160" t="s">
        <v>77</v>
      </c>
      <c r="D52" s="160" t="s">
        <v>322</v>
      </c>
      <c r="E52" s="160" t="s">
        <v>323</v>
      </c>
      <c r="F52" s="160" t="s">
        <v>181</v>
      </c>
      <c r="G52" s="161">
        <v>33480</v>
      </c>
      <c r="H52" s="161">
        <v>33480</v>
      </c>
      <c r="I52" s="160">
        <v>30</v>
      </c>
      <c r="J52" s="132">
        <f t="shared" si="0"/>
        <v>2026</v>
      </c>
      <c r="K52" s="132">
        <f t="shared" si="4"/>
        <v>12</v>
      </c>
      <c r="L52" s="132">
        <f t="shared" si="1"/>
        <v>16</v>
      </c>
      <c r="M52" s="132">
        <f t="shared" si="2"/>
        <v>2026</v>
      </c>
      <c r="N52" s="132">
        <f t="shared" si="5"/>
        <v>18</v>
      </c>
      <c r="O52" s="2"/>
      <c r="P52" s="2"/>
      <c r="Q52" s="2">
        <v>2026</v>
      </c>
      <c r="R52" s="2">
        <v>47</v>
      </c>
      <c r="S52" s="5">
        <f t="shared" si="13"/>
        <v>46346</v>
      </c>
      <c r="T52" s="60">
        <f>SUMIFS($H:$H,$N:$N,$R52,$M:$M,$Q52)</f>
        <v>0</v>
      </c>
      <c r="U52" s="61">
        <f t="shared" si="12"/>
        <v>0</v>
      </c>
      <c r="V52" s="2"/>
      <c r="W52" s="2"/>
      <c r="X52" s="2"/>
      <c r="Y52" s="2"/>
      <c r="Z52" s="2"/>
      <c r="AA52" s="2"/>
      <c r="AB52" s="2"/>
      <c r="AC52" s="2"/>
      <c r="AD52" s="2"/>
    </row>
    <row r="53" spans="1:30" ht="15.75" customHeight="1" x14ac:dyDescent="0.35">
      <c r="A53" s="2"/>
      <c r="B53" s="160" t="s">
        <v>324</v>
      </c>
      <c r="C53" s="160" t="s">
        <v>77</v>
      </c>
      <c r="D53" s="160" t="s">
        <v>325</v>
      </c>
      <c r="E53" s="160" t="s">
        <v>326</v>
      </c>
      <c r="F53" s="160" t="s">
        <v>327</v>
      </c>
      <c r="G53" s="161">
        <v>60480</v>
      </c>
      <c r="H53" s="161">
        <v>60480</v>
      </c>
      <c r="I53" s="160">
        <v>45</v>
      </c>
      <c r="J53" s="132">
        <f t="shared" si="0"/>
        <v>2026</v>
      </c>
      <c r="K53" s="132">
        <f t="shared" si="4"/>
        <v>10</v>
      </c>
      <c r="L53" s="132">
        <f t="shared" si="1"/>
        <v>17</v>
      </c>
      <c r="M53" s="132">
        <f t="shared" si="2"/>
        <v>2026</v>
      </c>
      <c r="N53" s="132">
        <f t="shared" si="5"/>
        <v>19</v>
      </c>
      <c r="O53" s="2"/>
      <c r="P53" s="2"/>
      <c r="Q53" s="2">
        <v>2026</v>
      </c>
      <c r="R53" s="2">
        <v>48</v>
      </c>
      <c r="S53" s="5">
        <f t="shared" si="13"/>
        <v>46353</v>
      </c>
      <c r="T53" s="60">
        <f>SUMIFS($H:$H,$N:$N,$R53,$M:$M,$Q53)</f>
        <v>101727.5</v>
      </c>
      <c r="U53" s="61">
        <f t="shared" si="12"/>
        <v>101727.5</v>
      </c>
      <c r="V53" s="2"/>
      <c r="W53" s="2"/>
      <c r="X53" s="2"/>
      <c r="Y53" s="2"/>
      <c r="Z53" s="2"/>
      <c r="AA53" s="2"/>
      <c r="AB53" s="2"/>
      <c r="AC53" s="2"/>
      <c r="AD53" s="2"/>
    </row>
    <row r="54" spans="1:30" ht="15.75" customHeight="1" x14ac:dyDescent="0.35">
      <c r="A54" s="2"/>
      <c r="B54" s="160" t="s">
        <v>358</v>
      </c>
      <c r="C54" s="160" t="s">
        <v>77</v>
      </c>
      <c r="D54" s="160" t="s">
        <v>359</v>
      </c>
      <c r="E54" s="160" t="s">
        <v>154</v>
      </c>
      <c r="F54" s="160" t="s">
        <v>360</v>
      </c>
      <c r="G54" s="161">
        <v>71456</v>
      </c>
      <c r="H54" s="161">
        <v>71456</v>
      </c>
      <c r="I54" s="160">
        <v>30</v>
      </c>
      <c r="J54" s="132">
        <f t="shared" si="0"/>
        <v>2026</v>
      </c>
      <c r="K54" s="132">
        <f t="shared" si="4"/>
        <v>13</v>
      </c>
      <c r="L54" s="132">
        <f t="shared" si="1"/>
        <v>17</v>
      </c>
      <c r="M54" s="132">
        <f t="shared" si="2"/>
        <v>2026</v>
      </c>
      <c r="N54" s="132">
        <f t="shared" si="5"/>
        <v>19</v>
      </c>
      <c r="O54" s="2"/>
      <c r="P54" s="2"/>
      <c r="Q54" s="2">
        <v>2026</v>
      </c>
      <c r="R54" s="2">
        <v>49</v>
      </c>
      <c r="S54" s="5">
        <f t="shared" si="13"/>
        <v>46360</v>
      </c>
      <c r="T54" s="60">
        <f>SUMIFS($H:$H,$N:$N,$R54,$M:$M,$Q54)</f>
        <v>0</v>
      </c>
      <c r="U54" s="61">
        <f t="shared" si="12"/>
        <v>0</v>
      </c>
      <c r="V54" s="2"/>
      <c r="W54" s="2"/>
      <c r="X54" s="2"/>
      <c r="Y54" s="2"/>
      <c r="Z54" s="2"/>
      <c r="AA54" s="2"/>
      <c r="AB54" s="2"/>
      <c r="AC54" s="2"/>
      <c r="AD54" s="2"/>
    </row>
    <row r="55" spans="1:30" ht="15.75" customHeight="1" x14ac:dyDescent="0.35">
      <c r="A55" s="2"/>
      <c r="B55" s="160" t="s">
        <v>360</v>
      </c>
      <c r="C55" s="160" t="s">
        <v>361</v>
      </c>
      <c r="D55" s="160" t="s">
        <v>362</v>
      </c>
      <c r="E55" s="160" t="s">
        <v>191</v>
      </c>
      <c r="F55" s="160" t="s">
        <v>360</v>
      </c>
      <c r="G55" s="161">
        <v>-42336</v>
      </c>
      <c r="H55" s="161">
        <v>-42336</v>
      </c>
      <c r="I55" s="160" t="s">
        <v>363</v>
      </c>
      <c r="J55" s="132">
        <f t="shared" si="0"/>
        <v>2026</v>
      </c>
      <c r="K55" s="132">
        <f t="shared" si="4"/>
        <v>17</v>
      </c>
      <c r="L55" s="132">
        <f t="shared" si="1"/>
        <v>17</v>
      </c>
      <c r="M55" s="132">
        <f t="shared" si="2"/>
        <v>2026</v>
      </c>
      <c r="N55" s="132">
        <f t="shared" si="5"/>
        <v>19</v>
      </c>
      <c r="O55" s="2"/>
      <c r="P55" s="2"/>
      <c r="Q55" s="2">
        <v>2026</v>
      </c>
      <c r="R55" s="2">
        <v>50</v>
      </c>
      <c r="S55" s="5">
        <f t="shared" si="13"/>
        <v>46367</v>
      </c>
      <c r="T55" s="60">
        <f>SUMIFS($H:$H,$N:$N,$R55,$M:$M,$Q55)</f>
        <v>0</v>
      </c>
      <c r="U55" s="61">
        <f t="shared" si="12"/>
        <v>0</v>
      </c>
      <c r="V55" s="2"/>
      <c r="W55" s="2"/>
      <c r="X55" s="2"/>
      <c r="Y55" s="2"/>
      <c r="Z55" s="2"/>
      <c r="AA55" s="2"/>
      <c r="AB55" s="2"/>
      <c r="AC55" s="2"/>
      <c r="AD55" s="2"/>
    </row>
    <row r="56" spans="1:30" ht="15.75" customHeight="1" x14ac:dyDescent="0.35">
      <c r="A56" s="2"/>
      <c r="B56" s="160" t="s">
        <v>182</v>
      </c>
      <c r="C56" s="160" t="s">
        <v>77</v>
      </c>
      <c r="D56" s="160" t="s">
        <v>328</v>
      </c>
      <c r="E56" s="160" t="s">
        <v>135</v>
      </c>
      <c r="F56" s="160" t="s">
        <v>183</v>
      </c>
      <c r="G56" s="161">
        <v>21592.9</v>
      </c>
      <c r="H56" s="161">
        <v>21592.9</v>
      </c>
      <c r="I56" s="160">
        <v>90</v>
      </c>
      <c r="J56" s="132">
        <f t="shared" si="0"/>
        <v>2026</v>
      </c>
      <c r="K56" s="132">
        <f t="shared" si="4"/>
        <v>4</v>
      </c>
      <c r="L56" s="132">
        <f t="shared" si="1"/>
        <v>17</v>
      </c>
      <c r="M56" s="132">
        <f t="shared" si="2"/>
        <v>2026</v>
      </c>
      <c r="N56" s="132">
        <f t="shared" si="5"/>
        <v>19</v>
      </c>
      <c r="O56" s="2"/>
      <c r="P56" s="2"/>
      <c r="Q56" s="2">
        <v>2026</v>
      </c>
      <c r="R56" s="2">
        <v>51</v>
      </c>
      <c r="S56" s="5">
        <f t="shared" si="13"/>
        <v>46374</v>
      </c>
      <c r="T56" s="60">
        <f>SUMIFS($H:$H,$N:$N,$R56,$M:$M,$Q56)</f>
        <v>232020.4</v>
      </c>
      <c r="U56" s="61">
        <f t="shared" si="12"/>
        <v>232020.4</v>
      </c>
      <c r="V56" s="2"/>
      <c r="W56" s="2"/>
      <c r="X56" s="2"/>
      <c r="Y56" s="2"/>
      <c r="Z56" s="2"/>
      <c r="AA56" s="2"/>
      <c r="AB56" s="2"/>
      <c r="AC56" s="2"/>
      <c r="AD56" s="2"/>
    </row>
    <row r="57" spans="1:30" ht="15.75" customHeight="1" x14ac:dyDescent="0.35">
      <c r="A57" s="2"/>
      <c r="B57" s="160" t="s">
        <v>329</v>
      </c>
      <c r="C57" s="160" t="s">
        <v>77</v>
      </c>
      <c r="D57" s="160" t="s">
        <v>330</v>
      </c>
      <c r="E57" s="160" t="s">
        <v>331</v>
      </c>
      <c r="F57" s="160" t="s">
        <v>332</v>
      </c>
      <c r="G57" s="161">
        <v>1117000</v>
      </c>
      <c r="H57" s="161">
        <v>1117000</v>
      </c>
      <c r="I57" s="160">
        <v>45</v>
      </c>
      <c r="J57" s="132">
        <f t="shared" si="0"/>
        <v>2026</v>
      </c>
      <c r="K57" s="132">
        <f t="shared" si="4"/>
        <v>11</v>
      </c>
      <c r="L57" s="132">
        <f t="shared" si="1"/>
        <v>17</v>
      </c>
      <c r="M57" s="132">
        <f t="shared" si="2"/>
        <v>2026</v>
      </c>
      <c r="N57" s="132">
        <f t="shared" si="5"/>
        <v>19</v>
      </c>
      <c r="O57" s="2"/>
      <c r="P57" s="2"/>
      <c r="Q57" s="2">
        <v>2026</v>
      </c>
      <c r="R57" s="2">
        <v>52</v>
      </c>
      <c r="S57" s="5">
        <f t="shared" si="13"/>
        <v>46381</v>
      </c>
      <c r="T57" s="60">
        <f>SUMIFS($H:$H,$N:$N,$R57,$M:$M,$Q57)</f>
        <v>0</v>
      </c>
      <c r="U57" s="61">
        <f t="shared" si="12"/>
        <v>0</v>
      </c>
      <c r="V57" s="2"/>
      <c r="W57" s="2"/>
      <c r="X57" s="2"/>
      <c r="Y57" s="2"/>
      <c r="Z57" s="2"/>
      <c r="AA57" s="2"/>
      <c r="AB57" s="2"/>
      <c r="AC57" s="2"/>
      <c r="AD57" s="2"/>
    </row>
    <row r="58" spans="1:30" ht="15.75" customHeight="1" x14ac:dyDescent="0.35">
      <c r="A58" s="2"/>
      <c r="B58" s="160" t="s">
        <v>364</v>
      </c>
      <c r="C58" s="160" t="s">
        <v>77</v>
      </c>
      <c r="D58" s="160" t="s">
        <v>365</v>
      </c>
      <c r="E58" s="160" t="s">
        <v>291</v>
      </c>
      <c r="F58" s="160" t="s">
        <v>366</v>
      </c>
      <c r="G58" s="161">
        <v>74858.47</v>
      </c>
      <c r="H58" s="161">
        <v>74858.464999999997</v>
      </c>
      <c r="I58" s="160">
        <v>30</v>
      </c>
      <c r="J58" s="132">
        <f t="shared" si="0"/>
        <v>2026</v>
      </c>
      <c r="K58" s="132">
        <f t="shared" si="4"/>
        <v>13</v>
      </c>
      <c r="L58" s="132">
        <f t="shared" si="1"/>
        <v>17</v>
      </c>
      <c r="M58" s="132">
        <f t="shared" si="2"/>
        <v>2026</v>
      </c>
      <c r="N58" s="132">
        <f t="shared" si="5"/>
        <v>19</v>
      </c>
      <c r="O58" s="2"/>
      <c r="P58" s="2"/>
      <c r="Q58" s="2">
        <v>2027</v>
      </c>
      <c r="R58" s="2">
        <v>1</v>
      </c>
      <c r="S58" s="5">
        <f t="shared" si="13"/>
        <v>46388</v>
      </c>
      <c r="T58" s="60">
        <f>SUMIFS($H:$H,$N:$N,$R58,$M:$M,$Q58)</f>
        <v>31200</v>
      </c>
      <c r="U58" s="61">
        <f t="shared" si="12"/>
        <v>31200</v>
      </c>
      <c r="V58" s="2"/>
      <c r="W58" s="2"/>
      <c r="X58" s="2"/>
      <c r="Y58" s="2"/>
      <c r="Z58" s="2"/>
      <c r="AA58" s="2"/>
      <c r="AB58" s="2"/>
      <c r="AC58" s="2"/>
      <c r="AD58" s="2"/>
    </row>
    <row r="59" spans="1:30" ht="15.75" customHeight="1" x14ac:dyDescent="0.35">
      <c r="A59" s="2"/>
      <c r="B59" s="160" t="s">
        <v>364</v>
      </c>
      <c r="C59" s="160" t="s">
        <v>77</v>
      </c>
      <c r="D59" s="160" t="s">
        <v>367</v>
      </c>
      <c r="E59" s="160" t="s">
        <v>158</v>
      </c>
      <c r="F59" s="160" t="s">
        <v>366</v>
      </c>
      <c r="G59" s="161">
        <v>26500</v>
      </c>
      <c r="H59" s="161">
        <v>26500</v>
      </c>
      <c r="I59" s="160">
        <v>30</v>
      </c>
      <c r="J59" s="132">
        <f t="shared" si="0"/>
        <v>2026</v>
      </c>
      <c r="K59" s="132">
        <f t="shared" si="4"/>
        <v>13</v>
      </c>
      <c r="L59" s="132">
        <f t="shared" si="1"/>
        <v>17</v>
      </c>
      <c r="M59" s="132">
        <f t="shared" si="2"/>
        <v>2026</v>
      </c>
      <c r="N59" s="132">
        <f t="shared" si="5"/>
        <v>19</v>
      </c>
      <c r="O59" s="2"/>
      <c r="P59" s="2"/>
      <c r="Q59" s="2">
        <v>2027</v>
      </c>
      <c r="R59" s="2">
        <v>2</v>
      </c>
      <c r="S59" s="5">
        <f t="shared" si="13"/>
        <v>46395</v>
      </c>
      <c r="T59" s="60">
        <f>SUMIFS($H:$H,$N:$N,$R59,$M:$M,$Q59)</f>
        <v>0</v>
      </c>
      <c r="U59" s="61">
        <f t="shared" si="12"/>
        <v>0</v>
      </c>
      <c r="V59" s="2"/>
      <c r="W59" s="2"/>
      <c r="X59" s="2"/>
      <c r="Y59" s="2"/>
      <c r="Z59" s="2"/>
      <c r="AA59" s="2"/>
      <c r="AB59" s="2"/>
      <c r="AC59" s="2"/>
      <c r="AD59" s="2"/>
    </row>
    <row r="60" spans="1:30" ht="15.75" customHeight="1" x14ac:dyDescent="0.35">
      <c r="A60" s="2"/>
      <c r="B60" s="160" t="s">
        <v>364</v>
      </c>
      <c r="C60" s="160" t="s">
        <v>77</v>
      </c>
      <c r="D60" s="160" t="s">
        <v>368</v>
      </c>
      <c r="E60" s="160" t="s">
        <v>151</v>
      </c>
      <c r="F60" s="160" t="s">
        <v>366</v>
      </c>
      <c r="G60" s="161">
        <v>18892.8</v>
      </c>
      <c r="H60" s="161">
        <v>18892.8</v>
      </c>
      <c r="I60" s="160">
        <v>30</v>
      </c>
      <c r="J60" s="132">
        <f t="shared" si="0"/>
        <v>2026</v>
      </c>
      <c r="K60" s="132">
        <f t="shared" si="4"/>
        <v>13</v>
      </c>
      <c r="L60" s="132">
        <f t="shared" si="1"/>
        <v>17</v>
      </c>
      <c r="M60" s="132">
        <f t="shared" si="2"/>
        <v>2026</v>
      </c>
      <c r="N60" s="132">
        <f t="shared" si="5"/>
        <v>19</v>
      </c>
      <c r="O60" s="2"/>
      <c r="P60" s="2"/>
      <c r="Q60" s="2">
        <v>2027</v>
      </c>
      <c r="R60" s="2">
        <v>3</v>
      </c>
      <c r="S60" s="5">
        <f t="shared" si="13"/>
        <v>46402</v>
      </c>
      <c r="T60" s="60">
        <f>SUMIFS($H:$H,$N:$N,$R60,$M:$M,$Q60)</f>
        <v>0</v>
      </c>
      <c r="U60" s="61">
        <f t="shared" si="12"/>
        <v>0</v>
      </c>
      <c r="V60" s="2"/>
      <c r="W60" s="2"/>
      <c r="X60" s="2"/>
      <c r="Y60" s="2"/>
      <c r="Z60" s="2"/>
      <c r="AA60" s="2"/>
      <c r="AB60" s="2"/>
      <c r="AC60" s="2"/>
      <c r="AD60" s="2"/>
    </row>
    <row r="61" spans="1:30" ht="15.75" customHeight="1" x14ac:dyDescent="0.35">
      <c r="A61" s="2"/>
      <c r="B61" s="160" t="s">
        <v>364</v>
      </c>
      <c r="C61" s="160" t="s">
        <v>77</v>
      </c>
      <c r="D61" s="160" t="s">
        <v>369</v>
      </c>
      <c r="E61" s="160" t="s">
        <v>370</v>
      </c>
      <c r="F61" s="160" t="s">
        <v>366</v>
      </c>
      <c r="G61" s="161">
        <v>50000</v>
      </c>
      <c r="H61" s="161">
        <v>50000</v>
      </c>
      <c r="I61" s="160">
        <v>30</v>
      </c>
      <c r="J61" s="132">
        <f t="shared" si="0"/>
        <v>2026</v>
      </c>
      <c r="K61" s="132">
        <f t="shared" si="4"/>
        <v>13</v>
      </c>
      <c r="L61" s="132">
        <f t="shared" si="1"/>
        <v>17</v>
      </c>
      <c r="M61" s="132">
        <f t="shared" si="2"/>
        <v>2026</v>
      </c>
      <c r="N61" s="132">
        <f t="shared" si="5"/>
        <v>19</v>
      </c>
      <c r="O61" s="2"/>
      <c r="P61" s="2"/>
      <c r="Q61" s="2">
        <v>2027</v>
      </c>
      <c r="R61" s="2">
        <v>4</v>
      </c>
      <c r="S61" s="5">
        <f t="shared" si="13"/>
        <v>46409</v>
      </c>
      <c r="T61" s="60">
        <f>SUMIFS($H:$H,$N:$N,$R61,$M:$M,$Q61)</f>
        <v>0</v>
      </c>
      <c r="U61" s="61">
        <f t="shared" si="12"/>
        <v>0</v>
      </c>
      <c r="V61" s="2"/>
      <c r="W61" s="2"/>
      <c r="X61" s="2"/>
      <c r="Y61" s="2"/>
      <c r="Z61" s="2"/>
      <c r="AA61" s="2"/>
      <c r="AB61" s="2"/>
      <c r="AC61" s="2"/>
      <c r="AD61" s="2"/>
    </row>
    <row r="62" spans="1:30" ht="15.75" customHeight="1" x14ac:dyDescent="0.35">
      <c r="A62" s="2"/>
      <c r="B62" s="160" t="s">
        <v>137</v>
      </c>
      <c r="C62" s="160" t="s">
        <v>77</v>
      </c>
      <c r="D62" s="160" t="s">
        <v>333</v>
      </c>
      <c r="E62" s="160" t="s">
        <v>88</v>
      </c>
      <c r="F62" s="160" t="s">
        <v>184</v>
      </c>
      <c r="G62" s="161">
        <v>10640</v>
      </c>
      <c r="H62" s="161">
        <v>10640</v>
      </c>
      <c r="I62" s="160">
        <v>60</v>
      </c>
      <c r="J62" s="132">
        <f t="shared" si="0"/>
        <v>2026</v>
      </c>
      <c r="K62" s="132">
        <f t="shared" si="4"/>
        <v>9</v>
      </c>
      <c r="L62" s="132">
        <f t="shared" si="1"/>
        <v>18</v>
      </c>
      <c r="M62" s="132">
        <f t="shared" si="2"/>
        <v>2026</v>
      </c>
      <c r="N62" s="132">
        <f t="shared" si="5"/>
        <v>20</v>
      </c>
      <c r="O62" s="2"/>
      <c r="P62" s="2"/>
      <c r="Q62" s="2">
        <v>2027</v>
      </c>
      <c r="R62" s="2">
        <v>5</v>
      </c>
      <c r="S62" s="5">
        <f t="shared" si="13"/>
        <v>46416</v>
      </c>
      <c r="T62" s="60">
        <f>SUMIFS($H:$H,$N:$N,$R62,$M:$M,$Q62)</f>
        <v>0</v>
      </c>
      <c r="U62" s="61">
        <f t="shared" si="12"/>
        <v>0</v>
      </c>
      <c r="V62" s="2"/>
      <c r="W62" s="2"/>
      <c r="X62" s="2"/>
      <c r="Y62" s="2"/>
      <c r="Z62" s="2"/>
      <c r="AA62" s="2"/>
      <c r="AB62" s="2"/>
      <c r="AC62" s="2"/>
      <c r="AD62" s="2"/>
    </row>
    <row r="63" spans="1:30" ht="15.75" customHeight="1" x14ac:dyDescent="0.35">
      <c r="A63" s="2"/>
      <c r="B63" s="160" t="s">
        <v>129</v>
      </c>
      <c r="C63" s="160" t="s">
        <v>77</v>
      </c>
      <c r="D63" s="160" t="s">
        <v>371</v>
      </c>
      <c r="E63" s="160" t="s">
        <v>372</v>
      </c>
      <c r="F63" s="160" t="s">
        <v>373</v>
      </c>
      <c r="G63" s="161">
        <v>93324</v>
      </c>
      <c r="H63" s="161">
        <v>93324</v>
      </c>
      <c r="I63" s="160">
        <v>30</v>
      </c>
      <c r="J63" s="132">
        <f t="shared" si="0"/>
        <v>2026</v>
      </c>
      <c r="K63" s="132">
        <f t="shared" si="4"/>
        <v>14</v>
      </c>
      <c r="L63" s="132">
        <f t="shared" si="1"/>
        <v>18</v>
      </c>
      <c r="M63" s="132">
        <f t="shared" si="2"/>
        <v>2026</v>
      </c>
      <c r="N63" s="132">
        <f>IF(ISBLANK($B63),"",IF($L63&lt;51,$L63+$N$2,$L63-52+$N$2))</f>
        <v>20</v>
      </c>
      <c r="O63" s="2"/>
      <c r="P63" s="2"/>
      <c r="Q63" s="2">
        <v>2027</v>
      </c>
      <c r="R63" s="2">
        <v>6</v>
      </c>
      <c r="S63" s="5">
        <f t="shared" si="13"/>
        <v>46423</v>
      </c>
      <c r="T63" s="60">
        <f>SUMIFS($H:$H,$N:$N,$R63,$M:$M,$Q63)</f>
        <v>0</v>
      </c>
      <c r="U63" s="61">
        <f t="shared" si="12"/>
        <v>0</v>
      </c>
      <c r="V63" s="2"/>
      <c r="W63" s="2"/>
      <c r="X63" s="2"/>
      <c r="Y63" s="2"/>
      <c r="Z63" s="2"/>
      <c r="AA63" s="2"/>
      <c r="AB63" s="2"/>
      <c r="AC63" s="2"/>
      <c r="AD63" s="2"/>
    </row>
    <row r="64" spans="1:30" ht="15.75" customHeight="1" x14ac:dyDescent="0.35">
      <c r="A64" s="2"/>
      <c r="B64" s="160" t="s">
        <v>114</v>
      </c>
      <c r="C64" s="160" t="s">
        <v>77</v>
      </c>
      <c r="D64" s="160" t="s">
        <v>334</v>
      </c>
      <c r="E64" s="160" t="s">
        <v>186</v>
      </c>
      <c r="F64" s="160" t="s">
        <v>185</v>
      </c>
      <c r="G64" s="161">
        <v>159200</v>
      </c>
      <c r="H64" s="161">
        <v>159200</v>
      </c>
      <c r="I64" s="160">
        <v>90</v>
      </c>
      <c r="J64" s="132">
        <f t="shared" si="0"/>
        <v>2026</v>
      </c>
      <c r="K64" s="132">
        <f t="shared" si="4"/>
        <v>5</v>
      </c>
      <c r="L64" s="132">
        <f t="shared" si="1"/>
        <v>18</v>
      </c>
      <c r="M64" s="132">
        <f t="shared" si="2"/>
        <v>2026</v>
      </c>
      <c r="N64" s="132">
        <f t="shared" si="5"/>
        <v>20</v>
      </c>
      <c r="O64" s="2"/>
      <c r="P64" s="2"/>
      <c r="Q64" s="2">
        <v>2027</v>
      </c>
      <c r="R64" s="2">
        <v>7</v>
      </c>
      <c r="S64" s="5">
        <f t="shared" si="13"/>
        <v>46430</v>
      </c>
      <c r="T64" s="60">
        <f>SUMIFS($H:$H,$N:$N,$R64,$M:$M,$Q64)</f>
        <v>0</v>
      </c>
      <c r="U64" s="61">
        <f t="shared" si="12"/>
        <v>0</v>
      </c>
      <c r="V64" s="2"/>
      <c r="W64" s="2"/>
      <c r="X64" s="2"/>
      <c r="Y64" s="2"/>
      <c r="Z64" s="2"/>
      <c r="AA64" s="2"/>
      <c r="AB64" s="2"/>
      <c r="AC64" s="2"/>
      <c r="AD64" s="2"/>
    </row>
    <row r="65" spans="1:30" ht="15.75" customHeight="1" x14ac:dyDescent="0.35">
      <c r="A65" s="2"/>
      <c r="B65" s="160" t="s">
        <v>114</v>
      </c>
      <c r="C65" s="160" t="s">
        <v>77</v>
      </c>
      <c r="D65" s="160" t="s">
        <v>335</v>
      </c>
      <c r="E65" s="160" t="s">
        <v>92</v>
      </c>
      <c r="F65" s="160" t="s">
        <v>185</v>
      </c>
      <c r="G65" s="161">
        <v>39615</v>
      </c>
      <c r="H65" s="161">
        <v>39615</v>
      </c>
      <c r="I65" s="160">
        <v>90</v>
      </c>
      <c r="J65" s="132">
        <f t="shared" si="0"/>
        <v>2026</v>
      </c>
      <c r="K65" s="132">
        <f t="shared" si="4"/>
        <v>5</v>
      </c>
      <c r="L65" s="132">
        <f t="shared" si="1"/>
        <v>18</v>
      </c>
      <c r="M65" s="132">
        <f t="shared" si="2"/>
        <v>2026</v>
      </c>
      <c r="N65" s="132">
        <f t="shared" si="5"/>
        <v>20</v>
      </c>
      <c r="O65" s="2"/>
      <c r="P65" s="2"/>
      <c r="Q65" s="2">
        <v>2027</v>
      </c>
      <c r="R65" s="2">
        <v>8</v>
      </c>
      <c r="S65" s="5">
        <f t="shared" si="13"/>
        <v>46437</v>
      </c>
      <c r="T65" s="60">
        <f>SUMIFS($H:$H,$N:$N,$R65,$M:$M,$Q65)</f>
        <v>0</v>
      </c>
      <c r="U65" s="61">
        <f t="shared" si="12"/>
        <v>0</v>
      </c>
      <c r="V65" s="2"/>
      <c r="W65" s="2"/>
      <c r="X65" s="2"/>
      <c r="Y65" s="2"/>
      <c r="Z65" s="2"/>
      <c r="AA65" s="2"/>
      <c r="AB65" s="2"/>
      <c r="AC65" s="2"/>
      <c r="AD65" s="2"/>
    </row>
    <row r="66" spans="1:30" ht="15.75" customHeight="1" x14ac:dyDescent="0.35">
      <c r="A66" s="2"/>
      <c r="B66" s="160" t="s">
        <v>128</v>
      </c>
      <c r="C66" s="160" t="s">
        <v>77</v>
      </c>
      <c r="D66" s="160" t="s">
        <v>337</v>
      </c>
      <c r="E66" s="160" t="s">
        <v>115</v>
      </c>
      <c r="F66" s="160" t="s">
        <v>185</v>
      </c>
      <c r="G66" s="161">
        <v>55250</v>
      </c>
      <c r="H66" s="161">
        <v>55250</v>
      </c>
      <c r="I66" s="160">
        <v>45</v>
      </c>
      <c r="J66" s="132">
        <f t="shared" si="0"/>
        <v>2026</v>
      </c>
      <c r="K66" s="132">
        <f t="shared" si="4"/>
        <v>12</v>
      </c>
      <c r="L66" s="132">
        <f t="shared" si="1"/>
        <v>18</v>
      </c>
      <c r="M66" s="132">
        <f t="shared" si="2"/>
        <v>2026</v>
      </c>
      <c r="N66" s="132">
        <f t="shared" si="5"/>
        <v>20</v>
      </c>
      <c r="O66" s="2"/>
      <c r="P66" s="2"/>
      <c r="Q66" s="2">
        <v>2027</v>
      </c>
      <c r="R66" s="2">
        <v>9</v>
      </c>
      <c r="S66" s="5">
        <f t="shared" si="13"/>
        <v>46444</v>
      </c>
      <c r="T66" s="60">
        <f>SUMIFS($H:$H,$N:$N,$R66,$M:$M,$Q66)</f>
        <v>0</v>
      </c>
      <c r="U66" s="61">
        <f t="shared" si="12"/>
        <v>0</v>
      </c>
      <c r="V66" s="2"/>
      <c r="W66" s="2"/>
      <c r="X66" s="2"/>
      <c r="Y66" s="2"/>
      <c r="Z66" s="2"/>
      <c r="AA66" s="2"/>
      <c r="AB66" s="2"/>
      <c r="AC66" s="2"/>
      <c r="AD66" s="2"/>
    </row>
    <row r="67" spans="1:30" ht="15.75" customHeight="1" x14ac:dyDescent="0.35">
      <c r="A67" s="2"/>
      <c r="B67" s="160" t="s">
        <v>130</v>
      </c>
      <c r="C67" s="160" t="s">
        <v>77</v>
      </c>
      <c r="D67" s="160" t="s">
        <v>374</v>
      </c>
      <c r="E67" s="160" t="s">
        <v>302</v>
      </c>
      <c r="F67" s="160" t="s">
        <v>185</v>
      </c>
      <c r="G67" s="161">
        <v>99228</v>
      </c>
      <c r="H67" s="161">
        <v>99228</v>
      </c>
      <c r="I67" s="160">
        <v>30</v>
      </c>
      <c r="J67" s="132">
        <f t="shared" si="0"/>
        <v>2026</v>
      </c>
      <c r="K67" s="132">
        <f t="shared" si="4"/>
        <v>14</v>
      </c>
      <c r="L67" s="132">
        <f t="shared" si="1"/>
        <v>18</v>
      </c>
      <c r="M67" s="132">
        <f t="shared" si="2"/>
        <v>2026</v>
      </c>
      <c r="N67" s="132">
        <f t="shared" si="5"/>
        <v>20</v>
      </c>
      <c r="O67" s="2"/>
      <c r="P67" s="2"/>
      <c r="Q67" s="2">
        <v>2027</v>
      </c>
      <c r="R67" s="2">
        <v>10</v>
      </c>
      <c r="S67" s="5">
        <f t="shared" si="13"/>
        <v>46451</v>
      </c>
      <c r="T67" s="60">
        <f>SUMIFS($H:$H,$N:$N,$R67,$M:$M,$Q67)</f>
        <v>0</v>
      </c>
      <c r="U67" s="61">
        <f t="shared" si="12"/>
        <v>0</v>
      </c>
      <c r="V67" s="2"/>
      <c r="W67" s="2"/>
      <c r="X67" s="2"/>
      <c r="Y67" s="2"/>
      <c r="Z67" s="2"/>
      <c r="AA67" s="2"/>
      <c r="AB67" s="2"/>
      <c r="AC67" s="2"/>
      <c r="AD67" s="2"/>
    </row>
    <row r="68" spans="1:30" ht="15.75" customHeight="1" x14ac:dyDescent="0.35">
      <c r="A68" s="2"/>
      <c r="B68" s="160" t="s">
        <v>130</v>
      </c>
      <c r="C68" s="160" t="s">
        <v>77</v>
      </c>
      <c r="D68" s="160" t="s">
        <v>375</v>
      </c>
      <c r="E68" s="160" t="s">
        <v>302</v>
      </c>
      <c r="F68" s="160" t="s">
        <v>185</v>
      </c>
      <c r="G68" s="161">
        <v>59536.800000000003</v>
      </c>
      <c r="H68" s="161">
        <v>59536.800000000003</v>
      </c>
      <c r="I68" s="160">
        <v>30</v>
      </c>
      <c r="J68" s="132">
        <f t="shared" si="0"/>
        <v>2026</v>
      </c>
      <c r="K68" s="132">
        <f t="shared" si="4"/>
        <v>14</v>
      </c>
      <c r="L68" s="132">
        <f t="shared" si="1"/>
        <v>18</v>
      </c>
      <c r="M68" s="132">
        <f t="shared" si="2"/>
        <v>2026</v>
      </c>
      <c r="N68" s="132">
        <f t="shared" si="5"/>
        <v>20</v>
      </c>
      <c r="O68" s="2"/>
      <c r="P68" s="2"/>
      <c r="Q68" s="2">
        <v>2027</v>
      </c>
      <c r="R68" s="2">
        <v>11</v>
      </c>
      <c r="S68" s="5">
        <f t="shared" si="13"/>
        <v>46458</v>
      </c>
      <c r="T68" s="60">
        <f>SUMIFS($H:$H,$N:$N,$R68,$M:$M,$Q68)</f>
        <v>0</v>
      </c>
      <c r="U68" s="61">
        <f t="shared" si="12"/>
        <v>0</v>
      </c>
      <c r="V68" s="2"/>
      <c r="W68" s="2"/>
      <c r="X68" s="2"/>
      <c r="Y68" s="2"/>
      <c r="Z68" s="2"/>
      <c r="AA68" s="2"/>
      <c r="AB68" s="2"/>
      <c r="AC68" s="2"/>
      <c r="AD68" s="2"/>
    </row>
    <row r="69" spans="1:30" ht="15.75" customHeight="1" x14ac:dyDescent="0.35">
      <c r="A69" s="2"/>
      <c r="B69" s="160" t="s">
        <v>130</v>
      </c>
      <c r="C69" s="160" t="s">
        <v>77</v>
      </c>
      <c r="D69" s="160" t="s">
        <v>376</v>
      </c>
      <c r="E69" s="160" t="s">
        <v>101</v>
      </c>
      <c r="F69" s="160" t="s">
        <v>185</v>
      </c>
      <c r="G69" s="161">
        <v>36960</v>
      </c>
      <c r="H69" s="161">
        <v>36960</v>
      </c>
      <c r="I69" s="160">
        <v>30</v>
      </c>
      <c r="J69" s="132">
        <f t="shared" si="0"/>
        <v>2026</v>
      </c>
      <c r="K69" s="132">
        <f t="shared" si="4"/>
        <v>14</v>
      </c>
      <c r="L69" s="132">
        <f t="shared" si="1"/>
        <v>18</v>
      </c>
      <c r="M69" s="132">
        <f t="shared" si="2"/>
        <v>2026</v>
      </c>
      <c r="N69" s="132">
        <f t="shared" si="5"/>
        <v>20</v>
      </c>
      <c r="O69" s="2"/>
      <c r="P69" s="2"/>
      <c r="Q69" s="2">
        <v>2027</v>
      </c>
      <c r="R69" s="2">
        <v>12</v>
      </c>
      <c r="S69" s="5">
        <f t="shared" si="13"/>
        <v>46465</v>
      </c>
      <c r="T69" s="60">
        <f>SUMIFS($H:$H,$N:$N,$R69,$M:$M,$Q69)</f>
        <v>0</v>
      </c>
      <c r="U69" s="61">
        <f t="shared" si="12"/>
        <v>0</v>
      </c>
      <c r="V69" s="2"/>
      <c r="W69" s="2"/>
      <c r="X69" s="2"/>
      <c r="Y69" s="2"/>
      <c r="Z69" s="2"/>
      <c r="AA69" s="2"/>
      <c r="AB69" s="2"/>
      <c r="AC69" s="2"/>
      <c r="AD69" s="2"/>
    </row>
    <row r="70" spans="1:30" ht="15.75" customHeight="1" x14ac:dyDescent="0.35">
      <c r="A70" s="2"/>
      <c r="B70" s="160" t="s">
        <v>130</v>
      </c>
      <c r="C70" s="160" t="s">
        <v>77</v>
      </c>
      <c r="D70" s="160" t="s">
        <v>377</v>
      </c>
      <c r="E70" s="160" t="s">
        <v>105</v>
      </c>
      <c r="F70" s="160" t="s">
        <v>185</v>
      </c>
      <c r="G70" s="161">
        <v>89035.199999999997</v>
      </c>
      <c r="H70" s="161">
        <v>89035.199999999997</v>
      </c>
      <c r="I70" s="160">
        <v>30</v>
      </c>
      <c r="J70" s="132">
        <f t="shared" si="0"/>
        <v>2026</v>
      </c>
      <c r="K70" s="132">
        <f t="shared" si="4"/>
        <v>14</v>
      </c>
      <c r="L70" s="132">
        <f t="shared" si="1"/>
        <v>18</v>
      </c>
      <c r="M70" s="132">
        <f t="shared" si="2"/>
        <v>2026</v>
      </c>
      <c r="N70" s="132">
        <f t="shared" si="5"/>
        <v>20</v>
      </c>
      <c r="O70" s="2"/>
      <c r="P70" s="2"/>
      <c r="Q70" s="2">
        <v>2027</v>
      </c>
      <c r="R70" s="2">
        <v>13</v>
      </c>
      <c r="S70" s="5">
        <f t="shared" si="13"/>
        <v>46472</v>
      </c>
      <c r="T70" s="60">
        <f>SUMIFS($H:$H,$N:$N,$R70,$M:$M,$Q70)</f>
        <v>0</v>
      </c>
      <c r="U70" s="61">
        <f t="shared" ref="U70:U106" si="14">SUM(T70:T70)</f>
        <v>0</v>
      </c>
      <c r="V70" s="2"/>
      <c r="W70" s="2"/>
      <c r="X70" s="2"/>
      <c r="Y70" s="2"/>
      <c r="Z70" s="2"/>
      <c r="AA70" s="2"/>
      <c r="AB70" s="2"/>
      <c r="AC70" s="2"/>
      <c r="AD70" s="2"/>
    </row>
    <row r="71" spans="1:30" ht="15" customHeight="1" x14ac:dyDescent="0.35">
      <c r="A71" s="2"/>
      <c r="B71" s="160" t="s">
        <v>130</v>
      </c>
      <c r="C71" s="160" t="s">
        <v>77</v>
      </c>
      <c r="D71" s="160" t="s">
        <v>378</v>
      </c>
      <c r="E71" s="160" t="s">
        <v>379</v>
      </c>
      <c r="F71" s="160" t="s">
        <v>185</v>
      </c>
      <c r="G71" s="161">
        <v>8736</v>
      </c>
      <c r="H71" s="161">
        <v>8736</v>
      </c>
      <c r="I71" s="160">
        <v>30</v>
      </c>
      <c r="J71" s="132">
        <f t="shared" si="0"/>
        <v>2026</v>
      </c>
      <c r="K71" s="132">
        <f t="shared" si="4"/>
        <v>14</v>
      </c>
      <c r="L71" s="132">
        <f t="shared" si="1"/>
        <v>18</v>
      </c>
      <c r="M71" s="132">
        <f t="shared" si="2"/>
        <v>2026</v>
      </c>
      <c r="N71" s="132">
        <f t="shared" si="5"/>
        <v>20</v>
      </c>
      <c r="Q71" s="2">
        <v>2027</v>
      </c>
      <c r="R71" s="2">
        <v>14</v>
      </c>
      <c r="S71" s="5">
        <f t="shared" ref="S71:S76" si="15">S70+7</f>
        <v>46479</v>
      </c>
      <c r="T71" s="60">
        <f>SUMIFS($H:$H,$N:$N,$R71,$M:$M,$Q71)</f>
        <v>0</v>
      </c>
      <c r="U71" s="61">
        <f t="shared" si="14"/>
        <v>0</v>
      </c>
    </row>
    <row r="72" spans="1:30" ht="15" customHeight="1" x14ac:dyDescent="0.35">
      <c r="A72" s="2"/>
      <c r="B72" s="160" t="s">
        <v>130</v>
      </c>
      <c r="C72" s="160" t="s">
        <v>77</v>
      </c>
      <c r="D72" s="160" t="s">
        <v>380</v>
      </c>
      <c r="E72" s="160" t="s">
        <v>138</v>
      </c>
      <c r="F72" s="160" t="s">
        <v>185</v>
      </c>
      <c r="G72" s="161">
        <v>10368</v>
      </c>
      <c r="H72" s="161">
        <v>10368</v>
      </c>
      <c r="I72" s="160">
        <v>30</v>
      </c>
      <c r="J72" s="132">
        <f t="shared" si="0"/>
        <v>2026</v>
      </c>
      <c r="K72" s="132">
        <f t="shared" si="4"/>
        <v>14</v>
      </c>
      <c r="L72" s="132">
        <f t="shared" si="1"/>
        <v>18</v>
      </c>
      <c r="M72" s="132">
        <f t="shared" si="2"/>
        <v>2026</v>
      </c>
      <c r="N72" s="132">
        <f t="shared" si="5"/>
        <v>20</v>
      </c>
      <c r="Q72" s="2">
        <v>2027</v>
      </c>
      <c r="R72" s="2">
        <v>15</v>
      </c>
      <c r="S72" s="5">
        <f t="shared" si="15"/>
        <v>46486</v>
      </c>
      <c r="T72" s="60">
        <f>SUMIFS($H:$H,$N:$N,$R72,$M:$M,$Q72)</f>
        <v>0</v>
      </c>
      <c r="U72" s="61">
        <f t="shared" si="14"/>
        <v>0</v>
      </c>
    </row>
    <row r="73" spans="1:30" ht="15" customHeight="1" x14ac:dyDescent="0.35">
      <c r="A73" s="2"/>
      <c r="B73" s="160" t="s">
        <v>130</v>
      </c>
      <c r="C73" s="160" t="s">
        <v>77</v>
      </c>
      <c r="D73" s="160" t="s">
        <v>381</v>
      </c>
      <c r="E73" s="160" t="s">
        <v>382</v>
      </c>
      <c r="F73" s="160" t="s">
        <v>185</v>
      </c>
      <c r="G73" s="161">
        <v>19440</v>
      </c>
      <c r="H73" s="161">
        <v>19440</v>
      </c>
      <c r="I73" s="160">
        <v>30</v>
      </c>
      <c r="J73" s="132">
        <f t="shared" si="0"/>
        <v>2026</v>
      </c>
      <c r="K73" s="132">
        <f t="shared" si="4"/>
        <v>14</v>
      </c>
      <c r="L73" s="132">
        <f t="shared" si="1"/>
        <v>18</v>
      </c>
      <c r="M73" s="132">
        <f t="shared" si="2"/>
        <v>2026</v>
      </c>
      <c r="N73" s="132">
        <f t="shared" si="5"/>
        <v>20</v>
      </c>
      <c r="Q73" s="2">
        <v>2027</v>
      </c>
      <c r="R73" s="2">
        <v>16</v>
      </c>
      <c r="S73" s="5">
        <f t="shared" si="15"/>
        <v>46493</v>
      </c>
      <c r="T73" s="60">
        <f>SUMIFS($H:$H,$N:$N,$R73,$M:$M,$Q73)</f>
        <v>0</v>
      </c>
      <c r="U73" s="61">
        <f t="shared" si="14"/>
        <v>0</v>
      </c>
    </row>
    <row r="74" spans="1:30" ht="15" customHeight="1" x14ac:dyDescent="0.35">
      <c r="A74" s="2"/>
      <c r="B74" s="160" t="s">
        <v>130</v>
      </c>
      <c r="C74" s="160" t="s">
        <v>77</v>
      </c>
      <c r="D74" s="160" t="s">
        <v>383</v>
      </c>
      <c r="E74" s="160" t="s">
        <v>384</v>
      </c>
      <c r="F74" s="160" t="s">
        <v>185</v>
      </c>
      <c r="G74" s="161">
        <v>27682</v>
      </c>
      <c r="H74" s="161">
        <v>27682</v>
      </c>
      <c r="I74" s="160">
        <v>30</v>
      </c>
      <c r="J74" s="132">
        <f t="shared" si="0"/>
        <v>2026</v>
      </c>
      <c r="K74" s="132">
        <f t="shared" si="4"/>
        <v>14</v>
      </c>
      <c r="L74" s="132">
        <f t="shared" si="1"/>
        <v>18</v>
      </c>
      <c r="M74" s="132">
        <f t="shared" si="2"/>
        <v>2026</v>
      </c>
      <c r="N74" s="132">
        <f t="shared" si="5"/>
        <v>20</v>
      </c>
      <c r="Q74" s="2">
        <v>2027</v>
      </c>
      <c r="R74" s="2">
        <v>17</v>
      </c>
      <c r="S74" s="5">
        <f t="shared" si="15"/>
        <v>46500</v>
      </c>
      <c r="T74" s="60">
        <f>SUMIFS($H:$H,$N:$N,$R74,$M:$M,$Q74)</f>
        <v>0</v>
      </c>
      <c r="U74" s="61">
        <f t="shared" si="14"/>
        <v>0</v>
      </c>
    </row>
    <row r="75" spans="1:30" ht="15" customHeight="1" x14ac:dyDescent="0.35">
      <c r="A75" s="2"/>
      <c r="B75" s="160" t="s">
        <v>130</v>
      </c>
      <c r="C75" s="160" t="s">
        <v>77</v>
      </c>
      <c r="D75" s="160" t="s">
        <v>385</v>
      </c>
      <c r="E75" s="160" t="s">
        <v>384</v>
      </c>
      <c r="F75" s="160" t="s">
        <v>185</v>
      </c>
      <c r="G75" s="161">
        <v>27682</v>
      </c>
      <c r="H75" s="161">
        <v>27682</v>
      </c>
      <c r="I75" s="160">
        <v>30</v>
      </c>
      <c r="J75" s="132">
        <f t="shared" si="0"/>
        <v>2026</v>
      </c>
      <c r="K75" s="132">
        <f t="shared" si="4"/>
        <v>14</v>
      </c>
      <c r="L75" s="132">
        <f t="shared" si="1"/>
        <v>18</v>
      </c>
      <c r="M75" s="132">
        <f t="shared" si="2"/>
        <v>2026</v>
      </c>
      <c r="N75" s="132">
        <f t="shared" si="5"/>
        <v>20</v>
      </c>
      <c r="Q75" s="2">
        <v>2027</v>
      </c>
      <c r="R75" s="2">
        <v>18</v>
      </c>
      <c r="S75" s="5">
        <f t="shared" si="15"/>
        <v>46507</v>
      </c>
      <c r="T75" s="60">
        <f>SUMIFS($H:$H,$N:$N,$R75,$M:$M,$Q75)</f>
        <v>0</v>
      </c>
      <c r="U75" s="61">
        <f t="shared" si="14"/>
        <v>0</v>
      </c>
    </row>
    <row r="76" spans="1:30" ht="15" customHeight="1" x14ac:dyDescent="0.35">
      <c r="A76" s="2"/>
      <c r="B76" s="160" t="s">
        <v>130</v>
      </c>
      <c r="C76" s="160" t="s">
        <v>77</v>
      </c>
      <c r="D76" s="160" t="s">
        <v>386</v>
      </c>
      <c r="E76" s="160" t="s">
        <v>384</v>
      </c>
      <c r="F76" s="160" t="s">
        <v>185</v>
      </c>
      <c r="G76" s="161">
        <v>27682</v>
      </c>
      <c r="H76" s="161">
        <v>27682</v>
      </c>
      <c r="I76" s="160">
        <v>30</v>
      </c>
      <c r="J76" s="132">
        <f t="shared" si="0"/>
        <v>2026</v>
      </c>
      <c r="K76" s="132">
        <f t="shared" si="4"/>
        <v>14</v>
      </c>
      <c r="L76" s="132">
        <f t="shared" si="1"/>
        <v>18</v>
      </c>
      <c r="M76" s="132">
        <f t="shared" si="2"/>
        <v>2026</v>
      </c>
      <c r="N76" s="132">
        <f t="shared" si="5"/>
        <v>20</v>
      </c>
      <c r="Q76" s="2">
        <v>2027</v>
      </c>
      <c r="R76" s="2">
        <v>19</v>
      </c>
      <c r="S76" s="5">
        <f t="shared" si="15"/>
        <v>46514</v>
      </c>
      <c r="T76" s="60">
        <f>SUMIFS($H:$H,$N:$N,$R76,$M:$M,$Q76)</f>
        <v>0</v>
      </c>
      <c r="U76" s="61">
        <f t="shared" si="14"/>
        <v>0</v>
      </c>
    </row>
    <row r="77" spans="1:30" ht="15" customHeight="1" x14ac:dyDescent="0.35">
      <c r="A77" s="2"/>
      <c r="B77" s="160" t="s">
        <v>130</v>
      </c>
      <c r="C77" s="160" t="s">
        <v>77</v>
      </c>
      <c r="D77" s="160" t="s">
        <v>387</v>
      </c>
      <c r="E77" s="160" t="s">
        <v>384</v>
      </c>
      <c r="F77" s="160" t="s">
        <v>185</v>
      </c>
      <c r="G77" s="161">
        <v>27682</v>
      </c>
      <c r="H77" s="161">
        <v>27682</v>
      </c>
      <c r="I77" s="160">
        <v>30</v>
      </c>
      <c r="J77" s="132">
        <f t="shared" si="0"/>
        <v>2026</v>
      </c>
      <c r="K77" s="132">
        <f t="shared" si="4"/>
        <v>14</v>
      </c>
      <c r="L77" s="132">
        <f t="shared" si="1"/>
        <v>18</v>
      </c>
      <c r="M77" s="132">
        <f t="shared" si="2"/>
        <v>2026</v>
      </c>
      <c r="N77" s="132">
        <f t="shared" si="5"/>
        <v>20</v>
      </c>
      <c r="Q77" s="2">
        <v>2027</v>
      </c>
      <c r="R77" s="2">
        <v>20</v>
      </c>
      <c r="S77" s="5">
        <f t="shared" ref="S77:S106" si="16">S76+7</f>
        <v>46521</v>
      </c>
      <c r="T77" s="60">
        <f>SUMIFS($H:$H,$N:$N,$R77,$M:$M,$Q77)</f>
        <v>0</v>
      </c>
      <c r="U77" s="61">
        <f t="shared" si="14"/>
        <v>0</v>
      </c>
    </row>
    <row r="78" spans="1:30" ht="15" customHeight="1" x14ac:dyDescent="0.35">
      <c r="A78" s="2"/>
      <c r="B78" s="160" t="s">
        <v>130</v>
      </c>
      <c r="C78" s="160" t="s">
        <v>77</v>
      </c>
      <c r="D78" s="160" t="s">
        <v>388</v>
      </c>
      <c r="E78" s="160" t="s">
        <v>384</v>
      </c>
      <c r="F78" s="160" t="s">
        <v>185</v>
      </c>
      <c r="G78" s="161">
        <v>27682</v>
      </c>
      <c r="H78" s="161">
        <v>27682</v>
      </c>
      <c r="I78" s="160">
        <v>30</v>
      </c>
      <c r="J78" s="132">
        <f t="shared" si="0"/>
        <v>2026</v>
      </c>
      <c r="K78" s="132">
        <f t="shared" si="4"/>
        <v>14</v>
      </c>
      <c r="L78" s="132">
        <f t="shared" si="1"/>
        <v>18</v>
      </c>
      <c r="M78" s="132">
        <f t="shared" si="2"/>
        <v>2026</v>
      </c>
      <c r="N78" s="132">
        <f t="shared" si="5"/>
        <v>20</v>
      </c>
      <c r="Q78" s="2">
        <v>2027</v>
      </c>
      <c r="R78" s="2">
        <v>21</v>
      </c>
      <c r="S78" s="5">
        <f t="shared" si="16"/>
        <v>46528</v>
      </c>
      <c r="T78" s="60">
        <f>SUMIFS($H:$H,$N:$N,$R78,$M:$M,$Q78)</f>
        <v>0</v>
      </c>
      <c r="U78" s="61">
        <f t="shared" si="14"/>
        <v>0</v>
      </c>
    </row>
    <row r="79" spans="1:30" ht="15" customHeight="1" x14ac:dyDescent="0.35">
      <c r="A79" s="2"/>
      <c r="B79" s="160" t="s">
        <v>130</v>
      </c>
      <c r="C79" s="160" t="s">
        <v>77</v>
      </c>
      <c r="D79" s="160" t="s">
        <v>389</v>
      </c>
      <c r="E79" s="160" t="s">
        <v>163</v>
      </c>
      <c r="F79" s="160" t="s">
        <v>185</v>
      </c>
      <c r="G79" s="161">
        <v>14750</v>
      </c>
      <c r="H79" s="161">
        <v>14750</v>
      </c>
      <c r="I79" s="160">
        <v>30</v>
      </c>
      <c r="J79" s="132">
        <f t="shared" si="0"/>
        <v>2026</v>
      </c>
      <c r="K79" s="132">
        <f t="shared" si="4"/>
        <v>14</v>
      </c>
      <c r="L79" s="132">
        <f t="shared" si="1"/>
        <v>18</v>
      </c>
      <c r="M79" s="132">
        <f t="shared" si="2"/>
        <v>2026</v>
      </c>
      <c r="N79" s="132">
        <f t="shared" si="5"/>
        <v>20</v>
      </c>
      <c r="Q79" s="2">
        <v>2027</v>
      </c>
      <c r="R79" s="2">
        <v>22</v>
      </c>
      <c r="S79" s="5">
        <f t="shared" si="16"/>
        <v>46535</v>
      </c>
      <c r="T79" s="60">
        <f>SUMIFS($H:$H,$N:$N,$R79,$M:$M,$Q79)</f>
        <v>0</v>
      </c>
      <c r="U79" s="61">
        <f t="shared" si="14"/>
        <v>0</v>
      </c>
    </row>
    <row r="80" spans="1:30" ht="15" customHeight="1" x14ac:dyDescent="0.35">
      <c r="A80" s="2"/>
      <c r="B80" s="160" t="s">
        <v>130</v>
      </c>
      <c r="C80" s="160" t="s">
        <v>77</v>
      </c>
      <c r="D80" s="160" t="s">
        <v>390</v>
      </c>
      <c r="E80" s="160" t="s">
        <v>116</v>
      </c>
      <c r="F80" s="160" t="s">
        <v>185</v>
      </c>
      <c r="G80" s="161">
        <v>22632</v>
      </c>
      <c r="H80" s="161">
        <v>22632</v>
      </c>
      <c r="I80" s="160">
        <v>30</v>
      </c>
      <c r="J80" s="132">
        <f t="shared" si="0"/>
        <v>2026</v>
      </c>
      <c r="K80" s="132">
        <f t="shared" si="4"/>
        <v>14</v>
      </c>
      <c r="L80" s="132">
        <f t="shared" si="1"/>
        <v>18</v>
      </c>
      <c r="M80" s="132">
        <f t="shared" si="2"/>
        <v>2026</v>
      </c>
      <c r="N80" s="132">
        <f t="shared" si="5"/>
        <v>20</v>
      </c>
      <c r="Q80" s="2">
        <v>2027</v>
      </c>
      <c r="R80" s="2">
        <v>23</v>
      </c>
      <c r="S80" s="5">
        <f t="shared" si="16"/>
        <v>46542</v>
      </c>
      <c r="T80" s="60">
        <f>SUMIFS($H:$H,$N:$N,$R80,$M:$M,$Q80)</f>
        <v>0</v>
      </c>
      <c r="U80" s="61">
        <f t="shared" si="14"/>
        <v>0</v>
      </c>
    </row>
    <row r="81" spans="1:31" ht="15.75" customHeight="1" x14ac:dyDescent="0.35">
      <c r="A81" s="2"/>
      <c r="B81" s="160" t="s">
        <v>130</v>
      </c>
      <c r="C81" s="160" t="s">
        <v>77</v>
      </c>
      <c r="D81" s="160" t="s">
        <v>391</v>
      </c>
      <c r="E81" s="160" t="s">
        <v>81</v>
      </c>
      <c r="F81" s="160" t="s">
        <v>185</v>
      </c>
      <c r="G81" s="161">
        <v>7920</v>
      </c>
      <c r="H81" s="161">
        <v>7920</v>
      </c>
      <c r="I81" s="160">
        <v>30</v>
      </c>
      <c r="J81" s="132">
        <f t="shared" si="0"/>
        <v>2026</v>
      </c>
      <c r="K81" s="132">
        <f t="shared" si="4"/>
        <v>14</v>
      </c>
      <c r="L81" s="132">
        <f t="shared" si="1"/>
        <v>18</v>
      </c>
      <c r="M81" s="132">
        <f t="shared" si="2"/>
        <v>2026</v>
      </c>
      <c r="N81" s="132">
        <f t="shared" si="5"/>
        <v>20</v>
      </c>
      <c r="Q81" s="2">
        <v>2027</v>
      </c>
      <c r="R81" s="2">
        <v>24</v>
      </c>
      <c r="S81" s="5">
        <f t="shared" si="16"/>
        <v>46549</v>
      </c>
      <c r="T81" s="60">
        <f>SUMIFS($H:$H,$N:$N,$R81,$M:$M,$Q81)</f>
        <v>0</v>
      </c>
      <c r="U81" s="61">
        <f t="shared" si="14"/>
        <v>0</v>
      </c>
    </row>
    <row r="82" spans="1:31" ht="15.75" customHeight="1" x14ac:dyDescent="0.35">
      <c r="A82" s="2"/>
      <c r="B82" s="160" t="s">
        <v>130</v>
      </c>
      <c r="C82" s="160" t="s">
        <v>77</v>
      </c>
      <c r="D82" s="160" t="s">
        <v>392</v>
      </c>
      <c r="E82" s="160" t="s">
        <v>84</v>
      </c>
      <c r="F82" s="160" t="s">
        <v>185</v>
      </c>
      <c r="G82" s="161">
        <v>2600</v>
      </c>
      <c r="H82" s="161">
        <v>2600</v>
      </c>
      <c r="I82" s="160">
        <v>30</v>
      </c>
      <c r="J82" s="132">
        <f t="shared" si="0"/>
        <v>2026</v>
      </c>
      <c r="K82" s="132">
        <f t="shared" si="4"/>
        <v>14</v>
      </c>
      <c r="L82" s="132">
        <f t="shared" si="1"/>
        <v>18</v>
      </c>
      <c r="M82" s="132">
        <f t="shared" si="2"/>
        <v>2026</v>
      </c>
      <c r="N82" s="132">
        <f t="shared" si="5"/>
        <v>20</v>
      </c>
      <c r="Q82" s="2">
        <v>2027</v>
      </c>
      <c r="R82" s="2">
        <v>25</v>
      </c>
      <c r="S82" s="5">
        <f t="shared" si="16"/>
        <v>46556</v>
      </c>
      <c r="T82" s="60">
        <f>SUMIFS($H:$H,$N:$N,$R82,$M:$M,$Q82)</f>
        <v>0</v>
      </c>
      <c r="U82" s="61">
        <f t="shared" si="14"/>
        <v>0</v>
      </c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.75" customHeight="1" x14ac:dyDescent="0.35">
      <c r="A83" s="2"/>
      <c r="B83" s="160" t="s">
        <v>130</v>
      </c>
      <c r="C83" s="160" t="s">
        <v>77</v>
      </c>
      <c r="D83" s="160" t="s">
        <v>393</v>
      </c>
      <c r="E83" s="160" t="s">
        <v>139</v>
      </c>
      <c r="F83" s="160" t="s">
        <v>185</v>
      </c>
      <c r="G83" s="161">
        <v>14946.67</v>
      </c>
      <c r="H83" s="161">
        <v>14946.67</v>
      </c>
      <c r="I83" s="160">
        <v>30</v>
      </c>
      <c r="J83" s="132">
        <f t="shared" si="0"/>
        <v>2026</v>
      </c>
      <c r="K83" s="132">
        <f t="shared" si="4"/>
        <v>14</v>
      </c>
      <c r="L83" s="132">
        <f t="shared" si="1"/>
        <v>18</v>
      </c>
      <c r="M83" s="132">
        <f t="shared" si="2"/>
        <v>2026</v>
      </c>
      <c r="N83" s="132">
        <f t="shared" si="5"/>
        <v>20</v>
      </c>
      <c r="Q83" s="2">
        <v>2027</v>
      </c>
      <c r="R83" s="2">
        <v>26</v>
      </c>
      <c r="S83" s="5">
        <f t="shared" si="16"/>
        <v>46563</v>
      </c>
      <c r="T83" s="60">
        <f>SUMIFS($H:$H,$N:$N,$R83,$M:$M,$Q83)</f>
        <v>0</v>
      </c>
      <c r="U83" s="61">
        <f t="shared" si="14"/>
        <v>0</v>
      </c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.75" customHeight="1" x14ac:dyDescent="0.35">
      <c r="A84" s="2"/>
      <c r="B84" s="160" t="s">
        <v>130</v>
      </c>
      <c r="C84" s="160" t="s">
        <v>77</v>
      </c>
      <c r="D84" s="160" t="s">
        <v>394</v>
      </c>
      <c r="E84" s="160" t="s">
        <v>395</v>
      </c>
      <c r="F84" s="160" t="s">
        <v>185</v>
      </c>
      <c r="G84" s="161">
        <v>720</v>
      </c>
      <c r="H84" s="161">
        <v>720</v>
      </c>
      <c r="I84" s="160">
        <v>30</v>
      </c>
      <c r="J84" s="132">
        <f t="shared" si="0"/>
        <v>2026</v>
      </c>
      <c r="K84" s="132">
        <f t="shared" si="4"/>
        <v>14</v>
      </c>
      <c r="L84" s="132">
        <f t="shared" si="1"/>
        <v>18</v>
      </c>
      <c r="M84" s="132">
        <f t="shared" si="2"/>
        <v>2026</v>
      </c>
      <c r="N84" s="132">
        <f t="shared" si="5"/>
        <v>20</v>
      </c>
      <c r="Q84" s="2">
        <v>2027</v>
      </c>
      <c r="R84" s="2">
        <v>27</v>
      </c>
      <c r="S84" s="5">
        <f t="shared" si="16"/>
        <v>46570</v>
      </c>
      <c r="T84" s="60">
        <f>SUMIFS($H:$H,$N:$N,$R84,$M:$M,$Q84)</f>
        <v>0</v>
      </c>
      <c r="U84" s="61">
        <f t="shared" si="14"/>
        <v>0</v>
      </c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.75" customHeight="1" x14ac:dyDescent="0.35">
      <c r="A85" s="2"/>
      <c r="B85" s="160" t="s">
        <v>140</v>
      </c>
      <c r="C85" s="160" t="s">
        <v>77</v>
      </c>
      <c r="D85" s="160" t="s">
        <v>338</v>
      </c>
      <c r="E85" s="160" t="s">
        <v>167</v>
      </c>
      <c r="F85" s="160" t="s">
        <v>187</v>
      </c>
      <c r="G85" s="161">
        <v>7000</v>
      </c>
      <c r="H85" s="161">
        <v>7000</v>
      </c>
      <c r="I85" s="160">
        <v>60</v>
      </c>
      <c r="J85" s="132">
        <f t="shared" si="0"/>
        <v>2026</v>
      </c>
      <c r="K85" s="132">
        <f t="shared" si="4"/>
        <v>10</v>
      </c>
      <c r="L85" s="132">
        <f t="shared" si="1"/>
        <v>18</v>
      </c>
      <c r="M85" s="132">
        <f t="shared" si="2"/>
        <v>2026</v>
      </c>
      <c r="N85" s="132">
        <f t="shared" si="5"/>
        <v>20</v>
      </c>
      <c r="Q85" s="2">
        <v>2027</v>
      </c>
      <c r="R85" s="2">
        <v>28</v>
      </c>
      <c r="S85" s="5">
        <f t="shared" si="16"/>
        <v>46577</v>
      </c>
      <c r="T85" s="60">
        <f>SUMIFS($H:$H,$N:$N,$R85,$M:$M,$Q85)</f>
        <v>0</v>
      </c>
      <c r="U85" s="61">
        <f t="shared" si="14"/>
        <v>0</v>
      </c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.75" customHeight="1" x14ac:dyDescent="0.35">
      <c r="A86" s="2"/>
      <c r="B86" s="160" t="s">
        <v>132</v>
      </c>
      <c r="C86" s="160" t="s">
        <v>77</v>
      </c>
      <c r="D86" s="160" t="s">
        <v>309</v>
      </c>
      <c r="E86" s="160" t="s">
        <v>85</v>
      </c>
      <c r="F86" s="160" t="s">
        <v>187</v>
      </c>
      <c r="G86" s="161">
        <v>54720</v>
      </c>
      <c r="H86" s="161">
        <v>54720</v>
      </c>
      <c r="I86" s="160">
        <v>30</v>
      </c>
      <c r="J86" s="132">
        <f t="shared" si="0"/>
        <v>2026</v>
      </c>
      <c r="K86" s="132">
        <f t="shared" si="4"/>
        <v>14</v>
      </c>
      <c r="L86" s="132">
        <f t="shared" si="1"/>
        <v>18</v>
      </c>
      <c r="M86" s="132">
        <f t="shared" si="2"/>
        <v>2026</v>
      </c>
      <c r="N86" s="132">
        <f t="shared" si="5"/>
        <v>20</v>
      </c>
      <c r="Q86" s="2">
        <v>2027</v>
      </c>
      <c r="R86" s="2">
        <v>29</v>
      </c>
      <c r="S86" s="5">
        <f t="shared" si="16"/>
        <v>46584</v>
      </c>
      <c r="T86" s="60">
        <f>SUMIFS($H:$H,$N:$N,$R86,$M:$M,$Q86)</f>
        <v>0</v>
      </c>
      <c r="U86" s="61">
        <f t="shared" si="14"/>
        <v>0</v>
      </c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.75" customHeight="1" x14ac:dyDescent="0.35">
      <c r="A87" s="2"/>
      <c r="B87" s="160" t="s">
        <v>132</v>
      </c>
      <c r="C87" s="160" t="s">
        <v>77</v>
      </c>
      <c r="D87" s="160" t="s">
        <v>310</v>
      </c>
      <c r="E87" s="160" t="s">
        <v>85</v>
      </c>
      <c r="F87" s="160" t="s">
        <v>187</v>
      </c>
      <c r="G87" s="161">
        <v>36480</v>
      </c>
      <c r="H87" s="161">
        <v>36480</v>
      </c>
      <c r="I87" s="160">
        <v>30</v>
      </c>
      <c r="J87" s="132">
        <f t="shared" si="0"/>
        <v>2026</v>
      </c>
      <c r="K87" s="132">
        <f t="shared" si="4"/>
        <v>14</v>
      </c>
      <c r="L87" s="132">
        <f t="shared" si="1"/>
        <v>18</v>
      </c>
      <c r="M87" s="132">
        <f t="shared" si="2"/>
        <v>2026</v>
      </c>
      <c r="N87" s="132">
        <f t="shared" si="5"/>
        <v>20</v>
      </c>
      <c r="Q87" s="2">
        <v>2027</v>
      </c>
      <c r="R87" s="2">
        <v>30</v>
      </c>
      <c r="S87" s="5">
        <f t="shared" si="16"/>
        <v>46591</v>
      </c>
      <c r="T87" s="60">
        <f>SUMIFS($H:$H,$N:$N,$R87,$M:$M,$Q87)</f>
        <v>0</v>
      </c>
      <c r="U87" s="61">
        <f t="shared" si="14"/>
        <v>0</v>
      </c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.75" customHeight="1" x14ac:dyDescent="0.35">
      <c r="A88" s="2"/>
      <c r="B88" s="160" t="s">
        <v>364</v>
      </c>
      <c r="C88" s="160" t="s">
        <v>77</v>
      </c>
      <c r="D88" s="160" t="s">
        <v>396</v>
      </c>
      <c r="E88" s="160" t="s">
        <v>103</v>
      </c>
      <c r="F88" s="160" t="s">
        <v>397</v>
      </c>
      <c r="G88" s="161">
        <v>135160</v>
      </c>
      <c r="H88" s="161">
        <v>135160</v>
      </c>
      <c r="I88" s="160">
        <v>45</v>
      </c>
      <c r="J88" s="132">
        <f t="shared" si="0"/>
        <v>2026</v>
      </c>
      <c r="K88" s="132">
        <f t="shared" si="4"/>
        <v>13</v>
      </c>
      <c r="L88" s="132">
        <f t="shared" si="1"/>
        <v>20</v>
      </c>
      <c r="M88" s="132">
        <f t="shared" si="2"/>
        <v>2026</v>
      </c>
      <c r="N88" s="132">
        <f t="shared" si="5"/>
        <v>22</v>
      </c>
      <c r="Q88" s="2">
        <v>2027</v>
      </c>
      <c r="R88" s="2">
        <v>31</v>
      </c>
      <c r="S88" s="5">
        <f t="shared" si="16"/>
        <v>46598</v>
      </c>
      <c r="T88" s="60">
        <f>SUMIFS($H:$H,$N:$N,$R88,$M:$M,$Q88)</f>
        <v>0</v>
      </c>
      <c r="U88" s="61">
        <f t="shared" si="14"/>
        <v>0</v>
      </c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.75" customHeight="1" x14ac:dyDescent="0.35">
      <c r="A89" s="2"/>
      <c r="B89" s="160" t="s">
        <v>364</v>
      </c>
      <c r="C89" s="160" t="s">
        <v>77</v>
      </c>
      <c r="D89" s="160" t="s">
        <v>398</v>
      </c>
      <c r="E89" s="160" t="s">
        <v>145</v>
      </c>
      <c r="F89" s="160" t="s">
        <v>397</v>
      </c>
      <c r="G89" s="161">
        <v>57510</v>
      </c>
      <c r="H89" s="161">
        <v>57510</v>
      </c>
      <c r="I89" s="160">
        <v>45</v>
      </c>
      <c r="J89" s="132">
        <f t="shared" si="0"/>
        <v>2026</v>
      </c>
      <c r="K89" s="132">
        <f t="shared" si="4"/>
        <v>13</v>
      </c>
      <c r="L89" s="132">
        <f t="shared" si="1"/>
        <v>20</v>
      </c>
      <c r="M89" s="132">
        <f t="shared" si="2"/>
        <v>2026</v>
      </c>
      <c r="N89" s="132">
        <f t="shared" si="5"/>
        <v>22</v>
      </c>
      <c r="Q89" s="2">
        <v>2027</v>
      </c>
      <c r="R89" s="2">
        <v>32</v>
      </c>
      <c r="S89" s="5">
        <f t="shared" si="16"/>
        <v>46605</v>
      </c>
      <c r="T89" s="60">
        <f>SUMIFS($H:$H,$N:$N,$R89,$M:$M,$Q89)</f>
        <v>0</v>
      </c>
      <c r="U89" s="61">
        <f t="shared" si="14"/>
        <v>0</v>
      </c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.75" customHeight="1" x14ac:dyDescent="0.35">
      <c r="A90" s="2"/>
      <c r="B90" s="160" t="s">
        <v>364</v>
      </c>
      <c r="C90" s="160" t="s">
        <v>77</v>
      </c>
      <c r="D90" s="160" t="s">
        <v>399</v>
      </c>
      <c r="E90" s="160" t="s">
        <v>145</v>
      </c>
      <c r="F90" s="160" t="s">
        <v>397</v>
      </c>
      <c r="G90" s="161">
        <v>57510</v>
      </c>
      <c r="H90" s="161">
        <v>57510</v>
      </c>
      <c r="I90" s="160">
        <v>45</v>
      </c>
      <c r="J90" s="132">
        <f t="shared" si="0"/>
        <v>2026</v>
      </c>
      <c r="K90" s="132">
        <f t="shared" si="4"/>
        <v>13</v>
      </c>
      <c r="L90" s="132">
        <f t="shared" si="1"/>
        <v>20</v>
      </c>
      <c r="M90" s="132">
        <f t="shared" si="2"/>
        <v>2026</v>
      </c>
      <c r="N90" s="132">
        <f t="shared" si="5"/>
        <v>22</v>
      </c>
      <c r="Q90" s="2">
        <v>2027</v>
      </c>
      <c r="R90" s="2">
        <v>33</v>
      </c>
      <c r="S90" s="5">
        <f t="shared" si="16"/>
        <v>46612</v>
      </c>
      <c r="T90" s="60">
        <f>SUMIFS($H:$H,$N:$N,$R90,$M:$M,$Q90)</f>
        <v>0</v>
      </c>
      <c r="U90" s="61">
        <f t="shared" si="14"/>
        <v>0</v>
      </c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.75" customHeight="1" x14ac:dyDescent="0.35">
      <c r="A91" s="2"/>
      <c r="B91" s="160" t="s">
        <v>156</v>
      </c>
      <c r="C91" s="160" t="s">
        <v>77</v>
      </c>
      <c r="D91" s="160" t="s">
        <v>400</v>
      </c>
      <c r="E91" s="160" t="s">
        <v>145</v>
      </c>
      <c r="F91" s="160" t="s">
        <v>401</v>
      </c>
      <c r="G91" s="161">
        <v>57510</v>
      </c>
      <c r="H91" s="161">
        <v>57510</v>
      </c>
      <c r="I91" s="160">
        <v>45</v>
      </c>
      <c r="J91" s="132">
        <f t="shared" si="0"/>
        <v>2026</v>
      </c>
      <c r="K91" s="132">
        <f t="shared" si="4"/>
        <v>13</v>
      </c>
      <c r="L91" s="132">
        <f t="shared" si="1"/>
        <v>20</v>
      </c>
      <c r="M91" s="132">
        <f t="shared" si="2"/>
        <v>2026</v>
      </c>
      <c r="N91" s="132">
        <f t="shared" si="5"/>
        <v>22</v>
      </c>
      <c r="Q91" s="2">
        <v>2027</v>
      </c>
      <c r="R91" s="2">
        <v>34</v>
      </c>
      <c r="S91" s="5">
        <f t="shared" si="16"/>
        <v>46619</v>
      </c>
      <c r="T91" s="60">
        <f t="shared" ref="T91:T105" si="17">SUMIFS($H:$H,$N:$N,$R91,$M:$M,$Q91)</f>
        <v>0</v>
      </c>
      <c r="U91" s="61">
        <f t="shared" si="14"/>
        <v>0</v>
      </c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.75" customHeight="1" x14ac:dyDescent="0.35">
      <c r="A92" s="2"/>
      <c r="B92" s="160" t="s">
        <v>156</v>
      </c>
      <c r="C92" s="160" t="s">
        <v>77</v>
      </c>
      <c r="D92" s="160" t="s">
        <v>402</v>
      </c>
      <c r="E92" s="160" t="s">
        <v>403</v>
      </c>
      <c r="F92" s="160" t="s">
        <v>401</v>
      </c>
      <c r="G92" s="161">
        <v>110532</v>
      </c>
      <c r="H92" s="161">
        <v>110532</v>
      </c>
      <c r="I92" s="160">
        <v>45</v>
      </c>
      <c r="J92" s="132">
        <f t="shared" si="0"/>
        <v>2026</v>
      </c>
      <c r="K92" s="132">
        <f t="shared" si="4"/>
        <v>13</v>
      </c>
      <c r="L92" s="132">
        <f t="shared" si="1"/>
        <v>20</v>
      </c>
      <c r="M92" s="132">
        <f t="shared" si="2"/>
        <v>2026</v>
      </c>
      <c r="N92" s="132">
        <f t="shared" si="5"/>
        <v>22</v>
      </c>
      <c r="Q92" s="2">
        <v>2027</v>
      </c>
      <c r="R92" s="2">
        <v>35</v>
      </c>
      <c r="S92" s="5">
        <f t="shared" si="16"/>
        <v>46626</v>
      </c>
      <c r="T92" s="60">
        <f t="shared" si="17"/>
        <v>0</v>
      </c>
      <c r="U92" s="61">
        <f t="shared" si="14"/>
        <v>0</v>
      </c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.75" customHeight="1" x14ac:dyDescent="0.35">
      <c r="A93" s="2"/>
      <c r="B93" s="160" t="s">
        <v>129</v>
      </c>
      <c r="C93" s="160" t="s">
        <v>77</v>
      </c>
      <c r="D93" s="160" t="s">
        <v>404</v>
      </c>
      <c r="E93" s="160" t="s">
        <v>405</v>
      </c>
      <c r="F93" s="160" t="s">
        <v>406</v>
      </c>
      <c r="G93" s="161">
        <v>25400</v>
      </c>
      <c r="H93" s="161">
        <v>25400</v>
      </c>
      <c r="I93" s="160">
        <v>45</v>
      </c>
      <c r="J93" s="132">
        <f t="shared" si="0"/>
        <v>2026</v>
      </c>
      <c r="K93" s="132">
        <f t="shared" si="4"/>
        <v>14</v>
      </c>
      <c r="L93" s="132">
        <f t="shared" si="1"/>
        <v>20</v>
      </c>
      <c r="M93" s="132">
        <f t="shared" si="2"/>
        <v>2026</v>
      </c>
      <c r="N93" s="132">
        <f t="shared" si="5"/>
        <v>22</v>
      </c>
      <c r="Q93" s="2">
        <v>2027</v>
      </c>
      <c r="R93" s="2">
        <v>36</v>
      </c>
      <c r="S93" s="5">
        <f t="shared" si="16"/>
        <v>46633</v>
      </c>
      <c r="T93" s="60">
        <f t="shared" si="17"/>
        <v>0</v>
      </c>
      <c r="U93" s="61">
        <f t="shared" si="14"/>
        <v>0</v>
      </c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.75" customHeight="1" x14ac:dyDescent="0.35">
      <c r="A94" s="2"/>
      <c r="B94" s="160" t="s">
        <v>129</v>
      </c>
      <c r="C94" s="160" t="s">
        <v>77</v>
      </c>
      <c r="D94" s="160" t="s">
        <v>407</v>
      </c>
      <c r="E94" s="160" t="s">
        <v>408</v>
      </c>
      <c r="F94" s="160" t="s">
        <v>406</v>
      </c>
      <c r="G94" s="161">
        <v>85000</v>
      </c>
      <c r="H94" s="161">
        <v>85000</v>
      </c>
      <c r="I94" s="160">
        <v>45</v>
      </c>
      <c r="J94" s="132">
        <f t="shared" si="0"/>
        <v>2026</v>
      </c>
      <c r="K94" s="132">
        <f t="shared" si="4"/>
        <v>14</v>
      </c>
      <c r="L94" s="132">
        <f t="shared" si="1"/>
        <v>20</v>
      </c>
      <c r="M94" s="132">
        <f t="shared" si="2"/>
        <v>2026</v>
      </c>
      <c r="N94" s="132">
        <f t="shared" si="5"/>
        <v>22</v>
      </c>
      <c r="Q94" s="2">
        <v>2027</v>
      </c>
      <c r="R94" s="2">
        <v>37</v>
      </c>
      <c r="S94" s="5">
        <f t="shared" si="16"/>
        <v>46640</v>
      </c>
      <c r="T94" s="60">
        <f t="shared" si="17"/>
        <v>0</v>
      </c>
      <c r="U94" s="61">
        <f t="shared" si="14"/>
        <v>0</v>
      </c>
      <c r="V94" s="2"/>
      <c r="W94" s="2"/>
      <c r="X94" s="2"/>
      <c r="Y94" s="2"/>
      <c r="Z94" s="2"/>
      <c r="AA94" s="2"/>
      <c r="AB94" s="2"/>
      <c r="AC94" s="2"/>
      <c r="AD94" s="2"/>
    </row>
    <row r="95" spans="1:31" ht="15.75" customHeight="1" x14ac:dyDescent="0.35">
      <c r="A95" s="2"/>
      <c r="B95" s="160" t="s">
        <v>129</v>
      </c>
      <c r="C95" s="160" t="s">
        <v>77</v>
      </c>
      <c r="D95" s="160" t="s">
        <v>409</v>
      </c>
      <c r="E95" s="160" t="s">
        <v>410</v>
      </c>
      <c r="F95" s="160" t="s">
        <v>406</v>
      </c>
      <c r="G95" s="161">
        <v>68830</v>
      </c>
      <c r="H95" s="161">
        <v>68830</v>
      </c>
      <c r="I95" s="160">
        <v>45</v>
      </c>
      <c r="J95" s="132">
        <f t="shared" si="0"/>
        <v>2026</v>
      </c>
      <c r="K95" s="132">
        <f t="shared" si="4"/>
        <v>14</v>
      </c>
      <c r="L95" s="132">
        <f t="shared" si="1"/>
        <v>20</v>
      </c>
      <c r="M95" s="132">
        <f t="shared" si="2"/>
        <v>2026</v>
      </c>
      <c r="N95" s="132">
        <f t="shared" si="5"/>
        <v>22</v>
      </c>
      <c r="Q95" s="2">
        <v>2027</v>
      </c>
      <c r="R95" s="2">
        <v>38</v>
      </c>
      <c r="S95" s="5">
        <f t="shared" si="16"/>
        <v>46647</v>
      </c>
      <c r="T95" s="60">
        <f t="shared" si="17"/>
        <v>0</v>
      </c>
      <c r="U95" s="61">
        <f t="shared" si="14"/>
        <v>0</v>
      </c>
      <c r="V95" s="2"/>
      <c r="W95" s="2"/>
      <c r="X95" s="2"/>
      <c r="Y95" s="2"/>
      <c r="Z95" s="2"/>
      <c r="AA95" s="2"/>
      <c r="AB95" s="2"/>
      <c r="AC95" s="2"/>
      <c r="AD95" s="2"/>
    </row>
    <row r="96" spans="1:31" ht="15.75" customHeight="1" x14ac:dyDescent="0.35">
      <c r="A96" s="2"/>
      <c r="B96" s="160" t="s">
        <v>129</v>
      </c>
      <c r="C96" s="160" t="s">
        <v>77</v>
      </c>
      <c r="D96" s="160" t="s">
        <v>411</v>
      </c>
      <c r="E96" s="160" t="s">
        <v>412</v>
      </c>
      <c r="F96" s="160" t="s">
        <v>406</v>
      </c>
      <c r="G96" s="161">
        <v>49920</v>
      </c>
      <c r="H96" s="161">
        <v>49920</v>
      </c>
      <c r="I96" s="160">
        <v>45</v>
      </c>
      <c r="J96" s="132">
        <f t="shared" si="0"/>
        <v>2026</v>
      </c>
      <c r="K96" s="132">
        <f t="shared" si="4"/>
        <v>14</v>
      </c>
      <c r="L96" s="132">
        <f t="shared" si="1"/>
        <v>20</v>
      </c>
      <c r="M96" s="132">
        <f t="shared" si="2"/>
        <v>2026</v>
      </c>
      <c r="N96" s="132">
        <f t="shared" si="5"/>
        <v>22</v>
      </c>
      <c r="Q96" s="2">
        <v>2027</v>
      </c>
      <c r="R96" s="2">
        <v>39</v>
      </c>
      <c r="S96" s="5">
        <f t="shared" si="16"/>
        <v>46654</v>
      </c>
      <c r="T96" s="60">
        <f t="shared" si="17"/>
        <v>0</v>
      </c>
      <c r="U96" s="61">
        <f t="shared" si="14"/>
        <v>0</v>
      </c>
      <c r="V96" s="2"/>
      <c r="W96" s="2"/>
      <c r="X96" s="2"/>
      <c r="Y96" s="2"/>
      <c r="Z96" s="2"/>
      <c r="AA96" s="2"/>
      <c r="AB96" s="2"/>
      <c r="AC96" s="2"/>
      <c r="AD96" s="2"/>
    </row>
    <row r="97" spans="1:30" ht="15.75" customHeight="1" x14ac:dyDescent="0.35">
      <c r="A97" s="2"/>
      <c r="B97" s="160" t="s">
        <v>177</v>
      </c>
      <c r="C97" s="160" t="s">
        <v>77</v>
      </c>
      <c r="D97" s="160" t="s">
        <v>413</v>
      </c>
      <c r="E97" s="160" t="s">
        <v>100</v>
      </c>
      <c r="F97" s="160" t="s">
        <v>406</v>
      </c>
      <c r="G97" s="161">
        <v>96981</v>
      </c>
      <c r="H97" s="161">
        <v>96981</v>
      </c>
      <c r="I97" s="160">
        <v>30</v>
      </c>
      <c r="J97" s="132">
        <f t="shared" si="0"/>
        <v>2026</v>
      </c>
      <c r="K97" s="132">
        <f t="shared" si="4"/>
        <v>16</v>
      </c>
      <c r="L97" s="132">
        <f t="shared" si="1"/>
        <v>20</v>
      </c>
      <c r="M97" s="132">
        <f t="shared" si="2"/>
        <v>2026</v>
      </c>
      <c r="N97" s="132">
        <f t="shared" si="5"/>
        <v>22</v>
      </c>
      <c r="Q97" s="2">
        <v>2027</v>
      </c>
      <c r="R97" s="2">
        <v>40</v>
      </c>
      <c r="S97" s="5">
        <f t="shared" si="16"/>
        <v>46661</v>
      </c>
      <c r="T97" s="60">
        <f t="shared" si="17"/>
        <v>0</v>
      </c>
      <c r="U97" s="61">
        <f t="shared" si="14"/>
        <v>0</v>
      </c>
      <c r="V97" s="2"/>
      <c r="W97" s="2"/>
      <c r="X97" s="2"/>
      <c r="Y97" s="2"/>
      <c r="Z97" s="2"/>
      <c r="AA97" s="2"/>
      <c r="AB97" s="2"/>
      <c r="AC97" s="2"/>
      <c r="AD97" s="2"/>
    </row>
    <row r="98" spans="1:30" ht="15.75" customHeight="1" x14ac:dyDescent="0.35">
      <c r="A98" s="2"/>
      <c r="B98" s="160" t="s">
        <v>128</v>
      </c>
      <c r="C98" s="160" t="s">
        <v>77</v>
      </c>
      <c r="D98" s="160" t="s">
        <v>339</v>
      </c>
      <c r="E98" s="160" t="s">
        <v>126</v>
      </c>
      <c r="F98" s="160" t="s">
        <v>340</v>
      </c>
      <c r="G98" s="161">
        <v>34560</v>
      </c>
      <c r="H98" s="161">
        <v>34560</v>
      </c>
      <c r="I98" s="160">
        <v>60</v>
      </c>
      <c r="J98" s="132">
        <f t="shared" si="0"/>
        <v>2026</v>
      </c>
      <c r="K98" s="132">
        <f t="shared" si="4"/>
        <v>12</v>
      </c>
      <c r="L98" s="132">
        <f t="shared" si="1"/>
        <v>20</v>
      </c>
      <c r="M98" s="132">
        <f t="shared" si="2"/>
        <v>2026</v>
      </c>
      <c r="N98" s="132">
        <f t="shared" si="5"/>
        <v>22</v>
      </c>
      <c r="O98" s="2"/>
      <c r="P98" s="2"/>
      <c r="Q98" s="2">
        <v>2027</v>
      </c>
      <c r="R98" s="2">
        <v>41</v>
      </c>
      <c r="S98" s="5">
        <f t="shared" si="16"/>
        <v>46668</v>
      </c>
      <c r="T98" s="60">
        <f t="shared" si="17"/>
        <v>0</v>
      </c>
      <c r="U98" s="61">
        <f t="shared" si="14"/>
        <v>0</v>
      </c>
      <c r="V98" s="2"/>
      <c r="W98" s="2"/>
      <c r="X98" s="2"/>
      <c r="Y98" s="2"/>
      <c r="Z98" s="2"/>
      <c r="AA98" s="2"/>
      <c r="AB98" s="2"/>
      <c r="AC98" s="2"/>
      <c r="AD98" s="2"/>
    </row>
    <row r="99" spans="1:30" ht="15.75" customHeight="1" x14ac:dyDescent="0.35">
      <c r="A99" s="2"/>
      <c r="B99" s="160" t="s">
        <v>128</v>
      </c>
      <c r="C99" s="160" t="s">
        <v>77</v>
      </c>
      <c r="D99" s="160" t="s">
        <v>341</v>
      </c>
      <c r="E99" s="160" t="s">
        <v>342</v>
      </c>
      <c r="F99" s="160" t="s">
        <v>340</v>
      </c>
      <c r="G99" s="161">
        <v>59500</v>
      </c>
      <c r="H99" s="161">
        <v>59500</v>
      </c>
      <c r="I99" s="160">
        <v>60</v>
      </c>
      <c r="J99" s="132">
        <f t="shared" si="0"/>
        <v>2026</v>
      </c>
      <c r="K99" s="132">
        <f t="shared" si="4"/>
        <v>12</v>
      </c>
      <c r="L99" s="132">
        <f t="shared" si="1"/>
        <v>20</v>
      </c>
      <c r="M99" s="132">
        <f t="shared" si="2"/>
        <v>2026</v>
      </c>
      <c r="N99" s="132">
        <f t="shared" si="5"/>
        <v>22</v>
      </c>
      <c r="O99" s="2"/>
      <c r="P99" s="2"/>
      <c r="Q99" s="2">
        <v>2027</v>
      </c>
      <c r="R99" s="2">
        <v>42</v>
      </c>
      <c r="S99" s="5">
        <f t="shared" si="16"/>
        <v>46675</v>
      </c>
      <c r="T99" s="60">
        <f t="shared" si="17"/>
        <v>0</v>
      </c>
      <c r="U99" s="61">
        <f t="shared" si="14"/>
        <v>0</v>
      </c>
      <c r="V99" s="2"/>
      <c r="W99" s="2"/>
      <c r="X99" s="2"/>
      <c r="Y99" s="2"/>
      <c r="Z99" s="2"/>
      <c r="AA99" s="2"/>
      <c r="AB99" s="2"/>
      <c r="AC99" s="2"/>
      <c r="AD99" s="2"/>
    </row>
    <row r="100" spans="1:30" ht="15.75" customHeight="1" x14ac:dyDescent="0.35">
      <c r="A100" s="2"/>
      <c r="B100" s="160" t="s">
        <v>130</v>
      </c>
      <c r="C100" s="160" t="s">
        <v>77</v>
      </c>
      <c r="D100" s="160" t="s">
        <v>414</v>
      </c>
      <c r="E100" s="160" t="s">
        <v>415</v>
      </c>
      <c r="F100" s="160" t="s">
        <v>340</v>
      </c>
      <c r="G100" s="161">
        <v>211660</v>
      </c>
      <c r="H100" s="161">
        <v>211660</v>
      </c>
      <c r="I100" s="160">
        <v>45</v>
      </c>
      <c r="J100" s="132">
        <f t="shared" si="0"/>
        <v>2026</v>
      </c>
      <c r="K100" s="132">
        <f t="shared" si="4"/>
        <v>14</v>
      </c>
      <c r="L100" s="132">
        <f t="shared" si="1"/>
        <v>20</v>
      </c>
      <c r="M100" s="132">
        <f t="shared" si="2"/>
        <v>2026</v>
      </c>
      <c r="N100" s="132">
        <f t="shared" si="5"/>
        <v>22</v>
      </c>
      <c r="O100" s="2"/>
      <c r="P100" s="2"/>
      <c r="Q100" s="2">
        <v>2027</v>
      </c>
      <c r="R100" s="2">
        <v>43</v>
      </c>
      <c r="S100" s="5">
        <f t="shared" si="16"/>
        <v>46682</v>
      </c>
      <c r="T100" s="60">
        <f t="shared" si="17"/>
        <v>0</v>
      </c>
      <c r="U100" s="61">
        <f t="shared" si="14"/>
        <v>0</v>
      </c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5.75" customHeight="1" x14ac:dyDescent="0.35">
      <c r="A101" s="2"/>
      <c r="B101" s="160" t="s">
        <v>130</v>
      </c>
      <c r="C101" s="160" t="s">
        <v>77</v>
      </c>
      <c r="D101" s="160" t="s">
        <v>416</v>
      </c>
      <c r="E101" s="160" t="s">
        <v>417</v>
      </c>
      <c r="F101" s="160" t="s">
        <v>340</v>
      </c>
      <c r="G101" s="161">
        <v>20000</v>
      </c>
      <c r="H101" s="161">
        <v>20000</v>
      </c>
      <c r="I101" s="160">
        <v>45</v>
      </c>
      <c r="J101" s="132">
        <f>IF(ISBLANK($B101),"",YEAR($B101))</f>
        <v>2026</v>
      </c>
      <c r="K101" s="132">
        <f>IF(ISBLANK($B101),"",WEEKNUM($B101))</f>
        <v>14</v>
      </c>
      <c r="L101" s="132">
        <f>IF(ISBLANK($B101),"",WEEKNUM($F101))</f>
        <v>20</v>
      </c>
      <c r="M101" s="132">
        <f>IF(ISBLANK($B101),"",IF($L101&lt;51,YEAR($F101),YEAR($F101)+1))</f>
        <v>2026</v>
      </c>
      <c r="N101" s="132">
        <f>IF(ISBLANK($B101),"",IF($L101&lt;51,$L101+$N$2,$L101-52+$N$2))</f>
        <v>22</v>
      </c>
      <c r="O101" s="2"/>
      <c r="P101" s="2"/>
      <c r="Q101" s="2">
        <v>2027</v>
      </c>
      <c r="R101" s="2">
        <v>44</v>
      </c>
      <c r="S101" s="5">
        <f t="shared" si="16"/>
        <v>46689</v>
      </c>
      <c r="T101" s="60">
        <f t="shared" si="17"/>
        <v>0</v>
      </c>
      <c r="U101" s="61">
        <f t="shared" si="14"/>
        <v>0</v>
      </c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5.75" customHeight="1" x14ac:dyDescent="0.35">
      <c r="A102" s="2"/>
      <c r="B102" s="160" t="s">
        <v>130</v>
      </c>
      <c r="C102" s="160" t="s">
        <v>77</v>
      </c>
      <c r="D102" s="160" t="s">
        <v>418</v>
      </c>
      <c r="E102" s="160" t="s">
        <v>178</v>
      </c>
      <c r="F102" s="160" t="s">
        <v>340</v>
      </c>
      <c r="G102" s="161">
        <v>482700</v>
      </c>
      <c r="H102" s="161">
        <v>482700</v>
      </c>
      <c r="I102" s="160">
        <v>45</v>
      </c>
      <c r="J102" s="132">
        <f>IF(ISBLANK($B102),"",YEAR($B102))</f>
        <v>2026</v>
      </c>
      <c r="K102" s="132">
        <f>IF(ISBLANK($B102),"",WEEKNUM($B102))</f>
        <v>14</v>
      </c>
      <c r="L102" s="132">
        <f>IF(ISBLANK($B102),"",WEEKNUM($F102))</f>
        <v>20</v>
      </c>
      <c r="M102" s="132">
        <f>IF(ISBLANK($B102),"",IF($L102&lt;51,YEAR($F102),YEAR($F102)+1))</f>
        <v>2026</v>
      </c>
      <c r="N102" s="132">
        <f>IF(ISBLANK($B102),"",IF($L102&lt;51,$L102+$N$2,$L102-52+$N$2))</f>
        <v>22</v>
      </c>
      <c r="O102" s="2"/>
      <c r="P102" s="2"/>
      <c r="Q102" s="2">
        <v>2027</v>
      </c>
      <c r="R102" s="2">
        <v>45</v>
      </c>
      <c r="S102" s="5">
        <f t="shared" si="16"/>
        <v>46696</v>
      </c>
      <c r="T102" s="60">
        <f t="shared" si="17"/>
        <v>0</v>
      </c>
      <c r="U102" s="61">
        <f t="shared" si="14"/>
        <v>0</v>
      </c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5.75" customHeight="1" x14ac:dyDescent="0.35">
      <c r="A103" s="2"/>
      <c r="B103" s="160" t="s">
        <v>130</v>
      </c>
      <c r="C103" s="160" t="s">
        <v>77</v>
      </c>
      <c r="D103" s="160" t="s">
        <v>419</v>
      </c>
      <c r="E103" s="160" t="s">
        <v>123</v>
      </c>
      <c r="F103" s="160" t="s">
        <v>340</v>
      </c>
      <c r="G103" s="161">
        <v>40500</v>
      </c>
      <c r="H103" s="161">
        <v>40500</v>
      </c>
      <c r="I103" s="160">
        <v>45</v>
      </c>
      <c r="J103" s="132">
        <f t="shared" ref="J103:J148" si="18">IF(ISBLANK($B103),"",YEAR($B103))</f>
        <v>2026</v>
      </c>
      <c r="K103" s="132">
        <f t="shared" ref="K103:K148" si="19">IF(ISBLANK($B103),"",WEEKNUM($B103))</f>
        <v>14</v>
      </c>
      <c r="L103" s="132">
        <f t="shared" ref="L103:L148" si="20">IF(ISBLANK($B103),"",WEEKNUM($F103))</f>
        <v>20</v>
      </c>
      <c r="M103" s="132">
        <f t="shared" ref="M103:M148" si="21">IF(ISBLANK($B103),"",IF($L103&lt;51,YEAR($F103),YEAR($F103)+1))</f>
        <v>2026</v>
      </c>
      <c r="N103" s="132">
        <f t="shared" ref="N103:N147" si="22">IF(ISBLANK($B103),"",IF($L103&lt;51,$L103+$N$2,$L103-52+$N$2))</f>
        <v>22</v>
      </c>
      <c r="O103" s="2"/>
      <c r="P103" s="2"/>
      <c r="Q103" s="2">
        <v>2027</v>
      </c>
      <c r="R103" s="2">
        <v>46</v>
      </c>
      <c r="S103" s="5">
        <f t="shared" si="16"/>
        <v>46703</v>
      </c>
      <c r="T103" s="60">
        <f t="shared" si="17"/>
        <v>0</v>
      </c>
      <c r="U103" s="61">
        <f t="shared" si="14"/>
        <v>0</v>
      </c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5.75" customHeight="1" x14ac:dyDescent="0.35">
      <c r="A104" s="2"/>
      <c r="B104" s="160" t="s">
        <v>130</v>
      </c>
      <c r="C104" s="160" t="s">
        <v>77</v>
      </c>
      <c r="D104" s="160" t="s">
        <v>420</v>
      </c>
      <c r="E104" s="160" t="s">
        <v>164</v>
      </c>
      <c r="F104" s="160" t="s">
        <v>340</v>
      </c>
      <c r="G104" s="161">
        <v>11220</v>
      </c>
      <c r="H104" s="161">
        <v>11220</v>
      </c>
      <c r="I104" s="160">
        <v>45</v>
      </c>
      <c r="J104" s="132">
        <f t="shared" si="18"/>
        <v>2026</v>
      </c>
      <c r="K104" s="132">
        <f t="shared" si="19"/>
        <v>14</v>
      </c>
      <c r="L104" s="132">
        <f t="shared" si="20"/>
        <v>20</v>
      </c>
      <c r="M104" s="132">
        <f t="shared" si="21"/>
        <v>2026</v>
      </c>
      <c r="N104" s="132">
        <f t="shared" si="22"/>
        <v>22</v>
      </c>
      <c r="O104" s="2"/>
      <c r="P104" s="2"/>
      <c r="Q104" s="2">
        <v>2027</v>
      </c>
      <c r="R104" s="2">
        <v>47</v>
      </c>
      <c r="S104" s="5">
        <f t="shared" si="16"/>
        <v>46710</v>
      </c>
      <c r="T104" s="60">
        <f t="shared" si="17"/>
        <v>0</v>
      </c>
      <c r="U104" s="61">
        <f t="shared" si="14"/>
        <v>0</v>
      </c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5.75" customHeight="1" x14ac:dyDescent="0.35">
      <c r="A105" s="2"/>
      <c r="B105" s="160" t="s">
        <v>130</v>
      </c>
      <c r="C105" s="160" t="s">
        <v>77</v>
      </c>
      <c r="D105" s="160" t="s">
        <v>421</v>
      </c>
      <c r="E105" s="160" t="s">
        <v>86</v>
      </c>
      <c r="F105" s="160" t="s">
        <v>340</v>
      </c>
      <c r="G105" s="161">
        <v>29280</v>
      </c>
      <c r="H105" s="161">
        <v>29280</v>
      </c>
      <c r="I105" s="160">
        <v>45</v>
      </c>
      <c r="J105" s="132">
        <f t="shared" si="18"/>
        <v>2026</v>
      </c>
      <c r="K105" s="132">
        <f t="shared" si="19"/>
        <v>14</v>
      </c>
      <c r="L105" s="132">
        <f t="shared" si="20"/>
        <v>20</v>
      </c>
      <c r="M105" s="132">
        <f t="shared" si="21"/>
        <v>2026</v>
      </c>
      <c r="N105" s="132">
        <f t="shared" si="22"/>
        <v>22</v>
      </c>
      <c r="O105" s="2"/>
      <c r="P105" s="2"/>
      <c r="Q105" s="2">
        <v>2027</v>
      </c>
      <c r="R105" s="2">
        <v>48</v>
      </c>
      <c r="S105" s="5">
        <f t="shared" si="16"/>
        <v>46717</v>
      </c>
      <c r="T105" s="60">
        <f t="shared" si="17"/>
        <v>0</v>
      </c>
      <c r="U105" s="61">
        <f t="shared" si="14"/>
        <v>0</v>
      </c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5.75" customHeight="1" x14ac:dyDescent="0.35">
      <c r="A106" s="2"/>
      <c r="B106" s="160" t="s">
        <v>130</v>
      </c>
      <c r="C106" s="160" t="s">
        <v>77</v>
      </c>
      <c r="D106" s="160" t="s">
        <v>422</v>
      </c>
      <c r="E106" s="160" t="s">
        <v>175</v>
      </c>
      <c r="F106" s="160" t="s">
        <v>340</v>
      </c>
      <c r="G106" s="161">
        <v>720</v>
      </c>
      <c r="H106" s="161">
        <v>720</v>
      </c>
      <c r="I106" s="160">
        <v>45</v>
      </c>
      <c r="J106" s="132">
        <f t="shared" si="18"/>
        <v>2026</v>
      </c>
      <c r="K106" s="132">
        <f t="shared" si="19"/>
        <v>14</v>
      </c>
      <c r="L106" s="132">
        <f t="shared" si="20"/>
        <v>20</v>
      </c>
      <c r="M106" s="132">
        <f t="shared" si="21"/>
        <v>2026</v>
      </c>
      <c r="N106" s="132">
        <f t="shared" si="22"/>
        <v>22</v>
      </c>
      <c r="O106" s="2"/>
      <c r="P106" s="2"/>
      <c r="Q106" s="2">
        <v>2027</v>
      </c>
      <c r="R106" s="2">
        <v>49</v>
      </c>
      <c r="S106" s="5">
        <f t="shared" si="16"/>
        <v>46724</v>
      </c>
      <c r="T106" s="60">
        <f>SUMIFS($H:$H,$N:$N,$R106,$M:$M,$Q106)</f>
        <v>0</v>
      </c>
      <c r="U106" s="61">
        <f t="shared" si="14"/>
        <v>0</v>
      </c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5.75" customHeight="1" x14ac:dyDescent="0.35">
      <c r="A107" s="2"/>
      <c r="B107" s="160" t="s">
        <v>130</v>
      </c>
      <c r="C107" s="160" t="s">
        <v>77</v>
      </c>
      <c r="D107" s="160" t="s">
        <v>423</v>
      </c>
      <c r="E107" s="160" t="s">
        <v>109</v>
      </c>
      <c r="F107" s="160" t="s">
        <v>340</v>
      </c>
      <c r="G107" s="161">
        <v>3510</v>
      </c>
      <c r="H107" s="161">
        <v>3510</v>
      </c>
      <c r="I107" s="160">
        <v>45</v>
      </c>
      <c r="J107" s="132">
        <f t="shared" si="18"/>
        <v>2026</v>
      </c>
      <c r="K107" s="132">
        <f t="shared" si="19"/>
        <v>14</v>
      </c>
      <c r="L107" s="132">
        <f t="shared" si="20"/>
        <v>20</v>
      </c>
      <c r="M107" s="132">
        <f t="shared" si="21"/>
        <v>2026</v>
      </c>
      <c r="N107" s="132">
        <f t="shared" si="22"/>
        <v>22</v>
      </c>
      <c r="O107" s="2"/>
      <c r="P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5.75" customHeight="1" x14ac:dyDescent="0.35">
      <c r="A108" s="2"/>
      <c r="B108" s="160" t="s">
        <v>130</v>
      </c>
      <c r="C108" s="160" t="s">
        <v>77</v>
      </c>
      <c r="D108" s="160" t="s">
        <v>424</v>
      </c>
      <c r="E108" s="160" t="s">
        <v>108</v>
      </c>
      <c r="F108" s="160" t="s">
        <v>340</v>
      </c>
      <c r="G108" s="161">
        <v>10725</v>
      </c>
      <c r="H108" s="161">
        <v>10725</v>
      </c>
      <c r="I108" s="160">
        <v>45</v>
      </c>
      <c r="J108" s="132">
        <f t="shared" si="18"/>
        <v>2026</v>
      </c>
      <c r="K108" s="132">
        <f t="shared" si="19"/>
        <v>14</v>
      </c>
      <c r="L108" s="132">
        <f t="shared" si="20"/>
        <v>20</v>
      </c>
      <c r="M108" s="132">
        <f t="shared" si="21"/>
        <v>2026</v>
      </c>
      <c r="N108" s="132">
        <f t="shared" si="22"/>
        <v>22</v>
      </c>
      <c r="O108" s="2"/>
      <c r="P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5.75" customHeight="1" x14ac:dyDescent="0.35">
      <c r="A109" s="2"/>
      <c r="B109" s="160" t="s">
        <v>130</v>
      </c>
      <c r="C109" s="160" t="s">
        <v>77</v>
      </c>
      <c r="D109" s="160" t="s">
        <v>425</v>
      </c>
      <c r="E109" s="160" t="s">
        <v>426</v>
      </c>
      <c r="F109" s="160" t="s">
        <v>340</v>
      </c>
      <c r="G109" s="161">
        <v>18000</v>
      </c>
      <c r="H109" s="161">
        <v>18000</v>
      </c>
      <c r="I109" s="160">
        <v>45</v>
      </c>
      <c r="J109" s="132">
        <f t="shared" si="18"/>
        <v>2026</v>
      </c>
      <c r="K109" s="132">
        <f t="shared" si="19"/>
        <v>14</v>
      </c>
      <c r="L109" s="132">
        <f t="shared" si="20"/>
        <v>20</v>
      </c>
      <c r="M109" s="132">
        <f t="shared" si="21"/>
        <v>2026</v>
      </c>
      <c r="N109" s="132">
        <f t="shared" si="22"/>
        <v>22</v>
      </c>
      <c r="O109" s="2"/>
      <c r="P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5.75" customHeight="1" x14ac:dyDescent="0.35">
      <c r="A110" s="2"/>
      <c r="B110" s="160" t="s">
        <v>180</v>
      </c>
      <c r="C110" s="160" t="s">
        <v>77</v>
      </c>
      <c r="D110" s="160" t="s">
        <v>427</v>
      </c>
      <c r="E110" s="160" t="s">
        <v>98</v>
      </c>
      <c r="F110" s="160" t="s">
        <v>340</v>
      </c>
      <c r="G110" s="161">
        <v>38016</v>
      </c>
      <c r="H110" s="161">
        <v>38016</v>
      </c>
      <c r="I110" s="160">
        <v>30</v>
      </c>
      <c r="J110" s="132">
        <f t="shared" si="18"/>
        <v>2026</v>
      </c>
      <c r="K110" s="132">
        <f t="shared" si="19"/>
        <v>16</v>
      </c>
      <c r="L110" s="132">
        <f t="shared" si="20"/>
        <v>20</v>
      </c>
      <c r="M110" s="132">
        <f t="shared" si="21"/>
        <v>2026</v>
      </c>
      <c r="N110" s="132">
        <f t="shared" si="22"/>
        <v>22</v>
      </c>
      <c r="O110" s="2"/>
      <c r="P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5.75" customHeight="1" x14ac:dyDescent="0.35">
      <c r="A111" s="2"/>
      <c r="B111" s="160" t="s">
        <v>180</v>
      </c>
      <c r="C111" s="160" t="s">
        <v>77</v>
      </c>
      <c r="D111" s="160" t="s">
        <v>428</v>
      </c>
      <c r="E111" s="160" t="s">
        <v>151</v>
      </c>
      <c r="F111" s="160" t="s">
        <v>340</v>
      </c>
      <c r="G111" s="161">
        <v>18892.8</v>
      </c>
      <c r="H111" s="161">
        <v>18892.8</v>
      </c>
      <c r="I111" s="160">
        <v>30</v>
      </c>
      <c r="J111" s="132">
        <f t="shared" si="18"/>
        <v>2026</v>
      </c>
      <c r="K111" s="132">
        <f t="shared" si="19"/>
        <v>16</v>
      </c>
      <c r="L111" s="132">
        <f t="shared" si="20"/>
        <v>20</v>
      </c>
      <c r="M111" s="132">
        <f t="shared" si="21"/>
        <v>2026</v>
      </c>
      <c r="N111" s="132">
        <f t="shared" si="22"/>
        <v>22</v>
      </c>
      <c r="O111" s="2"/>
      <c r="P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5.75" customHeight="1" x14ac:dyDescent="0.35">
      <c r="A112" s="2"/>
      <c r="B112" s="160" t="s">
        <v>180</v>
      </c>
      <c r="C112" s="160" t="s">
        <v>77</v>
      </c>
      <c r="D112" s="160" t="s">
        <v>429</v>
      </c>
      <c r="E112" s="160" t="s">
        <v>161</v>
      </c>
      <c r="F112" s="160" t="s">
        <v>340</v>
      </c>
      <c r="G112" s="161">
        <v>29700</v>
      </c>
      <c r="H112" s="161">
        <v>29700</v>
      </c>
      <c r="I112" s="160">
        <v>30</v>
      </c>
      <c r="J112" s="132">
        <f t="shared" si="18"/>
        <v>2026</v>
      </c>
      <c r="K112" s="132">
        <f t="shared" si="19"/>
        <v>16</v>
      </c>
      <c r="L112" s="132">
        <f t="shared" si="20"/>
        <v>20</v>
      </c>
      <c r="M112" s="132">
        <f t="shared" si="21"/>
        <v>2026</v>
      </c>
      <c r="N112" s="132">
        <f t="shared" si="22"/>
        <v>22</v>
      </c>
      <c r="O112" s="2"/>
      <c r="P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5.75" customHeight="1" x14ac:dyDescent="0.35">
      <c r="A113" s="2"/>
      <c r="B113" s="160" t="s">
        <v>180</v>
      </c>
      <c r="C113" s="160" t="s">
        <v>77</v>
      </c>
      <c r="D113" s="160" t="s">
        <v>430</v>
      </c>
      <c r="E113" s="160" t="s">
        <v>152</v>
      </c>
      <c r="F113" s="160" t="s">
        <v>340</v>
      </c>
      <c r="G113" s="161">
        <v>98710.71</v>
      </c>
      <c r="H113" s="161">
        <v>98710.706185000003</v>
      </c>
      <c r="I113" s="160">
        <v>30</v>
      </c>
      <c r="J113" s="132">
        <f t="shared" si="18"/>
        <v>2026</v>
      </c>
      <c r="K113" s="132">
        <f t="shared" si="19"/>
        <v>16</v>
      </c>
      <c r="L113" s="132">
        <f t="shared" si="20"/>
        <v>20</v>
      </c>
      <c r="M113" s="132">
        <f t="shared" si="21"/>
        <v>2026</v>
      </c>
      <c r="N113" s="132">
        <f t="shared" si="22"/>
        <v>22</v>
      </c>
      <c r="O113" s="2"/>
      <c r="P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5.75" customHeight="1" x14ac:dyDescent="0.35">
      <c r="B114" s="160" t="s">
        <v>180</v>
      </c>
      <c r="C114" s="160" t="s">
        <v>77</v>
      </c>
      <c r="D114" s="160" t="s">
        <v>431</v>
      </c>
      <c r="E114" s="160" t="s">
        <v>104</v>
      </c>
      <c r="F114" s="160" t="s">
        <v>340</v>
      </c>
      <c r="G114" s="161">
        <v>21562.5</v>
      </c>
      <c r="H114" s="161">
        <v>21562.5</v>
      </c>
      <c r="I114" s="160">
        <v>30</v>
      </c>
      <c r="J114" s="132">
        <f t="shared" si="18"/>
        <v>2026</v>
      </c>
      <c r="K114" s="132">
        <f t="shared" si="19"/>
        <v>16</v>
      </c>
      <c r="L114" s="132">
        <f t="shared" si="20"/>
        <v>20</v>
      </c>
      <c r="M114" s="132">
        <f t="shared" si="21"/>
        <v>2026</v>
      </c>
      <c r="N114" s="132">
        <f t="shared" si="22"/>
        <v>22</v>
      </c>
      <c r="O114" s="2"/>
      <c r="P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5.75" customHeight="1" x14ac:dyDescent="0.35">
      <c r="A115" s="2"/>
      <c r="B115" s="160" t="s">
        <v>180</v>
      </c>
      <c r="C115" s="160" t="s">
        <v>77</v>
      </c>
      <c r="D115" s="160" t="s">
        <v>432</v>
      </c>
      <c r="E115" s="160" t="s">
        <v>302</v>
      </c>
      <c r="F115" s="160" t="s">
        <v>340</v>
      </c>
      <c r="G115" s="161">
        <v>59536.800000000003</v>
      </c>
      <c r="H115" s="161">
        <v>59536.800000000003</v>
      </c>
      <c r="I115" s="160">
        <v>30</v>
      </c>
      <c r="J115" s="132">
        <f t="shared" si="18"/>
        <v>2026</v>
      </c>
      <c r="K115" s="132">
        <f t="shared" si="19"/>
        <v>16</v>
      </c>
      <c r="L115" s="132">
        <f t="shared" si="20"/>
        <v>20</v>
      </c>
      <c r="M115" s="132">
        <f t="shared" si="21"/>
        <v>2026</v>
      </c>
      <c r="N115" s="132">
        <f t="shared" si="22"/>
        <v>22</v>
      </c>
      <c r="O115" s="2"/>
      <c r="P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5.75" customHeight="1" x14ac:dyDescent="0.35">
      <c r="A116" s="2"/>
      <c r="B116" s="160" t="s">
        <v>180</v>
      </c>
      <c r="C116" s="160" t="s">
        <v>77</v>
      </c>
      <c r="D116" s="160" t="s">
        <v>433</v>
      </c>
      <c r="E116" s="160" t="s">
        <v>119</v>
      </c>
      <c r="F116" s="160" t="s">
        <v>340</v>
      </c>
      <c r="G116" s="161">
        <v>182400</v>
      </c>
      <c r="H116" s="161">
        <v>182400</v>
      </c>
      <c r="I116" s="160">
        <v>30</v>
      </c>
      <c r="J116" s="132">
        <f t="shared" si="18"/>
        <v>2026</v>
      </c>
      <c r="K116" s="132">
        <f t="shared" si="19"/>
        <v>16</v>
      </c>
      <c r="L116" s="132">
        <f t="shared" si="20"/>
        <v>20</v>
      </c>
      <c r="M116" s="132">
        <f t="shared" si="21"/>
        <v>2026</v>
      </c>
      <c r="N116" s="132">
        <f t="shared" si="22"/>
        <v>22</v>
      </c>
      <c r="O116" s="2"/>
      <c r="P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5.75" customHeight="1" x14ac:dyDescent="0.35">
      <c r="A117" s="2"/>
      <c r="B117" s="160" t="s">
        <v>180</v>
      </c>
      <c r="C117" s="160" t="s">
        <v>77</v>
      </c>
      <c r="D117" s="160" t="s">
        <v>434</v>
      </c>
      <c r="E117" s="160" t="s">
        <v>435</v>
      </c>
      <c r="F117" s="160" t="s">
        <v>340</v>
      </c>
      <c r="G117" s="161">
        <v>40000</v>
      </c>
      <c r="H117" s="161">
        <v>40000</v>
      </c>
      <c r="I117" s="160">
        <v>30</v>
      </c>
      <c r="J117" s="132">
        <f t="shared" si="18"/>
        <v>2026</v>
      </c>
      <c r="K117" s="132">
        <f t="shared" si="19"/>
        <v>16</v>
      </c>
      <c r="L117" s="132">
        <f t="shared" si="20"/>
        <v>20</v>
      </c>
      <c r="M117" s="132">
        <f t="shared" si="21"/>
        <v>2026</v>
      </c>
      <c r="N117" s="132">
        <f t="shared" si="22"/>
        <v>22</v>
      </c>
      <c r="O117" s="2"/>
      <c r="P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5.75" customHeight="1" x14ac:dyDescent="0.35">
      <c r="A118" s="2"/>
      <c r="B118" s="160" t="s">
        <v>180</v>
      </c>
      <c r="C118" s="160" t="s">
        <v>77</v>
      </c>
      <c r="D118" s="160" t="s">
        <v>436</v>
      </c>
      <c r="E118" s="160" t="s">
        <v>435</v>
      </c>
      <c r="F118" s="160" t="s">
        <v>340</v>
      </c>
      <c r="G118" s="161">
        <v>159760</v>
      </c>
      <c r="H118" s="161">
        <v>159760</v>
      </c>
      <c r="I118" s="160">
        <v>30</v>
      </c>
      <c r="J118" s="132">
        <f t="shared" si="18"/>
        <v>2026</v>
      </c>
      <c r="K118" s="132">
        <f t="shared" si="19"/>
        <v>16</v>
      </c>
      <c r="L118" s="132">
        <f t="shared" si="20"/>
        <v>20</v>
      </c>
      <c r="M118" s="132">
        <f t="shared" si="21"/>
        <v>2026</v>
      </c>
      <c r="N118" s="132">
        <f t="shared" si="22"/>
        <v>22</v>
      </c>
      <c r="O118" s="2"/>
      <c r="P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5.75" customHeight="1" x14ac:dyDescent="0.35">
      <c r="A119" s="2"/>
      <c r="B119" s="160" t="s">
        <v>180</v>
      </c>
      <c r="C119" s="160" t="s">
        <v>77</v>
      </c>
      <c r="D119" s="160" t="s">
        <v>437</v>
      </c>
      <c r="E119" s="160" t="s">
        <v>435</v>
      </c>
      <c r="F119" s="160" t="s">
        <v>340</v>
      </c>
      <c r="G119" s="161">
        <v>70000</v>
      </c>
      <c r="H119" s="161">
        <v>70000</v>
      </c>
      <c r="I119" s="160">
        <v>30</v>
      </c>
      <c r="J119" s="132">
        <f t="shared" si="18"/>
        <v>2026</v>
      </c>
      <c r="K119" s="132">
        <f t="shared" si="19"/>
        <v>16</v>
      </c>
      <c r="L119" s="132">
        <f t="shared" si="20"/>
        <v>20</v>
      </c>
      <c r="M119" s="132">
        <f t="shared" si="21"/>
        <v>2026</v>
      </c>
      <c r="N119" s="132">
        <f t="shared" si="22"/>
        <v>22</v>
      </c>
      <c r="O119" s="2"/>
      <c r="P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5.75" customHeight="1" x14ac:dyDescent="0.35">
      <c r="A120" s="2"/>
      <c r="B120" s="160" t="s">
        <v>180</v>
      </c>
      <c r="C120" s="160" t="s">
        <v>77</v>
      </c>
      <c r="D120" s="160" t="s">
        <v>438</v>
      </c>
      <c r="E120" s="160" t="s">
        <v>81</v>
      </c>
      <c r="F120" s="160" t="s">
        <v>340</v>
      </c>
      <c r="G120" s="161">
        <v>40800</v>
      </c>
      <c r="H120" s="161">
        <v>40800</v>
      </c>
      <c r="I120" s="160">
        <v>30</v>
      </c>
      <c r="J120" s="132">
        <f t="shared" si="18"/>
        <v>2026</v>
      </c>
      <c r="K120" s="132">
        <f t="shared" si="19"/>
        <v>16</v>
      </c>
      <c r="L120" s="132">
        <f t="shared" si="20"/>
        <v>20</v>
      </c>
      <c r="M120" s="132">
        <f t="shared" si="21"/>
        <v>2026</v>
      </c>
      <c r="N120" s="132">
        <f t="shared" si="22"/>
        <v>22</v>
      </c>
      <c r="O120" s="2"/>
      <c r="P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5.75" customHeight="1" x14ac:dyDescent="0.35">
      <c r="A121" s="2"/>
      <c r="B121" s="160" t="s">
        <v>132</v>
      </c>
      <c r="C121" s="160" t="s">
        <v>77</v>
      </c>
      <c r="D121" s="160" t="s">
        <v>336</v>
      </c>
      <c r="E121" s="160" t="s">
        <v>172</v>
      </c>
      <c r="F121" s="160" t="s">
        <v>439</v>
      </c>
      <c r="G121" s="161">
        <v>21600</v>
      </c>
      <c r="H121" s="161">
        <v>21600</v>
      </c>
      <c r="I121" s="160">
        <v>45</v>
      </c>
      <c r="J121" s="132">
        <f t="shared" si="18"/>
        <v>2026</v>
      </c>
      <c r="K121" s="132">
        <f t="shared" si="19"/>
        <v>14</v>
      </c>
      <c r="L121" s="132">
        <f t="shared" si="20"/>
        <v>20</v>
      </c>
      <c r="M121" s="132">
        <f t="shared" si="21"/>
        <v>2026</v>
      </c>
      <c r="N121" s="132">
        <f t="shared" si="22"/>
        <v>22</v>
      </c>
      <c r="O121" s="2"/>
      <c r="P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5.75" customHeight="1" x14ac:dyDescent="0.35">
      <c r="A122" s="2"/>
      <c r="B122" s="160" t="s">
        <v>132</v>
      </c>
      <c r="C122" s="160" t="s">
        <v>77</v>
      </c>
      <c r="D122" s="160" t="s">
        <v>440</v>
      </c>
      <c r="E122" s="160" t="s">
        <v>441</v>
      </c>
      <c r="F122" s="160" t="s">
        <v>439</v>
      </c>
      <c r="G122" s="161">
        <v>75000</v>
      </c>
      <c r="H122" s="161">
        <v>75000</v>
      </c>
      <c r="I122" s="160">
        <v>45</v>
      </c>
      <c r="J122" s="132">
        <f t="shared" si="18"/>
        <v>2026</v>
      </c>
      <c r="K122" s="132">
        <f t="shared" si="19"/>
        <v>14</v>
      </c>
      <c r="L122" s="132">
        <f t="shared" si="20"/>
        <v>20</v>
      </c>
      <c r="M122" s="132">
        <f t="shared" si="21"/>
        <v>2026</v>
      </c>
      <c r="N122" s="132">
        <f t="shared" si="22"/>
        <v>22</v>
      </c>
      <c r="O122" s="2"/>
      <c r="P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5.75" customHeight="1" x14ac:dyDescent="0.35">
      <c r="A123" s="2"/>
      <c r="B123" s="160" t="s">
        <v>143</v>
      </c>
      <c r="C123" s="160" t="s">
        <v>77</v>
      </c>
      <c r="D123" s="160" t="s">
        <v>343</v>
      </c>
      <c r="E123" s="160" t="s">
        <v>90</v>
      </c>
      <c r="F123" s="160" t="s">
        <v>344</v>
      </c>
      <c r="G123" s="161">
        <v>132980</v>
      </c>
      <c r="H123" s="161">
        <v>132980</v>
      </c>
      <c r="I123" s="160">
        <v>75</v>
      </c>
      <c r="J123" s="132">
        <f t="shared" si="18"/>
        <v>2026</v>
      </c>
      <c r="K123" s="132">
        <f t="shared" si="19"/>
        <v>10</v>
      </c>
      <c r="L123" s="132">
        <f t="shared" si="20"/>
        <v>21</v>
      </c>
      <c r="M123" s="132">
        <f t="shared" si="21"/>
        <v>2026</v>
      </c>
      <c r="N123" s="132">
        <f t="shared" si="22"/>
        <v>23</v>
      </c>
      <c r="O123" s="2"/>
      <c r="P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5.75" customHeight="1" x14ac:dyDescent="0.35">
      <c r="A124" s="2"/>
      <c r="B124" s="160" t="s">
        <v>442</v>
      </c>
      <c r="C124" s="160" t="s">
        <v>77</v>
      </c>
      <c r="D124" s="160" t="s">
        <v>443</v>
      </c>
      <c r="E124" s="160" t="s">
        <v>444</v>
      </c>
      <c r="F124" s="160" t="s">
        <v>344</v>
      </c>
      <c r="G124" s="161">
        <v>44236.75</v>
      </c>
      <c r="H124" s="161">
        <v>44236.75</v>
      </c>
      <c r="I124" s="160">
        <v>60</v>
      </c>
      <c r="J124" s="132">
        <f t="shared" si="18"/>
        <v>2026</v>
      </c>
      <c r="K124" s="132">
        <f t="shared" si="19"/>
        <v>12</v>
      </c>
      <c r="L124" s="132">
        <f t="shared" si="20"/>
        <v>21</v>
      </c>
      <c r="M124" s="132">
        <f t="shared" si="21"/>
        <v>2026</v>
      </c>
      <c r="N124" s="132">
        <f t="shared" si="22"/>
        <v>23</v>
      </c>
      <c r="O124" s="2"/>
      <c r="P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5.75" customHeight="1" x14ac:dyDescent="0.35">
      <c r="A125" s="2"/>
      <c r="B125" s="160" t="s">
        <v>170</v>
      </c>
      <c r="C125" s="160" t="s">
        <v>77</v>
      </c>
      <c r="D125" s="160" t="s">
        <v>345</v>
      </c>
      <c r="E125" s="160" t="s">
        <v>135</v>
      </c>
      <c r="F125" s="160" t="s">
        <v>188</v>
      </c>
      <c r="G125" s="161">
        <v>25324.6</v>
      </c>
      <c r="H125" s="161">
        <v>25324.6</v>
      </c>
      <c r="I125" s="160">
        <v>90</v>
      </c>
      <c r="J125" s="132">
        <f t="shared" si="18"/>
        <v>2026</v>
      </c>
      <c r="K125" s="132">
        <f t="shared" si="19"/>
        <v>9</v>
      </c>
      <c r="L125" s="132">
        <f t="shared" si="20"/>
        <v>22</v>
      </c>
      <c r="M125" s="132">
        <f t="shared" si="21"/>
        <v>2026</v>
      </c>
      <c r="N125" s="132">
        <f t="shared" si="22"/>
        <v>24</v>
      </c>
      <c r="O125" s="2"/>
      <c r="P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5.75" customHeight="1" x14ac:dyDescent="0.35">
      <c r="A126" s="2"/>
      <c r="B126" s="160" t="s">
        <v>364</v>
      </c>
      <c r="C126" s="160" t="s">
        <v>77</v>
      </c>
      <c r="D126" s="160" t="s">
        <v>445</v>
      </c>
      <c r="E126" s="160" t="s">
        <v>446</v>
      </c>
      <c r="F126" s="160" t="s">
        <v>188</v>
      </c>
      <c r="G126" s="161">
        <v>46080</v>
      </c>
      <c r="H126" s="161">
        <v>46080</v>
      </c>
      <c r="I126" s="160">
        <v>60</v>
      </c>
      <c r="J126" s="132">
        <f t="shared" si="18"/>
        <v>2026</v>
      </c>
      <c r="K126" s="132">
        <f t="shared" si="19"/>
        <v>13</v>
      </c>
      <c r="L126" s="132">
        <f t="shared" si="20"/>
        <v>22</v>
      </c>
      <c r="M126" s="132">
        <f t="shared" si="21"/>
        <v>2026</v>
      </c>
      <c r="N126" s="132">
        <f t="shared" si="22"/>
        <v>24</v>
      </c>
      <c r="O126" s="2"/>
      <c r="P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5.75" customHeight="1" x14ac:dyDescent="0.35">
      <c r="A127" s="2"/>
      <c r="B127" s="160" t="s">
        <v>364</v>
      </c>
      <c r="C127" s="160" t="s">
        <v>77</v>
      </c>
      <c r="D127" s="160" t="s">
        <v>447</v>
      </c>
      <c r="E127" s="160" t="s">
        <v>448</v>
      </c>
      <c r="F127" s="160" t="s">
        <v>188</v>
      </c>
      <c r="G127" s="161">
        <v>50064</v>
      </c>
      <c r="H127" s="161">
        <v>50064</v>
      </c>
      <c r="I127" s="160">
        <v>60</v>
      </c>
      <c r="J127" s="132">
        <f t="shared" si="18"/>
        <v>2026</v>
      </c>
      <c r="K127" s="132">
        <f t="shared" si="19"/>
        <v>13</v>
      </c>
      <c r="L127" s="132">
        <f t="shared" si="20"/>
        <v>22</v>
      </c>
      <c r="M127" s="132">
        <f t="shared" si="21"/>
        <v>2026</v>
      </c>
      <c r="N127" s="132">
        <f t="shared" si="22"/>
        <v>24</v>
      </c>
      <c r="O127" s="2"/>
      <c r="P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5.75" customHeight="1" x14ac:dyDescent="0.35">
      <c r="A128" s="2"/>
      <c r="B128" s="160" t="s">
        <v>137</v>
      </c>
      <c r="C128" s="160" t="s">
        <v>77</v>
      </c>
      <c r="D128" s="160" t="s">
        <v>346</v>
      </c>
      <c r="E128" s="160" t="s">
        <v>92</v>
      </c>
      <c r="F128" s="160" t="s">
        <v>347</v>
      </c>
      <c r="G128" s="161">
        <v>45600</v>
      </c>
      <c r="H128" s="161">
        <v>45600</v>
      </c>
      <c r="I128" s="160">
        <v>90</v>
      </c>
      <c r="J128" s="132">
        <f t="shared" si="18"/>
        <v>2026</v>
      </c>
      <c r="K128" s="132">
        <f t="shared" si="19"/>
        <v>9</v>
      </c>
      <c r="L128" s="132">
        <f t="shared" si="20"/>
        <v>22</v>
      </c>
      <c r="M128" s="132">
        <f t="shared" si="21"/>
        <v>2026</v>
      </c>
      <c r="N128" s="132">
        <f t="shared" si="22"/>
        <v>24</v>
      </c>
      <c r="O128" s="2"/>
      <c r="P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5.75" customHeight="1" x14ac:dyDescent="0.35">
      <c r="A129" s="2"/>
      <c r="B129" s="160" t="s">
        <v>130</v>
      </c>
      <c r="C129" s="160" t="s">
        <v>77</v>
      </c>
      <c r="D129" s="160" t="s">
        <v>449</v>
      </c>
      <c r="E129" s="160" t="s">
        <v>88</v>
      </c>
      <c r="F129" s="160" t="s">
        <v>450</v>
      </c>
      <c r="G129" s="161">
        <v>3360</v>
      </c>
      <c r="H129" s="161">
        <v>3360</v>
      </c>
      <c r="I129" s="160">
        <v>60</v>
      </c>
      <c r="J129" s="132">
        <f t="shared" si="18"/>
        <v>2026</v>
      </c>
      <c r="K129" s="132">
        <f t="shared" si="19"/>
        <v>14</v>
      </c>
      <c r="L129" s="132">
        <f t="shared" si="20"/>
        <v>22</v>
      </c>
      <c r="M129" s="132">
        <f t="shared" si="21"/>
        <v>2026</v>
      </c>
      <c r="N129" s="132">
        <f t="shared" si="22"/>
        <v>24</v>
      </c>
      <c r="O129" s="2"/>
      <c r="P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5.75" customHeight="1" x14ac:dyDescent="0.35">
      <c r="A130" s="2"/>
      <c r="B130" s="160" t="s">
        <v>180</v>
      </c>
      <c r="C130" s="160" t="s">
        <v>77</v>
      </c>
      <c r="D130" s="160" t="s">
        <v>451</v>
      </c>
      <c r="E130" s="160" t="s">
        <v>115</v>
      </c>
      <c r="F130" s="160" t="s">
        <v>450</v>
      </c>
      <c r="G130" s="161">
        <v>55250</v>
      </c>
      <c r="H130" s="161">
        <v>55250</v>
      </c>
      <c r="I130" s="160">
        <v>45</v>
      </c>
      <c r="J130" s="132">
        <f t="shared" si="18"/>
        <v>2026</v>
      </c>
      <c r="K130" s="132">
        <f t="shared" si="19"/>
        <v>16</v>
      </c>
      <c r="L130" s="132">
        <f t="shared" si="20"/>
        <v>22</v>
      </c>
      <c r="M130" s="132">
        <f t="shared" si="21"/>
        <v>2026</v>
      </c>
      <c r="N130" s="132">
        <f t="shared" si="22"/>
        <v>24</v>
      </c>
      <c r="O130" s="2"/>
      <c r="P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5.75" customHeight="1" x14ac:dyDescent="0.35">
      <c r="A131" s="2"/>
      <c r="B131" s="160" t="s">
        <v>120</v>
      </c>
      <c r="C131" s="160" t="s">
        <v>77</v>
      </c>
      <c r="D131" s="160" t="s">
        <v>348</v>
      </c>
      <c r="E131" s="160" t="s">
        <v>191</v>
      </c>
      <c r="F131" s="160" t="s">
        <v>190</v>
      </c>
      <c r="G131" s="161">
        <v>42336</v>
      </c>
      <c r="H131" s="161">
        <v>42336</v>
      </c>
      <c r="I131" s="160">
        <v>120</v>
      </c>
      <c r="J131" s="132">
        <f t="shared" si="18"/>
        <v>2026</v>
      </c>
      <c r="K131" s="132">
        <f t="shared" si="19"/>
        <v>6</v>
      </c>
      <c r="L131" s="132">
        <f t="shared" si="20"/>
        <v>23</v>
      </c>
      <c r="M131" s="132">
        <f t="shared" si="21"/>
        <v>2026</v>
      </c>
      <c r="N131" s="132">
        <f t="shared" si="22"/>
        <v>25</v>
      </c>
      <c r="O131" s="2"/>
      <c r="P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5.75" customHeight="1" x14ac:dyDescent="0.35">
      <c r="A132" s="2"/>
      <c r="B132" s="160" t="s">
        <v>120</v>
      </c>
      <c r="C132" s="160" t="s">
        <v>77</v>
      </c>
      <c r="D132" s="160" t="s">
        <v>349</v>
      </c>
      <c r="E132" s="160" t="s">
        <v>189</v>
      </c>
      <c r="F132" s="160" t="s">
        <v>190</v>
      </c>
      <c r="G132" s="161">
        <v>7425.6</v>
      </c>
      <c r="H132" s="161">
        <v>7425.6</v>
      </c>
      <c r="I132" s="160">
        <v>120</v>
      </c>
      <c r="J132" s="132">
        <f t="shared" si="18"/>
        <v>2026</v>
      </c>
      <c r="K132" s="132">
        <f t="shared" si="19"/>
        <v>6</v>
      </c>
      <c r="L132" s="132">
        <f t="shared" si="20"/>
        <v>23</v>
      </c>
      <c r="M132" s="132">
        <f t="shared" si="21"/>
        <v>2026</v>
      </c>
      <c r="N132" s="132">
        <f t="shared" si="22"/>
        <v>25</v>
      </c>
      <c r="O132" s="2"/>
      <c r="P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5.75" customHeight="1" x14ac:dyDescent="0.35">
      <c r="A133" s="2"/>
      <c r="B133" s="160" t="s">
        <v>180</v>
      </c>
      <c r="C133" s="160" t="s">
        <v>77</v>
      </c>
      <c r="D133" s="160" t="s">
        <v>452</v>
      </c>
      <c r="E133" s="160" t="s">
        <v>126</v>
      </c>
      <c r="F133" s="160" t="s">
        <v>453</v>
      </c>
      <c r="G133" s="161">
        <v>34560</v>
      </c>
      <c r="H133" s="161">
        <v>34560</v>
      </c>
      <c r="I133" s="160">
        <v>60</v>
      </c>
      <c r="J133" s="132">
        <f t="shared" si="18"/>
        <v>2026</v>
      </c>
      <c r="K133" s="132">
        <f t="shared" si="19"/>
        <v>16</v>
      </c>
      <c r="L133" s="132">
        <f t="shared" si="20"/>
        <v>25</v>
      </c>
      <c r="M133" s="132">
        <f t="shared" si="21"/>
        <v>2026</v>
      </c>
      <c r="N133" s="132">
        <f t="shared" si="22"/>
        <v>27</v>
      </c>
      <c r="O133" s="2"/>
      <c r="P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5.75" customHeight="1" x14ac:dyDescent="0.35">
      <c r="A134" s="2"/>
      <c r="B134" s="160" t="s">
        <v>146</v>
      </c>
      <c r="C134" s="160" t="s">
        <v>77</v>
      </c>
      <c r="D134" s="160" t="s">
        <v>350</v>
      </c>
      <c r="E134" s="160" t="s">
        <v>135</v>
      </c>
      <c r="F134" s="160" t="s">
        <v>351</v>
      </c>
      <c r="G134" s="161">
        <v>23945.25</v>
      </c>
      <c r="H134" s="161">
        <v>23945.25</v>
      </c>
      <c r="I134" s="160">
        <v>90</v>
      </c>
      <c r="J134" s="132">
        <f t="shared" si="18"/>
        <v>2026</v>
      </c>
      <c r="K134" s="132">
        <f t="shared" si="19"/>
        <v>12</v>
      </c>
      <c r="L134" s="132">
        <f t="shared" si="20"/>
        <v>25</v>
      </c>
      <c r="M134" s="132">
        <f t="shared" si="21"/>
        <v>2026</v>
      </c>
      <c r="N134" s="132">
        <f t="shared" si="22"/>
        <v>27</v>
      </c>
      <c r="O134" s="2"/>
      <c r="P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5.75" customHeight="1" x14ac:dyDescent="0.35">
      <c r="A135" s="2"/>
      <c r="B135" s="160" t="s">
        <v>183</v>
      </c>
      <c r="C135" s="160" t="s">
        <v>77</v>
      </c>
      <c r="D135" s="160" t="s">
        <v>454</v>
      </c>
      <c r="E135" s="160" t="s">
        <v>455</v>
      </c>
      <c r="F135" s="160" t="s">
        <v>456</v>
      </c>
      <c r="G135" s="161">
        <v>26880</v>
      </c>
      <c r="H135" s="161">
        <v>26880</v>
      </c>
      <c r="I135" s="160">
        <v>60</v>
      </c>
      <c r="J135" s="132">
        <f t="shared" si="18"/>
        <v>2026</v>
      </c>
      <c r="K135" s="132">
        <f t="shared" si="19"/>
        <v>17</v>
      </c>
      <c r="L135" s="132">
        <f t="shared" si="20"/>
        <v>26</v>
      </c>
      <c r="M135" s="132">
        <f t="shared" si="21"/>
        <v>2026</v>
      </c>
      <c r="N135" s="132">
        <f t="shared" si="22"/>
        <v>28</v>
      </c>
      <c r="O135" s="2"/>
      <c r="P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5.75" customHeight="1" x14ac:dyDescent="0.35">
      <c r="A136" s="2"/>
      <c r="B136" s="160" t="s">
        <v>364</v>
      </c>
      <c r="C136" s="160" t="s">
        <v>77</v>
      </c>
      <c r="D136" s="160" t="s">
        <v>457</v>
      </c>
      <c r="E136" s="160" t="s">
        <v>458</v>
      </c>
      <c r="F136" s="160" t="s">
        <v>459</v>
      </c>
      <c r="G136" s="161">
        <v>280637</v>
      </c>
      <c r="H136" s="161">
        <v>280637</v>
      </c>
      <c r="I136" s="160">
        <v>90</v>
      </c>
      <c r="J136" s="132">
        <f t="shared" si="18"/>
        <v>2026</v>
      </c>
      <c r="K136" s="132">
        <f t="shared" si="19"/>
        <v>13</v>
      </c>
      <c r="L136" s="132">
        <f t="shared" si="20"/>
        <v>26</v>
      </c>
      <c r="M136" s="132">
        <f t="shared" si="21"/>
        <v>2026</v>
      </c>
      <c r="N136" s="132">
        <f t="shared" si="22"/>
        <v>28</v>
      </c>
      <c r="O136" s="2"/>
      <c r="P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5.75" customHeight="1" x14ac:dyDescent="0.35">
      <c r="A137" s="2"/>
      <c r="B137" s="160" t="s">
        <v>130</v>
      </c>
      <c r="C137" s="160" t="s">
        <v>77</v>
      </c>
      <c r="D137" s="160" t="s">
        <v>460</v>
      </c>
      <c r="E137" s="160" t="s">
        <v>92</v>
      </c>
      <c r="F137" s="160" t="s">
        <v>461</v>
      </c>
      <c r="G137" s="161">
        <v>37335</v>
      </c>
      <c r="H137" s="161">
        <v>37335</v>
      </c>
      <c r="I137" s="160">
        <v>90</v>
      </c>
      <c r="J137" s="132">
        <f t="shared" si="18"/>
        <v>2026</v>
      </c>
      <c r="K137" s="132">
        <f t="shared" si="19"/>
        <v>14</v>
      </c>
      <c r="L137" s="132">
        <f t="shared" si="20"/>
        <v>27</v>
      </c>
      <c r="M137" s="132">
        <f t="shared" si="21"/>
        <v>2026</v>
      </c>
      <c r="N137" s="132">
        <f t="shared" si="22"/>
        <v>29</v>
      </c>
      <c r="O137" s="2"/>
      <c r="P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5.75" customHeight="1" x14ac:dyDescent="0.35">
      <c r="A138" s="2"/>
      <c r="B138" s="160" t="s">
        <v>462</v>
      </c>
      <c r="C138" s="160" t="s">
        <v>77</v>
      </c>
      <c r="D138" s="160" t="s">
        <v>463</v>
      </c>
      <c r="E138" s="160" t="s">
        <v>135</v>
      </c>
      <c r="F138" s="160" t="s">
        <v>464</v>
      </c>
      <c r="G138" s="161">
        <v>20772.5</v>
      </c>
      <c r="H138" s="161">
        <v>20772.5</v>
      </c>
      <c r="I138" s="160">
        <v>90</v>
      </c>
      <c r="J138" s="132">
        <f t="shared" si="18"/>
        <v>2026</v>
      </c>
      <c r="K138" s="132">
        <f t="shared" si="19"/>
        <v>17</v>
      </c>
      <c r="L138" s="132">
        <f t="shared" si="20"/>
        <v>30</v>
      </c>
      <c r="M138" s="132">
        <f t="shared" si="21"/>
        <v>2026</v>
      </c>
      <c r="N138" s="132">
        <f t="shared" si="22"/>
        <v>32</v>
      </c>
      <c r="O138" s="2"/>
      <c r="P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5.75" customHeight="1" x14ac:dyDescent="0.35">
      <c r="A139" s="2"/>
      <c r="B139" s="160" t="s">
        <v>360</v>
      </c>
      <c r="C139" s="160" t="s">
        <v>77</v>
      </c>
      <c r="D139" s="160" t="s">
        <v>465</v>
      </c>
      <c r="E139" s="160" t="s">
        <v>458</v>
      </c>
      <c r="F139" s="160" t="s">
        <v>466</v>
      </c>
      <c r="G139" s="161">
        <v>261928</v>
      </c>
      <c r="H139" s="161">
        <v>261928</v>
      </c>
      <c r="I139" s="160">
        <v>90</v>
      </c>
      <c r="J139" s="132">
        <f t="shared" si="18"/>
        <v>2026</v>
      </c>
      <c r="K139" s="132">
        <f t="shared" si="19"/>
        <v>17</v>
      </c>
      <c r="L139" s="132">
        <f t="shared" si="20"/>
        <v>30</v>
      </c>
      <c r="M139" s="132">
        <f t="shared" si="21"/>
        <v>2026</v>
      </c>
      <c r="N139" s="132">
        <f t="shared" si="22"/>
        <v>32</v>
      </c>
      <c r="O139" s="2"/>
      <c r="P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5.75" customHeight="1" x14ac:dyDescent="0.35">
      <c r="A140" s="2"/>
      <c r="B140" s="141"/>
      <c r="C140" s="141"/>
      <c r="D140" s="141"/>
      <c r="E140" s="141"/>
      <c r="F140" s="141"/>
      <c r="G140" s="142"/>
      <c r="H140" s="142"/>
      <c r="I140" s="130"/>
      <c r="J140" s="132" t="str">
        <f t="shared" si="18"/>
        <v/>
      </c>
      <c r="K140" s="132" t="str">
        <f t="shared" si="19"/>
        <v/>
      </c>
      <c r="L140" s="132" t="str">
        <f t="shared" si="20"/>
        <v/>
      </c>
      <c r="M140" s="132" t="str">
        <f t="shared" si="21"/>
        <v/>
      </c>
      <c r="N140" s="132" t="str">
        <f t="shared" si="22"/>
        <v/>
      </c>
      <c r="O140" s="2"/>
      <c r="P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5.75" customHeight="1" x14ac:dyDescent="0.35">
      <c r="A141" s="2"/>
      <c r="B141" s="141"/>
      <c r="C141" s="141"/>
      <c r="D141" s="141"/>
      <c r="E141" s="141"/>
      <c r="F141" s="141"/>
      <c r="G141" s="142"/>
      <c r="H141" s="142"/>
      <c r="I141" s="130"/>
      <c r="J141" s="132" t="str">
        <f t="shared" si="18"/>
        <v/>
      </c>
      <c r="K141" s="132" t="str">
        <f t="shared" si="19"/>
        <v/>
      </c>
      <c r="L141" s="132" t="str">
        <f t="shared" si="20"/>
        <v/>
      </c>
      <c r="M141" s="132" t="str">
        <f t="shared" si="21"/>
        <v/>
      </c>
      <c r="N141" s="132" t="str">
        <f t="shared" si="22"/>
        <v/>
      </c>
      <c r="O141" s="2"/>
      <c r="P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5.75" customHeight="1" x14ac:dyDescent="0.35">
      <c r="B142" s="141"/>
      <c r="C142" s="141"/>
      <c r="D142" s="141"/>
      <c r="E142" s="141"/>
      <c r="F142" s="141"/>
      <c r="G142" s="142"/>
      <c r="H142" s="142"/>
      <c r="I142" s="130"/>
      <c r="J142" s="132" t="str">
        <f t="shared" si="18"/>
        <v/>
      </c>
      <c r="K142" s="132" t="str">
        <f t="shared" si="19"/>
        <v/>
      </c>
      <c r="L142" s="132" t="str">
        <f t="shared" si="20"/>
        <v/>
      </c>
      <c r="M142" s="132" t="str">
        <f t="shared" si="21"/>
        <v/>
      </c>
      <c r="N142" s="132" t="str">
        <f t="shared" si="22"/>
        <v/>
      </c>
      <c r="O142" s="2"/>
      <c r="P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5.75" customHeight="1" x14ac:dyDescent="0.35">
      <c r="A143" s="2"/>
      <c r="B143" s="141"/>
      <c r="C143" s="141"/>
      <c r="D143" s="141"/>
      <c r="E143" s="141"/>
      <c r="F143" s="141"/>
      <c r="G143" s="142"/>
      <c r="H143" s="142"/>
      <c r="I143" s="130"/>
      <c r="J143" s="132" t="str">
        <f t="shared" si="18"/>
        <v/>
      </c>
      <c r="K143" s="132" t="str">
        <f t="shared" si="19"/>
        <v/>
      </c>
      <c r="L143" s="132" t="str">
        <f t="shared" si="20"/>
        <v/>
      </c>
      <c r="M143" s="132" t="str">
        <f t="shared" si="21"/>
        <v/>
      </c>
      <c r="N143" s="132" t="str">
        <f t="shared" si="22"/>
        <v/>
      </c>
      <c r="O143" s="2"/>
      <c r="P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5.75" customHeight="1" x14ac:dyDescent="0.35">
      <c r="A144" s="2"/>
      <c r="B144" s="141"/>
      <c r="C144" s="141"/>
      <c r="D144" s="141"/>
      <c r="E144" s="141"/>
      <c r="F144" s="141"/>
      <c r="G144" s="142"/>
      <c r="H144" s="142"/>
      <c r="I144" s="130"/>
      <c r="J144" s="132" t="str">
        <f t="shared" si="18"/>
        <v/>
      </c>
      <c r="K144" s="132" t="str">
        <f t="shared" si="19"/>
        <v/>
      </c>
      <c r="L144" s="132" t="str">
        <f t="shared" si="20"/>
        <v/>
      </c>
      <c r="M144" s="132" t="str">
        <f t="shared" si="21"/>
        <v/>
      </c>
      <c r="N144" s="132" t="str">
        <f t="shared" si="22"/>
        <v/>
      </c>
      <c r="O144" s="2"/>
      <c r="P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5.75" customHeight="1" x14ac:dyDescent="0.35">
      <c r="A145" s="2"/>
      <c r="B145" s="141"/>
      <c r="C145" s="141"/>
      <c r="D145" s="141"/>
      <c r="E145" s="141"/>
      <c r="F145" s="141"/>
      <c r="G145" s="142"/>
      <c r="H145" s="142"/>
      <c r="I145" s="130"/>
      <c r="J145" s="132" t="str">
        <f t="shared" si="18"/>
        <v/>
      </c>
      <c r="K145" s="132" t="str">
        <f t="shared" si="19"/>
        <v/>
      </c>
      <c r="L145" s="132" t="str">
        <f t="shared" si="20"/>
        <v/>
      </c>
      <c r="M145" s="132" t="str">
        <f t="shared" si="21"/>
        <v/>
      </c>
      <c r="N145" s="132" t="str">
        <f t="shared" si="22"/>
        <v/>
      </c>
      <c r="O145" s="2"/>
      <c r="P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5.75" customHeight="1" x14ac:dyDescent="0.35">
      <c r="A146" s="2"/>
      <c r="B146" s="141"/>
      <c r="C146" s="141"/>
      <c r="D146" s="141"/>
      <c r="E146" s="141"/>
      <c r="F146" s="141"/>
      <c r="G146" s="142"/>
      <c r="H146" s="142"/>
      <c r="I146" s="130"/>
      <c r="J146" s="132" t="str">
        <f t="shared" si="18"/>
        <v/>
      </c>
      <c r="K146" s="132" t="str">
        <f t="shared" si="19"/>
        <v/>
      </c>
      <c r="L146" s="132" t="str">
        <f t="shared" si="20"/>
        <v/>
      </c>
      <c r="M146" s="132" t="str">
        <f t="shared" si="21"/>
        <v/>
      </c>
      <c r="N146" s="132" t="str">
        <f t="shared" si="22"/>
        <v/>
      </c>
      <c r="O146" s="2"/>
      <c r="P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5.75" customHeight="1" x14ac:dyDescent="0.35">
      <c r="A147" s="2"/>
      <c r="B147" s="141"/>
      <c r="C147" s="141"/>
      <c r="D147" s="141"/>
      <c r="E147" s="141"/>
      <c r="F147" s="141"/>
      <c r="G147" s="142"/>
      <c r="H147" s="142"/>
      <c r="I147" s="130"/>
      <c r="J147" s="132" t="str">
        <f t="shared" si="18"/>
        <v/>
      </c>
      <c r="K147" s="132" t="str">
        <f t="shared" si="19"/>
        <v/>
      </c>
      <c r="L147" s="132" t="str">
        <f t="shared" si="20"/>
        <v/>
      </c>
      <c r="M147" s="132" t="str">
        <f t="shared" si="21"/>
        <v/>
      </c>
      <c r="N147" s="132" t="str">
        <f t="shared" si="22"/>
        <v/>
      </c>
      <c r="O147" s="2"/>
      <c r="P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5.75" customHeight="1" x14ac:dyDescent="0.35">
      <c r="B148" s="130"/>
      <c r="C148" s="130"/>
      <c r="D148" s="130"/>
      <c r="E148" s="130"/>
      <c r="F148" s="130"/>
      <c r="G148" s="131"/>
      <c r="H148" s="131"/>
      <c r="I148" s="130"/>
      <c r="J148" s="132" t="str">
        <f t="shared" si="18"/>
        <v/>
      </c>
      <c r="K148" s="132" t="str">
        <f t="shared" si="19"/>
        <v/>
      </c>
      <c r="L148" s="132" t="str">
        <f t="shared" si="20"/>
        <v/>
      </c>
      <c r="M148" s="132" t="str">
        <f t="shared" si="21"/>
        <v/>
      </c>
      <c r="N148" s="132" t="str">
        <f>IF(ISBLANK($B148),"",IF($L148&lt;51,$L148+$N$2,$L148-52+$N$2))</f>
        <v/>
      </c>
      <c r="O148" s="2"/>
      <c r="P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7.5" customHeight="1" x14ac:dyDescent="0.35">
      <c r="B149" s="130"/>
      <c r="C149" s="130"/>
      <c r="D149" s="130"/>
      <c r="E149" s="130"/>
      <c r="F149" s="130"/>
      <c r="G149" s="131"/>
      <c r="H149" s="131"/>
      <c r="I149" s="130"/>
      <c r="J149" s="132"/>
      <c r="K149" s="132"/>
      <c r="L149" s="132"/>
      <c r="M149" s="132"/>
      <c r="N149" s="132"/>
      <c r="O149" s="2"/>
      <c r="P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4.5" customHeight="1" x14ac:dyDescent="0.35">
      <c r="A150" s="137"/>
      <c r="B150" s="138"/>
      <c r="C150" s="138"/>
      <c r="D150" s="138"/>
      <c r="E150" s="138"/>
      <c r="F150" s="138"/>
      <c r="G150" s="139"/>
      <c r="H150" s="139"/>
      <c r="I150" s="138"/>
      <c r="J150" s="140"/>
      <c r="K150" s="140"/>
      <c r="L150" s="140"/>
      <c r="M150" s="140"/>
      <c r="N150" s="140"/>
      <c r="O150" s="2"/>
      <c r="P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7.5" customHeight="1" x14ac:dyDescent="0.35">
      <c r="B151" s="130"/>
      <c r="C151" s="130"/>
      <c r="D151" s="130"/>
      <c r="E151" s="130"/>
      <c r="F151" s="130"/>
      <c r="G151" s="131"/>
      <c r="H151" s="131"/>
      <c r="I151" s="130"/>
      <c r="J151" s="132"/>
      <c r="K151" s="132"/>
      <c r="L151" s="132"/>
      <c r="M151" s="132"/>
      <c r="N151" s="132"/>
      <c r="O151" s="2"/>
      <c r="P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5.75" customHeight="1" x14ac:dyDescent="0.35">
      <c r="A152" s="2"/>
      <c r="B152" s="1">
        <v>46142</v>
      </c>
      <c r="C152" s="2"/>
      <c r="D152" s="133"/>
      <c r="E152" s="162" t="s">
        <v>192</v>
      </c>
      <c r="F152" s="69">
        <f t="shared" ref="F152:F202" si="23">IF(ISBLANK($B152),"",B152+I152)</f>
        <v>46202</v>
      </c>
      <c r="G152" s="165">
        <v>89500</v>
      </c>
      <c r="H152" s="134">
        <f t="shared" ref="H152:H202" si="24">IF(ISBLANK($B152),"",$G152)</f>
        <v>89500</v>
      </c>
      <c r="I152" s="2">
        <v>60</v>
      </c>
      <c r="J152" s="132">
        <f t="shared" ref="J152:J202" si="25">IF(ISBLANK($B152),"",YEAR($B152))</f>
        <v>2026</v>
      </c>
      <c r="K152" s="132">
        <f t="shared" ref="K152:K202" si="26">IF(ISBLANK($B152),"",WEEKNUM($B152))</f>
        <v>18</v>
      </c>
      <c r="L152" s="132">
        <f t="shared" ref="L152:L202" si="27">IF(ISBLANK($B152),"",WEEKNUM($F152))</f>
        <v>27</v>
      </c>
      <c r="M152" s="132">
        <f t="shared" ref="M152:M202" si="28">IF(ISBLANK($B152),"",IF($L152&lt;51,YEAR($F152),YEAR($F152)+1))</f>
        <v>2026</v>
      </c>
      <c r="N152" s="132">
        <f t="shared" ref="N152:N202" si="29">IF(ISBLANK($B152),"",IF($L152&lt;51,$L152+$N$2,$L152-52+$N$2))</f>
        <v>29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5.75" customHeight="1" x14ac:dyDescent="0.35">
      <c r="A153" s="2"/>
      <c r="B153" s="1">
        <v>46142</v>
      </c>
      <c r="C153" s="2"/>
      <c r="D153" s="133"/>
      <c r="E153" s="163" t="s">
        <v>193</v>
      </c>
      <c r="F153" s="69">
        <f t="shared" si="23"/>
        <v>46172</v>
      </c>
      <c r="G153" s="165">
        <v>2500</v>
      </c>
      <c r="H153" s="134">
        <f t="shared" si="24"/>
        <v>2500</v>
      </c>
      <c r="I153" s="2">
        <v>30</v>
      </c>
      <c r="J153" s="132">
        <f t="shared" si="25"/>
        <v>2026</v>
      </c>
      <c r="K153" s="132">
        <f t="shared" si="26"/>
        <v>18</v>
      </c>
      <c r="L153" s="132">
        <f t="shared" si="27"/>
        <v>22</v>
      </c>
      <c r="M153" s="132">
        <f t="shared" si="28"/>
        <v>2026</v>
      </c>
      <c r="N153" s="132">
        <f t="shared" si="29"/>
        <v>24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5.75" customHeight="1" x14ac:dyDescent="0.35">
      <c r="A154" s="2"/>
      <c r="B154" s="1">
        <v>46142</v>
      </c>
      <c r="C154" s="2"/>
      <c r="D154" s="133"/>
      <c r="E154" s="162" t="s">
        <v>194</v>
      </c>
      <c r="F154" s="69">
        <f t="shared" si="23"/>
        <v>46202</v>
      </c>
      <c r="G154" s="165">
        <v>907.12000000000262</v>
      </c>
      <c r="H154" s="134">
        <f t="shared" si="24"/>
        <v>907.12000000000262</v>
      </c>
      <c r="I154" s="2">
        <v>60</v>
      </c>
      <c r="J154" s="132">
        <f t="shared" si="25"/>
        <v>2026</v>
      </c>
      <c r="K154" s="132">
        <f t="shared" si="26"/>
        <v>18</v>
      </c>
      <c r="L154" s="132">
        <f t="shared" si="27"/>
        <v>27</v>
      </c>
      <c r="M154" s="132">
        <f t="shared" si="28"/>
        <v>2026</v>
      </c>
      <c r="N154" s="132">
        <f t="shared" si="29"/>
        <v>29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5.75" customHeight="1" x14ac:dyDescent="0.35">
      <c r="A155" s="2"/>
      <c r="B155" s="1">
        <v>46142</v>
      </c>
      <c r="C155" s="2"/>
      <c r="D155" s="133"/>
      <c r="E155" s="162" t="s">
        <v>195</v>
      </c>
      <c r="F155" s="69">
        <f t="shared" si="23"/>
        <v>46172</v>
      </c>
      <c r="G155" s="165">
        <v>3200</v>
      </c>
      <c r="H155" s="134">
        <f t="shared" si="24"/>
        <v>3200</v>
      </c>
      <c r="I155" s="2">
        <v>30</v>
      </c>
      <c r="J155" s="132">
        <f t="shared" si="25"/>
        <v>2026</v>
      </c>
      <c r="K155" s="132">
        <f t="shared" si="26"/>
        <v>18</v>
      </c>
      <c r="L155" s="132">
        <f t="shared" si="27"/>
        <v>22</v>
      </c>
      <c r="M155" s="132">
        <f t="shared" si="28"/>
        <v>2026</v>
      </c>
      <c r="N155" s="132">
        <f t="shared" si="29"/>
        <v>24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5.75" customHeight="1" x14ac:dyDescent="0.35">
      <c r="A156" s="2"/>
      <c r="B156" s="1">
        <v>46142</v>
      </c>
      <c r="C156" s="2"/>
      <c r="D156" s="133"/>
      <c r="E156" s="162" t="s">
        <v>196</v>
      </c>
      <c r="F156" s="69">
        <f t="shared" si="23"/>
        <v>46202</v>
      </c>
      <c r="G156" s="165">
        <v>560</v>
      </c>
      <c r="H156" s="134">
        <f t="shared" si="24"/>
        <v>560</v>
      </c>
      <c r="I156" s="2">
        <v>60</v>
      </c>
      <c r="J156" s="132">
        <f t="shared" si="25"/>
        <v>2026</v>
      </c>
      <c r="K156" s="132">
        <f t="shared" si="26"/>
        <v>18</v>
      </c>
      <c r="L156" s="132">
        <f t="shared" si="27"/>
        <v>27</v>
      </c>
      <c r="M156" s="132">
        <f t="shared" si="28"/>
        <v>2026</v>
      </c>
      <c r="N156" s="132">
        <f t="shared" si="29"/>
        <v>29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5.75" customHeight="1" x14ac:dyDescent="0.35">
      <c r="A157" s="2"/>
      <c r="B157" s="1">
        <v>46142</v>
      </c>
      <c r="C157" s="2"/>
      <c r="D157" s="133"/>
      <c r="E157" s="162" t="s">
        <v>467</v>
      </c>
      <c r="F157" s="69">
        <f t="shared" si="23"/>
        <v>46172</v>
      </c>
      <c r="G157" s="165">
        <v>205902</v>
      </c>
      <c r="H157" s="134">
        <f t="shared" si="24"/>
        <v>205902</v>
      </c>
      <c r="I157" s="2">
        <v>30</v>
      </c>
      <c r="J157" s="132">
        <f t="shared" si="25"/>
        <v>2026</v>
      </c>
      <c r="K157" s="132">
        <f t="shared" si="26"/>
        <v>18</v>
      </c>
      <c r="L157" s="132">
        <f t="shared" si="27"/>
        <v>22</v>
      </c>
      <c r="M157" s="132">
        <f t="shared" si="28"/>
        <v>2026</v>
      </c>
      <c r="N157" s="132">
        <f t="shared" si="29"/>
        <v>24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5.75" customHeight="1" x14ac:dyDescent="0.35">
      <c r="A158" s="2"/>
      <c r="B158" s="1">
        <v>46142</v>
      </c>
      <c r="C158" s="2"/>
      <c r="D158" s="133"/>
      <c r="E158" s="162" t="s">
        <v>197</v>
      </c>
      <c r="F158" s="69">
        <f t="shared" si="23"/>
        <v>46202</v>
      </c>
      <c r="G158" s="165">
        <v>24999.599999999977</v>
      </c>
      <c r="H158" s="134">
        <f t="shared" si="24"/>
        <v>24999.599999999977</v>
      </c>
      <c r="I158" s="2">
        <v>60</v>
      </c>
      <c r="J158" s="132">
        <f t="shared" si="25"/>
        <v>2026</v>
      </c>
      <c r="K158" s="132">
        <f t="shared" si="26"/>
        <v>18</v>
      </c>
      <c r="L158" s="132">
        <f t="shared" si="27"/>
        <v>27</v>
      </c>
      <c r="M158" s="132">
        <f t="shared" si="28"/>
        <v>2026</v>
      </c>
      <c r="N158" s="132">
        <f t="shared" si="29"/>
        <v>29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5.75" customHeight="1" x14ac:dyDescent="0.35">
      <c r="A159" s="2"/>
      <c r="B159" s="1">
        <v>46142</v>
      </c>
      <c r="C159" s="2"/>
      <c r="D159" s="133"/>
      <c r="E159" s="162" t="s">
        <v>198</v>
      </c>
      <c r="F159" s="69">
        <f t="shared" si="23"/>
        <v>46187</v>
      </c>
      <c r="G159" s="165">
        <v>27000</v>
      </c>
      <c r="H159" s="134">
        <f t="shared" si="24"/>
        <v>27000</v>
      </c>
      <c r="I159" s="2">
        <v>45</v>
      </c>
      <c r="J159" s="132">
        <f t="shared" si="25"/>
        <v>2026</v>
      </c>
      <c r="K159" s="132">
        <f t="shared" si="26"/>
        <v>18</v>
      </c>
      <c r="L159" s="132">
        <f t="shared" si="27"/>
        <v>25</v>
      </c>
      <c r="M159" s="132">
        <f t="shared" si="28"/>
        <v>2026</v>
      </c>
      <c r="N159" s="132">
        <f t="shared" si="29"/>
        <v>27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5.75" customHeight="1" x14ac:dyDescent="0.35">
      <c r="A160" s="2"/>
      <c r="B160" s="1">
        <v>46142</v>
      </c>
      <c r="C160" s="2"/>
      <c r="D160" s="133"/>
      <c r="E160" s="162" t="s">
        <v>199</v>
      </c>
      <c r="F160" s="69">
        <f t="shared" si="23"/>
        <v>46187</v>
      </c>
      <c r="G160" s="165">
        <v>35750</v>
      </c>
      <c r="H160" s="134">
        <f t="shared" si="24"/>
        <v>35750</v>
      </c>
      <c r="I160" s="2">
        <v>45</v>
      </c>
      <c r="J160" s="132">
        <f t="shared" si="25"/>
        <v>2026</v>
      </c>
      <c r="K160" s="132">
        <f t="shared" si="26"/>
        <v>18</v>
      </c>
      <c r="L160" s="132">
        <f t="shared" si="27"/>
        <v>25</v>
      </c>
      <c r="M160" s="132">
        <f t="shared" si="28"/>
        <v>2026</v>
      </c>
      <c r="N160" s="132">
        <f t="shared" si="29"/>
        <v>27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5.75" customHeight="1" x14ac:dyDescent="0.35">
      <c r="A161" s="2"/>
      <c r="B161" s="1">
        <v>46142</v>
      </c>
      <c r="C161" s="2"/>
      <c r="D161" s="133"/>
      <c r="E161" s="162" t="s">
        <v>200</v>
      </c>
      <c r="F161" s="69">
        <f t="shared" si="23"/>
        <v>46172</v>
      </c>
      <c r="G161" s="165">
        <v>15000</v>
      </c>
      <c r="H161" s="134">
        <f t="shared" si="24"/>
        <v>15000</v>
      </c>
      <c r="I161" s="2">
        <v>30</v>
      </c>
      <c r="J161" s="132">
        <f t="shared" si="25"/>
        <v>2026</v>
      </c>
      <c r="K161" s="132">
        <f t="shared" si="26"/>
        <v>18</v>
      </c>
      <c r="L161" s="132">
        <f t="shared" si="27"/>
        <v>22</v>
      </c>
      <c r="M161" s="132">
        <f t="shared" si="28"/>
        <v>2026</v>
      </c>
      <c r="N161" s="132">
        <f t="shared" si="29"/>
        <v>24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5.75" customHeight="1" x14ac:dyDescent="0.35">
      <c r="A162" s="2"/>
      <c r="B162" s="1">
        <v>46142</v>
      </c>
      <c r="C162" s="2"/>
      <c r="D162" s="133"/>
      <c r="E162" s="162" t="s">
        <v>201</v>
      </c>
      <c r="F162" s="69">
        <f t="shared" si="23"/>
        <v>46172</v>
      </c>
      <c r="G162" s="165">
        <v>44000</v>
      </c>
      <c r="H162" s="134">
        <f t="shared" si="24"/>
        <v>44000</v>
      </c>
      <c r="I162" s="2">
        <v>30</v>
      </c>
      <c r="J162" s="132">
        <f t="shared" si="25"/>
        <v>2026</v>
      </c>
      <c r="K162" s="132">
        <f t="shared" si="26"/>
        <v>18</v>
      </c>
      <c r="L162" s="132">
        <f t="shared" si="27"/>
        <v>22</v>
      </c>
      <c r="M162" s="132">
        <f t="shared" si="28"/>
        <v>2026</v>
      </c>
      <c r="N162" s="132">
        <f t="shared" si="29"/>
        <v>24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5.75" customHeight="1" x14ac:dyDescent="0.35">
      <c r="A163" s="2"/>
      <c r="B163" s="1">
        <v>46142</v>
      </c>
      <c r="C163" s="2"/>
      <c r="D163" s="133"/>
      <c r="E163" s="162" t="s">
        <v>204</v>
      </c>
      <c r="F163" s="69">
        <f t="shared" si="23"/>
        <v>46172</v>
      </c>
      <c r="G163" s="165">
        <v>18300</v>
      </c>
      <c r="H163" s="134">
        <f t="shared" si="24"/>
        <v>18300</v>
      </c>
      <c r="I163" s="2">
        <v>30</v>
      </c>
      <c r="J163" s="132">
        <f t="shared" si="25"/>
        <v>2026</v>
      </c>
      <c r="K163" s="132">
        <f t="shared" si="26"/>
        <v>18</v>
      </c>
      <c r="L163" s="132">
        <f t="shared" si="27"/>
        <v>22</v>
      </c>
      <c r="M163" s="132">
        <f t="shared" si="28"/>
        <v>2026</v>
      </c>
      <c r="N163" s="132">
        <f t="shared" si="29"/>
        <v>24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5.75" customHeight="1" x14ac:dyDescent="0.35">
      <c r="A164" s="2"/>
      <c r="B164" s="1">
        <v>46142</v>
      </c>
      <c r="C164" s="2"/>
      <c r="D164" s="133"/>
      <c r="E164" s="162" t="s">
        <v>205</v>
      </c>
      <c r="F164" s="69">
        <f t="shared" si="23"/>
        <v>46172</v>
      </c>
      <c r="G164" s="165">
        <v>76358</v>
      </c>
      <c r="H164" s="134">
        <f t="shared" si="24"/>
        <v>76358</v>
      </c>
      <c r="I164" s="2">
        <v>30</v>
      </c>
      <c r="J164" s="132">
        <f t="shared" si="25"/>
        <v>2026</v>
      </c>
      <c r="K164" s="132">
        <f t="shared" si="26"/>
        <v>18</v>
      </c>
      <c r="L164" s="132">
        <f t="shared" si="27"/>
        <v>22</v>
      </c>
      <c r="M164" s="132">
        <f t="shared" si="28"/>
        <v>2026</v>
      </c>
      <c r="N164" s="132">
        <f t="shared" si="29"/>
        <v>24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5.75" customHeight="1" x14ac:dyDescent="0.35">
      <c r="A165" s="2"/>
      <c r="B165" s="1">
        <v>46142</v>
      </c>
      <c r="C165" s="2"/>
      <c r="D165" s="133"/>
      <c r="E165" s="162" t="s">
        <v>206</v>
      </c>
      <c r="F165" s="69">
        <f t="shared" si="23"/>
        <v>46187</v>
      </c>
      <c r="G165" s="165">
        <v>23400</v>
      </c>
      <c r="H165" s="134">
        <f t="shared" si="24"/>
        <v>23400</v>
      </c>
      <c r="I165" s="2">
        <v>45</v>
      </c>
      <c r="J165" s="132">
        <f t="shared" si="25"/>
        <v>2026</v>
      </c>
      <c r="K165" s="132">
        <f t="shared" si="26"/>
        <v>18</v>
      </c>
      <c r="L165" s="132">
        <f t="shared" si="27"/>
        <v>25</v>
      </c>
      <c r="M165" s="132">
        <f t="shared" si="28"/>
        <v>2026</v>
      </c>
      <c r="N165" s="132">
        <f t="shared" si="29"/>
        <v>27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5.75" customHeight="1" x14ac:dyDescent="0.35">
      <c r="A166" s="2"/>
      <c r="B166" s="1">
        <v>46142</v>
      </c>
      <c r="C166" s="2"/>
      <c r="D166" s="133"/>
      <c r="E166" s="162" t="s">
        <v>207</v>
      </c>
      <c r="F166" s="69">
        <f t="shared" si="23"/>
        <v>46172</v>
      </c>
      <c r="G166" s="165">
        <v>18892.8</v>
      </c>
      <c r="H166" s="134">
        <f t="shared" si="24"/>
        <v>18892.8</v>
      </c>
      <c r="I166" s="2">
        <v>30</v>
      </c>
      <c r="J166" s="132">
        <f t="shared" si="25"/>
        <v>2026</v>
      </c>
      <c r="K166" s="132">
        <f t="shared" si="26"/>
        <v>18</v>
      </c>
      <c r="L166" s="132">
        <f t="shared" si="27"/>
        <v>22</v>
      </c>
      <c r="M166" s="132">
        <f t="shared" si="28"/>
        <v>2026</v>
      </c>
      <c r="N166" s="132">
        <f t="shared" si="29"/>
        <v>24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5.75" customHeight="1" x14ac:dyDescent="0.35">
      <c r="A167" s="2"/>
      <c r="B167" s="1">
        <v>46142</v>
      </c>
      <c r="C167" s="2"/>
      <c r="D167" s="133"/>
      <c r="E167" s="162" t="s">
        <v>208</v>
      </c>
      <c r="F167" s="69">
        <f t="shared" si="23"/>
        <v>46172</v>
      </c>
      <c r="G167" s="165">
        <v>8400</v>
      </c>
      <c r="H167" s="134">
        <f t="shared" si="24"/>
        <v>8400</v>
      </c>
      <c r="I167" s="2">
        <v>30</v>
      </c>
      <c r="J167" s="132">
        <f t="shared" si="25"/>
        <v>2026</v>
      </c>
      <c r="K167" s="132">
        <f t="shared" si="26"/>
        <v>18</v>
      </c>
      <c r="L167" s="132">
        <f t="shared" si="27"/>
        <v>22</v>
      </c>
      <c r="M167" s="132">
        <f t="shared" si="28"/>
        <v>2026</v>
      </c>
      <c r="N167" s="132">
        <f t="shared" si="29"/>
        <v>24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5.75" customHeight="1" x14ac:dyDescent="0.35">
      <c r="A168" s="2"/>
      <c r="B168" s="1">
        <v>46142</v>
      </c>
      <c r="C168" s="2"/>
      <c r="D168" s="133"/>
      <c r="E168" s="162" t="s">
        <v>211</v>
      </c>
      <c r="F168" s="69">
        <f t="shared" si="23"/>
        <v>46172</v>
      </c>
      <c r="G168" s="165">
        <v>38016</v>
      </c>
      <c r="H168" s="134">
        <f t="shared" si="24"/>
        <v>38016</v>
      </c>
      <c r="I168" s="2">
        <v>30</v>
      </c>
      <c r="J168" s="132">
        <f t="shared" si="25"/>
        <v>2026</v>
      </c>
      <c r="K168" s="132">
        <f t="shared" si="26"/>
        <v>18</v>
      </c>
      <c r="L168" s="132">
        <f t="shared" si="27"/>
        <v>22</v>
      </c>
      <c r="M168" s="132">
        <f t="shared" si="28"/>
        <v>2026</v>
      </c>
      <c r="N168" s="132">
        <f t="shared" si="29"/>
        <v>24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5.75" customHeight="1" x14ac:dyDescent="0.35">
      <c r="A169" s="2"/>
      <c r="B169" s="1">
        <v>46142</v>
      </c>
      <c r="C169" s="2"/>
      <c r="D169" s="133"/>
      <c r="E169" s="162" t="s">
        <v>212</v>
      </c>
      <c r="F169" s="69">
        <f t="shared" si="23"/>
        <v>46187</v>
      </c>
      <c r="G169" s="165">
        <v>57996</v>
      </c>
      <c r="H169" s="134">
        <f t="shared" si="24"/>
        <v>57996</v>
      </c>
      <c r="I169" s="2">
        <v>45</v>
      </c>
      <c r="J169" s="132">
        <f t="shared" si="25"/>
        <v>2026</v>
      </c>
      <c r="K169" s="132">
        <f t="shared" si="26"/>
        <v>18</v>
      </c>
      <c r="L169" s="132">
        <f t="shared" si="27"/>
        <v>25</v>
      </c>
      <c r="M169" s="132">
        <f t="shared" si="28"/>
        <v>2026</v>
      </c>
      <c r="N169" s="132">
        <f t="shared" si="29"/>
        <v>27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5.75" customHeight="1" x14ac:dyDescent="0.35">
      <c r="A170" s="2"/>
      <c r="B170" s="1">
        <v>46142</v>
      </c>
      <c r="C170" s="2"/>
      <c r="D170" s="133"/>
      <c r="E170" s="162" t="s">
        <v>214</v>
      </c>
      <c r="F170" s="69">
        <f t="shared" si="23"/>
        <v>46187</v>
      </c>
      <c r="G170" s="165">
        <v>25042.5</v>
      </c>
      <c r="H170" s="134">
        <f t="shared" si="24"/>
        <v>25042.5</v>
      </c>
      <c r="I170" s="2">
        <v>45</v>
      </c>
      <c r="J170" s="132">
        <f t="shared" si="25"/>
        <v>2026</v>
      </c>
      <c r="K170" s="132">
        <f t="shared" si="26"/>
        <v>18</v>
      </c>
      <c r="L170" s="132">
        <f t="shared" si="27"/>
        <v>25</v>
      </c>
      <c r="M170" s="132">
        <f t="shared" si="28"/>
        <v>2026</v>
      </c>
      <c r="N170" s="132">
        <f t="shared" si="29"/>
        <v>27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5.75" customHeight="1" x14ac:dyDescent="0.35">
      <c r="A171" s="2"/>
      <c r="B171" s="1">
        <v>46142</v>
      </c>
      <c r="C171" s="2"/>
      <c r="D171" s="133"/>
      <c r="E171" s="162" t="s">
        <v>215</v>
      </c>
      <c r="F171" s="69">
        <f t="shared" si="23"/>
        <v>46172</v>
      </c>
      <c r="G171" s="165">
        <v>29700</v>
      </c>
      <c r="H171" s="134">
        <f t="shared" si="24"/>
        <v>29700</v>
      </c>
      <c r="I171" s="2">
        <v>30</v>
      </c>
      <c r="J171" s="132">
        <f t="shared" si="25"/>
        <v>2026</v>
      </c>
      <c r="K171" s="132">
        <f t="shared" si="26"/>
        <v>18</v>
      </c>
      <c r="L171" s="132">
        <f t="shared" si="27"/>
        <v>22</v>
      </c>
      <c r="M171" s="132">
        <f t="shared" si="28"/>
        <v>2026</v>
      </c>
      <c r="N171" s="132">
        <f t="shared" si="29"/>
        <v>24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5.75" customHeight="1" x14ac:dyDescent="0.35">
      <c r="A172" s="2"/>
      <c r="B172" s="1">
        <v>46142</v>
      </c>
      <c r="C172" s="2"/>
      <c r="D172" s="133"/>
      <c r="E172" s="164" t="s">
        <v>216</v>
      </c>
      <c r="F172" s="69">
        <f t="shared" si="23"/>
        <v>46187</v>
      </c>
      <c r="G172" s="165">
        <v>125000</v>
      </c>
      <c r="H172" s="134">
        <f t="shared" si="24"/>
        <v>125000</v>
      </c>
      <c r="I172" s="2">
        <v>45</v>
      </c>
      <c r="J172" s="132">
        <f t="shared" si="25"/>
        <v>2026</v>
      </c>
      <c r="K172" s="132">
        <f t="shared" si="26"/>
        <v>18</v>
      </c>
      <c r="L172" s="132">
        <f t="shared" si="27"/>
        <v>25</v>
      </c>
      <c r="M172" s="132">
        <f t="shared" si="28"/>
        <v>2026</v>
      </c>
      <c r="N172" s="132">
        <f t="shared" si="29"/>
        <v>27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5.75" customHeight="1" x14ac:dyDescent="0.35">
      <c r="A173" s="2"/>
      <c r="B173" s="1">
        <v>46142</v>
      </c>
      <c r="C173" s="2"/>
      <c r="D173" s="133"/>
      <c r="E173" s="162" t="s">
        <v>218</v>
      </c>
      <c r="F173" s="69">
        <f t="shared" si="23"/>
        <v>46172</v>
      </c>
      <c r="G173" s="165">
        <v>150000</v>
      </c>
      <c r="H173" s="134">
        <f t="shared" si="24"/>
        <v>150000</v>
      </c>
      <c r="I173" s="2">
        <v>30</v>
      </c>
      <c r="J173" s="132">
        <f t="shared" si="25"/>
        <v>2026</v>
      </c>
      <c r="K173" s="132">
        <f t="shared" si="26"/>
        <v>18</v>
      </c>
      <c r="L173" s="132">
        <f t="shared" si="27"/>
        <v>22</v>
      </c>
      <c r="M173" s="132">
        <f t="shared" si="28"/>
        <v>2026</v>
      </c>
      <c r="N173" s="132">
        <f t="shared" si="29"/>
        <v>24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5.75" customHeight="1" x14ac:dyDescent="0.35">
      <c r="A174" s="2"/>
      <c r="B174" s="1">
        <v>46142</v>
      </c>
      <c r="C174" s="2"/>
      <c r="D174" s="133"/>
      <c r="E174" s="162" t="s">
        <v>261</v>
      </c>
      <c r="F174" s="69">
        <f t="shared" si="23"/>
        <v>46172</v>
      </c>
      <c r="G174" s="165">
        <v>229708</v>
      </c>
      <c r="H174" s="134">
        <f t="shared" si="24"/>
        <v>229708</v>
      </c>
      <c r="I174" s="2">
        <v>30</v>
      </c>
      <c r="J174" s="132">
        <f t="shared" si="25"/>
        <v>2026</v>
      </c>
      <c r="K174" s="132">
        <f t="shared" si="26"/>
        <v>18</v>
      </c>
      <c r="L174" s="132">
        <f t="shared" si="27"/>
        <v>22</v>
      </c>
      <c r="M174" s="132">
        <f t="shared" si="28"/>
        <v>2026</v>
      </c>
      <c r="N174" s="132">
        <f t="shared" si="29"/>
        <v>24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5.75" customHeight="1" x14ac:dyDescent="0.35">
      <c r="A175" s="2"/>
      <c r="B175" s="1">
        <v>46142</v>
      </c>
      <c r="C175" s="2"/>
      <c r="D175" s="133"/>
      <c r="E175" s="162" t="s">
        <v>219</v>
      </c>
      <c r="F175" s="69">
        <f t="shared" si="23"/>
        <v>46187</v>
      </c>
      <c r="G175" s="165">
        <v>71456</v>
      </c>
      <c r="H175" s="134">
        <f t="shared" si="24"/>
        <v>71456</v>
      </c>
      <c r="I175" s="2">
        <v>45</v>
      </c>
      <c r="J175" s="132">
        <f t="shared" si="25"/>
        <v>2026</v>
      </c>
      <c r="K175" s="132">
        <f t="shared" si="26"/>
        <v>18</v>
      </c>
      <c r="L175" s="132">
        <f t="shared" si="27"/>
        <v>25</v>
      </c>
      <c r="M175" s="132">
        <f t="shared" si="28"/>
        <v>2026</v>
      </c>
      <c r="N175" s="132">
        <f t="shared" si="29"/>
        <v>27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5.75" customHeight="1" x14ac:dyDescent="0.35">
      <c r="A176" s="2"/>
      <c r="B176" s="1">
        <v>46142</v>
      </c>
      <c r="C176" s="2"/>
      <c r="D176" s="133"/>
      <c r="E176" s="162" t="s">
        <v>468</v>
      </c>
      <c r="F176" s="69">
        <f t="shared" si="23"/>
        <v>46187</v>
      </c>
      <c r="G176" s="165">
        <v>30694</v>
      </c>
      <c r="H176" s="134">
        <f t="shared" si="24"/>
        <v>30694</v>
      </c>
      <c r="I176" s="2">
        <v>45</v>
      </c>
      <c r="J176" s="132">
        <f t="shared" si="25"/>
        <v>2026</v>
      </c>
      <c r="K176" s="132">
        <f t="shared" si="26"/>
        <v>18</v>
      </c>
      <c r="L176" s="132">
        <f t="shared" si="27"/>
        <v>25</v>
      </c>
      <c r="M176" s="132">
        <f t="shared" si="28"/>
        <v>2026</v>
      </c>
      <c r="N176" s="132">
        <f t="shared" si="29"/>
        <v>27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5.75" customHeight="1" x14ac:dyDescent="0.35">
      <c r="A177" s="2"/>
      <c r="B177" s="1">
        <v>46142</v>
      </c>
      <c r="C177" s="2"/>
      <c r="D177" s="133"/>
      <c r="E177" s="162" t="s">
        <v>220</v>
      </c>
      <c r="F177" s="69">
        <f t="shared" si="23"/>
        <v>46187</v>
      </c>
      <c r="G177" s="165">
        <v>108864</v>
      </c>
      <c r="H177" s="134">
        <f t="shared" si="24"/>
        <v>108864</v>
      </c>
      <c r="I177" s="2">
        <v>45</v>
      </c>
      <c r="J177" s="132">
        <f t="shared" si="25"/>
        <v>2026</v>
      </c>
      <c r="K177" s="132">
        <f t="shared" si="26"/>
        <v>18</v>
      </c>
      <c r="L177" s="132">
        <f t="shared" si="27"/>
        <v>25</v>
      </c>
      <c r="M177" s="132">
        <f t="shared" si="28"/>
        <v>2026</v>
      </c>
      <c r="N177" s="132">
        <f t="shared" si="29"/>
        <v>27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5.75" customHeight="1" x14ac:dyDescent="0.35">
      <c r="A178" s="2"/>
      <c r="B178" s="1">
        <v>46142</v>
      </c>
      <c r="C178" s="2"/>
      <c r="D178" s="133"/>
      <c r="E178" s="162" t="s">
        <v>221</v>
      </c>
      <c r="F178" s="69">
        <f t="shared" si="23"/>
        <v>46172</v>
      </c>
      <c r="G178" s="165">
        <v>19387.5</v>
      </c>
      <c r="H178" s="134">
        <f t="shared" si="24"/>
        <v>19387.5</v>
      </c>
      <c r="I178" s="2">
        <v>30</v>
      </c>
      <c r="J178" s="132">
        <f t="shared" si="25"/>
        <v>2026</v>
      </c>
      <c r="K178" s="132">
        <f t="shared" si="26"/>
        <v>18</v>
      </c>
      <c r="L178" s="132">
        <f t="shared" si="27"/>
        <v>22</v>
      </c>
      <c r="M178" s="132">
        <f t="shared" si="28"/>
        <v>2026</v>
      </c>
      <c r="N178" s="132">
        <f t="shared" si="29"/>
        <v>24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5.75" customHeight="1" x14ac:dyDescent="0.35">
      <c r="A179" s="2"/>
      <c r="B179" s="1">
        <v>46142</v>
      </c>
      <c r="C179" s="2"/>
      <c r="D179" s="133"/>
      <c r="E179" s="162" t="s">
        <v>222</v>
      </c>
      <c r="F179" s="69">
        <f>IF(ISBLANK($B179),"",B179+I179)</f>
        <v>46202</v>
      </c>
      <c r="G179" s="165">
        <v>34560</v>
      </c>
      <c r="H179" s="134">
        <f t="shared" si="24"/>
        <v>34560</v>
      </c>
      <c r="I179" s="2">
        <v>60</v>
      </c>
      <c r="J179" s="132">
        <f t="shared" si="25"/>
        <v>2026</v>
      </c>
      <c r="K179" s="132">
        <f t="shared" si="26"/>
        <v>18</v>
      </c>
      <c r="L179" s="132">
        <f t="shared" si="27"/>
        <v>27</v>
      </c>
      <c r="M179" s="132">
        <f t="shared" si="28"/>
        <v>2026</v>
      </c>
      <c r="N179" s="132">
        <f t="shared" si="29"/>
        <v>29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5.75" customHeight="1" x14ac:dyDescent="0.35">
      <c r="A180" s="2"/>
      <c r="B180" s="1">
        <v>46142</v>
      </c>
      <c r="C180" s="2"/>
      <c r="D180" s="133"/>
      <c r="E180" s="162" t="s">
        <v>223</v>
      </c>
      <c r="F180" s="69">
        <f t="shared" si="23"/>
        <v>46172</v>
      </c>
      <c r="G180" s="165">
        <v>110728</v>
      </c>
      <c r="H180" s="134">
        <f t="shared" si="24"/>
        <v>110728</v>
      </c>
      <c r="I180" s="2">
        <v>30</v>
      </c>
      <c r="J180" s="132">
        <f t="shared" si="25"/>
        <v>2026</v>
      </c>
      <c r="K180" s="132">
        <f t="shared" si="26"/>
        <v>18</v>
      </c>
      <c r="L180" s="132">
        <f t="shared" si="27"/>
        <v>22</v>
      </c>
      <c r="M180" s="132">
        <f t="shared" si="28"/>
        <v>2026</v>
      </c>
      <c r="N180" s="132">
        <f t="shared" si="29"/>
        <v>24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5.75" customHeight="1" x14ac:dyDescent="0.35">
      <c r="A181" s="2"/>
      <c r="B181" s="1">
        <v>46142</v>
      </c>
      <c r="C181" s="2"/>
      <c r="D181" s="133"/>
      <c r="E181" s="162" t="s">
        <v>224</v>
      </c>
      <c r="F181" s="69">
        <f t="shared" si="23"/>
        <v>46172</v>
      </c>
      <c r="G181" s="165">
        <v>96981</v>
      </c>
      <c r="H181" s="134">
        <f t="shared" si="24"/>
        <v>96981</v>
      </c>
      <c r="I181" s="2">
        <v>30</v>
      </c>
      <c r="J181" s="132">
        <f t="shared" si="25"/>
        <v>2026</v>
      </c>
      <c r="K181" s="132">
        <f t="shared" si="26"/>
        <v>18</v>
      </c>
      <c r="L181" s="132">
        <f t="shared" si="27"/>
        <v>22</v>
      </c>
      <c r="M181" s="132">
        <f t="shared" si="28"/>
        <v>2026</v>
      </c>
      <c r="N181" s="132">
        <f t="shared" si="29"/>
        <v>24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5.75" customHeight="1" x14ac:dyDescent="0.35">
      <c r="A182" s="2"/>
      <c r="B182" s="1">
        <v>46142</v>
      </c>
      <c r="C182" s="2"/>
      <c r="D182" s="133"/>
      <c r="E182" s="162" t="s">
        <v>225</v>
      </c>
      <c r="F182" s="69">
        <f t="shared" si="23"/>
        <v>46172</v>
      </c>
      <c r="G182" s="165">
        <v>97879.25</v>
      </c>
      <c r="H182" s="134">
        <f t="shared" si="24"/>
        <v>97879.25</v>
      </c>
      <c r="I182" s="2">
        <v>30</v>
      </c>
      <c r="J182" s="132">
        <f t="shared" si="25"/>
        <v>2026</v>
      </c>
      <c r="K182" s="132">
        <f t="shared" si="26"/>
        <v>18</v>
      </c>
      <c r="L182" s="132">
        <f t="shared" si="27"/>
        <v>22</v>
      </c>
      <c r="M182" s="132">
        <f t="shared" si="28"/>
        <v>2026</v>
      </c>
      <c r="N182" s="132">
        <f t="shared" si="29"/>
        <v>24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5.75" customHeight="1" x14ac:dyDescent="0.35">
      <c r="A183" s="2"/>
      <c r="B183" s="1">
        <v>46142</v>
      </c>
      <c r="C183" s="2"/>
      <c r="D183" s="133"/>
      <c r="E183" s="162" t="s">
        <v>226</v>
      </c>
      <c r="F183" s="69">
        <f t="shared" si="23"/>
        <v>46172</v>
      </c>
      <c r="G183" s="165">
        <v>16000</v>
      </c>
      <c r="H183" s="134">
        <f t="shared" si="24"/>
        <v>16000</v>
      </c>
      <c r="I183" s="2">
        <v>30</v>
      </c>
      <c r="J183" s="132">
        <f t="shared" si="25"/>
        <v>2026</v>
      </c>
      <c r="K183" s="132">
        <f t="shared" si="26"/>
        <v>18</v>
      </c>
      <c r="L183" s="132">
        <f t="shared" si="27"/>
        <v>22</v>
      </c>
      <c r="M183" s="132">
        <f t="shared" si="28"/>
        <v>2026</v>
      </c>
      <c r="N183" s="132">
        <f t="shared" si="29"/>
        <v>24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5.75" customHeight="1" x14ac:dyDescent="0.35">
      <c r="A184" s="2"/>
      <c r="B184" s="1">
        <v>46142</v>
      </c>
      <c r="C184" s="2"/>
      <c r="D184" s="135"/>
      <c r="E184" s="162" t="s">
        <v>227</v>
      </c>
      <c r="F184" s="69">
        <f t="shared" si="23"/>
        <v>46187</v>
      </c>
      <c r="G184" s="165">
        <v>34944</v>
      </c>
      <c r="H184" s="134">
        <f t="shared" si="24"/>
        <v>34944</v>
      </c>
      <c r="I184" s="2">
        <v>45</v>
      </c>
      <c r="J184" s="132">
        <f t="shared" si="25"/>
        <v>2026</v>
      </c>
      <c r="K184" s="132">
        <f t="shared" si="26"/>
        <v>18</v>
      </c>
      <c r="L184" s="132">
        <f t="shared" si="27"/>
        <v>25</v>
      </c>
      <c r="M184" s="132">
        <f t="shared" si="28"/>
        <v>2026</v>
      </c>
      <c r="N184" s="132">
        <f t="shared" si="29"/>
        <v>27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5.75" customHeight="1" x14ac:dyDescent="0.35">
      <c r="A185" s="2"/>
      <c r="B185" s="1">
        <v>46142</v>
      </c>
      <c r="C185" s="2"/>
      <c r="D185" s="133"/>
      <c r="E185" s="162" t="s">
        <v>228</v>
      </c>
      <c r="F185" s="69">
        <f t="shared" si="23"/>
        <v>46172</v>
      </c>
      <c r="G185" s="165">
        <v>46080</v>
      </c>
      <c r="H185" s="134">
        <f t="shared" si="24"/>
        <v>46080</v>
      </c>
      <c r="I185" s="2">
        <v>30</v>
      </c>
      <c r="J185" s="132">
        <f t="shared" si="25"/>
        <v>2026</v>
      </c>
      <c r="K185" s="132">
        <f t="shared" si="26"/>
        <v>18</v>
      </c>
      <c r="L185" s="132">
        <f t="shared" si="27"/>
        <v>22</v>
      </c>
      <c r="M185" s="132">
        <f t="shared" si="28"/>
        <v>2026</v>
      </c>
      <c r="N185" s="132">
        <f t="shared" si="29"/>
        <v>24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5.75" customHeight="1" x14ac:dyDescent="0.35">
      <c r="A186" s="2"/>
      <c r="B186" s="1">
        <v>46142</v>
      </c>
      <c r="C186" s="2"/>
      <c r="D186" s="133"/>
      <c r="E186" s="162" t="s">
        <v>229</v>
      </c>
      <c r="F186" s="69">
        <f t="shared" si="23"/>
        <v>46172</v>
      </c>
      <c r="G186" s="165">
        <v>91200</v>
      </c>
      <c r="H186" s="134">
        <f t="shared" si="24"/>
        <v>91200</v>
      </c>
      <c r="I186" s="2">
        <v>30</v>
      </c>
      <c r="J186" s="132">
        <f t="shared" si="25"/>
        <v>2026</v>
      </c>
      <c r="K186" s="132">
        <f t="shared" si="26"/>
        <v>18</v>
      </c>
      <c r="L186" s="132">
        <f t="shared" si="27"/>
        <v>22</v>
      </c>
      <c r="M186" s="132">
        <f t="shared" si="28"/>
        <v>2026</v>
      </c>
      <c r="N186" s="132">
        <f t="shared" si="29"/>
        <v>24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5.75" customHeight="1" x14ac:dyDescent="0.35">
      <c r="A187" s="2"/>
      <c r="B187" s="1">
        <v>46142</v>
      </c>
      <c r="C187" s="2"/>
      <c r="D187" s="133"/>
      <c r="E187" s="162" t="s">
        <v>230</v>
      </c>
      <c r="F187" s="69">
        <f t="shared" si="23"/>
        <v>46172</v>
      </c>
      <c r="G187" s="165">
        <v>62100</v>
      </c>
      <c r="H187" s="134">
        <f t="shared" si="24"/>
        <v>62100</v>
      </c>
      <c r="I187" s="2">
        <v>30</v>
      </c>
      <c r="J187" s="132">
        <f t="shared" si="25"/>
        <v>2026</v>
      </c>
      <c r="K187" s="132">
        <f t="shared" si="26"/>
        <v>18</v>
      </c>
      <c r="L187" s="132">
        <f t="shared" si="27"/>
        <v>22</v>
      </c>
      <c r="M187" s="132">
        <f t="shared" si="28"/>
        <v>2026</v>
      </c>
      <c r="N187" s="132">
        <f t="shared" si="29"/>
        <v>24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5.75" customHeight="1" x14ac:dyDescent="0.35">
      <c r="A188" s="2"/>
      <c r="B188" s="1">
        <v>46142</v>
      </c>
      <c r="C188" s="2"/>
      <c r="D188" s="133"/>
      <c r="E188" s="162" t="s">
        <v>231</v>
      </c>
      <c r="F188" s="69">
        <f t="shared" si="23"/>
        <v>46187</v>
      </c>
      <c r="G188" s="165">
        <v>28080</v>
      </c>
      <c r="H188" s="134">
        <f t="shared" si="24"/>
        <v>28080</v>
      </c>
      <c r="I188" s="2">
        <v>45</v>
      </c>
      <c r="J188" s="132">
        <f t="shared" si="25"/>
        <v>2026</v>
      </c>
      <c r="K188" s="132">
        <f t="shared" si="26"/>
        <v>18</v>
      </c>
      <c r="L188" s="132">
        <f t="shared" si="27"/>
        <v>25</v>
      </c>
      <c r="M188" s="132">
        <f t="shared" si="28"/>
        <v>2026</v>
      </c>
      <c r="N188" s="132">
        <f t="shared" si="29"/>
        <v>27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5.75" customHeight="1" x14ac:dyDescent="0.35">
      <c r="A189" s="2"/>
      <c r="B189" s="1">
        <v>46142</v>
      </c>
      <c r="C189" s="2"/>
      <c r="D189" s="133"/>
      <c r="E189" s="162" t="s">
        <v>232</v>
      </c>
      <c r="F189" s="69">
        <f t="shared" si="23"/>
        <v>46187</v>
      </c>
      <c r="G189" s="165">
        <v>36960</v>
      </c>
      <c r="H189" s="134">
        <f t="shared" si="24"/>
        <v>36960</v>
      </c>
      <c r="I189" s="2">
        <v>45</v>
      </c>
      <c r="J189" s="132">
        <f t="shared" si="25"/>
        <v>2026</v>
      </c>
      <c r="K189" s="132">
        <f t="shared" si="26"/>
        <v>18</v>
      </c>
      <c r="L189" s="132">
        <f t="shared" si="27"/>
        <v>25</v>
      </c>
      <c r="M189" s="132">
        <f t="shared" si="28"/>
        <v>2026</v>
      </c>
      <c r="N189" s="132">
        <f t="shared" si="29"/>
        <v>27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5.75" customHeight="1" x14ac:dyDescent="0.35">
      <c r="A190" s="2"/>
      <c r="B190" s="1">
        <v>46142</v>
      </c>
      <c r="C190" s="2"/>
      <c r="D190" s="133"/>
      <c r="E190" s="162" t="s">
        <v>233</v>
      </c>
      <c r="F190" s="69">
        <f t="shared" si="23"/>
        <v>46187</v>
      </c>
      <c r="G190" s="165">
        <v>195220</v>
      </c>
      <c r="H190" s="134">
        <f t="shared" si="24"/>
        <v>195220</v>
      </c>
      <c r="I190" s="2">
        <v>45</v>
      </c>
      <c r="J190" s="132">
        <f t="shared" si="25"/>
        <v>2026</v>
      </c>
      <c r="K190" s="132">
        <f t="shared" si="26"/>
        <v>18</v>
      </c>
      <c r="L190" s="132">
        <f t="shared" si="27"/>
        <v>25</v>
      </c>
      <c r="M190" s="132">
        <f t="shared" si="28"/>
        <v>2026</v>
      </c>
      <c r="N190" s="132">
        <f t="shared" si="29"/>
        <v>27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5.75" customHeight="1" x14ac:dyDescent="0.35">
      <c r="A191" s="2"/>
      <c r="B191" s="1">
        <v>46142</v>
      </c>
      <c r="C191" s="2"/>
      <c r="D191" s="133"/>
      <c r="E191" s="162" t="s">
        <v>234</v>
      </c>
      <c r="F191" s="69">
        <f t="shared" si="23"/>
        <v>46172</v>
      </c>
      <c r="G191" s="165">
        <v>18000</v>
      </c>
      <c r="H191" s="134">
        <f t="shared" si="24"/>
        <v>18000</v>
      </c>
      <c r="I191" s="2">
        <v>30</v>
      </c>
      <c r="J191" s="132">
        <f t="shared" si="25"/>
        <v>2026</v>
      </c>
      <c r="K191" s="132">
        <f t="shared" si="26"/>
        <v>18</v>
      </c>
      <c r="L191" s="132">
        <f t="shared" si="27"/>
        <v>22</v>
      </c>
      <c r="M191" s="132">
        <f t="shared" si="28"/>
        <v>2026</v>
      </c>
      <c r="N191" s="132">
        <f t="shared" si="29"/>
        <v>24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5.75" customHeight="1" x14ac:dyDescent="0.35">
      <c r="A192" s="2"/>
      <c r="B192" s="1">
        <v>46142</v>
      </c>
      <c r="C192" s="2"/>
      <c r="D192" s="133"/>
      <c r="E192" s="162" t="s">
        <v>236</v>
      </c>
      <c r="F192" s="69">
        <f t="shared" si="23"/>
        <v>46172</v>
      </c>
      <c r="G192" s="165">
        <v>21562.5</v>
      </c>
      <c r="H192" s="134">
        <f t="shared" si="24"/>
        <v>21562.5</v>
      </c>
      <c r="I192" s="2">
        <v>30</v>
      </c>
      <c r="J192" s="132">
        <f t="shared" si="25"/>
        <v>2026</v>
      </c>
      <c r="K192" s="132">
        <f t="shared" si="26"/>
        <v>18</v>
      </c>
      <c r="L192" s="132">
        <f t="shared" si="27"/>
        <v>22</v>
      </c>
      <c r="M192" s="132">
        <f t="shared" si="28"/>
        <v>2026</v>
      </c>
      <c r="N192" s="132">
        <f t="shared" si="29"/>
        <v>24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5.75" customHeight="1" x14ac:dyDescent="0.35">
      <c r="A193" s="2"/>
      <c r="B193" s="1">
        <v>46142</v>
      </c>
      <c r="C193" s="2"/>
      <c r="D193" s="133"/>
      <c r="E193" s="162" t="s">
        <v>237</v>
      </c>
      <c r="F193" s="69">
        <f t="shared" si="23"/>
        <v>46172</v>
      </c>
      <c r="G193" s="165">
        <v>178070.39999999999</v>
      </c>
      <c r="H193" s="134">
        <f t="shared" si="24"/>
        <v>178070.39999999999</v>
      </c>
      <c r="I193" s="2">
        <v>30</v>
      </c>
      <c r="J193" s="132">
        <f t="shared" si="25"/>
        <v>2026</v>
      </c>
      <c r="K193" s="132">
        <f t="shared" si="26"/>
        <v>18</v>
      </c>
      <c r="L193" s="132">
        <f t="shared" si="27"/>
        <v>22</v>
      </c>
      <c r="M193" s="132">
        <f t="shared" si="28"/>
        <v>2026</v>
      </c>
      <c r="N193" s="132">
        <f t="shared" si="29"/>
        <v>24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5.75" customHeight="1" x14ac:dyDescent="0.35">
      <c r="A194" s="2"/>
      <c r="B194" s="1">
        <v>46142</v>
      </c>
      <c r="C194" s="2"/>
      <c r="D194" s="133"/>
      <c r="E194" s="162" t="s">
        <v>238</v>
      </c>
      <c r="F194" s="69">
        <f t="shared" si="23"/>
        <v>46187</v>
      </c>
      <c r="G194" s="165">
        <v>9600</v>
      </c>
      <c r="H194" s="134">
        <f t="shared" si="24"/>
        <v>9600</v>
      </c>
      <c r="I194" s="2">
        <v>45</v>
      </c>
      <c r="J194" s="132">
        <f t="shared" si="25"/>
        <v>2026</v>
      </c>
      <c r="K194" s="132">
        <f t="shared" si="26"/>
        <v>18</v>
      </c>
      <c r="L194" s="132">
        <f t="shared" si="27"/>
        <v>25</v>
      </c>
      <c r="M194" s="132">
        <f t="shared" si="28"/>
        <v>2026</v>
      </c>
      <c r="N194" s="132">
        <f t="shared" si="29"/>
        <v>27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5.75" customHeight="1" x14ac:dyDescent="0.35">
      <c r="A195" s="2"/>
      <c r="B195" s="1">
        <v>46142</v>
      </c>
      <c r="C195" s="2"/>
      <c r="D195" s="133"/>
      <c r="E195" s="162" t="s">
        <v>239</v>
      </c>
      <c r="F195" s="69">
        <f t="shared" si="23"/>
        <v>46187</v>
      </c>
      <c r="G195" s="165">
        <v>191270</v>
      </c>
      <c r="H195" s="134">
        <f t="shared" si="24"/>
        <v>191270</v>
      </c>
      <c r="I195" s="2">
        <v>45</v>
      </c>
      <c r="J195" s="132">
        <f t="shared" si="25"/>
        <v>2026</v>
      </c>
      <c r="K195" s="132">
        <f t="shared" si="26"/>
        <v>18</v>
      </c>
      <c r="L195" s="132">
        <f t="shared" si="27"/>
        <v>25</v>
      </c>
      <c r="M195" s="132">
        <f t="shared" si="28"/>
        <v>2026</v>
      </c>
      <c r="N195" s="132">
        <f t="shared" si="29"/>
        <v>27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5.75" customHeight="1" x14ac:dyDescent="0.35">
      <c r="A196" s="2"/>
      <c r="B196" s="1">
        <v>46142</v>
      </c>
      <c r="C196" s="2"/>
      <c r="D196" s="133"/>
      <c r="E196" s="162" t="s">
        <v>240</v>
      </c>
      <c r="F196" s="69">
        <f t="shared" si="23"/>
        <v>46172</v>
      </c>
      <c r="G196" s="165">
        <v>78750</v>
      </c>
      <c r="H196" s="134">
        <f t="shared" si="24"/>
        <v>78750</v>
      </c>
      <c r="I196" s="2">
        <v>30</v>
      </c>
      <c r="J196" s="132">
        <f t="shared" si="25"/>
        <v>2026</v>
      </c>
      <c r="K196" s="132">
        <f t="shared" si="26"/>
        <v>18</v>
      </c>
      <c r="L196" s="132">
        <f t="shared" si="27"/>
        <v>22</v>
      </c>
      <c r="M196" s="132">
        <f t="shared" si="28"/>
        <v>2026</v>
      </c>
      <c r="N196" s="132">
        <f t="shared" si="29"/>
        <v>24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5.75" customHeight="1" x14ac:dyDescent="0.35">
      <c r="A197" s="2"/>
      <c r="B197" s="1">
        <v>46142</v>
      </c>
      <c r="C197" s="2"/>
      <c r="D197" s="133"/>
      <c r="E197" s="162" t="s">
        <v>241</v>
      </c>
      <c r="F197" s="69">
        <f t="shared" si="23"/>
        <v>46172</v>
      </c>
      <c r="G197" s="165">
        <v>182400</v>
      </c>
      <c r="H197" s="134">
        <f t="shared" si="24"/>
        <v>182400</v>
      </c>
      <c r="I197" s="2">
        <v>30</v>
      </c>
      <c r="J197" s="132">
        <f t="shared" si="25"/>
        <v>2026</v>
      </c>
      <c r="K197" s="132">
        <f t="shared" si="26"/>
        <v>18</v>
      </c>
      <c r="L197" s="132">
        <f t="shared" si="27"/>
        <v>22</v>
      </c>
      <c r="M197" s="132">
        <f t="shared" si="28"/>
        <v>2026</v>
      </c>
      <c r="N197" s="132">
        <f t="shared" si="29"/>
        <v>24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5.75" customHeight="1" x14ac:dyDescent="0.35">
      <c r="A198" s="2"/>
      <c r="B198" s="1">
        <v>46142</v>
      </c>
      <c r="C198" s="2"/>
      <c r="D198" s="133"/>
      <c r="E198" s="162" t="s">
        <v>242</v>
      </c>
      <c r="F198" s="69">
        <f t="shared" si="23"/>
        <v>46172</v>
      </c>
      <c r="G198" s="165">
        <v>25000</v>
      </c>
      <c r="H198" s="134">
        <f t="shared" si="24"/>
        <v>25000</v>
      </c>
      <c r="I198" s="2">
        <v>30</v>
      </c>
      <c r="J198" s="132">
        <f t="shared" si="25"/>
        <v>2026</v>
      </c>
      <c r="K198" s="132">
        <f t="shared" si="26"/>
        <v>18</v>
      </c>
      <c r="L198" s="132">
        <f t="shared" si="27"/>
        <v>22</v>
      </c>
      <c r="M198" s="132">
        <f t="shared" si="28"/>
        <v>2026</v>
      </c>
      <c r="N198" s="132">
        <f t="shared" si="29"/>
        <v>24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5.75" customHeight="1" x14ac:dyDescent="0.35">
      <c r="A199" s="2"/>
      <c r="B199" s="1">
        <v>46142</v>
      </c>
      <c r="C199" s="2"/>
      <c r="D199" s="133"/>
      <c r="E199" s="162" t="s">
        <v>243</v>
      </c>
      <c r="F199" s="69">
        <f t="shared" si="23"/>
        <v>46172</v>
      </c>
      <c r="G199" s="165">
        <v>55250</v>
      </c>
      <c r="H199" s="134">
        <f t="shared" si="24"/>
        <v>55250</v>
      </c>
      <c r="I199" s="2">
        <v>30</v>
      </c>
      <c r="J199" s="132">
        <f t="shared" si="25"/>
        <v>2026</v>
      </c>
      <c r="K199" s="132">
        <f t="shared" si="26"/>
        <v>18</v>
      </c>
      <c r="L199" s="132">
        <f t="shared" si="27"/>
        <v>22</v>
      </c>
      <c r="M199" s="132">
        <f t="shared" si="28"/>
        <v>2026</v>
      </c>
      <c r="N199" s="132">
        <f t="shared" si="29"/>
        <v>24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5.75" customHeight="1" x14ac:dyDescent="0.35">
      <c r="A200" s="2"/>
      <c r="B200" s="1">
        <v>46142</v>
      </c>
      <c r="C200" s="2"/>
      <c r="D200" s="133"/>
      <c r="E200" s="162" t="s">
        <v>245</v>
      </c>
      <c r="F200" s="69">
        <f t="shared" si="23"/>
        <v>46172</v>
      </c>
      <c r="G200" s="165">
        <v>9500</v>
      </c>
      <c r="H200" s="134">
        <f t="shared" si="24"/>
        <v>9500</v>
      </c>
      <c r="I200" s="2">
        <v>30</v>
      </c>
      <c r="J200" s="132">
        <f t="shared" si="25"/>
        <v>2026</v>
      </c>
      <c r="K200" s="132">
        <f t="shared" si="26"/>
        <v>18</v>
      </c>
      <c r="L200" s="132">
        <f t="shared" si="27"/>
        <v>22</v>
      </c>
      <c r="M200" s="132">
        <f t="shared" si="28"/>
        <v>2026</v>
      </c>
      <c r="N200" s="132">
        <f t="shared" si="29"/>
        <v>24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5.75" customHeight="1" x14ac:dyDescent="0.35">
      <c r="A201" s="2"/>
      <c r="B201" s="1">
        <v>46142</v>
      </c>
      <c r="C201" s="2"/>
      <c r="D201" s="133"/>
      <c r="E201" s="162" t="s">
        <v>247</v>
      </c>
      <c r="F201" s="69">
        <f t="shared" si="23"/>
        <v>46187</v>
      </c>
      <c r="G201" s="165">
        <v>58867.5</v>
      </c>
      <c r="H201" s="134">
        <f t="shared" si="24"/>
        <v>58867.5</v>
      </c>
      <c r="I201" s="2">
        <v>45</v>
      </c>
      <c r="J201" s="132">
        <f t="shared" si="25"/>
        <v>2026</v>
      </c>
      <c r="K201" s="132">
        <f t="shared" si="26"/>
        <v>18</v>
      </c>
      <c r="L201" s="132">
        <f t="shared" si="27"/>
        <v>25</v>
      </c>
      <c r="M201" s="132">
        <f t="shared" si="28"/>
        <v>2026</v>
      </c>
      <c r="N201" s="132">
        <f t="shared" si="29"/>
        <v>27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5.75" customHeight="1" x14ac:dyDescent="0.35">
      <c r="A202" s="2"/>
      <c r="B202" s="1">
        <v>46142</v>
      </c>
      <c r="C202" s="2"/>
      <c r="D202" s="133"/>
      <c r="E202" s="162" t="s">
        <v>248</v>
      </c>
      <c r="F202" s="69">
        <f t="shared" si="23"/>
        <v>46172</v>
      </c>
      <c r="G202" s="165">
        <v>59962</v>
      </c>
      <c r="H202" s="134">
        <f t="shared" si="24"/>
        <v>59962</v>
      </c>
      <c r="I202" s="2">
        <v>30</v>
      </c>
      <c r="J202" s="132">
        <f t="shared" si="25"/>
        <v>2026</v>
      </c>
      <c r="K202" s="132">
        <f t="shared" si="26"/>
        <v>18</v>
      </c>
      <c r="L202" s="132">
        <f t="shared" si="27"/>
        <v>22</v>
      </c>
      <c r="M202" s="132">
        <f t="shared" si="28"/>
        <v>2026</v>
      </c>
      <c r="N202" s="132">
        <f t="shared" si="29"/>
        <v>24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5.75" customHeight="1" x14ac:dyDescent="0.35">
      <c r="A203" s="2"/>
      <c r="B203" s="1">
        <v>46142</v>
      </c>
      <c r="C203" s="2"/>
      <c r="D203" s="133"/>
      <c r="E203" s="162" t="s">
        <v>249</v>
      </c>
      <c r="F203" s="69">
        <f t="shared" ref="F203:F266" si="30">IF(ISBLANK($B203),"",B203+I203)</f>
        <v>46187</v>
      </c>
      <c r="G203" s="165">
        <v>138050</v>
      </c>
      <c r="H203" s="134">
        <f t="shared" ref="H203:H266" si="31">IF(ISBLANK($B203),"",$G203)</f>
        <v>138050</v>
      </c>
      <c r="I203" s="2">
        <v>45</v>
      </c>
      <c r="J203" s="132">
        <f t="shared" ref="J203:J266" si="32">IF(ISBLANK($B203),"",YEAR($B203))</f>
        <v>2026</v>
      </c>
      <c r="K203" s="132">
        <f t="shared" ref="K203:K266" si="33">IF(ISBLANK($B203),"",WEEKNUM($B203))</f>
        <v>18</v>
      </c>
      <c r="L203" s="132">
        <f t="shared" ref="L203:L266" si="34">IF(ISBLANK($B203),"",WEEKNUM($F203))</f>
        <v>25</v>
      </c>
      <c r="M203" s="132">
        <f t="shared" ref="M203:M266" si="35">IF(ISBLANK($B203),"",IF($L203&lt;51,YEAR($F203),YEAR($F203)+1))</f>
        <v>2026</v>
      </c>
      <c r="N203" s="132">
        <f t="shared" ref="N203:N266" si="36">IF(ISBLANK($B203),"",IF($L203&lt;51,$L203+$N$2,$L203-52+$N$2))</f>
        <v>27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5.75" customHeight="1" x14ac:dyDescent="0.35">
      <c r="A204" s="2"/>
      <c r="B204" s="1">
        <v>46142</v>
      </c>
      <c r="C204" s="2"/>
      <c r="D204" s="133"/>
      <c r="E204" s="162" t="s">
        <v>250</v>
      </c>
      <c r="F204" s="69">
        <f t="shared" si="30"/>
        <v>46172</v>
      </c>
      <c r="G204" s="165">
        <v>163000</v>
      </c>
      <c r="H204" s="134">
        <f t="shared" si="31"/>
        <v>163000</v>
      </c>
      <c r="I204" s="2">
        <v>30</v>
      </c>
      <c r="J204" s="132">
        <f t="shared" si="32"/>
        <v>2026</v>
      </c>
      <c r="K204" s="132">
        <f t="shared" si="33"/>
        <v>18</v>
      </c>
      <c r="L204" s="132">
        <f t="shared" si="34"/>
        <v>22</v>
      </c>
      <c r="M204" s="132">
        <f t="shared" si="35"/>
        <v>2026</v>
      </c>
      <c r="N204" s="132">
        <f t="shared" si="36"/>
        <v>24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5.75" customHeight="1" x14ac:dyDescent="0.35">
      <c r="A205" s="2"/>
      <c r="B205" s="1">
        <v>46142</v>
      </c>
      <c r="C205" s="2"/>
      <c r="D205" s="133"/>
      <c r="E205" s="162" t="s">
        <v>264</v>
      </c>
      <c r="F205" s="69">
        <f t="shared" si="30"/>
        <v>46172</v>
      </c>
      <c r="G205" s="165">
        <v>68154.399999999994</v>
      </c>
      <c r="H205" s="134">
        <f t="shared" si="31"/>
        <v>68154.399999999994</v>
      </c>
      <c r="I205" s="2">
        <v>30</v>
      </c>
      <c r="J205" s="132">
        <f t="shared" si="32"/>
        <v>2026</v>
      </c>
      <c r="K205" s="132">
        <f t="shared" si="33"/>
        <v>18</v>
      </c>
      <c r="L205" s="132">
        <f t="shared" si="34"/>
        <v>22</v>
      </c>
      <c r="M205" s="132">
        <f t="shared" si="35"/>
        <v>2026</v>
      </c>
      <c r="N205" s="132">
        <f t="shared" si="36"/>
        <v>24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5.75" customHeight="1" x14ac:dyDescent="0.35">
      <c r="A206" s="2"/>
      <c r="B206" s="1">
        <v>46142</v>
      </c>
      <c r="C206" s="2"/>
      <c r="D206" s="133"/>
      <c r="E206" s="162" t="s">
        <v>252</v>
      </c>
      <c r="F206" s="69">
        <f t="shared" si="30"/>
        <v>46187</v>
      </c>
      <c r="G206" s="165">
        <v>23232</v>
      </c>
      <c r="H206" s="134">
        <f t="shared" si="31"/>
        <v>23232</v>
      </c>
      <c r="I206" s="2">
        <v>45</v>
      </c>
      <c r="J206" s="132">
        <f t="shared" si="32"/>
        <v>2026</v>
      </c>
      <c r="K206" s="132">
        <f t="shared" si="33"/>
        <v>18</v>
      </c>
      <c r="L206" s="132">
        <f t="shared" si="34"/>
        <v>25</v>
      </c>
      <c r="M206" s="132">
        <f t="shared" si="35"/>
        <v>2026</v>
      </c>
      <c r="N206" s="132">
        <f t="shared" si="36"/>
        <v>27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5.75" customHeight="1" x14ac:dyDescent="0.35">
      <c r="A207" s="2"/>
      <c r="B207" s="1">
        <v>46142</v>
      </c>
      <c r="C207" s="2"/>
      <c r="D207" s="133"/>
      <c r="E207" s="162" t="s">
        <v>253</v>
      </c>
      <c r="F207" s="69">
        <f t="shared" si="30"/>
        <v>46187</v>
      </c>
      <c r="G207" s="165">
        <v>11440</v>
      </c>
      <c r="H207" s="134">
        <f t="shared" si="31"/>
        <v>11440</v>
      </c>
      <c r="I207" s="2">
        <v>45</v>
      </c>
      <c r="J207" s="132">
        <f t="shared" si="32"/>
        <v>2026</v>
      </c>
      <c r="K207" s="132">
        <f t="shared" si="33"/>
        <v>18</v>
      </c>
      <c r="L207" s="132">
        <f t="shared" si="34"/>
        <v>25</v>
      </c>
      <c r="M207" s="132">
        <f t="shared" si="35"/>
        <v>2026</v>
      </c>
      <c r="N207" s="132">
        <f t="shared" si="36"/>
        <v>27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5.75" customHeight="1" x14ac:dyDescent="0.35">
      <c r="A208" s="2"/>
      <c r="B208" s="1">
        <v>46142</v>
      </c>
      <c r="C208" s="2"/>
      <c r="D208" s="133"/>
      <c r="E208" s="162" t="s">
        <v>254</v>
      </c>
      <c r="F208" s="69">
        <f t="shared" si="30"/>
        <v>46187</v>
      </c>
      <c r="G208" s="165">
        <v>68040</v>
      </c>
      <c r="H208" s="134">
        <f t="shared" si="31"/>
        <v>68040</v>
      </c>
      <c r="I208" s="2">
        <v>45</v>
      </c>
      <c r="J208" s="132">
        <f t="shared" si="32"/>
        <v>2026</v>
      </c>
      <c r="K208" s="132">
        <f t="shared" si="33"/>
        <v>18</v>
      </c>
      <c r="L208" s="132">
        <f t="shared" si="34"/>
        <v>25</v>
      </c>
      <c r="M208" s="132">
        <f t="shared" si="35"/>
        <v>2026</v>
      </c>
      <c r="N208" s="132">
        <f t="shared" si="36"/>
        <v>27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5.75" customHeight="1" x14ac:dyDescent="0.35">
      <c r="A209" s="2"/>
      <c r="B209" s="1">
        <v>46142</v>
      </c>
      <c r="C209" s="2"/>
      <c r="D209" s="133"/>
      <c r="E209" s="162" t="s">
        <v>255</v>
      </c>
      <c r="F209" s="69">
        <f t="shared" si="30"/>
        <v>46187</v>
      </c>
      <c r="G209" s="165">
        <v>28800</v>
      </c>
      <c r="H209" s="134">
        <f t="shared" si="31"/>
        <v>28800</v>
      </c>
      <c r="I209" s="2">
        <v>45</v>
      </c>
      <c r="J209" s="132">
        <f t="shared" si="32"/>
        <v>2026</v>
      </c>
      <c r="K209" s="132">
        <f t="shared" si="33"/>
        <v>18</v>
      </c>
      <c r="L209" s="132">
        <f t="shared" si="34"/>
        <v>25</v>
      </c>
      <c r="M209" s="132">
        <f t="shared" si="35"/>
        <v>2026</v>
      </c>
      <c r="N209" s="132">
        <f t="shared" si="36"/>
        <v>27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5.75" customHeight="1" x14ac:dyDescent="0.35">
      <c r="B210" s="1">
        <v>46142</v>
      </c>
      <c r="D210" s="133"/>
      <c r="E210" s="162" t="s">
        <v>256</v>
      </c>
      <c r="F210" s="69">
        <f t="shared" si="30"/>
        <v>46172</v>
      </c>
      <c r="G210" s="165">
        <v>34750</v>
      </c>
      <c r="H210" s="134">
        <f t="shared" si="31"/>
        <v>34750</v>
      </c>
      <c r="I210" s="2">
        <v>30</v>
      </c>
      <c r="J210" s="132">
        <f t="shared" si="32"/>
        <v>2026</v>
      </c>
      <c r="K210" s="132">
        <f t="shared" si="33"/>
        <v>18</v>
      </c>
      <c r="L210" s="132">
        <f t="shared" si="34"/>
        <v>22</v>
      </c>
      <c r="M210" s="132">
        <f t="shared" si="35"/>
        <v>2026</v>
      </c>
      <c r="N210" s="132">
        <f t="shared" si="36"/>
        <v>24</v>
      </c>
    </row>
    <row r="211" spans="1:30" ht="15.75" customHeight="1" x14ac:dyDescent="0.35">
      <c r="B211" s="1">
        <v>46142</v>
      </c>
      <c r="D211" s="133"/>
      <c r="E211" s="162" t="s">
        <v>257</v>
      </c>
      <c r="F211" s="69">
        <f t="shared" si="30"/>
        <v>46187</v>
      </c>
      <c r="G211" s="165">
        <v>21600</v>
      </c>
      <c r="H211" s="134">
        <f t="shared" si="31"/>
        <v>21600</v>
      </c>
      <c r="I211" s="2">
        <v>45</v>
      </c>
      <c r="J211" s="132">
        <f t="shared" si="32"/>
        <v>2026</v>
      </c>
      <c r="K211" s="132">
        <f t="shared" si="33"/>
        <v>18</v>
      </c>
      <c r="L211" s="132">
        <f t="shared" si="34"/>
        <v>25</v>
      </c>
      <c r="M211" s="132">
        <f t="shared" si="35"/>
        <v>2026</v>
      </c>
      <c r="N211" s="132">
        <f t="shared" si="36"/>
        <v>27</v>
      </c>
    </row>
    <row r="212" spans="1:30" ht="15.75" customHeight="1" x14ac:dyDescent="0.35">
      <c r="B212" s="1">
        <v>46142</v>
      </c>
      <c r="D212" s="133"/>
      <c r="E212" s="162" t="s">
        <v>258</v>
      </c>
      <c r="F212" s="69">
        <f t="shared" si="30"/>
        <v>46187</v>
      </c>
      <c r="G212" s="165">
        <v>163283</v>
      </c>
      <c r="H212" s="134">
        <f t="shared" si="31"/>
        <v>163283</v>
      </c>
      <c r="I212" s="2">
        <v>45</v>
      </c>
      <c r="J212" s="132">
        <f t="shared" si="32"/>
        <v>2026</v>
      </c>
      <c r="K212" s="132">
        <f t="shared" si="33"/>
        <v>18</v>
      </c>
      <c r="L212" s="132">
        <f t="shared" si="34"/>
        <v>25</v>
      </c>
      <c r="M212" s="132">
        <f t="shared" si="35"/>
        <v>2026</v>
      </c>
      <c r="N212" s="132">
        <f t="shared" si="36"/>
        <v>27</v>
      </c>
    </row>
    <row r="213" spans="1:30" ht="15.75" customHeight="1" x14ac:dyDescent="0.35">
      <c r="B213" s="1">
        <v>46142</v>
      </c>
      <c r="D213" s="133"/>
      <c r="E213" s="162" t="s">
        <v>259</v>
      </c>
      <c r="F213" s="69">
        <f t="shared" si="30"/>
        <v>46232</v>
      </c>
      <c r="G213" s="165">
        <v>261928</v>
      </c>
      <c r="H213" s="134">
        <f t="shared" si="31"/>
        <v>261928</v>
      </c>
      <c r="I213" s="2">
        <v>90</v>
      </c>
      <c r="J213" s="132">
        <f t="shared" si="32"/>
        <v>2026</v>
      </c>
      <c r="K213" s="132">
        <f t="shared" si="33"/>
        <v>18</v>
      </c>
      <c r="L213" s="132">
        <f t="shared" si="34"/>
        <v>31</v>
      </c>
      <c r="M213" s="132">
        <f t="shared" si="35"/>
        <v>2026</v>
      </c>
      <c r="N213" s="132">
        <f t="shared" si="36"/>
        <v>33</v>
      </c>
    </row>
    <row r="214" spans="1:30" ht="15.75" customHeight="1" x14ac:dyDescent="0.35">
      <c r="B214" s="1">
        <v>46142</v>
      </c>
      <c r="D214" s="133"/>
      <c r="E214" s="162" t="s">
        <v>355</v>
      </c>
      <c r="F214" s="69">
        <f t="shared" si="30"/>
        <v>46187</v>
      </c>
      <c r="G214" s="165">
        <v>30240</v>
      </c>
      <c r="H214" s="134">
        <f t="shared" si="31"/>
        <v>30240</v>
      </c>
      <c r="I214" s="2">
        <v>45</v>
      </c>
      <c r="J214" s="132">
        <f t="shared" si="32"/>
        <v>2026</v>
      </c>
      <c r="K214" s="132">
        <f t="shared" si="33"/>
        <v>18</v>
      </c>
      <c r="L214" s="132">
        <f t="shared" si="34"/>
        <v>25</v>
      </c>
      <c r="M214" s="132">
        <f t="shared" si="35"/>
        <v>2026</v>
      </c>
      <c r="N214" s="132">
        <f t="shared" si="36"/>
        <v>27</v>
      </c>
    </row>
    <row r="215" spans="1:30" ht="15.75" customHeight="1" x14ac:dyDescent="0.35">
      <c r="B215" s="1">
        <v>46142</v>
      </c>
      <c r="D215" s="133"/>
      <c r="E215" s="162" t="s">
        <v>353</v>
      </c>
      <c r="F215" s="69">
        <f t="shared" si="30"/>
        <v>46172</v>
      </c>
      <c r="G215" s="165">
        <v>40000</v>
      </c>
      <c r="H215" s="134">
        <f t="shared" si="31"/>
        <v>40000</v>
      </c>
      <c r="I215" s="2">
        <v>30</v>
      </c>
      <c r="J215" s="132">
        <f t="shared" si="32"/>
        <v>2026</v>
      </c>
      <c r="K215" s="132">
        <f t="shared" si="33"/>
        <v>18</v>
      </c>
      <c r="L215" s="132">
        <f t="shared" si="34"/>
        <v>22</v>
      </c>
      <c r="M215" s="132">
        <f t="shared" si="35"/>
        <v>2026</v>
      </c>
      <c r="N215" s="132">
        <f t="shared" si="36"/>
        <v>24</v>
      </c>
    </row>
    <row r="216" spans="1:30" ht="15.75" customHeight="1" x14ac:dyDescent="0.35">
      <c r="B216" s="1">
        <v>46142</v>
      </c>
      <c r="D216" s="133"/>
      <c r="E216" s="162" t="s">
        <v>469</v>
      </c>
      <c r="F216" s="69">
        <f t="shared" si="30"/>
        <v>46187</v>
      </c>
      <c r="G216" s="165">
        <v>11059.5</v>
      </c>
      <c r="H216" s="134">
        <f t="shared" si="31"/>
        <v>11059.5</v>
      </c>
      <c r="I216" s="2">
        <v>45</v>
      </c>
      <c r="J216" s="132">
        <f t="shared" si="32"/>
        <v>2026</v>
      </c>
      <c r="K216" s="132">
        <f t="shared" si="33"/>
        <v>18</v>
      </c>
      <c r="L216" s="132">
        <f t="shared" si="34"/>
        <v>25</v>
      </c>
      <c r="M216" s="132">
        <f t="shared" si="35"/>
        <v>2026</v>
      </c>
      <c r="N216" s="132">
        <f t="shared" si="36"/>
        <v>27</v>
      </c>
    </row>
    <row r="217" spans="1:30" ht="15.75" customHeight="1" x14ac:dyDescent="0.35">
      <c r="B217" s="1">
        <v>46142</v>
      </c>
      <c r="D217" s="133"/>
      <c r="E217" s="162" t="s">
        <v>470</v>
      </c>
      <c r="F217" s="69">
        <f t="shared" si="30"/>
        <v>46187</v>
      </c>
      <c r="G217" s="165">
        <v>50508</v>
      </c>
      <c r="H217" s="134">
        <f t="shared" si="31"/>
        <v>50508</v>
      </c>
      <c r="I217" s="2">
        <v>45</v>
      </c>
      <c r="J217" s="132">
        <f t="shared" si="32"/>
        <v>2026</v>
      </c>
      <c r="K217" s="132">
        <f t="shared" si="33"/>
        <v>18</v>
      </c>
      <c r="L217" s="132">
        <f t="shared" si="34"/>
        <v>25</v>
      </c>
      <c r="M217" s="132">
        <f t="shared" si="35"/>
        <v>2026</v>
      </c>
      <c r="N217" s="132">
        <f t="shared" si="36"/>
        <v>27</v>
      </c>
    </row>
    <row r="218" spans="1:30" ht="15.75" customHeight="1" x14ac:dyDescent="0.35">
      <c r="B218" s="1">
        <v>46142</v>
      </c>
      <c r="D218" s="133"/>
      <c r="E218" s="162" t="s">
        <v>471</v>
      </c>
      <c r="F218" s="69">
        <f t="shared" si="30"/>
        <v>46202</v>
      </c>
      <c r="G218" s="165">
        <v>41000</v>
      </c>
      <c r="H218" s="134">
        <f t="shared" si="31"/>
        <v>41000</v>
      </c>
      <c r="I218" s="2">
        <v>60</v>
      </c>
      <c r="J218" s="132">
        <f t="shared" si="32"/>
        <v>2026</v>
      </c>
      <c r="K218" s="132">
        <f t="shared" si="33"/>
        <v>18</v>
      </c>
      <c r="L218" s="132">
        <f t="shared" si="34"/>
        <v>27</v>
      </c>
      <c r="M218" s="132">
        <f t="shared" si="35"/>
        <v>2026</v>
      </c>
      <c r="N218" s="132">
        <f t="shared" si="36"/>
        <v>29</v>
      </c>
    </row>
    <row r="219" spans="1:30" ht="15.75" customHeight="1" x14ac:dyDescent="0.35">
      <c r="B219" s="1">
        <v>46142</v>
      </c>
      <c r="D219" s="133"/>
      <c r="E219" s="162" t="s">
        <v>472</v>
      </c>
      <c r="F219" s="69">
        <f t="shared" si="30"/>
        <v>46172</v>
      </c>
      <c r="G219" s="165">
        <v>69993</v>
      </c>
      <c r="H219" s="134">
        <f t="shared" si="31"/>
        <v>69993</v>
      </c>
      <c r="I219" s="2">
        <v>30</v>
      </c>
      <c r="J219" s="132">
        <f t="shared" si="32"/>
        <v>2026</v>
      </c>
      <c r="K219" s="132">
        <f t="shared" si="33"/>
        <v>18</v>
      </c>
      <c r="L219" s="132">
        <f t="shared" si="34"/>
        <v>22</v>
      </c>
      <c r="M219" s="132">
        <f t="shared" si="35"/>
        <v>2026</v>
      </c>
      <c r="N219" s="132">
        <f t="shared" si="36"/>
        <v>24</v>
      </c>
    </row>
    <row r="220" spans="1:30" ht="15.75" customHeight="1" x14ac:dyDescent="0.35">
      <c r="B220" s="1">
        <v>46142</v>
      </c>
      <c r="D220" s="133"/>
      <c r="E220" s="162" t="s">
        <v>473</v>
      </c>
      <c r="F220" s="69">
        <f t="shared" si="30"/>
        <v>46187</v>
      </c>
      <c r="G220" s="165">
        <v>27000</v>
      </c>
      <c r="H220" s="134">
        <f t="shared" si="31"/>
        <v>27000</v>
      </c>
      <c r="I220" s="2">
        <v>45</v>
      </c>
      <c r="J220" s="132">
        <f t="shared" si="32"/>
        <v>2026</v>
      </c>
      <c r="K220" s="132">
        <f t="shared" si="33"/>
        <v>18</v>
      </c>
      <c r="L220" s="132">
        <f t="shared" si="34"/>
        <v>25</v>
      </c>
      <c r="M220" s="132">
        <f t="shared" si="35"/>
        <v>2026</v>
      </c>
      <c r="N220" s="132">
        <f t="shared" si="36"/>
        <v>27</v>
      </c>
    </row>
    <row r="221" spans="1:30" ht="15.75" customHeight="1" x14ac:dyDescent="0.35">
      <c r="B221" s="1">
        <v>46142</v>
      </c>
      <c r="D221" s="133"/>
      <c r="E221" s="162" t="s">
        <v>474</v>
      </c>
      <c r="F221" s="69">
        <f t="shared" si="30"/>
        <v>46172</v>
      </c>
      <c r="G221" s="165">
        <v>114201</v>
      </c>
      <c r="H221" s="134">
        <f t="shared" si="31"/>
        <v>114201</v>
      </c>
      <c r="I221" s="2">
        <v>30</v>
      </c>
      <c r="J221" s="132">
        <f t="shared" si="32"/>
        <v>2026</v>
      </c>
      <c r="K221" s="132">
        <f t="shared" si="33"/>
        <v>18</v>
      </c>
      <c r="L221" s="132">
        <f t="shared" si="34"/>
        <v>22</v>
      </c>
      <c r="M221" s="132">
        <f t="shared" si="35"/>
        <v>2026</v>
      </c>
      <c r="N221" s="132">
        <f t="shared" si="36"/>
        <v>24</v>
      </c>
    </row>
    <row r="222" spans="1:30" ht="15.75" customHeight="1" x14ac:dyDescent="0.35">
      <c r="B222" s="1">
        <v>46142</v>
      </c>
      <c r="D222" s="133"/>
      <c r="E222" s="162" t="s">
        <v>475</v>
      </c>
      <c r="F222" s="69">
        <f t="shared" si="30"/>
        <v>46187</v>
      </c>
      <c r="G222" s="165">
        <v>69300</v>
      </c>
      <c r="H222" s="134">
        <f t="shared" si="31"/>
        <v>69300</v>
      </c>
      <c r="I222" s="2">
        <v>45</v>
      </c>
      <c r="J222" s="132">
        <f t="shared" si="32"/>
        <v>2026</v>
      </c>
      <c r="K222" s="132">
        <f t="shared" si="33"/>
        <v>18</v>
      </c>
      <c r="L222" s="132">
        <f t="shared" si="34"/>
        <v>25</v>
      </c>
      <c r="M222" s="132">
        <f t="shared" si="35"/>
        <v>2026</v>
      </c>
      <c r="N222" s="132">
        <f t="shared" si="36"/>
        <v>27</v>
      </c>
    </row>
    <row r="223" spans="1:30" ht="15.75" customHeight="1" x14ac:dyDescent="0.35">
      <c r="B223" s="1">
        <v>46142</v>
      </c>
      <c r="D223" s="133"/>
      <c r="E223" s="162" t="s">
        <v>476</v>
      </c>
      <c r="F223" s="69">
        <f t="shared" si="30"/>
        <v>46202</v>
      </c>
      <c r="G223" s="165">
        <v>26880</v>
      </c>
      <c r="H223" s="134">
        <f t="shared" si="31"/>
        <v>26880</v>
      </c>
      <c r="I223" s="2">
        <v>60</v>
      </c>
      <c r="J223" s="132">
        <f t="shared" si="32"/>
        <v>2026</v>
      </c>
      <c r="K223" s="132">
        <f t="shared" si="33"/>
        <v>18</v>
      </c>
      <c r="L223" s="132">
        <f t="shared" si="34"/>
        <v>27</v>
      </c>
      <c r="M223" s="132">
        <f t="shared" si="35"/>
        <v>2026</v>
      </c>
      <c r="N223" s="132">
        <f t="shared" si="36"/>
        <v>29</v>
      </c>
    </row>
    <row r="224" spans="1:30" ht="15.75" customHeight="1" x14ac:dyDescent="0.35">
      <c r="B224" s="1">
        <v>46142</v>
      </c>
      <c r="D224" s="133"/>
      <c r="E224" s="162" t="s">
        <v>477</v>
      </c>
      <c r="F224" s="69">
        <f t="shared" si="30"/>
        <v>46172</v>
      </c>
      <c r="G224" s="165">
        <v>10800</v>
      </c>
      <c r="H224" s="134">
        <f t="shared" si="31"/>
        <v>10800</v>
      </c>
      <c r="I224" s="2">
        <v>30</v>
      </c>
      <c r="J224" s="132">
        <f t="shared" si="32"/>
        <v>2026</v>
      </c>
      <c r="K224" s="132">
        <f t="shared" si="33"/>
        <v>18</v>
      </c>
      <c r="L224" s="132">
        <f t="shared" si="34"/>
        <v>22</v>
      </c>
      <c r="M224" s="132">
        <f t="shared" si="35"/>
        <v>2026</v>
      </c>
      <c r="N224" s="132">
        <f t="shared" si="36"/>
        <v>24</v>
      </c>
    </row>
    <row r="225" spans="2:14" ht="15.75" customHeight="1" x14ac:dyDescent="0.35">
      <c r="B225" s="1">
        <v>46173</v>
      </c>
      <c r="D225" s="133"/>
      <c r="E225" s="163" t="s">
        <v>193</v>
      </c>
      <c r="F225" s="69">
        <f t="shared" si="30"/>
        <v>46203</v>
      </c>
      <c r="G225" s="165">
        <v>2500</v>
      </c>
      <c r="H225" s="134">
        <f t="shared" si="31"/>
        <v>2500</v>
      </c>
      <c r="I225" s="2">
        <v>30</v>
      </c>
      <c r="J225" s="132">
        <f t="shared" si="32"/>
        <v>2026</v>
      </c>
      <c r="K225" s="132">
        <f t="shared" si="33"/>
        <v>23</v>
      </c>
      <c r="L225" s="132">
        <f t="shared" si="34"/>
        <v>27</v>
      </c>
      <c r="M225" s="132">
        <f t="shared" si="35"/>
        <v>2026</v>
      </c>
      <c r="N225" s="132">
        <f t="shared" si="36"/>
        <v>29</v>
      </c>
    </row>
    <row r="226" spans="2:14" ht="15.75" customHeight="1" x14ac:dyDescent="0.35">
      <c r="B226" s="1">
        <v>46173</v>
      </c>
      <c r="D226" s="133"/>
      <c r="E226" s="162" t="s">
        <v>194</v>
      </c>
      <c r="F226" s="69">
        <f t="shared" si="30"/>
        <v>46233</v>
      </c>
      <c r="G226" s="165">
        <v>1209.5</v>
      </c>
      <c r="H226" s="134">
        <f t="shared" si="31"/>
        <v>1209.5</v>
      </c>
      <c r="I226" s="2">
        <v>60</v>
      </c>
      <c r="J226" s="132">
        <f t="shared" si="32"/>
        <v>2026</v>
      </c>
      <c r="K226" s="132">
        <f t="shared" si="33"/>
        <v>23</v>
      </c>
      <c r="L226" s="132">
        <f t="shared" si="34"/>
        <v>31</v>
      </c>
      <c r="M226" s="132">
        <f t="shared" si="35"/>
        <v>2026</v>
      </c>
      <c r="N226" s="132">
        <f t="shared" si="36"/>
        <v>33</v>
      </c>
    </row>
    <row r="227" spans="2:14" ht="15.75" customHeight="1" x14ac:dyDescent="0.35">
      <c r="B227" s="1">
        <v>46173</v>
      </c>
      <c r="D227" s="133"/>
      <c r="E227" s="162" t="s">
        <v>197</v>
      </c>
      <c r="F227" s="69">
        <f t="shared" si="30"/>
        <v>46233</v>
      </c>
      <c r="G227" s="165">
        <v>24999.599999999977</v>
      </c>
      <c r="H227" s="134">
        <f t="shared" si="31"/>
        <v>24999.599999999977</v>
      </c>
      <c r="I227" s="2">
        <v>60</v>
      </c>
      <c r="J227" s="132">
        <f t="shared" si="32"/>
        <v>2026</v>
      </c>
      <c r="K227" s="132">
        <f t="shared" si="33"/>
        <v>23</v>
      </c>
      <c r="L227" s="132">
        <f t="shared" si="34"/>
        <v>31</v>
      </c>
      <c r="M227" s="132">
        <f t="shared" si="35"/>
        <v>2026</v>
      </c>
      <c r="N227" s="132">
        <f t="shared" si="36"/>
        <v>33</v>
      </c>
    </row>
    <row r="228" spans="2:14" ht="15.75" customHeight="1" x14ac:dyDescent="0.35">
      <c r="B228" s="1">
        <v>46173</v>
      </c>
      <c r="D228" s="133"/>
      <c r="E228" s="162" t="s">
        <v>198</v>
      </c>
      <c r="F228" s="69">
        <f t="shared" si="30"/>
        <v>46218</v>
      </c>
      <c r="G228" s="165">
        <v>21600</v>
      </c>
      <c r="H228" s="134">
        <f t="shared" si="31"/>
        <v>21600</v>
      </c>
      <c r="I228" s="2">
        <v>45</v>
      </c>
      <c r="J228" s="132">
        <f t="shared" si="32"/>
        <v>2026</v>
      </c>
      <c r="K228" s="132">
        <f t="shared" si="33"/>
        <v>23</v>
      </c>
      <c r="L228" s="132">
        <f t="shared" si="34"/>
        <v>29</v>
      </c>
      <c r="M228" s="132">
        <f t="shared" si="35"/>
        <v>2026</v>
      </c>
      <c r="N228" s="132">
        <f t="shared" si="36"/>
        <v>31</v>
      </c>
    </row>
    <row r="229" spans="2:14" ht="15.75" customHeight="1" x14ac:dyDescent="0.35">
      <c r="B229" s="1">
        <v>46173</v>
      </c>
      <c r="D229" s="133"/>
      <c r="E229" s="162" t="s">
        <v>199</v>
      </c>
      <c r="F229" s="69">
        <f t="shared" si="30"/>
        <v>46218</v>
      </c>
      <c r="G229" s="165">
        <v>42350</v>
      </c>
      <c r="H229" s="134">
        <f t="shared" si="31"/>
        <v>42350</v>
      </c>
      <c r="I229" s="2">
        <v>45</v>
      </c>
      <c r="J229" s="132">
        <f t="shared" si="32"/>
        <v>2026</v>
      </c>
      <c r="K229" s="132">
        <f t="shared" si="33"/>
        <v>23</v>
      </c>
      <c r="L229" s="132">
        <f t="shared" si="34"/>
        <v>29</v>
      </c>
      <c r="M229" s="132">
        <f t="shared" si="35"/>
        <v>2026</v>
      </c>
      <c r="N229" s="132">
        <f t="shared" si="36"/>
        <v>31</v>
      </c>
    </row>
    <row r="230" spans="2:14" ht="15.75" customHeight="1" x14ac:dyDescent="0.35">
      <c r="B230" s="1">
        <v>46173</v>
      </c>
      <c r="D230" s="133"/>
      <c r="E230" s="162" t="s">
        <v>200</v>
      </c>
      <c r="F230" s="69">
        <f t="shared" si="30"/>
        <v>46203</v>
      </c>
      <c r="G230" s="165">
        <v>25800</v>
      </c>
      <c r="H230" s="134">
        <f t="shared" si="31"/>
        <v>25800</v>
      </c>
      <c r="I230" s="2">
        <v>30</v>
      </c>
      <c r="J230" s="132">
        <f t="shared" si="32"/>
        <v>2026</v>
      </c>
      <c r="K230" s="132">
        <f t="shared" si="33"/>
        <v>23</v>
      </c>
      <c r="L230" s="132">
        <f t="shared" si="34"/>
        <v>27</v>
      </c>
      <c r="M230" s="132">
        <f t="shared" si="35"/>
        <v>2026</v>
      </c>
      <c r="N230" s="132">
        <f t="shared" si="36"/>
        <v>29</v>
      </c>
    </row>
    <row r="231" spans="2:14" ht="15.75" customHeight="1" x14ac:dyDescent="0.35">
      <c r="B231" s="1">
        <v>46173</v>
      </c>
      <c r="D231" s="133"/>
      <c r="E231" s="162" t="s">
        <v>202</v>
      </c>
      <c r="F231" s="69">
        <f t="shared" si="30"/>
        <v>46203</v>
      </c>
      <c r="G231" s="165">
        <v>138483</v>
      </c>
      <c r="H231" s="134">
        <f t="shared" si="31"/>
        <v>138483</v>
      </c>
      <c r="I231" s="2">
        <v>30</v>
      </c>
      <c r="J231" s="132">
        <f t="shared" si="32"/>
        <v>2026</v>
      </c>
      <c r="K231" s="132">
        <f t="shared" si="33"/>
        <v>23</v>
      </c>
      <c r="L231" s="132">
        <f t="shared" si="34"/>
        <v>27</v>
      </c>
      <c r="M231" s="132">
        <f t="shared" si="35"/>
        <v>2026</v>
      </c>
      <c r="N231" s="132">
        <f t="shared" si="36"/>
        <v>29</v>
      </c>
    </row>
    <row r="232" spans="2:14" ht="15.75" customHeight="1" x14ac:dyDescent="0.35">
      <c r="B232" s="1">
        <v>46173</v>
      </c>
      <c r="D232" s="133"/>
      <c r="E232" s="162" t="s">
        <v>203</v>
      </c>
      <c r="F232" s="69">
        <f t="shared" si="30"/>
        <v>46203</v>
      </c>
      <c r="G232" s="165">
        <v>38722</v>
      </c>
      <c r="H232" s="134">
        <f t="shared" si="31"/>
        <v>38722</v>
      </c>
      <c r="I232" s="2">
        <v>30</v>
      </c>
      <c r="J232" s="132">
        <f t="shared" si="32"/>
        <v>2026</v>
      </c>
      <c r="K232" s="132">
        <f t="shared" si="33"/>
        <v>23</v>
      </c>
      <c r="L232" s="132">
        <f t="shared" si="34"/>
        <v>27</v>
      </c>
      <c r="M232" s="132">
        <f t="shared" si="35"/>
        <v>2026</v>
      </c>
      <c r="N232" s="132">
        <f t="shared" si="36"/>
        <v>29</v>
      </c>
    </row>
    <row r="233" spans="2:14" ht="15.75" customHeight="1" x14ac:dyDescent="0.35">
      <c r="B233" s="1">
        <v>46173</v>
      </c>
      <c r="D233" s="133"/>
      <c r="E233" s="162" t="s">
        <v>208</v>
      </c>
      <c r="F233" s="69">
        <f t="shared" si="30"/>
        <v>46203</v>
      </c>
      <c r="G233" s="165">
        <v>8400</v>
      </c>
      <c r="H233" s="134">
        <f t="shared" si="31"/>
        <v>8400</v>
      </c>
      <c r="I233" s="2">
        <v>30</v>
      </c>
      <c r="J233" s="132">
        <f t="shared" si="32"/>
        <v>2026</v>
      </c>
      <c r="K233" s="132">
        <f t="shared" si="33"/>
        <v>23</v>
      </c>
      <c r="L233" s="132">
        <f t="shared" si="34"/>
        <v>27</v>
      </c>
      <c r="M233" s="132">
        <f t="shared" si="35"/>
        <v>2026</v>
      </c>
      <c r="N233" s="132">
        <f t="shared" si="36"/>
        <v>29</v>
      </c>
    </row>
    <row r="234" spans="2:14" ht="15.75" customHeight="1" x14ac:dyDescent="0.35">
      <c r="B234" s="1">
        <v>46173</v>
      </c>
      <c r="D234" s="133"/>
      <c r="E234" s="162" t="s">
        <v>209</v>
      </c>
      <c r="F234" s="69">
        <f t="shared" si="30"/>
        <v>46203</v>
      </c>
      <c r="G234" s="165">
        <v>94185</v>
      </c>
      <c r="H234" s="134">
        <f t="shared" si="31"/>
        <v>94185</v>
      </c>
      <c r="I234" s="2">
        <v>30</v>
      </c>
      <c r="J234" s="132">
        <f t="shared" si="32"/>
        <v>2026</v>
      </c>
      <c r="K234" s="132">
        <f t="shared" si="33"/>
        <v>23</v>
      </c>
      <c r="L234" s="132">
        <f t="shared" si="34"/>
        <v>27</v>
      </c>
      <c r="M234" s="132">
        <f t="shared" si="35"/>
        <v>2026</v>
      </c>
      <c r="N234" s="132">
        <f t="shared" si="36"/>
        <v>29</v>
      </c>
    </row>
    <row r="235" spans="2:14" ht="15.75" customHeight="1" x14ac:dyDescent="0.35">
      <c r="B235" s="1">
        <v>46173</v>
      </c>
      <c r="D235" s="133"/>
      <c r="E235" s="162" t="s">
        <v>210</v>
      </c>
      <c r="F235" s="69">
        <f t="shared" si="30"/>
        <v>46218</v>
      </c>
      <c r="G235" s="165">
        <v>161333</v>
      </c>
      <c r="H235" s="134">
        <f t="shared" si="31"/>
        <v>161333</v>
      </c>
      <c r="I235" s="2">
        <v>45</v>
      </c>
      <c r="J235" s="132">
        <f t="shared" si="32"/>
        <v>2026</v>
      </c>
      <c r="K235" s="132">
        <f t="shared" si="33"/>
        <v>23</v>
      </c>
      <c r="L235" s="132">
        <f t="shared" si="34"/>
        <v>29</v>
      </c>
      <c r="M235" s="132">
        <f t="shared" si="35"/>
        <v>2026</v>
      </c>
      <c r="N235" s="132">
        <f t="shared" si="36"/>
        <v>31</v>
      </c>
    </row>
    <row r="236" spans="2:14" ht="15.75" customHeight="1" x14ac:dyDescent="0.35">
      <c r="B236" s="1">
        <v>46173</v>
      </c>
      <c r="D236" s="133"/>
      <c r="E236" s="162" t="s">
        <v>260</v>
      </c>
      <c r="F236" s="69">
        <f t="shared" si="30"/>
        <v>46263</v>
      </c>
      <c r="G236" s="165">
        <v>76800</v>
      </c>
      <c r="H236" s="134">
        <f t="shared" si="31"/>
        <v>76800</v>
      </c>
      <c r="I236" s="2">
        <v>90</v>
      </c>
      <c r="J236" s="132">
        <f t="shared" si="32"/>
        <v>2026</v>
      </c>
      <c r="K236" s="132">
        <f t="shared" si="33"/>
        <v>23</v>
      </c>
      <c r="L236" s="132">
        <f t="shared" si="34"/>
        <v>35</v>
      </c>
      <c r="M236" s="132">
        <f t="shared" si="35"/>
        <v>2026</v>
      </c>
      <c r="N236" s="132">
        <f t="shared" si="36"/>
        <v>37</v>
      </c>
    </row>
    <row r="237" spans="2:14" ht="15.75" customHeight="1" x14ac:dyDescent="0.35">
      <c r="B237" s="1">
        <v>46173</v>
      </c>
      <c r="D237" s="133"/>
      <c r="E237" s="162" t="s">
        <v>213</v>
      </c>
      <c r="F237" s="69">
        <f t="shared" si="30"/>
        <v>46218</v>
      </c>
      <c r="G237" s="165">
        <v>57510</v>
      </c>
      <c r="H237" s="134">
        <f t="shared" si="31"/>
        <v>57510</v>
      </c>
      <c r="I237" s="2">
        <v>45</v>
      </c>
      <c r="J237" s="132">
        <f t="shared" si="32"/>
        <v>2026</v>
      </c>
      <c r="K237" s="132">
        <f t="shared" si="33"/>
        <v>23</v>
      </c>
      <c r="L237" s="132">
        <f t="shared" si="34"/>
        <v>29</v>
      </c>
      <c r="M237" s="132">
        <f t="shared" si="35"/>
        <v>2026</v>
      </c>
      <c r="N237" s="132">
        <f t="shared" si="36"/>
        <v>31</v>
      </c>
    </row>
    <row r="238" spans="2:14" ht="15.75" customHeight="1" x14ac:dyDescent="0.35">
      <c r="B238" s="1">
        <v>46173</v>
      </c>
      <c r="D238" s="133"/>
      <c r="E238" s="162" t="s">
        <v>214</v>
      </c>
      <c r="F238" s="69">
        <f t="shared" si="30"/>
        <v>46218</v>
      </c>
      <c r="G238" s="165">
        <v>23152.5</v>
      </c>
      <c r="H238" s="134">
        <f t="shared" si="31"/>
        <v>23152.5</v>
      </c>
      <c r="I238" s="2">
        <v>45</v>
      </c>
      <c r="J238" s="132">
        <f t="shared" si="32"/>
        <v>2026</v>
      </c>
      <c r="K238" s="132">
        <f t="shared" si="33"/>
        <v>23</v>
      </c>
      <c r="L238" s="132">
        <f t="shared" si="34"/>
        <v>29</v>
      </c>
      <c r="M238" s="132">
        <f t="shared" si="35"/>
        <v>2026</v>
      </c>
      <c r="N238" s="132">
        <f t="shared" si="36"/>
        <v>31</v>
      </c>
    </row>
    <row r="239" spans="2:14" ht="15.75" customHeight="1" x14ac:dyDescent="0.35">
      <c r="B239" s="1">
        <v>46173</v>
      </c>
      <c r="D239" s="133"/>
      <c r="E239" s="164" t="s">
        <v>216</v>
      </c>
      <c r="F239" s="69">
        <f t="shared" si="30"/>
        <v>46218</v>
      </c>
      <c r="G239" s="165">
        <v>85000</v>
      </c>
      <c r="H239" s="134">
        <f t="shared" si="31"/>
        <v>85000</v>
      </c>
      <c r="I239" s="2">
        <v>45</v>
      </c>
      <c r="J239" s="132">
        <f t="shared" si="32"/>
        <v>2026</v>
      </c>
      <c r="K239" s="132">
        <f t="shared" si="33"/>
        <v>23</v>
      </c>
      <c r="L239" s="132">
        <f t="shared" si="34"/>
        <v>29</v>
      </c>
      <c r="M239" s="132">
        <f t="shared" si="35"/>
        <v>2026</v>
      </c>
      <c r="N239" s="132">
        <f t="shared" si="36"/>
        <v>31</v>
      </c>
    </row>
    <row r="240" spans="2:14" ht="15.75" customHeight="1" x14ac:dyDescent="0.35">
      <c r="B240" s="1">
        <v>46173</v>
      </c>
      <c r="D240" s="133"/>
      <c r="E240" s="162" t="s">
        <v>217</v>
      </c>
      <c r="F240" s="69">
        <f t="shared" si="30"/>
        <v>46218</v>
      </c>
      <c r="G240" s="165">
        <v>80352</v>
      </c>
      <c r="H240" s="134">
        <f t="shared" si="31"/>
        <v>80352</v>
      </c>
      <c r="I240" s="2">
        <v>45</v>
      </c>
      <c r="J240" s="132">
        <f t="shared" si="32"/>
        <v>2026</v>
      </c>
      <c r="K240" s="132">
        <f t="shared" si="33"/>
        <v>23</v>
      </c>
      <c r="L240" s="132">
        <f t="shared" si="34"/>
        <v>29</v>
      </c>
      <c r="M240" s="132">
        <f t="shared" si="35"/>
        <v>2026</v>
      </c>
      <c r="N240" s="132">
        <f t="shared" si="36"/>
        <v>31</v>
      </c>
    </row>
    <row r="241" spans="2:14" ht="15.75" customHeight="1" x14ac:dyDescent="0.35">
      <c r="B241" s="1">
        <v>46173</v>
      </c>
      <c r="D241" s="133"/>
      <c r="E241" s="162" t="s">
        <v>218</v>
      </c>
      <c r="F241" s="69">
        <f t="shared" si="30"/>
        <v>46203</v>
      </c>
      <c r="G241" s="165">
        <v>150000</v>
      </c>
      <c r="H241" s="134">
        <f t="shared" si="31"/>
        <v>150000</v>
      </c>
      <c r="I241" s="2">
        <v>30</v>
      </c>
      <c r="J241" s="132">
        <f t="shared" si="32"/>
        <v>2026</v>
      </c>
      <c r="K241" s="132">
        <f t="shared" si="33"/>
        <v>23</v>
      </c>
      <c r="L241" s="132">
        <f t="shared" si="34"/>
        <v>27</v>
      </c>
      <c r="M241" s="132">
        <f t="shared" si="35"/>
        <v>2026</v>
      </c>
      <c r="N241" s="132">
        <f t="shared" si="36"/>
        <v>29</v>
      </c>
    </row>
    <row r="242" spans="2:14" ht="15.75" customHeight="1" x14ac:dyDescent="0.35">
      <c r="B242" s="1">
        <v>46173</v>
      </c>
      <c r="D242" s="133"/>
      <c r="E242" s="162" t="s">
        <v>220</v>
      </c>
      <c r="F242" s="69">
        <f t="shared" si="30"/>
        <v>46218</v>
      </c>
      <c r="G242" s="165">
        <v>108864</v>
      </c>
      <c r="H242" s="134">
        <f t="shared" si="31"/>
        <v>108864</v>
      </c>
      <c r="I242" s="2">
        <v>45</v>
      </c>
      <c r="J242" s="132">
        <f t="shared" si="32"/>
        <v>2026</v>
      </c>
      <c r="K242" s="132">
        <f t="shared" si="33"/>
        <v>23</v>
      </c>
      <c r="L242" s="132">
        <f t="shared" si="34"/>
        <v>29</v>
      </c>
      <c r="M242" s="132">
        <f t="shared" si="35"/>
        <v>2026</v>
      </c>
      <c r="N242" s="132">
        <f t="shared" si="36"/>
        <v>31</v>
      </c>
    </row>
    <row r="243" spans="2:14" ht="15.75" customHeight="1" x14ac:dyDescent="0.35">
      <c r="B243" s="1">
        <v>46173</v>
      </c>
      <c r="D243" s="133"/>
      <c r="E243" s="162" t="s">
        <v>221</v>
      </c>
      <c r="F243" s="69">
        <f t="shared" si="30"/>
        <v>46203</v>
      </c>
      <c r="G243" s="165">
        <v>19387.5</v>
      </c>
      <c r="H243" s="134">
        <f t="shared" si="31"/>
        <v>19387.5</v>
      </c>
      <c r="I243" s="2">
        <v>30</v>
      </c>
      <c r="J243" s="132">
        <f t="shared" si="32"/>
        <v>2026</v>
      </c>
      <c r="K243" s="132">
        <f t="shared" si="33"/>
        <v>23</v>
      </c>
      <c r="L243" s="132">
        <f t="shared" si="34"/>
        <v>27</v>
      </c>
      <c r="M243" s="132">
        <f t="shared" si="35"/>
        <v>2026</v>
      </c>
      <c r="N243" s="132">
        <f t="shared" si="36"/>
        <v>29</v>
      </c>
    </row>
    <row r="244" spans="2:14" ht="15.75" customHeight="1" x14ac:dyDescent="0.35">
      <c r="B244" s="1">
        <v>46173</v>
      </c>
      <c r="D244" s="133"/>
      <c r="E244" s="162" t="s">
        <v>223</v>
      </c>
      <c r="F244" s="69">
        <f t="shared" si="30"/>
        <v>46203</v>
      </c>
      <c r="G244" s="165">
        <v>27680</v>
      </c>
      <c r="H244" s="134">
        <f t="shared" si="31"/>
        <v>27680</v>
      </c>
      <c r="I244" s="2">
        <v>30</v>
      </c>
      <c r="J244" s="132">
        <f t="shared" si="32"/>
        <v>2026</v>
      </c>
      <c r="K244" s="132">
        <f t="shared" si="33"/>
        <v>23</v>
      </c>
      <c r="L244" s="132">
        <f t="shared" si="34"/>
        <v>27</v>
      </c>
      <c r="M244" s="132">
        <f t="shared" si="35"/>
        <v>2026</v>
      </c>
      <c r="N244" s="132">
        <f t="shared" si="36"/>
        <v>29</v>
      </c>
    </row>
    <row r="245" spans="2:14" ht="15.75" customHeight="1" x14ac:dyDescent="0.35">
      <c r="B245" s="1">
        <v>46173</v>
      </c>
      <c r="D245" s="133"/>
      <c r="E245" s="162" t="s">
        <v>224</v>
      </c>
      <c r="F245" s="69">
        <f t="shared" si="30"/>
        <v>46203</v>
      </c>
      <c r="G245" s="165">
        <v>96981</v>
      </c>
      <c r="H245" s="134">
        <f t="shared" si="31"/>
        <v>96981</v>
      </c>
      <c r="I245" s="2">
        <v>30</v>
      </c>
      <c r="J245" s="132">
        <f t="shared" si="32"/>
        <v>2026</v>
      </c>
      <c r="K245" s="132">
        <f t="shared" si="33"/>
        <v>23</v>
      </c>
      <c r="L245" s="132">
        <f t="shared" si="34"/>
        <v>27</v>
      </c>
      <c r="M245" s="132">
        <f t="shared" si="35"/>
        <v>2026</v>
      </c>
      <c r="N245" s="132">
        <f t="shared" si="36"/>
        <v>29</v>
      </c>
    </row>
    <row r="246" spans="2:14" ht="15.75" customHeight="1" x14ac:dyDescent="0.35">
      <c r="B246" s="1">
        <v>46173</v>
      </c>
      <c r="D246" s="133"/>
      <c r="E246" s="162" t="s">
        <v>227</v>
      </c>
      <c r="F246" s="69">
        <f t="shared" si="30"/>
        <v>46218</v>
      </c>
      <c r="G246" s="165">
        <v>104832</v>
      </c>
      <c r="H246" s="134">
        <f t="shared" si="31"/>
        <v>104832</v>
      </c>
      <c r="I246" s="2">
        <v>45</v>
      </c>
      <c r="J246" s="132">
        <f t="shared" si="32"/>
        <v>2026</v>
      </c>
      <c r="K246" s="132">
        <f t="shared" si="33"/>
        <v>23</v>
      </c>
      <c r="L246" s="132">
        <f t="shared" si="34"/>
        <v>29</v>
      </c>
      <c r="M246" s="132">
        <f t="shared" si="35"/>
        <v>2026</v>
      </c>
      <c r="N246" s="132">
        <f t="shared" si="36"/>
        <v>31</v>
      </c>
    </row>
    <row r="247" spans="2:14" ht="15.75" customHeight="1" x14ac:dyDescent="0.35">
      <c r="B247" s="1">
        <v>46173</v>
      </c>
      <c r="D247" s="133"/>
      <c r="E247" s="162" t="s">
        <v>262</v>
      </c>
      <c r="F247" s="69">
        <f t="shared" si="30"/>
        <v>46263</v>
      </c>
      <c r="G247" s="165">
        <v>159200</v>
      </c>
      <c r="H247" s="134">
        <f t="shared" si="31"/>
        <v>159200</v>
      </c>
      <c r="I247" s="2">
        <v>90</v>
      </c>
      <c r="J247" s="132">
        <f t="shared" si="32"/>
        <v>2026</v>
      </c>
      <c r="K247" s="132">
        <f t="shared" si="33"/>
        <v>23</v>
      </c>
      <c r="L247" s="132">
        <f t="shared" si="34"/>
        <v>35</v>
      </c>
      <c r="M247" s="132">
        <f t="shared" si="35"/>
        <v>2026</v>
      </c>
      <c r="N247" s="132">
        <f t="shared" si="36"/>
        <v>37</v>
      </c>
    </row>
    <row r="248" spans="2:14" ht="15.75" customHeight="1" x14ac:dyDescent="0.35">
      <c r="B248" s="1">
        <v>46173</v>
      </c>
      <c r="D248" s="133"/>
      <c r="E248" s="162" t="s">
        <v>228</v>
      </c>
      <c r="F248" s="69">
        <f t="shared" si="30"/>
        <v>46203</v>
      </c>
      <c r="G248" s="165">
        <v>46080</v>
      </c>
      <c r="H248" s="134">
        <f t="shared" si="31"/>
        <v>46080</v>
      </c>
      <c r="I248" s="2">
        <v>30</v>
      </c>
      <c r="J248" s="132">
        <f t="shared" si="32"/>
        <v>2026</v>
      </c>
      <c r="K248" s="132">
        <f t="shared" si="33"/>
        <v>23</v>
      </c>
      <c r="L248" s="132">
        <f t="shared" si="34"/>
        <v>27</v>
      </c>
      <c r="M248" s="132">
        <f t="shared" si="35"/>
        <v>2026</v>
      </c>
      <c r="N248" s="132">
        <f t="shared" si="36"/>
        <v>29</v>
      </c>
    </row>
    <row r="249" spans="2:14" ht="15.75" customHeight="1" x14ac:dyDescent="0.35">
      <c r="B249" s="1">
        <v>46173</v>
      </c>
      <c r="D249" s="133"/>
      <c r="E249" s="162" t="s">
        <v>233</v>
      </c>
      <c r="F249" s="69">
        <f t="shared" si="30"/>
        <v>46218</v>
      </c>
      <c r="G249" s="165">
        <v>144350</v>
      </c>
      <c r="H249" s="134">
        <f t="shared" si="31"/>
        <v>144350</v>
      </c>
      <c r="I249" s="2">
        <v>45</v>
      </c>
      <c r="J249" s="132">
        <f t="shared" si="32"/>
        <v>2026</v>
      </c>
      <c r="K249" s="132">
        <f t="shared" si="33"/>
        <v>23</v>
      </c>
      <c r="L249" s="132">
        <f t="shared" si="34"/>
        <v>29</v>
      </c>
      <c r="M249" s="132">
        <f t="shared" si="35"/>
        <v>2026</v>
      </c>
      <c r="N249" s="132">
        <f t="shared" si="36"/>
        <v>31</v>
      </c>
    </row>
    <row r="250" spans="2:14" ht="15.75" customHeight="1" x14ac:dyDescent="0.35">
      <c r="B250" s="1">
        <v>46173</v>
      </c>
      <c r="D250" s="133"/>
      <c r="E250" s="162" t="s">
        <v>263</v>
      </c>
      <c r="F250" s="69">
        <f t="shared" si="30"/>
        <v>46218</v>
      </c>
      <c r="G250" s="165">
        <v>159440</v>
      </c>
      <c r="H250" s="134">
        <f t="shared" si="31"/>
        <v>159440</v>
      </c>
      <c r="I250" s="2">
        <v>45</v>
      </c>
      <c r="J250" s="132">
        <f t="shared" si="32"/>
        <v>2026</v>
      </c>
      <c r="K250" s="132">
        <f t="shared" si="33"/>
        <v>23</v>
      </c>
      <c r="L250" s="132">
        <f t="shared" si="34"/>
        <v>29</v>
      </c>
      <c r="M250" s="132">
        <f t="shared" si="35"/>
        <v>2026</v>
      </c>
      <c r="N250" s="132">
        <f t="shared" si="36"/>
        <v>31</v>
      </c>
    </row>
    <row r="251" spans="2:14" ht="15.75" customHeight="1" x14ac:dyDescent="0.35">
      <c r="B251" s="1">
        <v>46173</v>
      </c>
      <c r="D251" s="133"/>
      <c r="E251" s="162" t="s">
        <v>237</v>
      </c>
      <c r="F251" s="69">
        <f t="shared" si="30"/>
        <v>46203</v>
      </c>
      <c r="G251" s="165">
        <v>178070.39999999999</v>
      </c>
      <c r="H251" s="134">
        <f t="shared" si="31"/>
        <v>178070.39999999999</v>
      </c>
      <c r="I251" s="2">
        <v>30</v>
      </c>
      <c r="J251" s="132">
        <f t="shared" si="32"/>
        <v>2026</v>
      </c>
      <c r="K251" s="132">
        <f t="shared" si="33"/>
        <v>23</v>
      </c>
      <c r="L251" s="132">
        <f t="shared" si="34"/>
        <v>27</v>
      </c>
      <c r="M251" s="132">
        <f t="shared" si="35"/>
        <v>2026</v>
      </c>
      <c r="N251" s="132">
        <f t="shared" si="36"/>
        <v>29</v>
      </c>
    </row>
    <row r="252" spans="2:14" ht="15.75" customHeight="1" x14ac:dyDescent="0.35">
      <c r="B252" s="1">
        <v>46173</v>
      </c>
      <c r="D252" s="133"/>
      <c r="E252" s="162" t="s">
        <v>238</v>
      </c>
      <c r="F252" s="69">
        <f t="shared" si="30"/>
        <v>46218</v>
      </c>
      <c r="G252" s="165">
        <v>9600</v>
      </c>
      <c r="H252" s="134">
        <f t="shared" si="31"/>
        <v>9600</v>
      </c>
      <c r="I252" s="2">
        <v>45</v>
      </c>
      <c r="J252" s="132">
        <f t="shared" si="32"/>
        <v>2026</v>
      </c>
      <c r="K252" s="132">
        <f t="shared" si="33"/>
        <v>23</v>
      </c>
      <c r="L252" s="132">
        <f t="shared" si="34"/>
        <v>29</v>
      </c>
      <c r="M252" s="132">
        <f t="shared" si="35"/>
        <v>2026</v>
      </c>
      <c r="N252" s="132">
        <f t="shared" si="36"/>
        <v>31</v>
      </c>
    </row>
    <row r="253" spans="2:14" ht="15.75" customHeight="1" x14ac:dyDescent="0.35">
      <c r="B253" s="1">
        <v>46173</v>
      </c>
      <c r="D253" s="133"/>
      <c r="E253" s="162" t="s">
        <v>265</v>
      </c>
      <c r="F253" s="69">
        <f t="shared" si="30"/>
        <v>46233</v>
      </c>
      <c r="G253" s="165">
        <v>223411.5</v>
      </c>
      <c r="H253" s="134">
        <f t="shared" si="31"/>
        <v>223411.5</v>
      </c>
      <c r="I253" s="2">
        <v>60</v>
      </c>
      <c r="J253" s="132">
        <f t="shared" si="32"/>
        <v>2026</v>
      </c>
      <c r="K253" s="132">
        <f t="shared" si="33"/>
        <v>23</v>
      </c>
      <c r="L253" s="132">
        <f t="shared" si="34"/>
        <v>31</v>
      </c>
      <c r="M253" s="132">
        <f t="shared" si="35"/>
        <v>2026</v>
      </c>
      <c r="N253" s="132">
        <f t="shared" si="36"/>
        <v>33</v>
      </c>
    </row>
    <row r="254" spans="2:14" ht="15.75" customHeight="1" x14ac:dyDescent="0.35">
      <c r="B254" s="1">
        <v>46173</v>
      </c>
      <c r="D254" s="133"/>
      <c r="E254" s="162" t="s">
        <v>240</v>
      </c>
      <c r="F254" s="69">
        <f t="shared" si="30"/>
        <v>46203</v>
      </c>
      <c r="G254" s="165">
        <v>78750</v>
      </c>
      <c r="H254" s="134">
        <f t="shared" si="31"/>
        <v>78750</v>
      </c>
      <c r="I254" s="2">
        <v>30</v>
      </c>
      <c r="J254" s="132">
        <f t="shared" si="32"/>
        <v>2026</v>
      </c>
      <c r="K254" s="132">
        <f t="shared" si="33"/>
        <v>23</v>
      </c>
      <c r="L254" s="132">
        <f t="shared" si="34"/>
        <v>27</v>
      </c>
      <c r="M254" s="132">
        <f t="shared" si="35"/>
        <v>2026</v>
      </c>
      <c r="N254" s="132">
        <f t="shared" si="36"/>
        <v>29</v>
      </c>
    </row>
    <row r="255" spans="2:14" ht="15.75" customHeight="1" x14ac:dyDescent="0.35">
      <c r="B255" s="1">
        <v>46173</v>
      </c>
      <c r="D255" s="133"/>
      <c r="E255" s="162" t="s">
        <v>242</v>
      </c>
      <c r="F255" s="69">
        <f t="shared" si="30"/>
        <v>46203</v>
      </c>
      <c r="G255" s="165">
        <v>25000</v>
      </c>
      <c r="H255" s="134">
        <f t="shared" si="31"/>
        <v>25000</v>
      </c>
      <c r="I255" s="2">
        <v>30</v>
      </c>
      <c r="J255" s="132">
        <f t="shared" si="32"/>
        <v>2026</v>
      </c>
      <c r="K255" s="132">
        <f t="shared" si="33"/>
        <v>23</v>
      </c>
      <c r="L255" s="132">
        <f t="shared" si="34"/>
        <v>27</v>
      </c>
      <c r="M255" s="132">
        <f t="shared" si="35"/>
        <v>2026</v>
      </c>
      <c r="N255" s="132">
        <f t="shared" si="36"/>
        <v>29</v>
      </c>
    </row>
    <row r="256" spans="2:14" ht="15.75" customHeight="1" x14ac:dyDescent="0.35">
      <c r="B256" s="1">
        <v>46173</v>
      </c>
      <c r="D256" s="133"/>
      <c r="E256" s="162" t="s">
        <v>243</v>
      </c>
      <c r="F256" s="69">
        <f t="shared" si="30"/>
        <v>46203</v>
      </c>
      <c r="G256" s="165">
        <v>55250</v>
      </c>
      <c r="H256" s="134">
        <f t="shared" si="31"/>
        <v>55250</v>
      </c>
      <c r="I256" s="2">
        <v>30</v>
      </c>
      <c r="J256" s="132">
        <f t="shared" si="32"/>
        <v>2026</v>
      </c>
      <c r="K256" s="132">
        <f t="shared" si="33"/>
        <v>23</v>
      </c>
      <c r="L256" s="132">
        <f t="shared" si="34"/>
        <v>27</v>
      </c>
      <c r="M256" s="132">
        <f t="shared" si="35"/>
        <v>2026</v>
      </c>
      <c r="N256" s="132">
        <f t="shared" si="36"/>
        <v>29</v>
      </c>
    </row>
    <row r="257" spans="2:14" ht="15.75" customHeight="1" x14ac:dyDescent="0.35">
      <c r="B257" s="1">
        <v>46173</v>
      </c>
      <c r="D257" s="133"/>
      <c r="E257" s="162" t="s">
        <v>244</v>
      </c>
      <c r="F257" s="69">
        <f t="shared" si="30"/>
        <v>46203</v>
      </c>
      <c r="G257" s="165">
        <v>153615</v>
      </c>
      <c r="H257" s="134">
        <f t="shared" si="31"/>
        <v>153615</v>
      </c>
      <c r="I257" s="2">
        <v>30</v>
      </c>
      <c r="J257" s="132">
        <f t="shared" si="32"/>
        <v>2026</v>
      </c>
      <c r="K257" s="132">
        <f t="shared" si="33"/>
        <v>23</v>
      </c>
      <c r="L257" s="132">
        <f t="shared" si="34"/>
        <v>27</v>
      </c>
      <c r="M257" s="132">
        <f t="shared" si="35"/>
        <v>2026</v>
      </c>
      <c r="N257" s="132">
        <f t="shared" si="36"/>
        <v>29</v>
      </c>
    </row>
    <row r="258" spans="2:14" ht="15.75" customHeight="1" x14ac:dyDescent="0.35">
      <c r="B258" s="1">
        <v>46173</v>
      </c>
      <c r="D258" s="133"/>
      <c r="E258" s="162" t="s">
        <v>245</v>
      </c>
      <c r="F258" s="69">
        <f t="shared" si="30"/>
        <v>46203</v>
      </c>
      <c r="G258" s="165">
        <v>7976</v>
      </c>
      <c r="H258" s="134">
        <f t="shared" si="31"/>
        <v>7976</v>
      </c>
      <c r="I258" s="2">
        <v>30</v>
      </c>
      <c r="J258" s="132">
        <f t="shared" si="32"/>
        <v>2026</v>
      </c>
      <c r="K258" s="132">
        <f t="shared" si="33"/>
        <v>23</v>
      </c>
      <c r="L258" s="132">
        <f t="shared" si="34"/>
        <v>27</v>
      </c>
      <c r="M258" s="132">
        <f t="shared" si="35"/>
        <v>2026</v>
      </c>
      <c r="N258" s="132">
        <f t="shared" si="36"/>
        <v>29</v>
      </c>
    </row>
    <row r="259" spans="2:14" ht="15.75" customHeight="1" x14ac:dyDescent="0.35">
      <c r="B259" s="1">
        <v>46173</v>
      </c>
      <c r="D259" s="133"/>
      <c r="E259" s="162" t="s">
        <v>246</v>
      </c>
      <c r="F259" s="69">
        <f t="shared" si="30"/>
        <v>46203</v>
      </c>
      <c r="G259" s="165">
        <v>45375</v>
      </c>
      <c r="H259" s="134">
        <f t="shared" si="31"/>
        <v>45375</v>
      </c>
      <c r="I259" s="2">
        <v>30</v>
      </c>
      <c r="J259" s="132">
        <f t="shared" si="32"/>
        <v>2026</v>
      </c>
      <c r="K259" s="132">
        <f t="shared" si="33"/>
        <v>23</v>
      </c>
      <c r="L259" s="132">
        <f t="shared" si="34"/>
        <v>27</v>
      </c>
      <c r="M259" s="132">
        <f t="shared" si="35"/>
        <v>2026</v>
      </c>
      <c r="N259" s="132">
        <f t="shared" si="36"/>
        <v>29</v>
      </c>
    </row>
    <row r="260" spans="2:14" ht="15.75" customHeight="1" x14ac:dyDescent="0.35">
      <c r="B260" s="1">
        <v>46173</v>
      </c>
      <c r="D260" s="133"/>
      <c r="E260" s="162" t="s">
        <v>247</v>
      </c>
      <c r="F260" s="69">
        <f t="shared" si="30"/>
        <v>46218</v>
      </c>
      <c r="G260" s="165">
        <v>58867.5</v>
      </c>
      <c r="H260" s="134">
        <f t="shared" si="31"/>
        <v>58867.5</v>
      </c>
      <c r="I260" s="2">
        <v>45</v>
      </c>
      <c r="J260" s="132">
        <f t="shared" si="32"/>
        <v>2026</v>
      </c>
      <c r="K260" s="132">
        <f t="shared" si="33"/>
        <v>23</v>
      </c>
      <c r="L260" s="132">
        <f t="shared" si="34"/>
        <v>29</v>
      </c>
      <c r="M260" s="132">
        <f t="shared" si="35"/>
        <v>2026</v>
      </c>
      <c r="N260" s="132">
        <f t="shared" si="36"/>
        <v>31</v>
      </c>
    </row>
    <row r="261" spans="2:14" ht="15.75" customHeight="1" x14ac:dyDescent="0.35">
      <c r="B261" s="1">
        <v>46173</v>
      </c>
      <c r="D261" s="133"/>
      <c r="E261" s="162" t="s">
        <v>248</v>
      </c>
      <c r="F261" s="69">
        <f t="shared" si="30"/>
        <v>46203</v>
      </c>
      <c r="G261" s="165">
        <v>59963</v>
      </c>
      <c r="H261" s="134">
        <f t="shared" si="31"/>
        <v>59963</v>
      </c>
      <c r="I261" s="2">
        <v>30</v>
      </c>
      <c r="J261" s="132">
        <f t="shared" si="32"/>
        <v>2026</v>
      </c>
      <c r="K261" s="132">
        <f t="shared" si="33"/>
        <v>23</v>
      </c>
      <c r="L261" s="132">
        <f t="shared" si="34"/>
        <v>27</v>
      </c>
      <c r="M261" s="132">
        <f t="shared" si="35"/>
        <v>2026</v>
      </c>
      <c r="N261" s="132">
        <f t="shared" si="36"/>
        <v>29</v>
      </c>
    </row>
    <row r="262" spans="2:14" ht="15.75" customHeight="1" x14ac:dyDescent="0.35">
      <c r="B262" s="1">
        <v>46173</v>
      </c>
      <c r="D262" s="133"/>
      <c r="E262" s="162" t="s">
        <v>266</v>
      </c>
      <c r="F262" s="69">
        <f t="shared" si="30"/>
        <v>46218</v>
      </c>
      <c r="G262" s="165">
        <v>48750</v>
      </c>
      <c r="H262" s="134">
        <f t="shared" si="31"/>
        <v>48750</v>
      </c>
      <c r="I262" s="2">
        <v>45</v>
      </c>
      <c r="J262" s="132">
        <f t="shared" si="32"/>
        <v>2026</v>
      </c>
      <c r="K262" s="132">
        <f t="shared" si="33"/>
        <v>23</v>
      </c>
      <c r="L262" s="132">
        <f t="shared" si="34"/>
        <v>29</v>
      </c>
      <c r="M262" s="132">
        <f t="shared" si="35"/>
        <v>2026</v>
      </c>
      <c r="N262" s="132">
        <f t="shared" si="36"/>
        <v>31</v>
      </c>
    </row>
    <row r="263" spans="2:14" ht="15.75" customHeight="1" x14ac:dyDescent="0.35">
      <c r="B263" s="1">
        <v>46173</v>
      </c>
      <c r="D263" s="133"/>
      <c r="E263" s="162" t="s">
        <v>249</v>
      </c>
      <c r="F263" s="69">
        <f t="shared" si="30"/>
        <v>46218</v>
      </c>
      <c r="G263" s="165">
        <v>138050</v>
      </c>
      <c r="H263" s="134">
        <f t="shared" si="31"/>
        <v>138050</v>
      </c>
      <c r="I263" s="2">
        <v>45</v>
      </c>
      <c r="J263" s="132">
        <f t="shared" si="32"/>
        <v>2026</v>
      </c>
      <c r="K263" s="132">
        <f t="shared" si="33"/>
        <v>23</v>
      </c>
      <c r="L263" s="132">
        <f t="shared" si="34"/>
        <v>29</v>
      </c>
      <c r="M263" s="132">
        <f t="shared" si="35"/>
        <v>2026</v>
      </c>
      <c r="N263" s="132">
        <f t="shared" si="36"/>
        <v>31</v>
      </c>
    </row>
    <row r="264" spans="2:14" ht="15.75" customHeight="1" x14ac:dyDescent="0.35">
      <c r="B264" s="1">
        <v>46173</v>
      </c>
      <c r="D264" s="133"/>
      <c r="E264" s="162" t="s">
        <v>250</v>
      </c>
      <c r="F264" s="69">
        <f t="shared" si="30"/>
        <v>46203</v>
      </c>
      <c r="G264" s="165">
        <v>59000</v>
      </c>
      <c r="H264" s="134">
        <f t="shared" si="31"/>
        <v>59000</v>
      </c>
      <c r="I264" s="2">
        <v>30</v>
      </c>
      <c r="J264" s="132">
        <f t="shared" si="32"/>
        <v>2026</v>
      </c>
      <c r="K264" s="132">
        <f t="shared" si="33"/>
        <v>23</v>
      </c>
      <c r="L264" s="132">
        <f t="shared" si="34"/>
        <v>27</v>
      </c>
      <c r="M264" s="132">
        <f t="shared" si="35"/>
        <v>2026</v>
      </c>
      <c r="N264" s="132">
        <f t="shared" si="36"/>
        <v>29</v>
      </c>
    </row>
    <row r="265" spans="2:14" ht="15.75" customHeight="1" x14ac:dyDescent="0.35">
      <c r="B265" s="1">
        <v>46173</v>
      </c>
      <c r="D265" s="133"/>
      <c r="E265" s="162" t="s">
        <v>251</v>
      </c>
      <c r="F265" s="69">
        <f t="shared" si="30"/>
        <v>46203</v>
      </c>
      <c r="G265" s="165">
        <v>199000</v>
      </c>
      <c r="H265" s="134">
        <f t="shared" si="31"/>
        <v>199000</v>
      </c>
      <c r="I265" s="2">
        <v>30</v>
      </c>
      <c r="J265" s="132">
        <f t="shared" si="32"/>
        <v>2026</v>
      </c>
      <c r="K265" s="132">
        <f t="shared" si="33"/>
        <v>23</v>
      </c>
      <c r="L265" s="132">
        <f t="shared" si="34"/>
        <v>27</v>
      </c>
      <c r="M265" s="132">
        <f t="shared" si="35"/>
        <v>2026</v>
      </c>
      <c r="N265" s="132">
        <f t="shared" si="36"/>
        <v>29</v>
      </c>
    </row>
    <row r="266" spans="2:14" ht="15.75" customHeight="1" x14ac:dyDescent="0.35">
      <c r="B266" s="1">
        <v>46173</v>
      </c>
      <c r="D266" s="133"/>
      <c r="E266" s="162" t="s">
        <v>264</v>
      </c>
      <c r="F266" s="69">
        <f t="shared" si="30"/>
        <v>46203</v>
      </c>
      <c r="G266" s="165">
        <v>53165</v>
      </c>
      <c r="H266" s="134">
        <f t="shared" si="31"/>
        <v>53165</v>
      </c>
      <c r="I266" s="2">
        <v>30</v>
      </c>
      <c r="J266" s="132">
        <f t="shared" si="32"/>
        <v>2026</v>
      </c>
      <c r="K266" s="132">
        <f t="shared" si="33"/>
        <v>23</v>
      </c>
      <c r="L266" s="132">
        <f t="shared" si="34"/>
        <v>27</v>
      </c>
      <c r="M266" s="132">
        <f t="shared" si="35"/>
        <v>2026</v>
      </c>
      <c r="N266" s="132">
        <f t="shared" si="36"/>
        <v>29</v>
      </c>
    </row>
    <row r="267" spans="2:14" ht="15.75" customHeight="1" x14ac:dyDescent="0.35">
      <c r="B267" s="1">
        <v>46173</v>
      </c>
      <c r="D267" s="133"/>
      <c r="E267" s="162" t="s">
        <v>252</v>
      </c>
      <c r="F267" s="69">
        <f t="shared" ref="F267:F281" si="37">IF(ISBLANK($B267),"",B267+I267)</f>
        <v>46218</v>
      </c>
      <c r="G267" s="165">
        <v>23232</v>
      </c>
      <c r="H267" s="134">
        <f t="shared" ref="H267:H330" si="38">IF(ISBLANK($B267),"",$G267)</f>
        <v>23232</v>
      </c>
      <c r="I267" s="2">
        <v>45</v>
      </c>
      <c r="J267" s="132">
        <f t="shared" ref="J267:J330" si="39">IF(ISBLANK($B267),"",YEAR($B267))</f>
        <v>2026</v>
      </c>
      <c r="K267" s="132">
        <f t="shared" ref="K267:K330" si="40">IF(ISBLANK($B267),"",WEEKNUM($B267))</f>
        <v>23</v>
      </c>
      <c r="L267" s="132">
        <f t="shared" ref="L267:L330" si="41">IF(ISBLANK($B267),"",WEEKNUM($F267))</f>
        <v>29</v>
      </c>
      <c r="M267" s="132">
        <f t="shared" ref="M267:M330" si="42">IF(ISBLANK($B267),"",IF($L267&lt;51,YEAR($F267),YEAR($F267)+1))</f>
        <v>2026</v>
      </c>
      <c r="N267" s="132">
        <f t="shared" ref="N267:N330" si="43">IF(ISBLANK($B267),"",IF($L267&lt;51,$L267+$N$2,$L267-52+$N$2))</f>
        <v>31</v>
      </c>
    </row>
    <row r="268" spans="2:14" ht="15.75" customHeight="1" x14ac:dyDescent="0.35">
      <c r="B268" s="1">
        <v>46173</v>
      </c>
      <c r="D268" s="133"/>
      <c r="E268" s="162" t="s">
        <v>253</v>
      </c>
      <c r="F268" s="69">
        <f t="shared" si="37"/>
        <v>46218</v>
      </c>
      <c r="G268" s="165">
        <v>11440</v>
      </c>
      <c r="H268" s="134">
        <f t="shared" si="38"/>
        <v>11440</v>
      </c>
      <c r="I268" s="2">
        <v>45</v>
      </c>
      <c r="J268" s="132">
        <f t="shared" si="39"/>
        <v>2026</v>
      </c>
      <c r="K268" s="132">
        <f t="shared" si="40"/>
        <v>23</v>
      </c>
      <c r="L268" s="132">
        <f t="shared" si="41"/>
        <v>29</v>
      </c>
      <c r="M268" s="132">
        <f t="shared" si="42"/>
        <v>2026</v>
      </c>
      <c r="N268" s="132">
        <f t="shared" si="43"/>
        <v>31</v>
      </c>
    </row>
    <row r="269" spans="2:14" ht="15.75" customHeight="1" x14ac:dyDescent="0.35">
      <c r="B269" s="1">
        <v>46173</v>
      </c>
      <c r="D269" s="133"/>
      <c r="E269" s="162" t="s">
        <v>254</v>
      </c>
      <c r="F269" s="69">
        <f t="shared" si="37"/>
        <v>46218</v>
      </c>
      <c r="G269" s="165">
        <v>68040</v>
      </c>
      <c r="H269" s="134">
        <f t="shared" si="38"/>
        <v>68040</v>
      </c>
      <c r="I269" s="2">
        <v>45</v>
      </c>
      <c r="J269" s="132">
        <f t="shared" si="39"/>
        <v>2026</v>
      </c>
      <c r="K269" s="132">
        <f t="shared" si="40"/>
        <v>23</v>
      </c>
      <c r="L269" s="132">
        <f t="shared" si="41"/>
        <v>29</v>
      </c>
      <c r="M269" s="132">
        <f t="shared" si="42"/>
        <v>2026</v>
      </c>
      <c r="N269" s="132">
        <f t="shared" si="43"/>
        <v>31</v>
      </c>
    </row>
    <row r="270" spans="2:14" ht="15.75" customHeight="1" x14ac:dyDescent="0.35">
      <c r="B270" s="1">
        <v>46173</v>
      </c>
      <c r="D270" s="133"/>
      <c r="E270" s="162" t="s">
        <v>255</v>
      </c>
      <c r="F270" s="69">
        <f t="shared" si="37"/>
        <v>46218</v>
      </c>
      <c r="G270" s="165">
        <v>28800</v>
      </c>
      <c r="H270" s="134">
        <f t="shared" si="38"/>
        <v>28800</v>
      </c>
      <c r="I270" s="2">
        <v>45</v>
      </c>
      <c r="J270" s="132">
        <f t="shared" si="39"/>
        <v>2026</v>
      </c>
      <c r="K270" s="132">
        <f t="shared" si="40"/>
        <v>23</v>
      </c>
      <c r="L270" s="132">
        <f t="shared" si="41"/>
        <v>29</v>
      </c>
      <c r="M270" s="132">
        <f t="shared" si="42"/>
        <v>2026</v>
      </c>
      <c r="N270" s="132">
        <f t="shared" si="43"/>
        <v>31</v>
      </c>
    </row>
    <row r="271" spans="2:14" ht="15.75" customHeight="1" x14ac:dyDescent="0.35">
      <c r="B271" s="1">
        <v>46173</v>
      </c>
      <c r="D271" s="133"/>
      <c r="E271" s="162" t="s">
        <v>256</v>
      </c>
      <c r="F271" s="69">
        <f t="shared" si="37"/>
        <v>46203</v>
      </c>
      <c r="G271" s="165">
        <v>34750</v>
      </c>
      <c r="H271" s="134">
        <f t="shared" si="38"/>
        <v>34750</v>
      </c>
      <c r="I271" s="2">
        <v>30</v>
      </c>
      <c r="J271" s="132">
        <f t="shared" si="39"/>
        <v>2026</v>
      </c>
      <c r="K271" s="132">
        <f t="shared" si="40"/>
        <v>23</v>
      </c>
      <c r="L271" s="132">
        <f t="shared" si="41"/>
        <v>27</v>
      </c>
      <c r="M271" s="132">
        <f t="shared" si="42"/>
        <v>2026</v>
      </c>
      <c r="N271" s="132">
        <f t="shared" si="43"/>
        <v>29</v>
      </c>
    </row>
    <row r="272" spans="2:14" ht="15.75" customHeight="1" x14ac:dyDescent="0.35">
      <c r="B272" s="1">
        <v>46173</v>
      </c>
      <c r="D272" s="133"/>
      <c r="E272" s="162" t="s">
        <v>267</v>
      </c>
      <c r="F272" s="69">
        <f t="shared" si="37"/>
        <v>46203</v>
      </c>
      <c r="G272" s="165">
        <v>112669</v>
      </c>
      <c r="H272" s="134">
        <f t="shared" si="38"/>
        <v>112669</v>
      </c>
      <c r="I272" s="2">
        <v>30</v>
      </c>
      <c r="J272" s="132">
        <f t="shared" si="39"/>
        <v>2026</v>
      </c>
      <c r="K272" s="132">
        <f t="shared" si="40"/>
        <v>23</v>
      </c>
      <c r="L272" s="132">
        <f t="shared" si="41"/>
        <v>27</v>
      </c>
      <c r="M272" s="132">
        <f t="shared" si="42"/>
        <v>2026</v>
      </c>
      <c r="N272" s="132">
        <f t="shared" si="43"/>
        <v>29</v>
      </c>
    </row>
    <row r="273" spans="2:14" ht="15.75" customHeight="1" x14ac:dyDescent="0.35">
      <c r="B273" s="1">
        <v>46173</v>
      </c>
      <c r="D273" s="133"/>
      <c r="E273" s="162" t="s">
        <v>257</v>
      </c>
      <c r="F273" s="69">
        <f t="shared" si="37"/>
        <v>46218</v>
      </c>
      <c r="G273" s="165">
        <v>21600</v>
      </c>
      <c r="H273" s="134">
        <f t="shared" si="38"/>
        <v>21600</v>
      </c>
      <c r="I273" s="2">
        <v>45</v>
      </c>
      <c r="J273" s="132">
        <f t="shared" si="39"/>
        <v>2026</v>
      </c>
      <c r="K273" s="132">
        <f t="shared" si="40"/>
        <v>23</v>
      </c>
      <c r="L273" s="132">
        <f t="shared" si="41"/>
        <v>29</v>
      </c>
      <c r="M273" s="132">
        <f t="shared" si="42"/>
        <v>2026</v>
      </c>
      <c r="N273" s="132">
        <f t="shared" si="43"/>
        <v>31</v>
      </c>
    </row>
    <row r="274" spans="2:14" ht="15.75" customHeight="1" x14ac:dyDescent="0.35">
      <c r="B274" s="1">
        <v>46173</v>
      </c>
      <c r="D274" s="133"/>
      <c r="E274" s="162" t="s">
        <v>355</v>
      </c>
      <c r="F274" s="69">
        <f t="shared" si="37"/>
        <v>46218</v>
      </c>
      <c r="G274" s="165">
        <v>30240</v>
      </c>
      <c r="H274" s="134">
        <f t="shared" si="38"/>
        <v>30240</v>
      </c>
      <c r="I274" s="2">
        <v>45</v>
      </c>
      <c r="J274" s="132">
        <f t="shared" si="39"/>
        <v>2026</v>
      </c>
      <c r="K274" s="132">
        <f t="shared" si="40"/>
        <v>23</v>
      </c>
      <c r="L274" s="132">
        <f t="shared" si="41"/>
        <v>29</v>
      </c>
      <c r="M274" s="132">
        <f t="shared" si="42"/>
        <v>2026</v>
      </c>
      <c r="N274" s="132">
        <f t="shared" si="43"/>
        <v>31</v>
      </c>
    </row>
    <row r="275" spans="2:14" ht="15.75" customHeight="1" x14ac:dyDescent="0.35">
      <c r="B275" s="1">
        <v>46173</v>
      </c>
      <c r="D275" s="133"/>
      <c r="E275" s="162" t="s">
        <v>353</v>
      </c>
      <c r="F275" s="69">
        <f t="shared" si="37"/>
        <v>46203</v>
      </c>
      <c r="G275" s="165">
        <v>159760</v>
      </c>
      <c r="H275" s="134">
        <f t="shared" si="38"/>
        <v>159760</v>
      </c>
      <c r="I275" s="2">
        <v>30</v>
      </c>
      <c r="J275" s="132">
        <f t="shared" si="39"/>
        <v>2026</v>
      </c>
      <c r="K275" s="132">
        <f t="shared" si="40"/>
        <v>23</v>
      </c>
      <c r="L275" s="132">
        <f t="shared" si="41"/>
        <v>27</v>
      </c>
      <c r="M275" s="132">
        <f t="shared" si="42"/>
        <v>2026</v>
      </c>
      <c r="N275" s="132">
        <f t="shared" si="43"/>
        <v>29</v>
      </c>
    </row>
    <row r="276" spans="2:14" ht="15.75" customHeight="1" x14ac:dyDescent="0.35">
      <c r="B276" s="1">
        <v>46173</v>
      </c>
      <c r="D276" s="133"/>
      <c r="E276" s="162" t="s">
        <v>469</v>
      </c>
      <c r="F276" s="69">
        <f t="shared" si="37"/>
        <v>46218</v>
      </c>
      <c r="G276" s="165">
        <v>66354.75</v>
      </c>
      <c r="H276" s="134">
        <f t="shared" si="38"/>
        <v>66354.75</v>
      </c>
      <c r="I276" s="2">
        <v>45</v>
      </c>
      <c r="J276" s="132">
        <f t="shared" si="39"/>
        <v>2026</v>
      </c>
      <c r="K276" s="132">
        <f t="shared" si="40"/>
        <v>23</v>
      </c>
      <c r="L276" s="132">
        <f t="shared" si="41"/>
        <v>29</v>
      </c>
      <c r="M276" s="132">
        <f t="shared" si="42"/>
        <v>2026</v>
      </c>
      <c r="N276" s="132">
        <f t="shared" si="43"/>
        <v>31</v>
      </c>
    </row>
    <row r="277" spans="2:14" ht="15.75" customHeight="1" x14ac:dyDescent="0.35">
      <c r="B277" s="1">
        <v>46173</v>
      </c>
      <c r="D277" s="133"/>
      <c r="E277" s="162" t="s">
        <v>478</v>
      </c>
      <c r="F277" s="69">
        <f t="shared" si="37"/>
        <v>46218</v>
      </c>
      <c r="G277" s="165">
        <v>96552</v>
      </c>
      <c r="H277" s="134">
        <f t="shared" si="38"/>
        <v>96552</v>
      </c>
      <c r="I277" s="2">
        <v>45</v>
      </c>
      <c r="J277" s="132">
        <f t="shared" si="39"/>
        <v>2026</v>
      </c>
      <c r="K277" s="132">
        <f t="shared" si="40"/>
        <v>23</v>
      </c>
      <c r="L277" s="132">
        <f t="shared" si="41"/>
        <v>29</v>
      </c>
      <c r="M277" s="132">
        <f t="shared" si="42"/>
        <v>2026</v>
      </c>
      <c r="N277" s="132">
        <f t="shared" si="43"/>
        <v>31</v>
      </c>
    </row>
    <row r="278" spans="2:14" ht="15.75" customHeight="1" x14ac:dyDescent="0.35">
      <c r="B278" s="1">
        <v>46173</v>
      </c>
      <c r="D278" s="133"/>
      <c r="E278" s="162" t="s">
        <v>479</v>
      </c>
      <c r="F278" s="69">
        <f t="shared" si="37"/>
        <v>46203</v>
      </c>
      <c r="G278" s="165">
        <v>260550</v>
      </c>
      <c r="H278" s="134">
        <f t="shared" si="38"/>
        <v>260550</v>
      </c>
      <c r="I278" s="2">
        <v>30</v>
      </c>
      <c r="J278" s="132">
        <f t="shared" si="39"/>
        <v>2026</v>
      </c>
      <c r="K278" s="132">
        <f t="shared" si="40"/>
        <v>23</v>
      </c>
      <c r="L278" s="132">
        <f t="shared" si="41"/>
        <v>27</v>
      </c>
      <c r="M278" s="132">
        <f t="shared" si="42"/>
        <v>2026</v>
      </c>
      <c r="N278" s="132">
        <f t="shared" si="43"/>
        <v>29</v>
      </c>
    </row>
    <row r="279" spans="2:14" ht="15.75" customHeight="1" x14ac:dyDescent="0.35">
      <c r="B279" s="1">
        <v>46173</v>
      </c>
      <c r="D279" s="133"/>
      <c r="E279" s="162" t="s">
        <v>471</v>
      </c>
      <c r="F279" s="69">
        <f t="shared" si="37"/>
        <v>46233</v>
      </c>
      <c r="G279" s="165">
        <v>123000</v>
      </c>
      <c r="H279" s="134">
        <f t="shared" si="38"/>
        <v>123000</v>
      </c>
      <c r="I279" s="2">
        <v>60</v>
      </c>
      <c r="J279" s="132">
        <f t="shared" si="39"/>
        <v>2026</v>
      </c>
      <c r="K279" s="132">
        <f t="shared" si="40"/>
        <v>23</v>
      </c>
      <c r="L279" s="132">
        <f t="shared" si="41"/>
        <v>31</v>
      </c>
      <c r="M279" s="132">
        <f t="shared" si="42"/>
        <v>2026</v>
      </c>
      <c r="N279" s="132">
        <f t="shared" si="43"/>
        <v>33</v>
      </c>
    </row>
    <row r="280" spans="2:14" ht="15.75" customHeight="1" x14ac:dyDescent="0.35">
      <c r="B280" s="1">
        <v>46173</v>
      </c>
      <c r="D280" s="133"/>
      <c r="E280" s="162" t="s">
        <v>480</v>
      </c>
      <c r="F280" s="69">
        <f t="shared" si="37"/>
        <v>46218</v>
      </c>
      <c r="G280" s="165">
        <v>25400</v>
      </c>
      <c r="H280" s="134">
        <f t="shared" si="38"/>
        <v>25400</v>
      </c>
      <c r="I280" s="2">
        <v>45</v>
      </c>
      <c r="J280" s="132">
        <f t="shared" si="39"/>
        <v>2026</v>
      </c>
      <c r="K280" s="132">
        <f t="shared" si="40"/>
        <v>23</v>
      </c>
      <c r="L280" s="132">
        <f t="shared" si="41"/>
        <v>29</v>
      </c>
      <c r="M280" s="132">
        <f t="shared" si="42"/>
        <v>2026</v>
      </c>
      <c r="N280" s="132">
        <f t="shared" si="43"/>
        <v>31</v>
      </c>
    </row>
    <row r="281" spans="2:14" ht="15.75" customHeight="1" x14ac:dyDescent="0.35">
      <c r="B281" s="1">
        <v>46173</v>
      </c>
      <c r="D281" s="133"/>
      <c r="E281" s="162" t="s">
        <v>472</v>
      </c>
      <c r="F281" s="69">
        <f t="shared" si="37"/>
        <v>46203</v>
      </c>
      <c r="G281" s="165">
        <v>69993</v>
      </c>
      <c r="H281" s="134">
        <f t="shared" si="38"/>
        <v>69993</v>
      </c>
      <c r="I281" s="2">
        <v>30</v>
      </c>
      <c r="J281" s="132">
        <f t="shared" si="39"/>
        <v>2026</v>
      </c>
      <c r="K281" s="132">
        <f t="shared" si="40"/>
        <v>23</v>
      </c>
      <c r="L281" s="132">
        <f t="shared" si="41"/>
        <v>27</v>
      </c>
      <c r="M281" s="132">
        <f t="shared" si="42"/>
        <v>2026</v>
      </c>
      <c r="N281" s="132">
        <f t="shared" si="43"/>
        <v>29</v>
      </c>
    </row>
    <row r="282" spans="2:14" ht="15.75" customHeight="1" x14ac:dyDescent="0.35">
      <c r="B282" s="1">
        <v>46173</v>
      </c>
      <c r="D282" s="133"/>
      <c r="E282" s="162" t="s">
        <v>481</v>
      </c>
      <c r="F282" s="69">
        <f t="shared" ref="F282:F345" si="44">IF(ISBLANK($B282),"",B282+I282)</f>
        <v>46188</v>
      </c>
      <c r="G282" s="165">
        <v>103245</v>
      </c>
      <c r="H282" s="134">
        <f t="shared" si="38"/>
        <v>103245</v>
      </c>
      <c r="I282" s="2">
        <v>15</v>
      </c>
      <c r="J282" s="132">
        <f t="shared" si="39"/>
        <v>2026</v>
      </c>
      <c r="K282" s="132">
        <f t="shared" si="40"/>
        <v>23</v>
      </c>
      <c r="L282" s="132">
        <f t="shared" si="41"/>
        <v>25</v>
      </c>
      <c r="M282" s="132">
        <f t="shared" si="42"/>
        <v>2026</v>
      </c>
      <c r="N282" s="132">
        <f t="shared" si="43"/>
        <v>27</v>
      </c>
    </row>
    <row r="283" spans="2:14" ht="15.75" customHeight="1" x14ac:dyDescent="0.35">
      <c r="B283" s="1">
        <v>46173</v>
      </c>
      <c r="D283" s="133"/>
      <c r="E283" s="162" t="s">
        <v>482</v>
      </c>
      <c r="F283" s="69">
        <f t="shared" si="44"/>
        <v>46188</v>
      </c>
      <c r="G283" s="165">
        <v>49920</v>
      </c>
      <c r="H283" s="134">
        <f t="shared" si="38"/>
        <v>49920</v>
      </c>
      <c r="I283" s="2">
        <v>15</v>
      </c>
      <c r="J283" s="132">
        <f t="shared" si="39"/>
        <v>2026</v>
      </c>
      <c r="K283" s="132">
        <f t="shared" si="40"/>
        <v>23</v>
      </c>
      <c r="L283" s="132">
        <f t="shared" si="41"/>
        <v>25</v>
      </c>
      <c r="M283" s="132">
        <f t="shared" si="42"/>
        <v>2026</v>
      </c>
      <c r="N283" s="132">
        <f t="shared" si="43"/>
        <v>27</v>
      </c>
    </row>
    <row r="284" spans="2:14" ht="15.75" customHeight="1" x14ac:dyDescent="0.35">
      <c r="B284" s="1">
        <v>46173</v>
      </c>
      <c r="D284" s="133"/>
      <c r="E284" s="162" t="s">
        <v>473</v>
      </c>
      <c r="F284" s="69">
        <f t="shared" si="44"/>
        <v>46218</v>
      </c>
      <c r="G284" s="165">
        <v>27000</v>
      </c>
      <c r="H284" s="134">
        <f t="shared" si="38"/>
        <v>27000</v>
      </c>
      <c r="I284" s="2">
        <v>45</v>
      </c>
      <c r="J284" s="132">
        <f t="shared" si="39"/>
        <v>2026</v>
      </c>
      <c r="K284" s="132">
        <f t="shared" si="40"/>
        <v>23</v>
      </c>
      <c r="L284" s="132">
        <f t="shared" si="41"/>
        <v>29</v>
      </c>
      <c r="M284" s="132">
        <f t="shared" si="42"/>
        <v>2026</v>
      </c>
      <c r="N284" s="132">
        <f t="shared" si="43"/>
        <v>31</v>
      </c>
    </row>
    <row r="285" spans="2:14" ht="15.75" customHeight="1" x14ac:dyDescent="0.35">
      <c r="B285" s="1">
        <v>46173</v>
      </c>
      <c r="D285" s="133"/>
      <c r="E285" s="162" t="s">
        <v>475</v>
      </c>
      <c r="F285" s="69">
        <f t="shared" si="44"/>
        <v>46218</v>
      </c>
      <c r="G285" s="165">
        <v>69300</v>
      </c>
      <c r="H285" s="134">
        <f t="shared" si="38"/>
        <v>69300</v>
      </c>
      <c r="I285" s="2">
        <v>45</v>
      </c>
      <c r="J285" s="132">
        <f t="shared" si="39"/>
        <v>2026</v>
      </c>
      <c r="K285" s="132">
        <f t="shared" si="40"/>
        <v>23</v>
      </c>
      <c r="L285" s="132">
        <f t="shared" si="41"/>
        <v>29</v>
      </c>
      <c r="M285" s="132">
        <f t="shared" si="42"/>
        <v>2026</v>
      </c>
      <c r="N285" s="132">
        <f t="shared" si="43"/>
        <v>31</v>
      </c>
    </row>
    <row r="286" spans="2:14" ht="15.75" customHeight="1" x14ac:dyDescent="0.35">
      <c r="B286" s="1">
        <v>46173</v>
      </c>
      <c r="D286" s="133"/>
      <c r="E286" s="162" t="s">
        <v>476</v>
      </c>
      <c r="F286" s="69">
        <f t="shared" si="44"/>
        <v>46233</v>
      </c>
      <c r="G286" s="165">
        <v>26880</v>
      </c>
      <c r="H286" s="134">
        <f t="shared" si="38"/>
        <v>26880</v>
      </c>
      <c r="I286" s="2">
        <v>60</v>
      </c>
      <c r="J286" s="132">
        <f t="shared" si="39"/>
        <v>2026</v>
      </c>
      <c r="K286" s="132">
        <f t="shared" si="40"/>
        <v>23</v>
      </c>
      <c r="L286" s="132">
        <f t="shared" si="41"/>
        <v>31</v>
      </c>
      <c r="M286" s="132">
        <f t="shared" si="42"/>
        <v>2026</v>
      </c>
      <c r="N286" s="132">
        <f t="shared" si="43"/>
        <v>33</v>
      </c>
    </row>
    <row r="287" spans="2:14" ht="15.75" customHeight="1" x14ac:dyDescent="0.35">
      <c r="B287" s="1">
        <v>46173</v>
      </c>
      <c r="D287" s="133"/>
      <c r="E287" s="162" t="s">
        <v>477</v>
      </c>
      <c r="F287" s="69">
        <f t="shared" si="44"/>
        <v>46203</v>
      </c>
      <c r="G287" s="165">
        <v>10800</v>
      </c>
      <c r="H287" s="134">
        <f t="shared" si="38"/>
        <v>10800</v>
      </c>
      <c r="I287" s="2">
        <v>30</v>
      </c>
      <c r="J287" s="132">
        <f t="shared" si="39"/>
        <v>2026</v>
      </c>
      <c r="K287" s="132">
        <f t="shared" si="40"/>
        <v>23</v>
      </c>
      <c r="L287" s="132">
        <f t="shared" si="41"/>
        <v>27</v>
      </c>
      <c r="M287" s="132">
        <f t="shared" si="42"/>
        <v>2026</v>
      </c>
      <c r="N287" s="132">
        <f t="shared" si="43"/>
        <v>29</v>
      </c>
    </row>
    <row r="288" spans="2:14" ht="15.75" customHeight="1" x14ac:dyDescent="0.35">
      <c r="B288" s="1">
        <v>46173</v>
      </c>
      <c r="D288" s="133"/>
      <c r="E288" s="162" t="s">
        <v>483</v>
      </c>
      <c r="F288" s="69">
        <f t="shared" si="44"/>
        <v>46218</v>
      </c>
      <c r="G288" s="165">
        <v>56400</v>
      </c>
      <c r="H288" s="134">
        <f t="shared" si="38"/>
        <v>56400</v>
      </c>
      <c r="I288" s="2">
        <v>45</v>
      </c>
      <c r="J288" s="132">
        <f t="shared" si="39"/>
        <v>2026</v>
      </c>
      <c r="K288" s="132">
        <f t="shared" si="40"/>
        <v>23</v>
      </c>
      <c r="L288" s="132">
        <f t="shared" si="41"/>
        <v>29</v>
      </c>
      <c r="M288" s="132">
        <f t="shared" si="42"/>
        <v>2026</v>
      </c>
      <c r="N288" s="132">
        <f t="shared" si="43"/>
        <v>31</v>
      </c>
    </row>
    <row r="289" spans="2:14" ht="15.75" customHeight="1" x14ac:dyDescent="0.35">
      <c r="B289" s="136">
        <v>46203</v>
      </c>
      <c r="D289" s="133"/>
      <c r="E289" s="162" t="s">
        <v>194</v>
      </c>
      <c r="F289" s="69">
        <f t="shared" si="44"/>
        <v>46263</v>
      </c>
      <c r="G289" s="165">
        <v>727.77000000000407</v>
      </c>
      <c r="H289" s="134">
        <f t="shared" si="38"/>
        <v>727.77000000000407</v>
      </c>
      <c r="I289" s="2">
        <v>60</v>
      </c>
      <c r="J289" s="132">
        <f t="shared" si="39"/>
        <v>2026</v>
      </c>
      <c r="K289" s="132">
        <f t="shared" si="40"/>
        <v>27</v>
      </c>
      <c r="L289" s="132">
        <f t="shared" si="41"/>
        <v>35</v>
      </c>
      <c r="M289" s="132">
        <f t="shared" si="42"/>
        <v>2026</v>
      </c>
      <c r="N289" s="132">
        <f t="shared" si="43"/>
        <v>37</v>
      </c>
    </row>
    <row r="290" spans="2:14" ht="15.75" customHeight="1" x14ac:dyDescent="0.35">
      <c r="B290" s="136">
        <v>46203</v>
      </c>
      <c r="D290" s="133"/>
      <c r="E290" s="162" t="s">
        <v>197</v>
      </c>
      <c r="F290" s="69">
        <f t="shared" si="44"/>
        <v>46263</v>
      </c>
      <c r="G290" s="165">
        <v>3062</v>
      </c>
      <c r="H290" s="134">
        <f t="shared" si="38"/>
        <v>3062</v>
      </c>
      <c r="I290" s="2">
        <v>60</v>
      </c>
      <c r="J290" s="132">
        <f t="shared" si="39"/>
        <v>2026</v>
      </c>
      <c r="K290" s="132">
        <f t="shared" si="40"/>
        <v>27</v>
      </c>
      <c r="L290" s="132">
        <f t="shared" si="41"/>
        <v>35</v>
      </c>
      <c r="M290" s="132">
        <f t="shared" si="42"/>
        <v>2026</v>
      </c>
      <c r="N290" s="132">
        <f t="shared" si="43"/>
        <v>37</v>
      </c>
    </row>
    <row r="291" spans="2:14" ht="15.75" customHeight="1" x14ac:dyDescent="0.35">
      <c r="B291" s="136">
        <v>46203</v>
      </c>
      <c r="D291" s="133"/>
      <c r="E291" s="162" t="s">
        <v>202</v>
      </c>
      <c r="F291" s="69">
        <f t="shared" si="44"/>
        <v>46233</v>
      </c>
      <c r="G291" s="165">
        <v>51931</v>
      </c>
      <c r="H291" s="134">
        <f t="shared" si="38"/>
        <v>51931</v>
      </c>
      <c r="I291" s="2">
        <v>30</v>
      </c>
      <c r="J291" s="132">
        <f t="shared" si="39"/>
        <v>2026</v>
      </c>
      <c r="K291" s="132">
        <f t="shared" si="40"/>
        <v>27</v>
      </c>
      <c r="L291" s="132">
        <f t="shared" si="41"/>
        <v>31</v>
      </c>
      <c r="M291" s="132">
        <f t="shared" si="42"/>
        <v>2026</v>
      </c>
      <c r="N291" s="132">
        <f t="shared" si="43"/>
        <v>33</v>
      </c>
    </row>
    <row r="292" spans="2:14" ht="15.75" customHeight="1" x14ac:dyDescent="0.35">
      <c r="B292" s="136">
        <v>46203</v>
      </c>
      <c r="D292" s="133"/>
      <c r="E292" s="162" t="s">
        <v>208</v>
      </c>
      <c r="F292" s="69">
        <f t="shared" si="44"/>
        <v>46233</v>
      </c>
      <c r="G292" s="165">
        <v>8400</v>
      </c>
      <c r="H292" s="134">
        <f t="shared" si="38"/>
        <v>8400</v>
      </c>
      <c r="I292" s="2">
        <v>30</v>
      </c>
      <c r="J292" s="132">
        <f t="shared" si="39"/>
        <v>2026</v>
      </c>
      <c r="K292" s="132">
        <f t="shared" si="40"/>
        <v>27</v>
      </c>
      <c r="L292" s="132">
        <f t="shared" si="41"/>
        <v>31</v>
      </c>
      <c r="M292" s="132">
        <f t="shared" si="42"/>
        <v>2026</v>
      </c>
      <c r="N292" s="132">
        <f t="shared" si="43"/>
        <v>33</v>
      </c>
    </row>
    <row r="293" spans="2:14" ht="15.75" customHeight="1" x14ac:dyDescent="0.35">
      <c r="B293" s="136">
        <v>46203</v>
      </c>
      <c r="D293" s="133"/>
      <c r="E293" s="162" t="s">
        <v>209</v>
      </c>
      <c r="F293" s="69">
        <f t="shared" si="44"/>
        <v>46233</v>
      </c>
      <c r="G293" s="165">
        <v>26910</v>
      </c>
      <c r="H293" s="134">
        <f t="shared" si="38"/>
        <v>26910</v>
      </c>
      <c r="I293" s="2">
        <v>30</v>
      </c>
      <c r="J293" s="132">
        <f t="shared" si="39"/>
        <v>2026</v>
      </c>
      <c r="K293" s="132">
        <f t="shared" si="40"/>
        <v>27</v>
      </c>
      <c r="L293" s="132">
        <f t="shared" si="41"/>
        <v>31</v>
      </c>
      <c r="M293" s="132">
        <f t="shared" si="42"/>
        <v>2026</v>
      </c>
      <c r="N293" s="132">
        <f t="shared" si="43"/>
        <v>33</v>
      </c>
    </row>
    <row r="294" spans="2:14" ht="15.75" customHeight="1" x14ac:dyDescent="0.35">
      <c r="B294" s="136">
        <v>46203</v>
      </c>
      <c r="D294" s="133"/>
      <c r="E294" s="162" t="s">
        <v>210</v>
      </c>
      <c r="F294" s="69">
        <f t="shared" si="44"/>
        <v>46248</v>
      </c>
      <c r="G294" s="165">
        <v>126667</v>
      </c>
      <c r="H294" s="134">
        <f t="shared" si="38"/>
        <v>126667</v>
      </c>
      <c r="I294" s="2">
        <v>45</v>
      </c>
      <c r="J294" s="132">
        <f t="shared" si="39"/>
        <v>2026</v>
      </c>
      <c r="K294" s="132">
        <f t="shared" si="40"/>
        <v>27</v>
      </c>
      <c r="L294" s="132">
        <f t="shared" si="41"/>
        <v>33</v>
      </c>
      <c r="M294" s="132">
        <f t="shared" si="42"/>
        <v>2026</v>
      </c>
      <c r="N294" s="132">
        <f t="shared" si="43"/>
        <v>35</v>
      </c>
    </row>
    <row r="295" spans="2:14" ht="15.75" customHeight="1" x14ac:dyDescent="0.35">
      <c r="B295" s="136">
        <v>46203</v>
      </c>
      <c r="D295" s="133"/>
      <c r="E295" s="162" t="s">
        <v>213</v>
      </c>
      <c r="F295" s="69">
        <f t="shared" si="44"/>
        <v>46248</v>
      </c>
      <c r="G295" s="165">
        <v>172530</v>
      </c>
      <c r="H295" s="134">
        <f t="shared" si="38"/>
        <v>172530</v>
      </c>
      <c r="I295" s="2">
        <v>45</v>
      </c>
      <c r="J295" s="132">
        <f t="shared" si="39"/>
        <v>2026</v>
      </c>
      <c r="K295" s="132">
        <f t="shared" si="40"/>
        <v>27</v>
      </c>
      <c r="L295" s="132">
        <f t="shared" si="41"/>
        <v>33</v>
      </c>
      <c r="M295" s="132">
        <f t="shared" si="42"/>
        <v>2026</v>
      </c>
      <c r="N295" s="132">
        <f t="shared" si="43"/>
        <v>35</v>
      </c>
    </row>
    <row r="296" spans="2:14" ht="15.75" customHeight="1" x14ac:dyDescent="0.35">
      <c r="B296" s="136">
        <v>46203</v>
      </c>
      <c r="D296" s="133"/>
      <c r="E296" s="162" t="s">
        <v>214</v>
      </c>
      <c r="F296" s="69">
        <f t="shared" si="44"/>
        <v>46248</v>
      </c>
      <c r="G296" s="165">
        <v>45765</v>
      </c>
      <c r="H296" s="134">
        <f t="shared" si="38"/>
        <v>45765</v>
      </c>
      <c r="I296" s="2">
        <v>45</v>
      </c>
      <c r="J296" s="132">
        <f t="shared" si="39"/>
        <v>2026</v>
      </c>
      <c r="K296" s="132">
        <f t="shared" si="40"/>
        <v>27</v>
      </c>
      <c r="L296" s="132">
        <f t="shared" si="41"/>
        <v>33</v>
      </c>
      <c r="M296" s="132">
        <f t="shared" si="42"/>
        <v>2026</v>
      </c>
      <c r="N296" s="132">
        <f t="shared" si="43"/>
        <v>35</v>
      </c>
    </row>
    <row r="297" spans="2:14" ht="15.75" customHeight="1" x14ac:dyDescent="0.35">
      <c r="B297" s="136">
        <v>46203</v>
      </c>
      <c r="D297" s="133"/>
      <c r="E297" s="164" t="s">
        <v>216</v>
      </c>
      <c r="F297" s="69">
        <f t="shared" si="44"/>
        <v>46248</v>
      </c>
      <c r="G297" s="165">
        <v>210000</v>
      </c>
      <c r="H297" s="134">
        <f t="shared" si="38"/>
        <v>210000</v>
      </c>
      <c r="I297" s="2">
        <v>45</v>
      </c>
      <c r="J297" s="132">
        <f t="shared" si="39"/>
        <v>2026</v>
      </c>
      <c r="K297" s="132">
        <f t="shared" si="40"/>
        <v>27</v>
      </c>
      <c r="L297" s="132">
        <f t="shared" si="41"/>
        <v>33</v>
      </c>
      <c r="M297" s="132">
        <f t="shared" si="42"/>
        <v>2026</v>
      </c>
      <c r="N297" s="132">
        <f t="shared" si="43"/>
        <v>35</v>
      </c>
    </row>
    <row r="298" spans="2:14" ht="15.75" customHeight="1" x14ac:dyDescent="0.35">
      <c r="B298" s="136">
        <v>46203</v>
      </c>
      <c r="E298" s="162" t="s">
        <v>218</v>
      </c>
      <c r="F298" s="69">
        <f t="shared" si="44"/>
        <v>46233</v>
      </c>
      <c r="G298" s="165">
        <v>203360</v>
      </c>
      <c r="H298" s="134">
        <f t="shared" si="38"/>
        <v>203360</v>
      </c>
      <c r="I298" s="2">
        <v>30</v>
      </c>
      <c r="J298" s="132">
        <f t="shared" si="39"/>
        <v>2026</v>
      </c>
      <c r="K298" s="132">
        <f t="shared" si="40"/>
        <v>27</v>
      </c>
      <c r="L298" s="132">
        <f t="shared" si="41"/>
        <v>31</v>
      </c>
      <c r="M298" s="132">
        <f t="shared" si="42"/>
        <v>2026</v>
      </c>
      <c r="N298" s="132">
        <f t="shared" si="43"/>
        <v>33</v>
      </c>
    </row>
    <row r="299" spans="2:14" ht="15.75" customHeight="1" x14ac:dyDescent="0.35">
      <c r="B299" s="136">
        <v>46203</v>
      </c>
      <c r="E299" s="162" t="s">
        <v>261</v>
      </c>
      <c r="F299" s="69">
        <f t="shared" si="44"/>
        <v>46233</v>
      </c>
      <c r="G299" s="165">
        <v>153140</v>
      </c>
      <c r="H299" s="134">
        <f t="shared" si="38"/>
        <v>153140</v>
      </c>
      <c r="I299" s="2">
        <v>30</v>
      </c>
      <c r="J299" s="132">
        <f t="shared" si="39"/>
        <v>2026</v>
      </c>
      <c r="K299" s="132">
        <f t="shared" si="40"/>
        <v>27</v>
      </c>
      <c r="L299" s="132">
        <f t="shared" si="41"/>
        <v>31</v>
      </c>
      <c r="M299" s="132">
        <f t="shared" si="42"/>
        <v>2026</v>
      </c>
      <c r="N299" s="132">
        <f t="shared" si="43"/>
        <v>33</v>
      </c>
    </row>
    <row r="300" spans="2:14" ht="15.75" customHeight="1" x14ac:dyDescent="0.35">
      <c r="B300" s="136">
        <v>46203</v>
      </c>
      <c r="E300" s="162" t="s">
        <v>220</v>
      </c>
      <c r="F300" s="69">
        <f t="shared" si="44"/>
        <v>46248</v>
      </c>
      <c r="G300" s="165">
        <v>36288</v>
      </c>
      <c r="H300" s="134">
        <f t="shared" si="38"/>
        <v>36288</v>
      </c>
      <c r="I300" s="2">
        <v>45</v>
      </c>
      <c r="J300" s="132">
        <f t="shared" si="39"/>
        <v>2026</v>
      </c>
      <c r="K300" s="132">
        <f t="shared" si="40"/>
        <v>27</v>
      </c>
      <c r="L300" s="132">
        <f t="shared" si="41"/>
        <v>33</v>
      </c>
      <c r="M300" s="132">
        <f t="shared" si="42"/>
        <v>2026</v>
      </c>
      <c r="N300" s="132">
        <f t="shared" si="43"/>
        <v>35</v>
      </c>
    </row>
    <row r="301" spans="2:14" ht="15.75" customHeight="1" x14ac:dyDescent="0.35">
      <c r="B301" s="136">
        <v>46203</v>
      </c>
      <c r="E301" s="162" t="s">
        <v>224</v>
      </c>
      <c r="F301" s="69">
        <f t="shared" si="44"/>
        <v>46233</v>
      </c>
      <c r="G301" s="165">
        <v>96981</v>
      </c>
      <c r="H301" s="134">
        <f t="shared" si="38"/>
        <v>96981</v>
      </c>
      <c r="I301" s="2">
        <v>30</v>
      </c>
      <c r="J301" s="132">
        <f t="shared" si="39"/>
        <v>2026</v>
      </c>
      <c r="K301" s="132">
        <f t="shared" si="40"/>
        <v>27</v>
      </c>
      <c r="L301" s="132">
        <f t="shared" si="41"/>
        <v>31</v>
      </c>
      <c r="M301" s="132">
        <f t="shared" si="42"/>
        <v>2026</v>
      </c>
      <c r="N301" s="132">
        <f t="shared" si="43"/>
        <v>33</v>
      </c>
    </row>
    <row r="302" spans="2:14" ht="15.75" customHeight="1" x14ac:dyDescent="0.35">
      <c r="B302" s="136">
        <v>46203</v>
      </c>
      <c r="E302" s="162" t="s">
        <v>228</v>
      </c>
      <c r="F302" s="69">
        <f t="shared" si="44"/>
        <v>46233</v>
      </c>
      <c r="G302" s="165">
        <v>46080</v>
      </c>
      <c r="H302" s="134">
        <f t="shared" si="38"/>
        <v>46080</v>
      </c>
      <c r="I302" s="2">
        <v>30</v>
      </c>
      <c r="J302" s="132">
        <f t="shared" si="39"/>
        <v>2026</v>
      </c>
      <c r="K302" s="132">
        <f t="shared" si="40"/>
        <v>27</v>
      </c>
      <c r="L302" s="132">
        <f t="shared" si="41"/>
        <v>31</v>
      </c>
      <c r="M302" s="132">
        <f t="shared" si="42"/>
        <v>2026</v>
      </c>
      <c r="N302" s="132">
        <f t="shared" si="43"/>
        <v>33</v>
      </c>
    </row>
    <row r="303" spans="2:14" ht="15.75" customHeight="1" x14ac:dyDescent="0.35">
      <c r="B303" s="136">
        <v>46203</v>
      </c>
      <c r="E303" s="162" t="s">
        <v>233</v>
      </c>
      <c r="F303" s="69">
        <f t="shared" si="44"/>
        <v>46248</v>
      </c>
      <c r="G303" s="165">
        <v>61740</v>
      </c>
      <c r="H303" s="134">
        <f t="shared" si="38"/>
        <v>61740</v>
      </c>
      <c r="I303" s="2">
        <v>45</v>
      </c>
      <c r="J303" s="132">
        <f t="shared" si="39"/>
        <v>2026</v>
      </c>
      <c r="K303" s="132">
        <f t="shared" si="40"/>
        <v>27</v>
      </c>
      <c r="L303" s="132">
        <f t="shared" si="41"/>
        <v>33</v>
      </c>
      <c r="M303" s="132">
        <f t="shared" si="42"/>
        <v>2026</v>
      </c>
      <c r="N303" s="132">
        <f t="shared" si="43"/>
        <v>35</v>
      </c>
    </row>
    <row r="304" spans="2:14" ht="15.75" customHeight="1" x14ac:dyDescent="0.35">
      <c r="B304" s="136">
        <v>46203</v>
      </c>
      <c r="E304" s="162" t="s">
        <v>235</v>
      </c>
      <c r="F304" s="69">
        <f t="shared" si="44"/>
        <v>46248</v>
      </c>
      <c r="G304" s="165">
        <v>272166.68</v>
      </c>
      <c r="H304" s="134">
        <f t="shared" si="38"/>
        <v>272166.68</v>
      </c>
      <c r="I304" s="2">
        <v>45</v>
      </c>
      <c r="J304" s="132">
        <f t="shared" si="39"/>
        <v>2026</v>
      </c>
      <c r="K304" s="132">
        <f t="shared" si="40"/>
        <v>27</v>
      </c>
      <c r="L304" s="132">
        <f t="shared" si="41"/>
        <v>33</v>
      </c>
      <c r="M304" s="132">
        <f t="shared" si="42"/>
        <v>2026</v>
      </c>
      <c r="N304" s="132">
        <f t="shared" si="43"/>
        <v>35</v>
      </c>
    </row>
    <row r="305" spans="2:14" ht="15.75" customHeight="1" x14ac:dyDescent="0.35">
      <c r="B305" s="136">
        <v>46203</v>
      </c>
      <c r="E305" s="162" t="s">
        <v>237</v>
      </c>
      <c r="F305" s="69">
        <f t="shared" si="44"/>
        <v>46233</v>
      </c>
      <c r="G305" s="165">
        <v>178070.39999999999</v>
      </c>
      <c r="H305" s="134">
        <f t="shared" si="38"/>
        <v>178070.39999999999</v>
      </c>
      <c r="I305" s="2">
        <v>30</v>
      </c>
      <c r="J305" s="132">
        <f t="shared" si="39"/>
        <v>2026</v>
      </c>
      <c r="K305" s="132">
        <f t="shared" si="40"/>
        <v>27</v>
      </c>
      <c r="L305" s="132">
        <f t="shared" si="41"/>
        <v>31</v>
      </c>
      <c r="M305" s="132">
        <f t="shared" si="42"/>
        <v>2026</v>
      </c>
      <c r="N305" s="132">
        <f t="shared" si="43"/>
        <v>33</v>
      </c>
    </row>
    <row r="306" spans="2:14" ht="15.75" customHeight="1" x14ac:dyDescent="0.35">
      <c r="B306" s="136">
        <v>46203</v>
      </c>
      <c r="E306" s="162" t="s">
        <v>238</v>
      </c>
      <c r="F306" s="69">
        <f t="shared" si="44"/>
        <v>46248</v>
      </c>
      <c r="G306" s="165">
        <v>9600</v>
      </c>
      <c r="H306" s="134">
        <f t="shared" si="38"/>
        <v>9600</v>
      </c>
      <c r="I306" s="2">
        <v>45</v>
      </c>
      <c r="J306" s="132">
        <f t="shared" si="39"/>
        <v>2026</v>
      </c>
      <c r="K306" s="132">
        <f t="shared" si="40"/>
        <v>27</v>
      </c>
      <c r="L306" s="132">
        <f t="shared" si="41"/>
        <v>33</v>
      </c>
      <c r="M306" s="132">
        <f t="shared" si="42"/>
        <v>2026</v>
      </c>
      <c r="N306" s="132">
        <f t="shared" si="43"/>
        <v>35</v>
      </c>
    </row>
    <row r="307" spans="2:14" ht="15.75" customHeight="1" x14ac:dyDescent="0.35">
      <c r="B307" s="136">
        <v>46203</v>
      </c>
      <c r="E307" s="162" t="s">
        <v>243</v>
      </c>
      <c r="F307" s="69">
        <f t="shared" si="44"/>
        <v>46233</v>
      </c>
      <c r="G307" s="165">
        <v>55250</v>
      </c>
      <c r="H307" s="134">
        <f t="shared" si="38"/>
        <v>55250</v>
      </c>
      <c r="I307" s="2">
        <v>30</v>
      </c>
      <c r="J307" s="132">
        <f t="shared" si="39"/>
        <v>2026</v>
      </c>
      <c r="K307" s="132">
        <f t="shared" si="40"/>
        <v>27</v>
      </c>
      <c r="L307" s="132">
        <f t="shared" si="41"/>
        <v>31</v>
      </c>
      <c r="M307" s="132">
        <f t="shared" si="42"/>
        <v>2026</v>
      </c>
      <c r="N307" s="132">
        <f t="shared" si="43"/>
        <v>33</v>
      </c>
    </row>
    <row r="308" spans="2:14" ht="15.75" customHeight="1" x14ac:dyDescent="0.35">
      <c r="B308" s="136">
        <v>46203</v>
      </c>
      <c r="E308" s="162" t="s">
        <v>244</v>
      </c>
      <c r="F308" s="69">
        <f t="shared" si="44"/>
        <v>46233</v>
      </c>
      <c r="G308" s="165">
        <v>78757</v>
      </c>
      <c r="H308" s="134">
        <f t="shared" si="38"/>
        <v>78757</v>
      </c>
      <c r="I308" s="2">
        <v>30</v>
      </c>
      <c r="J308" s="132">
        <f t="shared" si="39"/>
        <v>2026</v>
      </c>
      <c r="K308" s="132">
        <f t="shared" si="40"/>
        <v>27</v>
      </c>
      <c r="L308" s="132">
        <f t="shared" si="41"/>
        <v>31</v>
      </c>
      <c r="M308" s="132">
        <f t="shared" si="42"/>
        <v>2026</v>
      </c>
      <c r="N308" s="132">
        <f t="shared" si="43"/>
        <v>33</v>
      </c>
    </row>
    <row r="309" spans="2:14" ht="15.75" customHeight="1" x14ac:dyDescent="0.35">
      <c r="B309" s="136">
        <v>46203</v>
      </c>
      <c r="E309" s="162" t="s">
        <v>246</v>
      </c>
      <c r="F309" s="69">
        <f t="shared" si="44"/>
        <v>46233</v>
      </c>
      <c r="G309" s="165">
        <v>45375</v>
      </c>
      <c r="H309" s="134">
        <f t="shared" si="38"/>
        <v>45375</v>
      </c>
      <c r="I309" s="2">
        <v>30</v>
      </c>
      <c r="J309" s="132">
        <f t="shared" si="39"/>
        <v>2026</v>
      </c>
      <c r="K309" s="132">
        <f t="shared" si="40"/>
        <v>27</v>
      </c>
      <c r="L309" s="132">
        <f t="shared" si="41"/>
        <v>31</v>
      </c>
      <c r="M309" s="132">
        <f t="shared" si="42"/>
        <v>2026</v>
      </c>
      <c r="N309" s="132">
        <f t="shared" si="43"/>
        <v>33</v>
      </c>
    </row>
    <row r="310" spans="2:14" ht="15.75" customHeight="1" x14ac:dyDescent="0.35">
      <c r="B310" s="136">
        <v>46203</v>
      </c>
      <c r="E310" s="162" t="s">
        <v>249</v>
      </c>
      <c r="F310" s="69">
        <f t="shared" si="44"/>
        <v>46248</v>
      </c>
      <c r="G310" s="165">
        <v>5294</v>
      </c>
      <c r="H310" s="134">
        <f t="shared" si="38"/>
        <v>5294</v>
      </c>
      <c r="I310" s="2">
        <v>45</v>
      </c>
      <c r="J310" s="132">
        <f t="shared" si="39"/>
        <v>2026</v>
      </c>
      <c r="K310" s="132">
        <f t="shared" si="40"/>
        <v>27</v>
      </c>
      <c r="L310" s="132">
        <f t="shared" si="41"/>
        <v>33</v>
      </c>
      <c r="M310" s="132">
        <f t="shared" si="42"/>
        <v>2026</v>
      </c>
      <c r="N310" s="132">
        <f t="shared" si="43"/>
        <v>35</v>
      </c>
    </row>
    <row r="311" spans="2:14" ht="15.75" customHeight="1" x14ac:dyDescent="0.35">
      <c r="B311" s="136">
        <v>46203</v>
      </c>
      <c r="E311" s="162" t="s">
        <v>264</v>
      </c>
      <c r="F311" s="69">
        <f t="shared" si="44"/>
        <v>46233</v>
      </c>
      <c r="G311" s="165">
        <v>68154.399999999994</v>
      </c>
      <c r="H311" s="134">
        <f t="shared" si="38"/>
        <v>68154.399999999994</v>
      </c>
      <c r="I311" s="2">
        <v>30</v>
      </c>
      <c r="J311" s="132">
        <f t="shared" si="39"/>
        <v>2026</v>
      </c>
      <c r="K311" s="132">
        <f t="shared" si="40"/>
        <v>27</v>
      </c>
      <c r="L311" s="132">
        <f t="shared" si="41"/>
        <v>31</v>
      </c>
      <c r="M311" s="132">
        <f t="shared" si="42"/>
        <v>2026</v>
      </c>
      <c r="N311" s="132">
        <f t="shared" si="43"/>
        <v>33</v>
      </c>
    </row>
    <row r="312" spans="2:14" ht="15.75" customHeight="1" x14ac:dyDescent="0.35">
      <c r="B312" s="136">
        <v>46203</v>
      </c>
      <c r="E312" s="162" t="s">
        <v>252</v>
      </c>
      <c r="F312" s="69">
        <f t="shared" si="44"/>
        <v>46248</v>
      </c>
      <c r="G312" s="165">
        <v>22176</v>
      </c>
      <c r="H312" s="134">
        <f t="shared" si="38"/>
        <v>22176</v>
      </c>
      <c r="I312" s="2">
        <v>45</v>
      </c>
      <c r="J312" s="132">
        <f t="shared" si="39"/>
        <v>2026</v>
      </c>
      <c r="K312" s="132">
        <f t="shared" si="40"/>
        <v>27</v>
      </c>
      <c r="L312" s="132">
        <f t="shared" si="41"/>
        <v>33</v>
      </c>
      <c r="M312" s="132">
        <f t="shared" si="42"/>
        <v>2026</v>
      </c>
      <c r="N312" s="132">
        <f t="shared" si="43"/>
        <v>35</v>
      </c>
    </row>
    <row r="313" spans="2:14" ht="15.75" customHeight="1" x14ac:dyDescent="0.35">
      <c r="B313" s="136">
        <v>46203</v>
      </c>
      <c r="E313" s="162" t="s">
        <v>253</v>
      </c>
      <c r="F313" s="69">
        <f t="shared" si="44"/>
        <v>46248</v>
      </c>
      <c r="G313" s="165">
        <v>11440</v>
      </c>
      <c r="H313" s="134">
        <f t="shared" si="38"/>
        <v>11440</v>
      </c>
      <c r="I313" s="2">
        <v>45</v>
      </c>
      <c r="J313" s="132">
        <f t="shared" si="39"/>
        <v>2026</v>
      </c>
      <c r="K313" s="132">
        <f t="shared" si="40"/>
        <v>27</v>
      </c>
      <c r="L313" s="132">
        <f t="shared" si="41"/>
        <v>33</v>
      </c>
      <c r="M313" s="132">
        <f t="shared" si="42"/>
        <v>2026</v>
      </c>
      <c r="N313" s="132">
        <f t="shared" si="43"/>
        <v>35</v>
      </c>
    </row>
    <row r="314" spans="2:14" ht="15.75" customHeight="1" x14ac:dyDescent="0.35">
      <c r="B314" s="136">
        <v>46203</v>
      </c>
      <c r="E314" s="162" t="s">
        <v>255</v>
      </c>
      <c r="F314" s="69">
        <f t="shared" si="44"/>
        <v>46248</v>
      </c>
      <c r="G314" s="165">
        <v>28800</v>
      </c>
      <c r="H314" s="134">
        <f t="shared" si="38"/>
        <v>28800</v>
      </c>
      <c r="I314" s="2">
        <v>45</v>
      </c>
      <c r="J314" s="132">
        <f t="shared" si="39"/>
        <v>2026</v>
      </c>
      <c r="K314" s="132">
        <f t="shared" si="40"/>
        <v>27</v>
      </c>
      <c r="L314" s="132">
        <f t="shared" si="41"/>
        <v>33</v>
      </c>
      <c r="M314" s="132">
        <f t="shared" si="42"/>
        <v>2026</v>
      </c>
      <c r="N314" s="132">
        <f t="shared" si="43"/>
        <v>35</v>
      </c>
    </row>
    <row r="315" spans="2:14" ht="15.75" customHeight="1" x14ac:dyDescent="0.35">
      <c r="B315" s="136">
        <v>46203</v>
      </c>
      <c r="E315" s="162" t="s">
        <v>256</v>
      </c>
      <c r="F315" s="69">
        <f t="shared" si="44"/>
        <v>46233</v>
      </c>
      <c r="G315" s="165">
        <v>34750</v>
      </c>
      <c r="H315" s="134">
        <f t="shared" si="38"/>
        <v>34750</v>
      </c>
      <c r="I315" s="2">
        <v>30</v>
      </c>
      <c r="J315" s="132">
        <f t="shared" si="39"/>
        <v>2026</v>
      </c>
      <c r="K315" s="132">
        <f t="shared" si="40"/>
        <v>27</v>
      </c>
      <c r="L315" s="132">
        <f t="shared" si="41"/>
        <v>31</v>
      </c>
      <c r="M315" s="132">
        <f t="shared" si="42"/>
        <v>2026</v>
      </c>
      <c r="N315" s="132">
        <f t="shared" si="43"/>
        <v>33</v>
      </c>
    </row>
    <row r="316" spans="2:14" ht="15.75" customHeight="1" x14ac:dyDescent="0.35">
      <c r="B316" s="136">
        <v>46203</v>
      </c>
      <c r="E316" s="162" t="s">
        <v>267</v>
      </c>
      <c r="F316" s="69">
        <f t="shared" si="44"/>
        <v>46233</v>
      </c>
      <c r="G316" s="165">
        <v>75113</v>
      </c>
      <c r="H316" s="134">
        <f t="shared" si="38"/>
        <v>75113</v>
      </c>
      <c r="I316" s="2">
        <v>30</v>
      </c>
      <c r="J316" s="132">
        <f t="shared" si="39"/>
        <v>2026</v>
      </c>
      <c r="K316" s="132">
        <f t="shared" si="40"/>
        <v>27</v>
      </c>
      <c r="L316" s="132">
        <f t="shared" si="41"/>
        <v>31</v>
      </c>
      <c r="M316" s="132">
        <f t="shared" si="42"/>
        <v>2026</v>
      </c>
      <c r="N316" s="132">
        <f t="shared" si="43"/>
        <v>33</v>
      </c>
    </row>
    <row r="317" spans="2:14" ht="15.75" customHeight="1" x14ac:dyDescent="0.35">
      <c r="B317" s="136">
        <v>46203</v>
      </c>
      <c r="E317" s="162" t="s">
        <v>257</v>
      </c>
      <c r="F317" s="69">
        <f t="shared" si="44"/>
        <v>46248</v>
      </c>
      <c r="G317" s="165">
        <v>21600</v>
      </c>
      <c r="H317" s="134">
        <f t="shared" si="38"/>
        <v>21600</v>
      </c>
      <c r="I317" s="2">
        <v>45</v>
      </c>
      <c r="J317" s="132">
        <f t="shared" si="39"/>
        <v>2026</v>
      </c>
      <c r="K317" s="132">
        <f t="shared" si="40"/>
        <v>27</v>
      </c>
      <c r="L317" s="132">
        <f t="shared" si="41"/>
        <v>33</v>
      </c>
      <c r="M317" s="132">
        <f t="shared" si="42"/>
        <v>2026</v>
      </c>
      <c r="N317" s="132">
        <f t="shared" si="43"/>
        <v>35</v>
      </c>
    </row>
    <row r="318" spans="2:14" ht="15.75" customHeight="1" x14ac:dyDescent="0.35">
      <c r="B318" s="136">
        <v>46203</v>
      </c>
      <c r="E318" s="162" t="s">
        <v>258</v>
      </c>
      <c r="F318" s="69">
        <f t="shared" si="44"/>
        <v>46248</v>
      </c>
      <c r="G318" s="165">
        <v>295068</v>
      </c>
      <c r="H318" s="134">
        <f t="shared" si="38"/>
        <v>295068</v>
      </c>
      <c r="I318" s="2">
        <v>45</v>
      </c>
      <c r="J318" s="132">
        <f t="shared" si="39"/>
        <v>2026</v>
      </c>
      <c r="K318" s="132">
        <f t="shared" si="40"/>
        <v>27</v>
      </c>
      <c r="L318" s="132">
        <f t="shared" si="41"/>
        <v>33</v>
      </c>
      <c r="M318" s="132">
        <f t="shared" si="42"/>
        <v>2026</v>
      </c>
      <c r="N318" s="132">
        <f t="shared" si="43"/>
        <v>35</v>
      </c>
    </row>
    <row r="319" spans="2:14" ht="15.75" customHeight="1" x14ac:dyDescent="0.35">
      <c r="B319" s="136">
        <v>46203</v>
      </c>
      <c r="E319" s="162" t="s">
        <v>353</v>
      </c>
      <c r="F319" s="69">
        <f t="shared" si="44"/>
        <v>46233</v>
      </c>
      <c r="G319" s="165">
        <v>70000</v>
      </c>
      <c r="H319" s="134">
        <f t="shared" si="38"/>
        <v>70000</v>
      </c>
      <c r="I319" s="2">
        <v>30</v>
      </c>
      <c r="J319" s="132">
        <f t="shared" si="39"/>
        <v>2026</v>
      </c>
      <c r="K319" s="132">
        <f t="shared" si="40"/>
        <v>27</v>
      </c>
      <c r="L319" s="132">
        <f t="shared" si="41"/>
        <v>31</v>
      </c>
      <c r="M319" s="132">
        <f t="shared" si="42"/>
        <v>2026</v>
      </c>
      <c r="N319" s="132">
        <f t="shared" si="43"/>
        <v>33</v>
      </c>
    </row>
    <row r="320" spans="2:14" ht="15.75" customHeight="1" x14ac:dyDescent="0.35">
      <c r="B320" s="136">
        <v>46203</v>
      </c>
      <c r="E320" s="162" t="s">
        <v>354</v>
      </c>
      <c r="F320" s="69">
        <f t="shared" si="44"/>
        <v>46248</v>
      </c>
      <c r="G320" s="165">
        <v>558500</v>
      </c>
      <c r="H320" s="134">
        <f t="shared" si="38"/>
        <v>558500</v>
      </c>
      <c r="I320" s="2">
        <v>45</v>
      </c>
      <c r="J320" s="132">
        <f t="shared" si="39"/>
        <v>2026</v>
      </c>
      <c r="K320" s="132">
        <f t="shared" si="40"/>
        <v>27</v>
      </c>
      <c r="L320" s="132">
        <f t="shared" si="41"/>
        <v>33</v>
      </c>
      <c r="M320" s="132">
        <f t="shared" si="42"/>
        <v>2026</v>
      </c>
      <c r="N320" s="132">
        <f t="shared" si="43"/>
        <v>35</v>
      </c>
    </row>
    <row r="321" spans="2:14" ht="15.75" customHeight="1" x14ac:dyDescent="0.35">
      <c r="B321" s="136">
        <v>46203</v>
      </c>
      <c r="E321" s="162" t="s">
        <v>469</v>
      </c>
      <c r="F321" s="69">
        <f t="shared" si="44"/>
        <v>46248</v>
      </c>
      <c r="G321" s="165">
        <v>55296</v>
      </c>
      <c r="H321" s="134">
        <f t="shared" si="38"/>
        <v>55296</v>
      </c>
      <c r="I321" s="2">
        <v>45</v>
      </c>
      <c r="J321" s="132">
        <f t="shared" si="39"/>
        <v>2026</v>
      </c>
      <c r="K321" s="132">
        <f t="shared" si="40"/>
        <v>27</v>
      </c>
      <c r="L321" s="132">
        <f t="shared" si="41"/>
        <v>33</v>
      </c>
      <c r="M321" s="132">
        <f t="shared" si="42"/>
        <v>2026</v>
      </c>
      <c r="N321" s="132">
        <f t="shared" si="43"/>
        <v>35</v>
      </c>
    </row>
    <row r="322" spans="2:14" ht="15.75" customHeight="1" x14ac:dyDescent="0.35">
      <c r="B322" s="136">
        <v>46203</v>
      </c>
      <c r="E322" s="162" t="s">
        <v>478</v>
      </c>
      <c r="F322" s="69">
        <f t="shared" si="44"/>
        <v>46248</v>
      </c>
      <c r="G322" s="165">
        <v>53640</v>
      </c>
      <c r="H322" s="134">
        <f t="shared" si="38"/>
        <v>53640</v>
      </c>
      <c r="I322" s="2">
        <v>45</v>
      </c>
      <c r="J322" s="132">
        <f t="shared" si="39"/>
        <v>2026</v>
      </c>
      <c r="K322" s="132">
        <f t="shared" si="40"/>
        <v>27</v>
      </c>
      <c r="L322" s="132">
        <f t="shared" si="41"/>
        <v>33</v>
      </c>
      <c r="M322" s="132">
        <f t="shared" si="42"/>
        <v>2026</v>
      </c>
      <c r="N322" s="132">
        <f t="shared" si="43"/>
        <v>35</v>
      </c>
    </row>
    <row r="323" spans="2:14" ht="15.75" customHeight="1" x14ac:dyDescent="0.35">
      <c r="B323" s="136">
        <v>46203</v>
      </c>
      <c r="E323" s="162" t="s">
        <v>479</v>
      </c>
      <c r="F323" s="69">
        <f t="shared" si="44"/>
        <v>46233</v>
      </c>
      <c r="G323" s="165">
        <v>328100</v>
      </c>
      <c r="H323" s="134">
        <f t="shared" si="38"/>
        <v>328100</v>
      </c>
      <c r="I323" s="2">
        <v>30</v>
      </c>
      <c r="J323" s="132">
        <f t="shared" si="39"/>
        <v>2026</v>
      </c>
      <c r="K323" s="132">
        <f t="shared" si="40"/>
        <v>27</v>
      </c>
      <c r="L323" s="132">
        <f t="shared" si="41"/>
        <v>31</v>
      </c>
      <c r="M323" s="132">
        <f t="shared" si="42"/>
        <v>2026</v>
      </c>
      <c r="N323" s="132">
        <f t="shared" si="43"/>
        <v>33</v>
      </c>
    </row>
    <row r="324" spans="2:14" ht="15.75" customHeight="1" x14ac:dyDescent="0.35">
      <c r="B324" s="136">
        <v>46203</v>
      </c>
      <c r="E324" s="162" t="s">
        <v>470</v>
      </c>
      <c r="F324" s="69">
        <f t="shared" si="44"/>
        <v>46248</v>
      </c>
      <c r="G324" s="165">
        <v>46116</v>
      </c>
      <c r="H324" s="134">
        <f t="shared" si="38"/>
        <v>46116</v>
      </c>
      <c r="I324" s="2">
        <v>45</v>
      </c>
      <c r="J324" s="132">
        <f t="shared" si="39"/>
        <v>2026</v>
      </c>
      <c r="K324" s="132">
        <f t="shared" si="40"/>
        <v>27</v>
      </c>
      <c r="L324" s="132">
        <f t="shared" si="41"/>
        <v>33</v>
      </c>
      <c r="M324" s="132">
        <f t="shared" si="42"/>
        <v>2026</v>
      </c>
      <c r="N324" s="132">
        <f t="shared" si="43"/>
        <v>35</v>
      </c>
    </row>
    <row r="325" spans="2:14" ht="15.75" customHeight="1" x14ac:dyDescent="0.35">
      <c r="B325" s="136">
        <v>46203</v>
      </c>
      <c r="E325" s="162" t="s">
        <v>471</v>
      </c>
      <c r="F325" s="69">
        <f t="shared" si="44"/>
        <v>46263</v>
      </c>
      <c r="G325" s="165">
        <v>246000</v>
      </c>
      <c r="H325" s="134">
        <f t="shared" si="38"/>
        <v>246000</v>
      </c>
      <c r="I325" s="2">
        <v>60</v>
      </c>
      <c r="J325" s="132">
        <f t="shared" si="39"/>
        <v>2026</v>
      </c>
      <c r="K325" s="132">
        <f t="shared" si="40"/>
        <v>27</v>
      </c>
      <c r="L325" s="132">
        <f t="shared" si="41"/>
        <v>35</v>
      </c>
      <c r="M325" s="132">
        <f t="shared" si="42"/>
        <v>2026</v>
      </c>
      <c r="N325" s="132">
        <f t="shared" si="43"/>
        <v>37</v>
      </c>
    </row>
    <row r="326" spans="2:14" ht="15.75" customHeight="1" x14ac:dyDescent="0.35">
      <c r="B326" s="136">
        <v>46203</v>
      </c>
      <c r="E326" s="162" t="s">
        <v>480</v>
      </c>
      <c r="F326" s="69">
        <f t="shared" si="44"/>
        <v>46248</v>
      </c>
      <c r="G326" s="165">
        <v>25400</v>
      </c>
      <c r="H326" s="134">
        <f t="shared" si="38"/>
        <v>25400</v>
      </c>
      <c r="I326" s="2">
        <v>45</v>
      </c>
      <c r="J326" s="132">
        <f t="shared" si="39"/>
        <v>2026</v>
      </c>
      <c r="K326" s="132">
        <f t="shared" si="40"/>
        <v>27</v>
      </c>
      <c r="L326" s="132">
        <f t="shared" si="41"/>
        <v>33</v>
      </c>
      <c r="M326" s="132">
        <f t="shared" si="42"/>
        <v>2026</v>
      </c>
      <c r="N326" s="132">
        <f t="shared" si="43"/>
        <v>35</v>
      </c>
    </row>
    <row r="327" spans="2:14" ht="15.75" customHeight="1" x14ac:dyDescent="0.35">
      <c r="B327" s="136">
        <v>46203</v>
      </c>
      <c r="E327" s="162" t="s">
        <v>484</v>
      </c>
      <c r="F327" s="69">
        <f t="shared" si="44"/>
        <v>46233</v>
      </c>
      <c r="G327" s="165">
        <v>291840</v>
      </c>
      <c r="H327" s="134">
        <f t="shared" si="38"/>
        <v>291840</v>
      </c>
      <c r="I327" s="2">
        <v>30</v>
      </c>
      <c r="J327" s="132">
        <f t="shared" si="39"/>
        <v>2026</v>
      </c>
      <c r="K327" s="132">
        <f t="shared" si="40"/>
        <v>27</v>
      </c>
      <c r="L327" s="132">
        <f t="shared" si="41"/>
        <v>31</v>
      </c>
      <c r="M327" s="132">
        <f t="shared" si="42"/>
        <v>2026</v>
      </c>
      <c r="N327" s="132">
        <f t="shared" si="43"/>
        <v>33</v>
      </c>
    </row>
    <row r="328" spans="2:14" ht="15.75" customHeight="1" x14ac:dyDescent="0.35">
      <c r="B328" s="136">
        <v>46203</v>
      </c>
      <c r="E328" s="162" t="s">
        <v>472</v>
      </c>
      <c r="F328" s="69">
        <f t="shared" si="44"/>
        <v>46233</v>
      </c>
      <c r="G328" s="165">
        <v>69993</v>
      </c>
      <c r="H328" s="134">
        <f t="shared" si="38"/>
        <v>69993</v>
      </c>
      <c r="I328" s="2">
        <v>30</v>
      </c>
      <c r="J328" s="132">
        <f t="shared" si="39"/>
        <v>2026</v>
      </c>
      <c r="K328" s="132">
        <f t="shared" si="40"/>
        <v>27</v>
      </c>
      <c r="L328" s="132">
        <f t="shared" si="41"/>
        <v>31</v>
      </c>
      <c r="M328" s="132">
        <f t="shared" si="42"/>
        <v>2026</v>
      </c>
      <c r="N328" s="132">
        <f t="shared" si="43"/>
        <v>33</v>
      </c>
    </row>
    <row r="329" spans="2:14" ht="15.75" customHeight="1" x14ac:dyDescent="0.35">
      <c r="B329" s="136">
        <v>46203</v>
      </c>
      <c r="E329" s="162" t="s">
        <v>481</v>
      </c>
      <c r="F329" s="69">
        <f t="shared" si="44"/>
        <v>46218</v>
      </c>
      <c r="G329" s="165">
        <v>34415</v>
      </c>
      <c r="H329" s="134">
        <f t="shared" si="38"/>
        <v>34415</v>
      </c>
      <c r="I329" s="2">
        <v>15</v>
      </c>
      <c r="J329" s="132">
        <f t="shared" si="39"/>
        <v>2026</v>
      </c>
      <c r="K329" s="132">
        <f t="shared" si="40"/>
        <v>27</v>
      </c>
      <c r="L329" s="132">
        <f t="shared" si="41"/>
        <v>29</v>
      </c>
      <c r="M329" s="132">
        <f t="shared" si="42"/>
        <v>2026</v>
      </c>
      <c r="N329" s="132">
        <f t="shared" si="43"/>
        <v>31</v>
      </c>
    </row>
    <row r="330" spans="2:14" ht="15.75" customHeight="1" x14ac:dyDescent="0.35">
      <c r="B330" s="136">
        <v>46203</v>
      </c>
      <c r="E330" s="162" t="s">
        <v>473</v>
      </c>
      <c r="F330" s="69">
        <f t="shared" si="44"/>
        <v>46248</v>
      </c>
      <c r="G330" s="165">
        <v>27000</v>
      </c>
      <c r="H330" s="134">
        <f t="shared" si="38"/>
        <v>27000</v>
      </c>
      <c r="I330" s="2">
        <v>45</v>
      </c>
      <c r="J330" s="132">
        <f t="shared" si="39"/>
        <v>2026</v>
      </c>
      <c r="K330" s="132">
        <f t="shared" si="40"/>
        <v>27</v>
      </c>
      <c r="L330" s="132">
        <f t="shared" si="41"/>
        <v>33</v>
      </c>
      <c r="M330" s="132">
        <f t="shared" si="42"/>
        <v>2026</v>
      </c>
      <c r="N330" s="132">
        <f t="shared" si="43"/>
        <v>35</v>
      </c>
    </row>
    <row r="331" spans="2:14" ht="15.75" customHeight="1" x14ac:dyDescent="0.35">
      <c r="B331" s="136">
        <v>46203</v>
      </c>
      <c r="E331" s="162" t="s">
        <v>475</v>
      </c>
      <c r="F331" s="69">
        <f t="shared" si="44"/>
        <v>46248</v>
      </c>
      <c r="G331" s="165">
        <v>69300</v>
      </c>
      <c r="H331" s="134">
        <f t="shared" ref="H331:H394" si="45">IF(ISBLANK($B331),"",$G331)</f>
        <v>69300</v>
      </c>
      <c r="I331" s="2">
        <v>45</v>
      </c>
      <c r="J331" s="132">
        <f t="shared" ref="J331:J394" si="46">IF(ISBLANK($B331),"",YEAR($B331))</f>
        <v>2026</v>
      </c>
      <c r="K331" s="132">
        <f t="shared" ref="K331:K394" si="47">IF(ISBLANK($B331),"",WEEKNUM($B331))</f>
        <v>27</v>
      </c>
      <c r="L331" s="132">
        <f t="shared" ref="L331:L394" si="48">IF(ISBLANK($B331),"",WEEKNUM($F331))</f>
        <v>33</v>
      </c>
      <c r="M331" s="132">
        <f t="shared" ref="M331:M394" si="49">IF(ISBLANK($B331),"",IF($L331&lt;51,YEAR($F331),YEAR($F331)+1))</f>
        <v>2026</v>
      </c>
      <c r="N331" s="132">
        <f t="shared" ref="N331:N394" si="50">IF(ISBLANK($B331),"",IF($L331&lt;51,$L331+$N$2,$L331-52+$N$2))</f>
        <v>35</v>
      </c>
    </row>
    <row r="332" spans="2:14" ht="15.75" customHeight="1" x14ac:dyDescent="0.35">
      <c r="B332" s="136">
        <v>46203</v>
      </c>
      <c r="E332" s="162" t="s">
        <v>476</v>
      </c>
      <c r="F332" s="69">
        <f t="shared" si="44"/>
        <v>46263</v>
      </c>
      <c r="G332" s="165">
        <v>53760</v>
      </c>
      <c r="H332" s="134">
        <f t="shared" si="45"/>
        <v>53760</v>
      </c>
      <c r="I332" s="2">
        <v>60</v>
      </c>
      <c r="J332" s="132">
        <f t="shared" si="46"/>
        <v>2026</v>
      </c>
      <c r="K332" s="132">
        <f t="shared" si="47"/>
        <v>27</v>
      </c>
      <c r="L332" s="132">
        <f t="shared" si="48"/>
        <v>35</v>
      </c>
      <c r="M332" s="132">
        <f t="shared" si="49"/>
        <v>2026</v>
      </c>
      <c r="N332" s="132">
        <f t="shared" si="50"/>
        <v>37</v>
      </c>
    </row>
    <row r="333" spans="2:14" ht="15.75" customHeight="1" x14ac:dyDescent="0.35">
      <c r="B333" s="136">
        <v>46203</v>
      </c>
      <c r="E333" s="162" t="s">
        <v>477</v>
      </c>
      <c r="F333" s="69">
        <f t="shared" si="44"/>
        <v>46233</v>
      </c>
      <c r="G333" s="165">
        <v>10800</v>
      </c>
      <c r="H333" s="134">
        <f t="shared" si="45"/>
        <v>10800</v>
      </c>
      <c r="I333" s="2">
        <v>30</v>
      </c>
      <c r="J333" s="132">
        <f t="shared" si="46"/>
        <v>2026</v>
      </c>
      <c r="K333" s="132">
        <f t="shared" si="47"/>
        <v>27</v>
      </c>
      <c r="L333" s="132">
        <f t="shared" si="48"/>
        <v>31</v>
      </c>
      <c r="M333" s="132">
        <f t="shared" si="49"/>
        <v>2026</v>
      </c>
      <c r="N333" s="132">
        <f t="shared" si="50"/>
        <v>33</v>
      </c>
    </row>
    <row r="334" spans="2:14" ht="15.75" customHeight="1" x14ac:dyDescent="0.35">
      <c r="B334" s="136">
        <v>46203</v>
      </c>
      <c r="E334" s="162" t="s">
        <v>483</v>
      </c>
      <c r="F334" s="69">
        <f t="shared" si="44"/>
        <v>46248</v>
      </c>
      <c r="G334" s="165">
        <v>56400</v>
      </c>
      <c r="H334" s="134">
        <f t="shared" si="45"/>
        <v>56400</v>
      </c>
      <c r="I334" s="2">
        <v>45</v>
      </c>
      <c r="J334" s="132">
        <f t="shared" si="46"/>
        <v>2026</v>
      </c>
      <c r="K334" s="132">
        <f t="shared" si="47"/>
        <v>27</v>
      </c>
      <c r="L334" s="132">
        <f t="shared" si="48"/>
        <v>33</v>
      </c>
      <c r="M334" s="132">
        <f t="shared" si="49"/>
        <v>2026</v>
      </c>
      <c r="N334" s="132">
        <f t="shared" si="50"/>
        <v>35</v>
      </c>
    </row>
    <row r="335" spans="2:14" ht="15.75" customHeight="1" x14ac:dyDescent="0.35">
      <c r="B335" s="136">
        <v>46234</v>
      </c>
      <c r="E335" t="s">
        <v>202</v>
      </c>
      <c r="F335" s="69">
        <f t="shared" si="44"/>
        <v>46264</v>
      </c>
      <c r="G335" s="165">
        <v>103862</v>
      </c>
      <c r="H335" s="134">
        <f t="shared" si="45"/>
        <v>103862</v>
      </c>
      <c r="I335">
        <v>30</v>
      </c>
      <c r="J335" s="132">
        <f t="shared" si="46"/>
        <v>2026</v>
      </c>
      <c r="K335" s="132">
        <f t="shared" si="47"/>
        <v>31</v>
      </c>
      <c r="L335" s="132">
        <f t="shared" si="48"/>
        <v>36</v>
      </c>
      <c r="M335" s="132">
        <f t="shared" si="49"/>
        <v>2026</v>
      </c>
      <c r="N335" s="132">
        <f t="shared" si="50"/>
        <v>38</v>
      </c>
    </row>
    <row r="336" spans="2:14" ht="15.75" customHeight="1" x14ac:dyDescent="0.35">
      <c r="B336" s="136">
        <v>46234</v>
      </c>
      <c r="E336" t="s">
        <v>208</v>
      </c>
      <c r="F336" s="69">
        <f t="shared" si="44"/>
        <v>46264</v>
      </c>
      <c r="G336" s="165">
        <v>8400</v>
      </c>
      <c r="H336" s="134">
        <f t="shared" si="45"/>
        <v>8400</v>
      </c>
      <c r="I336">
        <v>30</v>
      </c>
      <c r="J336" s="132">
        <f t="shared" si="46"/>
        <v>2026</v>
      </c>
      <c r="K336" s="132">
        <f t="shared" si="47"/>
        <v>31</v>
      </c>
      <c r="L336" s="132">
        <f t="shared" si="48"/>
        <v>36</v>
      </c>
      <c r="M336" s="132">
        <f t="shared" si="49"/>
        <v>2026</v>
      </c>
      <c r="N336" s="132">
        <f t="shared" si="50"/>
        <v>38</v>
      </c>
    </row>
    <row r="337" spans="2:14" ht="15.75" customHeight="1" x14ac:dyDescent="0.35">
      <c r="B337" s="136">
        <v>46234</v>
      </c>
      <c r="E337" t="s">
        <v>213</v>
      </c>
      <c r="F337" s="69">
        <f t="shared" si="44"/>
        <v>46279</v>
      </c>
      <c r="G337" s="165">
        <v>115020</v>
      </c>
      <c r="H337" s="134">
        <f t="shared" si="45"/>
        <v>115020</v>
      </c>
      <c r="I337">
        <v>45</v>
      </c>
      <c r="J337" s="132">
        <f t="shared" si="46"/>
        <v>2026</v>
      </c>
      <c r="K337" s="132">
        <f t="shared" si="47"/>
        <v>31</v>
      </c>
      <c r="L337" s="132">
        <f t="shared" si="48"/>
        <v>38</v>
      </c>
      <c r="M337" s="132">
        <f t="shared" si="49"/>
        <v>2026</v>
      </c>
      <c r="N337" s="132">
        <f t="shared" si="50"/>
        <v>40</v>
      </c>
    </row>
    <row r="338" spans="2:14" ht="15.75" customHeight="1" x14ac:dyDescent="0.35">
      <c r="B338" s="136">
        <v>46234</v>
      </c>
      <c r="E338" t="s">
        <v>220</v>
      </c>
      <c r="F338" s="69">
        <f t="shared" si="44"/>
        <v>46279</v>
      </c>
      <c r="G338" s="165">
        <v>126335.99999999999</v>
      </c>
      <c r="H338" s="134">
        <f t="shared" si="45"/>
        <v>126335.99999999999</v>
      </c>
      <c r="I338">
        <v>45</v>
      </c>
      <c r="J338" s="132">
        <f t="shared" si="46"/>
        <v>2026</v>
      </c>
      <c r="K338" s="132">
        <f t="shared" si="47"/>
        <v>31</v>
      </c>
      <c r="L338" s="132">
        <f t="shared" si="48"/>
        <v>38</v>
      </c>
      <c r="M338" s="132">
        <f t="shared" si="49"/>
        <v>2026</v>
      </c>
      <c r="N338" s="132">
        <f t="shared" si="50"/>
        <v>40</v>
      </c>
    </row>
    <row r="339" spans="2:14" ht="15.75" customHeight="1" x14ac:dyDescent="0.35">
      <c r="B339" s="136">
        <v>46234</v>
      </c>
      <c r="E339" t="s">
        <v>233</v>
      </c>
      <c r="F339" s="69">
        <f t="shared" si="44"/>
        <v>46279</v>
      </c>
      <c r="G339" s="165">
        <v>30870</v>
      </c>
      <c r="H339" s="134">
        <f t="shared" si="45"/>
        <v>30870</v>
      </c>
      <c r="I339">
        <v>45</v>
      </c>
      <c r="J339" s="132">
        <f t="shared" si="46"/>
        <v>2026</v>
      </c>
      <c r="K339" s="132">
        <f t="shared" si="47"/>
        <v>31</v>
      </c>
      <c r="L339" s="132">
        <f t="shared" si="48"/>
        <v>38</v>
      </c>
      <c r="M339" s="132">
        <f t="shared" si="49"/>
        <v>2026</v>
      </c>
      <c r="N339" s="132">
        <f t="shared" si="50"/>
        <v>40</v>
      </c>
    </row>
    <row r="340" spans="2:14" ht="15.75" customHeight="1" x14ac:dyDescent="0.35">
      <c r="B340" s="136">
        <v>46234</v>
      </c>
      <c r="E340" t="s">
        <v>237</v>
      </c>
      <c r="F340" s="69">
        <f t="shared" si="44"/>
        <v>46264</v>
      </c>
      <c r="G340" s="165">
        <v>89035.199999999997</v>
      </c>
      <c r="H340" s="134">
        <f t="shared" si="45"/>
        <v>89035.199999999997</v>
      </c>
      <c r="I340">
        <v>30</v>
      </c>
      <c r="J340" s="132">
        <f t="shared" si="46"/>
        <v>2026</v>
      </c>
      <c r="K340" s="132">
        <f t="shared" si="47"/>
        <v>31</v>
      </c>
      <c r="L340" s="132">
        <f t="shared" si="48"/>
        <v>36</v>
      </c>
      <c r="M340" s="132">
        <f t="shared" si="49"/>
        <v>2026</v>
      </c>
      <c r="N340" s="132">
        <f t="shared" si="50"/>
        <v>38</v>
      </c>
    </row>
    <row r="341" spans="2:14" ht="15.75" customHeight="1" x14ac:dyDescent="0.35">
      <c r="B341" s="136">
        <v>46234</v>
      </c>
      <c r="E341" t="s">
        <v>238</v>
      </c>
      <c r="F341" s="69">
        <f t="shared" si="44"/>
        <v>46279</v>
      </c>
      <c r="G341" s="165">
        <v>9600</v>
      </c>
      <c r="H341" s="134">
        <f t="shared" si="45"/>
        <v>9600</v>
      </c>
      <c r="I341">
        <v>45</v>
      </c>
      <c r="J341" s="132">
        <f t="shared" si="46"/>
        <v>2026</v>
      </c>
      <c r="K341" s="132">
        <f t="shared" si="47"/>
        <v>31</v>
      </c>
      <c r="L341" s="132">
        <f t="shared" si="48"/>
        <v>38</v>
      </c>
      <c r="M341" s="132">
        <f t="shared" si="49"/>
        <v>2026</v>
      </c>
      <c r="N341" s="132">
        <f t="shared" si="50"/>
        <v>40</v>
      </c>
    </row>
    <row r="342" spans="2:14" ht="15.75" customHeight="1" x14ac:dyDescent="0.35">
      <c r="B342" s="136">
        <v>46234</v>
      </c>
      <c r="E342" t="s">
        <v>244</v>
      </c>
      <c r="F342" s="69">
        <f t="shared" si="44"/>
        <v>46264</v>
      </c>
      <c r="G342" s="165">
        <v>19368</v>
      </c>
      <c r="H342" s="134">
        <f t="shared" si="45"/>
        <v>19368</v>
      </c>
      <c r="I342">
        <v>30</v>
      </c>
      <c r="J342" s="132">
        <f t="shared" si="46"/>
        <v>2026</v>
      </c>
      <c r="K342" s="132">
        <f t="shared" si="47"/>
        <v>31</v>
      </c>
      <c r="L342" s="132">
        <f t="shared" si="48"/>
        <v>36</v>
      </c>
      <c r="M342" s="132">
        <f t="shared" si="49"/>
        <v>2026</v>
      </c>
      <c r="N342" s="132">
        <f t="shared" si="50"/>
        <v>38</v>
      </c>
    </row>
    <row r="343" spans="2:14" ht="15.75" customHeight="1" x14ac:dyDescent="0.35">
      <c r="B343" s="136">
        <v>46234</v>
      </c>
      <c r="E343" t="s">
        <v>246</v>
      </c>
      <c r="F343" s="69">
        <f t="shared" si="44"/>
        <v>46264</v>
      </c>
      <c r="G343" s="165">
        <v>45375</v>
      </c>
      <c r="H343" s="134">
        <f t="shared" si="45"/>
        <v>45375</v>
      </c>
      <c r="I343">
        <v>30</v>
      </c>
      <c r="J343" s="132">
        <f t="shared" si="46"/>
        <v>2026</v>
      </c>
      <c r="K343" s="132">
        <f t="shared" si="47"/>
        <v>31</v>
      </c>
      <c r="L343" s="132">
        <f t="shared" si="48"/>
        <v>36</v>
      </c>
      <c r="M343" s="132">
        <f t="shared" si="49"/>
        <v>2026</v>
      </c>
      <c r="N343" s="132">
        <f t="shared" si="50"/>
        <v>38</v>
      </c>
    </row>
    <row r="344" spans="2:14" ht="15.75" customHeight="1" x14ac:dyDescent="0.35">
      <c r="B344" s="136">
        <v>46234</v>
      </c>
      <c r="E344" t="s">
        <v>247</v>
      </c>
      <c r="F344" s="69">
        <f t="shared" si="44"/>
        <v>46279</v>
      </c>
      <c r="G344" s="165">
        <v>58867.5</v>
      </c>
      <c r="H344" s="134">
        <f t="shared" si="45"/>
        <v>58867.5</v>
      </c>
      <c r="I344">
        <v>45</v>
      </c>
      <c r="J344" s="132">
        <f t="shared" si="46"/>
        <v>2026</v>
      </c>
      <c r="K344" s="132">
        <f t="shared" si="47"/>
        <v>31</v>
      </c>
      <c r="L344" s="132">
        <f t="shared" si="48"/>
        <v>38</v>
      </c>
      <c r="M344" s="132">
        <f t="shared" si="49"/>
        <v>2026</v>
      </c>
      <c r="N344" s="132">
        <f t="shared" si="50"/>
        <v>40</v>
      </c>
    </row>
    <row r="345" spans="2:14" ht="15.75" customHeight="1" x14ac:dyDescent="0.35">
      <c r="B345" s="136">
        <v>46234</v>
      </c>
      <c r="E345" t="s">
        <v>264</v>
      </c>
      <c r="F345" s="69">
        <f t="shared" si="44"/>
        <v>46264</v>
      </c>
      <c r="G345" s="165">
        <v>68154.399999999994</v>
      </c>
      <c r="H345" s="134">
        <f t="shared" si="45"/>
        <v>68154.399999999994</v>
      </c>
      <c r="I345">
        <v>30</v>
      </c>
      <c r="J345" s="132">
        <f t="shared" si="46"/>
        <v>2026</v>
      </c>
      <c r="K345" s="132">
        <f t="shared" si="47"/>
        <v>31</v>
      </c>
      <c r="L345" s="132">
        <f t="shared" si="48"/>
        <v>36</v>
      </c>
      <c r="M345" s="132">
        <f t="shared" si="49"/>
        <v>2026</v>
      </c>
      <c r="N345" s="132">
        <f t="shared" si="50"/>
        <v>38</v>
      </c>
    </row>
    <row r="346" spans="2:14" ht="15.75" customHeight="1" x14ac:dyDescent="0.35">
      <c r="B346" s="136">
        <v>46234</v>
      </c>
      <c r="E346" t="s">
        <v>252</v>
      </c>
      <c r="F346" s="69">
        <f t="shared" ref="F346:F373" si="51">IF(ISBLANK($B346),"",B346+I346)</f>
        <v>46279</v>
      </c>
      <c r="G346" s="165">
        <v>29040</v>
      </c>
      <c r="H346" s="134">
        <f t="shared" si="45"/>
        <v>29040</v>
      </c>
      <c r="I346">
        <v>45</v>
      </c>
      <c r="J346" s="132">
        <f t="shared" si="46"/>
        <v>2026</v>
      </c>
      <c r="K346" s="132">
        <f t="shared" si="47"/>
        <v>31</v>
      </c>
      <c r="L346" s="132">
        <f t="shared" si="48"/>
        <v>38</v>
      </c>
      <c r="M346" s="132">
        <f t="shared" si="49"/>
        <v>2026</v>
      </c>
      <c r="N346" s="132">
        <f t="shared" si="50"/>
        <v>40</v>
      </c>
    </row>
    <row r="347" spans="2:14" ht="15.75" customHeight="1" x14ac:dyDescent="0.35">
      <c r="B347" s="136">
        <v>46234</v>
      </c>
      <c r="E347" t="s">
        <v>253</v>
      </c>
      <c r="F347" s="69">
        <f t="shared" si="51"/>
        <v>46279</v>
      </c>
      <c r="G347" s="165">
        <v>11440</v>
      </c>
      <c r="H347" s="134">
        <f t="shared" si="45"/>
        <v>11440</v>
      </c>
      <c r="I347">
        <v>45</v>
      </c>
      <c r="J347" s="132">
        <f t="shared" si="46"/>
        <v>2026</v>
      </c>
      <c r="K347" s="132">
        <f t="shared" si="47"/>
        <v>31</v>
      </c>
      <c r="L347" s="132">
        <f t="shared" si="48"/>
        <v>38</v>
      </c>
      <c r="M347" s="132">
        <f t="shared" si="49"/>
        <v>2026</v>
      </c>
      <c r="N347" s="132">
        <f t="shared" si="50"/>
        <v>40</v>
      </c>
    </row>
    <row r="348" spans="2:14" ht="15.75" customHeight="1" x14ac:dyDescent="0.35">
      <c r="B348" s="136">
        <v>46234</v>
      </c>
      <c r="E348" t="s">
        <v>254</v>
      </c>
      <c r="F348" s="69">
        <f t="shared" si="51"/>
        <v>46279</v>
      </c>
      <c r="G348" s="165">
        <v>68040</v>
      </c>
      <c r="H348" s="134">
        <f t="shared" si="45"/>
        <v>68040</v>
      </c>
      <c r="I348">
        <v>45</v>
      </c>
      <c r="J348" s="132">
        <f t="shared" si="46"/>
        <v>2026</v>
      </c>
      <c r="K348" s="132">
        <f t="shared" si="47"/>
        <v>31</v>
      </c>
      <c r="L348" s="132">
        <f t="shared" si="48"/>
        <v>38</v>
      </c>
      <c r="M348" s="132">
        <f t="shared" si="49"/>
        <v>2026</v>
      </c>
      <c r="N348" s="132">
        <f t="shared" si="50"/>
        <v>40</v>
      </c>
    </row>
    <row r="349" spans="2:14" ht="15.75" customHeight="1" x14ac:dyDescent="0.35">
      <c r="B349" s="136">
        <v>46234</v>
      </c>
      <c r="E349" t="s">
        <v>255</v>
      </c>
      <c r="F349" s="69">
        <f t="shared" si="51"/>
        <v>46279</v>
      </c>
      <c r="G349" s="165">
        <v>56880</v>
      </c>
      <c r="H349" s="134">
        <f t="shared" si="45"/>
        <v>56880</v>
      </c>
      <c r="I349">
        <v>45</v>
      </c>
      <c r="J349" s="132">
        <f t="shared" si="46"/>
        <v>2026</v>
      </c>
      <c r="K349" s="132">
        <f t="shared" si="47"/>
        <v>31</v>
      </c>
      <c r="L349" s="132">
        <f t="shared" si="48"/>
        <v>38</v>
      </c>
      <c r="M349" s="132">
        <f t="shared" si="49"/>
        <v>2026</v>
      </c>
      <c r="N349" s="132">
        <f t="shared" si="50"/>
        <v>40</v>
      </c>
    </row>
    <row r="350" spans="2:14" ht="15.75" customHeight="1" x14ac:dyDescent="0.35">
      <c r="B350" s="136">
        <v>46234</v>
      </c>
      <c r="E350" t="s">
        <v>256</v>
      </c>
      <c r="F350" s="69">
        <f t="shared" si="51"/>
        <v>46264</v>
      </c>
      <c r="G350" s="165">
        <v>34750</v>
      </c>
      <c r="H350" s="134">
        <f t="shared" si="45"/>
        <v>34750</v>
      </c>
      <c r="I350">
        <v>30</v>
      </c>
      <c r="J350" s="132">
        <f t="shared" si="46"/>
        <v>2026</v>
      </c>
      <c r="K350" s="132">
        <f t="shared" si="47"/>
        <v>31</v>
      </c>
      <c r="L350" s="132">
        <f t="shared" si="48"/>
        <v>36</v>
      </c>
      <c r="M350" s="132">
        <f t="shared" si="49"/>
        <v>2026</v>
      </c>
      <c r="N350" s="132">
        <f t="shared" si="50"/>
        <v>38</v>
      </c>
    </row>
    <row r="351" spans="2:14" ht="15.75" customHeight="1" x14ac:dyDescent="0.35">
      <c r="B351" s="136">
        <v>46234</v>
      </c>
      <c r="E351" t="s">
        <v>257</v>
      </c>
      <c r="F351" s="69">
        <f t="shared" si="51"/>
        <v>46279</v>
      </c>
      <c r="G351" s="165">
        <v>21600</v>
      </c>
      <c r="H351" s="134">
        <f t="shared" si="45"/>
        <v>21600</v>
      </c>
      <c r="I351">
        <v>45</v>
      </c>
      <c r="J351" s="132">
        <f t="shared" si="46"/>
        <v>2026</v>
      </c>
      <c r="K351" s="132">
        <f t="shared" si="47"/>
        <v>31</v>
      </c>
      <c r="L351" s="132">
        <f t="shared" si="48"/>
        <v>38</v>
      </c>
      <c r="M351" s="132">
        <f t="shared" si="49"/>
        <v>2026</v>
      </c>
      <c r="N351" s="132">
        <f t="shared" si="50"/>
        <v>40</v>
      </c>
    </row>
    <row r="352" spans="2:14" ht="15.75" customHeight="1" x14ac:dyDescent="0.35">
      <c r="B352" s="136">
        <v>46234</v>
      </c>
      <c r="E352" t="s">
        <v>258</v>
      </c>
      <c r="F352" s="69">
        <f t="shared" si="51"/>
        <v>46279</v>
      </c>
      <c r="G352" s="165">
        <v>110014</v>
      </c>
      <c r="H352" s="134">
        <f t="shared" si="45"/>
        <v>110014</v>
      </c>
      <c r="I352">
        <v>45</v>
      </c>
      <c r="J352" s="132">
        <f t="shared" si="46"/>
        <v>2026</v>
      </c>
      <c r="K352" s="132">
        <f t="shared" si="47"/>
        <v>31</v>
      </c>
      <c r="L352" s="132">
        <f t="shared" si="48"/>
        <v>38</v>
      </c>
      <c r="M352" s="132">
        <f t="shared" si="49"/>
        <v>2026</v>
      </c>
      <c r="N352" s="132">
        <f t="shared" si="50"/>
        <v>40</v>
      </c>
    </row>
    <row r="353" spans="2:14" ht="15.75" customHeight="1" x14ac:dyDescent="0.35">
      <c r="B353" s="136">
        <v>46234</v>
      </c>
      <c r="E353" t="s">
        <v>355</v>
      </c>
      <c r="F353" s="69">
        <f t="shared" si="51"/>
        <v>46279</v>
      </c>
      <c r="G353" s="165">
        <v>60480</v>
      </c>
      <c r="H353" s="134">
        <f t="shared" si="45"/>
        <v>60480</v>
      </c>
      <c r="I353">
        <v>45</v>
      </c>
      <c r="J353" s="132">
        <f t="shared" si="46"/>
        <v>2026</v>
      </c>
      <c r="K353" s="132">
        <f t="shared" si="47"/>
        <v>31</v>
      </c>
      <c r="L353" s="132">
        <f t="shared" si="48"/>
        <v>38</v>
      </c>
      <c r="M353" s="132">
        <f t="shared" si="49"/>
        <v>2026</v>
      </c>
      <c r="N353" s="132">
        <f t="shared" si="50"/>
        <v>40</v>
      </c>
    </row>
    <row r="354" spans="2:14" ht="15.75" customHeight="1" x14ac:dyDescent="0.35">
      <c r="B354" s="136">
        <v>46234</v>
      </c>
      <c r="E354" t="s">
        <v>354</v>
      </c>
      <c r="F354" s="69">
        <f t="shared" si="51"/>
        <v>46279</v>
      </c>
      <c r="G354" s="165">
        <v>558500</v>
      </c>
      <c r="H354" s="134">
        <f t="shared" si="45"/>
        <v>558500</v>
      </c>
      <c r="I354">
        <v>45</v>
      </c>
      <c r="J354" s="132">
        <f t="shared" si="46"/>
        <v>2026</v>
      </c>
      <c r="K354" s="132">
        <f t="shared" si="47"/>
        <v>31</v>
      </c>
      <c r="L354" s="132">
        <f t="shared" si="48"/>
        <v>38</v>
      </c>
      <c r="M354" s="132">
        <f t="shared" si="49"/>
        <v>2026</v>
      </c>
      <c r="N354" s="132">
        <f t="shared" si="50"/>
        <v>40</v>
      </c>
    </row>
    <row r="355" spans="2:14" ht="15.75" customHeight="1" x14ac:dyDescent="0.35">
      <c r="B355" s="136">
        <v>46234</v>
      </c>
      <c r="E355" t="s">
        <v>470</v>
      </c>
      <c r="F355" s="69">
        <f t="shared" si="51"/>
        <v>46279</v>
      </c>
      <c r="G355" s="165">
        <v>120780</v>
      </c>
      <c r="H355" s="134">
        <f t="shared" si="45"/>
        <v>120780</v>
      </c>
      <c r="I355">
        <v>45</v>
      </c>
      <c r="J355" s="132">
        <f t="shared" si="46"/>
        <v>2026</v>
      </c>
      <c r="K355" s="132">
        <f t="shared" si="47"/>
        <v>31</v>
      </c>
      <c r="L355" s="132">
        <f t="shared" si="48"/>
        <v>38</v>
      </c>
      <c r="M355" s="132">
        <f t="shared" si="49"/>
        <v>2026</v>
      </c>
      <c r="N355" s="132">
        <f t="shared" si="50"/>
        <v>40</v>
      </c>
    </row>
    <row r="356" spans="2:14" ht="15.75" customHeight="1" x14ac:dyDescent="0.35">
      <c r="B356" s="136">
        <v>46234</v>
      </c>
      <c r="E356" t="s">
        <v>480</v>
      </c>
      <c r="F356" s="69">
        <f t="shared" si="51"/>
        <v>46279</v>
      </c>
      <c r="G356" s="165">
        <v>25400</v>
      </c>
      <c r="H356" s="134">
        <f t="shared" si="45"/>
        <v>25400</v>
      </c>
      <c r="I356">
        <v>45</v>
      </c>
      <c r="J356" s="132">
        <f t="shared" si="46"/>
        <v>2026</v>
      </c>
      <c r="K356" s="132">
        <f t="shared" si="47"/>
        <v>31</v>
      </c>
      <c r="L356" s="132">
        <f t="shared" si="48"/>
        <v>38</v>
      </c>
      <c r="M356" s="132">
        <f t="shared" si="49"/>
        <v>2026</v>
      </c>
      <c r="N356" s="132">
        <f t="shared" si="50"/>
        <v>40</v>
      </c>
    </row>
    <row r="357" spans="2:14" ht="15.75" customHeight="1" x14ac:dyDescent="0.35">
      <c r="B357" s="136">
        <v>46234</v>
      </c>
      <c r="E357" t="s">
        <v>484</v>
      </c>
      <c r="F357" s="69">
        <f t="shared" si="51"/>
        <v>46264</v>
      </c>
      <c r="G357" s="165">
        <v>153600</v>
      </c>
      <c r="H357" s="134">
        <f t="shared" si="45"/>
        <v>153600</v>
      </c>
      <c r="I357">
        <v>30</v>
      </c>
      <c r="J357" s="132">
        <f t="shared" si="46"/>
        <v>2026</v>
      </c>
      <c r="K357" s="132">
        <f t="shared" si="47"/>
        <v>31</v>
      </c>
      <c r="L357" s="132">
        <f t="shared" si="48"/>
        <v>36</v>
      </c>
      <c r="M357" s="132">
        <f t="shared" si="49"/>
        <v>2026</v>
      </c>
      <c r="N357" s="132">
        <f t="shared" si="50"/>
        <v>38</v>
      </c>
    </row>
    <row r="358" spans="2:14" ht="15.75" customHeight="1" x14ac:dyDescent="0.35">
      <c r="B358" s="136">
        <v>46234</v>
      </c>
      <c r="E358" t="s">
        <v>472</v>
      </c>
      <c r="F358" s="69">
        <f t="shared" si="51"/>
        <v>46264</v>
      </c>
      <c r="G358" s="165">
        <v>69993</v>
      </c>
      <c r="H358" s="134">
        <f t="shared" si="45"/>
        <v>69993</v>
      </c>
      <c r="I358">
        <v>30</v>
      </c>
      <c r="J358" s="132">
        <f t="shared" si="46"/>
        <v>2026</v>
      </c>
      <c r="K358" s="132">
        <f t="shared" si="47"/>
        <v>31</v>
      </c>
      <c r="L358" s="132">
        <f t="shared" si="48"/>
        <v>36</v>
      </c>
      <c r="M358" s="132">
        <f t="shared" si="49"/>
        <v>2026</v>
      </c>
      <c r="N358" s="132">
        <f t="shared" si="50"/>
        <v>38</v>
      </c>
    </row>
    <row r="359" spans="2:14" ht="15.75" customHeight="1" x14ac:dyDescent="0.35">
      <c r="B359" s="136">
        <v>46234</v>
      </c>
      <c r="E359" t="s">
        <v>481</v>
      </c>
      <c r="F359" s="69">
        <f t="shared" si="51"/>
        <v>46249</v>
      </c>
      <c r="G359" s="165">
        <v>68830</v>
      </c>
      <c r="H359" s="134">
        <f t="shared" si="45"/>
        <v>68830</v>
      </c>
      <c r="I359">
        <v>15</v>
      </c>
      <c r="J359" s="132">
        <f t="shared" si="46"/>
        <v>2026</v>
      </c>
      <c r="K359" s="132">
        <f t="shared" si="47"/>
        <v>31</v>
      </c>
      <c r="L359" s="132">
        <f t="shared" si="48"/>
        <v>33</v>
      </c>
      <c r="M359" s="132">
        <f t="shared" si="49"/>
        <v>2026</v>
      </c>
      <c r="N359" s="132">
        <f t="shared" si="50"/>
        <v>35</v>
      </c>
    </row>
    <row r="360" spans="2:14" ht="15.75" customHeight="1" x14ac:dyDescent="0.35">
      <c r="B360" s="136">
        <v>46234</v>
      </c>
      <c r="E360" t="s">
        <v>482</v>
      </c>
      <c r="F360" s="69">
        <f t="shared" si="51"/>
        <v>46249</v>
      </c>
      <c r="G360" s="165">
        <v>99840</v>
      </c>
      <c r="H360" s="134">
        <f t="shared" si="45"/>
        <v>99840</v>
      </c>
      <c r="I360">
        <v>15</v>
      </c>
      <c r="J360" s="132">
        <f t="shared" si="46"/>
        <v>2026</v>
      </c>
      <c r="K360" s="132">
        <f t="shared" si="47"/>
        <v>31</v>
      </c>
      <c r="L360" s="132">
        <f t="shared" si="48"/>
        <v>33</v>
      </c>
      <c r="M360" s="132">
        <f t="shared" si="49"/>
        <v>2026</v>
      </c>
      <c r="N360" s="132">
        <f t="shared" si="50"/>
        <v>35</v>
      </c>
    </row>
    <row r="361" spans="2:14" ht="15.75" customHeight="1" x14ac:dyDescent="0.35">
      <c r="B361" s="136">
        <v>46234</v>
      </c>
      <c r="E361" t="s">
        <v>475</v>
      </c>
      <c r="F361" s="69">
        <f t="shared" si="51"/>
        <v>46279</v>
      </c>
      <c r="G361" s="165">
        <v>69300</v>
      </c>
      <c r="H361" s="134">
        <f t="shared" si="45"/>
        <v>69300</v>
      </c>
      <c r="I361">
        <v>45</v>
      </c>
      <c r="J361" s="132">
        <f t="shared" si="46"/>
        <v>2026</v>
      </c>
      <c r="K361" s="132">
        <f t="shared" si="47"/>
        <v>31</v>
      </c>
      <c r="L361" s="132">
        <f t="shared" si="48"/>
        <v>38</v>
      </c>
      <c r="M361" s="132">
        <f t="shared" si="49"/>
        <v>2026</v>
      </c>
      <c r="N361" s="132">
        <f t="shared" si="50"/>
        <v>40</v>
      </c>
    </row>
    <row r="362" spans="2:14" ht="15.75" customHeight="1" x14ac:dyDescent="0.35">
      <c r="B362" s="136">
        <v>46234</v>
      </c>
      <c r="E362" t="s">
        <v>477</v>
      </c>
      <c r="F362" s="69">
        <f t="shared" si="51"/>
        <v>46264</v>
      </c>
      <c r="G362" s="165">
        <v>10800</v>
      </c>
      <c r="H362" s="134">
        <f t="shared" si="45"/>
        <v>10800</v>
      </c>
      <c r="I362">
        <v>30</v>
      </c>
      <c r="J362" s="132">
        <f t="shared" si="46"/>
        <v>2026</v>
      </c>
      <c r="K362" s="132">
        <f t="shared" si="47"/>
        <v>31</v>
      </c>
      <c r="L362" s="132">
        <f t="shared" si="48"/>
        <v>36</v>
      </c>
      <c r="M362" s="132">
        <f t="shared" si="49"/>
        <v>2026</v>
      </c>
      <c r="N362" s="132">
        <f t="shared" si="50"/>
        <v>38</v>
      </c>
    </row>
    <row r="363" spans="2:14" ht="15.75" customHeight="1" x14ac:dyDescent="0.35">
      <c r="B363" s="136">
        <v>46234</v>
      </c>
      <c r="E363" t="s">
        <v>483</v>
      </c>
      <c r="F363" s="69">
        <f t="shared" si="51"/>
        <v>46279</v>
      </c>
      <c r="G363" s="165">
        <v>56400</v>
      </c>
      <c r="H363" s="134">
        <f t="shared" si="45"/>
        <v>56400</v>
      </c>
      <c r="I363">
        <v>45</v>
      </c>
      <c r="J363" s="132">
        <f t="shared" si="46"/>
        <v>2026</v>
      </c>
      <c r="K363" s="132">
        <f t="shared" si="47"/>
        <v>31</v>
      </c>
      <c r="L363" s="132">
        <f t="shared" si="48"/>
        <v>38</v>
      </c>
      <c r="M363" s="132">
        <f t="shared" si="49"/>
        <v>2026</v>
      </c>
      <c r="N363" s="132">
        <f t="shared" si="50"/>
        <v>40</v>
      </c>
    </row>
    <row r="364" spans="2:14" ht="15.75" customHeight="1" x14ac:dyDescent="0.35">
      <c r="B364" s="136">
        <v>46265</v>
      </c>
      <c r="E364" s="162" t="s">
        <v>192</v>
      </c>
      <c r="F364" s="69">
        <f t="shared" si="51"/>
        <v>46325</v>
      </c>
      <c r="G364" s="165">
        <v>65000</v>
      </c>
      <c r="H364" s="134">
        <f t="shared" si="45"/>
        <v>65000</v>
      </c>
      <c r="I364">
        <v>60</v>
      </c>
      <c r="J364" s="132">
        <f t="shared" si="46"/>
        <v>2026</v>
      </c>
      <c r="K364" s="132">
        <f t="shared" si="47"/>
        <v>36</v>
      </c>
      <c r="L364" s="132">
        <f t="shared" si="48"/>
        <v>44</v>
      </c>
      <c r="M364" s="132">
        <f t="shared" si="49"/>
        <v>2026</v>
      </c>
      <c r="N364" s="132">
        <f t="shared" si="50"/>
        <v>46</v>
      </c>
    </row>
    <row r="365" spans="2:14" ht="15.75" customHeight="1" x14ac:dyDescent="0.35">
      <c r="B365" s="136">
        <v>46265</v>
      </c>
      <c r="E365" s="162" t="s">
        <v>202</v>
      </c>
      <c r="F365" s="69">
        <f t="shared" si="51"/>
        <v>46295</v>
      </c>
      <c r="G365" s="165">
        <v>51932</v>
      </c>
      <c r="H365" s="134">
        <f t="shared" si="45"/>
        <v>51932</v>
      </c>
      <c r="I365">
        <v>30</v>
      </c>
      <c r="J365" s="132">
        <f t="shared" si="46"/>
        <v>2026</v>
      </c>
      <c r="K365" s="132">
        <f t="shared" si="47"/>
        <v>36</v>
      </c>
      <c r="L365" s="132">
        <f t="shared" si="48"/>
        <v>40</v>
      </c>
      <c r="M365" s="132">
        <f t="shared" si="49"/>
        <v>2026</v>
      </c>
      <c r="N365" s="132">
        <f t="shared" si="50"/>
        <v>42</v>
      </c>
    </row>
    <row r="366" spans="2:14" ht="15.75" customHeight="1" x14ac:dyDescent="0.35">
      <c r="B366" s="136">
        <v>46265</v>
      </c>
      <c r="E366" s="162" t="s">
        <v>208</v>
      </c>
      <c r="F366" s="69">
        <f t="shared" si="51"/>
        <v>46295</v>
      </c>
      <c r="G366" s="165">
        <v>8800</v>
      </c>
      <c r="H366" s="134">
        <f t="shared" si="45"/>
        <v>8800</v>
      </c>
      <c r="I366">
        <v>30</v>
      </c>
      <c r="J366" s="132">
        <f t="shared" si="46"/>
        <v>2026</v>
      </c>
      <c r="K366" s="132">
        <f t="shared" si="47"/>
        <v>36</v>
      </c>
      <c r="L366" s="132">
        <f t="shared" si="48"/>
        <v>40</v>
      </c>
      <c r="M366" s="132">
        <f t="shared" si="49"/>
        <v>2026</v>
      </c>
      <c r="N366" s="132">
        <f t="shared" si="50"/>
        <v>42</v>
      </c>
    </row>
    <row r="367" spans="2:14" ht="15.75" customHeight="1" x14ac:dyDescent="0.35">
      <c r="B367" s="136">
        <v>46265</v>
      </c>
      <c r="E367" s="162" t="s">
        <v>237</v>
      </c>
      <c r="F367" s="69">
        <f t="shared" si="51"/>
        <v>46295</v>
      </c>
      <c r="G367" s="165">
        <v>178070.39999999999</v>
      </c>
      <c r="H367" s="134">
        <f t="shared" si="45"/>
        <v>178070.39999999999</v>
      </c>
      <c r="I367">
        <v>30</v>
      </c>
      <c r="J367" s="132">
        <f t="shared" si="46"/>
        <v>2026</v>
      </c>
      <c r="K367" s="132">
        <f t="shared" si="47"/>
        <v>36</v>
      </c>
      <c r="L367" s="132">
        <f t="shared" si="48"/>
        <v>40</v>
      </c>
      <c r="M367" s="132">
        <f t="shared" si="49"/>
        <v>2026</v>
      </c>
      <c r="N367" s="132">
        <f t="shared" si="50"/>
        <v>42</v>
      </c>
    </row>
    <row r="368" spans="2:14" ht="15.75" customHeight="1" x14ac:dyDescent="0.35">
      <c r="B368" s="136">
        <v>46265</v>
      </c>
      <c r="E368" s="162" t="s">
        <v>238</v>
      </c>
      <c r="F368" s="69">
        <f t="shared" si="51"/>
        <v>46310</v>
      </c>
      <c r="G368" s="165">
        <v>9600</v>
      </c>
      <c r="H368" s="134">
        <f t="shared" si="45"/>
        <v>9600</v>
      </c>
      <c r="I368">
        <v>45</v>
      </c>
      <c r="J368" s="132">
        <f t="shared" si="46"/>
        <v>2026</v>
      </c>
      <c r="K368" s="132">
        <f t="shared" si="47"/>
        <v>36</v>
      </c>
      <c r="L368" s="132">
        <f t="shared" si="48"/>
        <v>42</v>
      </c>
      <c r="M368" s="132">
        <f t="shared" si="49"/>
        <v>2026</v>
      </c>
      <c r="N368" s="132">
        <f t="shared" si="50"/>
        <v>44</v>
      </c>
    </row>
    <row r="369" spans="2:14" ht="15.75" customHeight="1" x14ac:dyDescent="0.35">
      <c r="B369" s="136">
        <v>46265</v>
      </c>
      <c r="E369" s="162" t="s">
        <v>253</v>
      </c>
      <c r="F369" s="69">
        <f t="shared" si="51"/>
        <v>46310</v>
      </c>
      <c r="G369" s="165">
        <v>11440</v>
      </c>
      <c r="H369" s="134">
        <f t="shared" si="45"/>
        <v>11440</v>
      </c>
      <c r="I369">
        <v>45</v>
      </c>
      <c r="J369" s="132">
        <f t="shared" si="46"/>
        <v>2026</v>
      </c>
      <c r="K369" s="132">
        <f t="shared" si="47"/>
        <v>36</v>
      </c>
      <c r="L369" s="132">
        <f t="shared" si="48"/>
        <v>42</v>
      </c>
      <c r="M369" s="132">
        <f t="shared" si="49"/>
        <v>2026</v>
      </c>
      <c r="N369" s="132">
        <f t="shared" si="50"/>
        <v>44</v>
      </c>
    </row>
    <row r="370" spans="2:14" ht="15.75" customHeight="1" x14ac:dyDescent="0.35">
      <c r="B370" s="136">
        <v>46265</v>
      </c>
      <c r="E370" s="162" t="s">
        <v>255</v>
      </c>
      <c r="F370" s="69">
        <f t="shared" si="51"/>
        <v>46310</v>
      </c>
      <c r="G370" s="165">
        <v>41280</v>
      </c>
      <c r="H370" s="134">
        <f t="shared" si="45"/>
        <v>41280</v>
      </c>
      <c r="I370">
        <v>45</v>
      </c>
      <c r="J370" s="132">
        <f t="shared" si="46"/>
        <v>2026</v>
      </c>
      <c r="K370" s="132">
        <f t="shared" si="47"/>
        <v>36</v>
      </c>
      <c r="L370" s="132">
        <f t="shared" si="48"/>
        <v>42</v>
      </c>
      <c r="M370" s="132">
        <f t="shared" si="49"/>
        <v>2026</v>
      </c>
      <c r="N370" s="132">
        <f t="shared" si="50"/>
        <v>44</v>
      </c>
    </row>
    <row r="371" spans="2:14" ht="15.75" customHeight="1" x14ac:dyDescent="0.35">
      <c r="B371" s="136">
        <v>46265</v>
      </c>
      <c r="E371" s="162" t="s">
        <v>256</v>
      </c>
      <c r="F371" s="69">
        <f t="shared" si="51"/>
        <v>46295</v>
      </c>
      <c r="G371" s="165">
        <v>34750</v>
      </c>
      <c r="H371" s="134">
        <f t="shared" si="45"/>
        <v>34750</v>
      </c>
      <c r="I371">
        <v>30</v>
      </c>
      <c r="J371" s="132">
        <f t="shared" si="46"/>
        <v>2026</v>
      </c>
      <c r="K371" s="132">
        <f t="shared" si="47"/>
        <v>36</v>
      </c>
      <c r="L371" s="132">
        <f t="shared" si="48"/>
        <v>40</v>
      </c>
      <c r="M371" s="132">
        <f t="shared" si="49"/>
        <v>2026</v>
      </c>
      <c r="N371" s="132">
        <f t="shared" si="50"/>
        <v>42</v>
      </c>
    </row>
    <row r="372" spans="2:14" ht="15.75" customHeight="1" x14ac:dyDescent="0.35">
      <c r="B372" s="136">
        <v>46265</v>
      </c>
      <c r="E372" s="162" t="s">
        <v>257</v>
      </c>
      <c r="F372" s="69">
        <f t="shared" si="51"/>
        <v>46310</v>
      </c>
      <c r="G372" s="165">
        <v>21600</v>
      </c>
      <c r="H372" s="134">
        <f t="shared" si="45"/>
        <v>21600</v>
      </c>
      <c r="I372">
        <v>45</v>
      </c>
      <c r="J372" s="132">
        <f t="shared" si="46"/>
        <v>2026</v>
      </c>
      <c r="K372" s="132">
        <f t="shared" si="47"/>
        <v>36</v>
      </c>
      <c r="L372" s="132">
        <f t="shared" si="48"/>
        <v>42</v>
      </c>
      <c r="M372" s="132">
        <f t="shared" si="49"/>
        <v>2026</v>
      </c>
      <c r="N372" s="132">
        <f t="shared" si="50"/>
        <v>44</v>
      </c>
    </row>
    <row r="373" spans="2:14" ht="15.75" customHeight="1" x14ac:dyDescent="0.35">
      <c r="B373" s="136">
        <v>46265</v>
      </c>
      <c r="E373" s="162" t="s">
        <v>355</v>
      </c>
      <c r="F373" s="69">
        <f t="shared" si="51"/>
        <v>46310</v>
      </c>
      <c r="G373" s="165">
        <v>60480</v>
      </c>
      <c r="H373" s="134">
        <f t="shared" si="45"/>
        <v>60480</v>
      </c>
      <c r="I373">
        <v>45</v>
      </c>
      <c r="J373" s="132">
        <f t="shared" si="46"/>
        <v>2026</v>
      </c>
      <c r="K373" s="132">
        <f t="shared" si="47"/>
        <v>36</v>
      </c>
      <c r="L373" s="132">
        <f t="shared" si="48"/>
        <v>42</v>
      </c>
      <c r="M373" s="132">
        <f t="shared" si="49"/>
        <v>2026</v>
      </c>
      <c r="N373" s="132">
        <f t="shared" si="50"/>
        <v>44</v>
      </c>
    </row>
    <row r="374" spans="2:14" ht="15.75" customHeight="1" x14ac:dyDescent="0.35">
      <c r="B374" s="136">
        <v>46265</v>
      </c>
      <c r="E374" s="162" t="s">
        <v>470</v>
      </c>
      <c r="F374" s="69">
        <f t="shared" ref="F374:F437" si="52">IF(ISBLANK($B374),"",B374+I374)</f>
        <v>46310</v>
      </c>
      <c r="G374" s="165">
        <v>114193</v>
      </c>
      <c r="H374" s="134">
        <f t="shared" si="45"/>
        <v>114193</v>
      </c>
      <c r="I374">
        <v>45</v>
      </c>
      <c r="J374" s="132">
        <f t="shared" si="46"/>
        <v>2026</v>
      </c>
      <c r="K374" s="132">
        <f t="shared" si="47"/>
        <v>36</v>
      </c>
      <c r="L374" s="132">
        <f t="shared" si="48"/>
        <v>42</v>
      </c>
      <c r="M374" s="132">
        <f t="shared" si="49"/>
        <v>2026</v>
      </c>
      <c r="N374" s="132">
        <f t="shared" si="50"/>
        <v>44</v>
      </c>
    </row>
    <row r="375" spans="2:14" ht="15.75" customHeight="1" x14ac:dyDescent="0.35">
      <c r="B375" s="136">
        <v>46265</v>
      </c>
      <c r="E375" s="162" t="s">
        <v>484</v>
      </c>
      <c r="F375" s="69">
        <f t="shared" si="52"/>
        <v>46295</v>
      </c>
      <c r="G375" s="165">
        <v>122880</v>
      </c>
      <c r="H375" s="134">
        <f t="shared" si="45"/>
        <v>122880</v>
      </c>
      <c r="I375">
        <v>30</v>
      </c>
      <c r="J375" s="132">
        <f t="shared" si="46"/>
        <v>2026</v>
      </c>
      <c r="K375" s="132">
        <f t="shared" si="47"/>
        <v>36</v>
      </c>
      <c r="L375" s="132">
        <f t="shared" si="48"/>
        <v>40</v>
      </c>
      <c r="M375" s="132">
        <f t="shared" si="49"/>
        <v>2026</v>
      </c>
      <c r="N375" s="132">
        <f t="shared" si="50"/>
        <v>42</v>
      </c>
    </row>
    <row r="376" spans="2:14" ht="15.75" customHeight="1" x14ac:dyDescent="0.35">
      <c r="B376" s="136">
        <v>46265</v>
      </c>
      <c r="E376" s="162" t="s">
        <v>475</v>
      </c>
      <c r="F376" s="69">
        <f t="shared" si="52"/>
        <v>46310</v>
      </c>
      <c r="G376" s="165">
        <v>69300</v>
      </c>
      <c r="H376" s="134">
        <f t="shared" si="45"/>
        <v>69300</v>
      </c>
      <c r="I376">
        <v>45</v>
      </c>
      <c r="J376" s="132">
        <f t="shared" si="46"/>
        <v>2026</v>
      </c>
      <c r="K376" s="132">
        <f t="shared" si="47"/>
        <v>36</v>
      </c>
      <c r="L376" s="132">
        <f t="shared" si="48"/>
        <v>42</v>
      </c>
      <c r="M376" s="132">
        <f t="shared" si="49"/>
        <v>2026</v>
      </c>
      <c r="N376" s="132">
        <f t="shared" si="50"/>
        <v>44</v>
      </c>
    </row>
    <row r="377" spans="2:14" ht="15.75" customHeight="1" x14ac:dyDescent="0.35">
      <c r="B377" s="136">
        <v>46265</v>
      </c>
      <c r="E377" s="162" t="s">
        <v>477</v>
      </c>
      <c r="F377" s="69">
        <f t="shared" si="52"/>
        <v>46295</v>
      </c>
      <c r="G377" s="165">
        <v>25800</v>
      </c>
      <c r="H377" s="134">
        <f t="shared" si="45"/>
        <v>25800</v>
      </c>
      <c r="I377">
        <v>30</v>
      </c>
      <c r="J377" s="132">
        <f t="shared" si="46"/>
        <v>2026</v>
      </c>
      <c r="K377" s="132">
        <f t="shared" si="47"/>
        <v>36</v>
      </c>
      <c r="L377" s="132">
        <f t="shared" si="48"/>
        <v>40</v>
      </c>
      <c r="M377" s="132">
        <f t="shared" si="49"/>
        <v>2026</v>
      </c>
      <c r="N377" s="132">
        <f t="shared" si="50"/>
        <v>42</v>
      </c>
    </row>
    <row r="378" spans="2:14" ht="15.75" customHeight="1" x14ac:dyDescent="0.35">
      <c r="B378" s="136">
        <v>46265</v>
      </c>
      <c r="E378" s="162" t="s">
        <v>483</v>
      </c>
      <c r="F378" s="69">
        <f t="shared" si="52"/>
        <v>46310</v>
      </c>
      <c r="G378" s="165">
        <v>56400</v>
      </c>
      <c r="H378" s="134">
        <f t="shared" si="45"/>
        <v>56400</v>
      </c>
      <c r="I378">
        <v>45</v>
      </c>
      <c r="J378" s="132">
        <f t="shared" si="46"/>
        <v>2026</v>
      </c>
      <c r="K378" s="132">
        <f t="shared" si="47"/>
        <v>36</v>
      </c>
      <c r="L378" s="132">
        <f t="shared" si="48"/>
        <v>42</v>
      </c>
      <c r="M378" s="132">
        <f t="shared" si="49"/>
        <v>2026</v>
      </c>
      <c r="N378" s="132">
        <f t="shared" si="50"/>
        <v>44</v>
      </c>
    </row>
    <row r="379" spans="2:14" ht="15.75" customHeight="1" x14ac:dyDescent="0.35">
      <c r="B379" s="136">
        <v>46295</v>
      </c>
      <c r="E379" s="162" t="s">
        <v>208</v>
      </c>
      <c r="F379" s="69">
        <f t="shared" si="52"/>
        <v>46325</v>
      </c>
      <c r="G379" s="165">
        <v>8400</v>
      </c>
      <c r="H379" s="134">
        <f t="shared" si="45"/>
        <v>8400</v>
      </c>
      <c r="I379">
        <v>30</v>
      </c>
      <c r="J379" s="132">
        <f t="shared" si="46"/>
        <v>2026</v>
      </c>
      <c r="K379" s="132">
        <f t="shared" si="47"/>
        <v>40</v>
      </c>
      <c r="L379" s="132">
        <f t="shared" si="48"/>
        <v>44</v>
      </c>
      <c r="M379" s="132">
        <f t="shared" si="49"/>
        <v>2026</v>
      </c>
      <c r="N379" s="132">
        <f t="shared" si="50"/>
        <v>46</v>
      </c>
    </row>
    <row r="380" spans="2:14" ht="15.75" customHeight="1" x14ac:dyDescent="0.35">
      <c r="B380" s="136">
        <v>46295</v>
      </c>
      <c r="E380" s="162" t="s">
        <v>237</v>
      </c>
      <c r="F380" s="69">
        <f t="shared" si="52"/>
        <v>46325</v>
      </c>
      <c r="G380" s="165">
        <v>178070.39999999999</v>
      </c>
      <c r="H380" s="134">
        <f t="shared" si="45"/>
        <v>178070.39999999999</v>
      </c>
      <c r="I380">
        <v>30</v>
      </c>
      <c r="J380" s="132">
        <f t="shared" si="46"/>
        <v>2026</v>
      </c>
      <c r="K380" s="132">
        <f t="shared" si="47"/>
        <v>40</v>
      </c>
      <c r="L380" s="132">
        <f t="shared" si="48"/>
        <v>44</v>
      </c>
      <c r="M380" s="132">
        <f t="shared" si="49"/>
        <v>2026</v>
      </c>
      <c r="N380" s="132">
        <f t="shared" si="50"/>
        <v>46</v>
      </c>
    </row>
    <row r="381" spans="2:14" ht="15.75" customHeight="1" x14ac:dyDescent="0.35">
      <c r="B381" s="136">
        <v>46295</v>
      </c>
      <c r="E381" s="162" t="s">
        <v>238</v>
      </c>
      <c r="F381" s="69">
        <f t="shared" si="52"/>
        <v>46340</v>
      </c>
      <c r="G381" s="165">
        <v>9600</v>
      </c>
      <c r="H381" s="134">
        <f t="shared" si="45"/>
        <v>9600</v>
      </c>
      <c r="I381">
        <v>45</v>
      </c>
      <c r="J381" s="132">
        <f t="shared" si="46"/>
        <v>2026</v>
      </c>
      <c r="K381" s="132">
        <f t="shared" si="47"/>
        <v>40</v>
      </c>
      <c r="L381" s="132">
        <f t="shared" si="48"/>
        <v>46</v>
      </c>
      <c r="M381" s="132">
        <f t="shared" si="49"/>
        <v>2026</v>
      </c>
      <c r="N381" s="132">
        <f t="shared" si="50"/>
        <v>48</v>
      </c>
    </row>
    <row r="382" spans="2:14" ht="15.75" customHeight="1" x14ac:dyDescent="0.35">
      <c r="B382" s="136">
        <v>46295</v>
      </c>
      <c r="E382" s="162" t="s">
        <v>247</v>
      </c>
      <c r="F382" s="69">
        <f t="shared" si="52"/>
        <v>46340</v>
      </c>
      <c r="G382" s="165">
        <v>58867.5</v>
      </c>
      <c r="H382" s="134">
        <f t="shared" si="45"/>
        <v>58867.5</v>
      </c>
      <c r="I382">
        <v>45</v>
      </c>
      <c r="J382" s="132">
        <f t="shared" si="46"/>
        <v>2026</v>
      </c>
      <c r="K382" s="132">
        <f t="shared" si="47"/>
        <v>40</v>
      </c>
      <c r="L382" s="132">
        <f t="shared" si="48"/>
        <v>46</v>
      </c>
      <c r="M382" s="132">
        <f t="shared" si="49"/>
        <v>2026</v>
      </c>
      <c r="N382" s="132">
        <f t="shared" si="50"/>
        <v>48</v>
      </c>
    </row>
    <row r="383" spans="2:14" ht="15.75" customHeight="1" x14ac:dyDescent="0.35">
      <c r="B383" s="136">
        <v>46295</v>
      </c>
      <c r="E383" s="162" t="s">
        <v>253</v>
      </c>
      <c r="F383" s="69">
        <f t="shared" si="52"/>
        <v>46340</v>
      </c>
      <c r="G383" s="165">
        <v>11660</v>
      </c>
      <c r="H383" s="134">
        <f t="shared" si="45"/>
        <v>11660</v>
      </c>
      <c r="I383">
        <v>45</v>
      </c>
      <c r="J383" s="132">
        <f t="shared" si="46"/>
        <v>2026</v>
      </c>
      <c r="K383" s="132">
        <f t="shared" si="47"/>
        <v>40</v>
      </c>
      <c r="L383" s="132">
        <f t="shared" si="48"/>
        <v>46</v>
      </c>
      <c r="M383" s="132">
        <f t="shared" si="49"/>
        <v>2026</v>
      </c>
      <c r="N383" s="132">
        <f t="shared" si="50"/>
        <v>48</v>
      </c>
    </row>
    <row r="384" spans="2:14" ht="15.75" customHeight="1" x14ac:dyDescent="0.35">
      <c r="B384" s="136">
        <v>46295</v>
      </c>
      <c r="E384" s="162" t="s">
        <v>256</v>
      </c>
      <c r="F384" s="69">
        <f t="shared" si="52"/>
        <v>46325</v>
      </c>
      <c r="G384" s="165">
        <v>34750</v>
      </c>
      <c r="H384" s="134">
        <f t="shared" si="45"/>
        <v>34750</v>
      </c>
      <c r="I384">
        <v>30</v>
      </c>
      <c r="J384" s="132">
        <f t="shared" si="46"/>
        <v>2026</v>
      </c>
      <c r="K384" s="132">
        <f t="shared" si="47"/>
        <v>40</v>
      </c>
      <c r="L384" s="132">
        <f t="shared" si="48"/>
        <v>44</v>
      </c>
      <c r="M384" s="132">
        <f t="shared" si="49"/>
        <v>2026</v>
      </c>
      <c r="N384" s="132">
        <f t="shared" si="50"/>
        <v>46</v>
      </c>
    </row>
    <row r="385" spans="2:14" ht="15.75" customHeight="1" x14ac:dyDescent="0.35">
      <c r="B385" s="136">
        <v>46295</v>
      </c>
      <c r="E385" s="162" t="s">
        <v>257</v>
      </c>
      <c r="F385" s="69">
        <f t="shared" si="52"/>
        <v>46340</v>
      </c>
      <c r="G385" s="165">
        <v>21600</v>
      </c>
      <c r="H385" s="134">
        <f t="shared" si="45"/>
        <v>21600</v>
      </c>
      <c r="I385">
        <v>45</v>
      </c>
      <c r="J385" s="132">
        <f t="shared" si="46"/>
        <v>2026</v>
      </c>
      <c r="K385" s="132">
        <f t="shared" si="47"/>
        <v>40</v>
      </c>
      <c r="L385" s="132">
        <f t="shared" si="48"/>
        <v>46</v>
      </c>
      <c r="M385" s="132">
        <f t="shared" si="49"/>
        <v>2026</v>
      </c>
      <c r="N385" s="132">
        <f t="shared" si="50"/>
        <v>48</v>
      </c>
    </row>
    <row r="386" spans="2:14" ht="15.75" customHeight="1" x14ac:dyDescent="0.35">
      <c r="B386" s="136">
        <v>46295</v>
      </c>
      <c r="E386" s="162" t="s">
        <v>479</v>
      </c>
      <c r="F386" s="69">
        <f t="shared" si="52"/>
        <v>46325</v>
      </c>
      <c r="G386" s="165">
        <v>318450</v>
      </c>
      <c r="H386" s="134">
        <f t="shared" si="45"/>
        <v>318450</v>
      </c>
      <c r="I386">
        <v>30</v>
      </c>
      <c r="J386" s="132">
        <f t="shared" si="46"/>
        <v>2026</v>
      </c>
      <c r="K386" s="132">
        <f t="shared" si="47"/>
        <v>40</v>
      </c>
      <c r="L386" s="132">
        <f t="shared" si="48"/>
        <v>44</v>
      </c>
      <c r="M386" s="132">
        <f t="shared" si="49"/>
        <v>2026</v>
      </c>
      <c r="N386" s="132">
        <f t="shared" si="50"/>
        <v>46</v>
      </c>
    </row>
    <row r="387" spans="2:14" ht="15.75" customHeight="1" x14ac:dyDescent="0.35">
      <c r="B387" s="136">
        <v>46295</v>
      </c>
      <c r="E387" s="162" t="s">
        <v>484</v>
      </c>
      <c r="F387" s="69">
        <f t="shared" si="52"/>
        <v>46325</v>
      </c>
      <c r="G387" s="165">
        <v>512600</v>
      </c>
      <c r="H387" s="134">
        <f t="shared" si="45"/>
        <v>512600</v>
      </c>
      <c r="I387">
        <v>30</v>
      </c>
      <c r="J387" s="132">
        <f t="shared" si="46"/>
        <v>2026</v>
      </c>
      <c r="K387" s="132">
        <f t="shared" si="47"/>
        <v>40</v>
      </c>
      <c r="L387" s="132">
        <f t="shared" si="48"/>
        <v>44</v>
      </c>
      <c r="M387" s="132">
        <f t="shared" si="49"/>
        <v>2026</v>
      </c>
      <c r="N387" s="132">
        <f t="shared" si="50"/>
        <v>46</v>
      </c>
    </row>
    <row r="388" spans="2:14" ht="15.75" customHeight="1" x14ac:dyDescent="0.35">
      <c r="B388" s="136">
        <v>46295</v>
      </c>
      <c r="E388" s="162" t="s">
        <v>477</v>
      </c>
      <c r="F388" s="69">
        <f t="shared" si="52"/>
        <v>46325</v>
      </c>
      <c r="G388" s="165">
        <v>10800</v>
      </c>
      <c r="H388" s="134">
        <f t="shared" si="45"/>
        <v>10800</v>
      </c>
      <c r="I388">
        <v>30</v>
      </c>
      <c r="J388" s="132">
        <f t="shared" si="46"/>
        <v>2026</v>
      </c>
      <c r="K388" s="132">
        <f t="shared" si="47"/>
        <v>40</v>
      </c>
      <c r="L388" s="132">
        <f t="shared" si="48"/>
        <v>44</v>
      </c>
      <c r="M388" s="132">
        <f t="shared" si="49"/>
        <v>2026</v>
      </c>
      <c r="N388" s="132">
        <f t="shared" si="50"/>
        <v>46</v>
      </c>
    </row>
    <row r="389" spans="2:14" ht="15.75" customHeight="1" x14ac:dyDescent="0.35">
      <c r="B389" s="136">
        <v>46326</v>
      </c>
      <c r="E389" s="162" t="s">
        <v>208</v>
      </c>
      <c r="F389" s="69">
        <f t="shared" si="52"/>
        <v>46356</v>
      </c>
      <c r="G389" s="165">
        <v>8400</v>
      </c>
      <c r="H389" s="134">
        <f t="shared" si="45"/>
        <v>8400</v>
      </c>
      <c r="I389">
        <v>30</v>
      </c>
      <c r="J389" s="132">
        <f t="shared" si="46"/>
        <v>2026</v>
      </c>
      <c r="K389" s="132">
        <f t="shared" si="47"/>
        <v>44</v>
      </c>
      <c r="L389" s="132">
        <f t="shared" si="48"/>
        <v>49</v>
      </c>
      <c r="M389" s="132">
        <f t="shared" si="49"/>
        <v>2026</v>
      </c>
      <c r="N389" s="132">
        <f t="shared" si="50"/>
        <v>51</v>
      </c>
    </row>
    <row r="390" spans="2:14" ht="15.75" customHeight="1" x14ac:dyDescent="0.35">
      <c r="B390" s="136">
        <v>46326</v>
      </c>
      <c r="E390" s="162" t="s">
        <v>237</v>
      </c>
      <c r="F390" s="69">
        <f t="shared" si="52"/>
        <v>46356</v>
      </c>
      <c r="G390" s="165">
        <v>178070.39999999999</v>
      </c>
      <c r="H390" s="134">
        <f t="shared" si="45"/>
        <v>178070.39999999999</v>
      </c>
      <c r="I390">
        <v>30</v>
      </c>
      <c r="J390" s="132">
        <f t="shared" si="46"/>
        <v>2026</v>
      </c>
      <c r="K390" s="132">
        <f t="shared" si="47"/>
        <v>44</v>
      </c>
      <c r="L390" s="132">
        <f t="shared" si="48"/>
        <v>49</v>
      </c>
      <c r="M390" s="132">
        <f t="shared" si="49"/>
        <v>2026</v>
      </c>
      <c r="N390" s="132">
        <f t="shared" si="50"/>
        <v>51</v>
      </c>
    </row>
    <row r="391" spans="2:14" ht="15.75" customHeight="1" x14ac:dyDescent="0.35">
      <c r="B391" s="136">
        <v>46326</v>
      </c>
      <c r="E391" s="162" t="s">
        <v>238</v>
      </c>
      <c r="F391" s="69">
        <f t="shared" si="52"/>
        <v>46371</v>
      </c>
      <c r="G391" s="165">
        <v>9600</v>
      </c>
      <c r="H391" s="134">
        <f t="shared" si="45"/>
        <v>9600</v>
      </c>
      <c r="I391">
        <v>45</v>
      </c>
      <c r="J391" s="132">
        <f t="shared" si="46"/>
        <v>2026</v>
      </c>
      <c r="K391" s="132">
        <f t="shared" si="47"/>
        <v>44</v>
      </c>
      <c r="L391" s="132">
        <f t="shared" si="48"/>
        <v>51</v>
      </c>
      <c r="M391" s="132">
        <f t="shared" si="49"/>
        <v>2027</v>
      </c>
      <c r="N391" s="132">
        <f t="shared" si="50"/>
        <v>1</v>
      </c>
    </row>
    <row r="392" spans="2:14" ht="15.75" customHeight="1" x14ac:dyDescent="0.35">
      <c r="B392" s="136">
        <v>46326</v>
      </c>
      <c r="E392" s="162" t="s">
        <v>256</v>
      </c>
      <c r="F392" s="69">
        <f t="shared" si="52"/>
        <v>46356</v>
      </c>
      <c r="G392" s="165">
        <v>34750</v>
      </c>
      <c r="H392" s="134">
        <f t="shared" si="45"/>
        <v>34750</v>
      </c>
      <c r="I392">
        <v>30</v>
      </c>
      <c r="J392" s="132">
        <f t="shared" si="46"/>
        <v>2026</v>
      </c>
      <c r="K392" s="132">
        <f t="shared" si="47"/>
        <v>44</v>
      </c>
      <c r="L392" s="132">
        <f t="shared" si="48"/>
        <v>49</v>
      </c>
      <c r="M392" s="132">
        <f t="shared" si="49"/>
        <v>2026</v>
      </c>
      <c r="N392" s="132">
        <f t="shared" si="50"/>
        <v>51</v>
      </c>
    </row>
    <row r="393" spans="2:14" ht="15.75" customHeight="1" x14ac:dyDescent="0.35">
      <c r="B393" s="136">
        <v>46326</v>
      </c>
      <c r="E393" s="162" t="s">
        <v>257</v>
      </c>
      <c r="F393" s="69">
        <f t="shared" si="52"/>
        <v>46371</v>
      </c>
      <c r="G393" s="165">
        <v>21600</v>
      </c>
      <c r="H393" s="134">
        <f t="shared" si="45"/>
        <v>21600</v>
      </c>
      <c r="I393">
        <v>45</v>
      </c>
      <c r="J393" s="132">
        <f t="shared" si="46"/>
        <v>2026</v>
      </c>
      <c r="K393" s="132">
        <f t="shared" si="47"/>
        <v>44</v>
      </c>
      <c r="L393" s="132">
        <f t="shared" si="48"/>
        <v>51</v>
      </c>
      <c r="M393" s="132">
        <f t="shared" si="49"/>
        <v>2027</v>
      </c>
      <c r="N393" s="132">
        <f t="shared" si="50"/>
        <v>1</v>
      </c>
    </row>
    <row r="394" spans="2:14" ht="15.75" customHeight="1" x14ac:dyDescent="0.35">
      <c r="B394" s="136">
        <v>46326</v>
      </c>
      <c r="E394" s="162" t="s">
        <v>477</v>
      </c>
      <c r="F394" s="69">
        <f t="shared" si="52"/>
        <v>46356</v>
      </c>
      <c r="G394" s="165">
        <v>10800</v>
      </c>
      <c r="H394" s="134">
        <f t="shared" si="45"/>
        <v>10800</v>
      </c>
      <c r="I394">
        <v>30</v>
      </c>
      <c r="J394" s="132">
        <f t="shared" si="46"/>
        <v>2026</v>
      </c>
      <c r="K394" s="132">
        <f t="shared" si="47"/>
        <v>44</v>
      </c>
      <c r="L394" s="132">
        <f t="shared" si="48"/>
        <v>49</v>
      </c>
      <c r="M394" s="132">
        <f t="shared" si="49"/>
        <v>2026</v>
      </c>
      <c r="N394" s="132">
        <f t="shared" si="50"/>
        <v>51</v>
      </c>
    </row>
    <row r="395" spans="2:14" ht="15.75" customHeight="1" x14ac:dyDescent="0.35">
      <c r="F395" s="69" t="str">
        <f t="shared" si="52"/>
        <v/>
      </c>
      <c r="H395" s="134" t="str">
        <f t="shared" ref="H395:H458" si="53">IF(ISBLANK($B395),"",$G395)</f>
        <v/>
      </c>
      <c r="J395" s="132" t="str">
        <f t="shared" ref="J395:J458" si="54">IF(ISBLANK($B395),"",YEAR($B395))</f>
        <v/>
      </c>
      <c r="K395" s="132" t="str">
        <f t="shared" ref="K395:K458" si="55">IF(ISBLANK($B395),"",WEEKNUM($B395))</f>
        <v/>
      </c>
      <c r="L395" s="132" t="str">
        <f t="shared" ref="L395:L458" si="56">IF(ISBLANK($B395),"",WEEKNUM($F395))</f>
        <v/>
      </c>
      <c r="M395" s="132" t="str">
        <f t="shared" ref="M395:M458" si="57">IF(ISBLANK($B395),"",IF($L395&lt;51,YEAR($F395),YEAR($F395)+1))</f>
        <v/>
      </c>
      <c r="N395" s="132" t="str">
        <f t="shared" ref="N395:N458" si="58">IF(ISBLANK($B395),"",IF($L395&lt;51,$L395+$N$2,$L395-52+$N$2))</f>
        <v/>
      </c>
    </row>
    <row r="396" spans="2:14" ht="15.75" customHeight="1" x14ac:dyDescent="0.35">
      <c r="F396" s="69" t="str">
        <f t="shared" si="52"/>
        <v/>
      </c>
      <c r="H396" s="134" t="str">
        <f t="shared" si="53"/>
        <v/>
      </c>
      <c r="J396" s="132" t="str">
        <f t="shared" si="54"/>
        <v/>
      </c>
      <c r="K396" s="132" t="str">
        <f t="shared" si="55"/>
        <v/>
      </c>
      <c r="L396" s="132" t="str">
        <f t="shared" si="56"/>
        <v/>
      </c>
      <c r="M396" s="132" t="str">
        <f t="shared" si="57"/>
        <v/>
      </c>
      <c r="N396" s="132" t="str">
        <f t="shared" si="58"/>
        <v/>
      </c>
    </row>
    <row r="397" spans="2:14" ht="15.75" customHeight="1" x14ac:dyDescent="0.35">
      <c r="F397" s="69" t="str">
        <f t="shared" si="52"/>
        <v/>
      </c>
      <c r="H397" s="134" t="str">
        <f t="shared" si="53"/>
        <v/>
      </c>
      <c r="J397" s="132" t="str">
        <f t="shared" si="54"/>
        <v/>
      </c>
      <c r="K397" s="132" t="str">
        <f t="shared" si="55"/>
        <v/>
      </c>
      <c r="L397" s="132" t="str">
        <f t="shared" si="56"/>
        <v/>
      </c>
      <c r="M397" s="132" t="str">
        <f t="shared" si="57"/>
        <v/>
      </c>
      <c r="N397" s="132" t="str">
        <f t="shared" si="58"/>
        <v/>
      </c>
    </row>
    <row r="398" spans="2:14" ht="15.75" customHeight="1" x14ac:dyDescent="0.35">
      <c r="F398" s="69" t="str">
        <f t="shared" si="52"/>
        <v/>
      </c>
      <c r="H398" s="134" t="str">
        <f t="shared" si="53"/>
        <v/>
      </c>
      <c r="J398" s="132" t="str">
        <f t="shared" si="54"/>
        <v/>
      </c>
      <c r="K398" s="132" t="str">
        <f t="shared" si="55"/>
        <v/>
      </c>
      <c r="L398" s="132" t="str">
        <f t="shared" si="56"/>
        <v/>
      </c>
      <c r="M398" s="132" t="str">
        <f t="shared" si="57"/>
        <v/>
      </c>
      <c r="N398" s="132" t="str">
        <f t="shared" si="58"/>
        <v/>
      </c>
    </row>
    <row r="399" spans="2:14" ht="15.75" customHeight="1" x14ac:dyDescent="0.35">
      <c r="F399" s="69" t="str">
        <f t="shared" si="52"/>
        <v/>
      </c>
      <c r="H399" s="134" t="str">
        <f t="shared" si="53"/>
        <v/>
      </c>
      <c r="J399" s="132" t="str">
        <f t="shared" si="54"/>
        <v/>
      </c>
      <c r="K399" s="132" t="str">
        <f t="shared" si="55"/>
        <v/>
      </c>
      <c r="L399" s="132" t="str">
        <f t="shared" si="56"/>
        <v/>
      </c>
      <c r="M399" s="132" t="str">
        <f t="shared" si="57"/>
        <v/>
      </c>
      <c r="N399" s="132" t="str">
        <f t="shared" si="58"/>
        <v/>
      </c>
    </row>
    <row r="400" spans="2:14" ht="15.75" customHeight="1" x14ac:dyDescent="0.35">
      <c r="F400" s="69" t="str">
        <f t="shared" si="52"/>
        <v/>
      </c>
      <c r="H400" s="134" t="str">
        <f t="shared" si="53"/>
        <v/>
      </c>
      <c r="J400" s="132" t="str">
        <f t="shared" si="54"/>
        <v/>
      </c>
      <c r="K400" s="132" t="str">
        <f t="shared" si="55"/>
        <v/>
      </c>
      <c r="L400" s="132" t="str">
        <f t="shared" si="56"/>
        <v/>
      </c>
      <c r="M400" s="132" t="str">
        <f t="shared" si="57"/>
        <v/>
      </c>
      <c r="N400" s="132" t="str">
        <f t="shared" si="58"/>
        <v/>
      </c>
    </row>
    <row r="401" spans="6:14" ht="15.75" customHeight="1" x14ac:dyDescent="0.35">
      <c r="F401" s="69" t="str">
        <f t="shared" si="52"/>
        <v/>
      </c>
      <c r="H401" s="134" t="str">
        <f t="shared" si="53"/>
        <v/>
      </c>
      <c r="J401" s="132" t="str">
        <f t="shared" si="54"/>
        <v/>
      </c>
      <c r="K401" s="132" t="str">
        <f t="shared" si="55"/>
        <v/>
      </c>
      <c r="L401" s="132" t="str">
        <f t="shared" si="56"/>
        <v/>
      </c>
      <c r="M401" s="132" t="str">
        <f t="shared" si="57"/>
        <v/>
      </c>
      <c r="N401" s="132" t="str">
        <f t="shared" si="58"/>
        <v/>
      </c>
    </row>
    <row r="402" spans="6:14" ht="15.75" customHeight="1" x14ac:dyDescent="0.35">
      <c r="F402" s="69" t="str">
        <f t="shared" si="52"/>
        <v/>
      </c>
      <c r="H402" s="134" t="str">
        <f t="shared" si="53"/>
        <v/>
      </c>
      <c r="J402" s="132" t="str">
        <f t="shared" si="54"/>
        <v/>
      </c>
      <c r="K402" s="132" t="str">
        <f t="shared" si="55"/>
        <v/>
      </c>
      <c r="L402" s="132" t="str">
        <f t="shared" si="56"/>
        <v/>
      </c>
      <c r="M402" s="132" t="str">
        <f t="shared" si="57"/>
        <v/>
      </c>
      <c r="N402" s="132" t="str">
        <f t="shared" si="58"/>
        <v/>
      </c>
    </row>
    <row r="403" spans="6:14" ht="15.75" customHeight="1" x14ac:dyDescent="0.35">
      <c r="F403" s="69" t="str">
        <f t="shared" si="52"/>
        <v/>
      </c>
      <c r="H403" s="134" t="str">
        <f t="shared" si="53"/>
        <v/>
      </c>
      <c r="J403" s="132" t="str">
        <f t="shared" si="54"/>
        <v/>
      </c>
      <c r="K403" s="132" t="str">
        <f t="shared" si="55"/>
        <v/>
      </c>
      <c r="L403" s="132" t="str">
        <f t="shared" si="56"/>
        <v/>
      </c>
      <c r="M403" s="132" t="str">
        <f t="shared" si="57"/>
        <v/>
      </c>
      <c r="N403" s="132" t="str">
        <f t="shared" si="58"/>
        <v/>
      </c>
    </row>
    <row r="404" spans="6:14" ht="15.75" customHeight="1" x14ac:dyDescent="0.35">
      <c r="F404" s="69" t="str">
        <f t="shared" si="52"/>
        <v/>
      </c>
      <c r="H404" s="134" t="str">
        <f t="shared" si="53"/>
        <v/>
      </c>
      <c r="J404" s="132" t="str">
        <f t="shared" si="54"/>
        <v/>
      </c>
      <c r="K404" s="132" t="str">
        <f t="shared" si="55"/>
        <v/>
      </c>
      <c r="L404" s="132" t="str">
        <f t="shared" si="56"/>
        <v/>
      </c>
      <c r="M404" s="132" t="str">
        <f t="shared" si="57"/>
        <v/>
      </c>
      <c r="N404" s="132" t="str">
        <f t="shared" si="58"/>
        <v/>
      </c>
    </row>
    <row r="405" spans="6:14" ht="15.75" customHeight="1" x14ac:dyDescent="0.35">
      <c r="F405" s="69" t="str">
        <f t="shared" si="52"/>
        <v/>
      </c>
      <c r="H405" s="134" t="str">
        <f t="shared" si="53"/>
        <v/>
      </c>
      <c r="J405" s="132" t="str">
        <f t="shared" si="54"/>
        <v/>
      </c>
      <c r="K405" s="132" t="str">
        <f t="shared" si="55"/>
        <v/>
      </c>
      <c r="L405" s="132" t="str">
        <f t="shared" si="56"/>
        <v/>
      </c>
      <c r="M405" s="132" t="str">
        <f t="shared" si="57"/>
        <v/>
      </c>
      <c r="N405" s="132" t="str">
        <f t="shared" si="58"/>
        <v/>
      </c>
    </row>
    <row r="406" spans="6:14" ht="15.75" customHeight="1" x14ac:dyDescent="0.35">
      <c r="F406" s="69" t="str">
        <f t="shared" si="52"/>
        <v/>
      </c>
      <c r="H406" s="134" t="str">
        <f t="shared" si="53"/>
        <v/>
      </c>
      <c r="J406" s="132" t="str">
        <f t="shared" si="54"/>
        <v/>
      </c>
      <c r="K406" s="132" t="str">
        <f t="shared" si="55"/>
        <v/>
      </c>
      <c r="L406" s="132" t="str">
        <f t="shared" si="56"/>
        <v/>
      </c>
      <c r="M406" s="132" t="str">
        <f t="shared" si="57"/>
        <v/>
      </c>
      <c r="N406" s="132" t="str">
        <f t="shared" si="58"/>
        <v/>
      </c>
    </row>
    <row r="407" spans="6:14" ht="15.75" customHeight="1" x14ac:dyDescent="0.35">
      <c r="F407" s="69" t="str">
        <f t="shared" si="52"/>
        <v/>
      </c>
      <c r="H407" s="134" t="str">
        <f t="shared" si="53"/>
        <v/>
      </c>
      <c r="J407" s="132" t="str">
        <f t="shared" si="54"/>
        <v/>
      </c>
      <c r="K407" s="132" t="str">
        <f t="shared" si="55"/>
        <v/>
      </c>
      <c r="L407" s="132" t="str">
        <f t="shared" si="56"/>
        <v/>
      </c>
      <c r="M407" s="132" t="str">
        <f t="shared" si="57"/>
        <v/>
      </c>
      <c r="N407" s="132" t="str">
        <f t="shared" si="58"/>
        <v/>
      </c>
    </row>
    <row r="408" spans="6:14" ht="15.75" customHeight="1" x14ac:dyDescent="0.35">
      <c r="F408" s="69" t="str">
        <f t="shared" si="52"/>
        <v/>
      </c>
      <c r="H408" s="134" t="str">
        <f t="shared" si="53"/>
        <v/>
      </c>
      <c r="J408" s="132" t="str">
        <f t="shared" si="54"/>
        <v/>
      </c>
      <c r="K408" s="132" t="str">
        <f t="shared" si="55"/>
        <v/>
      </c>
      <c r="L408" s="132" t="str">
        <f t="shared" si="56"/>
        <v/>
      </c>
      <c r="M408" s="132" t="str">
        <f t="shared" si="57"/>
        <v/>
      </c>
      <c r="N408" s="132" t="str">
        <f t="shared" si="58"/>
        <v/>
      </c>
    </row>
    <row r="409" spans="6:14" ht="15.75" customHeight="1" x14ac:dyDescent="0.35">
      <c r="F409" s="69" t="str">
        <f t="shared" si="52"/>
        <v/>
      </c>
      <c r="H409" s="134" t="str">
        <f t="shared" si="53"/>
        <v/>
      </c>
      <c r="J409" s="132" t="str">
        <f t="shared" si="54"/>
        <v/>
      </c>
      <c r="K409" s="132" t="str">
        <f t="shared" si="55"/>
        <v/>
      </c>
      <c r="L409" s="132" t="str">
        <f t="shared" si="56"/>
        <v/>
      </c>
      <c r="M409" s="132" t="str">
        <f t="shared" si="57"/>
        <v/>
      </c>
      <c r="N409" s="132" t="str">
        <f t="shared" si="58"/>
        <v/>
      </c>
    </row>
    <row r="410" spans="6:14" ht="15.75" customHeight="1" x14ac:dyDescent="0.35">
      <c r="F410" s="69" t="str">
        <f t="shared" si="52"/>
        <v/>
      </c>
      <c r="H410" s="134" t="str">
        <f t="shared" si="53"/>
        <v/>
      </c>
      <c r="J410" s="132" t="str">
        <f t="shared" si="54"/>
        <v/>
      </c>
      <c r="K410" s="132" t="str">
        <f t="shared" si="55"/>
        <v/>
      </c>
      <c r="L410" s="132" t="str">
        <f t="shared" si="56"/>
        <v/>
      </c>
      <c r="M410" s="132" t="str">
        <f t="shared" si="57"/>
        <v/>
      </c>
      <c r="N410" s="132" t="str">
        <f t="shared" si="58"/>
        <v/>
      </c>
    </row>
    <row r="411" spans="6:14" ht="15.75" customHeight="1" x14ac:dyDescent="0.35">
      <c r="F411" s="69" t="str">
        <f t="shared" si="52"/>
        <v/>
      </c>
      <c r="H411" s="134" t="str">
        <f t="shared" si="53"/>
        <v/>
      </c>
      <c r="J411" s="132" t="str">
        <f t="shared" si="54"/>
        <v/>
      </c>
      <c r="K411" s="132" t="str">
        <f t="shared" si="55"/>
        <v/>
      </c>
      <c r="L411" s="132" t="str">
        <f t="shared" si="56"/>
        <v/>
      </c>
      <c r="M411" s="132" t="str">
        <f t="shared" si="57"/>
        <v/>
      </c>
      <c r="N411" s="132" t="str">
        <f t="shared" si="58"/>
        <v/>
      </c>
    </row>
    <row r="412" spans="6:14" ht="15.75" customHeight="1" x14ac:dyDescent="0.35">
      <c r="F412" s="69" t="str">
        <f t="shared" si="52"/>
        <v/>
      </c>
      <c r="H412" s="134" t="str">
        <f t="shared" si="53"/>
        <v/>
      </c>
      <c r="J412" s="132" t="str">
        <f t="shared" si="54"/>
        <v/>
      </c>
      <c r="K412" s="132" t="str">
        <f t="shared" si="55"/>
        <v/>
      </c>
      <c r="L412" s="132" t="str">
        <f t="shared" si="56"/>
        <v/>
      </c>
      <c r="M412" s="132" t="str">
        <f t="shared" si="57"/>
        <v/>
      </c>
      <c r="N412" s="132" t="str">
        <f t="shared" si="58"/>
        <v/>
      </c>
    </row>
    <row r="413" spans="6:14" ht="15.75" customHeight="1" x14ac:dyDescent="0.35">
      <c r="F413" s="69" t="str">
        <f t="shared" si="52"/>
        <v/>
      </c>
      <c r="H413" s="134" t="str">
        <f t="shared" si="53"/>
        <v/>
      </c>
      <c r="J413" s="132" t="str">
        <f t="shared" si="54"/>
        <v/>
      </c>
      <c r="K413" s="132" t="str">
        <f t="shared" si="55"/>
        <v/>
      </c>
      <c r="L413" s="132" t="str">
        <f t="shared" si="56"/>
        <v/>
      </c>
      <c r="M413" s="132" t="str">
        <f t="shared" si="57"/>
        <v/>
      </c>
      <c r="N413" s="132" t="str">
        <f t="shared" si="58"/>
        <v/>
      </c>
    </row>
    <row r="414" spans="6:14" ht="15.75" customHeight="1" x14ac:dyDescent="0.35">
      <c r="F414" s="69" t="str">
        <f t="shared" si="52"/>
        <v/>
      </c>
      <c r="H414" s="134" t="str">
        <f t="shared" si="53"/>
        <v/>
      </c>
      <c r="J414" s="132" t="str">
        <f t="shared" si="54"/>
        <v/>
      </c>
      <c r="K414" s="132" t="str">
        <f t="shared" si="55"/>
        <v/>
      </c>
      <c r="L414" s="132" t="str">
        <f t="shared" si="56"/>
        <v/>
      </c>
      <c r="M414" s="132" t="str">
        <f t="shared" si="57"/>
        <v/>
      </c>
      <c r="N414" s="132" t="str">
        <f t="shared" si="58"/>
        <v/>
      </c>
    </row>
    <row r="415" spans="6:14" ht="15.75" customHeight="1" x14ac:dyDescent="0.35">
      <c r="F415" s="69" t="str">
        <f t="shared" si="52"/>
        <v/>
      </c>
      <c r="H415" s="134" t="str">
        <f t="shared" si="53"/>
        <v/>
      </c>
      <c r="J415" s="132" t="str">
        <f t="shared" si="54"/>
        <v/>
      </c>
      <c r="K415" s="132" t="str">
        <f t="shared" si="55"/>
        <v/>
      </c>
      <c r="L415" s="132" t="str">
        <f t="shared" si="56"/>
        <v/>
      </c>
      <c r="M415" s="132" t="str">
        <f t="shared" si="57"/>
        <v/>
      </c>
      <c r="N415" s="132" t="str">
        <f t="shared" si="58"/>
        <v/>
      </c>
    </row>
    <row r="416" spans="6:14" ht="15.75" customHeight="1" x14ac:dyDescent="0.35">
      <c r="F416" s="69" t="str">
        <f t="shared" si="52"/>
        <v/>
      </c>
      <c r="H416" s="134" t="str">
        <f t="shared" si="53"/>
        <v/>
      </c>
      <c r="J416" s="132" t="str">
        <f t="shared" si="54"/>
        <v/>
      </c>
      <c r="K416" s="132" t="str">
        <f t="shared" si="55"/>
        <v/>
      </c>
      <c r="L416" s="132" t="str">
        <f t="shared" si="56"/>
        <v/>
      </c>
      <c r="M416" s="132" t="str">
        <f t="shared" si="57"/>
        <v/>
      </c>
      <c r="N416" s="132" t="str">
        <f t="shared" si="58"/>
        <v/>
      </c>
    </row>
    <row r="417" spans="6:14" ht="15.75" customHeight="1" x14ac:dyDescent="0.35">
      <c r="F417" s="69" t="str">
        <f t="shared" si="52"/>
        <v/>
      </c>
      <c r="H417" s="134" t="str">
        <f t="shared" si="53"/>
        <v/>
      </c>
      <c r="J417" s="132" t="str">
        <f t="shared" si="54"/>
        <v/>
      </c>
      <c r="K417" s="132" t="str">
        <f t="shared" si="55"/>
        <v/>
      </c>
      <c r="L417" s="132" t="str">
        <f t="shared" si="56"/>
        <v/>
      </c>
      <c r="M417" s="132" t="str">
        <f t="shared" si="57"/>
        <v/>
      </c>
      <c r="N417" s="132" t="str">
        <f t="shared" si="58"/>
        <v/>
      </c>
    </row>
    <row r="418" spans="6:14" ht="15.75" customHeight="1" x14ac:dyDescent="0.35">
      <c r="F418" s="69" t="str">
        <f t="shared" si="52"/>
        <v/>
      </c>
      <c r="H418" s="134" t="str">
        <f t="shared" si="53"/>
        <v/>
      </c>
      <c r="J418" s="132" t="str">
        <f t="shared" si="54"/>
        <v/>
      </c>
      <c r="K418" s="132" t="str">
        <f t="shared" si="55"/>
        <v/>
      </c>
      <c r="L418" s="132" t="str">
        <f t="shared" si="56"/>
        <v/>
      </c>
      <c r="M418" s="132" t="str">
        <f t="shared" si="57"/>
        <v/>
      </c>
      <c r="N418" s="132" t="str">
        <f t="shared" si="58"/>
        <v/>
      </c>
    </row>
    <row r="419" spans="6:14" ht="15.75" customHeight="1" x14ac:dyDescent="0.35">
      <c r="F419" s="69" t="str">
        <f t="shared" si="52"/>
        <v/>
      </c>
      <c r="H419" s="134" t="str">
        <f t="shared" si="53"/>
        <v/>
      </c>
      <c r="J419" s="132" t="str">
        <f t="shared" si="54"/>
        <v/>
      </c>
      <c r="K419" s="132" t="str">
        <f t="shared" si="55"/>
        <v/>
      </c>
      <c r="L419" s="132" t="str">
        <f t="shared" si="56"/>
        <v/>
      </c>
      <c r="M419" s="132" t="str">
        <f t="shared" si="57"/>
        <v/>
      </c>
      <c r="N419" s="132" t="str">
        <f t="shared" si="58"/>
        <v/>
      </c>
    </row>
    <row r="420" spans="6:14" ht="15.75" customHeight="1" x14ac:dyDescent="0.35">
      <c r="F420" s="69" t="str">
        <f t="shared" si="52"/>
        <v/>
      </c>
      <c r="H420" s="134" t="str">
        <f t="shared" si="53"/>
        <v/>
      </c>
      <c r="J420" s="132" t="str">
        <f t="shared" si="54"/>
        <v/>
      </c>
      <c r="K420" s="132" t="str">
        <f t="shared" si="55"/>
        <v/>
      </c>
      <c r="L420" s="132" t="str">
        <f t="shared" si="56"/>
        <v/>
      </c>
      <c r="M420" s="132" t="str">
        <f t="shared" si="57"/>
        <v/>
      </c>
      <c r="N420" s="132" t="str">
        <f t="shared" si="58"/>
        <v/>
      </c>
    </row>
    <row r="421" spans="6:14" ht="15.75" customHeight="1" x14ac:dyDescent="0.35">
      <c r="F421" s="69" t="str">
        <f t="shared" si="52"/>
        <v/>
      </c>
      <c r="H421" s="134" t="str">
        <f t="shared" si="53"/>
        <v/>
      </c>
      <c r="J421" s="132" t="str">
        <f t="shared" si="54"/>
        <v/>
      </c>
      <c r="K421" s="132" t="str">
        <f t="shared" si="55"/>
        <v/>
      </c>
      <c r="L421" s="132" t="str">
        <f t="shared" si="56"/>
        <v/>
      </c>
      <c r="M421" s="132" t="str">
        <f t="shared" si="57"/>
        <v/>
      </c>
      <c r="N421" s="132" t="str">
        <f t="shared" si="58"/>
        <v/>
      </c>
    </row>
    <row r="422" spans="6:14" ht="15.75" customHeight="1" x14ac:dyDescent="0.35">
      <c r="F422" s="69" t="str">
        <f t="shared" si="52"/>
        <v/>
      </c>
      <c r="H422" s="134" t="str">
        <f t="shared" si="53"/>
        <v/>
      </c>
      <c r="J422" s="132" t="str">
        <f t="shared" si="54"/>
        <v/>
      </c>
      <c r="K422" s="132" t="str">
        <f t="shared" si="55"/>
        <v/>
      </c>
      <c r="L422" s="132" t="str">
        <f t="shared" si="56"/>
        <v/>
      </c>
      <c r="M422" s="132" t="str">
        <f t="shared" si="57"/>
        <v/>
      </c>
      <c r="N422" s="132" t="str">
        <f t="shared" si="58"/>
        <v/>
      </c>
    </row>
    <row r="423" spans="6:14" ht="15.75" customHeight="1" x14ac:dyDescent="0.35">
      <c r="F423" s="69" t="str">
        <f t="shared" si="52"/>
        <v/>
      </c>
      <c r="H423" s="134" t="str">
        <f t="shared" si="53"/>
        <v/>
      </c>
      <c r="J423" s="132" t="str">
        <f t="shared" si="54"/>
        <v/>
      </c>
      <c r="K423" s="132" t="str">
        <f t="shared" si="55"/>
        <v/>
      </c>
      <c r="L423" s="132" t="str">
        <f t="shared" si="56"/>
        <v/>
      </c>
      <c r="M423" s="132" t="str">
        <f t="shared" si="57"/>
        <v/>
      </c>
      <c r="N423" s="132" t="str">
        <f t="shared" si="58"/>
        <v/>
      </c>
    </row>
    <row r="424" spans="6:14" ht="15.75" customHeight="1" x14ac:dyDescent="0.35">
      <c r="F424" s="69" t="str">
        <f t="shared" si="52"/>
        <v/>
      </c>
      <c r="H424" s="134" t="str">
        <f t="shared" si="53"/>
        <v/>
      </c>
      <c r="J424" s="132" t="str">
        <f t="shared" si="54"/>
        <v/>
      </c>
      <c r="K424" s="132" t="str">
        <f t="shared" si="55"/>
        <v/>
      </c>
      <c r="L424" s="132" t="str">
        <f t="shared" si="56"/>
        <v/>
      </c>
      <c r="M424" s="132" t="str">
        <f t="shared" si="57"/>
        <v/>
      </c>
      <c r="N424" s="132" t="str">
        <f t="shared" si="58"/>
        <v/>
      </c>
    </row>
    <row r="425" spans="6:14" ht="15.75" customHeight="1" x14ac:dyDescent="0.35">
      <c r="F425" s="69" t="str">
        <f t="shared" si="52"/>
        <v/>
      </c>
      <c r="H425" s="134" t="str">
        <f t="shared" si="53"/>
        <v/>
      </c>
      <c r="J425" s="132" t="str">
        <f t="shared" si="54"/>
        <v/>
      </c>
      <c r="K425" s="132" t="str">
        <f t="shared" si="55"/>
        <v/>
      </c>
      <c r="L425" s="132" t="str">
        <f t="shared" si="56"/>
        <v/>
      </c>
      <c r="M425" s="132" t="str">
        <f t="shared" si="57"/>
        <v/>
      </c>
      <c r="N425" s="132" t="str">
        <f t="shared" si="58"/>
        <v/>
      </c>
    </row>
    <row r="426" spans="6:14" ht="15.75" customHeight="1" x14ac:dyDescent="0.35">
      <c r="F426" s="69" t="str">
        <f t="shared" si="52"/>
        <v/>
      </c>
      <c r="H426" s="134" t="str">
        <f t="shared" si="53"/>
        <v/>
      </c>
      <c r="J426" s="132" t="str">
        <f t="shared" si="54"/>
        <v/>
      </c>
      <c r="K426" s="132" t="str">
        <f t="shared" si="55"/>
        <v/>
      </c>
      <c r="L426" s="132" t="str">
        <f t="shared" si="56"/>
        <v/>
      </c>
      <c r="M426" s="132" t="str">
        <f t="shared" si="57"/>
        <v/>
      </c>
      <c r="N426" s="132" t="str">
        <f t="shared" si="58"/>
        <v/>
      </c>
    </row>
    <row r="427" spans="6:14" ht="15.75" customHeight="1" x14ac:dyDescent="0.35">
      <c r="F427" s="69" t="str">
        <f t="shared" si="52"/>
        <v/>
      </c>
      <c r="H427" s="134" t="str">
        <f t="shared" si="53"/>
        <v/>
      </c>
      <c r="J427" s="132" t="str">
        <f t="shared" si="54"/>
        <v/>
      </c>
      <c r="K427" s="132" t="str">
        <f t="shared" si="55"/>
        <v/>
      </c>
      <c r="L427" s="132" t="str">
        <f t="shared" si="56"/>
        <v/>
      </c>
      <c r="M427" s="132" t="str">
        <f t="shared" si="57"/>
        <v/>
      </c>
      <c r="N427" s="132" t="str">
        <f t="shared" si="58"/>
        <v/>
      </c>
    </row>
    <row r="428" spans="6:14" ht="15.75" customHeight="1" x14ac:dyDescent="0.35">
      <c r="F428" s="69" t="str">
        <f t="shared" si="52"/>
        <v/>
      </c>
      <c r="H428" s="134" t="str">
        <f t="shared" si="53"/>
        <v/>
      </c>
      <c r="J428" s="132" t="str">
        <f t="shared" si="54"/>
        <v/>
      </c>
      <c r="K428" s="132" t="str">
        <f t="shared" si="55"/>
        <v/>
      </c>
      <c r="L428" s="132" t="str">
        <f t="shared" si="56"/>
        <v/>
      </c>
      <c r="M428" s="132" t="str">
        <f t="shared" si="57"/>
        <v/>
      </c>
      <c r="N428" s="132" t="str">
        <f t="shared" si="58"/>
        <v/>
      </c>
    </row>
    <row r="429" spans="6:14" ht="15.75" customHeight="1" x14ac:dyDescent="0.35">
      <c r="F429" s="69" t="str">
        <f t="shared" si="52"/>
        <v/>
      </c>
      <c r="H429" s="134" t="str">
        <f t="shared" si="53"/>
        <v/>
      </c>
      <c r="J429" s="132" t="str">
        <f t="shared" si="54"/>
        <v/>
      </c>
      <c r="K429" s="132" t="str">
        <f t="shared" si="55"/>
        <v/>
      </c>
      <c r="L429" s="132" t="str">
        <f t="shared" si="56"/>
        <v/>
      </c>
      <c r="M429" s="132" t="str">
        <f t="shared" si="57"/>
        <v/>
      </c>
      <c r="N429" s="132" t="str">
        <f t="shared" si="58"/>
        <v/>
      </c>
    </row>
    <row r="430" spans="6:14" ht="15.75" customHeight="1" x14ac:dyDescent="0.35">
      <c r="F430" s="69" t="str">
        <f t="shared" si="52"/>
        <v/>
      </c>
      <c r="H430" s="134" t="str">
        <f t="shared" si="53"/>
        <v/>
      </c>
      <c r="J430" s="132" t="str">
        <f t="shared" si="54"/>
        <v/>
      </c>
      <c r="K430" s="132" t="str">
        <f t="shared" si="55"/>
        <v/>
      </c>
      <c r="L430" s="132" t="str">
        <f t="shared" si="56"/>
        <v/>
      </c>
      <c r="M430" s="132" t="str">
        <f t="shared" si="57"/>
        <v/>
      </c>
      <c r="N430" s="132" t="str">
        <f t="shared" si="58"/>
        <v/>
      </c>
    </row>
    <row r="431" spans="6:14" ht="15.75" customHeight="1" x14ac:dyDescent="0.35">
      <c r="F431" s="69" t="str">
        <f t="shared" si="52"/>
        <v/>
      </c>
      <c r="H431" s="134" t="str">
        <f t="shared" si="53"/>
        <v/>
      </c>
      <c r="J431" s="132" t="str">
        <f t="shared" si="54"/>
        <v/>
      </c>
      <c r="K431" s="132" t="str">
        <f t="shared" si="55"/>
        <v/>
      </c>
      <c r="L431" s="132" t="str">
        <f t="shared" si="56"/>
        <v/>
      </c>
      <c r="M431" s="132" t="str">
        <f t="shared" si="57"/>
        <v/>
      </c>
      <c r="N431" s="132" t="str">
        <f t="shared" si="58"/>
        <v/>
      </c>
    </row>
    <row r="432" spans="6:14" ht="15.75" customHeight="1" x14ac:dyDescent="0.35">
      <c r="F432" s="69" t="str">
        <f t="shared" si="52"/>
        <v/>
      </c>
      <c r="H432" s="134" t="str">
        <f t="shared" si="53"/>
        <v/>
      </c>
      <c r="J432" s="132" t="str">
        <f t="shared" si="54"/>
        <v/>
      </c>
      <c r="K432" s="132" t="str">
        <f t="shared" si="55"/>
        <v/>
      </c>
      <c r="L432" s="132" t="str">
        <f t="shared" si="56"/>
        <v/>
      </c>
      <c r="M432" s="132" t="str">
        <f t="shared" si="57"/>
        <v/>
      </c>
      <c r="N432" s="132" t="str">
        <f t="shared" si="58"/>
        <v/>
      </c>
    </row>
    <row r="433" spans="6:14" ht="15.75" customHeight="1" x14ac:dyDescent="0.35">
      <c r="F433" s="69" t="str">
        <f t="shared" si="52"/>
        <v/>
      </c>
      <c r="H433" s="134" t="str">
        <f t="shared" si="53"/>
        <v/>
      </c>
      <c r="J433" s="132" t="str">
        <f t="shared" si="54"/>
        <v/>
      </c>
      <c r="K433" s="132" t="str">
        <f t="shared" si="55"/>
        <v/>
      </c>
      <c r="L433" s="132" t="str">
        <f t="shared" si="56"/>
        <v/>
      </c>
      <c r="M433" s="132" t="str">
        <f t="shared" si="57"/>
        <v/>
      </c>
      <c r="N433" s="132" t="str">
        <f t="shared" si="58"/>
        <v/>
      </c>
    </row>
    <row r="434" spans="6:14" ht="15.75" customHeight="1" x14ac:dyDescent="0.35">
      <c r="F434" s="69" t="str">
        <f t="shared" si="52"/>
        <v/>
      </c>
      <c r="H434" s="134" t="str">
        <f t="shared" si="53"/>
        <v/>
      </c>
      <c r="J434" s="132" t="str">
        <f t="shared" si="54"/>
        <v/>
      </c>
      <c r="K434" s="132" t="str">
        <f t="shared" si="55"/>
        <v/>
      </c>
      <c r="L434" s="132" t="str">
        <f t="shared" si="56"/>
        <v/>
      </c>
      <c r="M434" s="132" t="str">
        <f t="shared" si="57"/>
        <v/>
      </c>
      <c r="N434" s="132" t="str">
        <f t="shared" si="58"/>
        <v/>
      </c>
    </row>
    <row r="435" spans="6:14" ht="15.75" customHeight="1" x14ac:dyDescent="0.35">
      <c r="F435" s="69" t="str">
        <f t="shared" si="52"/>
        <v/>
      </c>
      <c r="H435" s="134" t="str">
        <f t="shared" si="53"/>
        <v/>
      </c>
      <c r="J435" s="132" t="str">
        <f t="shared" si="54"/>
        <v/>
      </c>
      <c r="K435" s="132" t="str">
        <f t="shared" si="55"/>
        <v/>
      </c>
      <c r="L435" s="132" t="str">
        <f t="shared" si="56"/>
        <v/>
      </c>
      <c r="M435" s="132" t="str">
        <f t="shared" si="57"/>
        <v/>
      </c>
      <c r="N435" s="132" t="str">
        <f t="shared" si="58"/>
        <v/>
      </c>
    </row>
    <row r="436" spans="6:14" ht="15.75" customHeight="1" x14ac:dyDescent="0.35">
      <c r="F436" s="69" t="str">
        <f t="shared" si="52"/>
        <v/>
      </c>
      <c r="H436" s="134" t="str">
        <f t="shared" si="53"/>
        <v/>
      </c>
      <c r="J436" s="132" t="str">
        <f t="shared" si="54"/>
        <v/>
      </c>
      <c r="K436" s="132" t="str">
        <f t="shared" si="55"/>
        <v/>
      </c>
      <c r="L436" s="132" t="str">
        <f t="shared" si="56"/>
        <v/>
      </c>
      <c r="M436" s="132" t="str">
        <f t="shared" si="57"/>
        <v/>
      </c>
      <c r="N436" s="132" t="str">
        <f t="shared" si="58"/>
        <v/>
      </c>
    </row>
    <row r="437" spans="6:14" ht="15.75" customHeight="1" x14ac:dyDescent="0.35">
      <c r="F437" s="69" t="str">
        <f t="shared" si="52"/>
        <v/>
      </c>
      <c r="H437" s="134" t="str">
        <f t="shared" si="53"/>
        <v/>
      </c>
      <c r="J437" s="132" t="str">
        <f t="shared" si="54"/>
        <v/>
      </c>
      <c r="K437" s="132" t="str">
        <f t="shared" si="55"/>
        <v/>
      </c>
      <c r="L437" s="132" t="str">
        <f t="shared" si="56"/>
        <v/>
      </c>
      <c r="M437" s="132" t="str">
        <f t="shared" si="57"/>
        <v/>
      </c>
      <c r="N437" s="132" t="str">
        <f t="shared" si="58"/>
        <v/>
      </c>
    </row>
    <row r="438" spans="6:14" ht="15.75" customHeight="1" x14ac:dyDescent="0.35">
      <c r="F438" s="69" t="str">
        <f t="shared" ref="F438:F501" si="59">IF(ISBLANK($B438),"",B438+I438)</f>
        <v/>
      </c>
      <c r="H438" s="134" t="str">
        <f t="shared" si="53"/>
        <v/>
      </c>
      <c r="J438" s="132" t="str">
        <f t="shared" si="54"/>
        <v/>
      </c>
      <c r="K438" s="132" t="str">
        <f t="shared" si="55"/>
        <v/>
      </c>
      <c r="L438" s="132" t="str">
        <f t="shared" si="56"/>
        <v/>
      </c>
      <c r="M438" s="132" t="str">
        <f t="shared" si="57"/>
        <v/>
      </c>
      <c r="N438" s="132" t="str">
        <f t="shared" si="58"/>
        <v/>
      </c>
    </row>
    <row r="439" spans="6:14" ht="15.75" customHeight="1" x14ac:dyDescent="0.35">
      <c r="F439" s="69" t="str">
        <f t="shared" si="59"/>
        <v/>
      </c>
      <c r="H439" s="134" t="str">
        <f t="shared" si="53"/>
        <v/>
      </c>
      <c r="J439" s="132" t="str">
        <f t="shared" si="54"/>
        <v/>
      </c>
      <c r="K439" s="132" t="str">
        <f t="shared" si="55"/>
        <v/>
      </c>
      <c r="L439" s="132" t="str">
        <f t="shared" si="56"/>
        <v/>
      </c>
      <c r="M439" s="132" t="str">
        <f t="shared" si="57"/>
        <v/>
      </c>
      <c r="N439" s="132" t="str">
        <f t="shared" si="58"/>
        <v/>
      </c>
    </row>
    <row r="440" spans="6:14" ht="15.75" customHeight="1" x14ac:dyDescent="0.35">
      <c r="F440" s="69" t="str">
        <f t="shared" si="59"/>
        <v/>
      </c>
      <c r="H440" s="134" t="str">
        <f t="shared" si="53"/>
        <v/>
      </c>
      <c r="J440" s="132" t="str">
        <f t="shared" si="54"/>
        <v/>
      </c>
      <c r="K440" s="132" t="str">
        <f t="shared" si="55"/>
        <v/>
      </c>
      <c r="L440" s="132" t="str">
        <f t="shared" si="56"/>
        <v/>
      </c>
      <c r="M440" s="132" t="str">
        <f t="shared" si="57"/>
        <v/>
      </c>
      <c r="N440" s="132" t="str">
        <f t="shared" si="58"/>
        <v/>
      </c>
    </row>
    <row r="441" spans="6:14" ht="15.75" customHeight="1" x14ac:dyDescent="0.35">
      <c r="F441" s="69" t="str">
        <f t="shared" si="59"/>
        <v/>
      </c>
      <c r="H441" s="134" t="str">
        <f t="shared" si="53"/>
        <v/>
      </c>
      <c r="J441" s="132" t="str">
        <f t="shared" si="54"/>
        <v/>
      </c>
      <c r="K441" s="132" t="str">
        <f t="shared" si="55"/>
        <v/>
      </c>
      <c r="L441" s="132" t="str">
        <f t="shared" si="56"/>
        <v/>
      </c>
      <c r="M441" s="132" t="str">
        <f t="shared" si="57"/>
        <v/>
      </c>
      <c r="N441" s="132" t="str">
        <f t="shared" si="58"/>
        <v/>
      </c>
    </row>
    <row r="442" spans="6:14" ht="15.75" customHeight="1" x14ac:dyDescent="0.35">
      <c r="F442" s="69" t="str">
        <f t="shared" si="59"/>
        <v/>
      </c>
      <c r="H442" s="134" t="str">
        <f t="shared" si="53"/>
        <v/>
      </c>
      <c r="J442" s="132" t="str">
        <f t="shared" si="54"/>
        <v/>
      </c>
      <c r="K442" s="132" t="str">
        <f t="shared" si="55"/>
        <v/>
      </c>
      <c r="L442" s="132" t="str">
        <f t="shared" si="56"/>
        <v/>
      </c>
      <c r="M442" s="132" t="str">
        <f t="shared" si="57"/>
        <v/>
      </c>
      <c r="N442" s="132" t="str">
        <f t="shared" si="58"/>
        <v/>
      </c>
    </row>
    <row r="443" spans="6:14" ht="15.75" customHeight="1" x14ac:dyDescent="0.35">
      <c r="F443" s="69" t="str">
        <f t="shared" si="59"/>
        <v/>
      </c>
      <c r="H443" s="134" t="str">
        <f t="shared" si="53"/>
        <v/>
      </c>
      <c r="J443" s="132" t="str">
        <f t="shared" si="54"/>
        <v/>
      </c>
      <c r="K443" s="132" t="str">
        <f t="shared" si="55"/>
        <v/>
      </c>
      <c r="L443" s="132" t="str">
        <f t="shared" si="56"/>
        <v/>
      </c>
      <c r="M443" s="132" t="str">
        <f t="shared" si="57"/>
        <v/>
      </c>
      <c r="N443" s="132" t="str">
        <f t="shared" si="58"/>
        <v/>
      </c>
    </row>
    <row r="444" spans="6:14" ht="15.75" customHeight="1" x14ac:dyDescent="0.35">
      <c r="F444" s="69" t="str">
        <f t="shared" si="59"/>
        <v/>
      </c>
      <c r="H444" s="134" t="str">
        <f t="shared" si="53"/>
        <v/>
      </c>
      <c r="J444" s="132" t="str">
        <f t="shared" si="54"/>
        <v/>
      </c>
      <c r="K444" s="132" t="str">
        <f t="shared" si="55"/>
        <v/>
      </c>
      <c r="L444" s="132" t="str">
        <f t="shared" si="56"/>
        <v/>
      </c>
      <c r="M444" s="132" t="str">
        <f t="shared" si="57"/>
        <v/>
      </c>
      <c r="N444" s="132" t="str">
        <f t="shared" si="58"/>
        <v/>
      </c>
    </row>
    <row r="445" spans="6:14" ht="15.75" customHeight="1" x14ac:dyDescent="0.35">
      <c r="F445" s="69" t="str">
        <f t="shared" si="59"/>
        <v/>
      </c>
      <c r="H445" s="134" t="str">
        <f t="shared" si="53"/>
        <v/>
      </c>
      <c r="J445" s="132" t="str">
        <f t="shared" si="54"/>
        <v/>
      </c>
      <c r="K445" s="132" t="str">
        <f t="shared" si="55"/>
        <v/>
      </c>
      <c r="L445" s="132" t="str">
        <f t="shared" si="56"/>
        <v/>
      </c>
      <c r="M445" s="132" t="str">
        <f t="shared" si="57"/>
        <v/>
      </c>
      <c r="N445" s="132" t="str">
        <f t="shared" si="58"/>
        <v/>
      </c>
    </row>
    <row r="446" spans="6:14" ht="15.75" customHeight="1" x14ac:dyDescent="0.35">
      <c r="F446" s="69" t="str">
        <f t="shared" si="59"/>
        <v/>
      </c>
      <c r="H446" s="134" t="str">
        <f t="shared" si="53"/>
        <v/>
      </c>
      <c r="J446" s="132" t="str">
        <f t="shared" si="54"/>
        <v/>
      </c>
      <c r="K446" s="132" t="str">
        <f t="shared" si="55"/>
        <v/>
      </c>
      <c r="L446" s="132" t="str">
        <f t="shared" si="56"/>
        <v/>
      </c>
      <c r="M446" s="132" t="str">
        <f t="shared" si="57"/>
        <v/>
      </c>
      <c r="N446" s="132" t="str">
        <f t="shared" si="58"/>
        <v/>
      </c>
    </row>
    <row r="447" spans="6:14" ht="15.75" customHeight="1" x14ac:dyDescent="0.35">
      <c r="F447" s="69" t="str">
        <f t="shared" si="59"/>
        <v/>
      </c>
      <c r="H447" s="134" t="str">
        <f t="shared" si="53"/>
        <v/>
      </c>
      <c r="J447" s="132" t="str">
        <f t="shared" si="54"/>
        <v/>
      </c>
      <c r="K447" s="132" t="str">
        <f t="shared" si="55"/>
        <v/>
      </c>
      <c r="L447" s="132" t="str">
        <f t="shared" si="56"/>
        <v/>
      </c>
      <c r="M447" s="132" t="str">
        <f t="shared" si="57"/>
        <v/>
      </c>
      <c r="N447" s="132" t="str">
        <f t="shared" si="58"/>
        <v/>
      </c>
    </row>
    <row r="448" spans="6:14" ht="15.75" customHeight="1" x14ac:dyDescent="0.35">
      <c r="F448" s="69" t="str">
        <f t="shared" si="59"/>
        <v/>
      </c>
      <c r="H448" s="134" t="str">
        <f t="shared" si="53"/>
        <v/>
      </c>
      <c r="J448" s="132" t="str">
        <f t="shared" si="54"/>
        <v/>
      </c>
      <c r="K448" s="132" t="str">
        <f t="shared" si="55"/>
        <v/>
      </c>
      <c r="L448" s="132" t="str">
        <f t="shared" si="56"/>
        <v/>
      </c>
      <c r="M448" s="132" t="str">
        <f t="shared" si="57"/>
        <v/>
      </c>
      <c r="N448" s="132" t="str">
        <f t="shared" si="58"/>
        <v/>
      </c>
    </row>
    <row r="449" spans="6:14" ht="15.75" customHeight="1" x14ac:dyDescent="0.35">
      <c r="F449" s="69" t="str">
        <f t="shared" si="59"/>
        <v/>
      </c>
      <c r="H449" s="134" t="str">
        <f t="shared" si="53"/>
        <v/>
      </c>
      <c r="J449" s="132" t="str">
        <f t="shared" si="54"/>
        <v/>
      </c>
      <c r="K449" s="132" t="str">
        <f t="shared" si="55"/>
        <v/>
      </c>
      <c r="L449" s="132" t="str">
        <f t="shared" si="56"/>
        <v/>
      </c>
      <c r="M449" s="132" t="str">
        <f t="shared" si="57"/>
        <v/>
      </c>
      <c r="N449" s="132" t="str">
        <f t="shared" si="58"/>
        <v/>
      </c>
    </row>
    <row r="450" spans="6:14" ht="15.75" customHeight="1" x14ac:dyDescent="0.35">
      <c r="F450" s="69" t="str">
        <f t="shared" si="59"/>
        <v/>
      </c>
      <c r="H450" s="134" t="str">
        <f t="shared" si="53"/>
        <v/>
      </c>
      <c r="J450" s="132" t="str">
        <f t="shared" si="54"/>
        <v/>
      </c>
      <c r="K450" s="132" t="str">
        <f t="shared" si="55"/>
        <v/>
      </c>
      <c r="L450" s="132" t="str">
        <f t="shared" si="56"/>
        <v/>
      </c>
      <c r="M450" s="132" t="str">
        <f t="shared" si="57"/>
        <v/>
      </c>
      <c r="N450" s="132" t="str">
        <f t="shared" si="58"/>
        <v/>
      </c>
    </row>
    <row r="451" spans="6:14" ht="15.75" customHeight="1" x14ac:dyDescent="0.35">
      <c r="F451" s="69" t="str">
        <f t="shared" si="59"/>
        <v/>
      </c>
      <c r="H451" s="134" t="str">
        <f t="shared" si="53"/>
        <v/>
      </c>
      <c r="J451" s="132" t="str">
        <f t="shared" si="54"/>
        <v/>
      </c>
      <c r="K451" s="132" t="str">
        <f t="shared" si="55"/>
        <v/>
      </c>
      <c r="L451" s="132" t="str">
        <f t="shared" si="56"/>
        <v/>
      </c>
      <c r="M451" s="132" t="str">
        <f t="shared" si="57"/>
        <v/>
      </c>
      <c r="N451" s="132" t="str">
        <f t="shared" si="58"/>
        <v/>
      </c>
    </row>
    <row r="452" spans="6:14" ht="15.75" customHeight="1" x14ac:dyDescent="0.35">
      <c r="F452" s="69" t="str">
        <f t="shared" si="59"/>
        <v/>
      </c>
      <c r="H452" s="134" t="str">
        <f t="shared" si="53"/>
        <v/>
      </c>
      <c r="J452" s="132" t="str">
        <f t="shared" si="54"/>
        <v/>
      </c>
      <c r="K452" s="132" t="str">
        <f t="shared" si="55"/>
        <v/>
      </c>
      <c r="L452" s="132" t="str">
        <f t="shared" si="56"/>
        <v/>
      </c>
      <c r="M452" s="132" t="str">
        <f t="shared" si="57"/>
        <v/>
      </c>
      <c r="N452" s="132" t="str">
        <f t="shared" si="58"/>
        <v/>
      </c>
    </row>
    <row r="453" spans="6:14" ht="15.75" customHeight="1" x14ac:dyDescent="0.35">
      <c r="F453" s="69" t="str">
        <f t="shared" si="59"/>
        <v/>
      </c>
      <c r="H453" s="134" t="str">
        <f t="shared" si="53"/>
        <v/>
      </c>
      <c r="J453" s="132" t="str">
        <f t="shared" si="54"/>
        <v/>
      </c>
      <c r="K453" s="132" t="str">
        <f t="shared" si="55"/>
        <v/>
      </c>
      <c r="L453" s="132" t="str">
        <f t="shared" si="56"/>
        <v/>
      </c>
      <c r="M453" s="132" t="str">
        <f t="shared" si="57"/>
        <v/>
      </c>
      <c r="N453" s="132" t="str">
        <f t="shared" si="58"/>
        <v/>
      </c>
    </row>
    <row r="454" spans="6:14" ht="15.75" customHeight="1" x14ac:dyDescent="0.35">
      <c r="F454" s="69" t="str">
        <f t="shared" si="59"/>
        <v/>
      </c>
      <c r="H454" s="134" t="str">
        <f t="shared" si="53"/>
        <v/>
      </c>
      <c r="J454" s="132" t="str">
        <f t="shared" si="54"/>
        <v/>
      </c>
      <c r="K454" s="132" t="str">
        <f t="shared" si="55"/>
        <v/>
      </c>
      <c r="L454" s="132" t="str">
        <f t="shared" si="56"/>
        <v/>
      </c>
      <c r="M454" s="132" t="str">
        <f t="shared" si="57"/>
        <v/>
      </c>
      <c r="N454" s="132" t="str">
        <f t="shared" si="58"/>
        <v/>
      </c>
    </row>
    <row r="455" spans="6:14" ht="15.75" customHeight="1" x14ac:dyDescent="0.35">
      <c r="F455" s="69" t="str">
        <f t="shared" si="59"/>
        <v/>
      </c>
      <c r="H455" s="134" t="str">
        <f t="shared" si="53"/>
        <v/>
      </c>
      <c r="J455" s="132" t="str">
        <f t="shared" si="54"/>
        <v/>
      </c>
      <c r="K455" s="132" t="str">
        <f t="shared" si="55"/>
        <v/>
      </c>
      <c r="L455" s="132" t="str">
        <f t="shared" si="56"/>
        <v/>
      </c>
      <c r="M455" s="132" t="str">
        <f t="shared" si="57"/>
        <v/>
      </c>
      <c r="N455" s="132" t="str">
        <f t="shared" si="58"/>
        <v/>
      </c>
    </row>
    <row r="456" spans="6:14" ht="15.75" customHeight="1" x14ac:dyDescent="0.35">
      <c r="F456" s="69" t="str">
        <f t="shared" si="59"/>
        <v/>
      </c>
      <c r="H456" s="134" t="str">
        <f t="shared" si="53"/>
        <v/>
      </c>
      <c r="J456" s="132" t="str">
        <f t="shared" si="54"/>
        <v/>
      </c>
      <c r="K456" s="132" t="str">
        <f t="shared" si="55"/>
        <v/>
      </c>
      <c r="L456" s="132" t="str">
        <f t="shared" si="56"/>
        <v/>
      </c>
      <c r="M456" s="132" t="str">
        <f t="shared" si="57"/>
        <v/>
      </c>
      <c r="N456" s="132" t="str">
        <f t="shared" si="58"/>
        <v/>
      </c>
    </row>
    <row r="457" spans="6:14" ht="15.75" customHeight="1" x14ac:dyDescent="0.35">
      <c r="F457" s="69" t="str">
        <f t="shared" si="59"/>
        <v/>
      </c>
      <c r="H457" s="134" t="str">
        <f t="shared" si="53"/>
        <v/>
      </c>
      <c r="J457" s="132" t="str">
        <f t="shared" si="54"/>
        <v/>
      </c>
      <c r="K457" s="132" t="str">
        <f t="shared" si="55"/>
        <v/>
      </c>
      <c r="L457" s="132" t="str">
        <f t="shared" si="56"/>
        <v/>
      </c>
      <c r="M457" s="132" t="str">
        <f t="shared" si="57"/>
        <v/>
      </c>
      <c r="N457" s="132" t="str">
        <f t="shared" si="58"/>
        <v/>
      </c>
    </row>
    <row r="458" spans="6:14" ht="15.75" customHeight="1" x14ac:dyDescent="0.35">
      <c r="F458" s="69" t="str">
        <f t="shared" si="59"/>
        <v/>
      </c>
      <c r="H458" s="134" t="str">
        <f t="shared" si="53"/>
        <v/>
      </c>
      <c r="J458" s="132" t="str">
        <f t="shared" si="54"/>
        <v/>
      </c>
      <c r="K458" s="132" t="str">
        <f t="shared" si="55"/>
        <v/>
      </c>
      <c r="L458" s="132" t="str">
        <f t="shared" si="56"/>
        <v/>
      </c>
      <c r="M458" s="132" t="str">
        <f t="shared" si="57"/>
        <v/>
      </c>
      <c r="N458" s="132" t="str">
        <f t="shared" si="58"/>
        <v/>
      </c>
    </row>
    <row r="459" spans="6:14" ht="15.75" customHeight="1" x14ac:dyDescent="0.35">
      <c r="F459" s="69" t="str">
        <f t="shared" si="59"/>
        <v/>
      </c>
      <c r="H459" s="134" t="str">
        <f t="shared" ref="H459:H522" si="60">IF(ISBLANK($B459),"",$G459)</f>
        <v/>
      </c>
      <c r="J459" s="132" t="str">
        <f t="shared" ref="J459:J522" si="61">IF(ISBLANK($B459),"",YEAR($B459))</f>
        <v/>
      </c>
      <c r="K459" s="132" t="str">
        <f t="shared" ref="K459:K522" si="62">IF(ISBLANK($B459),"",WEEKNUM($B459))</f>
        <v/>
      </c>
      <c r="L459" s="132" t="str">
        <f t="shared" ref="L459:L522" si="63">IF(ISBLANK($B459),"",WEEKNUM($F459))</f>
        <v/>
      </c>
      <c r="M459" s="132" t="str">
        <f t="shared" ref="M459:M522" si="64">IF(ISBLANK($B459),"",IF($L459&lt;51,YEAR($F459),YEAR($F459)+1))</f>
        <v/>
      </c>
      <c r="N459" s="132" t="str">
        <f t="shared" ref="N459:N522" si="65">IF(ISBLANK($B459),"",IF($L459&lt;51,$L459+$N$2,$L459-52+$N$2))</f>
        <v/>
      </c>
    </row>
    <row r="460" spans="6:14" ht="15.75" customHeight="1" x14ac:dyDescent="0.35">
      <c r="F460" s="69" t="str">
        <f t="shared" si="59"/>
        <v/>
      </c>
      <c r="H460" s="134" t="str">
        <f t="shared" si="60"/>
        <v/>
      </c>
      <c r="J460" s="132" t="str">
        <f t="shared" si="61"/>
        <v/>
      </c>
      <c r="K460" s="132" t="str">
        <f t="shared" si="62"/>
        <v/>
      </c>
      <c r="L460" s="132" t="str">
        <f t="shared" si="63"/>
        <v/>
      </c>
      <c r="M460" s="132" t="str">
        <f t="shared" si="64"/>
        <v/>
      </c>
      <c r="N460" s="132" t="str">
        <f t="shared" si="65"/>
        <v/>
      </c>
    </row>
    <row r="461" spans="6:14" ht="15.75" customHeight="1" x14ac:dyDescent="0.35">
      <c r="F461" s="69" t="str">
        <f t="shared" si="59"/>
        <v/>
      </c>
      <c r="H461" s="134" t="str">
        <f t="shared" si="60"/>
        <v/>
      </c>
      <c r="J461" s="132" t="str">
        <f t="shared" si="61"/>
        <v/>
      </c>
      <c r="K461" s="132" t="str">
        <f t="shared" si="62"/>
        <v/>
      </c>
      <c r="L461" s="132" t="str">
        <f t="shared" si="63"/>
        <v/>
      </c>
      <c r="M461" s="132" t="str">
        <f t="shared" si="64"/>
        <v/>
      </c>
      <c r="N461" s="132" t="str">
        <f t="shared" si="65"/>
        <v/>
      </c>
    </row>
    <row r="462" spans="6:14" ht="15.75" customHeight="1" x14ac:dyDescent="0.35">
      <c r="F462" s="69" t="str">
        <f t="shared" si="59"/>
        <v/>
      </c>
      <c r="H462" s="134" t="str">
        <f t="shared" si="60"/>
        <v/>
      </c>
      <c r="J462" s="132" t="str">
        <f t="shared" si="61"/>
        <v/>
      </c>
      <c r="K462" s="132" t="str">
        <f t="shared" si="62"/>
        <v/>
      </c>
      <c r="L462" s="132" t="str">
        <f t="shared" si="63"/>
        <v/>
      </c>
      <c r="M462" s="132" t="str">
        <f t="shared" si="64"/>
        <v/>
      </c>
      <c r="N462" s="132" t="str">
        <f t="shared" si="65"/>
        <v/>
      </c>
    </row>
    <row r="463" spans="6:14" ht="15.75" customHeight="1" x14ac:dyDescent="0.35">
      <c r="F463" s="69" t="str">
        <f t="shared" si="59"/>
        <v/>
      </c>
      <c r="H463" s="134" t="str">
        <f t="shared" si="60"/>
        <v/>
      </c>
      <c r="J463" s="132" t="str">
        <f t="shared" si="61"/>
        <v/>
      </c>
      <c r="K463" s="132" t="str">
        <f t="shared" si="62"/>
        <v/>
      </c>
      <c r="L463" s="132" t="str">
        <f t="shared" si="63"/>
        <v/>
      </c>
      <c r="M463" s="132" t="str">
        <f t="shared" si="64"/>
        <v/>
      </c>
      <c r="N463" s="132" t="str">
        <f t="shared" si="65"/>
        <v/>
      </c>
    </row>
    <row r="464" spans="6:14" ht="15.75" customHeight="1" x14ac:dyDescent="0.35">
      <c r="F464" s="69" t="str">
        <f t="shared" si="59"/>
        <v/>
      </c>
      <c r="H464" s="134" t="str">
        <f t="shared" si="60"/>
        <v/>
      </c>
      <c r="J464" s="132" t="str">
        <f t="shared" si="61"/>
        <v/>
      </c>
      <c r="K464" s="132" t="str">
        <f t="shared" si="62"/>
        <v/>
      </c>
      <c r="L464" s="132" t="str">
        <f t="shared" si="63"/>
        <v/>
      </c>
      <c r="M464" s="132" t="str">
        <f t="shared" si="64"/>
        <v/>
      </c>
      <c r="N464" s="132" t="str">
        <f t="shared" si="65"/>
        <v/>
      </c>
    </row>
    <row r="465" spans="6:14" ht="15.75" customHeight="1" x14ac:dyDescent="0.35">
      <c r="F465" s="69" t="str">
        <f t="shared" si="59"/>
        <v/>
      </c>
      <c r="H465" s="134" t="str">
        <f t="shared" si="60"/>
        <v/>
      </c>
      <c r="J465" s="132" t="str">
        <f t="shared" si="61"/>
        <v/>
      </c>
      <c r="K465" s="132" t="str">
        <f t="shared" si="62"/>
        <v/>
      </c>
      <c r="L465" s="132" t="str">
        <f t="shared" si="63"/>
        <v/>
      </c>
      <c r="M465" s="132" t="str">
        <f t="shared" si="64"/>
        <v/>
      </c>
      <c r="N465" s="132" t="str">
        <f t="shared" si="65"/>
        <v/>
      </c>
    </row>
    <row r="466" spans="6:14" ht="15.75" customHeight="1" x14ac:dyDescent="0.35">
      <c r="F466" s="69" t="str">
        <f t="shared" si="59"/>
        <v/>
      </c>
      <c r="H466" s="134" t="str">
        <f t="shared" si="60"/>
        <v/>
      </c>
      <c r="J466" s="132" t="str">
        <f t="shared" si="61"/>
        <v/>
      </c>
      <c r="K466" s="132" t="str">
        <f t="shared" si="62"/>
        <v/>
      </c>
      <c r="L466" s="132" t="str">
        <f t="shared" si="63"/>
        <v/>
      </c>
      <c r="M466" s="132" t="str">
        <f t="shared" si="64"/>
        <v/>
      </c>
      <c r="N466" s="132" t="str">
        <f t="shared" si="65"/>
        <v/>
      </c>
    </row>
    <row r="467" spans="6:14" ht="15.75" customHeight="1" x14ac:dyDescent="0.35">
      <c r="F467" s="69" t="str">
        <f t="shared" si="59"/>
        <v/>
      </c>
      <c r="H467" s="134" t="str">
        <f t="shared" si="60"/>
        <v/>
      </c>
      <c r="J467" s="132" t="str">
        <f t="shared" si="61"/>
        <v/>
      </c>
      <c r="K467" s="132" t="str">
        <f t="shared" si="62"/>
        <v/>
      </c>
      <c r="L467" s="132" t="str">
        <f t="shared" si="63"/>
        <v/>
      </c>
      <c r="M467" s="132" t="str">
        <f t="shared" si="64"/>
        <v/>
      </c>
      <c r="N467" s="132" t="str">
        <f t="shared" si="65"/>
        <v/>
      </c>
    </row>
    <row r="468" spans="6:14" ht="15.75" customHeight="1" x14ac:dyDescent="0.35">
      <c r="F468" s="69" t="str">
        <f t="shared" si="59"/>
        <v/>
      </c>
      <c r="H468" s="134" t="str">
        <f t="shared" si="60"/>
        <v/>
      </c>
      <c r="J468" s="132" t="str">
        <f t="shared" si="61"/>
        <v/>
      </c>
      <c r="K468" s="132" t="str">
        <f t="shared" si="62"/>
        <v/>
      </c>
      <c r="L468" s="132" t="str">
        <f t="shared" si="63"/>
        <v/>
      </c>
      <c r="M468" s="132" t="str">
        <f t="shared" si="64"/>
        <v/>
      </c>
      <c r="N468" s="132" t="str">
        <f t="shared" si="65"/>
        <v/>
      </c>
    </row>
    <row r="469" spans="6:14" ht="15.75" customHeight="1" x14ac:dyDescent="0.35">
      <c r="F469" s="69" t="str">
        <f t="shared" si="59"/>
        <v/>
      </c>
      <c r="H469" s="134" t="str">
        <f t="shared" si="60"/>
        <v/>
      </c>
      <c r="J469" s="132" t="str">
        <f t="shared" si="61"/>
        <v/>
      </c>
      <c r="K469" s="132" t="str">
        <f t="shared" si="62"/>
        <v/>
      </c>
      <c r="L469" s="132" t="str">
        <f t="shared" si="63"/>
        <v/>
      </c>
      <c r="M469" s="132" t="str">
        <f t="shared" si="64"/>
        <v/>
      </c>
      <c r="N469" s="132" t="str">
        <f t="shared" si="65"/>
        <v/>
      </c>
    </row>
    <row r="470" spans="6:14" ht="15.75" customHeight="1" x14ac:dyDescent="0.35">
      <c r="F470" s="69" t="str">
        <f t="shared" si="59"/>
        <v/>
      </c>
      <c r="H470" s="134" t="str">
        <f t="shared" si="60"/>
        <v/>
      </c>
      <c r="J470" s="132" t="str">
        <f t="shared" si="61"/>
        <v/>
      </c>
      <c r="K470" s="132" t="str">
        <f t="shared" si="62"/>
        <v/>
      </c>
      <c r="L470" s="132" t="str">
        <f t="shared" si="63"/>
        <v/>
      </c>
      <c r="M470" s="132" t="str">
        <f t="shared" si="64"/>
        <v/>
      </c>
      <c r="N470" s="132" t="str">
        <f t="shared" si="65"/>
        <v/>
      </c>
    </row>
    <row r="471" spans="6:14" ht="15.75" customHeight="1" x14ac:dyDescent="0.35">
      <c r="F471" s="69" t="str">
        <f t="shared" si="59"/>
        <v/>
      </c>
      <c r="H471" s="134" t="str">
        <f t="shared" si="60"/>
        <v/>
      </c>
      <c r="J471" s="132" t="str">
        <f t="shared" si="61"/>
        <v/>
      </c>
      <c r="K471" s="132" t="str">
        <f t="shared" si="62"/>
        <v/>
      </c>
      <c r="L471" s="132" t="str">
        <f t="shared" si="63"/>
        <v/>
      </c>
      <c r="M471" s="132" t="str">
        <f t="shared" si="64"/>
        <v/>
      </c>
      <c r="N471" s="132" t="str">
        <f t="shared" si="65"/>
        <v/>
      </c>
    </row>
    <row r="472" spans="6:14" ht="15.75" customHeight="1" x14ac:dyDescent="0.35">
      <c r="F472" s="69" t="str">
        <f t="shared" si="59"/>
        <v/>
      </c>
      <c r="H472" s="134" t="str">
        <f t="shared" si="60"/>
        <v/>
      </c>
      <c r="J472" s="132" t="str">
        <f t="shared" si="61"/>
        <v/>
      </c>
      <c r="K472" s="132" t="str">
        <f t="shared" si="62"/>
        <v/>
      </c>
      <c r="L472" s="132" t="str">
        <f t="shared" si="63"/>
        <v/>
      </c>
      <c r="M472" s="132" t="str">
        <f t="shared" si="64"/>
        <v/>
      </c>
      <c r="N472" s="132" t="str">
        <f t="shared" si="65"/>
        <v/>
      </c>
    </row>
    <row r="473" spans="6:14" ht="15.75" customHeight="1" x14ac:dyDescent="0.35">
      <c r="F473" s="69" t="str">
        <f t="shared" si="59"/>
        <v/>
      </c>
      <c r="H473" s="134" t="str">
        <f t="shared" si="60"/>
        <v/>
      </c>
      <c r="J473" s="132" t="str">
        <f t="shared" si="61"/>
        <v/>
      </c>
      <c r="K473" s="132" t="str">
        <f t="shared" si="62"/>
        <v/>
      </c>
      <c r="L473" s="132" t="str">
        <f t="shared" si="63"/>
        <v/>
      </c>
      <c r="M473" s="132" t="str">
        <f t="shared" si="64"/>
        <v/>
      </c>
      <c r="N473" s="132" t="str">
        <f t="shared" si="65"/>
        <v/>
      </c>
    </row>
    <row r="474" spans="6:14" ht="15.75" customHeight="1" x14ac:dyDescent="0.35">
      <c r="F474" s="69" t="str">
        <f t="shared" si="59"/>
        <v/>
      </c>
      <c r="H474" s="134" t="str">
        <f t="shared" si="60"/>
        <v/>
      </c>
      <c r="J474" s="132" t="str">
        <f t="shared" si="61"/>
        <v/>
      </c>
      <c r="K474" s="132" t="str">
        <f t="shared" si="62"/>
        <v/>
      </c>
      <c r="L474" s="132" t="str">
        <f t="shared" si="63"/>
        <v/>
      </c>
      <c r="M474" s="132" t="str">
        <f t="shared" si="64"/>
        <v/>
      </c>
      <c r="N474" s="132" t="str">
        <f t="shared" si="65"/>
        <v/>
      </c>
    </row>
    <row r="475" spans="6:14" ht="15.75" customHeight="1" x14ac:dyDescent="0.35">
      <c r="F475" s="69" t="str">
        <f t="shared" si="59"/>
        <v/>
      </c>
      <c r="H475" s="134" t="str">
        <f t="shared" si="60"/>
        <v/>
      </c>
      <c r="J475" s="132" t="str">
        <f t="shared" si="61"/>
        <v/>
      </c>
      <c r="K475" s="132" t="str">
        <f t="shared" si="62"/>
        <v/>
      </c>
      <c r="L475" s="132" t="str">
        <f t="shared" si="63"/>
        <v/>
      </c>
      <c r="M475" s="132" t="str">
        <f t="shared" si="64"/>
        <v/>
      </c>
      <c r="N475" s="132" t="str">
        <f t="shared" si="65"/>
        <v/>
      </c>
    </row>
    <row r="476" spans="6:14" ht="15.75" customHeight="1" x14ac:dyDescent="0.35">
      <c r="F476" s="69" t="str">
        <f t="shared" si="59"/>
        <v/>
      </c>
      <c r="H476" s="134" t="str">
        <f t="shared" si="60"/>
        <v/>
      </c>
      <c r="J476" s="132" t="str">
        <f t="shared" si="61"/>
        <v/>
      </c>
      <c r="K476" s="132" t="str">
        <f t="shared" si="62"/>
        <v/>
      </c>
      <c r="L476" s="132" t="str">
        <f t="shared" si="63"/>
        <v/>
      </c>
      <c r="M476" s="132" t="str">
        <f t="shared" si="64"/>
        <v/>
      </c>
      <c r="N476" s="132" t="str">
        <f t="shared" si="65"/>
        <v/>
      </c>
    </row>
    <row r="477" spans="6:14" ht="15.75" customHeight="1" x14ac:dyDescent="0.35">
      <c r="F477" s="69" t="str">
        <f t="shared" si="59"/>
        <v/>
      </c>
      <c r="H477" s="134" t="str">
        <f t="shared" si="60"/>
        <v/>
      </c>
      <c r="J477" s="132" t="str">
        <f t="shared" si="61"/>
        <v/>
      </c>
      <c r="K477" s="132" t="str">
        <f t="shared" si="62"/>
        <v/>
      </c>
      <c r="L477" s="132" t="str">
        <f t="shared" si="63"/>
        <v/>
      </c>
      <c r="M477" s="132" t="str">
        <f t="shared" si="64"/>
        <v/>
      </c>
      <c r="N477" s="132" t="str">
        <f t="shared" si="65"/>
        <v/>
      </c>
    </row>
    <row r="478" spans="6:14" ht="15.75" customHeight="1" x14ac:dyDescent="0.35">
      <c r="F478" s="69" t="str">
        <f t="shared" si="59"/>
        <v/>
      </c>
      <c r="H478" s="134" t="str">
        <f t="shared" si="60"/>
        <v/>
      </c>
      <c r="J478" s="132" t="str">
        <f t="shared" si="61"/>
        <v/>
      </c>
      <c r="K478" s="132" t="str">
        <f t="shared" si="62"/>
        <v/>
      </c>
      <c r="L478" s="132" t="str">
        <f t="shared" si="63"/>
        <v/>
      </c>
      <c r="M478" s="132" t="str">
        <f t="shared" si="64"/>
        <v/>
      </c>
      <c r="N478" s="132" t="str">
        <f t="shared" si="65"/>
        <v/>
      </c>
    </row>
    <row r="479" spans="6:14" ht="15.75" customHeight="1" x14ac:dyDescent="0.35">
      <c r="F479" s="69" t="str">
        <f t="shared" si="59"/>
        <v/>
      </c>
      <c r="H479" s="134" t="str">
        <f t="shared" si="60"/>
        <v/>
      </c>
      <c r="J479" s="132" t="str">
        <f t="shared" si="61"/>
        <v/>
      </c>
      <c r="K479" s="132" t="str">
        <f t="shared" si="62"/>
        <v/>
      </c>
      <c r="L479" s="132" t="str">
        <f t="shared" si="63"/>
        <v/>
      </c>
      <c r="M479" s="132" t="str">
        <f t="shared" si="64"/>
        <v/>
      </c>
      <c r="N479" s="132" t="str">
        <f t="shared" si="65"/>
        <v/>
      </c>
    </row>
    <row r="480" spans="6:14" ht="15.75" customHeight="1" x14ac:dyDescent="0.35">
      <c r="F480" s="69" t="str">
        <f t="shared" si="59"/>
        <v/>
      </c>
      <c r="H480" s="134" t="str">
        <f t="shared" si="60"/>
        <v/>
      </c>
      <c r="J480" s="132" t="str">
        <f t="shared" si="61"/>
        <v/>
      </c>
      <c r="K480" s="132" t="str">
        <f t="shared" si="62"/>
        <v/>
      </c>
      <c r="L480" s="132" t="str">
        <f t="shared" si="63"/>
        <v/>
      </c>
      <c r="M480" s="132" t="str">
        <f t="shared" si="64"/>
        <v/>
      </c>
      <c r="N480" s="132" t="str">
        <f t="shared" si="65"/>
        <v/>
      </c>
    </row>
    <row r="481" spans="6:14" ht="15.75" customHeight="1" x14ac:dyDescent="0.35">
      <c r="F481" s="69" t="str">
        <f t="shared" si="59"/>
        <v/>
      </c>
      <c r="H481" s="134" t="str">
        <f t="shared" si="60"/>
        <v/>
      </c>
      <c r="J481" s="132" t="str">
        <f t="shared" si="61"/>
        <v/>
      </c>
      <c r="K481" s="132" t="str">
        <f t="shared" si="62"/>
        <v/>
      </c>
      <c r="L481" s="132" t="str">
        <f t="shared" si="63"/>
        <v/>
      </c>
      <c r="M481" s="132" t="str">
        <f t="shared" si="64"/>
        <v/>
      </c>
      <c r="N481" s="132" t="str">
        <f t="shared" si="65"/>
        <v/>
      </c>
    </row>
    <row r="482" spans="6:14" ht="15.75" customHeight="1" x14ac:dyDescent="0.35">
      <c r="F482" s="69" t="str">
        <f t="shared" si="59"/>
        <v/>
      </c>
      <c r="H482" s="134" t="str">
        <f t="shared" si="60"/>
        <v/>
      </c>
      <c r="J482" s="132" t="str">
        <f t="shared" si="61"/>
        <v/>
      </c>
      <c r="K482" s="132" t="str">
        <f t="shared" si="62"/>
        <v/>
      </c>
      <c r="L482" s="132" t="str">
        <f t="shared" si="63"/>
        <v/>
      </c>
      <c r="M482" s="132" t="str">
        <f t="shared" si="64"/>
        <v/>
      </c>
      <c r="N482" s="132" t="str">
        <f t="shared" si="65"/>
        <v/>
      </c>
    </row>
    <row r="483" spans="6:14" ht="15.75" customHeight="1" x14ac:dyDescent="0.35">
      <c r="F483" s="69" t="str">
        <f t="shared" si="59"/>
        <v/>
      </c>
      <c r="H483" s="134" t="str">
        <f t="shared" si="60"/>
        <v/>
      </c>
      <c r="J483" s="132" t="str">
        <f t="shared" si="61"/>
        <v/>
      </c>
      <c r="K483" s="132" t="str">
        <f t="shared" si="62"/>
        <v/>
      </c>
      <c r="L483" s="132" t="str">
        <f t="shared" si="63"/>
        <v/>
      </c>
      <c r="M483" s="132" t="str">
        <f t="shared" si="64"/>
        <v/>
      </c>
      <c r="N483" s="132" t="str">
        <f t="shared" si="65"/>
        <v/>
      </c>
    </row>
    <row r="484" spans="6:14" ht="15.75" customHeight="1" x14ac:dyDescent="0.35">
      <c r="F484" s="69" t="str">
        <f t="shared" si="59"/>
        <v/>
      </c>
      <c r="H484" s="134" t="str">
        <f t="shared" si="60"/>
        <v/>
      </c>
      <c r="J484" s="132" t="str">
        <f t="shared" si="61"/>
        <v/>
      </c>
      <c r="K484" s="132" t="str">
        <f t="shared" si="62"/>
        <v/>
      </c>
      <c r="L484" s="132" t="str">
        <f t="shared" si="63"/>
        <v/>
      </c>
      <c r="M484" s="132" t="str">
        <f t="shared" si="64"/>
        <v/>
      </c>
      <c r="N484" s="132" t="str">
        <f t="shared" si="65"/>
        <v/>
      </c>
    </row>
    <row r="485" spans="6:14" ht="15.75" customHeight="1" x14ac:dyDescent="0.35">
      <c r="F485" s="69" t="str">
        <f t="shared" si="59"/>
        <v/>
      </c>
      <c r="H485" s="134" t="str">
        <f t="shared" si="60"/>
        <v/>
      </c>
      <c r="J485" s="132" t="str">
        <f t="shared" si="61"/>
        <v/>
      </c>
      <c r="K485" s="132" t="str">
        <f t="shared" si="62"/>
        <v/>
      </c>
      <c r="L485" s="132" t="str">
        <f t="shared" si="63"/>
        <v/>
      </c>
      <c r="M485" s="132" t="str">
        <f t="shared" si="64"/>
        <v/>
      </c>
      <c r="N485" s="132" t="str">
        <f t="shared" si="65"/>
        <v/>
      </c>
    </row>
    <row r="486" spans="6:14" ht="15.75" customHeight="1" x14ac:dyDescent="0.35">
      <c r="F486" s="69" t="str">
        <f t="shared" si="59"/>
        <v/>
      </c>
      <c r="H486" s="134" t="str">
        <f t="shared" si="60"/>
        <v/>
      </c>
      <c r="J486" s="132" t="str">
        <f t="shared" si="61"/>
        <v/>
      </c>
      <c r="K486" s="132" t="str">
        <f t="shared" si="62"/>
        <v/>
      </c>
      <c r="L486" s="132" t="str">
        <f t="shared" si="63"/>
        <v/>
      </c>
      <c r="M486" s="132" t="str">
        <f t="shared" si="64"/>
        <v/>
      </c>
      <c r="N486" s="132" t="str">
        <f t="shared" si="65"/>
        <v/>
      </c>
    </row>
    <row r="487" spans="6:14" ht="15.75" customHeight="1" x14ac:dyDescent="0.35">
      <c r="F487" s="69" t="str">
        <f t="shared" si="59"/>
        <v/>
      </c>
      <c r="H487" s="134" t="str">
        <f t="shared" si="60"/>
        <v/>
      </c>
      <c r="J487" s="132" t="str">
        <f t="shared" si="61"/>
        <v/>
      </c>
      <c r="K487" s="132" t="str">
        <f t="shared" si="62"/>
        <v/>
      </c>
      <c r="L487" s="132" t="str">
        <f t="shared" si="63"/>
        <v/>
      </c>
      <c r="M487" s="132" t="str">
        <f t="shared" si="64"/>
        <v/>
      </c>
      <c r="N487" s="132" t="str">
        <f t="shared" si="65"/>
        <v/>
      </c>
    </row>
    <row r="488" spans="6:14" ht="15.75" customHeight="1" x14ac:dyDescent="0.35">
      <c r="F488" s="69" t="str">
        <f t="shared" si="59"/>
        <v/>
      </c>
      <c r="H488" s="134" t="str">
        <f t="shared" si="60"/>
        <v/>
      </c>
      <c r="J488" s="132" t="str">
        <f t="shared" si="61"/>
        <v/>
      </c>
      <c r="K488" s="132" t="str">
        <f t="shared" si="62"/>
        <v/>
      </c>
      <c r="L488" s="132" t="str">
        <f t="shared" si="63"/>
        <v/>
      </c>
      <c r="M488" s="132" t="str">
        <f t="shared" si="64"/>
        <v/>
      </c>
      <c r="N488" s="132" t="str">
        <f t="shared" si="65"/>
        <v/>
      </c>
    </row>
    <row r="489" spans="6:14" ht="15.75" customHeight="1" x14ac:dyDescent="0.35">
      <c r="F489" s="69" t="str">
        <f t="shared" si="59"/>
        <v/>
      </c>
      <c r="H489" s="134" t="str">
        <f t="shared" si="60"/>
        <v/>
      </c>
      <c r="J489" s="132" t="str">
        <f t="shared" si="61"/>
        <v/>
      </c>
      <c r="K489" s="132" t="str">
        <f t="shared" si="62"/>
        <v/>
      </c>
      <c r="L489" s="132" t="str">
        <f t="shared" si="63"/>
        <v/>
      </c>
      <c r="M489" s="132" t="str">
        <f t="shared" si="64"/>
        <v/>
      </c>
      <c r="N489" s="132" t="str">
        <f t="shared" si="65"/>
        <v/>
      </c>
    </row>
    <row r="490" spans="6:14" ht="15.75" customHeight="1" x14ac:dyDescent="0.35">
      <c r="F490" s="69" t="str">
        <f t="shared" si="59"/>
        <v/>
      </c>
      <c r="H490" s="134" t="str">
        <f t="shared" si="60"/>
        <v/>
      </c>
      <c r="J490" s="132" t="str">
        <f t="shared" si="61"/>
        <v/>
      </c>
      <c r="K490" s="132" t="str">
        <f t="shared" si="62"/>
        <v/>
      </c>
      <c r="L490" s="132" t="str">
        <f t="shared" si="63"/>
        <v/>
      </c>
      <c r="M490" s="132" t="str">
        <f t="shared" si="64"/>
        <v/>
      </c>
      <c r="N490" s="132" t="str">
        <f t="shared" si="65"/>
        <v/>
      </c>
    </row>
    <row r="491" spans="6:14" ht="15.75" customHeight="1" x14ac:dyDescent="0.35">
      <c r="F491" s="69" t="str">
        <f t="shared" si="59"/>
        <v/>
      </c>
      <c r="H491" s="134" t="str">
        <f t="shared" si="60"/>
        <v/>
      </c>
      <c r="J491" s="132" t="str">
        <f t="shared" si="61"/>
        <v/>
      </c>
      <c r="K491" s="132" t="str">
        <f t="shared" si="62"/>
        <v/>
      </c>
      <c r="L491" s="132" t="str">
        <f t="shared" si="63"/>
        <v/>
      </c>
      <c r="M491" s="132" t="str">
        <f t="shared" si="64"/>
        <v/>
      </c>
      <c r="N491" s="132" t="str">
        <f t="shared" si="65"/>
        <v/>
      </c>
    </row>
    <row r="492" spans="6:14" ht="15.75" customHeight="1" x14ac:dyDescent="0.35">
      <c r="F492" s="69" t="str">
        <f t="shared" si="59"/>
        <v/>
      </c>
      <c r="H492" s="134" t="str">
        <f t="shared" si="60"/>
        <v/>
      </c>
      <c r="J492" s="132" t="str">
        <f t="shared" si="61"/>
        <v/>
      </c>
      <c r="K492" s="132" t="str">
        <f t="shared" si="62"/>
        <v/>
      </c>
      <c r="L492" s="132" t="str">
        <f t="shared" si="63"/>
        <v/>
      </c>
      <c r="M492" s="132" t="str">
        <f t="shared" si="64"/>
        <v/>
      </c>
      <c r="N492" s="132" t="str">
        <f t="shared" si="65"/>
        <v/>
      </c>
    </row>
    <row r="493" spans="6:14" ht="15.75" customHeight="1" x14ac:dyDescent="0.35">
      <c r="F493" s="69" t="str">
        <f t="shared" si="59"/>
        <v/>
      </c>
      <c r="H493" s="134" t="str">
        <f t="shared" si="60"/>
        <v/>
      </c>
      <c r="J493" s="132" t="str">
        <f t="shared" si="61"/>
        <v/>
      </c>
      <c r="K493" s="132" t="str">
        <f t="shared" si="62"/>
        <v/>
      </c>
      <c r="L493" s="132" t="str">
        <f t="shared" si="63"/>
        <v/>
      </c>
      <c r="M493" s="132" t="str">
        <f t="shared" si="64"/>
        <v/>
      </c>
      <c r="N493" s="132" t="str">
        <f t="shared" si="65"/>
        <v/>
      </c>
    </row>
    <row r="494" spans="6:14" ht="15.75" customHeight="1" x14ac:dyDescent="0.35">
      <c r="F494" s="69" t="str">
        <f t="shared" si="59"/>
        <v/>
      </c>
      <c r="H494" s="134" t="str">
        <f t="shared" si="60"/>
        <v/>
      </c>
      <c r="J494" s="132" t="str">
        <f t="shared" si="61"/>
        <v/>
      </c>
      <c r="K494" s="132" t="str">
        <f t="shared" si="62"/>
        <v/>
      </c>
      <c r="L494" s="132" t="str">
        <f t="shared" si="63"/>
        <v/>
      </c>
      <c r="M494" s="132" t="str">
        <f t="shared" si="64"/>
        <v/>
      </c>
      <c r="N494" s="132" t="str">
        <f t="shared" si="65"/>
        <v/>
      </c>
    </row>
    <row r="495" spans="6:14" ht="15.75" customHeight="1" x14ac:dyDescent="0.35">
      <c r="F495" s="69" t="str">
        <f t="shared" si="59"/>
        <v/>
      </c>
      <c r="H495" s="134" t="str">
        <f t="shared" si="60"/>
        <v/>
      </c>
      <c r="J495" s="132" t="str">
        <f t="shared" si="61"/>
        <v/>
      </c>
      <c r="K495" s="132" t="str">
        <f t="shared" si="62"/>
        <v/>
      </c>
      <c r="L495" s="132" t="str">
        <f t="shared" si="63"/>
        <v/>
      </c>
      <c r="M495" s="132" t="str">
        <f t="shared" si="64"/>
        <v/>
      </c>
      <c r="N495" s="132" t="str">
        <f t="shared" si="65"/>
        <v/>
      </c>
    </row>
    <row r="496" spans="6:14" ht="15.75" customHeight="1" x14ac:dyDescent="0.35">
      <c r="F496" s="69" t="str">
        <f t="shared" si="59"/>
        <v/>
      </c>
      <c r="H496" s="134" t="str">
        <f t="shared" si="60"/>
        <v/>
      </c>
      <c r="J496" s="132" t="str">
        <f t="shared" si="61"/>
        <v/>
      </c>
      <c r="K496" s="132" t="str">
        <f t="shared" si="62"/>
        <v/>
      </c>
      <c r="L496" s="132" t="str">
        <f t="shared" si="63"/>
        <v/>
      </c>
      <c r="M496" s="132" t="str">
        <f t="shared" si="64"/>
        <v/>
      </c>
      <c r="N496" s="132" t="str">
        <f t="shared" si="65"/>
        <v/>
      </c>
    </row>
    <row r="497" spans="6:14" ht="15.75" customHeight="1" x14ac:dyDescent="0.35">
      <c r="F497" s="69" t="str">
        <f t="shared" si="59"/>
        <v/>
      </c>
      <c r="H497" s="134" t="str">
        <f t="shared" si="60"/>
        <v/>
      </c>
      <c r="J497" s="132" t="str">
        <f t="shared" si="61"/>
        <v/>
      </c>
      <c r="K497" s="132" t="str">
        <f t="shared" si="62"/>
        <v/>
      </c>
      <c r="L497" s="132" t="str">
        <f t="shared" si="63"/>
        <v/>
      </c>
      <c r="M497" s="132" t="str">
        <f t="shared" si="64"/>
        <v/>
      </c>
      <c r="N497" s="132" t="str">
        <f t="shared" si="65"/>
        <v/>
      </c>
    </row>
    <row r="498" spans="6:14" ht="15.75" customHeight="1" x14ac:dyDescent="0.35">
      <c r="F498" s="69" t="str">
        <f t="shared" si="59"/>
        <v/>
      </c>
      <c r="H498" s="134" t="str">
        <f t="shared" si="60"/>
        <v/>
      </c>
      <c r="J498" s="132" t="str">
        <f t="shared" si="61"/>
        <v/>
      </c>
      <c r="K498" s="132" t="str">
        <f t="shared" si="62"/>
        <v/>
      </c>
      <c r="L498" s="132" t="str">
        <f t="shared" si="63"/>
        <v/>
      </c>
      <c r="M498" s="132" t="str">
        <f t="shared" si="64"/>
        <v/>
      </c>
      <c r="N498" s="132" t="str">
        <f t="shared" si="65"/>
        <v/>
      </c>
    </row>
    <row r="499" spans="6:14" ht="15.75" customHeight="1" x14ac:dyDescent="0.35">
      <c r="F499" s="69" t="str">
        <f t="shared" si="59"/>
        <v/>
      </c>
      <c r="H499" s="134" t="str">
        <f t="shared" si="60"/>
        <v/>
      </c>
      <c r="J499" s="132" t="str">
        <f t="shared" si="61"/>
        <v/>
      </c>
      <c r="K499" s="132" t="str">
        <f t="shared" si="62"/>
        <v/>
      </c>
      <c r="L499" s="132" t="str">
        <f t="shared" si="63"/>
        <v/>
      </c>
      <c r="M499" s="132" t="str">
        <f t="shared" si="64"/>
        <v/>
      </c>
      <c r="N499" s="132" t="str">
        <f t="shared" si="65"/>
        <v/>
      </c>
    </row>
    <row r="500" spans="6:14" ht="15.75" customHeight="1" x14ac:dyDescent="0.35">
      <c r="F500" s="69" t="str">
        <f t="shared" si="59"/>
        <v/>
      </c>
      <c r="H500" s="134" t="str">
        <f t="shared" si="60"/>
        <v/>
      </c>
      <c r="J500" s="132" t="str">
        <f t="shared" si="61"/>
        <v/>
      </c>
      <c r="K500" s="132" t="str">
        <f t="shared" si="62"/>
        <v/>
      </c>
      <c r="L500" s="132" t="str">
        <f t="shared" si="63"/>
        <v/>
      </c>
      <c r="M500" s="132" t="str">
        <f t="shared" si="64"/>
        <v/>
      </c>
      <c r="N500" s="132" t="str">
        <f t="shared" si="65"/>
        <v/>
      </c>
    </row>
    <row r="501" spans="6:14" ht="15.75" customHeight="1" x14ac:dyDescent="0.35">
      <c r="F501" s="69" t="str">
        <f t="shared" si="59"/>
        <v/>
      </c>
      <c r="H501" s="134" t="str">
        <f t="shared" si="60"/>
        <v/>
      </c>
      <c r="J501" s="132" t="str">
        <f t="shared" si="61"/>
        <v/>
      </c>
      <c r="K501" s="132" t="str">
        <f t="shared" si="62"/>
        <v/>
      </c>
      <c r="L501" s="132" t="str">
        <f t="shared" si="63"/>
        <v/>
      </c>
      <c r="M501" s="132" t="str">
        <f t="shared" si="64"/>
        <v/>
      </c>
      <c r="N501" s="132" t="str">
        <f t="shared" si="65"/>
        <v/>
      </c>
    </row>
    <row r="502" spans="6:14" ht="15.75" customHeight="1" x14ac:dyDescent="0.35">
      <c r="F502" s="69" t="str">
        <f t="shared" ref="F502:F565" si="66">IF(ISBLANK($B502),"",B502+I502)</f>
        <v/>
      </c>
      <c r="H502" s="134" t="str">
        <f t="shared" si="60"/>
        <v/>
      </c>
      <c r="J502" s="132" t="str">
        <f t="shared" si="61"/>
        <v/>
      </c>
      <c r="K502" s="132" t="str">
        <f t="shared" si="62"/>
        <v/>
      </c>
      <c r="L502" s="132" t="str">
        <f t="shared" si="63"/>
        <v/>
      </c>
      <c r="M502" s="132" t="str">
        <f t="shared" si="64"/>
        <v/>
      </c>
      <c r="N502" s="132" t="str">
        <f t="shared" si="65"/>
        <v/>
      </c>
    </row>
    <row r="503" spans="6:14" ht="15.75" customHeight="1" x14ac:dyDescent="0.35">
      <c r="F503" s="69" t="str">
        <f t="shared" si="66"/>
        <v/>
      </c>
      <c r="H503" s="134" t="str">
        <f t="shared" si="60"/>
        <v/>
      </c>
      <c r="J503" s="132" t="str">
        <f t="shared" si="61"/>
        <v/>
      </c>
      <c r="K503" s="132" t="str">
        <f t="shared" si="62"/>
        <v/>
      </c>
      <c r="L503" s="132" t="str">
        <f t="shared" si="63"/>
        <v/>
      </c>
      <c r="M503" s="132" t="str">
        <f t="shared" si="64"/>
        <v/>
      </c>
      <c r="N503" s="132" t="str">
        <f t="shared" si="65"/>
        <v/>
      </c>
    </row>
    <row r="504" spans="6:14" ht="15.75" customHeight="1" x14ac:dyDescent="0.35">
      <c r="F504" s="69" t="str">
        <f t="shared" si="66"/>
        <v/>
      </c>
      <c r="H504" s="134" t="str">
        <f t="shared" si="60"/>
        <v/>
      </c>
      <c r="J504" s="132" t="str">
        <f t="shared" si="61"/>
        <v/>
      </c>
      <c r="K504" s="132" t="str">
        <f t="shared" si="62"/>
        <v/>
      </c>
      <c r="L504" s="132" t="str">
        <f t="shared" si="63"/>
        <v/>
      </c>
      <c r="M504" s="132" t="str">
        <f t="shared" si="64"/>
        <v/>
      </c>
      <c r="N504" s="132" t="str">
        <f t="shared" si="65"/>
        <v/>
      </c>
    </row>
    <row r="505" spans="6:14" ht="15.75" customHeight="1" x14ac:dyDescent="0.35">
      <c r="F505" s="69" t="str">
        <f t="shared" si="66"/>
        <v/>
      </c>
      <c r="H505" s="134" t="str">
        <f t="shared" si="60"/>
        <v/>
      </c>
      <c r="J505" s="132" t="str">
        <f t="shared" si="61"/>
        <v/>
      </c>
      <c r="K505" s="132" t="str">
        <f t="shared" si="62"/>
        <v/>
      </c>
      <c r="L505" s="132" t="str">
        <f t="shared" si="63"/>
        <v/>
      </c>
      <c r="M505" s="132" t="str">
        <f t="shared" si="64"/>
        <v/>
      </c>
      <c r="N505" s="132" t="str">
        <f t="shared" si="65"/>
        <v/>
      </c>
    </row>
    <row r="506" spans="6:14" ht="15.75" customHeight="1" x14ac:dyDescent="0.35">
      <c r="F506" s="69" t="str">
        <f t="shared" si="66"/>
        <v/>
      </c>
      <c r="H506" s="134" t="str">
        <f t="shared" si="60"/>
        <v/>
      </c>
      <c r="J506" s="132" t="str">
        <f t="shared" si="61"/>
        <v/>
      </c>
      <c r="K506" s="132" t="str">
        <f t="shared" si="62"/>
        <v/>
      </c>
      <c r="L506" s="132" t="str">
        <f t="shared" si="63"/>
        <v/>
      </c>
      <c r="M506" s="132" t="str">
        <f t="shared" si="64"/>
        <v/>
      </c>
      <c r="N506" s="132" t="str">
        <f t="shared" si="65"/>
        <v/>
      </c>
    </row>
    <row r="507" spans="6:14" ht="15.75" customHeight="1" x14ac:dyDescent="0.35">
      <c r="F507" s="69" t="str">
        <f t="shared" si="66"/>
        <v/>
      </c>
      <c r="H507" s="134" t="str">
        <f t="shared" si="60"/>
        <v/>
      </c>
      <c r="J507" s="132" t="str">
        <f t="shared" si="61"/>
        <v/>
      </c>
      <c r="K507" s="132" t="str">
        <f t="shared" si="62"/>
        <v/>
      </c>
      <c r="L507" s="132" t="str">
        <f t="shared" si="63"/>
        <v/>
      </c>
      <c r="M507" s="132" t="str">
        <f t="shared" si="64"/>
        <v/>
      </c>
      <c r="N507" s="132" t="str">
        <f t="shared" si="65"/>
        <v/>
      </c>
    </row>
    <row r="508" spans="6:14" ht="15.75" customHeight="1" x14ac:dyDescent="0.35">
      <c r="F508" s="69" t="str">
        <f t="shared" si="66"/>
        <v/>
      </c>
      <c r="H508" s="134" t="str">
        <f t="shared" si="60"/>
        <v/>
      </c>
      <c r="J508" s="132" t="str">
        <f t="shared" si="61"/>
        <v/>
      </c>
      <c r="K508" s="132" t="str">
        <f t="shared" si="62"/>
        <v/>
      </c>
      <c r="L508" s="132" t="str">
        <f t="shared" si="63"/>
        <v/>
      </c>
      <c r="M508" s="132" t="str">
        <f t="shared" si="64"/>
        <v/>
      </c>
      <c r="N508" s="132" t="str">
        <f t="shared" si="65"/>
        <v/>
      </c>
    </row>
    <row r="509" spans="6:14" ht="15.75" customHeight="1" x14ac:dyDescent="0.35">
      <c r="F509" s="69" t="str">
        <f t="shared" si="66"/>
        <v/>
      </c>
      <c r="H509" s="134" t="str">
        <f t="shared" si="60"/>
        <v/>
      </c>
      <c r="J509" s="132" t="str">
        <f t="shared" si="61"/>
        <v/>
      </c>
      <c r="K509" s="132" t="str">
        <f t="shared" si="62"/>
        <v/>
      </c>
      <c r="L509" s="132" t="str">
        <f t="shared" si="63"/>
        <v/>
      </c>
      <c r="M509" s="132" t="str">
        <f t="shared" si="64"/>
        <v/>
      </c>
      <c r="N509" s="132" t="str">
        <f t="shared" si="65"/>
        <v/>
      </c>
    </row>
    <row r="510" spans="6:14" ht="15.75" customHeight="1" x14ac:dyDescent="0.35">
      <c r="F510" s="69" t="str">
        <f t="shared" si="66"/>
        <v/>
      </c>
      <c r="H510" s="134" t="str">
        <f t="shared" si="60"/>
        <v/>
      </c>
      <c r="J510" s="132" t="str">
        <f t="shared" si="61"/>
        <v/>
      </c>
      <c r="K510" s="132" t="str">
        <f t="shared" si="62"/>
        <v/>
      </c>
      <c r="L510" s="132" t="str">
        <f t="shared" si="63"/>
        <v/>
      </c>
      <c r="M510" s="132" t="str">
        <f t="shared" si="64"/>
        <v/>
      </c>
      <c r="N510" s="132" t="str">
        <f t="shared" si="65"/>
        <v/>
      </c>
    </row>
    <row r="511" spans="6:14" ht="15.75" customHeight="1" x14ac:dyDescent="0.35">
      <c r="F511" s="69" t="str">
        <f t="shared" si="66"/>
        <v/>
      </c>
      <c r="H511" s="134" t="str">
        <f t="shared" si="60"/>
        <v/>
      </c>
      <c r="J511" s="132" t="str">
        <f t="shared" si="61"/>
        <v/>
      </c>
      <c r="K511" s="132" t="str">
        <f t="shared" si="62"/>
        <v/>
      </c>
      <c r="L511" s="132" t="str">
        <f t="shared" si="63"/>
        <v/>
      </c>
      <c r="M511" s="132" t="str">
        <f t="shared" si="64"/>
        <v/>
      </c>
      <c r="N511" s="132" t="str">
        <f t="shared" si="65"/>
        <v/>
      </c>
    </row>
    <row r="512" spans="6:14" ht="15.75" customHeight="1" x14ac:dyDescent="0.35">
      <c r="F512" s="69" t="str">
        <f t="shared" si="66"/>
        <v/>
      </c>
      <c r="H512" s="134" t="str">
        <f t="shared" si="60"/>
        <v/>
      </c>
      <c r="J512" s="132" t="str">
        <f t="shared" si="61"/>
        <v/>
      </c>
      <c r="K512" s="132" t="str">
        <f t="shared" si="62"/>
        <v/>
      </c>
      <c r="L512" s="132" t="str">
        <f t="shared" si="63"/>
        <v/>
      </c>
      <c r="M512" s="132" t="str">
        <f t="shared" si="64"/>
        <v/>
      </c>
      <c r="N512" s="132" t="str">
        <f t="shared" si="65"/>
        <v/>
      </c>
    </row>
    <row r="513" spans="6:14" ht="15.75" customHeight="1" x14ac:dyDescent="0.35">
      <c r="F513" s="69" t="str">
        <f t="shared" si="66"/>
        <v/>
      </c>
      <c r="H513" s="134" t="str">
        <f t="shared" si="60"/>
        <v/>
      </c>
      <c r="J513" s="132" t="str">
        <f t="shared" si="61"/>
        <v/>
      </c>
      <c r="K513" s="132" t="str">
        <f t="shared" si="62"/>
        <v/>
      </c>
      <c r="L513" s="132" t="str">
        <f t="shared" si="63"/>
        <v/>
      </c>
      <c r="M513" s="132" t="str">
        <f t="shared" si="64"/>
        <v/>
      </c>
      <c r="N513" s="132" t="str">
        <f t="shared" si="65"/>
        <v/>
      </c>
    </row>
    <row r="514" spans="6:14" ht="15.75" customHeight="1" x14ac:dyDescent="0.35">
      <c r="F514" s="69" t="str">
        <f t="shared" si="66"/>
        <v/>
      </c>
      <c r="H514" s="134" t="str">
        <f t="shared" si="60"/>
        <v/>
      </c>
      <c r="J514" s="132" t="str">
        <f t="shared" si="61"/>
        <v/>
      </c>
      <c r="K514" s="132" t="str">
        <f t="shared" si="62"/>
        <v/>
      </c>
      <c r="L514" s="132" t="str">
        <f t="shared" si="63"/>
        <v/>
      </c>
      <c r="M514" s="132" t="str">
        <f t="shared" si="64"/>
        <v/>
      </c>
      <c r="N514" s="132" t="str">
        <f t="shared" si="65"/>
        <v/>
      </c>
    </row>
    <row r="515" spans="6:14" ht="15.75" customHeight="1" x14ac:dyDescent="0.35">
      <c r="F515" s="69" t="str">
        <f t="shared" si="66"/>
        <v/>
      </c>
      <c r="H515" s="134" t="str">
        <f t="shared" si="60"/>
        <v/>
      </c>
      <c r="J515" s="132" t="str">
        <f t="shared" si="61"/>
        <v/>
      </c>
      <c r="K515" s="132" t="str">
        <f t="shared" si="62"/>
        <v/>
      </c>
      <c r="L515" s="132" t="str">
        <f t="shared" si="63"/>
        <v/>
      </c>
      <c r="M515" s="132" t="str">
        <f t="shared" si="64"/>
        <v/>
      </c>
      <c r="N515" s="132" t="str">
        <f t="shared" si="65"/>
        <v/>
      </c>
    </row>
    <row r="516" spans="6:14" ht="15.75" customHeight="1" x14ac:dyDescent="0.35">
      <c r="F516" s="69" t="str">
        <f t="shared" si="66"/>
        <v/>
      </c>
      <c r="H516" s="134" t="str">
        <f t="shared" si="60"/>
        <v/>
      </c>
      <c r="J516" s="132" t="str">
        <f t="shared" si="61"/>
        <v/>
      </c>
      <c r="K516" s="132" t="str">
        <f t="shared" si="62"/>
        <v/>
      </c>
      <c r="L516" s="132" t="str">
        <f t="shared" si="63"/>
        <v/>
      </c>
      <c r="M516" s="132" t="str">
        <f t="shared" si="64"/>
        <v/>
      </c>
      <c r="N516" s="132" t="str">
        <f t="shared" si="65"/>
        <v/>
      </c>
    </row>
    <row r="517" spans="6:14" ht="15.75" customHeight="1" x14ac:dyDescent="0.35">
      <c r="F517" s="69" t="str">
        <f t="shared" si="66"/>
        <v/>
      </c>
      <c r="H517" s="134" t="str">
        <f t="shared" si="60"/>
        <v/>
      </c>
      <c r="J517" s="132" t="str">
        <f t="shared" si="61"/>
        <v/>
      </c>
      <c r="K517" s="132" t="str">
        <f t="shared" si="62"/>
        <v/>
      </c>
      <c r="L517" s="132" t="str">
        <f t="shared" si="63"/>
        <v/>
      </c>
      <c r="M517" s="132" t="str">
        <f t="shared" si="64"/>
        <v/>
      </c>
      <c r="N517" s="132" t="str">
        <f t="shared" si="65"/>
        <v/>
      </c>
    </row>
    <row r="518" spans="6:14" ht="15.75" customHeight="1" x14ac:dyDescent="0.35">
      <c r="F518" s="69" t="str">
        <f t="shared" si="66"/>
        <v/>
      </c>
      <c r="H518" s="134" t="str">
        <f t="shared" si="60"/>
        <v/>
      </c>
      <c r="J518" s="132" t="str">
        <f t="shared" si="61"/>
        <v/>
      </c>
      <c r="K518" s="132" t="str">
        <f t="shared" si="62"/>
        <v/>
      </c>
      <c r="L518" s="132" t="str">
        <f t="shared" si="63"/>
        <v/>
      </c>
      <c r="M518" s="132" t="str">
        <f t="shared" si="64"/>
        <v/>
      </c>
      <c r="N518" s="132" t="str">
        <f t="shared" si="65"/>
        <v/>
      </c>
    </row>
    <row r="519" spans="6:14" ht="15.75" customHeight="1" x14ac:dyDescent="0.35">
      <c r="F519" s="69" t="str">
        <f t="shared" si="66"/>
        <v/>
      </c>
      <c r="H519" s="134" t="str">
        <f t="shared" si="60"/>
        <v/>
      </c>
      <c r="J519" s="132" t="str">
        <f t="shared" si="61"/>
        <v/>
      </c>
      <c r="K519" s="132" t="str">
        <f t="shared" si="62"/>
        <v/>
      </c>
      <c r="L519" s="132" t="str">
        <f t="shared" si="63"/>
        <v/>
      </c>
      <c r="M519" s="132" t="str">
        <f t="shared" si="64"/>
        <v/>
      </c>
      <c r="N519" s="132" t="str">
        <f t="shared" si="65"/>
        <v/>
      </c>
    </row>
    <row r="520" spans="6:14" ht="15.75" customHeight="1" x14ac:dyDescent="0.35">
      <c r="F520" s="69" t="str">
        <f t="shared" si="66"/>
        <v/>
      </c>
      <c r="H520" s="134" t="str">
        <f t="shared" si="60"/>
        <v/>
      </c>
      <c r="J520" s="132" t="str">
        <f t="shared" si="61"/>
        <v/>
      </c>
      <c r="K520" s="132" t="str">
        <f t="shared" si="62"/>
        <v/>
      </c>
      <c r="L520" s="132" t="str">
        <f t="shared" si="63"/>
        <v/>
      </c>
      <c r="M520" s="132" t="str">
        <f t="shared" si="64"/>
        <v/>
      </c>
      <c r="N520" s="132" t="str">
        <f t="shared" si="65"/>
        <v/>
      </c>
    </row>
    <row r="521" spans="6:14" ht="15.75" customHeight="1" x14ac:dyDescent="0.35">
      <c r="F521" s="69" t="str">
        <f t="shared" si="66"/>
        <v/>
      </c>
      <c r="H521" s="134" t="str">
        <f t="shared" si="60"/>
        <v/>
      </c>
      <c r="J521" s="132" t="str">
        <f t="shared" si="61"/>
        <v/>
      </c>
      <c r="K521" s="132" t="str">
        <f t="shared" si="62"/>
        <v/>
      </c>
      <c r="L521" s="132" t="str">
        <f t="shared" si="63"/>
        <v/>
      </c>
      <c r="M521" s="132" t="str">
        <f t="shared" si="64"/>
        <v/>
      </c>
      <c r="N521" s="132" t="str">
        <f t="shared" si="65"/>
        <v/>
      </c>
    </row>
    <row r="522" spans="6:14" ht="15.75" customHeight="1" x14ac:dyDescent="0.35">
      <c r="F522" s="69" t="str">
        <f t="shared" si="66"/>
        <v/>
      </c>
      <c r="H522" s="134" t="str">
        <f t="shared" si="60"/>
        <v/>
      </c>
      <c r="J522" s="132" t="str">
        <f t="shared" si="61"/>
        <v/>
      </c>
      <c r="K522" s="132" t="str">
        <f t="shared" si="62"/>
        <v/>
      </c>
      <c r="L522" s="132" t="str">
        <f t="shared" si="63"/>
        <v/>
      </c>
      <c r="M522" s="132" t="str">
        <f t="shared" si="64"/>
        <v/>
      </c>
      <c r="N522" s="132" t="str">
        <f t="shared" si="65"/>
        <v/>
      </c>
    </row>
    <row r="523" spans="6:14" ht="15.75" customHeight="1" x14ac:dyDescent="0.35">
      <c r="F523" s="69" t="str">
        <f t="shared" si="66"/>
        <v/>
      </c>
      <c r="H523" s="134" t="str">
        <f t="shared" ref="H523:H574" si="67">IF(ISBLANK($B523),"",$G523)</f>
        <v/>
      </c>
      <c r="J523" s="132" t="str">
        <f t="shared" ref="J523:J574" si="68">IF(ISBLANK($B523),"",YEAR($B523))</f>
        <v/>
      </c>
      <c r="K523" s="132" t="str">
        <f t="shared" ref="K523:K574" si="69">IF(ISBLANK($B523),"",WEEKNUM($B523))</f>
        <v/>
      </c>
      <c r="L523" s="132" t="str">
        <f t="shared" ref="L523:L574" si="70">IF(ISBLANK($B523),"",WEEKNUM($F523))</f>
        <v/>
      </c>
      <c r="M523" s="132" t="str">
        <f t="shared" ref="M523:M574" si="71">IF(ISBLANK($B523),"",IF($L523&lt;51,YEAR($F523),YEAR($F523)+1))</f>
        <v/>
      </c>
      <c r="N523" s="132" t="str">
        <f t="shared" ref="N523:N574" si="72">IF(ISBLANK($B523),"",IF($L523&lt;51,$L523+$N$2,$L523-52+$N$2))</f>
        <v/>
      </c>
    </row>
    <row r="524" spans="6:14" ht="15.75" customHeight="1" x14ac:dyDescent="0.35">
      <c r="F524" s="69" t="str">
        <f t="shared" si="66"/>
        <v/>
      </c>
      <c r="H524" s="134" t="str">
        <f t="shared" si="67"/>
        <v/>
      </c>
      <c r="J524" s="132" t="str">
        <f t="shared" si="68"/>
        <v/>
      </c>
      <c r="K524" s="132" t="str">
        <f t="shared" si="69"/>
        <v/>
      </c>
      <c r="L524" s="132" t="str">
        <f t="shared" si="70"/>
        <v/>
      </c>
      <c r="M524" s="132" t="str">
        <f t="shared" si="71"/>
        <v/>
      </c>
      <c r="N524" s="132" t="str">
        <f t="shared" si="72"/>
        <v/>
      </c>
    </row>
    <row r="525" spans="6:14" ht="15.75" customHeight="1" x14ac:dyDescent="0.35">
      <c r="F525" s="69" t="str">
        <f t="shared" si="66"/>
        <v/>
      </c>
      <c r="H525" s="134" t="str">
        <f t="shared" si="67"/>
        <v/>
      </c>
      <c r="J525" s="132" t="str">
        <f t="shared" si="68"/>
        <v/>
      </c>
      <c r="K525" s="132" t="str">
        <f t="shared" si="69"/>
        <v/>
      </c>
      <c r="L525" s="132" t="str">
        <f t="shared" si="70"/>
        <v/>
      </c>
      <c r="M525" s="132" t="str">
        <f t="shared" si="71"/>
        <v/>
      </c>
      <c r="N525" s="132" t="str">
        <f t="shared" si="72"/>
        <v/>
      </c>
    </row>
    <row r="526" spans="6:14" ht="15.75" customHeight="1" x14ac:dyDescent="0.35">
      <c r="F526" s="69" t="str">
        <f t="shared" si="66"/>
        <v/>
      </c>
      <c r="H526" s="134" t="str">
        <f t="shared" si="67"/>
        <v/>
      </c>
      <c r="J526" s="132" t="str">
        <f t="shared" si="68"/>
        <v/>
      </c>
      <c r="K526" s="132" t="str">
        <f t="shared" si="69"/>
        <v/>
      </c>
      <c r="L526" s="132" t="str">
        <f t="shared" si="70"/>
        <v/>
      </c>
      <c r="M526" s="132" t="str">
        <f t="shared" si="71"/>
        <v/>
      </c>
      <c r="N526" s="132" t="str">
        <f t="shared" si="72"/>
        <v/>
      </c>
    </row>
    <row r="527" spans="6:14" ht="15.75" customHeight="1" x14ac:dyDescent="0.35">
      <c r="F527" s="69" t="str">
        <f t="shared" si="66"/>
        <v/>
      </c>
      <c r="H527" s="134" t="str">
        <f t="shared" si="67"/>
        <v/>
      </c>
      <c r="J527" s="132" t="str">
        <f t="shared" si="68"/>
        <v/>
      </c>
      <c r="K527" s="132" t="str">
        <f t="shared" si="69"/>
        <v/>
      </c>
      <c r="L527" s="132" t="str">
        <f t="shared" si="70"/>
        <v/>
      </c>
      <c r="M527" s="132" t="str">
        <f t="shared" si="71"/>
        <v/>
      </c>
      <c r="N527" s="132" t="str">
        <f t="shared" si="72"/>
        <v/>
      </c>
    </row>
    <row r="528" spans="6:14" ht="15.75" customHeight="1" x14ac:dyDescent="0.35">
      <c r="F528" s="69" t="str">
        <f t="shared" si="66"/>
        <v/>
      </c>
      <c r="H528" s="134" t="str">
        <f t="shared" si="67"/>
        <v/>
      </c>
      <c r="J528" s="132" t="str">
        <f t="shared" si="68"/>
        <v/>
      </c>
      <c r="K528" s="132" t="str">
        <f t="shared" si="69"/>
        <v/>
      </c>
      <c r="L528" s="132" t="str">
        <f t="shared" si="70"/>
        <v/>
      </c>
      <c r="M528" s="132" t="str">
        <f t="shared" si="71"/>
        <v/>
      </c>
      <c r="N528" s="132" t="str">
        <f t="shared" si="72"/>
        <v/>
      </c>
    </row>
    <row r="529" spans="6:14" ht="15.75" customHeight="1" x14ac:dyDescent="0.35">
      <c r="F529" s="69" t="str">
        <f t="shared" si="66"/>
        <v/>
      </c>
      <c r="H529" s="134" t="str">
        <f t="shared" si="67"/>
        <v/>
      </c>
      <c r="J529" s="132" t="str">
        <f t="shared" si="68"/>
        <v/>
      </c>
      <c r="K529" s="132" t="str">
        <f t="shared" si="69"/>
        <v/>
      </c>
      <c r="L529" s="132" t="str">
        <f t="shared" si="70"/>
        <v/>
      </c>
      <c r="M529" s="132" t="str">
        <f t="shared" si="71"/>
        <v/>
      </c>
      <c r="N529" s="132" t="str">
        <f t="shared" si="72"/>
        <v/>
      </c>
    </row>
    <row r="530" spans="6:14" ht="15.75" customHeight="1" x14ac:dyDescent="0.35">
      <c r="F530" s="69" t="str">
        <f t="shared" si="66"/>
        <v/>
      </c>
      <c r="H530" s="134" t="str">
        <f t="shared" si="67"/>
        <v/>
      </c>
      <c r="J530" s="132" t="str">
        <f t="shared" si="68"/>
        <v/>
      </c>
      <c r="K530" s="132" t="str">
        <f t="shared" si="69"/>
        <v/>
      </c>
      <c r="L530" s="132" t="str">
        <f t="shared" si="70"/>
        <v/>
      </c>
      <c r="M530" s="132" t="str">
        <f t="shared" si="71"/>
        <v/>
      </c>
      <c r="N530" s="132" t="str">
        <f t="shared" si="72"/>
        <v/>
      </c>
    </row>
    <row r="531" spans="6:14" ht="15.75" customHeight="1" x14ac:dyDescent="0.35">
      <c r="F531" s="69" t="str">
        <f t="shared" si="66"/>
        <v/>
      </c>
      <c r="H531" s="134" t="str">
        <f t="shared" si="67"/>
        <v/>
      </c>
      <c r="J531" s="132" t="str">
        <f t="shared" si="68"/>
        <v/>
      </c>
      <c r="K531" s="132" t="str">
        <f t="shared" si="69"/>
        <v/>
      </c>
      <c r="L531" s="132" t="str">
        <f t="shared" si="70"/>
        <v/>
      </c>
      <c r="M531" s="132" t="str">
        <f t="shared" si="71"/>
        <v/>
      </c>
      <c r="N531" s="132" t="str">
        <f t="shared" si="72"/>
        <v/>
      </c>
    </row>
    <row r="532" spans="6:14" ht="15.75" customHeight="1" x14ac:dyDescent="0.35">
      <c r="F532" s="69" t="str">
        <f t="shared" si="66"/>
        <v/>
      </c>
      <c r="H532" s="134" t="str">
        <f t="shared" si="67"/>
        <v/>
      </c>
      <c r="J532" s="132" t="str">
        <f t="shared" si="68"/>
        <v/>
      </c>
      <c r="K532" s="132" t="str">
        <f t="shared" si="69"/>
        <v/>
      </c>
      <c r="L532" s="132" t="str">
        <f t="shared" si="70"/>
        <v/>
      </c>
      <c r="M532" s="132" t="str">
        <f t="shared" si="71"/>
        <v/>
      </c>
      <c r="N532" s="132" t="str">
        <f t="shared" si="72"/>
        <v/>
      </c>
    </row>
    <row r="533" spans="6:14" ht="15.75" customHeight="1" x14ac:dyDescent="0.35">
      <c r="F533" s="69" t="str">
        <f t="shared" si="66"/>
        <v/>
      </c>
      <c r="H533" s="134" t="str">
        <f t="shared" si="67"/>
        <v/>
      </c>
      <c r="J533" s="132" t="str">
        <f t="shared" si="68"/>
        <v/>
      </c>
      <c r="K533" s="132" t="str">
        <f t="shared" si="69"/>
        <v/>
      </c>
      <c r="L533" s="132" t="str">
        <f t="shared" si="70"/>
        <v/>
      </c>
      <c r="M533" s="132" t="str">
        <f t="shared" si="71"/>
        <v/>
      </c>
      <c r="N533" s="132" t="str">
        <f t="shared" si="72"/>
        <v/>
      </c>
    </row>
    <row r="534" spans="6:14" ht="15.75" customHeight="1" x14ac:dyDescent="0.35">
      <c r="F534" s="69" t="str">
        <f t="shared" si="66"/>
        <v/>
      </c>
      <c r="H534" s="134" t="str">
        <f t="shared" si="67"/>
        <v/>
      </c>
      <c r="J534" s="132" t="str">
        <f t="shared" si="68"/>
        <v/>
      </c>
      <c r="K534" s="132" t="str">
        <f t="shared" si="69"/>
        <v/>
      </c>
      <c r="L534" s="132" t="str">
        <f t="shared" si="70"/>
        <v/>
      </c>
      <c r="M534" s="132" t="str">
        <f t="shared" si="71"/>
        <v/>
      </c>
      <c r="N534" s="132" t="str">
        <f t="shared" si="72"/>
        <v/>
      </c>
    </row>
    <row r="535" spans="6:14" ht="15.75" customHeight="1" x14ac:dyDescent="0.35">
      <c r="F535" s="69" t="str">
        <f t="shared" si="66"/>
        <v/>
      </c>
      <c r="H535" s="134" t="str">
        <f t="shared" si="67"/>
        <v/>
      </c>
      <c r="J535" s="132" t="str">
        <f t="shared" si="68"/>
        <v/>
      </c>
      <c r="K535" s="132" t="str">
        <f t="shared" si="69"/>
        <v/>
      </c>
      <c r="L535" s="132" t="str">
        <f t="shared" si="70"/>
        <v/>
      </c>
      <c r="M535" s="132" t="str">
        <f t="shared" si="71"/>
        <v/>
      </c>
      <c r="N535" s="132" t="str">
        <f t="shared" si="72"/>
        <v/>
      </c>
    </row>
    <row r="536" spans="6:14" ht="15.75" customHeight="1" x14ac:dyDescent="0.35">
      <c r="F536" s="69" t="str">
        <f t="shared" si="66"/>
        <v/>
      </c>
      <c r="H536" s="134" t="str">
        <f t="shared" si="67"/>
        <v/>
      </c>
      <c r="J536" s="132" t="str">
        <f t="shared" si="68"/>
        <v/>
      </c>
      <c r="K536" s="132" t="str">
        <f t="shared" si="69"/>
        <v/>
      </c>
      <c r="L536" s="132" t="str">
        <f t="shared" si="70"/>
        <v/>
      </c>
      <c r="M536" s="132" t="str">
        <f t="shared" si="71"/>
        <v/>
      </c>
      <c r="N536" s="132" t="str">
        <f t="shared" si="72"/>
        <v/>
      </c>
    </row>
    <row r="537" spans="6:14" ht="15.75" customHeight="1" x14ac:dyDescent="0.35">
      <c r="F537" s="69" t="str">
        <f t="shared" si="66"/>
        <v/>
      </c>
      <c r="H537" s="134" t="str">
        <f t="shared" si="67"/>
        <v/>
      </c>
      <c r="J537" s="132" t="str">
        <f t="shared" si="68"/>
        <v/>
      </c>
      <c r="K537" s="132" t="str">
        <f t="shared" si="69"/>
        <v/>
      </c>
      <c r="L537" s="132" t="str">
        <f t="shared" si="70"/>
        <v/>
      </c>
      <c r="M537" s="132" t="str">
        <f t="shared" si="71"/>
        <v/>
      </c>
      <c r="N537" s="132" t="str">
        <f t="shared" si="72"/>
        <v/>
      </c>
    </row>
    <row r="538" spans="6:14" ht="15.75" customHeight="1" x14ac:dyDescent="0.35">
      <c r="F538" s="69" t="str">
        <f t="shared" si="66"/>
        <v/>
      </c>
      <c r="H538" s="134" t="str">
        <f t="shared" si="67"/>
        <v/>
      </c>
      <c r="J538" s="132" t="str">
        <f t="shared" si="68"/>
        <v/>
      </c>
      <c r="K538" s="132" t="str">
        <f t="shared" si="69"/>
        <v/>
      </c>
      <c r="L538" s="132" t="str">
        <f t="shared" si="70"/>
        <v/>
      </c>
      <c r="M538" s="132" t="str">
        <f t="shared" si="71"/>
        <v/>
      </c>
      <c r="N538" s="132" t="str">
        <f t="shared" si="72"/>
        <v/>
      </c>
    </row>
    <row r="539" spans="6:14" ht="15.75" customHeight="1" x14ac:dyDescent="0.35">
      <c r="F539" s="69" t="str">
        <f t="shared" si="66"/>
        <v/>
      </c>
      <c r="H539" s="134" t="str">
        <f t="shared" si="67"/>
        <v/>
      </c>
      <c r="J539" s="132" t="str">
        <f t="shared" si="68"/>
        <v/>
      </c>
      <c r="K539" s="132" t="str">
        <f t="shared" si="69"/>
        <v/>
      </c>
      <c r="L539" s="132" t="str">
        <f t="shared" si="70"/>
        <v/>
      </c>
      <c r="M539" s="132" t="str">
        <f t="shared" si="71"/>
        <v/>
      </c>
      <c r="N539" s="132" t="str">
        <f t="shared" si="72"/>
        <v/>
      </c>
    </row>
    <row r="540" spans="6:14" ht="15.75" customHeight="1" x14ac:dyDescent="0.35">
      <c r="F540" s="69" t="str">
        <f t="shared" si="66"/>
        <v/>
      </c>
      <c r="H540" s="134" t="str">
        <f t="shared" si="67"/>
        <v/>
      </c>
      <c r="J540" s="132" t="str">
        <f t="shared" si="68"/>
        <v/>
      </c>
      <c r="K540" s="132" t="str">
        <f t="shared" si="69"/>
        <v/>
      </c>
      <c r="L540" s="132" t="str">
        <f t="shared" si="70"/>
        <v/>
      </c>
      <c r="M540" s="132" t="str">
        <f t="shared" si="71"/>
        <v/>
      </c>
      <c r="N540" s="132" t="str">
        <f t="shared" si="72"/>
        <v/>
      </c>
    </row>
    <row r="541" spans="6:14" ht="15.75" customHeight="1" x14ac:dyDescent="0.35">
      <c r="F541" s="69" t="str">
        <f t="shared" si="66"/>
        <v/>
      </c>
      <c r="H541" s="134" t="str">
        <f t="shared" si="67"/>
        <v/>
      </c>
      <c r="J541" s="132" t="str">
        <f t="shared" si="68"/>
        <v/>
      </c>
      <c r="K541" s="132" t="str">
        <f t="shared" si="69"/>
        <v/>
      </c>
      <c r="L541" s="132" t="str">
        <f t="shared" si="70"/>
        <v/>
      </c>
      <c r="M541" s="132" t="str">
        <f t="shared" si="71"/>
        <v/>
      </c>
      <c r="N541" s="132" t="str">
        <f t="shared" si="72"/>
        <v/>
      </c>
    </row>
    <row r="542" spans="6:14" ht="15.75" customHeight="1" x14ac:dyDescent="0.35">
      <c r="F542" s="69" t="str">
        <f t="shared" si="66"/>
        <v/>
      </c>
      <c r="H542" s="134" t="str">
        <f t="shared" si="67"/>
        <v/>
      </c>
      <c r="J542" s="132" t="str">
        <f t="shared" si="68"/>
        <v/>
      </c>
      <c r="K542" s="132" t="str">
        <f t="shared" si="69"/>
        <v/>
      </c>
      <c r="L542" s="132" t="str">
        <f t="shared" si="70"/>
        <v/>
      </c>
      <c r="M542" s="132" t="str">
        <f t="shared" si="71"/>
        <v/>
      </c>
      <c r="N542" s="132" t="str">
        <f t="shared" si="72"/>
        <v/>
      </c>
    </row>
    <row r="543" spans="6:14" ht="15.75" customHeight="1" x14ac:dyDescent="0.35">
      <c r="F543" s="69" t="str">
        <f t="shared" si="66"/>
        <v/>
      </c>
      <c r="H543" s="134" t="str">
        <f t="shared" si="67"/>
        <v/>
      </c>
      <c r="J543" s="132" t="str">
        <f t="shared" si="68"/>
        <v/>
      </c>
      <c r="K543" s="132" t="str">
        <f t="shared" si="69"/>
        <v/>
      </c>
      <c r="L543" s="132" t="str">
        <f t="shared" si="70"/>
        <v/>
      </c>
      <c r="M543" s="132" t="str">
        <f t="shared" si="71"/>
        <v/>
      </c>
      <c r="N543" s="132" t="str">
        <f t="shared" si="72"/>
        <v/>
      </c>
    </row>
    <row r="544" spans="6:14" ht="15.75" customHeight="1" x14ac:dyDescent="0.35">
      <c r="F544" s="69" t="str">
        <f t="shared" si="66"/>
        <v/>
      </c>
      <c r="H544" s="134" t="str">
        <f t="shared" si="67"/>
        <v/>
      </c>
      <c r="J544" s="132" t="str">
        <f t="shared" si="68"/>
        <v/>
      </c>
      <c r="K544" s="132" t="str">
        <f t="shared" si="69"/>
        <v/>
      </c>
      <c r="L544" s="132" t="str">
        <f t="shared" si="70"/>
        <v/>
      </c>
      <c r="M544" s="132" t="str">
        <f t="shared" si="71"/>
        <v/>
      </c>
      <c r="N544" s="132" t="str">
        <f t="shared" si="72"/>
        <v/>
      </c>
    </row>
    <row r="545" spans="6:14" ht="15.75" customHeight="1" x14ac:dyDescent="0.35">
      <c r="F545" s="69" t="str">
        <f t="shared" si="66"/>
        <v/>
      </c>
      <c r="H545" s="134" t="str">
        <f t="shared" si="67"/>
        <v/>
      </c>
      <c r="J545" s="132" t="str">
        <f t="shared" si="68"/>
        <v/>
      </c>
      <c r="K545" s="132" t="str">
        <f t="shared" si="69"/>
        <v/>
      </c>
      <c r="L545" s="132" t="str">
        <f t="shared" si="70"/>
        <v/>
      </c>
      <c r="M545" s="132" t="str">
        <f t="shared" si="71"/>
        <v/>
      </c>
      <c r="N545" s="132" t="str">
        <f t="shared" si="72"/>
        <v/>
      </c>
    </row>
    <row r="546" spans="6:14" ht="15.75" customHeight="1" x14ac:dyDescent="0.35">
      <c r="F546" s="69" t="str">
        <f t="shared" si="66"/>
        <v/>
      </c>
      <c r="H546" s="134" t="str">
        <f t="shared" si="67"/>
        <v/>
      </c>
      <c r="J546" s="132" t="str">
        <f t="shared" si="68"/>
        <v/>
      </c>
      <c r="K546" s="132" t="str">
        <f t="shared" si="69"/>
        <v/>
      </c>
      <c r="L546" s="132" t="str">
        <f t="shared" si="70"/>
        <v/>
      </c>
      <c r="M546" s="132" t="str">
        <f t="shared" si="71"/>
        <v/>
      </c>
      <c r="N546" s="132" t="str">
        <f t="shared" si="72"/>
        <v/>
      </c>
    </row>
    <row r="547" spans="6:14" ht="15.75" customHeight="1" x14ac:dyDescent="0.35">
      <c r="F547" s="69" t="str">
        <f t="shared" si="66"/>
        <v/>
      </c>
      <c r="H547" s="134" t="str">
        <f t="shared" si="67"/>
        <v/>
      </c>
      <c r="J547" s="132" t="str">
        <f t="shared" si="68"/>
        <v/>
      </c>
      <c r="K547" s="132" t="str">
        <f t="shared" si="69"/>
        <v/>
      </c>
      <c r="L547" s="132" t="str">
        <f t="shared" si="70"/>
        <v/>
      </c>
      <c r="M547" s="132" t="str">
        <f t="shared" si="71"/>
        <v/>
      </c>
      <c r="N547" s="132" t="str">
        <f t="shared" si="72"/>
        <v/>
      </c>
    </row>
    <row r="548" spans="6:14" ht="15.75" customHeight="1" x14ac:dyDescent="0.35">
      <c r="F548" s="69" t="str">
        <f t="shared" si="66"/>
        <v/>
      </c>
      <c r="H548" s="134" t="str">
        <f t="shared" si="67"/>
        <v/>
      </c>
      <c r="J548" s="132" t="str">
        <f t="shared" si="68"/>
        <v/>
      </c>
      <c r="K548" s="132" t="str">
        <f t="shared" si="69"/>
        <v/>
      </c>
      <c r="L548" s="132" t="str">
        <f t="shared" si="70"/>
        <v/>
      </c>
      <c r="M548" s="132" t="str">
        <f t="shared" si="71"/>
        <v/>
      </c>
      <c r="N548" s="132" t="str">
        <f t="shared" si="72"/>
        <v/>
      </c>
    </row>
    <row r="549" spans="6:14" ht="15.75" customHeight="1" x14ac:dyDescent="0.35">
      <c r="F549" s="69" t="str">
        <f t="shared" si="66"/>
        <v/>
      </c>
      <c r="H549" s="134" t="str">
        <f t="shared" si="67"/>
        <v/>
      </c>
      <c r="J549" s="132" t="str">
        <f t="shared" si="68"/>
        <v/>
      </c>
      <c r="K549" s="132" t="str">
        <f t="shared" si="69"/>
        <v/>
      </c>
      <c r="L549" s="132" t="str">
        <f t="shared" si="70"/>
        <v/>
      </c>
      <c r="M549" s="132" t="str">
        <f t="shared" si="71"/>
        <v/>
      </c>
      <c r="N549" s="132" t="str">
        <f t="shared" si="72"/>
        <v/>
      </c>
    </row>
    <row r="550" spans="6:14" ht="15.75" customHeight="1" x14ac:dyDescent="0.35">
      <c r="F550" s="69" t="str">
        <f t="shared" si="66"/>
        <v/>
      </c>
      <c r="H550" s="134" t="str">
        <f t="shared" si="67"/>
        <v/>
      </c>
      <c r="J550" s="132" t="str">
        <f t="shared" si="68"/>
        <v/>
      </c>
      <c r="K550" s="132" t="str">
        <f t="shared" si="69"/>
        <v/>
      </c>
      <c r="L550" s="132" t="str">
        <f t="shared" si="70"/>
        <v/>
      </c>
      <c r="M550" s="132" t="str">
        <f t="shared" si="71"/>
        <v/>
      </c>
      <c r="N550" s="132" t="str">
        <f t="shared" si="72"/>
        <v/>
      </c>
    </row>
    <row r="551" spans="6:14" ht="15.75" customHeight="1" x14ac:dyDescent="0.35">
      <c r="F551" s="69" t="str">
        <f t="shared" si="66"/>
        <v/>
      </c>
      <c r="H551" s="134" t="str">
        <f t="shared" si="67"/>
        <v/>
      </c>
      <c r="J551" s="132" t="str">
        <f t="shared" si="68"/>
        <v/>
      </c>
      <c r="K551" s="132" t="str">
        <f t="shared" si="69"/>
        <v/>
      </c>
      <c r="L551" s="132" t="str">
        <f t="shared" si="70"/>
        <v/>
      </c>
      <c r="M551" s="132" t="str">
        <f t="shared" si="71"/>
        <v/>
      </c>
      <c r="N551" s="132" t="str">
        <f t="shared" si="72"/>
        <v/>
      </c>
    </row>
    <row r="552" spans="6:14" ht="15.75" customHeight="1" x14ac:dyDescent="0.35">
      <c r="F552" s="69" t="str">
        <f t="shared" si="66"/>
        <v/>
      </c>
      <c r="H552" s="134" t="str">
        <f t="shared" si="67"/>
        <v/>
      </c>
      <c r="J552" s="132" t="str">
        <f t="shared" si="68"/>
        <v/>
      </c>
      <c r="K552" s="132" t="str">
        <f t="shared" si="69"/>
        <v/>
      </c>
      <c r="L552" s="132" t="str">
        <f t="shared" si="70"/>
        <v/>
      </c>
      <c r="M552" s="132" t="str">
        <f t="shared" si="71"/>
        <v/>
      </c>
      <c r="N552" s="132" t="str">
        <f t="shared" si="72"/>
        <v/>
      </c>
    </row>
    <row r="553" spans="6:14" ht="15.75" customHeight="1" x14ac:dyDescent="0.35">
      <c r="F553" s="69" t="str">
        <f t="shared" si="66"/>
        <v/>
      </c>
      <c r="H553" s="134" t="str">
        <f t="shared" si="67"/>
        <v/>
      </c>
      <c r="J553" s="132" t="str">
        <f t="shared" si="68"/>
        <v/>
      </c>
      <c r="K553" s="132" t="str">
        <f t="shared" si="69"/>
        <v/>
      </c>
      <c r="L553" s="132" t="str">
        <f t="shared" si="70"/>
        <v/>
      </c>
      <c r="M553" s="132" t="str">
        <f t="shared" si="71"/>
        <v/>
      </c>
      <c r="N553" s="132" t="str">
        <f t="shared" si="72"/>
        <v/>
      </c>
    </row>
    <row r="554" spans="6:14" ht="15.75" customHeight="1" x14ac:dyDescent="0.35">
      <c r="F554" s="69" t="str">
        <f t="shared" si="66"/>
        <v/>
      </c>
      <c r="H554" s="134" t="str">
        <f t="shared" si="67"/>
        <v/>
      </c>
      <c r="J554" s="132" t="str">
        <f t="shared" si="68"/>
        <v/>
      </c>
      <c r="K554" s="132" t="str">
        <f t="shared" si="69"/>
        <v/>
      </c>
      <c r="L554" s="132" t="str">
        <f t="shared" si="70"/>
        <v/>
      </c>
      <c r="M554" s="132" t="str">
        <f t="shared" si="71"/>
        <v/>
      </c>
      <c r="N554" s="132" t="str">
        <f t="shared" si="72"/>
        <v/>
      </c>
    </row>
    <row r="555" spans="6:14" ht="15.75" customHeight="1" x14ac:dyDescent="0.35">
      <c r="F555" s="69" t="str">
        <f t="shared" si="66"/>
        <v/>
      </c>
      <c r="H555" s="134" t="str">
        <f t="shared" si="67"/>
        <v/>
      </c>
      <c r="J555" s="132" t="str">
        <f t="shared" si="68"/>
        <v/>
      </c>
      <c r="K555" s="132" t="str">
        <f t="shared" si="69"/>
        <v/>
      </c>
      <c r="L555" s="132" t="str">
        <f t="shared" si="70"/>
        <v/>
      </c>
      <c r="M555" s="132" t="str">
        <f t="shared" si="71"/>
        <v/>
      </c>
      <c r="N555" s="132" t="str">
        <f t="shared" si="72"/>
        <v/>
      </c>
    </row>
    <row r="556" spans="6:14" ht="15.75" customHeight="1" x14ac:dyDescent="0.35">
      <c r="F556" s="69" t="str">
        <f t="shared" si="66"/>
        <v/>
      </c>
      <c r="H556" s="134" t="str">
        <f t="shared" si="67"/>
        <v/>
      </c>
      <c r="J556" s="132" t="str">
        <f t="shared" si="68"/>
        <v/>
      </c>
      <c r="K556" s="132" t="str">
        <f t="shared" si="69"/>
        <v/>
      </c>
      <c r="L556" s="132" t="str">
        <f t="shared" si="70"/>
        <v/>
      </c>
      <c r="M556" s="132" t="str">
        <f t="shared" si="71"/>
        <v/>
      </c>
      <c r="N556" s="132" t="str">
        <f t="shared" si="72"/>
        <v/>
      </c>
    </row>
    <row r="557" spans="6:14" ht="15.75" customHeight="1" x14ac:dyDescent="0.35">
      <c r="F557" s="69" t="str">
        <f t="shared" si="66"/>
        <v/>
      </c>
      <c r="H557" s="134" t="str">
        <f t="shared" si="67"/>
        <v/>
      </c>
      <c r="J557" s="132" t="str">
        <f t="shared" si="68"/>
        <v/>
      </c>
      <c r="K557" s="132" t="str">
        <f t="shared" si="69"/>
        <v/>
      </c>
      <c r="L557" s="132" t="str">
        <f t="shared" si="70"/>
        <v/>
      </c>
      <c r="M557" s="132" t="str">
        <f t="shared" si="71"/>
        <v/>
      </c>
      <c r="N557" s="132" t="str">
        <f t="shared" si="72"/>
        <v/>
      </c>
    </row>
    <row r="558" spans="6:14" ht="15.75" customHeight="1" x14ac:dyDescent="0.35">
      <c r="F558" s="69" t="str">
        <f t="shared" si="66"/>
        <v/>
      </c>
      <c r="H558" s="134" t="str">
        <f t="shared" si="67"/>
        <v/>
      </c>
      <c r="J558" s="132" t="str">
        <f t="shared" si="68"/>
        <v/>
      </c>
      <c r="K558" s="132" t="str">
        <f t="shared" si="69"/>
        <v/>
      </c>
      <c r="L558" s="132" t="str">
        <f t="shared" si="70"/>
        <v/>
      </c>
      <c r="M558" s="132" t="str">
        <f t="shared" si="71"/>
        <v/>
      </c>
      <c r="N558" s="132" t="str">
        <f t="shared" si="72"/>
        <v/>
      </c>
    </row>
    <row r="559" spans="6:14" ht="15.75" customHeight="1" x14ac:dyDescent="0.35">
      <c r="F559" s="69" t="str">
        <f t="shared" si="66"/>
        <v/>
      </c>
      <c r="H559" s="134" t="str">
        <f t="shared" si="67"/>
        <v/>
      </c>
      <c r="J559" s="132" t="str">
        <f t="shared" si="68"/>
        <v/>
      </c>
      <c r="K559" s="132" t="str">
        <f t="shared" si="69"/>
        <v/>
      </c>
      <c r="L559" s="132" t="str">
        <f t="shared" si="70"/>
        <v/>
      </c>
      <c r="M559" s="132" t="str">
        <f t="shared" si="71"/>
        <v/>
      </c>
      <c r="N559" s="132" t="str">
        <f t="shared" si="72"/>
        <v/>
      </c>
    </row>
    <row r="560" spans="6:14" ht="15.75" customHeight="1" x14ac:dyDescent="0.35">
      <c r="F560" s="69" t="str">
        <f t="shared" si="66"/>
        <v/>
      </c>
      <c r="H560" s="134" t="str">
        <f t="shared" si="67"/>
        <v/>
      </c>
      <c r="J560" s="132" t="str">
        <f t="shared" si="68"/>
        <v/>
      </c>
      <c r="K560" s="132" t="str">
        <f t="shared" si="69"/>
        <v/>
      </c>
      <c r="L560" s="132" t="str">
        <f t="shared" si="70"/>
        <v/>
      </c>
      <c r="M560" s="132" t="str">
        <f t="shared" si="71"/>
        <v/>
      </c>
      <c r="N560" s="132" t="str">
        <f t="shared" si="72"/>
        <v/>
      </c>
    </row>
    <row r="561" spans="6:14" ht="15.75" customHeight="1" x14ac:dyDescent="0.35">
      <c r="F561" s="69" t="str">
        <f t="shared" si="66"/>
        <v/>
      </c>
      <c r="H561" s="134" t="str">
        <f t="shared" si="67"/>
        <v/>
      </c>
      <c r="J561" s="132" t="str">
        <f t="shared" si="68"/>
        <v/>
      </c>
      <c r="K561" s="132" t="str">
        <f t="shared" si="69"/>
        <v/>
      </c>
      <c r="L561" s="132" t="str">
        <f t="shared" si="70"/>
        <v/>
      </c>
      <c r="M561" s="132" t="str">
        <f t="shared" si="71"/>
        <v/>
      </c>
      <c r="N561" s="132" t="str">
        <f t="shared" si="72"/>
        <v/>
      </c>
    </row>
    <row r="562" spans="6:14" ht="15.75" customHeight="1" x14ac:dyDescent="0.35">
      <c r="F562" s="69" t="str">
        <f t="shared" si="66"/>
        <v/>
      </c>
      <c r="H562" s="134" t="str">
        <f t="shared" si="67"/>
        <v/>
      </c>
      <c r="J562" s="132" t="str">
        <f t="shared" si="68"/>
        <v/>
      </c>
      <c r="K562" s="132" t="str">
        <f t="shared" si="69"/>
        <v/>
      </c>
      <c r="L562" s="132" t="str">
        <f t="shared" si="70"/>
        <v/>
      </c>
      <c r="M562" s="132" t="str">
        <f t="shared" si="71"/>
        <v/>
      </c>
      <c r="N562" s="132" t="str">
        <f t="shared" si="72"/>
        <v/>
      </c>
    </row>
    <row r="563" spans="6:14" ht="15.75" customHeight="1" x14ac:dyDescent="0.35">
      <c r="F563" s="69" t="str">
        <f t="shared" si="66"/>
        <v/>
      </c>
      <c r="H563" s="134" t="str">
        <f t="shared" si="67"/>
        <v/>
      </c>
      <c r="J563" s="132" t="str">
        <f t="shared" si="68"/>
        <v/>
      </c>
      <c r="K563" s="132" t="str">
        <f t="shared" si="69"/>
        <v/>
      </c>
      <c r="L563" s="132" t="str">
        <f t="shared" si="70"/>
        <v/>
      </c>
      <c r="M563" s="132" t="str">
        <f t="shared" si="71"/>
        <v/>
      </c>
      <c r="N563" s="132" t="str">
        <f t="shared" si="72"/>
        <v/>
      </c>
    </row>
    <row r="564" spans="6:14" ht="15.75" customHeight="1" x14ac:dyDescent="0.35">
      <c r="F564" s="69" t="str">
        <f t="shared" si="66"/>
        <v/>
      </c>
      <c r="H564" s="134" t="str">
        <f t="shared" si="67"/>
        <v/>
      </c>
      <c r="J564" s="132" t="str">
        <f t="shared" si="68"/>
        <v/>
      </c>
      <c r="K564" s="132" t="str">
        <f t="shared" si="69"/>
        <v/>
      </c>
      <c r="L564" s="132" t="str">
        <f t="shared" si="70"/>
        <v/>
      </c>
      <c r="M564" s="132" t="str">
        <f t="shared" si="71"/>
        <v/>
      </c>
      <c r="N564" s="132" t="str">
        <f t="shared" si="72"/>
        <v/>
      </c>
    </row>
    <row r="565" spans="6:14" ht="15.75" customHeight="1" x14ac:dyDescent="0.35">
      <c r="F565" s="69" t="str">
        <f t="shared" si="66"/>
        <v/>
      </c>
      <c r="H565" s="134" t="str">
        <f t="shared" si="67"/>
        <v/>
      </c>
      <c r="J565" s="132" t="str">
        <f t="shared" si="68"/>
        <v/>
      </c>
      <c r="K565" s="132" t="str">
        <f t="shared" si="69"/>
        <v/>
      </c>
      <c r="L565" s="132" t="str">
        <f t="shared" si="70"/>
        <v/>
      </c>
      <c r="M565" s="132" t="str">
        <f t="shared" si="71"/>
        <v/>
      </c>
      <c r="N565" s="132" t="str">
        <f t="shared" si="72"/>
        <v/>
      </c>
    </row>
    <row r="566" spans="6:14" ht="15.75" customHeight="1" x14ac:dyDescent="0.35">
      <c r="F566" s="69" t="str">
        <f t="shared" ref="F566:F574" si="73">IF(ISBLANK($B566),"",B566+I566)</f>
        <v/>
      </c>
      <c r="H566" s="134" t="str">
        <f t="shared" si="67"/>
        <v/>
      </c>
      <c r="J566" s="132" t="str">
        <f t="shared" si="68"/>
        <v/>
      </c>
      <c r="K566" s="132" t="str">
        <f t="shared" si="69"/>
        <v/>
      </c>
      <c r="L566" s="132" t="str">
        <f t="shared" si="70"/>
        <v/>
      </c>
      <c r="M566" s="132" t="str">
        <f t="shared" si="71"/>
        <v/>
      </c>
      <c r="N566" s="132" t="str">
        <f t="shared" si="72"/>
        <v/>
      </c>
    </row>
    <row r="567" spans="6:14" ht="15.75" customHeight="1" x14ac:dyDescent="0.35">
      <c r="F567" s="69" t="str">
        <f t="shared" si="73"/>
        <v/>
      </c>
      <c r="H567" s="134" t="str">
        <f t="shared" si="67"/>
        <v/>
      </c>
      <c r="J567" s="132" t="str">
        <f t="shared" si="68"/>
        <v/>
      </c>
      <c r="K567" s="132" t="str">
        <f t="shared" si="69"/>
        <v/>
      </c>
      <c r="L567" s="132" t="str">
        <f t="shared" si="70"/>
        <v/>
      </c>
      <c r="M567" s="132" t="str">
        <f t="shared" si="71"/>
        <v/>
      </c>
      <c r="N567" s="132" t="str">
        <f t="shared" si="72"/>
        <v/>
      </c>
    </row>
    <row r="568" spans="6:14" ht="15.75" customHeight="1" x14ac:dyDescent="0.35">
      <c r="F568" s="69" t="str">
        <f t="shared" si="73"/>
        <v/>
      </c>
      <c r="H568" s="134" t="str">
        <f t="shared" si="67"/>
        <v/>
      </c>
      <c r="J568" s="132" t="str">
        <f t="shared" si="68"/>
        <v/>
      </c>
      <c r="K568" s="132" t="str">
        <f t="shared" si="69"/>
        <v/>
      </c>
      <c r="L568" s="132" t="str">
        <f t="shared" si="70"/>
        <v/>
      </c>
      <c r="M568" s="132" t="str">
        <f t="shared" si="71"/>
        <v/>
      </c>
      <c r="N568" s="132" t="str">
        <f t="shared" si="72"/>
        <v/>
      </c>
    </row>
    <row r="569" spans="6:14" ht="15.75" customHeight="1" x14ac:dyDescent="0.35">
      <c r="F569" s="69" t="str">
        <f t="shared" si="73"/>
        <v/>
      </c>
      <c r="H569" s="134" t="str">
        <f t="shared" si="67"/>
        <v/>
      </c>
      <c r="J569" s="132" t="str">
        <f t="shared" si="68"/>
        <v/>
      </c>
      <c r="K569" s="132" t="str">
        <f t="shared" si="69"/>
        <v/>
      </c>
      <c r="L569" s="132" t="str">
        <f t="shared" si="70"/>
        <v/>
      </c>
      <c r="M569" s="132" t="str">
        <f t="shared" si="71"/>
        <v/>
      </c>
      <c r="N569" s="132" t="str">
        <f t="shared" si="72"/>
        <v/>
      </c>
    </row>
    <row r="570" spans="6:14" ht="15.75" customHeight="1" x14ac:dyDescent="0.35">
      <c r="F570" s="69" t="str">
        <f t="shared" si="73"/>
        <v/>
      </c>
      <c r="H570" s="134" t="str">
        <f t="shared" si="67"/>
        <v/>
      </c>
      <c r="J570" s="132" t="str">
        <f t="shared" si="68"/>
        <v/>
      </c>
      <c r="K570" s="132" t="str">
        <f t="shared" si="69"/>
        <v/>
      </c>
      <c r="L570" s="132" t="str">
        <f t="shared" si="70"/>
        <v/>
      </c>
      <c r="M570" s="132" t="str">
        <f t="shared" si="71"/>
        <v/>
      </c>
      <c r="N570" s="132" t="str">
        <f t="shared" si="72"/>
        <v/>
      </c>
    </row>
    <row r="571" spans="6:14" ht="15.75" customHeight="1" x14ac:dyDescent="0.35">
      <c r="F571" s="69" t="str">
        <f t="shared" si="73"/>
        <v/>
      </c>
      <c r="H571" s="134" t="str">
        <f t="shared" si="67"/>
        <v/>
      </c>
      <c r="J571" s="132" t="str">
        <f t="shared" si="68"/>
        <v/>
      </c>
      <c r="K571" s="132" t="str">
        <f t="shared" si="69"/>
        <v/>
      </c>
      <c r="L571" s="132" t="str">
        <f t="shared" si="70"/>
        <v/>
      </c>
      <c r="M571" s="132" t="str">
        <f t="shared" si="71"/>
        <v/>
      </c>
      <c r="N571" s="132" t="str">
        <f t="shared" si="72"/>
        <v/>
      </c>
    </row>
    <row r="572" spans="6:14" ht="15.75" customHeight="1" x14ac:dyDescent="0.35">
      <c r="F572" s="69" t="str">
        <f t="shared" si="73"/>
        <v/>
      </c>
      <c r="H572" s="134" t="str">
        <f t="shared" si="67"/>
        <v/>
      </c>
      <c r="J572" s="132" t="str">
        <f t="shared" si="68"/>
        <v/>
      </c>
      <c r="K572" s="132" t="str">
        <f t="shared" si="69"/>
        <v/>
      </c>
      <c r="L572" s="132" t="str">
        <f t="shared" si="70"/>
        <v/>
      </c>
      <c r="M572" s="132" t="str">
        <f t="shared" si="71"/>
        <v/>
      </c>
      <c r="N572" s="132" t="str">
        <f t="shared" si="72"/>
        <v/>
      </c>
    </row>
    <row r="573" spans="6:14" ht="15.75" customHeight="1" x14ac:dyDescent="0.35">
      <c r="F573" s="69" t="str">
        <f t="shared" si="73"/>
        <v/>
      </c>
      <c r="H573" s="134" t="str">
        <f t="shared" si="67"/>
        <v/>
      </c>
      <c r="J573" s="132" t="str">
        <f t="shared" si="68"/>
        <v/>
      </c>
      <c r="K573" s="132" t="str">
        <f t="shared" si="69"/>
        <v/>
      </c>
      <c r="L573" s="132" t="str">
        <f t="shared" si="70"/>
        <v/>
      </c>
      <c r="M573" s="132" t="str">
        <f t="shared" si="71"/>
        <v/>
      </c>
      <c r="N573" s="132" t="str">
        <f t="shared" si="72"/>
        <v/>
      </c>
    </row>
    <row r="574" spans="6:14" ht="15.75" customHeight="1" x14ac:dyDescent="0.35">
      <c r="F574" s="69" t="str">
        <f t="shared" si="73"/>
        <v/>
      </c>
      <c r="H574" s="134" t="str">
        <f t="shared" si="67"/>
        <v/>
      </c>
      <c r="J574" s="132" t="str">
        <f t="shared" si="68"/>
        <v/>
      </c>
      <c r="K574" s="132" t="str">
        <f t="shared" si="69"/>
        <v/>
      </c>
      <c r="L574" s="132" t="str">
        <f t="shared" si="70"/>
        <v/>
      </c>
      <c r="M574" s="132" t="str">
        <f t="shared" si="71"/>
        <v/>
      </c>
      <c r="N574" s="132" t="str">
        <f t="shared" si="72"/>
        <v/>
      </c>
    </row>
    <row r="575" spans="6:14" ht="15.75" customHeight="1" x14ac:dyDescent="0.35">
      <c r="F575" s="70"/>
    </row>
    <row r="576" spans="6:14" ht="15.75" customHeight="1" x14ac:dyDescent="0.35">
      <c r="F576" s="70"/>
    </row>
    <row r="577" spans="6:6" ht="15.75" customHeight="1" x14ac:dyDescent="0.35">
      <c r="F577" s="70"/>
    </row>
    <row r="578" spans="6:6" ht="15.75" customHeight="1" x14ac:dyDescent="0.35">
      <c r="F578" s="70"/>
    </row>
    <row r="579" spans="6:6" ht="15.75" customHeight="1" x14ac:dyDescent="0.35">
      <c r="F579" s="70"/>
    </row>
    <row r="580" spans="6:6" ht="15.75" customHeight="1" x14ac:dyDescent="0.35">
      <c r="F580" s="70"/>
    </row>
    <row r="581" spans="6:6" ht="15.75" customHeight="1" x14ac:dyDescent="0.35">
      <c r="F581" s="70"/>
    </row>
    <row r="582" spans="6:6" ht="15.75" customHeight="1" x14ac:dyDescent="0.35">
      <c r="F582" s="70"/>
    </row>
    <row r="583" spans="6:6" ht="15.75" customHeight="1" x14ac:dyDescent="0.35">
      <c r="F583" s="70"/>
    </row>
    <row r="584" spans="6:6" ht="15.75" customHeight="1" x14ac:dyDescent="0.35">
      <c r="F584" s="70"/>
    </row>
    <row r="585" spans="6:6" ht="15.75" customHeight="1" x14ac:dyDescent="0.35">
      <c r="F585" s="70"/>
    </row>
    <row r="586" spans="6:6" ht="15.75" customHeight="1" x14ac:dyDescent="0.35">
      <c r="F586" s="70"/>
    </row>
    <row r="587" spans="6:6" ht="15.75" customHeight="1" x14ac:dyDescent="0.35">
      <c r="F587" s="70"/>
    </row>
    <row r="588" spans="6:6" ht="15.75" customHeight="1" x14ac:dyDescent="0.35">
      <c r="F588" s="70"/>
    </row>
    <row r="589" spans="6:6" ht="15.75" customHeight="1" x14ac:dyDescent="0.35">
      <c r="F589" s="70"/>
    </row>
    <row r="590" spans="6:6" ht="15.75" customHeight="1" x14ac:dyDescent="0.35">
      <c r="F590" s="70"/>
    </row>
    <row r="591" spans="6:6" ht="15.75" customHeight="1" x14ac:dyDescent="0.35">
      <c r="F591" s="70"/>
    </row>
    <row r="592" spans="6:6" ht="15.75" customHeight="1" x14ac:dyDescent="0.35">
      <c r="F592" s="70"/>
    </row>
    <row r="593" spans="6:6" ht="15.75" customHeight="1" x14ac:dyDescent="0.35">
      <c r="F593" s="70"/>
    </row>
    <row r="594" spans="6:6" ht="15.75" customHeight="1" x14ac:dyDescent="0.35">
      <c r="F594" s="70"/>
    </row>
    <row r="595" spans="6:6" ht="15.75" customHeight="1" x14ac:dyDescent="0.35">
      <c r="F595" s="70"/>
    </row>
    <row r="596" spans="6:6" ht="15.75" customHeight="1" x14ac:dyDescent="0.35">
      <c r="F596" s="70"/>
    </row>
    <row r="597" spans="6:6" ht="15.75" customHeight="1" x14ac:dyDescent="0.35">
      <c r="F597" s="70"/>
    </row>
    <row r="598" spans="6:6" ht="15.75" customHeight="1" x14ac:dyDescent="0.35">
      <c r="F598" s="70"/>
    </row>
    <row r="599" spans="6:6" ht="15.75" customHeight="1" x14ac:dyDescent="0.35">
      <c r="F599" s="70"/>
    </row>
    <row r="600" spans="6:6" ht="15.75" customHeight="1" x14ac:dyDescent="0.35">
      <c r="F600" s="70"/>
    </row>
    <row r="601" spans="6:6" ht="15.75" customHeight="1" x14ac:dyDescent="0.35">
      <c r="F601" s="70"/>
    </row>
    <row r="602" spans="6:6" ht="15.75" customHeight="1" x14ac:dyDescent="0.35">
      <c r="F602" s="70"/>
    </row>
    <row r="603" spans="6:6" ht="15.75" customHeight="1" x14ac:dyDescent="0.35">
      <c r="F603" s="70"/>
    </row>
    <row r="604" spans="6:6" ht="15.75" customHeight="1" x14ac:dyDescent="0.35">
      <c r="F604" s="70"/>
    </row>
    <row r="605" spans="6:6" ht="15.75" customHeight="1" x14ac:dyDescent="0.35">
      <c r="F605" s="70"/>
    </row>
    <row r="606" spans="6:6" ht="15.75" customHeight="1" x14ac:dyDescent="0.35">
      <c r="F606" s="70"/>
    </row>
    <row r="607" spans="6:6" ht="15.75" customHeight="1" x14ac:dyDescent="0.35">
      <c r="F607" s="70"/>
    </row>
    <row r="608" spans="6:6" ht="15.75" customHeight="1" x14ac:dyDescent="0.35">
      <c r="F608" s="70"/>
    </row>
    <row r="609" spans="6:6" ht="15.75" customHeight="1" x14ac:dyDescent="0.35">
      <c r="F609" s="70"/>
    </row>
    <row r="610" spans="6:6" ht="15.75" customHeight="1" x14ac:dyDescent="0.35">
      <c r="F610" s="70"/>
    </row>
    <row r="611" spans="6:6" ht="15.75" customHeight="1" x14ac:dyDescent="0.35">
      <c r="F611" s="70"/>
    </row>
    <row r="612" spans="6:6" ht="15.75" customHeight="1" x14ac:dyDescent="0.35">
      <c r="F612" s="70"/>
    </row>
    <row r="613" spans="6:6" ht="15.75" customHeight="1" x14ac:dyDescent="0.35">
      <c r="F613" s="70"/>
    </row>
    <row r="614" spans="6:6" ht="15.75" customHeight="1" x14ac:dyDescent="0.35">
      <c r="F614" s="70"/>
    </row>
    <row r="615" spans="6:6" ht="15.75" customHeight="1" x14ac:dyDescent="0.35">
      <c r="F615" s="70"/>
    </row>
    <row r="616" spans="6:6" ht="15.75" customHeight="1" x14ac:dyDescent="0.35">
      <c r="F616" s="70"/>
    </row>
    <row r="617" spans="6:6" ht="15.75" customHeight="1" x14ac:dyDescent="0.35">
      <c r="F617" s="70"/>
    </row>
    <row r="618" spans="6:6" ht="15.75" customHeight="1" x14ac:dyDescent="0.35">
      <c r="F618" s="70"/>
    </row>
    <row r="619" spans="6:6" ht="15.75" customHeight="1" x14ac:dyDescent="0.35">
      <c r="F619" s="70"/>
    </row>
    <row r="620" spans="6:6" ht="15.75" customHeight="1" x14ac:dyDescent="0.35">
      <c r="F620" s="70"/>
    </row>
    <row r="621" spans="6:6" ht="15.75" customHeight="1" x14ac:dyDescent="0.35">
      <c r="F621" s="70"/>
    </row>
    <row r="622" spans="6:6" ht="15.75" customHeight="1" x14ac:dyDescent="0.35">
      <c r="F622" s="70"/>
    </row>
    <row r="623" spans="6:6" ht="15.75" customHeight="1" x14ac:dyDescent="0.35">
      <c r="F623" s="70"/>
    </row>
    <row r="624" spans="6:6" ht="15.75" customHeight="1" x14ac:dyDescent="0.35">
      <c r="F624" s="70"/>
    </row>
    <row r="625" spans="6:6" ht="15.75" customHeight="1" x14ac:dyDescent="0.35">
      <c r="F625" s="70"/>
    </row>
    <row r="626" spans="6:6" ht="15.75" customHeight="1" x14ac:dyDescent="0.35">
      <c r="F626" s="70"/>
    </row>
    <row r="627" spans="6:6" ht="15.75" customHeight="1" x14ac:dyDescent="0.35">
      <c r="F627" s="70"/>
    </row>
    <row r="628" spans="6:6" ht="15.75" customHeight="1" x14ac:dyDescent="0.35">
      <c r="F628" s="70"/>
    </row>
    <row r="629" spans="6:6" ht="15.75" customHeight="1" x14ac:dyDescent="0.35">
      <c r="F629" s="70"/>
    </row>
    <row r="630" spans="6:6" ht="15.75" customHeight="1" x14ac:dyDescent="0.35">
      <c r="F630" s="70"/>
    </row>
    <row r="631" spans="6:6" ht="15.75" customHeight="1" x14ac:dyDescent="0.35">
      <c r="F631" s="70"/>
    </row>
    <row r="632" spans="6:6" ht="15.75" customHeight="1" x14ac:dyDescent="0.35">
      <c r="F632" s="70"/>
    </row>
    <row r="633" spans="6:6" ht="15.75" customHeight="1" x14ac:dyDescent="0.35">
      <c r="F633" s="70"/>
    </row>
    <row r="634" spans="6:6" ht="15.75" customHeight="1" x14ac:dyDescent="0.35">
      <c r="F634" s="70"/>
    </row>
    <row r="635" spans="6:6" ht="15.75" customHeight="1" x14ac:dyDescent="0.35">
      <c r="F635" s="70"/>
    </row>
    <row r="636" spans="6:6" ht="15.75" customHeight="1" x14ac:dyDescent="0.35">
      <c r="F636" s="70"/>
    </row>
    <row r="637" spans="6:6" ht="15.75" customHeight="1" x14ac:dyDescent="0.35">
      <c r="F637" s="70"/>
    </row>
    <row r="638" spans="6:6" ht="15.75" customHeight="1" x14ac:dyDescent="0.35">
      <c r="F638" s="70"/>
    </row>
    <row r="639" spans="6:6" ht="15.75" customHeight="1" x14ac:dyDescent="0.35">
      <c r="F639" s="70"/>
    </row>
    <row r="640" spans="6:6" ht="15.75" customHeight="1" x14ac:dyDescent="0.35">
      <c r="F640" s="70"/>
    </row>
    <row r="641" spans="6:6" ht="15.75" customHeight="1" x14ac:dyDescent="0.35">
      <c r="F641" s="70"/>
    </row>
    <row r="642" spans="6:6" ht="15.75" customHeight="1" x14ac:dyDescent="0.35">
      <c r="F642" s="70"/>
    </row>
    <row r="643" spans="6:6" ht="15.75" customHeight="1" x14ac:dyDescent="0.35">
      <c r="F643" s="70"/>
    </row>
    <row r="644" spans="6:6" ht="15.75" customHeight="1" x14ac:dyDescent="0.35">
      <c r="F644" s="70"/>
    </row>
    <row r="645" spans="6:6" ht="15.75" customHeight="1" x14ac:dyDescent="0.35">
      <c r="F645" s="70"/>
    </row>
    <row r="646" spans="6:6" ht="15.75" customHeight="1" x14ac:dyDescent="0.35">
      <c r="F646" s="70"/>
    </row>
    <row r="647" spans="6:6" ht="15.75" customHeight="1" x14ac:dyDescent="0.35">
      <c r="F647" s="70"/>
    </row>
    <row r="648" spans="6:6" ht="15.75" customHeight="1" x14ac:dyDescent="0.35">
      <c r="F648" s="70"/>
    </row>
    <row r="649" spans="6:6" ht="15.75" customHeight="1" x14ac:dyDescent="0.35">
      <c r="F649" s="70"/>
    </row>
    <row r="650" spans="6:6" ht="15.75" customHeight="1" x14ac:dyDescent="0.35">
      <c r="F650" s="70"/>
    </row>
    <row r="651" spans="6:6" ht="15.75" customHeight="1" x14ac:dyDescent="0.35">
      <c r="F651" s="70"/>
    </row>
    <row r="652" spans="6:6" ht="15.75" customHeight="1" x14ac:dyDescent="0.35">
      <c r="F652" s="70"/>
    </row>
    <row r="653" spans="6:6" ht="15.75" customHeight="1" x14ac:dyDescent="0.35">
      <c r="F653" s="70"/>
    </row>
    <row r="654" spans="6:6" ht="15.75" customHeight="1" x14ac:dyDescent="0.35">
      <c r="F654" s="70"/>
    </row>
    <row r="655" spans="6:6" ht="15.75" customHeight="1" x14ac:dyDescent="0.35">
      <c r="F655" s="70"/>
    </row>
    <row r="656" spans="6:6" ht="15.75" customHeight="1" x14ac:dyDescent="0.35">
      <c r="F656" s="70"/>
    </row>
    <row r="657" spans="6:6" ht="15.75" customHeight="1" x14ac:dyDescent="0.35">
      <c r="F657" s="70"/>
    </row>
    <row r="658" spans="6:6" ht="15.75" customHeight="1" x14ac:dyDescent="0.35">
      <c r="F658" s="70"/>
    </row>
    <row r="659" spans="6:6" ht="15.75" customHeight="1" x14ac:dyDescent="0.35">
      <c r="F659" s="70"/>
    </row>
    <row r="660" spans="6:6" ht="15.75" customHeight="1" x14ac:dyDescent="0.35">
      <c r="F660" s="70"/>
    </row>
    <row r="661" spans="6:6" ht="15.75" customHeight="1" x14ac:dyDescent="0.35">
      <c r="F661" s="70"/>
    </row>
    <row r="662" spans="6:6" ht="15.75" customHeight="1" x14ac:dyDescent="0.35">
      <c r="F662" s="70"/>
    </row>
    <row r="663" spans="6:6" ht="14.5" x14ac:dyDescent="0.35">
      <c r="F663" s="70"/>
    </row>
    <row r="664" spans="6:6" ht="14.5" x14ac:dyDescent="0.35">
      <c r="F664" s="70"/>
    </row>
    <row r="665" spans="6:6" ht="14.5" x14ac:dyDescent="0.35">
      <c r="F665" s="70"/>
    </row>
    <row r="666" spans="6:6" ht="14.5" x14ac:dyDescent="0.35">
      <c r="F666" s="70"/>
    </row>
    <row r="667" spans="6:6" ht="14.5" x14ac:dyDescent="0.35">
      <c r="F667" s="70"/>
    </row>
    <row r="668" spans="6:6" ht="14.5" x14ac:dyDescent="0.35">
      <c r="F668" s="70"/>
    </row>
    <row r="669" spans="6:6" ht="14.5" x14ac:dyDescent="0.35">
      <c r="F669" s="70"/>
    </row>
    <row r="670" spans="6:6" ht="14.5" x14ac:dyDescent="0.35">
      <c r="F670" s="70"/>
    </row>
    <row r="671" spans="6:6" ht="14.5" x14ac:dyDescent="0.35">
      <c r="F671" s="70"/>
    </row>
    <row r="672" spans="6:6" ht="14.5" x14ac:dyDescent="0.35">
      <c r="F672" s="70"/>
    </row>
    <row r="673" spans="6:6" ht="14.5" x14ac:dyDescent="0.35">
      <c r="F673" s="70"/>
    </row>
    <row r="674" spans="6:6" ht="14.5" x14ac:dyDescent="0.35">
      <c r="F674" s="70"/>
    </row>
    <row r="675" spans="6:6" ht="14.5" x14ac:dyDescent="0.35">
      <c r="F675" s="70"/>
    </row>
    <row r="676" spans="6:6" ht="14.5" x14ac:dyDescent="0.35">
      <c r="F676" s="70"/>
    </row>
    <row r="677" spans="6:6" ht="14.5" x14ac:dyDescent="0.35">
      <c r="F677" s="70"/>
    </row>
    <row r="678" spans="6:6" ht="14.5" x14ac:dyDescent="0.35">
      <c r="F678" s="70"/>
    </row>
    <row r="679" spans="6:6" ht="14.5" x14ac:dyDescent="0.35">
      <c r="F679" s="70"/>
    </row>
    <row r="680" spans="6:6" ht="14.5" x14ac:dyDescent="0.35">
      <c r="F680" s="70"/>
    </row>
    <row r="681" spans="6:6" ht="14.5" x14ac:dyDescent="0.35">
      <c r="F681" s="70"/>
    </row>
    <row r="682" spans="6:6" ht="14.5" x14ac:dyDescent="0.35">
      <c r="F682" s="70"/>
    </row>
    <row r="683" spans="6:6" ht="14.5" x14ac:dyDescent="0.35">
      <c r="F683" s="70"/>
    </row>
    <row r="684" spans="6:6" ht="14.5" x14ac:dyDescent="0.35">
      <c r="F684" s="70"/>
    </row>
    <row r="685" spans="6:6" ht="14.5" x14ac:dyDescent="0.35">
      <c r="F685" s="70"/>
    </row>
  </sheetData>
  <autoFilter ref="A5:N151" xr:uid="{00000000-0009-0000-0000-000003000000}">
    <sortState xmlns:xlrd2="http://schemas.microsoft.com/office/spreadsheetml/2017/richdata2" ref="A5:N151">
      <sortCondition descending="1" ref="G5:G151"/>
      <sortCondition descending="1" ref="H5:H151"/>
      <sortCondition ref="N5:N151"/>
      <sortCondition ref="F5:F151"/>
    </sortState>
  </autoFilter>
  <mergeCells count="5">
    <mergeCell ref="A1:H1"/>
    <mergeCell ref="A2:H2"/>
    <mergeCell ref="L2:M2"/>
    <mergeCell ref="A3:H3"/>
    <mergeCell ref="Q3:U3"/>
  </mergeCells>
  <conditionalFormatting sqref="B6:H98">
    <cfRule type="expression" dxfId="3" priority="1">
      <formula>$K6="Follow Up"</formula>
    </cfRule>
    <cfRule type="expression" dxfId="2" priority="2">
      <formula>$K6="Pmt Pending"</formula>
    </cfRule>
    <cfRule type="expression" dxfId="1" priority="3">
      <formula>$K6="Current"</formula>
    </cfRule>
    <cfRule type="expression" dxfId="0" priority="4">
      <formula>$K6="Write Off"</formula>
    </cfRule>
  </conditionalFormatting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Wkly Cash Flow</vt:lpstr>
      <vt:lpstr>AR Aging Balance</vt:lpstr>
      <vt:lpstr>Bookings</vt:lpstr>
      <vt:lpstr>AR Aging 20260320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Planz</dc:creator>
  <cp:lastModifiedBy>Zayn Moselhy</cp:lastModifiedBy>
  <dcterms:created xsi:type="dcterms:W3CDTF">2023-11-21T15:12:54Z</dcterms:created>
  <dcterms:modified xsi:type="dcterms:W3CDTF">2026-04-23T19:22:52Z</dcterms:modified>
</cp:coreProperties>
</file>